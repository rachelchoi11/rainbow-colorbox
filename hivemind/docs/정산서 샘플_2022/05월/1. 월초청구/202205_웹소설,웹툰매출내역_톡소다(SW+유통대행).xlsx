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300" tabRatio="869"/>
  </bookViews>
  <sheets>
    <sheet name="월별합계(5)" sheetId="54" r:id="rId1"/>
    <sheet name="무장" sheetId="55" r:id="rId2"/>
    <sheet name="모리미" sheetId="56" r:id="rId3"/>
    <sheet name="에필로그" sheetId="57" r:id="rId4"/>
    <sheet name="루이세" sheetId="58" r:id="rId5"/>
    <sheet name="김광수" sheetId="59" r:id="rId6"/>
    <sheet name="엘리신" sheetId="60" r:id="rId7"/>
    <sheet name="구유" sheetId="61" r:id="rId8"/>
    <sheet name="청빙" sheetId="62" r:id="rId9"/>
    <sheet name="불고기자리" sheetId="63" r:id="rId10"/>
    <sheet name="꽃잠" sheetId="64" r:id="rId11"/>
    <sheet name="박도아" sheetId="65" r:id="rId12"/>
    <sheet name="제외" sheetId="66" r:id="rId13"/>
    <sheet name="더컴퍼니" sheetId="67" r:id="rId14"/>
    <sheet name="모험왕선우" sheetId="68" r:id="rId15"/>
    <sheet name="글면증" sheetId="69" r:id="rId16"/>
    <sheet name="리세마라" sheetId="70" r:id="rId17"/>
    <sheet name="스내치" sheetId="71" r:id="rId18"/>
    <sheet name="갓띵작" sheetId="72" r:id="rId19"/>
    <sheet name="김온별" sheetId="73" r:id="rId20"/>
    <sheet name="DION(디온)" sheetId="74" r:id="rId21"/>
    <sheet name="윈델" sheetId="75" r:id="rId22"/>
    <sheet name="컨텐츠헤라" sheetId="76" r:id="rId23"/>
  </sheets>
  <externalReferences>
    <externalReference r:id="rId24"/>
  </externalReferences>
  <definedNames>
    <definedName name="_xlnm._FilterDatabase" localSheetId="0" hidden="1">'월별합계(5)'!$A$1:$T$147</definedName>
    <definedName name="_xlnm.Extract" localSheetId="20">'DION(디온)'!$A$1:$T$1</definedName>
    <definedName name="_xlnm.Extract" localSheetId="18">갓띵작!$A$1:$T$1</definedName>
    <definedName name="_xlnm.Extract" localSheetId="7">구유!$A$1:$T$1</definedName>
    <definedName name="_xlnm.Extract" localSheetId="15">글면증!$A$1:$T$1</definedName>
    <definedName name="_xlnm.Extract" localSheetId="5">김광수!$A$1:$T$1</definedName>
    <definedName name="_xlnm.Extract" localSheetId="19">김온별!$A$1:$T$1</definedName>
    <definedName name="_xlnm.Extract" localSheetId="10">꽃잠!$A$1:$T$1</definedName>
    <definedName name="_xlnm.Extract" localSheetId="13">더컴퍼니!$A$1:$T$1</definedName>
    <definedName name="_xlnm.Extract" localSheetId="4">루이세!$A$1:$T$1</definedName>
    <definedName name="_xlnm.Extract" localSheetId="16">리세마라!$A$1:$T$1</definedName>
    <definedName name="_xlnm.Extract" localSheetId="2">모리미!$A$1:$T$1</definedName>
    <definedName name="_xlnm.Extract" localSheetId="14">모험왕선우!$A$1:$T$1</definedName>
    <definedName name="_xlnm.Extract" localSheetId="1">무장!$A$1:$T$1</definedName>
    <definedName name="_xlnm.Extract" localSheetId="11">박도아!$A$1:$T$1</definedName>
    <definedName name="_xlnm.Extract" localSheetId="9">불고기자리!$A$1:$T$1</definedName>
    <definedName name="_xlnm.Extract" localSheetId="17">스내치!$A$1:$T$1</definedName>
    <definedName name="_xlnm.Extract" localSheetId="3">에필로그!$A$1:$T$1</definedName>
    <definedName name="_xlnm.Extract" localSheetId="6">엘리신!$A$1:$T$1</definedName>
    <definedName name="_xlnm.Extract" localSheetId="0">'월별합계(5)'!#REF!</definedName>
    <definedName name="_xlnm.Extract" localSheetId="21">윈델!$A$1:$T$1</definedName>
    <definedName name="_xlnm.Extract" localSheetId="12">제외!$A$1:$T$1</definedName>
    <definedName name="_xlnm.Extract" localSheetId="8">청빙!$A$1:$T$1</definedName>
    <definedName name="_xlnm.Extract" localSheetId="22">컨텐츠헤라!$A$1:$T$1</definedName>
  </definedNames>
  <calcPr calcId="152511" calcMode="manual"/>
</workbook>
</file>

<file path=xl/calcChain.xml><?xml version="1.0" encoding="utf-8"?>
<calcChain xmlns="http://schemas.openxmlformats.org/spreadsheetml/2006/main">
  <c r="S102" i="54" l="1"/>
  <c r="S103" i="54"/>
  <c r="S104" i="54"/>
  <c r="S105" i="54"/>
  <c r="S106" i="54"/>
  <c r="T106" i="54" s="1"/>
  <c r="S107" i="54"/>
  <c r="S108" i="54"/>
  <c r="S109" i="54"/>
  <c r="S110" i="54"/>
  <c r="S111" i="54"/>
  <c r="S112" i="54"/>
  <c r="S113" i="54"/>
  <c r="S114" i="54"/>
  <c r="T114" i="54" s="1"/>
  <c r="S115" i="54"/>
  <c r="T115" i="54" s="1"/>
  <c r="S116" i="54"/>
  <c r="S117" i="54"/>
  <c r="S118" i="54"/>
  <c r="S119" i="54"/>
  <c r="T119" i="54" s="1"/>
  <c r="S120" i="54"/>
  <c r="T120" i="54" s="1"/>
  <c r="S121" i="54"/>
  <c r="T121" i="54" s="1"/>
  <c r="S122" i="54"/>
  <c r="T122" i="54" s="1"/>
  <c r="S123" i="54"/>
  <c r="T123" i="54" s="1"/>
  <c r="S3" i="54"/>
  <c r="S4" i="54"/>
  <c r="S5" i="54"/>
  <c r="S6" i="54"/>
  <c r="S7" i="54"/>
  <c r="T7" i="54" s="1"/>
  <c r="S8" i="54"/>
  <c r="T8" i="54" s="1"/>
  <c r="S9" i="54"/>
  <c r="S10" i="54"/>
  <c r="S11" i="54"/>
  <c r="S12" i="54"/>
  <c r="S13" i="54"/>
  <c r="S14" i="54"/>
  <c r="S15" i="54"/>
  <c r="S16" i="54"/>
  <c r="S17" i="54"/>
  <c r="S18" i="54"/>
  <c r="S19" i="54"/>
  <c r="S20" i="54"/>
  <c r="S21" i="54"/>
  <c r="S22" i="54"/>
  <c r="S23" i="54"/>
  <c r="T23" i="54" s="1"/>
  <c r="S24" i="54"/>
  <c r="S25" i="54"/>
  <c r="S26" i="54"/>
  <c r="T26" i="54" s="1"/>
  <c r="S27" i="54"/>
  <c r="S28" i="54"/>
  <c r="T28" i="54" s="1"/>
  <c r="S29" i="54"/>
  <c r="T29" i="54" s="1"/>
  <c r="S30" i="54"/>
  <c r="T30" i="54" s="1"/>
  <c r="S31" i="54"/>
  <c r="T31" i="54" s="1"/>
  <c r="S32" i="54"/>
  <c r="T32" i="54" s="1"/>
  <c r="S33" i="54"/>
  <c r="T33" i="54" s="1"/>
  <c r="S34" i="54"/>
  <c r="T34" i="54" s="1"/>
  <c r="S35" i="54"/>
  <c r="S36" i="54"/>
  <c r="S37" i="54"/>
  <c r="S38" i="54"/>
  <c r="T38" i="54" s="1"/>
  <c r="S39" i="54"/>
  <c r="S40" i="54"/>
  <c r="T40" i="54" s="1"/>
  <c r="S41" i="54"/>
  <c r="T41" i="54" s="1"/>
  <c r="S42" i="54"/>
  <c r="T42" i="54" s="1"/>
  <c r="S43" i="54"/>
  <c r="T43" i="54" s="1"/>
  <c r="S44" i="54"/>
  <c r="T44" i="54" s="1"/>
  <c r="S45" i="54"/>
  <c r="T45" i="54" s="1"/>
  <c r="S46" i="54"/>
  <c r="T46" i="54" s="1"/>
  <c r="S47" i="54"/>
  <c r="T47" i="54" s="1"/>
  <c r="S48" i="54"/>
  <c r="T48" i="54" s="1"/>
  <c r="S49" i="54"/>
  <c r="S50" i="54"/>
  <c r="T50" i="54" s="1"/>
  <c r="S51" i="54"/>
  <c r="T51" i="54" s="1"/>
  <c r="S52" i="54"/>
  <c r="T52" i="54" s="1"/>
  <c r="S53" i="54"/>
  <c r="T53" i="54" s="1"/>
  <c r="S54" i="54"/>
  <c r="T54" i="54" s="1"/>
  <c r="S55" i="54"/>
  <c r="T55" i="54" s="1"/>
  <c r="S56" i="54"/>
  <c r="T56" i="54" s="1"/>
  <c r="S57" i="54"/>
  <c r="T57" i="54" s="1"/>
  <c r="S58" i="54"/>
  <c r="T58" i="54" s="1"/>
  <c r="S59" i="54"/>
  <c r="T59" i="54" s="1"/>
  <c r="S60" i="54"/>
  <c r="S61" i="54"/>
  <c r="S62" i="54"/>
  <c r="S63" i="54"/>
  <c r="S64" i="54"/>
  <c r="S65" i="54"/>
  <c r="S66" i="54"/>
  <c r="S67" i="54"/>
  <c r="S68" i="54"/>
  <c r="S69" i="54"/>
  <c r="S70" i="54"/>
  <c r="S71" i="54"/>
  <c r="S72" i="54"/>
  <c r="S73" i="54"/>
  <c r="T73" i="54" s="1"/>
  <c r="S74" i="54"/>
  <c r="T74" i="54" s="1"/>
  <c r="S75" i="54"/>
  <c r="S76" i="54"/>
  <c r="S77" i="54"/>
  <c r="S78" i="54"/>
  <c r="S79" i="54"/>
  <c r="T79" i="54" s="1"/>
  <c r="S80" i="54"/>
  <c r="T80" i="54" s="1"/>
  <c r="S81" i="54"/>
  <c r="T81" i="54" s="1"/>
  <c r="S82" i="54"/>
  <c r="T82" i="54" s="1"/>
  <c r="S83" i="54"/>
  <c r="T83" i="54" s="1"/>
  <c r="S84" i="54"/>
  <c r="S85" i="54"/>
  <c r="S86" i="54"/>
  <c r="S87" i="54"/>
  <c r="S88" i="54"/>
  <c r="T88" i="54" s="1"/>
  <c r="S89" i="54"/>
  <c r="T89" i="54" s="1"/>
  <c r="S90" i="54"/>
  <c r="T90" i="54" s="1"/>
  <c r="S91" i="54"/>
  <c r="T91" i="54" s="1"/>
  <c r="S92" i="54"/>
  <c r="T92" i="54" s="1"/>
  <c r="S93" i="54"/>
  <c r="T93" i="54" s="1"/>
  <c r="S94" i="54"/>
  <c r="T94" i="54" s="1"/>
  <c r="S95" i="54"/>
  <c r="T95" i="54" s="1"/>
  <c r="S96" i="54"/>
  <c r="T96" i="54" s="1"/>
  <c r="S97" i="54"/>
  <c r="T97" i="54" s="1"/>
  <c r="S98" i="54"/>
  <c r="T98" i="54" s="1"/>
  <c r="S99" i="54"/>
  <c r="S100" i="54"/>
  <c r="S101" i="54"/>
  <c r="S2" i="54"/>
  <c r="R124" i="54" l="1"/>
  <c r="T16" i="54" l="1"/>
  <c r="T27" i="54"/>
  <c r="T22" i="54"/>
  <c r="T25" i="54"/>
  <c r="T49" i="54"/>
  <c r="T20" i="54"/>
  <c r="T103" i="54"/>
  <c r="T11" i="54" l="1"/>
  <c r="T21" i="54"/>
  <c r="T107" i="54"/>
  <c r="T108" i="54"/>
  <c r="T109" i="54"/>
  <c r="T110" i="54"/>
  <c r="T99" i="54"/>
  <c r="T101" i="54"/>
  <c r="T100" i="54"/>
  <c r="T102" i="54"/>
  <c r="T117" i="54"/>
  <c r="T118" i="54"/>
  <c r="T116" i="54"/>
  <c r="T68" i="54"/>
  <c r="T67" i="54"/>
  <c r="T69" i="54"/>
  <c r="T70" i="54"/>
  <c r="T65" i="54"/>
  <c r="T72" i="54"/>
  <c r="T66" i="54"/>
  <c r="T71" i="54"/>
  <c r="T84" i="54"/>
  <c r="T85" i="54"/>
  <c r="T86" i="54"/>
  <c r="T87" i="54"/>
  <c r="T78" i="54"/>
  <c r="T76" i="54"/>
  <c r="T75" i="54"/>
  <c r="T77" i="54"/>
  <c r="T61" i="54"/>
  <c r="T60" i="54"/>
  <c r="T6" i="54"/>
  <c r="T10" i="54"/>
  <c r="T9" i="54"/>
  <c r="T104" i="54"/>
  <c r="T105" i="54"/>
  <c r="T14" i="54"/>
  <c r="T13" i="54"/>
  <c r="T12" i="54"/>
  <c r="T15" i="54"/>
  <c r="T19" i="54"/>
  <c r="T18" i="54"/>
  <c r="T2" i="54"/>
  <c r="T17" i="54"/>
  <c r="T39" i="54"/>
  <c r="T4" i="54"/>
  <c r="T24" i="54"/>
  <c r="T3" i="54"/>
  <c r="T5" i="54"/>
  <c r="T36" i="54"/>
  <c r="T37" i="54"/>
  <c r="T35" i="54"/>
  <c r="T62" i="54"/>
  <c r="T63" i="54"/>
  <c r="T64" i="54"/>
  <c r="T113" i="54"/>
  <c r="T112" i="54"/>
  <c r="T111" i="54"/>
</calcChain>
</file>

<file path=xl/sharedStrings.xml><?xml version="1.0" encoding="utf-8"?>
<sst xmlns="http://schemas.openxmlformats.org/spreadsheetml/2006/main" count="2901" uniqueCount="223">
  <si>
    <t>판타지</t>
  </si>
  <si>
    <t>무협</t>
  </si>
  <si>
    <t>김광수</t>
  </si>
  <si>
    <t>로맨스</t>
  </si>
  <si>
    <t>무장</t>
  </si>
  <si>
    <t>76M2008148384</t>
  </si>
  <si>
    <t>회귀의 전설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</si>
  <si>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</si>
  <si>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</si>
  <si>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</si>
  <si>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</si>
  <si>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</si>
  <si>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</si>
  <si>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</si>
  <si>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</si>
  <si>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</si>
  <si>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</si>
  <si>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</si>
  <si>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</si>
  <si>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</si>
  <si>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</si>
  <si>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</si>
  <si>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</si>
  <si>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</si>
  <si>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</si>
  <si>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</si>
  <si>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</si>
  <si>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</si>
  <si>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</si>
  <si>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</si>
  <si>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</si>
  <si>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</si>
  <si>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</si>
  <si>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</si>
  <si>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</si>
  <si>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</si>
  <si>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웹툰</t>
  </si>
  <si>
    <t>77M2112182436</t>
  </si>
  <si>
    <t>별빛 아래 우리</t>
  </si>
  <si>
    <t>건일</t>
  </si>
  <si>
    <t>77M2112182439</t>
  </si>
  <si>
    <t>폭군의 눈물</t>
  </si>
  <si>
    <t>로판</t>
  </si>
  <si>
    <t>서양</t>
  </si>
  <si>
    <t>사틴</t>
  </si>
  <si>
    <t>76M2201183208</t>
  </si>
  <si>
    <t>사상 최강의 뉴비!</t>
  </si>
  <si>
    <t>정희웅</t>
  </si>
  <si>
    <t>키도</t>
  </si>
  <si>
    <t>76M2201183668</t>
  </si>
  <si>
    <t>고검환정록</t>
  </si>
  <si>
    <t>직하인</t>
  </si>
  <si>
    <t>Ice×FANFAN COMIC</t>
  </si>
  <si>
    <t>정통</t>
  </si>
  <si>
    <t>76M2009149239</t>
  </si>
  <si>
    <t>로드 오브 머니</t>
  </si>
  <si>
    <t>76M2202184135</t>
  </si>
  <si>
    <t>너드 공략집</t>
  </si>
  <si>
    <t>이다겸</t>
  </si>
  <si>
    <t>76M2101153964</t>
  </si>
  <si>
    <t>레이디 스칼렛</t>
  </si>
  <si>
    <t>불고기자리</t>
  </si>
  <si>
    <t>청빙</t>
  </si>
  <si>
    <t>76M2104157286</t>
  </si>
  <si>
    <t>최종 보스 : 빛을 향해 달리는 그림자</t>
  </si>
  <si>
    <t>고전무협</t>
  </si>
  <si>
    <t>76M2203184714</t>
  </si>
  <si>
    <t>강호유정</t>
  </si>
  <si>
    <t>76M2203184718</t>
  </si>
  <si>
    <t>익스클루시브(Exclusive)</t>
  </si>
  <si>
    <t>무슈슈</t>
  </si>
  <si>
    <t>76M2203184720</t>
  </si>
  <si>
    <t>그저, 닿지 않을 너에게</t>
  </si>
  <si>
    <t>뚜여사</t>
  </si>
  <si>
    <t>76M2203184721</t>
  </si>
  <si>
    <t>달보드레</t>
  </si>
  <si>
    <t>시아</t>
  </si>
  <si>
    <t>76M2203184723</t>
  </si>
  <si>
    <t>더티독</t>
  </si>
  <si>
    <t>용가리맛쿠키</t>
  </si>
  <si>
    <t>76M2203184725</t>
  </si>
  <si>
    <t>뉴욕 키스 스캔들</t>
  </si>
  <si>
    <t>76M1711119870</t>
  </si>
  <si>
    <t>갓 오브 블랙필드</t>
  </si>
  <si>
    <t>모리미</t>
  </si>
  <si>
    <t>76M1912141767</t>
  </si>
  <si>
    <t>야쿠자가 사랑을 한다면 (개정판)</t>
  </si>
  <si>
    <t>76M2007147509</t>
  </si>
  <si>
    <t>간신이 나라를 살림</t>
  </si>
  <si>
    <t>루이세</t>
  </si>
  <si>
    <t>76M2009149173</t>
  </si>
  <si>
    <t>연애는 아래로부터</t>
  </si>
  <si>
    <t>엘리신</t>
  </si>
  <si>
    <t>스포츠</t>
  </si>
  <si>
    <t>76M2009149893</t>
  </si>
  <si>
    <t>마스터K</t>
  </si>
  <si>
    <t>76M2012152412</t>
  </si>
  <si>
    <t>삼국지 호접몽전</t>
  </si>
  <si>
    <t>스내치</t>
  </si>
  <si>
    <t>76M2112182781</t>
  </si>
  <si>
    <t>퇴마사(巫者)</t>
  </si>
  <si>
    <t>시무(蒔舞)</t>
  </si>
  <si>
    <t>76M2202184034</t>
  </si>
  <si>
    <t>신인류 좀비의 아포칼립스</t>
  </si>
  <si>
    <t>모험왕선우</t>
  </si>
  <si>
    <t>76M2204185171</t>
  </si>
  <si>
    <t>올마스터가 된 비전서고</t>
  </si>
  <si>
    <t>글면증</t>
  </si>
  <si>
    <t>76M2204185351</t>
  </si>
  <si>
    <t>엠프티(Empty)</t>
  </si>
  <si>
    <t>라돌체</t>
  </si>
  <si>
    <t>76M2204185377</t>
  </si>
  <si>
    <t>선량한 야만인(Salvaje)</t>
  </si>
  <si>
    <t>76M2204185422</t>
  </si>
  <si>
    <t>드렁크-탱크-핑크(DRUNK-TANK-PINK)</t>
  </si>
  <si>
    <t>76M2204185430</t>
  </si>
  <si>
    <t>아스트로(ASTRO): 별</t>
  </si>
  <si>
    <t>꿀레</t>
  </si>
  <si>
    <t>76M2204185433</t>
  </si>
  <si>
    <t>위험한 선배</t>
  </si>
  <si>
    <t>sJessi</t>
  </si>
  <si>
    <t>76M2204185440</t>
  </si>
  <si>
    <t>내 안에 흑염룡이 산다!</t>
  </si>
  <si>
    <t>리세마라</t>
  </si>
  <si>
    <t>77M2112182438</t>
  </si>
  <si>
    <t>내 남편의 스토커</t>
  </si>
  <si>
    <t>혜원</t>
  </si>
  <si>
    <t>77M2112182472</t>
  </si>
  <si>
    <t>폐하, 옥체 보존하세요!</t>
  </si>
  <si>
    <t>Ivyeqianhe, Youzhijiaozi</t>
  </si>
  <si>
    <t>76M1712120602</t>
  </si>
  <si>
    <t>그라운드의 지배자</t>
  </si>
  <si>
    <t>76M1906137482</t>
  </si>
  <si>
    <t>짝사랑 이별곡</t>
  </si>
  <si>
    <t>76M1909139444</t>
  </si>
  <si>
    <t>강호, 미치다</t>
  </si>
  <si>
    <t>최재봉</t>
  </si>
  <si>
    <t>76M2009148980</t>
  </si>
  <si>
    <t>화산지애</t>
  </si>
  <si>
    <t>76M2010150257</t>
  </si>
  <si>
    <t>SSS급 마왕의 귀환</t>
  </si>
  <si>
    <t>구유</t>
  </si>
  <si>
    <t>76M2103155887</t>
  </si>
  <si>
    <t>절대자의 귀환</t>
  </si>
  <si>
    <t>장유진</t>
  </si>
  <si>
    <t>76M2105159295</t>
  </si>
  <si>
    <t>흔적</t>
  </si>
  <si>
    <t>꽃잠</t>
  </si>
  <si>
    <t>76M2105159296</t>
  </si>
  <si>
    <t>내 몸을 돌려줘요</t>
  </si>
  <si>
    <t>박도아</t>
  </si>
  <si>
    <t>76M2112183036</t>
  </si>
  <si>
    <t>주먹 구십구</t>
  </si>
  <si>
    <t>마연</t>
  </si>
  <si>
    <t>76M2201183313</t>
  </si>
  <si>
    <t>너만 모르는 연애</t>
  </si>
  <si>
    <t>카에트</t>
  </si>
  <si>
    <t>76M2201183314</t>
  </si>
  <si>
    <t>더블 파울(Double Foul)</t>
  </si>
  <si>
    <t>나나코</t>
  </si>
  <si>
    <t>76M2201183316</t>
  </si>
  <si>
    <t>비터, 비터(Bitter, Bitter)</t>
  </si>
  <si>
    <t>라에르</t>
  </si>
  <si>
    <t>76M2203184728</t>
  </si>
  <si>
    <t>그 순간, 별이 빛났다</t>
  </si>
  <si>
    <t>성실</t>
  </si>
  <si>
    <t>76M2204185735</t>
  </si>
  <si>
    <t>매혹적인 상사</t>
  </si>
  <si>
    <t>76M2205185900</t>
  </si>
  <si>
    <t>신들의 알바나라</t>
  </si>
  <si>
    <t>갓띵작</t>
  </si>
  <si>
    <t>76M2205186021</t>
  </si>
  <si>
    <t>우리야, 이리온</t>
  </si>
  <si>
    <t>김온별(러브마인)</t>
  </si>
  <si>
    <t>76M2205186033</t>
  </si>
  <si>
    <t>영원한 1위 &amp; 2위의 역습</t>
  </si>
  <si>
    <t>Uchenhu, Lin Peiyu</t>
  </si>
  <si>
    <t>76M2205186059</t>
  </si>
  <si>
    <t>On the air</t>
  </si>
  <si>
    <t>DION</t>
  </si>
  <si>
    <t>76M2205186066</t>
  </si>
  <si>
    <t>SOTUS S</t>
  </si>
  <si>
    <t>BitterSweet</t>
  </si>
  <si>
    <t>역사</t>
  </si>
  <si>
    <t>76M2205186153</t>
  </si>
  <si>
    <t>밤의 제물</t>
  </si>
  <si>
    <t>두럭</t>
  </si>
  <si>
    <t>76M2205186155</t>
  </si>
  <si>
    <t>집착의 맛</t>
  </si>
  <si>
    <t>76M2205186158</t>
  </si>
  <si>
    <t>선배님, 흔들어 주세요</t>
  </si>
  <si>
    <t>김매콤</t>
  </si>
  <si>
    <t>76M2205186159</t>
  </si>
  <si>
    <t>전장의 금기</t>
  </si>
  <si>
    <t>협행마</t>
  </si>
  <si>
    <t>76M2205186263</t>
  </si>
  <si>
    <t>돌아온 막내 영애님을 조심하세요</t>
  </si>
  <si>
    <t>윈델</t>
  </si>
  <si>
    <t>77M2112182437</t>
  </si>
  <si>
    <t>최애에게 들켜버렸다</t>
  </si>
  <si>
    <t>Lv</t>
  </si>
  <si>
    <t>77M2112182470</t>
  </si>
  <si>
    <t>계약연애, 오늘부터 1일</t>
  </si>
  <si>
    <t>원기공장</t>
  </si>
  <si>
    <t>77M2112182471</t>
  </si>
  <si>
    <t>공주전쟁</t>
  </si>
  <si>
    <t>Hujing, Luojie</t>
  </si>
  <si>
    <t>77M2112182543</t>
  </si>
  <si>
    <t>연애 2분의 1</t>
  </si>
  <si>
    <t>Yangxuetu, Zhupi</t>
  </si>
  <si>
    <t>77M2205186310</t>
  </si>
  <si>
    <t>악역이지만, 남주는 꼬시지 않아요</t>
  </si>
  <si>
    <t>kuri, 마북명</t>
  </si>
  <si>
    <t xml:space="preserve"> 합계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</si>
  <si>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</si>
  <si>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</si>
  <si>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에필로그</t>
  </si>
  <si>
    <t>제외</t>
  </si>
  <si>
    <t>더컴퍼니</t>
  </si>
  <si>
    <t>김온별</t>
  </si>
  <si>
    <t>DION(디온)</t>
  </si>
  <si>
    <t>컨텐츠헤라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</si>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</sst>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41" fontId="2" fillId="0" borderId="0" xfId="1" applyFont="1" applyAlignment="1">
      <alignment horizontal="left"/>
    </xf>
    <xf numFmtId="41" fontId="1" fillId="2" borderId="0" xfId="1" applyFont="1" applyFill="1" applyAlignment="1">
      <alignment horizontal="center"/>
    </xf>
    <xf numFmtId="41" fontId="2" fillId="0" borderId="0" xfId="1" applyFont="1" applyFill="1" applyAlignment="1">
      <alignment horizontal="left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  <xf numFmtId="0" fontId="1" fillId="2" borderId="0" xfId="0" applyFont="1" applyFill="1" applyAlignment="1">
      <alignment horizontal="center"/>
    </xf>
    <xf numFmtId="0" fontId="5" fillId="4" borderId="1" xfId="0" applyFont="1" applyFill="1" applyBorder="1" applyAlignment="1"/>
    <xf numFmtId="0" fontId="0" fillId="4" borderId="2" xfId="0" applyFill="1" applyBorder="1" applyAlignment="1"/>
    <xf numFmtId="0" fontId="0" fillId="0" borderId="0" xfId="0" applyAlignment="1"/>
    <xf numFmtId="0" fontId="1" fillId="2" borderId="0" xfId="0" applyFont="1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kuri, 마북명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Linksrue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Linksure</v>
          </cell>
          <cell r="B25" t="str">
            <v>제외</v>
          </cell>
          <cell r="R25" t="str">
            <v>jooki</v>
          </cell>
          <cell r="S25" t="str">
            <v>더컴퍼니</v>
          </cell>
        </row>
        <row r="26">
          <cell r="A26" t="str">
            <v>Livingston</v>
          </cell>
          <cell r="B26" t="str">
            <v>Livingston</v>
          </cell>
          <cell r="R26" t="str">
            <v>jooki</v>
          </cell>
          <cell r="S26" t="str">
            <v>더컴퍼니</v>
          </cell>
        </row>
        <row r="27">
          <cell r="A27" t="str">
            <v>Luojie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lvyeqianhe x youzhijiaozi</v>
          </cell>
          <cell r="B29" t="str">
            <v>제외</v>
          </cell>
          <cell r="R29" t="str">
            <v>jooki</v>
          </cell>
          <cell r="S29" t="str">
            <v>더컴퍼니</v>
          </cell>
        </row>
        <row r="30">
          <cell r="A30" t="str">
            <v>mollen</v>
          </cell>
          <cell r="B30" t="str">
            <v>mollen</v>
          </cell>
          <cell r="R30" t="str">
            <v>jooki</v>
          </cell>
          <cell r="S30" t="str">
            <v>더컴퍼니</v>
          </cell>
        </row>
        <row r="31">
          <cell r="A31" t="str">
            <v>muscleup</v>
          </cell>
          <cell r="B31" t="str">
            <v>muscleup</v>
          </cell>
          <cell r="R31" t="str">
            <v>jooki</v>
          </cell>
          <cell r="S31" t="str">
            <v>더컴퍼니</v>
          </cell>
        </row>
        <row r="32">
          <cell r="A32" t="str">
            <v>Nisansui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Nisansui, Ziquan</v>
          </cell>
          <cell r="B34" t="str">
            <v>제외</v>
          </cell>
          <cell r="R34" t="str">
            <v>SISSI(시씨)</v>
          </cell>
          <cell r="S34" t="str">
            <v>더컴퍼니</v>
          </cell>
        </row>
        <row r="35">
          <cell r="A35" t="str">
            <v>SISSI</v>
          </cell>
          <cell r="B35" t="str">
            <v>더컴퍼니</v>
          </cell>
          <cell r="R35" t="str">
            <v>SISSI</v>
          </cell>
          <cell r="S35" t="str">
            <v>더컴퍼니</v>
          </cell>
        </row>
        <row r="36">
          <cell r="A36" t="str">
            <v xml:space="preserve">Tencent 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 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Uchenhu,Lin Peiyu</v>
          </cell>
          <cell r="B38" t="str">
            <v>제외</v>
          </cell>
          <cell r="R38" t="str">
            <v>SISSI</v>
          </cell>
          <cell r="S38" t="str">
            <v>더컴퍼니</v>
          </cell>
        </row>
        <row r="39">
          <cell r="A39" t="str">
            <v>vvk</v>
          </cell>
          <cell r="B39" t="str">
            <v>vvk</v>
          </cell>
          <cell r="R39" t="str">
            <v>SISSI</v>
          </cell>
          <cell r="S39" t="str">
            <v>더컴퍼니</v>
          </cell>
        </row>
        <row r="40">
          <cell r="A40" t="str">
            <v>Yangxuetu, Zhupi</v>
          </cell>
          <cell r="B40" t="str">
            <v>제외</v>
          </cell>
          <cell r="R40" t="str">
            <v>SISSI</v>
          </cell>
          <cell r="S40" t="str">
            <v>더컴퍼니</v>
          </cell>
        </row>
        <row r="41">
          <cell r="A41" t="str">
            <v>Yulia</v>
          </cell>
          <cell r="B41" t="str">
            <v>Yulia</v>
          </cell>
          <cell r="R41" t="str">
            <v>SISSI</v>
          </cell>
          <cell r="S41" t="str">
            <v>더컴퍼니</v>
          </cell>
        </row>
        <row r="42">
          <cell r="A42" t="str">
            <v>ZHUPI&amp;YANGXUETU</v>
          </cell>
          <cell r="B42" t="str">
            <v>제외</v>
          </cell>
          <cell r="R42" t="str">
            <v>SISSI</v>
          </cell>
          <cell r="S42" t="str">
            <v>더컴퍼니</v>
          </cell>
        </row>
        <row r="43">
          <cell r="A43" t="str">
            <v>ZHUPI,YANGXUETU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ZHUPI.YANGXUETU</v>
          </cell>
          <cell r="B44" t="str">
            <v>제외</v>
          </cell>
          <cell r="R44" t="str">
            <v>SISSI</v>
          </cell>
          <cell r="S44" t="str">
            <v>더컴퍼니</v>
          </cell>
        </row>
        <row r="45">
          <cell r="A45" t="str">
            <v>Zhupi, Yangxuetu</v>
          </cell>
          <cell r="B45" t="str">
            <v>제외</v>
          </cell>
          <cell r="R45" t="str">
            <v>SISSI</v>
          </cell>
          <cell r="S45" t="str">
            <v>더컴퍼니</v>
          </cell>
        </row>
        <row r="46">
          <cell r="A46" t="str">
            <v>가람검</v>
          </cell>
          <cell r="B46" t="str">
            <v>독고진</v>
          </cell>
          <cell r="R46" t="str">
            <v>SISSI</v>
          </cell>
          <cell r="S46" t="str">
            <v>더컴퍼니</v>
          </cell>
        </row>
        <row r="47">
          <cell r="A47" t="str">
            <v>갓띵작</v>
          </cell>
          <cell r="B47" t="str">
            <v>갓띵작</v>
          </cell>
          <cell r="R47" t="str">
            <v>SISSI</v>
          </cell>
          <cell r="S47" t="str">
            <v>더컴퍼니</v>
          </cell>
        </row>
        <row r="48">
          <cell r="A48" t="str">
            <v>강준현</v>
          </cell>
          <cell r="B48" t="str">
            <v>제외</v>
          </cell>
          <cell r="R48" t="str">
            <v>SISSI</v>
          </cell>
          <cell r="S48" t="str">
            <v>더컴퍼니</v>
          </cell>
        </row>
        <row r="49">
          <cell r="A49" t="str">
            <v>건일</v>
          </cell>
          <cell r="B49" t="str">
            <v>제외</v>
          </cell>
          <cell r="R49" t="str">
            <v>SISSI</v>
          </cell>
          <cell r="S49" t="str">
            <v>더컴퍼니</v>
          </cell>
        </row>
        <row r="50">
          <cell r="A50" t="str">
            <v>공든탑</v>
          </cell>
          <cell r="B50" t="str">
            <v>공든탑</v>
          </cell>
          <cell r="R50" t="str">
            <v>SISSI</v>
          </cell>
          <cell r="S50" t="str">
            <v>더컴퍼니</v>
          </cell>
        </row>
        <row r="51">
          <cell r="A51" t="str">
            <v>곽도우</v>
          </cell>
          <cell r="B51" t="str">
            <v>스토리아크</v>
          </cell>
          <cell r="R51" t="str">
            <v>SISSI</v>
          </cell>
          <cell r="S51" t="str">
            <v>더컴퍼니</v>
          </cell>
        </row>
        <row r="52">
          <cell r="A52" t="str">
            <v>구공</v>
          </cell>
          <cell r="B52" t="str">
            <v>구공</v>
          </cell>
          <cell r="R52" t="str">
            <v>SISSI</v>
          </cell>
          <cell r="S52" t="str">
            <v>더컴퍼니</v>
          </cell>
        </row>
        <row r="53">
          <cell r="A53" t="str">
            <v>구디스튜디오</v>
          </cell>
          <cell r="B53" t="str">
            <v>구디</v>
          </cell>
          <cell r="R53" t="str">
            <v>SISSI</v>
          </cell>
          <cell r="S53" t="str">
            <v>더컴퍼니</v>
          </cell>
        </row>
        <row r="54">
          <cell r="A54" t="str">
            <v>구땡</v>
          </cell>
          <cell r="B54" t="str">
            <v>구땡</v>
          </cell>
          <cell r="R54" t="str">
            <v>SISSI</v>
          </cell>
          <cell r="S54" t="str">
            <v>더컴퍼니</v>
          </cell>
        </row>
        <row r="55">
          <cell r="A55" t="str">
            <v>구유</v>
          </cell>
          <cell r="B55" t="str">
            <v>구유</v>
          </cell>
          <cell r="R55" t="str">
            <v>SISSI</v>
          </cell>
          <cell r="S55" t="str">
            <v>더컴퍼니</v>
          </cell>
        </row>
        <row r="56">
          <cell r="A56" t="str">
            <v>구이</v>
          </cell>
          <cell r="B56" t="str">
            <v>구이</v>
          </cell>
          <cell r="R56" t="str">
            <v>SISSI</v>
          </cell>
          <cell r="S56" t="str">
            <v>더컴퍼니</v>
          </cell>
        </row>
        <row r="57">
          <cell r="A57" t="str">
            <v>군주</v>
          </cell>
          <cell r="B57" t="str">
            <v>군주</v>
          </cell>
          <cell r="R57" t="str">
            <v>SISSI</v>
          </cell>
          <cell r="S57" t="str">
            <v>더컴퍼니</v>
          </cell>
        </row>
        <row r="58">
          <cell r="A58" t="str">
            <v>권용찬</v>
          </cell>
          <cell r="B58" t="str">
            <v>권용찬</v>
          </cell>
          <cell r="R58" t="str">
            <v>SISSI</v>
          </cell>
          <cell r="S58" t="str">
            <v>더컴퍼니</v>
          </cell>
        </row>
        <row r="59">
          <cell r="A59" t="str">
            <v>권용찬 (2)</v>
          </cell>
          <cell r="B59" t="str">
            <v>권용찬</v>
          </cell>
          <cell r="R59" t="str">
            <v>SISSI</v>
          </cell>
          <cell r="S59" t="str">
            <v>더컴퍼니</v>
          </cell>
        </row>
        <row r="60">
          <cell r="A60" t="str">
            <v>글면증</v>
          </cell>
          <cell r="B60" t="str">
            <v>글면증</v>
          </cell>
          <cell r="R60" t="str">
            <v>SISSI</v>
          </cell>
          <cell r="S60" t="str">
            <v>더컴퍼니</v>
          </cell>
        </row>
        <row r="61">
          <cell r="A61" t="str">
            <v>금시조</v>
          </cell>
          <cell r="B61" t="str">
            <v>금시조</v>
          </cell>
          <cell r="R61" t="str">
            <v>SISSI</v>
          </cell>
          <cell r="S61" t="str">
            <v>더컴퍼니</v>
          </cell>
        </row>
        <row r="62">
          <cell r="A62" t="str">
            <v>김광수</v>
          </cell>
          <cell r="B62" t="str">
            <v>김광수</v>
          </cell>
          <cell r="R62" t="str">
            <v>SISSI</v>
          </cell>
          <cell r="S62" t="str">
            <v>더컴퍼니</v>
          </cell>
        </row>
        <row r="63">
          <cell r="A63" t="str">
            <v>김광수 (2)</v>
          </cell>
          <cell r="B63" t="str">
            <v>김광수</v>
          </cell>
          <cell r="R63" t="str">
            <v>SISSI</v>
          </cell>
          <cell r="S63" t="str">
            <v>더컴퍼니</v>
          </cell>
        </row>
        <row r="64">
          <cell r="A64" t="str">
            <v>김너울</v>
          </cell>
          <cell r="B64" t="str">
            <v>김너울</v>
          </cell>
          <cell r="R64" t="str">
            <v>SISSI</v>
          </cell>
          <cell r="S64" t="str">
            <v>더컴퍼니</v>
          </cell>
        </row>
        <row r="65">
          <cell r="A65" t="str">
            <v>김사라</v>
          </cell>
          <cell r="B65" t="str">
            <v>김사라</v>
          </cell>
          <cell r="R65" t="str">
            <v>SISSI</v>
          </cell>
          <cell r="S65" t="str">
            <v>더컴퍼니</v>
          </cell>
        </row>
        <row r="66">
          <cell r="A66" t="str">
            <v>김수연</v>
          </cell>
          <cell r="B66" t="str">
            <v>김수연</v>
          </cell>
          <cell r="R66" t="str">
            <v>SISSI</v>
          </cell>
          <cell r="S66" t="str">
            <v>더컴퍼니</v>
          </cell>
        </row>
        <row r="67">
          <cell r="A67" t="str">
            <v>김온별</v>
          </cell>
          <cell r="B67" t="str">
            <v>김온별</v>
          </cell>
          <cell r="R67" t="str">
            <v>SISSI</v>
          </cell>
          <cell r="S67" t="str">
            <v>더컴퍼니</v>
          </cell>
        </row>
        <row r="68">
          <cell r="A68" t="str">
            <v>김온별(러브 마인)</v>
          </cell>
          <cell r="B68" t="str">
            <v>김온별</v>
          </cell>
          <cell r="R68" t="str">
            <v>SISSI</v>
          </cell>
          <cell r="S68" t="str">
            <v>더컴퍼니</v>
          </cell>
        </row>
        <row r="69">
          <cell r="A69" t="str">
            <v>김온별(러브마인)</v>
          </cell>
          <cell r="B69" t="str">
            <v>김온별</v>
          </cell>
          <cell r="R69" t="str">
            <v>SISSI</v>
          </cell>
          <cell r="S69" t="str">
            <v>더컴퍼니</v>
          </cell>
        </row>
        <row r="70">
          <cell r="A70" t="str">
            <v>김온별러브마인</v>
          </cell>
          <cell r="B70" t="str">
            <v>김온별러브마인</v>
          </cell>
          <cell r="R70" t="str">
            <v>SISSI</v>
          </cell>
          <cell r="S70" t="str">
            <v>더컴퍼니</v>
          </cell>
        </row>
        <row r="71">
          <cell r="A71" t="str">
            <v>김운담</v>
          </cell>
          <cell r="B71" t="str">
            <v>김운담</v>
          </cell>
          <cell r="R71" t="str">
            <v>SISSI</v>
          </cell>
          <cell r="S71" t="str">
            <v>더컴퍼니</v>
          </cell>
        </row>
        <row r="72">
          <cell r="A72" t="str">
            <v>김정률</v>
          </cell>
          <cell r="B72" t="str">
            <v>김정률</v>
          </cell>
          <cell r="R72" t="str">
            <v>SISSI</v>
          </cell>
          <cell r="S72" t="str">
            <v>더컴퍼니</v>
          </cell>
        </row>
        <row r="73">
          <cell r="A73" t="str">
            <v>김정연</v>
          </cell>
          <cell r="B73" t="str">
            <v>김정연</v>
          </cell>
          <cell r="R73" t="str">
            <v>SISSI</v>
          </cell>
          <cell r="S73" t="str">
            <v>더컴퍼니</v>
          </cell>
        </row>
        <row r="74">
          <cell r="A74" t="str">
            <v>깡펀치</v>
          </cell>
          <cell r="B74" t="str">
            <v>깡펀치</v>
          </cell>
          <cell r="R74" t="str">
            <v>SISSI</v>
          </cell>
          <cell r="S74" t="str">
            <v>더컴퍼니</v>
          </cell>
        </row>
        <row r="75">
          <cell r="A75" t="str">
            <v>꽃잠</v>
          </cell>
          <cell r="B75" t="str">
            <v>꽃잠</v>
          </cell>
          <cell r="R75" t="str">
            <v>SISSI</v>
          </cell>
          <cell r="S75" t="str">
            <v>더컴퍼니</v>
          </cell>
        </row>
        <row r="76">
          <cell r="A76" t="str">
            <v>남정훈</v>
          </cell>
          <cell r="B76" t="str">
            <v>컨텐츠헤라</v>
          </cell>
          <cell r="R76" t="str">
            <v>SISSI</v>
          </cell>
          <cell r="S76" t="str">
            <v>더컴퍼니</v>
          </cell>
        </row>
        <row r="77">
          <cell r="A77" t="str">
            <v>녹야천학&amp;유지교자</v>
          </cell>
          <cell r="B77" t="str">
            <v>제외</v>
          </cell>
          <cell r="R77" t="str">
            <v>SISSI</v>
          </cell>
          <cell r="S77" t="str">
            <v>더컴퍼니</v>
          </cell>
        </row>
        <row r="78">
          <cell r="A78" t="str">
            <v>다물</v>
          </cell>
          <cell r="B78" t="str">
            <v>컨텐츠헤라</v>
          </cell>
          <cell r="R78" t="str">
            <v>SISSI</v>
          </cell>
          <cell r="S78" t="str">
            <v>더컴퍼니</v>
          </cell>
        </row>
        <row r="79">
          <cell r="A79" t="str">
            <v>단연필</v>
          </cell>
          <cell r="B79" t="str">
            <v>단연필</v>
          </cell>
          <cell r="R79" t="str">
            <v>SISSI</v>
          </cell>
          <cell r="S79" t="str">
            <v>더컴퍼니</v>
          </cell>
        </row>
        <row r="80">
          <cell r="A80" t="str">
            <v>단팥크림빵</v>
          </cell>
          <cell r="B80" t="str">
            <v>단팥크림빵7</v>
          </cell>
          <cell r="R80" t="str">
            <v>SISSI</v>
          </cell>
          <cell r="S80" t="str">
            <v>더컴퍼니</v>
          </cell>
        </row>
        <row r="81">
          <cell r="A81" t="str">
            <v>단팥크림빵7</v>
          </cell>
          <cell r="B81" t="str">
            <v>단팥크림빵7</v>
          </cell>
          <cell r="R81" t="str">
            <v>SISSI</v>
          </cell>
          <cell r="S81" t="str">
            <v>더컴퍼니</v>
          </cell>
        </row>
        <row r="82">
          <cell r="A82" t="str">
            <v>담화공</v>
          </cell>
          <cell r="B82" t="str">
            <v>담화공</v>
          </cell>
          <cell r="R82" t="str">
            <v>SISSI</v>
          </cell>
          <cell r="S82" t="str">
            <v>더컴퍼니</v>
          </cell>
        </row>
        <row r="83">
          <cell r="A83" t="str">
            <v>담화공.</v>
          </cell>
          <cell r="B83" t="str">
            <v>담화공</v>
          </cell>
          <cell r="R83" t="str">
            <v>SISSI</v>
          </cell>
          <cell r="S83" t="str">
            <v>더컴퍼니</v>
          </cell>
        </row>
        <row r="84">
          <cell r="A84" t="str">
            <v>닽팥크림빵7</v>
          </cell>
          <cell r="B84" t="str">
            <v>단팥크림빵7</v>
          </cell>
          <cell r="R84" t="str">
            <v>SISSI</v>
          </cell>
          <cell r="S84" t="str">
            <v>더컴퍼니</v>
          </cell>
        </row>
        <row r="85">
          <cell r="A85" t="str">
            <v>더컴퍼니</v>
          </cell>
          <cell r="B85" t="str">
            <v>더컴퍼니</v>
          </cell>
          <cell r="R85" t="str">
            <v>SISSI</v>
          </cell>
          <cell r="S85" t="str">
            <v>더컴퍼니</v>
          </cell>
        </row>
        <row r="86">
          <cell r="A86" t="str">
            <v>덕킹</v>
          </cell>
          <cell r="B86" t="str">
            <v>덕킹</v>
          </cell>
          <cell r="R86" t="str">
            <v>SISSI</v>
          </cell>
          <cell r="S86" t="str">
            <v>더컴퍼니</v>
          </cell>
        </row>
        <row r="87">
          <cell r="A87" t="str">
            <v>도얀</v>
          </cell>
          <cell r="B87" t="str">
            <v>도얀</v>
          </cell>
          <cell r="R87" t="str">
            <v>SISSI</v>
          </cell>
          <cell r="S87" t="str">
            <v>더컴퍼니</v>
          </cell>
        </row>
        <row r="88">
          <cell r="A88" t="str">
            <v>독고진</v>
          </cell>
          <cell r="B88" t="str">
            <v>독고진</v>
          </cell>
          <cell r="R88" t="str">
            <v>SISSI</v>
          </cell>
          <cell r="S88" t="str">
            <v>더컴퍼니</v>
          </cell>
        </row>
        <row r="89">
          <cell r="A89" t="str">
            <v>돈문어</v>
          </cell>
          <cell r="B89" t="str">
            <v>돈문어</v>
          </cell>
          <cell r="R89" t="str">
            <v>SISSI</v>
          </cell>
          <cell r="S89" t="str">
            <v>더컴퍼니</v>
          </cell>
        </row>
        <row r="90">
          <cell r="A90" t="str">
            <v>두경</v>
          </cell>
          <cell r="B90" t="str">
            <v>컨텐츠헤라</v>
          </cell>
          <cell r="R90" t="str">
            <v>SISSI</v>
          </cell>
          <cell r="S90" t="str">
            <v>더컴퍼니</v>
          </cell>
        </row>
        <row r="91">
          <cell r="A91" t="str">
            <v>두나래</v>
          </cell>
          <cell r="B91" t="str">
            <v>두나래</v>
          </cell>
          <cell r="R91" t="str">
            <v>SISSI</v>
          </cell>
          <cell r="S91" t="str">
            <v>더컴퍼니</v>
          </cell>
        </row>
        <row r="92">
          <cell r="A92" t="str">
            <v>두럭</v>
          </cell>
          <cell r="B92" t="str">
            <v>더컴퍼니</v>
          </cell>
          <cell r="R92" t="str">
            <v>SISSI</v>
          </cell>
          <cell r="S92" t="str">
            <v>더컴퍼니</v>
          </cell>
        </row>
        <row r="93">
          <cell r="A93" t="str">
            <v>디버스 대도서관</v>
          </cell>
          <cell r="B93" t="str">
            <v>디버스 대도서관</v>
          </cell>
          <cell r="R93" t="str">
            <v>SISSI</v>
          </cell>
          <cell r="S93" t="str">
            <v>더컴퍼니</v>
          </cell>
        </row>
        <row r="94">
          <cell r="A94" t="str">
            <v>라비니안느</v>
          </cell>
          <cell r="B94" t="str">
            <v>라비니안느</v>
          </cell>
          <cell r="R94" t="str">
            <v>SISSI</v>
          </cell>
          <cell r="S94" t="str">
            <v>더컴퍼니</v>
          </cell>
        </row>
        <row r="95">
          <cell r="A95" t="str">
            <v>란토파즈</v>
          </cell>
          <cell r="B95" t="str">
            <v>란토파즈</v>
          </cell>
          <cell r="R95" t="str">
            <v>SISSI</v>
          </cell>
          <cell r="S95" t="str">
            <v>더컴퍼니</v>
          </cell>
        </row>
        <row r="96">
          <cell r="A96" t="str">
            <v>랑새</v>
          </cell>
          <cell r="B96" t="str">
            <v>랑새</v>
          </cell>
          <cell r="R96" t="str">
            <v>SISSI</v>
          </cell>
          <cell r="S96" t="str">
            <v>더컴퍼니</v>
          </cell>
        </row>
        <row r="97">
          <cell r="A97" t="str">
            <v>레드트러블</v>
          </cell>
          <cell r="B97" t="str">
            <v>레드트러블</v>
          </cell>
          <cell r="R97" t="str">
            <v>sJessi</v>
          </cell>
          <cell r="S97" t="str">
            <v>더컴퍼니</v>
          </cell>
        </row>
        <row r="98">
          <cell r="A98" t="str">
            <v>레미세라</v>
          </cell>
          <cell r="B98" t="str">
            <v>리세마라</v>
          </cell>
          <cell r="R98" t="str">
            <v>sJessi</v>
          </cell>
          <cell r="S98" t="str">
            <v>더컴퍼니</v>
          </cell>
        </row>
        <row r="99">
          <cell r="A99" t="str">
            <v>루이세</v>
          </cell>
          <cell r="B99" t="str">
            <v>루이세</v>
          </cell>
          <cell r="R99" t="str">
            <v>sJessi</v>
          </cell>
          <cell r="S99" t="str">
            <v>더컴퍼니</v>
          </cell>
        </row>
        <row r="100">
          <cell r="A100" t="str">
            <v>리세마라</v>
          </cell>
          <cell r="B100" t="str">
            <v>리세마라</v>
          </cell>
          <cell r="R100" t="str">
            <v>sJessi</v>
          </cell>
          <cell r="S100" t="str">
            <v>더컴퍼니</v>
          </cell>
        </row>
        <row r="101">
          <cell r="A101" t="str">
            <v>마뇽</v>
          </cell>
          <cell r="B101" t="str">
            <v>마뇽</v>
          </cell>
          <cell r="R101" t="str">
            <v>sJessi</v>
          </cell>
          <cell r="S101" t="str">
            <v>더컴퍼니</v>
          </cell>
        </row>
        <row r="102">
          <cell r="A102" t="str">
            <v>마북명</v>
          </cell>
          <cell r="B102" t="str">
            <v>제외</v>
          </cell>
          <cell r="R102" t="str">
            <v>sJessi</v>
          </cell>
          <cell r="S102" t="str">
            <v>더컴퍼니</v>
          </cell>
        </row>
        <row r="103">
          <cell r="A103" t="str">
            <v>마용출</v>
          </cell>
          <cell r="B103" t="str">
            <v>마용출</v>
          </cell>
          <cell r="R103" t="str">
            <v>sJessi</v>
          </cell>
          <cell r="S103" t="str">
            <v>더컴퍼니</v>
          </cell>
        </row>
        <row r="104">
          <cell r="A104" t="str">
            <v>마지막 도전</v>
          </cell>
          <cell r="B104" t="str">
            <v>프레인</v>
          </cell>
          <cell r="R104" t="str">
            <v>sJessi</v>
          </cell>
          <cell r="S104" t="str">
            <v>더컴퍼니</v>
          </cell>
        </row>
        <row r="105">
          <cell r="A105" t="str">
            <v>만렙도끼</v>
          </cell>
          <cell r="B105" t="str">
            <v>만렙도끼</v>
          </cell>
          <cell r="R105" t="str">
            <v>sJessi</v>
          </cell>
          <cell r="S105" t="str">
            <v>더컴퍼니</v>
          </cell>
        </row>
        <row r="106">
          <cell r="A106" t="str">
            <v>맑은물</v>
          </cell>
          <cell r="B106" t="str">
            <v>맑은물로</v>
          </cell>
          <cell r="R106" t="str">
            <v>sJessi</v>
          </cell>
          <cell r="S106" t="str">
            <v>더컴퍼니</v>
          </cell>
        </row>
        <row r="107">
          <cell r="A107" t="str">
            <v>맑은물로</v>
          </cell>
          <cell r="B107" t="str">
            <v>맑은물로</v>
          </cell>
          <cell r="R107" t="str">
            <v>sJessi</v>
          </cell>
          <cell r="S107" t="str">
            <v>더컴퍼니</v>
          </cell>
        </row>
        <row r="108">
          <cell r="A108" t="str">
            <v>망나니개</v>
          </cell>
          <cell r="B108" t="str">
            <v>망나니개</v>
          </cell>
          <cell r="R108" t="str">
            <v>sJessi</v>
          </cell>
          <cell r="S108" t="str">
            <v>더컴퍼니</v>
          </cell>
        </row>
        <row r="109">
          <cell r="A109" t="str">
            <v>망북</v>
          </cell>
          <cell r="B109" t="str">
            <v>제외</v>
          </cell>
          <cell r="R109" t="str">
            <v>sJessi</v>
          </cell>
          <cell r="S109" t="str">
            <v>더컴퍼니</v>
          </cell>
        </row>
        <row r="110">
          <cell r="A110" t="str">
            <v>먼나무</v>
          </cell>
          <cell r="B110" t="str">
            <v>먼나무</v>
          </cell>
          <cell r="R110" t="str">
            <v>sJessi</v>
          </cell>
          <cell r="S110" t="str">
            <v>더컴퍼니</v>
          </cell>
        </row>
        <row r="111">
          <cell r="A111" t="str">
            <v>모리미</v>
          </cell>
          <cell r="B111" t="str">
            <v>모리미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모리미J</v>
          </cell>
          <cell r="B112" t="str">
            <v>모리미J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모험왕선우</v>
          </cell>
          <cell r="B113" t="str">
            <v>모험왕선우</v>
          </cell>
          <cell r="R113" t="str">
            <v>강산</v>
          </cell>
          <cell r="S113" t="str">
            <v>에필로그</v>
          </cell>
        </row>
        <row r="114">
          <cell r="A114" t="str">
            <v>목화커피</v>
          </cell>
          <cell r="B114" t="str">
            <v>목화커피</v>
          </cell>
          <cell r="R114" t="str">
            <v>강산</v>
          </cell>
          <cell r="S114" t="str">
            <v>에필로그</v>
          </cell>
        </row>
        <row r="115">
          <cell r="A115" t="str">
            <v>목화커피</v>
          </cell>
          <cell r="B115" t="str">
            <v>목화커피</v>
          </cell>
          <cell r="R115" t="str">
            <v>강산</v>
          </cell>
          <cell r="S115" t="str">
            <v>에필로그</v>
          </cell>
        </row>
        <row r="116">
          <cell r="A116" t="str">
            <v>몸서리</v>
          </cell>
          <cell r="B116" t="str">
            <v>몸서리</v>
          </cell>
          <cell r="R116" t="str">
            <v>강산</v>
          </cell>
          <cell r="S116" t="str">
            <v>에필로그</v>
          </cell>
        </row>
        <row r="117">
          <cell r="A117" t="str">
            <v>무성매직</v>
          </cell>
          <cell r="B117" t="str">
            <v>무성매직</v>
          </cell>
          <cell r="R117" t="str">
            <v>강산</v>
          </cell>
          <cell r="S117" t="str">
            <v>에필로그</v>
          </cell>
        </row>
        <row r="118">
          <cell r="A118" t="str">
            <v>무장</v>
          </cell>
          <cell r="B118" t="str">
            <v>무장</v>
          </cell>
          <cell r="R118" t="str">
            <v>강산</v>
          </cell>
          <cell r="S118" t="str">
            <v>에필로그</v>
          </cell>
        </row>
        <row r="119">
          <cell r="A119" t="str">
            <v>무장 (2)</v>
          </cell>
          <cell r="B119" t="str">
            <v>무장</v>
          </cell>
          <cell r="R119" t="str">
            <v>강산</v>
          </cell>
          <cell r="S119" t="str">
            <v>에필로그</v>
          </cell>
        </row>
        <row r="120">
          <cell r="A120" t="str">
            <v>문스톤</v>
          </cell>
          <cell r="B120" t="str">
            <v>문스톤</v>
          </cell>
          <cell r="R120" t="str">
            <v>강산</v>
          </cell>
          <cell r="S120" t="str">
            <v>에필로그</v>
          </cell>
        </row>
        <row r="121">
          <cell r="A121" t="str">
            <v>미나세 치호</v>
          </cell>
          <cell r="B121" t="str">
            <v>제외</v>
          </cell>
          <cell r="R121" t="str">
            <v>강산</v>
          </cell>
          <cell r="S121" t="str">
            <v>에필로그</v>
          </cell>
        </row>
        <row r="122">
          <cell r="A122" t="str">
            <v>밀리오리지널</v>
          </cell>
          <cell r="B122" t="str">
            <v>밀리</v>
          </cell>
          <cell r="R122" t="str">
            <v>강산</v>
          </cell>
          <cell r="S122" t="str">
            <v>에필로그</v>
          </cell>
        </row>
        <row r="123">
          <cell r="A123" t="str">
            <v>밀리의 서재</v>
          </cell>
          <cell r="B123" t="str">
            <v>밀리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밀리의서재</v>
          </cell>
          <cell r="B124" t="str">
            <v>밀리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밈스</v>
          </cell>
          <cell r="B125" t="str">
            <v>밈스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바나바다</v>
          </cell>
          <cell r="B126" t="str">
            <v>바나바다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박도아</v>
          </cell>
          <cell r="B127" t="str">
            <v>박도아</v>
          </cell>
          <cell r="R127" t="str">
            <v>백범</v>
          </cell>
          <cell r="S127" t="str">
            <v>에필로그</v>
          </cell>
        </row>
        <row r="128">
          <cell r="A128" t="str">
            <v>박도아</v>
          </cell>
          <cell r="B128" t="str">
            <v>박도아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발상</v>
          </cell>
          <cell r="B129" t="str">
            <v>발상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방울마마</v>
          </cell>
          <cell r="B130" t="str">
            <v>방울마마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배운만덕</v>
          </cell>
          <cell r="B131" t="str">
            <v>배운만덕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백열음</v>
          </cell>
          <cell r="B132" t="str">
            <v>백열음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백일하</v>
          </cell>
          <cell r="B133" t="str">
            <v>백일하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벗우</v>
          </cell>
          <cell r="B134" t="str">
            <v>벗우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봄별해</v>
          </cell>
          <cell r="B135" t="str">
            <v>봄별해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부엉이콩</v>
          </cell>
          <cell r="B136" t="str">
            <v>부엉이콩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불고기자리</v>
          </cell>
          <cell r="B137" t="str">
            <v>불고기자리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붕어빵</v>
          </cell>
          <cell r="B138" t="str">
            <v>붕어빵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블 루 스 카 이</v>
          </cell>
          <cell r="B139" t="str">
            <v>블 루 스 카 이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블라이스</v>
          </cell>
          <cell r="B140" t="str">
            <v>블라이스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블랙커피</v>
          </cell>
          <cell r="B141" t="str">
            <v>블랙커피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블루스카이</v>
          </cell>
          <cell r="B142" t="str">
            <v>블 루 스 카 이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비고</v>
          </cell>
          <cell r="B143" t="str">
            <v>비고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빡선생</v>
          </cell>
          <cell r="B144" t="str">
            <v>빡선생</v>
          </cell>
          <cell r="R144" t="str">
            <v>강산(江山)</v>
          </cell>
          <cell r="S144" t="str">
            <v>에필로그</v>
          </cell>
        </row>
        <row r="145">
          <cell r="A145" t="str">
            <v>빨강뽀뽀</v>
          </cell>
          <cell r="B145" t="str">
            <v>빨강뽀뽀</v>
          </cell>
          <cell r="R145" t="str">
            <v>강산(江山)</v>
          </cell>
          <cell r="S145" t="str">
            <v>에필로그</v>
          </cell>
        </row>
        <row r="146">
          <cell r="A146" t="str">
            <v>빵양이</v>
          </cell>
          <cell r="B146" t="str">
            <v>빵양이</v>
          </cell>
          <cell r="R146" t="str">
            <v>강산(江山)</v>
          </cell>
          <cell r="S146" t="str">
            <v>에필로그</v>
          </cell>
        </row>
        <row r="147">
          <cell r="A147" t="str">
            <v>사지현</v>
          </cell>
          <cell r="B147" t="str">
            <v>사지현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사틴</v>
          </cell>
          <cell r="B148" t="str">
            <v>더컴퍼니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새우깡조아</v>
          </cell>
          <cell r="B149" t="str">
            <v>새우깡조아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서강후</v>
          </cell>
          <cell r="B150" t="str">
            <v>서강후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서도연</v>
          </cell>
          <cell r="B151" t="str">
            <v>서도연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설화객잔 무장</v>
          </cell>
          <cell r="B152" t="str">
            <v>무장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설화객잔-무장</v>
          </cell>
          <cell r="B153" t="str">
            <v>무장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세상</v>
          </cell>
          <cell r="B154" t="str">
            <v>세상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세상1</v>
          </cell>
          <cell r="B155" t="str">
            <v>세상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세어</v>
          </cell>
          <cell r="B156" t="str">
            <v>세어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세움</v>
          </cell>
          <cell r="B157" t="str">
            <v>세움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세히</v>
          </cell>
          <cell r="B158" t="str">
            <v>세히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셔틀</v>
          </cell>
          <cell r="B159" t="str">
            <v>셔틀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손영목</v>
          </cell>
          <cell r="B160" t="str">
            <v>손영목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솜목화</v>
          </cell>
          <cell r="B161" t="str">
            <v>솜목화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쇠렌센</v>
          </cell>
          <cell r="B162" t="str">
            <v>쇠렌센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수레국화꽃말</v>
          </cell>
          <cell r="B163" t="str">
            <v>수레국화꽃말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수정과</v>
          </cell>
          <cell r="B164" t="str">
            <v>컨텐츠헤라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쉬즈노블</v>
          </cell>
          <cell r="B165" t="str">
            <v>더컴퍼니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스내치</v>
          </cell>
          <cell r="B166" t="str">
            <v>스내치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스토리숲</v>
          </cell>
          <cell r="B167" t="str">
            <v>스토리숲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스토리아크</v>
          </cell>
          <cell r="B168" t="str">
            <v>스토리아크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스토리위드</v>
          </cell>
          <cell r="B169" t="str">
            <v>스토리위드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스토리위즈</v>
          </cell>
          <cell r="B170" t="str">
            <v>스토리위즈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시계태엽오란씨</v>
          </cell>
          <cell r="B171" t="str">
            <v>시계태엽오란씨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시무</v>
          </cell>
          <cell r="B172" t="str">
            <v>제외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시무(蒔舞)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쏘삭쏘삭</v>
          </cell>
          <cell r="B174" t="str">
            <v>쏘삭쏘삭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아라시야마</v>
          </cell>
          <cell r="B175" t="str">
            <v>제외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아슈크림</v>
          </cell>
          <cell r="B176" t="str">
            <v>아슈크림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아이리스</v>
          </cell>
          <cell r="B177" t="str">
            <v>아이리스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아크스튜디오</v>
          </cell>
          <cell r="B178" t="str">
            <v>스토리아크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아타락시아</v>
          </cell>
          <cell r="B179" t="str">
            <v>아타락시아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알랙스</v>
          </cell>
          <cell r="B180" t="str">
            <v>알랙스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양이율</v>
          </cell>
          <cell r="B181" t="str">
            <v>양이율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에피</v>
          </cell>
          <cell r="B182" t="str">
            <v>에피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에필로그</v>
          </cell>
          <cell r="B183" t="str">
            <v>에필로그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엘리신</v>
          </cell>
          <cell r="B184" t="str">
            <v>엘리신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예로나</v>
          </cell>
          <cell r="B185" t="str">
            <v>예로나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온서</v>
          </cell>
          <cell r="B186" t="str">
            <v>온서</v>
          </cell>
          <cell r="R186" t="str">
            <v>강산(江山)</v>
          </cell>
          <cell r="S186" t="str">
            <v>에필로그</v>
          </cell>
        </row>
        <row r="187">
          <cell r="A187" t="str">
            <v>온서1</v>
          </cell>
          <cell r="B187" t="str">
            <v>온서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왕십리글쟁이</v>
          </cell>
          <cell r="B188" t="str">
            <v>왕십리글쟁이</v>
          </cell>
          <cell r="R188" t="str">
            <v>강산(江山)</v>
          </cell>
          <cell r="S188" t="str">
            <v>에필로그</v>
          </cell>
        </row>
        <row r="189">
          <cell r="A189" t="str">
            <v>羽宸寰(Uchenhu),林珮瑜(Lin Peiyu)</v>
          </cell>
          <cell r="B189" t="str">
            <v>제외</v>
          </cell>
          <cell r="R189" t="str">
            <v>강산(江山)</v>
          </cell>
          <cell r="S189" t="str">
            <v>에필로그</v>
          </cell>
        </row>
        <row r="190">
          <cell r="A190" t="str">
            <v>울트라미디어</v>
          </cell>
          <cell r="B190" t="str">
            <v>울트라미디어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원기공장</v>
          </cell>
          <cell r="B191" t="str">
            <v>제외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윈델</v>
          </cell>
          <cell r="B192" t="str">
            <v>윈델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유하영</v>
          </cell>
          <cell r="B193" t="str">
            <v>유하영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윤비밀</v>
          </cell>
          <cell r="B194" t="str">
            <v>윤비밀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은목서</v>
          </cell>
          <cell r="B195" t="str">
            <v>꽃잠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은지유</v>
          </cell>
          <cell r="B196" t="str">
            <v>은지유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이다겸</v>
          </cell>
          <cell r="B197" t="str">
            <v>더컴퍼니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이동열</v>
          </cell>
          <cell r="B198" t="str">
            <v>이동열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이로세</v>
          </cell>
          <cell r="B199" t="str">
            <v>이로세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이리안</v>
          </cell>
          <cell r="B200" t="str">
            <v>이리안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이린비</v>
          </cell>
          <cell r="B201" t="str">
            <v>이린비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이삼세&amp;자견</v>
          </cell>
          <cell r="B202" t="str">
            <v>제외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이상윤</v>
          </cell>
          <cell r="B203" t="str">
            <v>이상윤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이준영</v>
          </cell>
          <cell r="B204" t="str">
            <v>이준영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이한애비</v>
          </cell>
          <cell r="B205" t="str">
            <v>이한애비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일본IB</v>
          </cell>
          <cell r="B206" t="str">
            <v>제외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임영기</v>
          </cell>
          <cell r="B207" t="str">
            <v>제외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자이오</v>
          </cell>
          <cell r="B208" t="str">
            <v>스토리아크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장유진</v>
          </cell>
          <cell r="B209" t="str">
            <v>청빙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전여린</v>
          </cell>
          <cell r="B210" t="str">
            <v>전여린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전혁</v>
          </cell>
          <cell r="B211" t="str">
            <v>전혁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전혁1</v>
          </cell>
          <cell r="B212" t="str">
            <v>전혁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주이서</v>
          </cell>
          <cell r="B213" t="str">
            <v>주이서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중국IB</v>
          </cell>
          <cell r="B214" t="str">
            <v>제외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지미신</v>
          </cell>
          <cell r="B215" t="str">
            <v>지미신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지아진</v>
          </cell>
          <cell r="B216" t="str">
            <v>지아진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진문</v>
          </cell>
          <cell r="B217" t="str">
            <v>진문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진새벽</v>
          </cell>
          <cell r="B218" t="str">
            <v>진새벽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진숙</v>
          </cell>
          <cell r="B219" t="str">
            <v>진숙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진엔터</v>
          </cell>
          <cell r="B220" t="str">
            <v>진엔터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징구빙구</v>
          </cell>
          <cell r="B221" t="str">
            <v>징구빙구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차홍주</v>
          </cell>
          <cell r="B222" t="str">
            <v>차홍주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찬동</v>
          </cell>
          <cell r="B223" t="str">
            <v>찬동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채주아</v>
          </cell>
          <cell r="B224" t="str">
            <v>채주아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청빙</v>
          </cell>
          <cell r="B225" t="str">
            <v>청빙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최도비</v>
          </cell>
          <cell r="B226" t="str">
            <v>컨텐츠헤라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최도비 수정과</v>
          </cell>
          <cell r="B227" t="str">
            <v>컨텐츠헤라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최도비,수정과</v>
          </cell>
          <cell r="B228" t="str">
            <v>컨텐츠헤라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최영진(청빙)</v>
          </cell>
          <cell r="B229" t="str">
            <v>청빙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칸테츠,미나세 치호</v>
          </cell>
          <cell r="B230" t="str">
            <v>제외</v>
          </cell>
          <cell r="R230" t="str">
            <v>강산(江山)</v>
          </cell>
          <cell r="S230" t="str">
            <v>에필로그</v>
          </cell>
        </row>
        <row r="231">
          <cell r="A231" t="str">
            <v>캐로티</v>
          </cell>
          <cell r="B231" t="str">
            <v>캐로티</v>
          </cell>
          <cell r="R231" t="str">
            <v>강산(江山)</v>
          </cell>
          <cell r="S231" t="str">
            <v>에필로그</v>
          </cell>
        </row>
        <row r="232">
          <cell r="A232" t="str">
            <v>컨헤라</v>
          </cell>
          <cell r="B232" t="str">
            <v>컨텐츠헤라</v>
          </cell>
          <cell r="R232" t="str">
            <v>강산(江山)</v>
          </cell>
          <cell r="S232" t="str">
            <v>에필로그</v>
          </cell>
        </row>
        <row r="233">
          <cell r="A233" t="str">
            <v>키시모토 카즈하,아라시야마,시마하라</v>
          </cell>
          <cell r="B233" t="str">
            <v>제외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탁윤</v>
          </cell>
          <cell r="B234" t="str">
            <v>탁윤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태랑</v>
          </cell>
          <cell r="B235" t="str">
            <v>태랑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태룡(泰龍)</v>
          </cell>
          <cell r="B236" t="str">
            <v>더컴퍼니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테레자</v>
          </cell>
          <cell r="B237" t="str">
            <v>테레자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투니드엔터테인먼트</v>
          </cell>
          <cell r="B238" t="str">
            <v>투니드엔터테인먼트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틴타</v>
          </cell>
          <cell r="B239" t="str">
            <v>틴타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파란영</v>
          </cell>
          <cell r="B240" t="str">
            <v>파란영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파란코끼리</v>
          </cell>
          <cell r="B241" t="str">
            <v>파란코끼리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파란코끼리</v>
          </cell>
          <cell r="B242" t="str">
            <v>파란코끼리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파란코끼리</v>
          </cell>
          <cell r="B243" t="str">
            <v>파란코끼리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파인트리</v>
          </cell>
          <cell r="B244" t="str">
            <v>파인트리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파인트리 &amp; 페일핑크 &amp; 랑새 &amp; 지미신 &amp; 채주아</v>
          </cell>
          <cell r="B245" t="str">
            <v>파인트리 &amp; 페일핑크 &amp; 랑새 &amp; 지미신 &amp; 채주아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판무림3(로드오브머니)</v>
          </cell>
          <cell r="B246" t="str">
            <v>무장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퍼리딩딩</v>
          </cell>
          <cell r="B247" t="str">
            <v>퍼리딩딩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퍼플캐롯</v>
          </cell>
          <cell r="B248" t="str">
            <v>퍼플캐롯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펌킨몬</v>
          </cell>
          <cell r="B249" t="str">
            <v>펌킨몬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페일핑크</v>
          </cell>
          <cell r="B250" t="str">
            <v>페일핑크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폴딩</v>
          </cell>
          <cell r="B251" t="str">
            <v>폴딩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프레인</v>
          </cell>
          <cell r="B252" t="str">
            <v>프레인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피모</v>
          </cell>
          <cell r="B253" t="str">
            <v>더컴퍼니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하이후</v>
          </cell>
          <cell r="B254" t="str">
            <v>하이후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한례</v>
          </cell>
          <cell r="B255" t="str">
            <v>한례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한보연</v>
          </cell>
          <cell r="B256" t="str">
            <v>한보연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한서나</v>
          </cell>
          <cell r="B257" t="str">
            <v>한서나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한서아</v>
          </cell>
          <cell r="B258" t="str">
            <v>한서아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해달화영</v>
          </cell>
          <cell r="B259" t="str">
            <v>해달화영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해은빛</v>
          </cell>
          <cell r="B260" t="str">
            <v>해은빛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허니레몬</v>
          </cell>
          <cell r="B261" t="str">
            <v>아이리스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헬로미니</v>
          </cell>
          <cell r="B262" t="str">
            <v>헬로미니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혜원</v>
          </cell>
          <cell r="B263" t="str">
            <v>컨텐츠헤라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홍연유</v>
          </cell>
          <cell r="B264" t="str">
            <v>홍연유</v>
          </cell>
          <cell r="R264" t="str">
            <v>강산(江山)</v>
          </cell>
          <cell r="S264" t="str">
            <v>에필로그</v>
          </cell>
        </row>
        <row r="265">
          <cell r="A265" t="str">
            <v>화방,망북</v>
          </cell>
          <cell r="B265" t="str">
            <v>제외</v>
          </cell>
          <cell r="R265" t="str">
            <v>강산(江山)</v>
          </cell>
          <cell r="S265" t="str">
            <v>에필로그</v>
          </cell>
        </row>
        <row r="266">
          <cell r="A266" t="str">
            <v>히즈노블</v>
          </cell>
          <cell r="B266" t="str">
            <v>더컴퍼니</v>
          </cell>
          <cell r="R266" t="str">
            <v>강산(江山)</v>
          </cell>
          <cell r="S266" t="str">
            <v>에필로그</v>
          </cell>
        </row>
        <row r="267">
          <cell r="A267" t="str">
            <v>웹티, 올코</v>
          </cell>
          <cell r="B267" t="str">
            <v>올콘텐츠앤브이알</v>
          </cell>
          <cell r="R267" t="str">
            <v>강산(江山)</v>
          </cell>
          <cell r="S267" t="str">
            <v>에필로그</v>
          </cell>
        </row>
        <row r="268"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밀리의 서재</v>
          </cell>
        </row>
        <row r="1142">
          <cell r="R1142" t="str">
            <v>밀리의 서재</v>
          </cell>
          <cell r="S1142" t="str">
            <v>밀리의 서재</v>
          </cell>
        </row>
        <row r="1143">
          <cell r="R1143" t="str">
            <v>밀리의서재</v>
          </cell>
          <cell r="S1143" t="str">
            <v>밀리의 서재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  <row r="1167">
          <cell r="R1167" t="str">
            <v>이파람</v>
          </cell>
          <cell r="S1167" t="str">
            <v>밀리의 서재</v>
          </cell>
        </row>
        <row r="1168">
          <cell r="R1168" t="str">
            <v>명우</v>
          </cell>
          <cell r="S1168" t="str">
            <v>밀리의 서재</v>
          </cell>
        </row>
        <row r="1169">
          <cell r="R1169" t="str">
            <v>서정윤</v>
          </cell>
          <cell r="S1169" t="str">
            <v>밀리의 서재</v>
          </cell>
        </row>
        <row r="1170">
          <cell r="R1170" t="str">
            <v>트리플베리</v>
          </cell>
          <cell r="S1170" t="str">
            <v>밀리의 서재</v>
          </cell>
        </row>
        <row r="1171">
          <cell r="R1171" t="str">
            <v>차연유</v>
          </cell>
          <cell r="S1171" t="str">
            <v>밀리의 서재</v>
          </cell>
        </row>
        <row r="1172">
          <cell r="R1172" t="str">
            <v>이윤미</v>
          </cell>
          <cell r="S1172" t="str">
            <v>밀리의 서재</v>
          </cell>
        </row>
        <row r="1173">
          <cell r="R1173" t="str">
            <v>이새인</v>
          </cell>
          <cell r="S1173" t="str">
            <v>밀리의 서재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47"/>
  <sheetViews>
    <sheetView tabSelected="1" zoomScale="86" zoomScaleNormal="86" workbookViewId="0">
      <selection activeCell="H9" sqref="H9"/>
    </sheetView>
  </sheetViews>
  <sheetFormatPr defaultColWidth="8.69921875" defaultRowHeight="17.399999999999999" x14ac:dyDescent="0.4"/>
  <cols>
    <col min="1" max="1" width="7.59765625" style="1" customWidth="1"/>
    <col min="2" max="2" width="8.69921875" style="1"/>
    <col min="3" max="3" width="6.19921875" style="1" customWidth="1"/>
    <col min="4" max="4" width="8.69921875" style="1"/>
    <col min="5" max="5" width="8.69921875" style="3"/>
    <col min="6" max="6" width="9.19921875" style="1" bestFit="1" customWidth="1"/>
    <col min="7" max="7" width="9.3984375" style="1" bestFit="1" customWidth="1"/>
    <col min="8" max="8" width="11.69921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7" width="8.69921875" style="1"/>
    <col min="18" max="18" width="11.59765625" style="6" bestFit="1" customWidth="1"/>
    <col min="19" max="19" width="12" style="1" customWidth="1"/>
    <col min="20" max="20" width="10" style="1" bestFit="1" customWidth="1"/>
    <col min="21" max="16384" width="8.69921875" style="1"/>
  </cols>
  <sheetData>
    <row r="1" spans="1:20" ht="16.95" customHeight="1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26</v>
      </c>
      <c r="D2" s="4" t="s">
        <v>82</v>
      </c>
      <c r="E2" s="4" t="s">
        <v>83</v>
      </c>
      <c r="F2" s="4" t="s">
        <v>27</v>
      </c>
      <c r="G2" s="4" t="s">
        <v>4</v>
      </c>
      <c r="H2" s="4">
        <v>581</v>
      </c>
      <c r="I2" s="4" t="s">
        <v>28</v>
      </c>
      <c r="J2" s="4" t="s">
        <v>30</v>
      </c>
      <c r="K2" s="4">
        <v>100</v>
      </c>
      <c r="L2" s="4">
        <v>100</v>
      </c>
      <c r="M2" s="4">
        <v>2500</v>
      </c>
      <c r="N2" s="4">
        <v>25</v>
      </c>
      <c r="O2" s="4">
        <v>2500</v>
      </c>
      <c r="P2" s="4">
        <v>2500</v>
      </c>
      <c r="Q2" s="4">
        <v>70</v>
      </c>
      <c r="R2" s="8">
        <v>1750</v>
      </c>
      <c r="S2" s="16" t="str">
        <f>IF(ISERROR(VLOOKUP(G2,[1]작가별정산률!$R:$S,2,0)),"스토리위즈",VLOOKUP(G2,[1]작가별정산률!$R:$S,2,0))</f>
        <v>스토리위즈</v>
      </c>
      <c r="T2" s="16" t="str">
        <f>IF(S2="스토리위즈",VLOOKUP(G2,[1]작가별정산률!$A:$B,2,0),S2)</f>
        <v>무장</v>
      </c>
    </row>
    <row r="3" spans="1:20" x14ac:dyDescent="0.4">
      <c r="A3" s="4" t="s">
        <v>25</v>
      </c>
      <c r="B3" s="4" t="s">
        <v>0</v>
      </c>
      <c r="C3" s="4" t="s">
        <v>26</v>
      </c>
      <c r="D3" s="4" t="s">
        <v>82</v>
      </c>
      <c r="E3" s="4" t="s">
        <v>83</v>
      </c>
      <c r="F3" s="4" t="s">
        <v>27</v>
      </c>
      <c r="G3" s="4" t="s">
        <v>4</v>
      </c>
      <c r="H3" s="4">
        <v>581</v>
      </c>
      <c r="I3" s="4" t="s">
        <v>28</v>
      </c>
      <c r="J3" s="4" t="s">
        <v>30</v>
      </c>
      <c r="K3" s="4">
        <v>100</v>
      </c>
      <c r="L3" s="4">
        <v>100</v>
      </c>
      <c r="M3" s="4">
        <v>2000</v>
      </c>
      <c r="N3" s="4">
        <v>20</v>
      </c>
      <c r="O3" s="4">
        <v>2000</v>
      </c>
      <c r="P3" s="4">
        <v>2000</v>
      </c>
      <c r="Q3" s="4">
        <v>70</v>
      </c>
      <c r="R3" s="8">
        <v>1400</v>
      </c>
      <c r="S3" s="16" t="str">
        <f>IF(ISERROR(VLOOKUP(G3,[1]작가별정산률!$R:$S,2,0)),"스토리위즈",VLOOKUP(G3,[1]작가별정산률!$R:$S,2,0))</f>
        <v>스토리위즈</v>
      </c>
      <c r="T3" s="16" t="str">
        <f>IF(S3="스토리위즈",VLOOKUP(G3,[1]작가별정산률!$A:$B,2,0),S3)</f>
        <v>무장</v>
      </c>
    </row>
    <row r="4" spans="1:20" x14ac:dyDescent="0.4">
      <c r="A4" s="4" t="s">
        <v>25</v>
      </c>
      <c r="B4" s="4" t="s">
        <v>0</v>
      </c>
      <c r="C4" s="4" t="s">
        <v>26</v>
      </c>
      <c r="D4" s="4" t="s">
        <v>82</v>
      </c>
      <c r="E4" s="4" t="s">
        <v>83</v>
      </c>
      <c r="F4" s="4" t="s">
        <v>32</v>
      </c>
      <c r="G4" s="4" t="s">
        <v>4</v>
      </c>
      <c r="H4" s="4">
        <v>581</v>
      </c>
      <c r="I4" s="4" t="s">
        <v>28</v>
      </c>
      <c r="J4" s="4" t="s">
        <v>30</v>
      </c>
      <c r="K4" s="4">
        <v>100</v>
      </c>
      <c r="L4" s="4">
        <v>100</v>
      </c>
      <c r="M4" s="4">
        <v>8500</v>
      </c>
      <c r="N4" s="4">
        <v>85</v>
      </c>
      <c r="O4" s="4">
        <v>8500</v>
      </c>
      <c r="P4" s="4">
        <v>8500</v>
      </c>
      <c r="Q4" s="4">
        <v>70</v>
      </c>
      <c r="R4" s="8">
        <v>5950</v>
      </c>
      <c r="S4" s="16" t="str">
        <f>IF(ISERROR(VLOOKUP(G4,[1]작가별정산률!$R:$S,2,0)),"스토리위즈",VLOOKUP(G4,[1]작가별정산률!$R:$S,2,0))</f>
        <v>스토리위즈</v>
      </c>
      <c r="T4" s="16" t="str">
        <f>IF(S4="스토리위즈",VLOOKUP(G4,[1]작가별정산률!$A:$B,2,0),S4)</f>
        <v>무장</v>
      </c>
    </row>
    <row r="5" spans="1:20" x14ac:dyDescent="0.4">
      <c r="A5" s="4" t="s">
        <v>25</v>
      </c>
      <c r="B5" s="4" t="s">
        <v>0</v>
      </c>
      <c r="C5" s="4" t="s">
        <v>93</v>
      </c>
      <c r="D5" s="4" t="s">
        <v>130</v>
      </c>
      <c r="E5" s="4" t="s">
        <v>131</v>
      </c>
      <c r="F5" s="4" t="s">
        <v>27</v>
      </c>
      <c r="G5" s="4" t="s">
        <v>4</v>
      </c>
      <c r="H5" s="4">
        <v>262</v>
      </c>
      <c r="I5" s="4" t="s">
        <v>28</v>
      </c>
      <c r="J5" s="4" t="s">
        <v>30</v>
      </c>
      <c r="K5" s="4">
        <v>100</v>
      </c>
      <c r="L5" s="4">
        <v>100</v>
      </c>
      <c r="M5" s="4">
        <v>400</v>
      </c>
      <c r="N5" s="4">
        <v>4</v>
      </c>
      <c r="O5" s="4">
        <v>400</v>
      </c>
      <c r="P5" s="4">
        <v>400</v>
      </c>
      <c r="Q5" s="4">
        <v>70</v>
      </c>
      <c r="R5" s="8">
        <v>280</v>
      </c>
      <c r="S5" s="16" t="str">
        <f>IF(ISERROR(VLOOKUP(G5,[1]작가별정산률!$R:$S,2,0)),"스토리위즈",VLOOKUP(G5,[1]작가별정산률!$R:$S,2,0))</f>
        <v>스토리위즈</v>
      </c>
      <c r="T5" s="16" t="str">
        <f>IF(S5="스토리위즈",VLOOKUP(G5,[1]작가별정산률!$A:$B,2,0),S5)</f>
        <v>무장</v>
      </c>
    </row>
    <row r="6" spans="1:20" x14ac:dyDescent="0.4">
      <c r="A6" s="4" t="s">
        <v>25</v>
      </c>
      <c r="B6" s="4" t="s">
        <v>3</v>
      </c>
      <c r="C6" s="4" t="s">
        <v>33</v>
      </c>
      <c r="D6" s="4" t="s">
        <v>132</v>
      </c>
      <c r="E6" s="4" t="s">
        <v>133</v>
      </c>
      <c r="F6" s="4" t="s">
        <v>27</v>
      </c>
      <c r="G6" s="4" t="s">
        <v>84</v>
      </c>
      <c r="H6" s="4">
        <v>67</v>
      </c>
      <c r="I6" s="4" t="s">
        <v>28</v>
      </c>
      <c r="J6" s="4" t="s">
        <v>30</v>
      </c>
      <c r="K6" s="4">
        <v>100</v>
      </c>
      <c r="L6" s="4">
        <v>100</v>
      </c>
      <c r="M6" s="4">
        <v>11100</v>
      </c>
      <c r="N6" s="4">
        <v>111</v>
      </c>
      <c r="O6" s="4">
        <v>11100</v>
      </c>
      <c r="P6" s="4">
        <v>11100</v>
      </c>
      <c r="Q6" s="4">
        <v>70</v>
      </c>
      <c r="R6" s="8">
        <v>7770</v>
      </c>
      <c r="S6" s="16" t="str">
        <f>IF(ISERROR(VLOOKUP(G6,[1]작가별정산률!$R:$S,2,0)),"스토리위즈",VLOOKUP(G6,[1]작가별정산률!$R:$S,2,0))</f>
        <v>스토리위즈</v>
      </c>
      <c r="T6" s="16" t="str">
        <f>IF(S6="스토리위즈",VLOOKUP(G6,[1]작가별정산률!$A:$B,2,0),S6)</f>
        <v>모리미</v>
      </c>
    </row>
    <row r="7" spans="1:20" x14ac:dyDescent="0.4">
      <c r="A7" s="4" t="s">
        <v>25</v>
      </c>
      <c r="B7" s="4" t="s">
        <v>1</v>
      </c>
      <c r="C7" s="4" t="s">
        <v>35</v>
      </c>
      <c r="D7" s="4" t="s">
        <v>134</v>
      </c>
      <c r="E7" s="4" t="s">
        <v>135</v>
      </c>
      <c r="F7" s="4" t="s">
        <v>34</v>
      </c>
      <c r="G7" s="4" t="s">
        <v>136</v>
      </c>
      <c r="H7" s="4">
        <v>414</v>
      </c>
      <c r="I7" s="4" t="s">
        <v>28</v>
      </c>
      <c r="J7" s="4" t="s">
        <v>29</v>
      </c>
      <c r="K7" s="4">
        <v>100</v>
      </c>
      <c r="L7" s="4">
        <v>100</v>
      </c>
      <c r="M7" s="4">
        <v>100</v>
      </c>
      <c r="N7" s="4">
        <v>1</v>
      </c>
      <c r="O7" s="4">
        <v>100</v>
      </c>
      <c r="P7" s="4">
        <v>100</v>
      </c>
      <c r="Q7" s="4">
        <v>70</v>
      </c>
      <c r="R7" s="8">
        <v>70</v>
      </c>
      <c r="S7" s="16" t="str">
        <f>IF(ISERROR(VLOOKUP(G7,[1]작가별정산률!$R:$S,2,0)),"스토리위즈",VLOOKUP(G7,[1]작가별정산률!$R:$S,2,0))</f>
        <v>에필로그</v>
      </c>
      <c r="T7" s="16" t="str">
        <f>IF(S7="스토리위즈",VLOOKUP(G7,[1]작가별정산률!$A:$B,2,0),S7)</f>
        <v>에필로그</v>
      </c>
    </row>
    <row r="8" spans="1:20" x14ac:dyDescent="0.4">
      <c r="A8" s="4" t="s">
        <v>25</v>
      </c>
      <c r="B8" s="4" t="s">
        <v>1</v>
      </c>
      <c r="C8" s="4" t="s">
        <v>35</v>
      </c>
      <c r="D8" s="4" t="s">
        <v>134</v>
      </c>
      <c r="E8" s="4" t="s">
        <v>135</v>
      </c>
      <c r="F8" s="4" t="s">
        <v>34</v>
      </c>
      <c r="G8" s="4" t="s">
        <v>136</v>
      </c>
      <c r="H8" s="4">
        <v>414</v>
      </c>
      <c r="I8" s="4" t="s">
        <v>28</v>
      </c>
      <c r="J8" s="4" t="s">
        <v>30</v>
      </c>
      <c r="K8" s="4">
        <v>100</v>
      </c>
      <c r="L8" s="4">
        <v>100</v>
      </c>
      <c r="M8" s="4">
        <v>10200</v>
      </c>
      <c r="N8" s="4">
        <v>102</v>
      </c>
      <c r="O8" s="4">
        <v>10200</v>
      </c>
      <c r="P8" s="4">
        <v>10200</v>
      </c>
      <c r="Q8" s="4">
        <v>70</v>
      </c>
      <c r="R8" s="8">
        <v>7140</v>
      </c>
      <c r="S8" s="16" t="str">
        <f>IF(ISERROR(VLOOKUP(G8,[1]작가별정산률!$R:$S,2,0)),"스토리위즈",VLOOKUP(G8,[1]작가별정산률!$R:$S,2,0))</f>
        <v>에필로그</v>
      </c>
      <c r="T8" s="16" t="str">
        <f>IF(S8="스토리위즈",VLOOKUP(G8,[1]작가별정산률!$A:$B,2,0),S8)</f>
        <v>에필로그</v>
      </c>
    </row>
    <row r="9" spans="1:20" x14ac:dyDescent="0.4">
      <c r="A9" s="4" t="s">
        <v>25</v>
      </c>
      <c r="B9" s="4" t="s">
        <v>3</v>
      </c>
      <c r="C9" s="4" t="s">
        <v>33</v>
      </c>
      <c r="D9" s="4" t="s">
        <v>85</v>
      </c>
      <c r="E9" s="4" t="s">
        <v>86</v>
      </c>
      <c r="F9" s="4" t="s">
        <v>27</v>
      </c>
      <c r="G9" s="4" t="s">
        <v>84</v>
      </c>
      <c r="H9" s="4">
        <v>65</v>
      </c>
      <c r="I9" s="4" t="s">
        <v>28</v>
      </c>
      <c r="J9" s="4" t="s">
        <v>30</v>
      </c>
      <c r="K9" s="4">
        <v>100</v>
      </c>
      <c r="L9" s="4">
        <v>100</v>
      </c>
      <c r="M9" s="4">
        <v>5600</v>
      </c>
      <c r="N9" s="4">
        <v>56</v>
      </c>
      <c r="O9" s="4">
        <v>5600</v>
      </c>
      <c r="P9" s="4">
        <v>5600</v>
      </c>
      <c r="Q9" s="4">
        <v>70</v>
      </c>
      <c r="R9" s="8">
        <v>3920</v>
      </c>
      <c r="S9" s="16" t="str">
        <f>IF(ISERROR(VLOOKUP(G9,[1]작가별정산률!$R:$S,2,0)),"스토리위즈",VLOOKUP(G9,[1]작가별정산률!$R:$S,2,0))</f>
        <v>스토리위즈</v>
      </c>
      <c r="T9" s="16" t="str">
        <f>IF(S9="스토리위즈",VLOOKUP(G9,[1]작가별정산률!$A:$B,2,0),S9)</f>
        <v>모리미</v>
      </c>
    </row>
    <row r="10" spans="1:20" x14ac:dyDescent="0.4">
      <c r="A10" s="4" t="s">
        <v>25</v>
      </c>
      <c r="B10" s="4" t="s">
        <v>3</v>
      </c>
      <c r="C10" s="4" t="s">
        <v>33</v>
      </c>
      <c r="D10" s="4" t="s">
        <v>85</v>
      </c>
      <c r="E10" s="4" t="s">
        <v>86</v>
      </c>
      <c r="F10" s="4" t="s">
        <v>27</v>
      </c>
      <c r="G10" s="4" t="s">
        <v>84</v>
      </c>
      <c r="H10" s="4">
        <v>65</v>
      </c>
      <c r="I10" s="4" t="s">
        <v>28</v>
      </c>
      <c r="J10" s="4" t="s">
        <v>30</v>
      </c>
      <c r="K10" s="4">
        <v>100</v>
      </c>
      <c r="L10" s="4">
        <v>100</v>
      </c>
      <c r="M10" s="4">
        <v>4500</v>
      </c>
      <c r="N10" s="4">
        <v>45</v>
      </c>
      <c r="O10" s="4">
        <v>4500</v>
      </c>
      <c r="P10" s="4">
        <v>4500</v>
      </c>
      <c r="Q10" s="4">
        <v>70</v>
      </c>
      <c r="R10" s="8">
        <v>3150</v>
      </c>
      <c r="S10" s="16" t="str">
        <f>IF(ISERROR(VLOOKUP(G10,[1]작가별정산률!$R:$S,2,0)),"스토리위즈",VLOOKUP(G10,[1]작가별정산률!$R:$S,2,0))</f>
        <v>스토리위즈</v>
      </c>
      <c r="T10" s="16" t="str">
        <f>IF(S10="스토리위즈",VLOOKUP(G10,[1]작가별정산률!$A:$B,2,0),S10)</f>
        <v>모리미</v>
      </c>
    </row>
    <row r="11" spans="1:20" x14ac:dyDescent="0.4">
      <c r="A11" s="4" t="s">
        <v>25</v>
      </c>
      <c r="B11" s="4" t="s">
        <v>0</v>
      </c>
      <c r="C11" s="4" t="s">
        <v>31</v>
      </c>
      <c r="D11" s="4" t="s">
        <v>87</v>
      </c>
      <c r="E11" s="4" t="s">
        <v>88</v>
      </c>
      <c r="F11" s="4" t="s">
        <v>27</v>
      </c>
      <c r="G11" s="4" t="s">
        <v>89</v>
      </c>
      <c r="H11" s="4">
        <v>261</v>
      </c>
      <c r="I11" s="4" t="s">
        <v>28</v>
      </c>
      <c r="J11" s="4" t="s">
        <v>30</v>
      </c>
      <c r="K11" s="4">
        <v>100</v>
      </c>
      <c r="L11" s="4">
        <v>100</v>
      </c>
      <c r="M11" s="4">
        <v>19200</v>
      </c>
      <c r="N11" s="4">
        <v>192</v>
      </c>
      <c r="O11" s="4">
        <v>19200</v>
      </c>
      <c r="P11" s="4">
        <v>19200</v>
      </c>
      <c r="Q11" s="4">
        <v>70</v>
      </c>
      <c r="R11" s="8">
        <v>13440</v>
      </c>
      <c r="S11" s="16" t="str">
        <f>IF(ISERROR(VLOOKUP(G11,[1]작가별정산률!$R:$S,2,0)),"스토리위즈",VLOOKUP(G11,[1]작가별정산률!$R:$S,2,0))</f>
        <v>스토리위즈</v>
      </c>
      <c r="T11" s="16" t="str">
        <f>IF(S11="스토리위즈",VLOOKUP(G11,[1]작가별정산률!$A:$B,2,0),S11)</f>
        <v>루이세</v>
      </c>
    </row>
    <row r="12" spans="1:20" x14ac:dyDescent="0.4">
      <c r="A12" s="4" t="s">
        <v>25</v>
      </c>
      <c r="B12" s="4" t="s">
        <v>0</v>
      </c>
      <c r="C12" s="4" t="s">
        <v>26</v>
      </c>
      <c r="D12" s="4" t="s">
        <v>5</v>
      </c>
      <c r="E12" s="4" t="s">
        <v>6</v>
      </c>
      <c r="F12" s="4" t="s">
        <v>34</v>
      </c>
      <c r="G12" s="4" t="s">
        <v>2</v>
      </c>
      <c r="H12" s="4">
        <v>1309</v>
      </c>
      <c r="I12" s="4" t="s">
        <v>28</v>
      </c>
      <c r="J12" s="4" t="s">
        <v>30</v>
      </c>
      <c r="K12" s="4">
        <v>100</v>
      </c>
      <c r="L12" s="4">
        <v>100</v>
      </c>
      <c r="M12" s="4">
        <v>11700</v>
      </c>
      <c r="N12" s="4">
        <v>117</v>
      </c>
      <c r="O12" s="4">
        <v>11700</v>
      </c>
      <c r="P12" s="4">
        <v>11700</v>
      </c>
      <c r="Q12" s="4">
        <v>70</v>
      </c>
      <c r="R12" s="8">
        <v>8190</v>
      </c>
      <c r="S12" s="16" t="str">
        <f>IF(ISERROR(VLOOKUP(G12,[1]작가별정산률!$R:$S,2,0)),"스토리위즈",VLOOKUP(G12,[1]작가별정산률!$R:$S,2,0))</f>
        <v>스토리위즈</v>
      </c>
      <c r="T12" s="16" t="str">
        <f>IF(S12="스토리위즈",VLOOKUP(G12,[1]작가별정산률!$A:$B,2,0),S12)</f>
        <v>김광수</v>
      </c>
    </row>
    <row r="13" spans="1:20" x14ac:dyDescent="0.4">
      <c r="A13" s="4" t="s">
        <v>25</v>
      </c>
      <c r="B13" s="4" t="s">
        <v>0</v>
      </c>
      <c r="C13" s="4" t="s">
        <v>26</v>
      </c>
      <c r="D13" s="4" t="s">
        <v>5</v>
      </c>
      <c r="E13" s="4" t="s">
        <v>6</v>
      </c>
      <c r="F13" s="4" t="s">
        <v>27</v>
      </c>
      <c r="G13" s="4" t="s">
        <v>2</v>
      </c>
      <c r="H13" s="4">
        <v>1309</v>
      </c>
      <c r="I13" s="4" t="s">
        <v>28</v>
      </c>
      <c r="J13" s="4" t="s">
        <v>30</v>
      </c>
      <c r="K13" s="4">
        <v>100</v>
      </c>
      <c r="L13" s="4">
        <v>100</v>
      </c>
      <c r="M13" s="4">
        <v>4200</v>
      </c>
      <c r="N13" s="4">
        <v>42</v>
      </c>
      <c r="O13" s="4">
        <v>4200</v>
      </c>
      <c r="P13" s="4">
        <v>4200</v>
      </c>
      <c r="Q13" s="4">
        <v>70</v>
      </c>
      <c r="R13" s="8">
        <v>2940</v>
      </c>
      <c r="S13" s="16" t="str">
        <f>IF(ISERROR(VLOOKUP(G13,[1]작가별정산률!$R:$S,2,0)),"스토리위즈",VLOOKUP(G13,[1]작가별정산률!$R:$S,2,0))</f>
        <v>스토리위즈</v>
      </c>
      <c r="T13" s="16" t="str">
        <f>IF(S13="스토리위즈",VLOOKUP(G13,[1]작가별정산률!$A:$B,2,0),S13)</f>
        <v>김광수</v>
      </c>
    </row>
    <row r="14" spans="1:20" x14ac:dyDescent="0.4">
      <c r="A14" s="4" t="s">
        <v>25</v>
      </c>
      <c r="B14" s="4" t="s">
        <v>0</v>
      </c>
      <c r="C14" s="4" t="s">
        <v>26</v>
      </c>
      <c r="D14" s="4" t="s">
        <v>5</v>
      </c>
      <c r="E14" s="4" t="s">
        <v>6</v>
      </c>
      <c r="F14" s="4" t="s">
        <v>27</v>
      </c>
      <c r="G14" s="4" t="s">
        <v>2</v>
      </c>
      <c r="H14" s="4">
        <v>1309</v>
      </c>
      <c r="I14" s="4" t="s">
        <v>28</v>
      </c>
      <c r="J14" s="4" t="s">
        <v>30</v>
      </c>
      <c r="K14" s="4">
        <v>100</v>
      </c>
      <c r="L14" s="4">
        <v>100</v>
      </c>
      <c r="M14" s="4">
        <v>3900</v>
      </c>
      <c r="N14" s="4">
        <v>39</v>
      </c>
      <c r="O14" s="4">
        <v>3900</v>
      </c>
      <c r="P14" s="4">
        <v>3900</v>
      </c>
      <c r="Q14" s="4">
        <v>70</v>
      </c>
      <c r="R14" s="8">
        <v>2730</v>
      </c>
      <c r="S14" s="16" t="str">
        <f>IF(ISERROR(VLOOKUP(G14,[1]작가별정산률!$R:$S,2,0)),"스토리위즈",VLOOKUP(G14,[1]작가별정산률!$R:$S,2,0))</f>
        <v>스토리위즈</v>
      </c>
      <c r="T14" s="16" t="str">
        <f>IF(S14="스토리위즈",VLOOKUP(G14,[1]작가별정산률!$A:$B,2,0),S14)</f>
        <v>김광수</v>
      </c>
    </row>
    <row r="15" spans="1:20" x14ac:dyDescent="0.4">
      <c r="A15" s="4" t="s">
        <v>25</v>
      </c>
      <c r="B15" s="4" t="s">
        <v>1</v>
      </c>
      <c r="C15" s="4" t="s">
        <v>35</v>
      </c>
      <c r="D15" s="4" t="s">
        <v>137</v>
      </c>
      <c r="E15" s="4" t="s">
        <v>138</v>
      </c>
      <c r="F15" s="4" t="s">
        <v>27</v>
      </c>
      <c r="G15" s="4" t="s">
        <v>2</v>
      </c>
      <c r="H15" s="4">
        <v>180</v>
      </c>
      <c r="I15" s="4" t="s">
        <v>28</v>
      </c>
      <c r="J15" s="4" t="s">
        <v>30</v>
      </c>
      <c r="K15" s="4">
        <v>100</v>
      </c>
      <c r="L15" s="4">
        <v>100</v>
      </c>
      <c r="M15" s="4">
        <v>15200</v>
      </c>
      <c r="N15" s="4">
        <v>152</v>
      </c>
      <c r="O15" s="4">
        <v>15200</v>
      </c>
      <c r="P15" s="4">
        <v>15200</v>
      </c>
      <c r="Q15" s="4">
        <v>70</v>
      </c>
      <c r="R15" s="8">
        <v>10640</v>
      </c>
      <c r="S15" s="16" t="str">
        <f>IF(ISERROR(VLOOKUP(G15,[1]작가별정산률!$R:$S,2,0)),"스토리위즈",VLOOKUP(G15,[1]작가별정산률!$R:$S,2,0))</f>
        <v>스토리위즈</v>
      </c>
      <c r="T15" s="16" t="str">
        <f>IF(S15="스토리위즈",VLOOKUP(G15,[1]작가별정산률!$A:$B,2,0),S15)</f>
        <v>김광수</v>
      </c>
    </row>
    <row r="16" spans="1:20" x14ac:dyDescent="0.4">
      <c r="A16" s="4" t="s">
        <v>25</v>
      </c>
      <c r="B16" s="4" t="s">
        <v>3</v>
      </c>
      <c r="C16" s="4" t="s">
        <v>26</v>
      </c>
      <c r="D16" s="4" t="s">
        <v>90</v>
      </c>
      <c r="E16" s="4" t="s">
        <v>91</v>
      </c>
      <c r="F16" s="4" t="s">
        <v>34</v>
      </c>
      <c r="G16" s="4" t="s">
        <v>92</v>
      </c>
      <c r="H16" s="4">
        <v>70</v>
      </c>
      <c r="I16" s="4" t="s">
        <v>28</v>
      </c>
      <c r="J16" s="4" t="s">
        <v>30</v>
      </c>
      <c r="K16" s="4">
        <v>100</v>
      </c>
      <c r="L16" s="4">
        <v>100</v>
      </c>
      <c r="M16" s="4">
        <v>400</v>
      </c>
      <c r="N16" s="4">
        <v>4</v>
      </c>
      <c r="O16" s="4">
        <v>400</v>
      </c>
      <c r="P16" s="4">
        <v>400</v>
      </c>
      <c r="Q16" s="4">
        <v>70</v>
      </c>
      <c r="R16" s="8">
        <v>280</v>
      </c>
      <c r="S16" s="16" t="str">
        <f>IF(ISERROR(VLOOKUP(G16,[1]작가별정산률!$R:$S,2,0)),"스토리위즈",VLOOKUP(G16,[1]작가별정산률!$R:$S,2,0))</f>
        <v>스토리위즈</v>
      </c>
      <c r="T16" s="16" t="str">
        <f>IF(S16="스토리위즈",VLOOKUP(G16,[1]작가별정산률!$A:$B,2,0),S16)</f>
        <v>엘리신</v>
      </c>
    </row>
    <row r="17" spans="1:20" x14ac:dyDescent="0.4">
      <c r="A17" s="4" t="s">
        <v>25</v>
      </c>
      <c r="B17" s="4" t="s">
        <v>0</v>
      </c>
      <c r="C17" s="4" t="s">
        <v>26</v>
      </c>
      <c r="D17" s="4" t="s">
        <v>54</v>
      </c>
      <c r="E17" s="4" t="s">
        <v>55</v>
      </c>
      <c r="F17" s="4" t="s">
        <v>27</v>
      </c>
      <c r="G17" s="4" t="s">
        <v>4</v>
      </c>
      <c r="H17" s="4">
        <v>315</v>
      </c>
      <c r="I17" s="4" t="s">
        <v>28</v>
      </c>
      <c r="J17" s="4" t="s">
        <v>30</v>
      </c>
      <c r="K17" s="4">
        <v>100</v>
      </c>
      <c r="L17" s="4">
        <v>100</v>
      </c>
      <c r="M17" s="4">
        <v>3700</v>
      </c>
      <c r="N17" s="4">
        <v>37</v>
      </c>
      <c r="O17" s="4">
        <v>3700</v>
      </c>
      <c r="P17" s="4">
        <v>3700</v>
      </c>
      <c r="Q17" s="4">
        <v>70</v>
      </c>
      <c r="R17" s="8">
        <v>2590</v>
      </c>
      <c r="S17" s="16" t="str">
        <f>IF(ISERROR(VLOOKUP(G17,[1]작가별정산률!$R:$S,2,0)),"스토리위즈",VLOOKUP(G17,[1]작가별정산률!$R:$S,2,0))</f>
        <v>스토리위즈</v>
      </c>
      <c r="T17" s="16" t="str">
        <f>IF(S17="스토리위즈",VLOOKUP(G17,[1]작가별정산률!$A:$B,2,0),S17)</f>
        <v>무장</v>
      </c>
    </row>
    <row r="18" spans="1:20" x14ac:dyDescent="0.4">
      <c r="A18" s="4" t="s">
        <v>25</v>
      </c>
      <c r="B18" s="4" t="s">
        <v>0</v>
      </c>
      <c r="C18" s="4" t="s">
        <v>26</v>
      </c>
      <c r="D18" s="4" t="s">
        <v>54</v>
      </c>
      <c r="E18" s="4" t="s">
        <v>55</v>
      </c>
      <c r="F18" s="4" t="s">
        <v>27</v>
      </c>
      <c r="G18" s="4" t="s">
        <v>4</v>
      </c>
      <c r="H18" s="4">
        <v>315</v>
      </c>
      <c r="I18" s="4" t="s">
        <v>28</v>
      </c>
      <c r="J18" s="4" t="s">
        <v>30</v>
      </c>
      <c r="K18" s="4">
        <v>100</v>
      </c>
      <c r="L18" s="4">
        <v>100</v>
      </c>
      <c r="M18" s="4">
        <v>2500</v>
      </c>
      <c r="N18" s="4">
        <v>25</v>
      </c>
      <c r="O18" s="4">
        <v>2500</v>
      </c>
      <c r="P18" s="4">
        <v>2500</v>
      </c>
      <c r="Q18" s="4">
        <v>70</v>
      </c>
      <c r="R18" s="8">
        <v>1750</v>
      </c>
      <c r="S18" s="16" t="str">
        <f>IF(ISERROR(VLOOKUP(G18,[1]작가별정산률!$R:$S,2,0)),"스토리위즈",VLOOKUP(G18,[1]작가별정산률!$R:$S,2,0))</f>
        <v>스토리위즈</v>
      </c>
      <c r="T18" s="16" t="str">
        <f>IF(S18="스토리위즈",VLOOKUP(G18,[1]작가별정산률!$A:$B,2,0),S18)</f>
        <v>무장</v>
      </c>
    </row>
    <row r="19" spans="1:20" x14ac:dyDescent="0.4">
      <c r="A19" s="4" t="s">
        <v>25</v>
      </c>
      <c r="B19" s="4" t="s">
        <v>0</v>
      </c>
      <c r="C19" s="4" t="s">
        <v>93</v>
      </c>
      <c r="D19" s="4" t="s">
        <v>94</v>
      </c>
      <c r="E19" s="4" t="s">
        <v>95</v>
      </c>
      <c r="F19" s="4" t="s">
        <v>27</v>
      </c>
      <c r="G19" s="4" t="s">
        <v>2</v>
      </c>
      <c r="H19" s="4">
        <v>420</v>
      </c>
      <c r="I19" s="4" t="s">
        <v>28</v>
      </c>
      <c r="J19" s="4" t="s">
        <v>30</v>
      </c>
      <c r="K19" s="4">
        <v>100</v>
      </c>
      <c r="L19" s="4">
        <v>100</v>
      </c>
      <c r="M19" s="4">
        <v>8500</v>
      </c>
      <c r="N19" s="4">
        <v>85</v>
      </c>
      <c r="O19" s="4">
        <v>8500</v>
      </c>
      <c r="P19" s="4">
        <v>8500</v>
      </c>
      <c r="Q19" s="4">
        <v>70</v>
      </c>
      <c r="R19" s="8">
        <v>5950</v>
      </c>
      <c r="S19" s="16" t="str">
        <f>IF(ISERROR(VLOOKUP(G19,[1]작가별정산률!$R:$S,2,0)),"스토리위즈",VLOOKUP(G19,[1]작가별정산률!$R:$S,2,0))</f>
        <v>스토리위즈</v>
      </c>
      <c r="T19" s="16" t="str">
        <f>IF(S19="스토리위즈",VLOOKUP(G19,[1]작가별정산률!$A:$B,2,0),S19)</f>
        <v>김광수</v>
      </c>
    </row>
    <row r="20" spans="1:20" x14ac:dyDescent="0.4">
      <c r="A20" s="4" t="s">
        <v>25</v>
      </c>
      <c r="B20" s="4" t="s">
        <v>0</v>
      </c>
      <c r="C20" s="4" t="s">
        <v>31</v>
      </c>
      <c r="D20" s="4" t="s">
        <v>139</v>
      </c>
      <c r="E20" s="4" t="s">
        <v>140</v>
      </c>
      <c r="F20" s="4" t="s">
        <v>27</v>
      </c>
      <c r="G20" s="4" t="s">
        <v>141</v>
      </c>
      <c r="H20" s="4">
        <v>225</v>
      </c>
      <c r="I20" s="4" t="s">
        <v>28</v>
      </c>
      <c r="J20" s="4" t="s">
        <v>30</v>
      </c>
      <c r="K20" s="4">
        <v>100</v>
      </c>
      <c r="L20" s="4">
        <v>100</v>
      </c>
      <c r="M20" s="4">
        <v>2500</v>
      </c>
      <c r="N20" s="4">
        <v>25</v>
      </c>
      <c r="O20" s="4">
        <v>2500</v>
      </c>
      <c r="P20" s="4">
        <v>2500</v>
      </c>
      <c r="Q20" s="4">
        <v>70</v>
      </c>
      <c r="R20" s="8">
        <v>1750</v>
      </c>
      <c r="S20" s="16" t="str">
        <f>IF(ISERROR(VLOOKUP(G20,[1]작가별정산률!$R:$S,2,0)),"스토리위즈",VLOOKUP(G20,[1]작가별정산률!$R:$S,2,0))</f>
        <v>스토리위즈</v>
      </c>
      <c r="T20" s="16" t="str">
        <f>IF(S20="스토리위즈",VLOOKUP(G20,[1]작가별정산률!$A:$B,2,0),S20)</f>
        <v>구유</v>
      </c>
    </row>
    <row r="21" spans="1:20" x14ac:dyDescent="0.4">
      <c r="A21" s="4" t="s">
        <v>25</v>
      </c>
      <c r="B21" s="4" t="s">
        <v>0</v>
      </c>
      <c r="C21" s="4" t="s">
        <v>31</v>
      </c>
      <c r="D21" s="4" t="s">
        <v>96</v>
      </c>
      <c r="E21" s="4" t="s">
        <v>97</v>
      </c>
      <c r="F21" s="4" t="s">
        <v>27</v>
      </c>
      <c r="G21" s="4" t="s">
        <v>62</v>
      </c>
      <c r="H21" s="4">
        <v>812</v>
      </c>
      <c r="I21" s="4" t="s">
        <v>28</v>
      </c>
      <c r="J21" s="4" t="s">
        <v>30</v>
      </c>
      <c r="K21" s="4">
        <v>100</v>
      </c>
      <c r="L21" s="4">
        <v>100</v>
      </c>
      <c r="M21" s="4">
        <v>400</v>
      </c>
      <c r="N21" s="4">
        <v>4</v>
      </c>
      <c r="O21" s="4">
        <v>400</v>
      </c>
      <c r="P21" s="4">
        <v>400</v>
      </c>
      <c r="Q21" s="4">
        <v>70</v>
      </c>
      <c r="R21" s="8">
        <v>280</v>
      </c>
      <c r="S21" s="16" t="str">
        <f>IF(ISERROR(VLOOKUP(G21,[1]작가별정산률!$R:$S,2,0)),"스토리위즈",VLOOKUP(G21,[1]작가별정산률!$R:$S,2,0))</f>
        <v>스토리위즈</v>
      </c>
      <c r="T21" s="16" t="str">
        <f>IF(S21="스토리위즈",VLOOKUP(G21,[1]작가별정산률!$A:$B,2,0),S21)</f>
        <v>청빙</v>
      </c>
    </row>
    <row r="22" spans="1:20" x14ac:dyDescent="0.4">
      <c r="A22" s="4" t="s">
        <v>25</v>
      </c>
      <c r="B22" s="4" t="s">
        <v>42</v>
      </c>
      <c r="C22" s="4" t="s">
        <v>43</v>
      </c>
      <c r="D22" s="4" t="s">
        <v>59</v>
      </c>
      <c r="E22" s="4" t="s">
        <v>60</v>
      </c>
      <c r="F22" s="4" t="s">
        <v>34</v>
      </c>
      <c r="G22" s="4" t="s">
        <v>61</v>
      </c>
      <c r="H22" s="4">
        <v>215</v>
      </c>
      <c r="I22" s="4" t="s">
        <v>28</v>
      </c>
      <c r="J22" s="4" t="s">
        <v>30</v>
      </c>
      <c r="K22" s="4">
        <v>100</v>
      </c>
      <c r="L22" s="4">
        <v>100</v>
      </c>
      <c r="M22" s="4">
        <v>700</v>
      </c>
      <c r="N22" s="4">
        <v>7</v>
      </c>
      <c r="O22" s="4">
        <v>700</v>
      </c>
      <c r="P22" s="4">
        <v>700</v>
      </c>
      <c r="Q22" s="4">
        <v>70</v>
      </c>
      <c r="R22" s="8">
        <v>490</v>
      </c>
      <c r="S22" s="16" t="str">
        <f>IF(ISERROR(VLOOKUP(G22,[1]작가별정산률!$R:$S,2,0)),"스토리위즈",VLOOKUP(G22,[1]작가별정산률!$R:$S,2,0))</f>
        <v>스토리위즈</v>
      </c>
      <c r="T22" s="16" t="str">
        <f>IF(S22="스토리위즈",VLOOKUP(G22,[1]작가별정산률!$A:$B,2,0),S22)</f>
        <v>불고기자리</v>
      </c>
    </row>
    <row r="23" spans="1:20" x14ac:dyDescent="0.4">
      <c r="A23" s="4" t="s">
        <v>25</v>
      </c>
      <c r="B23" s="4" t="s">
        <v>0</v>
      </c>
      <c r="C23" s="4" t="s">
        <v>31</v>
      </c>
      <c r="D23" s="4" t="s">
        <v>142</v>
      </c>
      <c r="E23" s="4" t="s">
        <v>143</v>
      </c>
      <c r="F23" s="4" t="s">
        <v>27</v>
      </c>
      <c r="G23" s="4" t="s">
        <v>144</v>
      </c>
      <c r="H23" s="4">
        <v>198</v>
      </c>
      <c r="I23" s="4" t="s">
        <v>28</v>
      </c>
      <c r="J23" s="4" t="s">
        <v>30</v>
      </c>
      <c r="K23" s="4">
        <v>100</v>
      </c>
      <c r="L23" s="4">
        <v>100</v>
      </c>
      <c r="M23" s="4">
        <v>500</v>
      </c>
      <c r="N23" s="4">
        <v>5</v>
      </c>
      <c r="O23" s="4">
        <v>500</v>
      </c>
      <c r="P23" s="4">
        <v>500</v>
      </c>
      <c r="Q23" s="4">
        <v>70</v>
      </c>
      <c r="R23" s="8">
        <v>350</v>
      </c>
      <c r="S23" s="16" t="str">
        <f>IF(ISERROR(VLOOKUP(G23,[1]작가별정산률!$R:$S,2,0)),"스토리위즈",VLOOKUP(G23,[1]작가별정산률!$R:$S,2,0))</f>
        <v>스토리위즈</v>
      </c>
      <c r="T23" s="16" t="str">
        <f>IF(S23="스토리위즈",VLOOKUP(G23,[1]작가별정산률!$A:$B,2,0),S23)</f>
        <v>청빙</v>
      </c>
    </row>
    <row r="24" spans="1:20" x14ac:dyDescent="0.4">
      <c r="A24" s="4" t="s">
        <v>25</v>
      </c>
      <c r="B24" s="4" t="s">
        <v>0</v>
      </c>
      <c r="C24" s="4" t="s">
        <v>26</v>
      </c>
      <c r="D24" s="4" t="s">
        <v>63</v>
      </c>
      <c r="E24" s="4" t="s">
        <v>64</v>
      </c>
      <c r="F24" s="4" t="s">
        <v>27</v>
      </c>
      <c r="G24" s="4" t="s">
        <v>4</v>
      </c>
      <c r="H24" s="4">
        <v>513</v>
      </c>
      <c r="I24" s="4" t="s">
        <v>28</v>
      </c>
      <c r="J24" s="4" t="s">
        <v>30</v>
      </c>
      <c r="K24" s="4">
        <v>100</v>
      </c>
      <c r="L24" s="4">
        <v>100</v>
      </c>
      <c r="M24" s="4">
        <v>10100</v>
      </c>
      <c r="N24" s="4">
        <v>101</v>
      </c>
      <c r="O24" s="4">
        <v>10100</v>
      </c>
      <c r="P24" s="4">
        <v>10100</v>
      </c>
      <c r="Q24" s="4">
        <v>70</v>
      </c>
      <c r="R24" s="8">
        <v>7070</v>
      </c>
      <c r="S24" s="16" t="str">
        <f>IF(ISERROR(VLOOKUP(G24,[1]작가별정산률!$R:$S,2,0)),"스토리위즈",VLOOKUP(G24,[1]작가별정산률!$R:$S,2,0))</f>
        <v>스토리위즈</v>
      </c>
      <c r="T24" s="16" t="str">
        <f>IF(S24="스토리위즈",VLOOKUP(G24,[1]작가별정산률!$A:$B,2,0),S24)</f>
        <v>무장</v>
      </c>
    </row>
    <row r="25" spans="1:20" x14ac:dyDescent="0.4">
      <c r="A25" s="4" t="s">
        <v>25</v>
      </c>
      <c r="B25" s="4" t="s">
        <v>3</v>
      </c>
      <c r="C25" s="4" t="s">
        <v>26</v>
      </c>
      <c r="D25" s="4" t="s">
        <v>145</v>
      </c>
      <c r="E25" s="4" t="s">
        <v>146</v>
      </c>
      <c r="F25" s="4" t="s">
        <v>27</v>
      </c>
      <c r="G25" s="4" t="s">
        <v>147</v>
      </c>
      <c r="H25" s="4">
        <v>71</v>
      </c>
      <c r="I25" s="4" t="s">
        <v>28</v>
      </c>
      <c r="J25" s="4" t="s">
        <v>30</v>
      </c>
      <c r="K25" s="4">
        <v>100</v>
      </c>
      <c r="L25" s="4">
        <v>100</v>
      </c>
      <c r="M25" s="4">
        <v>2300</v>
      </c>
      <c r="N25" s="4">
        <v>23</v>
      </c>
      <c r="O25" s="4">
        <v>2300</v>
      </c>
      <c r="P25" s="4">
        <v>2300</v>
      </c>
      <c r="Q25" s="4">
        <v>70</v>
      </c>
      <c r="R25" s="8">
        <v>1610</v>
      </c>
      <c r="S25" s="16" t="str">
        <f>IF(ISERROR(VLOOKUP(G25,[1]작가별정산률!$R:$S,2,0)),"스토리위즈",VLOOKUP(G25,[1]작가별정산률!$R:$S,2,0))</f>
        <v>스토리위즈</v>
      </c>
      <c r="T25" s="16" t="str">
        <f>IF(S25="스토리위즈",VLOOKUP(G25,[1]작가별정산률!$A:$B,2,0),S25)</f>
        <v>꽃잠</v>
      </c>
    </row>
    <row r="26" spans="1:20" x14ac:dyDescent="0.4">
      <c r="A26" s="4" t="s">
        <v>25</v>
      </c>
      <c r="B26" s="4" t="s">
        <v>3</v>
      </c>
      <c r="C26" s="4" t="s">
        <v>26</v>
      </c>
      <c r="D26" s="4" t="s">
        <v>148</v>
      </c>
      <c r="E26" s="4" t="s">
        <v>149</v>
      </c>
      <c r="F26" s="4" t="s">
        <v>27</v>
      </c>
      <c r="G26" s="4" t="s">
        <v>150</v>
      </c>
      <c r="H26" s="4">
        <v>101</v>
      </c>
      <c r="I26" s="4" t="s">
        <v>28</v>
      </c>
      <c r="J26" s="4" t="s">
        <v>30</v>
      </c>
      <c r="K26" s="4">
        <v>100</v>
      </c>
      <c r="L26" s="4">
        <v>100</v>
      </c>
      <c r="M26" s="4">
        <v>100</v>
      </c>
      <c r="N26" s="4">
        <v>1</v>
      </c>
      <c r="O26" s="4">
        <v>100</v>
      </c>
      <c r="P26" s="4">
        <v>100</v>
      </c>
      <c r="Q26" s="4">
        <v>70</v>
      </c>
      <c r="R26" s="8">
        <v>70</v>
      </c>
      <c r="S26" s="16" t="str">
        <f>IF(ISERROR(VLOOKUP(G26,[1]작가별정산률!$R:$S,2,0)),"스토리위즈",VLOOKUP(G26,[1]작가별정산률!$R:$S,2,0))</f>
        <v>스토리위즈</v>
      </c>
      <c r="T26" s="16" t="str">
        <f>IF(S26="스토리위즈",VLOOKUP(G26,[1]작가별정산률!$A:$B,2,0),S26)</f>
        <v>박도아</v>
      </c>
    </row>
    <row r="27" spans="1:20" x14ac:dyDescent="0.4">
      <c r="A27" s="4" t="s">
        <v>25</v>
      </c>
      <c r="B27" s="4" t="s">
        <v>3</v>
      </c>
      <c r="C27" s="4" t="s">
        <v>33</v>
      </c>
      <c r="D27" s="4" t="s">
        <v>99</v>
      </c>
      <c r="E27" s="4" t="s">
        <v>100</v>
      </c>
      <c r="F27" s="4" t="s">
        <v>27</v>
      </c>
      <c r="G27" s="4" t="s">
        <v>101</v>
      </c>
      <c r="H27" s="4">
        <v>63</v>
      </c>
      <c r="I27" s="4" t="s">
        <v>28</v>
      </c>
      <c r="J27" s="4" t="s">
        <v>30</v>
      </c>
      <c r="K27" s="4">
        <v>100</v>
      </c>
      <c r="L27" s="4">
        <v>100</v>
      </c>
      <c r="M27" s="4">
        <v>1400</v>
      </c>
      <c r="N27" s="4">
        <v>14</v>
      </c>
      <c r="O27" s="4">
        <v>1400</v>
      </c>
      <c r="P27" s="4">
        <v>1400</v>
      </c>
      <c r="Q27" s="4">
        <v>70</v>
      </c>
      <c r="R27" s="8">
        <v>980</v>
      </c>
      <c r="S27" s="16" t="str">
        <f>IF(ISERROR(VLOOKUP(G27,[1]작가별정산률!$R:$S,2,0)),"스토리위즈",VLOOKUP(G27,[1]작가별정산률!$R:$S,2,0))</f>
        <v>스토리위즈</v>
      </c>
      <c r="T27" s="16" t="str">
        <f>IF(S27="스토리위즈",VLOOKUP(G27,[1]작가별정산률!$A:$B,2,0),S27)</f>
        <v>제외</v>
      </c>
    </row>
    <row r="28" spans="1:20" x14ac:dyDescent="0.4">
      <c r="A28" s="4" t="s">
        <v>25</v>
      </c>
      <c r="B28" s="4" t="s">
        <v>3</v>
      </c>
      <c r="C28" s="4" t="s">
        <v>33</v>
      </c>
      <c r="D28" s="4" t="s">
        <v>151</v>
      </c>
      <c r="E28" s="4" t="s">
        <v>152</v>
      </c>
      <c r="F28" s="4" t="s">
        <v>27</v>
      </c>
      <c r="G28" s="4" t="s">
        <v>153</v>
      </c>
      <c r="H28" s="4">
        <v>163</v>
      </c>
      <c r="I28" s="4" t="s">
        <v>28</v>
      </c>
      <c r="J28" s="4" t="s">
        <v>30</v>
      </c>
      <c r="K28" s="4">
        <v>100</v>
      </c>
      <c r="L28" s="4">
        <v>100</v>
      </c>
      <c r="M28" s="4">
        <v>1100</v>
      </c>
      <c r="N28" s="4">
        <v>11</v>
      </c>
      <c r="O28" s="4">
        <v>1100</v>
      </c>
      <c r="P28" s="4">
        <v>1100</v>
      </c>
      <c r="Q28" s="4">
        <v>70</v>
      </c>
      <c r="R28" s="8">
        <v>770</v>
      </c>
      <c r="S28" s="16" t="str">
        <f>IF(ISERROR(VLOOKUP(G28,[1]작가별정산률!$R:$S,2,0)),"스토리위즈",VLOOKUP(G28,[1]작가별정산률!$R:$S,2,0))</f>
        <v>더컴퍼니</v>
      </c>
      <c r="T28" s="16" t="str">
        <f>IF(S28="스토리위즈",VLOOKUP(G28,[1]작가별정산률!$A:$B,2,0),S28)</f>
        <v>더컴퍼니</v>
      </c>
    </row>
    <row r="29" spans="1:20" x14ac:dyDescent="0.4">
      <c r="A29" s="4" t="s">
        <v>25</v>
      </c>
      <c r="B29" s="4" t="s">
        <v>0</v>
      </c>
      <c r="C29" s="4" t="s">
        <v>31</v>
      </c>
      <c r="D29" s="4" t="s">
        <v>45</v>
      </c>
      <c r="E29" s="4" t="s">
        <v>46</v>
      </c>
      <c r="F29" s="4" t="s">
        <v>27</v>
      </c>
      <c r="G29" s="4" t="s">
        <v>47</v>
      </c>
      <c r="H29" s="4">
        <v>204</v>
      </c>
      <c r="I29" s="4" t="s">
        <v>28</v>
      </c>
      <c r="J29" s="4" t="s">
        <v>30</v>
      </c>
      <c r="K29" s="4">
        <v>100</v>
      </c>
      <c r="L29" s="4">
        <v>100</v>
      </c>
      <c r="M29" s="4">
        <v>4100</v>
      </c>
      <c r="N29" s="4">
        <v>41</v>
      </c>
      <c r="O29" s="4">
        <v>4100</v>
      </c>
      <c r="P29" s="4">
        <v>4100</v>
      </c>
      <c r="Q29" s="4">
        <v>70</v>
      </c>
      <c r="R29" s="8">
        <v>2870</v>
      </c>
      <c r="S29" s="16" t="str">
        <f>IF(ISERROR(VLOOKUP(G29,[1]작가별정산률!$R:$S,2,0)),"스토리위즈",VLOOKUP(G29,[1]작가별정산률!$R:$S,2,0))</f>
        <v>에필로그</v>
      </c>
      <c r="T29" s="16" t="str">
        <f>IF(S29="스토리위즈",VLOOKUP(G29,[1]작가별정산률!$A:$B,2,0),S29)</f>
        <v>에필로그</v>
      </c>
    </row>
    <row r="30" spans="1:20" x14ac:dyDescent="0.4">
      <c r="A30" s="4" t="s">
        <v>25</v>
      </c>
      <c r="B30" s="4" t="s">
        <v>3</v>
      </c>
      <c r="C30" s="4" t="s">
        <v>33</v>
      </c>
      <c r="D30" s="4" t="s">
        <v>154</v>
      </c>
      <c r="E30" s="4" t="s">
        <v>155</v>
      </c>
      <c r="F30" s="4" t="s">
        <v>27</v>
      </c>
      <c r="G30" s="4" t="s">
        <v>156</v>
      </c>
      <c r="H30" s="4">
        <v>59</v>
      </c>
      <c r="I30" s="4" t="s">
        <v>28</v>
      </c>
      <c r="J30" s="4" t="s">
        <v>30</v>
      </c>
      <c r="K30" s="4">
        <v>100</v>
      </c>
      <c r="L30" s="4">
        <v>100</v>
      </c>
      <c r="M30" s="4">
        <v>200</v>
      </c>
      <c r="N30" s="4">
        <v>2</v>
      </c>
      <c r="O30" s="4">
        <v>200</v>
      </c>
      <c r="P30" s="4">
        <v>200</v>
      </c>
      <c r="Q30" s="4">
        <v>70</v>
      </c>
      <c r="R30" s="8">
        <v>140</v>
      </c>
      <c r="S30" s="16" t="str">
        <f>IF(ISERROR(VLOOKUP(G30,[1]작가별정산률!$R:$S,2,0)),"스토리위즈",VLOOKUP(G30,[1]작가별정산률!$R:$S,2,0))</f>
        <v>더컴퍼니</v>
      </c>
      <c r="T30" s="16" t="str">
        <f>IF(S30="스토리위즈",VLOOKUP(G30,[1]작가별정산률!$A:$B,2,0),S30)</f>
        <v>더컴퍼니</v>
      </c>
    </row>
    <row r="31" spans="1:20" x14ac:dyDescent="0.4">
      <c r="A31" s="4" t="s">
        <v>25</v>
      </c>
      <c r="B31" s="4" t="s">
        <v>3</v>
      </c>
      <c r="C31" s="4" t="s">
        <v>33</v>
      </c>
      <c r="D31" s="4" t="s">
        <v>157</v>
      </c>
      <c r="E31" s="4" t="s">
        <v>158</v>
      </c>
      <c r="F31" s="4" t="s">
        <v>27</v>
      </c>
      <c r="G31" s="4" t="s">
        <v>159</v>
      </c>
      <c r="H31" s="4">
        <v>77</v>
      </c>
      <c r="I31" s="4" t="s">
        <v>28</v>
      </c>
      <c r="J31" s="4" t="s">
        <v>30</v>
      </c>
      <c r="K31" s="4">
        <v>100</v>
      </c>
      <c r="L31" s="4">
        <v>100</v>
      </c>
      <c r="M31" s="4">
        <v>300</v>
      </c>
      <c r="N31" s="4">
        <v>3</v>
      </c>
      <c r="O31" s="4">
        <v>300</v>
      </c>
      <c r="P31" s="4">
        <v>300</v>
      </c>
      <c r="Q31" s="4">
        <v>70</v>
      </c>
      <c r="R31" s="8">
        <v>210</v>
      </c>
      <c r="S31" s="16" t="str">
        <f>IF(ISERROR(VLOOKUP(G31,[1]작가별정산률!$R:$S,2,0)),"스토리위즈",VLOOKUP(G31,[1]작가별정산률!$R:$S,2,0))</f>
        <v>더컴퍼니</v>
      </c>
      <c r="T31" s="16" t="str">
        <f>IF(S31="스토리위즈",VLOOKUP(G31,[1]작가별정산률!$A:$B,2,0),S31)</f>
        <v>더컴퍼니</v>
      </c>
    </row>
    <row r="32" spans="1:20" x14ac:dyDescent="0.4">
      <c r="A32" s="4" t="s">
        <v>25</v>
      </c>
      <c r="B32" s="4" t="s">
        <v>3</v>
      </c>
      <c r="C32" s="4" t="s">
        <v>33</v>
      </c>
      <c r="D32" s="4" t="s">
        <v>160</v>
      </c>
      <c r="E32" s="4" t="s">
        <v>161</v>
      </c>
      <c r="F32" s="4" t="s">
        <v>27</v>
      </c>
      <c r="G32" s="4" t="s">
        <v>162</v>
      </c>
      <c r="H32" s="4">
        <v>93</v>
      </c>
      <c r="I32" s="4" t="s">
        <v>28</v>
      </c>
      <c r="J32" s="4" t="s">
        <v>30</v>
      </c>
      <c r="K32" s="4">
        <v>100</v>
      </c>
      <c r="L32" s="4">
        <v>100</v>
      </c>
      <c r="M32" s="4">
        <v>1000</v>
      </c>
      <c r="N32" s="4">
        <v>10</v>
      </c>
      <c r="O32" s="4">
        <v>1000</v>
      </c>
      <c r="P32" s="4">
        <v>1000</v>
      </c>
      <c r="Q32" s="4">
        <v>70</v>
      </c>
      <c r="R32" s="8">
        <v>700</v>
      </c>
      <c r="S32" s="16" t="str">
        <f>IF(ISERROR(VLOOKUP(G32,[1]작가별정산률!$R:$S,2,0)),"스토리위즈",VLOOKUP(G32,[1]작가별정산률!$R:$S,2,0))</f>
        <v>더컴퍼니</v>
      </c>
      <c r="T32" s="16" t="str">
        <f>IF(S32="스토리위즈",VLOOKUP(G32,[1]작가별정산률!$A:$B,2,0),S32)</f>
        <v>더컴퍼니</v>
      </c>
    </row>
    <row r="33" spans="1:20" x14ac:dyDescent="0.4">
      <c r="A33" s="4" t="s">
        <v>25</v>
      </c>
      <c r="B33" s="4" t="s">
        <v>3</v>
      </c>
      <c r="C33" s="4" t="s">
        <v>33</v>
      </c>
      <c r="D33" s="4" t="s">
        <v>160</v>
      </c>
      <c r="E33" s="4" t="s">
        <v>161</v>
      </c>
      <c r="F33" s="4" t="s">
        <v>27</v>
      </c>
      <c r="G33" s="4" t="s">
        <v>162</v>
      </c>
      <c r="H33" s="4">
        <v>93</v>
      </c>
      <c r="I33" s="4" t="s">
        <v>28</v>
      </c>
      <c r="J33" s="4" t="s">
        <v>30</v>
      </c>
      <c r="K33" s="4">
        <v>100</v>
      </c>
      <c r="L33" s="4">
        <v>100</v>
      </c>
      <c r="M33" s="4">
        <v>1000</v>
      </c>
      <c r="N33" s="4">
        <v>10</v>
      </c>
      <c r="O33" s="4">
        <v>1000</v>
      </c>
      <c r="P33" s="4">
        <v>1000</v>
      </c>
      <c r="Q33" s="4">
        <v>70</v>
      </c>
      <c r="R33" s="8">
        <v>700</v>
      </c>
      <c r="S33" s="16" t="str">
        <f>IF(ISERROR(VLOOKUP(G33,[1]작가별정산률!$R:$S,2,0)),"스토리위즈",VLOOKUP(G33,[1]작가별정산률!$R:$S,2,0))</f>
        <v>더컴퍼니</v>
      </c>
      <c r="T33" s="16" t="str">
        <f>IF(S33="스토리위즈",VLOOKUP(G33,[1]작가별정산률!$A:$B,2,0),S33)</f>
        <v>더컴퍼니</v>
      </c>
    </row>
    <row r="34" spans="1:20" x14ac:dyDescent="0.4">
      <c r="A34" s="4" t="s">
        <v>25</v>
      </c>
      <c r="B34" s="4" t="s">
        <v>1</v>
      </c>
      <c r="C34" s="4" t="s">
        <v>35</v>
      </c>
      <c r="D34" s="4" t="s">
        <v>49</v>
      </c>
      <c r="E34" s="4" t="s">
        <v>50</v>
      </c>
      <c r="F34" s="4" t="s">
        <v>27</v>
      </c>
      <c r="G34" s="4" t="s">
        <v>51</v>
      </c>
      <c r="H34" s="4">
        <v>822</v>
      </c>
      <c r="I34" s="4" t="s">
        <v>28</v>
      </c>
      <c r="J34" s="4" t="s">
        <v>30</v>
      </c>
      <c r="K34" s="4">
        <v>100</v>
      </c>
      <c r="L34" s="4">
        <v>100</v>
      </c>
      <c r="M34" s="4">
        <v>2400</v>
      </c>
      <c r="N34" s="4">
        <v>24</v>
      </c>
      <c r="O34" s="4">
        <v>2400</v>
      </c>
      <c r="P34" s="4">
        <v>2400</v>
      </c>
      <c r="Q34" s="4">
        <v>70</v>
      </c>
      <c r="R34" s="8">
        <v>1680</v>
      </c>
      <c r="S34" s="16" t="str">
        <f>IF(ISERROR(VLOOKUP(G34,[1]작가별정산률!$R:$S,2,0)),"스토리위즈",VLOOKUP(G34,[1]작가별정산률!$R:$S,2,0))</f>
        <v>에필로그</v>
      </c>
      <c r="T34" s="16" t="str">
        <f>IF(S34="스토리위즈",VLOOKUP(G34,[1]작가별정산률!$A:$B,2,0),S34)</f>
        <v>에필로그</v>
      </c>
    </row>
    <row r="35" spans="1:20" x14ac:dyDescent="0.4">
      <c r="A35" s="4" t="s">
        <v>25</v>
      </c>
      <c r="B35" s="4" t="s">
        <v>0</v>
      </c>
      <c r="C35" s="4" t="s">
        <v>26</v>
      </c>
      <c r="D35" s="4" t="s">
        <v>102</v>
      </c>
      <c r="E35" s="4" t="s">
        <v>103</v>
      </c>
      <c r="F35" s="4" t="s">
        <v>34</v>
      </c>
      <c r="G35" s="4" t="s">
        <v>104</v>
      </c>
      <c r="H35" s="4">
        <v>169</v>
      </c>
      <c r="I35" s="4" t="s">
        <v>28</v>
      </c>
      <c r="J35" s="4" t="s">
        <v>30</v>
      </c>
      <c r="K35" s="4">
        <v>100</v>
      </c>
      <c r="L35" s="4">
        <v>100</v>
      </c>
      <c r="M35" s="4">
        <v>1400</v>
      </c>
      <c r="N35" s="4">
        <v>14</v>
      </c>
      <c r="O35" s="4">
        <v>1400</v>
      </c>
      <c r="P35" s="4">
        <v>1400</v>
      </c>
      <c r="Q35" s="4">
        <v>70</v>
      </c>
      <c r="R35" s="8">
        <v>980</v>
      </c>
      <c r="S35" s="16" t="str">
        <f>IF(ISERROR(VLOOKUP(G35,[1]작가별정산률!$R:$S,2,0)),"스토리위즈",VLOOKUP(G35,[1]작가별정산률!$R:$S,2,0))</f>
        <v>스토리위즈</v>
      </c>
      <c r="T35" s="16" t="str">
        <f>IF(S35="스토리위즈",VLOOKUP(G35,[1]작가별정산률!$A:$B,2,0),S35)</f>
        <v>모험왕선우</v>
      </c>
    </row>
    <row r="36" spans="1:20" x14ac:dyDescent="0.4">
      <c r="A36" s="4" t="s">
        <v>25</v>
      </c>
      <c r="B36" s="4" t="s">
        <v>0</v>
      </c>
      <c r="C36" s="4" t="s">
        <v>26</v>
      </c>
      <c r="D36" s="4" t="s">
        <v>102</v>
      </c>
      <c r="E36" s="4" t="s">
        <v>103</v>
      </c>
      <c r="F36" s="4" t="s">
        <v>32</v>
      </c>
      <c r="G36" s="4" t="s">
        <v>104</v>
      </c>
      <c r="H36" s="4">
        <v>169</v>
      </c>
      <c r="I36" s="4" t="s">
        <v>28</v>
      </c>
      <c r="J36" s="4" t="s">
        <v>30</v>
      </c>
      <c r="K36" s="4">
        <v>100</v>
      </c>
      <c r="L36" s="4">
        <v>100</v>
      </c>
      <c r="M36" s="4">
        <v>100</v>
      </c>
      <c r="N36" s="4">
        <v>1</v>
      </c>
      <c r="O36" s="4">
        <v>100</v>
      </c>
      <c r="P36" s="4">
        <v>100</v>
      </c>
      <c r="Q36" s="4">
        <v>70</v>
      </c>
      <c r="R36" s="8">
        <v>70</v>
      </c>
      <c r="S36" s="16" t="str">
        <f>IF(ISERROR(VLOOKUP(G36,[1]작가별정산률!$R:$S,2,0)),"스토리위즈",VLOOKUP(G36,[1]작가별정산률!$R:$S,2,0))</f>
        <v>스토리위즈</v>
      </c>
      <c r="T36" s="16" t="str">
        <f>IF(S36="스토리위즈",VLOOKUP(G36,[1]작가별정산률!$A:$B,2,0),S36)</f>
        <v>모험왕선우</v>
      </c>
    </row>
    <row r="37" spans="1:20" x14ac:dyDescent="0.4">
      <c r="A37" s="4" t="s">
        <v>25</v>
      </c>
      <c r="B37" s="4" t="s">
        <v>0</v>
      </c>
      <c r="C37" s="4" t="s">
        <v>26</v>
      </c>
      <c r="D37" s="4" t="s">
        <v>102</v>
      </c>
      <c r="E37" s="4" t="s">
        <v>103</v>
      </c>
      <c r="F37" s="4" t="s">
        <v>27</v>
      </c>
      <c r="G37" s="4" t="s">
        <v>104</v>
      </c>
      <c r="H37" s="4">
        <v>169</v>
      </c>
      <c r="I37" s="4" t="s">
        <v>28</v>
      </c>
      <c r="J37" s="4" t="s">
        <v>30</v>
      </c>
      <c r="K37" s="4">
        <v>100</v>
      </c>
      <c r="L37" s="4">
        <v>100</v>
      </c>
      <c r="M37" s="4">
        <v>2000</v>
      </c>
      <c r="N37" s="4">
        <v>20</v>
      </c>
      <c r="O37" s="4">
        <v>2000</v>
      </c>
      <c r="P37" s="4">
        <v>2000</v>
      </c>
      <c r="Q37" s="4">
        <v>70</v>
      </c>
      <c r="R37" s="8">
        <v>1400</v>
      </c>
      <c r="S37" s="16" t="str">
        <f>IF(ISERROR(VLOOKUP(G37,[1]작가별정산률!$R:$S,2,0)),"스토리위즈",VLOOKUP(G37,[1]작가별정산률!$R:$S,2,0))</f>
        <v>스토리위즈</v>
      </c>
      <c r="T37" s="16" t="str">
        <f>IF(S37="스토리위즈",VLOOKUP(G37,[1]작가별정산률!$A:$B,2,0),S37)</f>
        <v>모험왕선우</v>
      </c>
    </row>
    <row r="38" spans="1:20" x14ac:dyDescent="0.4">
      <c r="A38" s="4" t="s">
        <v>25</v>
      </c>
      <c r="B38" s="4" t="s">
        <v>3</v>
      </c>
      <c r="C38" s="4" t="s">
        <v>33</v>
      </c>
      <c r="D38" s="4" t="s">
        <v>56</v>
      </c>
      <c r="E38" s="4" t="s">
        <v>57</v>
      </c>
      <c r="F38" s="4" t="s">
        <v>27</v>
      </c>
      <c r="G38" s="4" t="s">
        <v>58</v>
      </c>
      <c r="H38" s="4">
        <v>99</v>
      </c>
      <c r="I38" s="4" t="s">
        <v>28</v>
      </c>
      <c r="J38" s="4" t="s">
        <v>30</v>
      </c>
      <c r="K38" s="4">
        <v>100</v>
      </c>
      <c r="L38" s="4">
        <v>100</v>
      </c>
      <c r="M38" s="4">
        <v>2500</v>
      </c>
      <c r="N38" s="4">
        <v>25</v>
      </c>
      <c r="O38" s="4">
        <v>2500</v>
      </c>
      <c r="P38" s="4">
        <v>2500</v>
      </c>
      <c r="Q38" s="4">
        <v>70</v>
      </c>
      <c r="R38" s="8">
        <v>1750</v>
      </c>
      <c r="S38" s="16" t="str">
        <f>IF(ISERROR(VLOOKUP(G38,[1]작가별정산률!$R:$S,2,0)),"스토리위즈",VLOOKUP(G38,[1]작가별정산률!$R:$S,2,0))</f>
        <v>더컴퍼니</v>
      </c>
      <c r="T38" s="16" t="str">
        <f>IF(S38="스토리위즈",VLOOKUP(G38,[1]작가별정산률!$A:$B,2,0),S38)</f>
        <v>더컴퍼니</v>
      </c>
    </row>
    <row r="39" spans="1:20" x14ac:dyDescent="0.4">
      <c r="A39" s="4" t="s">
        <v>25</v>
      </c>
      <c r="B39" s="4" t="s">
        <v>1</v>
      </c>
      <c r="C39" s="4" t="s">
        <v>65</v>
      </c>
      <c r="D39" s="4" t="s">
        <v>66</v>
      </c>
      <c r="E39" s="4" t="s">
        <v>67</v>
      </c>
      <c r="F39" s="4" t="s">
        <v>27</v>
      </c>
      <c r="G39" s="4" t="s">
        <v>4</v>
      </c>
      <c r="H39" s="4">
        <v>118</v>
      </c>
      <c r="I39" s="4" t="s">
        <v>28</v>
      </c>
      <c r="J39" s="4" t="s">
        <v>30</v>
      </c>
      <c r="K39" s="4">
        <v>100</v>
      </c>
      <c r="L39" s="4">
        <v>100</v>
      </c>
      <c r="M39" s="4">
        <v>2000</v>
      </c>
      <c r="N39" s="4">
        <v>20</v>
      </c>
      <c r="O39" s="4">
        <v>2000</v>
      </c>
      <c r="P39" s="4">
        <v>2000</v>
      </c>
      <c r="Q39" s="4">
        <v>70</v>
      </c>
      <c r="R39" s="8">
        <v>1400</v>
      </c>
      <c r="S39" s="16" t="str">
        <f>IF(ISERROR(VLOOKUP(G39,[1]작가별정산률!$R:$S,2,0)),"스토리위즈",VLOOKUP(G39,[1]작가별정산률!$R:$S,2,0))</f>
        <v>스토리위즈</v>
      </c>
      <c r="T39" s="16" t="str">
        <f>IF(S39="스토리위즈",VLOOKUP(G39,[1]작가별정산률!$A:$B,2,0),S39)</f>
        <v>무장</v>
      </c>
    </row>
    <row r="40" spans="1:20" x14ac:dyDescent="0.4">
      <c r="A40" s="4" t="s">
        <v>25</v>
      </c>
      <c r="B40" s="4" t="s">
        <v>3</v>
      </c>
      <c r="C40" s="4" t="s">
        <v>33</v>
      </c>
      <c r="D40" s="4" t="s">
        <v>68</v>
      </c>
      <c r="E40" s="4" t="s">
        <v>69</v>
      </c>
      <c r="F40" s="4" t="s">
        <v>34</v>
      </c>
      <c r="G40" s="4" t="s">
        <v>44</v>
      </c>
      <c r="H40" s="4">
        <v>63</v>
      </c>
      <c r="I40" s="4" t="s">
        <v>28</v>
      </c>
      <c r="J40" s="4" t="s">
        <v>30</v>
      </c>
      <c r="K40" s="4">
        <v>100</v>
      </c>
      <c r="L40" s="4">
        <v>100</v>
      </c>
      <c r="M40" s="4">
        <v>5300</v>
      </c>
      <c r="N40" s="4">
        <v>53</v>
      </c>
      <c r="O40" s="4">
        <v>5300</v>
      </c>
      <c r="P40" s="4">
        <v>5300</v>
      </c>
      <c r="Q40" s="4">
        <v>70</v>
      </c>
      <c r="R40" s="8">
        <v>3710</v>
      </c>
      <c r="S40" s="16" t="str">
        <f>IF(ISERROR(VLOOKUP(G40,[1]작가별정산률!$R:$S,2,0)),"스토리위즈",VLOOKUP(G40,[1]작가별정산률!$R:$S,2,0))</f>
        <v>더컴퍼니</v>
      </c>
      <c r="T40" s="16" t="str">
        <f>IF(S40="스토리위즈",VLOOKUP(G40,[1]작가별정산률!$A:$B,2,0),S40)</f>
        <v>더컴퍼니</v>
      </c>
    </row>
    <row r="41" spans="1:20" x14ac:dyDescent="0.4">
      <c r="A41" s="4" t="s">
        <v>25</v>
      </c>
      <c r="B41" s="4" t="s">
        <v>3</v>
      </c>
      <c r="C41" s="4" t="s">
        <v>33</v>
      </c>
      <c r="D41" s="4" t="s">
        <v>71</v>
      </c>
      <c r="E41" s="4" t="s">
        <v>72</v>
      </c>
      <c r="F41" s="4" t="s">
        <v>27</v>
      </c>
      <c r="G41" s="4" t="s">
        <v>73</v>
      </c>
      <c r="H41" s="4">
        <v>108</v>
      </c>
      <c r="I41" s="4" t="s">
        <v>28</v>
      </c>
      <c r="J41" s="4" t="s">
        <v>30</v>
      </c>
      <c r="K41" s="4">
        <v>100</v>
      </c>
      <c r="L41" s="4">
        <v>100</v>
      </c>
      <c r="M41" s="4">
        <v>10500</v>
      </c>
      <c r="N41" s="4">
        <v>105</v>
      </c>
      <c r="O41" s="4">
        <v>10500</v>
      </c>
      <c r="P41" s="4">
        <v>10500</v>
      </c>
      <c r="Q41" s="4">
        <v>70</v>
      </c>
      <c r="R41" s="8">
        <v>7350</v>
      </c>
      <c r="S41" s="16" t="str">
        <f>IF(ISERROR(VLOOKUP(G41,[1]작가별정산률!$R:$S,2,0)),"스토리위즈",VLOOKUP(G41,[1]작가별정산률!$R:$S,2,0))</f>
        <v>더컴퍼니</v>
      </c>
      <c r="T41" s="16" t="str">
        <f>IF(S41="스토리위즈",VLOOKUP(G41,[1]작가별정산률!$A:$B,2,0),S41)</f>
        <v>더컴퍼니</v>
      </c>
    </row>
    <row r="42" spans="1:20" x14ac:dyDescent="0.4">
      <c r="A42" s="4" t="s">
        <v>25</v>
      </c>
      <c r="B42" s="4" t="s">
        <v>3</v>
      </c>
      <c r="C42" s="4" t="s">
        <v>33</v>
      </c>
      <c r="D42" s="4" t="s">
        <v>74</v>
      </c>
      <c r="E42" s="4" t="s">
        <v>75</v>
      </c>
      <c r="F42" s="4" t="s">
        <v>27</v>
      </c>
      <c r="G42" s="4" t="s">
        <v>76</v>
      </c>
      <c r="H42" s="4">
        <v>77</v>
      </c>
      <c r="I42" s="4" t="s">
        <v>28</v>
      </c>
      <c r="J42" s="4" t="s">
        <v>30</v>
      </c>
      <c r="K42" s="4">
        <v>100</v>
      </c>
      <c r="L42" s="4">
        <v>100</v>
      </c>
      <c r="M42" s="4">
        <v>100</v>
      </c>
      <c r="N42" s="4">
        <v>1</v>
      </c>
      <c r="O42" s="4">
        <v>100</v>
      </c>
      <c r="P42" s="4">
        <v>100</v>
      </c>
      <c r="Q42" s="4">
        <v>70</v>
      </c>
      <c r="R42" s="8">
        <v>70</v>
      </c>
      <c r="S42" s="16" t="str">
        <f>IF(ISERROR(VLOOKUP(G42,[1]작가별정산률!$R:$S,2,0)),"스토리위즈",VLOOKUP(G42,[1]작가별정산률!$R:$S,2,0))</f>
        <v>더컴퍼니</v>
      </c>
      <c r="T42" s="16" t="str">
        <f>IF(S42="스토리위즈",VLOOKUP(G42,[1]작가별정산률!$A:$B,2,0),S42)</f>
        <v>더컴퍼니</v>
      </c>
    </row>
    <row r="43" spans="1:20" x14ac:dyDescent="0.4">
      <c r="A43" s="4" t="s">
        <v>25</v>
      </c>
      <c r="B43" s="4" t="s">
        <v>3</v>
      </c>
      <c r="C43" s="4" t="s">
        <v>33</v>
      </c>
      <c r="D43" s="4" t="s">
        <v>77</v>
      </c>
      <c r="E43" s="4" t="s">
        <v>78</v>
      </c>
      <c r="F43" s="4" t="s">
        <v>34</v>
      </c>
      <c r="G43" s="4" t="s">
        <v>79</v>
      </c>
      <c r="H43" s="4">
        <v>75</v>
      </c>
      <c r="I43" s="4" t="s">
        <v>28</v>
      </c>
      <c r="J43" s="4" t="s">
        <v>30</v>
      </c>
      <c r="K43" s="4">
        <v>100</v>
      </c>
      <c r="L43" s="4">
        <v>100</v>
      </c>
      <c r="M43" s="4">
        <v>7200</v>
      </c>
      <c r="N43" s="4">
        <v>72</v>
      </c>
      <c r="O43" s="4">
        <v>7200</v>
      </c>
      <c r="P43" s="4">
        <v>7200</v>
      </c>
      <c r="Q43" s="4">
        <v>70</v>
      </c>
      <c r="R43" s="8">
        <v>5040</v>
      </c>
      <c r="S43" s="16" t="str">
        <f>IF(ISERROR(VLOOKUP(G43,[1]작가별정산률!$R:$S,2,0)),"스토리위즈",VLOOKUP(G43,[1]작가별정산률!$R:$S,2,0))</f>
        <v>더컴퍼니</v>
      </c>
      <c r="T43" s="16" t="str">
        <f>IF(S43="스토리위즈",VLOOKUP(G43,[1]작가별정산률!$A:$B,2,0),S43)</f>
        <v>더컴퍼니</v>
      </c>
    </row>
    <row r="44" spans="1:20" x14ac:dyDescent="0.4">
      <c r="A44" s="4" t="s">
        <v>25</v>
      </c>
      <c r="B44" s="4" t="s">
        <v>3</v>
      </c>
      <c r="C44" s="4" t="s">
        <v>33</v>
      </c>
      <c r="D44" s="4" t="s">
        <v>77</v>
      </c>
      <c r="E44" s="4" t="s">
        <v>78</v>
      </c>
      <c r="F44" s="4" t="s">
        <v>27</v>
      </c>
      <c r="G44" s="4" t="s">
        <v>79</v>
      </c>
      <c r="H44" s="4">
        <v>75</v>
      </c>
      <c r="I44" s="4" t="s">
        <v>28</v>
      </c>
      <c r="J44" s="4" t="s">
        <v>30</v>
      </c>
      <c r="K44" s="4">
        <v>100</v>
      </c>
      <c r="L44" s="4">
        <v>100</v>
      </c>
      <c r="M44" s="4">
        <v>2700</v>
      </c>
      <c r="N44" s="4">
        <v>27</v>
      </c>
      <c r="O44" s="4">
        <v>2700</v>
      </c>
      <c r="P44" s="4">
        <v>2700</v>
      </c>
      <c r="Q44" s="4">
        <v>70</v>
      </c>
      <c r="R44" s="8">
        <v>1890</v>
      </c>
      <c r="S44" s="16" t="str">
        <f>IF(ISERROR(VLOOKUP(G44,[1]작가별정산률!$R:$S,2,0)),"스토리위즈",VLOOKUP(G44,[1]작가별정산률!$R:$S,2,0))</f>
        <v>더컴퍼니</v>
      </c>
      <c r="T44" s="16" t="str">
        <f>IF(S44="스토리위즈",VLOOKUP(G44,[1]작가별정산률!$A:$B,2,0),S44)</f>
        <v>더컴퍼니</v>
      </c>
    </row>
    <row r="45" spans="1:20" x14ac:dyDescent="0.4">
      <c r="A45" s="4" t="s">
        <v>25</v>
      </c>
      <c r="B45" s="4" t="s">
        <v>3</v>
      </c>
      <c r="C45" s="4" t="s">
        <v>33</v>
      </c>
      <c r="D45" s="4" t="s">
        <v>77</v>
      </c>
      <c r="E45" s="4" t="s">
        <v>78</v>
      </c>
      <c r="F45" s="4" t="s">
        <v>27</v>
      </c>
      <c r="G45" s="4" t="s">
        <v>79</v>
      </c>
      <c r="H45" s="4">
        <v>75</v>
      </c>
      <c r="I45" s="4" t="s">
        <v>28</v>
      </c>
      <c r="J45" s="4" t="s">
        <v>30</v>
      </c>
      <c r="K45" s="4">
        <v>100</v>
      </c>
      <c r="L45" s="4">
        <v>100</v>
      </c>
      <c r="M45" s="4">
        <v>300</v>
      </c>
      <c r="N45" s="4">
        <v>3</v>
      </c>
      <c r="O45" s="4">
        <v>300</v>
      </c>
      <c r="P45" s="4">
        <v>300</v>
      </c>
      <c r="Q45" s="4">
        <v>70</v>
      </c>
      <c r="R45" s="8">
        <v>210</v>
      </c>
      <c r="S45" s="16" t="str">
        <f>IF(ISERROR(VLOOKUP(G45,[1]작가별정산률!$R:$S,2,0)),"스토리위즈",VLOOKUP(G45,[1]작가별정산률!$R:$S,2,0))</f>
        <v>더컴퍼니</v>
      </c>
      <c r="T45" s="16" t="str">
        <f>IF(S45="스토리위즈",VLOOKUP(G45,[1]작가별정산률!$A:$B,2,0),S45)</f>
        <v>더컴퍼니</v>
      </c>
    </row>
    <row r="46" spans="1:20" x14ac:dyDescent="0.4">
      <c r="A46" s="4" t="s">
        <v>25</v>
      </c>
      <c r="B46" s="4" t="s">
        <v>3</v>
      </c>
      <c r="C46" s="4" t="s">
        <v>33</v>
      </c>
      <c r="D46" s="4" t="s">
        <v>77</v>
      </c>
      <c r="E46" s="4" t="s">
        <v>78</v>
      </c>
      <c r="F46" s="4" t="s">
        <v>27</v>
      </c>
      <c r="G46" s="4" t="s">
        <v>79</v>
      </c>
      <c r="H46" s="4">
        <v>75</v>
      </c>
      <c r="I46" s="4" t="s">
        <v>28</v>
      </c>
      <c r="J46" s="4" t="s">
        <v>30</v>
      </c>
      <c r="K46" s="4">
        <v>100</v>
      </c>
      <c r="L46" s="4">
        <v>100</v>
      </c>
      <c r="M46" s="4">
        <v>100</v>
      </c>
      <c r="N46" s="4">
        <v>1</v>
      </c>
      <c r="O46" s="4">
        <v>100</v>
      </c>
      <c r="P46" s="4">
        <v>100</v>
      </c>
      <c r="Q46" s="4">
        <v>70</v>
      </c>
      <c r="R46" s="8">
        <v>70</v>
      </c>
      <c r="S46" s="16" t="str">
        <f>IF(ISERROR(VLOOKUP(G46,[1]작가별정산률!$R:$S,2,0)),"스토리위즈",VLOOKUP(G46,[1]작가별정산률!$R:$S,2,0))</f>
        <v>더컴퍼니</v>
      </c>
      <c r="T46" s="16" t="str">
        <f>IF(S46="스토리위즈",VLOOKUP(G46,[1]작가별정산률!$A:$B,2,0),S46)</f>
        <v>더컴퍼니</v>
      </c>
    </row>
    <row r="47" spans="1:20" x14ac:dyDescent="0.4">
      <c r="A47" s="4" t="s">
        <v>25</v>
      </c>
      <c r="B47" s="4" t="s">
        <v>3</v>
      </c>
      <c r="C47" s="4" t="s">
        <v>33</v>
      </c>
      <c r="D47" s="4" t="s">
        <v>80</v>
      </c>
      <c r="E47" s="4" t="s">
        <v>81</v>
      </c>
      <c r="F47" s="4" t="s">
        <v>27</v>
      </c>
      <c r="G47" s="4" t="s">
        <v>79</v>
      </c>
      <c r="H47" s="4">
        <v>47</v>
      </c>
      <c r="I47" s="4" t="s">
        <v>28</v>
      </c>
      <c r="J47" s="4" t="s">
        <v>30</v>
      </c>
      <c r="K47" s="4">
        <v>100</v>
      </c>
      <c r="L47" s="4">
        <v>100</v>
      </c>
      <c r="M47" s="4">
        <v>4400</v>
      </c>
      <c r="N47" s="4">
        <v>44</v>
      </c>
      <c r="O47" s="4">
        <v>4400</v>
      </c>
      <c r="P47" s="4">
        <v>4400</v>
      </c>
      <c r="Q47" s="4">
        <v>70</v>
      </c>
      <c r="R47" s="8">
        <v>3080</v>
      </c>
      <c r="S47" s="16" t="str">
        <f>IF(ISERROR(VLOOKUP(G47,[1]작가별정산률!$R:$S,2,0)),"스토리위즈",VLOOKUP(G47,[1]작가별정산률!$R:$S,2,0))</f>
        <v>더컴퍼니</v>
      </c>
      <c r="T47" s="16" t="str">
        <f>IF(S47="스토리위즈",VLOOKUP(G47,[1]작가별정산률!$A:$B,2,0),S47)</f>
        <v>더컴퍼니</v>
      </c>
    </row>
    <row r="48" spans="1:20" x14ac:dyDescent="0.4">
      <c r="A48" s="4" t="s">
        <v>25</v>
      </c>
      <c r="B48" s="4" t="s">
        <v>3</v>
      </c>
      <c r="C48" s="4" t="s">
        <v>33</v>
      </c>
      <c r="D48" s="4" t="s">
        <v>163</v>
      </c>
      <c r="E48" s="4" t="s">
        <v>164</v>
      </c>
      <c r="F48" s="4" t="s">
        <v>27</v>
      </c>
      <c r="G48" s="4" t="s">
        <v>165</v>
      </c>
      <c r="H48" s="4">
        <v>108</v>
      </c>
      <c r="I48" s="4" t="s">
        <v>28</v>
      </c>
      <c r="J48" s="4" t="s">
        <v>30</v>
      </c>
      <c r="K48" s="4">
        <v>100</v>
      </c>
      <c r="L48" s="4">
        <v>100</v>
      </c>
      <c r="M48" s="4">
        <v>300</v>
      </c>
      <c r="N48" s="4">
        <v>3</v>
      </c>
      <c r="O48" s="4">
        <v>300</v>
      </c>
      <c r="P48" s="4">
        <v>300</v>
      </c>
      <c r="Q48" s="4">
        <v>70</v>
      </c>
      <c r="R48" s="8">
        <v>210</v>
      </c>
      <c r="S48" s="16" t="str">
        <f>IF(ISERROR(VLOOKUP(G48,[1]작가별정산률!$R:$S,2,0)),"스토리위즈",VLOOKUP(G48,[1]작가별정산률!$R:$S,2,0))</f>
        <v>더컴퍼니</v>
      </c>
      <c r="T48" s="16" t="str">
        <f>IF(S48="스토리위즈",VLOOKUP(G48,[1]작가별정산률!$A:$B,2,0),S48)</f>
        <v>더컴퍼니</v>
      </c>
    </row>
    <row r="49" spans="1:20" x14ac:dyDescent="0.4">
      <c r="A49" s="4" t="s">
        <v>25</v>
      </c>
      <c r="B49" s="4" t="s">
        <v>0</v>
      </c>
      <c r="C49" s="4" t="s">
        <v>31</v>
      </c>
      <c r="D49" s="4" t="s">
        <v>105</v>
      </c>
      <c r="E49" s="4" t="s">
        <v>106</v>
      </c>
      <c r="F49" s="4" t="s">
        <v>27</v>
      </c>
      <c r="G49" s="4" t="s">
        <v>107</v>
      </c>
      <c r="H49" s="4">
        <v>200</v>
      </c>
      <c r="I49" s="4" t="s">
        <v>28</v>
      </c>
      <c r="J49" s="4" t="s">
        <v>30</v>
      </c>
      <c r="K49" s="4">
        <v>100</v>
      </c>
      <c r="L49" s="4">
        <v>100</v>
      </c>
      <c r="M49" s="4">
        <v>7900</v>
      </c>
      <c r="N49" s="4">
        <v>79</v>
      </c>
      <c r="O49" s="4">
        <v>7900</v>
      </c>
      <c r="P49" s="4">
        <v>7900</v>
      </c>
      <c r="Q49" s="4">
        <v>70</v>
      </c>
      <c r="R49" s="8">
        <v>5530</v>
      </c>
      <c r="S49" s="16" t="str">
        <f>IF(ISERROR(VLOOKUP(G49,[1]작가별정산률!$R:$S,2,0)),"스토리위즈",VLOOKUP(G49,[1]작가별정산률!$R:$S,2,0))</f>
        <v>스토리위즈</v>
      </c>
      <c r="T49" s="16" t="str">
        <f>IF(S49="스토리위즈",VLOOKUP(G49,[1]작가별정산률!$A:$B,2,0),S49)</f>
        <v>글면증</v>
      </c>
    </row>
    <row r="50" spans="1:20" x14ac:dyDescent="0.4">
      <c r="A50" s="4" t="s">
        <v>25</v>
      </c>
      <c r="B50" s="4" t="s">
        <v>3</v>
      </c>
      <c r="C50" s="4" t="s">
        <v>33</v>
      </c>
      <c r="D50" s="4" t="s">
        <v>108</v>
      </c>
      <c r="E50" s="4" t="s">
        <v>109</v>
      </c>
      <c r="F50" s="4" t="s">
        <v>32</v>
      </c>
      <c r="G50" s="4" t="s">
        <v>110</v>
      </c>
      <c r="H50" s="4">
        <v>70</v>
      </c>
      <c r="I50" s="4" t="s">
        <v>28</v>
      </c>
      <c r="J50" s="4" t="s">
        <v>30</v>
      </c>
      <c r="K50" s="4">
        <v>100</v>
      </c>
      <c r="L50" s="4">
        <v>100</v>
      </c>
      <c r="M50" s="4">
        <v>1400</v>
      </c>
      <c r="N50" s="4">
        <v>14</v>
      </c>
      <c r="O50" s="4">
        <v>1400</v>
      </c>
      <c r="P50" s="4">
        <v>1400</v>
      </c>
      <c r="Q50" s="4">
        <v>70</v>
      </c>
      <c r="R50" s="8">
        <v>980</v>
      </c>
      <c r="S50" s="16" t="str">
        <f>IF(ISERROR(VLOOKUP(G50,[1]작가별정산률!$R:$S,2,0)),"스토리위즈",VLOOKUP(G50,[1]작가별정산률!$R:$S,2,0))</f>
        <v>더컴퍼니</v>
      </c>
      <c r="T50" s="16" t="str">
        <f>IF(S50="스토리위즈",VLOOKUP(G50,[1]작가별정산률!$A:$B,2,0),S50)</f>
        <v>더컴퍼니</v>
      </c>
    </row>
    <row r="51" spans="1:20" x14ac:dyDescent="0.4">
      <c r="A51" s="4" t="s">
        <v>25</v>
      </c>
      <c r="B51" s="4" t="s">
        <v>3</v>
      </c>
      <c r="C51" s="4" t="s">
        <v>33</v>
      </c>
      <c r="D51" s="4" t="s">
        <v>108</v>
      </c>
      <c r="E51" s="4" t="s">
        <v>109</v>
      </c>
      <c r="F51" s="4" t="s">
        <v>27</v>
      </c>
      <c r="G51" s="4" t="s">
        <v>110</v>
      </c>
      <c r="H51" s="4">
        <v>70</v>
      </c>
      <c r="I51" s="4" t="s">
        <v>28</v>
      </c>
      <c r="J51" s="4" t="s">
        <v>30</v>
      </c>
      <c r="K51" s="4">
        <v>100</v>
      </c>
      <c r="L51" s="4">
        <v>100</v>
      </c>
      <c r="M51" s="4">
        <v>600</v>
      </c>
      <c r="N51" s="4">
        <v>6</v>
      </c>
      <c r="O51" s="4">
        <v>600</v>
      </c>
      <c r="P51" s="4">
        <v>600</v>
      </c>
      <c r="Q51" s="4">
        <v>70</v>
      </c>
      <c r="R51" s="8">
        <v>420</v>
      </c>
      <c r="S51" s="16" t="str">
        <f>IF(ISERROR(VLOOKUP(G51,[1]작가별정산률!$R:$S,2,0)),"스토리위즈",VLOOKUP(G51,[1]작가별정산률!$R:$S,2,0))</f>
        <v>더컴퍼니</v>
      </c>
      <c r="T51" s="16" t="str">
        <f>IF(S51="스토리위즈",VLOOKUP(G51,[1]작가별정산률!$A:$B,2,0),S51)</f>
        <v>더컴퍼니</v>
      </c>
    </row>
    <row r="52" spans="1:20" x14ac:dyDescent="0.4">
      <c r="A52" s="4" t="s">
        <v>25</v>
      </c>
      <c r="B52" s="4" t="s">
        <v>3</v>
      </c>
      <c r="C52" s="4" t="s">
        <v>33</v>
      </c>
      <c r="D52" s="4" t="s">
        <v>108</v>
      </c>
      <c r="E52" s="4" t="s">
        <v>109</v>
      </c>
      <c r="F52" s="4" t="s">
        <v>27</v>
      </c>
      <c r="G52" s="4" t="s">
        <v>110</v>
      </c>
      <c r="H52" s="4">
        <v>70</v>
      </c>
      <c r="I52" s="4" t="s">
        <v>28</v>
      </c>
      <c r="J52" s="4" t="s">
        <v>30</v>
      </c>
      <c r="K52" s="4">
        <v>100</v>
      </c>
      <c r="L52" s="4">
        <v>100</v>
      </c>
      <c r="M52" s="4">
        <v>600</v>
      </c>
      <c r="N52" s="4">
        <v>6</v>
      </c>
      <c r="O52" s="4">
        <v>600</v>
      </c>
      <c r="P52" s="4">
        <v>600</v>
      </c>
      <c r="Q52" s="4">
        <v>70</v>
      </c>
      <c r="R52" s="8">
        <v>420</v>
      </c>
      <c r="S52" s="16" t="str">
        <f>IF(ISERROR(VLOOKUP(G52,[1]작가별정산률!$R:$S,2,0)),"스토리위즈",VLOOKUP(G52,[1]작가별정산률!$R:$S,2,0))</f>
        <v>더컴퍼니</v>
      </c>
      <c r="T52" s="16" t="str">
        <f>IF(S52="스토리위즈",VLOOKUP(G52,[1]작가별정산률!$A:$B,2,0),S52)</f>
        <v>더컴퍼니</v>
      </c>
    </row>
    <row r="53" spans="1:20" x14ac:dyDescent="0.4">
      <c r="A53" s="4" t="s">
        <v>25</v>
      </c>
      <c r="B53" s="4" t="s">
        <v>3</v>
      </c>
      <c r="C53" s="4" t="s">
        <v>33</v>
      </c>
      <c r="D53" s="4" t="s">
        <v>111</v>
      </c>
      <c r="E53" s="4" t="s">
        <v>112</v>
      </c>
      <c r="F53" s="4" t="s">
        <v>34</v>
      </c>
      <c r="G53" s="4" t="s">
        <v>70</v>
      </c>
      <c r="H53" s="4">
        <v>93</v>
      </c>
      <c r="I53" s="4" t="s">
        <v>28</v>
      </c>
      <c r="J53" s="4" t="s">
        <v>30</v>
      </c>
      <c r="K53" s="4">
        <v>100</v>
      </c>
      <c r="L53" s="4">
        <v>100</v>
      </c>
      <c r="M53" s="4">
        <v>2200</v>
      </c>
      <c r="N53" s="4">
        <v>22</v>
      </c>
      <c r="O53" s="4">
        <v>2200</v>
      </c>
      <c r="P53" s="4">
        <v>2200</v>
      </c>
      <c r="Q53" s="4">
        <v>70</v>
      </c>
      <c r="R53" s="8">
        <v>1540</v>
      </c>
      <c r="S53" s="16" t="str">
        <f>IF(ISERROR(VLOOKUP(G53,[1]작가별정산률!$R:$S,2,0)),"스토리위즈",VLOOKUP(G53,[1]작가별정산률!$R:$S,2,0))</f>
        <v>더컴퍼니</v>
      </c>
      <c r="T53" s="16" t="str">
        <f>IF(S53="스토리위즈",VLOOKUP(G53,[1]작가별정산률!$A:$B,2,0),S53)</f>
        <v>더컴퍼니</v>
      </c>
    </row>
    <row r="54" spans="1:20" x14ac:dyDescent="0.4">
      <c r="A54" s="4" t="s">
        <v>25</v>
      </c>
      <c r="B54" s="4" t="s">
        <v>3</v>
      </c>
      <c r="C54" s="4" t="s">
        <v>33</v>
      </c>
      <c r="D54" s="4" t="s">
        <v>111</v>
      </c>
      <c r="E54" s="4" t="s">
        <v>112</v>
      </c>
      <c r="F54" s="4" t="s">
        <v>27</v>
      </c>
      <c r="G54" s="4" t="s">
        <v>70</v>
      </c>
      <c r="H54" s="4">
        <v>93</v>
      </c>
      <c r="I54" s="4" t="s">
        <v>28</v>
      </c>
      <c r="J54" s="4" t="s">
        <v>30</v>
      </c>
      <c r="K54" s="4">
        <v>100</v>
      </c>
      <c r="L54" s="4">
        <v>100</v>
      </c>
      <c r="M54" s="4">
        <v>2400</v>
      </c>
      <c r="N54" s="4">
        <v>24</v>
      </c>
      <c r="O54" s="4">
        <v>2400</v>
      </c>
      <c r="P54" s="4">
        <v>2400</v>
      </c>
      <c r="Q54" s="4">
        <v>70</v>
      </c>
      <c r="R54" s="8">
        <v>1680</v>
      </c>
      <c r="S54" s="16" t="str">
        <f>IF(ISERROR(VLOOKUP(G54,[1]작가별정산률!$R:$S,2,0)),"스토리위즈",VLOOKUP(G54,[1]작가별정산률!$R:$S,2,0))</f>
        <v>더컴퍼니</v>
      </c>
      <c r="T54" s="16" t="str">
        <f>IF(S54="스토리위즈",VLOOKUP(G54,[1]작가별정산률!$A:$B,2,0),S54)</f>
        <v>더컴퍼니</v>
      </c>
    </row>
    <row r="55" spans="1:20" x14ac:dyDescent="0.4">
      <c r="A55" s="4" t="s">
        <v>25</v>
      </c>
      <c r="B55" s="4" t="s">
        <v>3</v>
      </c>
      <c r="C55" s="4" t="s">
        <v>33</v>
      </c>
      <c r="D55" s="4" t="s">
        <v>111</v>
      </c>
      <c r="E55" s="4" t="s">
        <v>112</v>
      </c>
      <c r="F55" s="4" t="s">
        <v>27</v>
      </c>
      <c r="G55" s="4" t="s">
        <v>70</v>
      </c>
      <c r="H55" s="4">
        <v>93</v>
      </c>
      <c r="I55" s="4" t="s">
        <v>28</v>
      </c>
      <c r="J55" s="4" t="s">
        <v>30</v>
      </c>
      <c r="K55" s="4">
        <v>100</v>
      </c>
      <c r="L55" s="4">
        <v>100</v>
      </c>
      <c r="M55" s="4">
        <v>5000</v>
      </c>
      <c r="N55" s="4">
        <v>50</v>
      </c>
      <c r="O55" s="4">
        <v>5000</v>
      </c>
      <c r="P55" s="4">
        <v>5000</v>
      </c>
      <c r="Q55" s="4">
        <v>70</v>
      </c>
      <c r="R55" s="8">
        <v>3500</v>
      </c>
      <c r="S55" s="16" t="str">
        <f>IF(ISERROR(VLOOKUP(G55,[1]작가별정산률!$R:$S,2,0)),"스토리위즈",VLOOKUP(G55,[1]작가별정산률!$R:$S,2,0))</f>
        <v>더컴퍼니</v>
      </c>
      <c r="T55" s="16" t="str">
        <f>IF(S55="스토리위즈",VLOOKUP(G55,[1]작가별정산률!$A:$B,2,0),S55)</f>
        <v>더컴퍼니</v>
      </c>
    </row>
    <row r="56" spans="1:20" x14ac:dyDescent="0.4">
      <c r="A56" s="4" t="s">
        <v>25</v>
      </c>
      <c r="B56" s="4" t="s">
        <v>3</v>
      </c>
      <c r="C56" s="4" t="s">
        <v>33</v>
      </c>
      <c r="D56" s="4" t="s">
        <v>113</v>
      </c>
      <c r="E56" s="4" t="s">
        <v>114</v>
      </c>
      <c r="F56" s="4" t="s">
        <v>32</v>
      </c>
      <c r="G56" s="4" t="s">
        <v>48</v>
      </c>
      <c r="H56" s="4">
        <v>99</v>
      </c>
      <c r="I56" s="4" t="s">
        <v>28</v>
      </c>
      <c r="J56" s="4" t="s">
        <v>30</v>
      </c>
      <c r="K56" s="4">
        <v>100</v>
      </c>
      <c r="L56" s="4">
        <v>100</v>
      </c>
      <c r="M56" s="4">
        <v>8700</v>
      </c>
      <c r="N56" s="4">
        <v>87</v>
      </c>
      <c r="O56" s="4">
        <v>8700</v>
      </c>
      <c r="P56" s="4">
        <v>8700</v>
      </c>
      <c r="Q56" s="4">
        <v>70</v>
      </c>
      <c r="R56" s="8">
        <v>6090</v>
      </c>
      <c r="S56" s="16" t="str">
        <f>IF(ISERROR(VLOOKUP(G56,[1]작가별정산률!$R:$S,2,0)),"스토리위즈",VLOOKUP(G56,[1]작가별정산률!$R:$S,2,0))</f>
        <v>더컴퍼니</v>
      </c>
      <c r="T56" s="16" t="str">
        <f>IF(S56="스토리위즈",VLOOKUP(G56,[1]작가별정산률!$A:$B,2,0),S56)</f>
        <v>더컴퍼니</v>
      </c>
    </row>
    <row r="57" spans="1:20" x14ac:dyDescent="0.4">
      <c r="A57" s="4" t="s">
        <v>25</v>
      </c>
      <c r="B57" s="4" t="s">
        <v>3</v>
      </c>
      <c r="C57" s="4" t="s">
        <v>33</v>
      </c>
      <c r="D57" s="4" t="s">
        <v>115</v>
      </c>
      <c r="E57" s="4" t="s">
        <v>116</v>
      </c>
      <c r="F57" s="4" t="s">
        <v>34</v>
      </c>
      <c r="G57" s="4" t="s">
        <v>117</v>
      </c>
      <c r="H57" s="4">
        <v>139</v>
      </c>
      <c r="I57" s="4" t="s">
        <v>28</v>
      </c>
      <c r="J57" s="4" t="s">
        <v>30</v>
      </c>
      <c r="K57" s="4">
        <v>100</v>
      </c>
      <c r="L57" s="4">
        <v>100</v>
      </c>
      <c r="M57" s="4">
        <v>13600</v>
      </c>
      <c r="N57" s="4">
        <v>136</v>
      </c>
      <c r="O57" s="4">
        <v>13600</v>
      </c>
      <c r="P57" s="4">
        <v>13600</v>
      </c>
      <c r="Q57" s="4">
        <v>70</v>
      </c>
      <c r="R57" s="8">
        <v>9520</v>
      </c>
      <c r="S57" s="16" t="str">
        <f>IF(ISERROR(VLOOKUP(G57,[1]작가별정산률!$R:$S,2,0)),"스토리위즈",VLOOKUP(G57,[1]작가별정산률!$R:$S,2,0))</f>
        <v>더컴퍼니</v>
      </c>
      <c r="T57" s="16" t="str">
        <f>IF(S57="스토리위즈",VLOOKUP(G57,[1]작가별정산률!$A:$B,2,0),S57)</f>
        <v>더컴퍼니</v>
      </c>
    </row>
    <row r="58" spans="1:20" x14ac:dyDescent="0.4">
      <c r="A58" s="4" t="s">
        <v>25</v>
      </c>
      <c r="B58" s="4" t="s">
        <v>3</v>
      </c>
      <c r="C58" s="4" t="s">
        <v>33</v>
      </c>
      <c r="D58" s="4" t="s">
        <v>115</v>
      </c>
      <c r="E58" s="4" t="s">
        <v>116</v>
      </c>
      <c r="F58" s="4" t="s">
        <v>27</v>
      </c>
      <c r="G58" s="4" t="s">
        <v>117</v>
      </c>
      <c r="H58" s="4">
        <v>139</v>
      </c>
      <c r="I58" s="4" t="s">
        <v>28</v>
      </c>
      <c r="J58" s="4" t="s">
        <v>30</v>
      </c>
      <c r="K58" s="4">
        <v>100</v>
      </c>
      <c r="L58" s="4">
        <v>100</v>
      </c>
      <c r="M58" s="4">
        <v>500</v>
      </c>
      <c r="N58" s="4">
        <v>5</v>
      </c>
      <c r="O58" s="4">
        <v>500</v>
      </c>
      <c r="P58" s="4">
        <v>500</v>
      </c>
      <c r="Q58" s="4">
        <v>70</v>
      </c>
      <c r="R58" s="8">
        <v>350</v>
      </c>
      <c r="S58" s="16" t="str">
        <f>IF(ISERROR(VLOOKUP(G58,[1]작가별정산률!$R:$S,2,0)),"스토리위즈",VLOOKUP(G58,[1]작가별정산률!$R:$S,2,0))</f>
        <v>더컴퍼니</v>
      </c>
      <c r="T58" s="16" t="str">
        <f>IF(S58="스토리위즈",VLOOKUP(G58,[1]작가별정산률!$A:$B,2,0),S58)</f>
        <v>더컴퍼니</v>
      </c>
    </row>
    <row r="59" spans="1:20" x14ac:dyDescent="0.4">
      <c r="A59" s="4" t="s">
        <v>25</v>
      </c>
      <c r="B59" s="4" t="s">
        <v>3</v>
      </c>
      <c r="C59" s="4" t="s">
        <v>26</v>
      </c>
      <c r="D59" s="4" t="s">
        <v>118</v>
      </c>
      <c r="E59" s="4" t="s">
        <v>119</v>
      </c>
      <c r="F59" s="4" t="s">
        <v>32</v>
      </c>
      <c r="G59" s="4" t="s">
        <v>120</v>
      </c>
      <c r="H59" s="4">
        <v>75</v>
      </c>
      <c r="I59" s="4" t="s">
        <v>28</v>
      </c>
      <c r="J59" s="4" t="s">
        <v>30</v>
      </c>
      <c r="K59" s="4">
        <v>100</v>
      </c>
      <c r="L59" s="4">
        <v>100</v>
      </c>
      <c r="M59" s="4">
        <v>900</v>
      </c>
      <c r="N59" s="4">
        <v>9</v>
      </c>
      <c r="O59" s="4">
        <v>900</v>
      </c>
      <c r="P59" s="4">
        <v>900</v>
      </c>
      <c r="Q59" s="4">
        <v>70</v>
      </c>
      <c r="R59" s="8">
        <v>630</v>
      </c>
      <c r="S59" s="16" t="str">
        <f>IF(ISERROR(VLOOKUP(G59,[1]작가별정산률!$R:$S,2,0)),"스토리위즈",VLOOKUP(G59,[1]작가별정산률!$R:$S,2,0))</f>
        <v>더컴퍼니</v>
      </c>
      <c r="T59" s="16" t="str">
        <f>IF(S59="스토리위즈",VLOOKUP(G59,[1]작가별정산률!$A:$B,2,0),S59)</f>
        <v>더컴퍼니</v>
      </c>
    </row>
    <row r="60" spans="1:20" x14ac:dyDescent="0.4">
      <c r="A60" s="4" t="s">
        <v>25</v>
      </c>
      <c r="B60" s="4" t="s">
        <v>0</v>
      </c>
      <c r="C60" s="4" t="s">
        <v>31</v>
      </c>
      <c r="D60" s="4" t="s">
        <v>121</v>
      </c>
      <c r="E60" s="4" t="s">
        <v>122</v>
      </c>
      <c r="F60" s="4" t="s">
        <v>34</v>
      </c>
      <c r="G60" s="4" t="s">
        <v>123</v>
      </c>
      <c r="H60" s="4">
        <v>200</v>
      </c>
      <c r="I60" s="4" t="s">
        <v>28</v>
      </c>
      <c r="J60" s="4" t="s">
        <v>30</v>
      </c>
      <c r="K60" s="4">
        <v>100</v>
      </c>
      <c r="L60" s="4">
        <v>100</v>
      </c>
      <c r="M60" s="4">
        <v>1200</v>
      </c>
      <c r="N60" s="4">
        <v>12</v>
      </c>
      <c r="O60" s="4">
        <v>1200</v>
      </c>
      <c r="P60" s="4">
        <v>1200</v>
      </c>
      <c r="Q60" s="4">
        <v>70</v>
      </c>
      <c r="R60" s="8">
        <v>840</v>
      </c>
      <c r="S60" s="16" t="str">
        <f>IF(ISERROR(VLOOKUP(G60,[1]작가별정산률!$R:$S,2,0)),"스토리위즈",VLOOKUP(G60,[1]작가별정산률!$R:$S,2,0))</f>
        <v>스토리위즈</v>
      </c>
      <c r="T60" s="16" t="str">
        <f>IF(S60="스토리위즈",VLOOKUP(G60,[1]작가별정산률!$A:$B,2,0),S60)</f>
        <v>리세마라</v>
      </c>
    </row>
    <row r="61" spans="1:20" x14ac:dyDescent="0.4">
      <c r="A61" s="4" t="s">
        <v>25</v>
      </c>
      <c r="B61" s="4" t="s">
        <v>0</v>
      </c>
      <c r="C61" s="4" t="s">
        <v>31</v>
      </c>
      <c r="D61" s="4" t="s">
        <v>121</v>
      </c>
      <c r="E61" s="4" t="s">
        <v>122</v>
      </c>
      <c r="F61" s="4" t="s">
        <v>27</v>
      </c>
      <c r="G61" s="4" t="s">
        <v>123</v>
      </c>
      <c r="H61" s="4">
        <v>200</v>
      </c>
      <c r="I61" s="4" t="s">
        <v>28</v>
      </c>
      <c r="J61" s="4" t="s">
        <v>30</v>
      </c>
      <c r="K61" s="4">
        <v>100</v>
      </c>
      <c r="L61" s="4">
        <v>100</v>
      </c>
      <c r="M61" s="4">
        <v>4000</v>
      </c>
      <c r="N61" s="4">
        <v>40</v>
      </c>
      <c r="O61" s="4">
        <v>4000</v>
      </c>
      <c r="P61" s="4">
        <v>4000</v>
      </c>
      <c r="Q61" s="4">
        <v>70</v>
      </c>
      <c r="R61" s="8">
        <v>2800</v>
      </c>
      <c r="S61" s="16" t="str">
        <f>IF(ISERROR(VLOOKUP(G61,[1]작가별정산률!$R:$S,2,0)),"스토리위즈",VLOOKUP(G61,[1]작가별정산률!$R:$S,2,0))</f>
        <v>스토리위즈</v>
      </c>
      <c r="T61" s="16" t="str">
        <f>IF(S61="스토리위즈",VLOOKUP(G61,[1]작가별정산률!$A:$B,2,0),S61)</f>
        <v>리세마라</v>
      </c>
    </row>
    <row r="62" spans="1:20" x14ac:dyDescent="0.4">
      <c r="A62" s="4" t="s">
        <v>25</v>
      </c>
      <c r="B62" s="4" t="s">
        <v>3</v>
      </c>
      <c r="C62" s="4" t="s">
        <v>26</v>
      </c>
      <c r="D62" s="4" t="s">
        <v>166</v>
      </c>
      <c r="E62" s="4" t="s">
        <v>167</v>
      </c>
      <c r="F62" s="4" t="s">
        <v>34</v>
      </c>
      <c r="G62" s="4" t="s">
        <v>98</v>
      </c>
      <c r="H62" s="4">
        <v>87</v>
      </c>
      <c r="I62" s="4" t="s">
        <v>28</v>
      </c>
      <c r="J62" s="4" t="s">
        <v>30</v>
      </c>
      <c r="K62" s="4">
        <v>100</v>
      </c>
      <c r="L62" s="4">
        <v>100</v>
      </c>
      <c r="M62" s="4">
        <v>15200</v>
      </c>
      <c r="N62" s="4">
        <v>152</v>
      </c>
      <c r="O62" s="4">
        <v>15200</v>
      </c>
      <c r="P62" s="4">
        <v>15200</v>
      </c>
      <c r="Q62" s="4">
        <v>70</v>
      </c>
      <c r="R62" s="8">
        <v>10640</v>
      </c>
      <c r="S62" s="16" t="str">
        <f>IF(ISERROR(VLOOKUP(G62,[1]작가별정산률!$R:$S,2,0)),"스토리위즈",VLOOKUP(G62,[1]작가별정산률!$R:$S,2,0))</f>
        <v>스토리위즈</v>
      </c>
      <c r="T62" s="16" t="str">
        <f>IF(S62="스토리위즈",VLOOKUP(G62,[1]작가별정산률!$A:$B,2,0),S62)</f>
        <v>스내치</v>
      </c>
    </row>
    <row r="63" spans="1:20" x14ac:dyDescent="0.4">
      <c r="A63" s="4" t="s">
        <v>25</v>
      </c>
      <c r="B63" s="4" t="s">
        <v>3</v>
      </c>
      <c r="C63" s="4" t="s">
        <v>26</v>
      </c>
      <c r="D63" s="4" t="s">
        <v>166</v>
      </c>
      <c r="E63" s="4" t="s">
        <v>167</v>
      </c>
      <c r="F63" s="4" t="s">
        <v>27</v>
      </c>
      <c r="G63" s="4" t="s">
        <v>98</v>
      </c>
      <c r="H63" s="4">
        <v>87</v>
      </c>
      <c r="I63" s="4" t="s">
        <v>28</v>
      </c>
      <c r="J63" s="4" t="s">
        <v>30</v>
      </c>
      <c r="K63" s="4">
        <v>100</v>
      </c>
      <c r="L63" s="4">
        <v>100</v>
      </c>
      <c r="M63" s="4">
        <v>4600</v>
      </c>
      <c r="N63" s="4">
        <v>46</v>
      </c>
      <c r="O63" s="4">
        <v>4600</v>
      </c>
      <c r="P63" s="4">
        <v>4600</v>
      </c>
      <c r="Q63" s="4">
        <v>70</v>
      </c>
      <c r="R63" s="8">
        <v>3220</v>
      </c>
      <c r="S63" s="16" t="str">
        <f>IF(ISERROR(VLOOKUP(G63,[1]작가별정산률!$R:$S,2,0)),"스토리위즈",VLOOKUP(G63,[1]작가별정산률!$R:$S,2,0))</f>
        <v>스토리위즈</v>
      </c>
      <c r="T63" s="16" t="str">
        <f>IF(S63="스토리위즈",VLOOKUP(G63,[1]작가별정산률!$A:$B,2,0),S63)</f>
        <v>스내치</v>
      </c>
    </row>
    <row r="64" spans="1:20" x14ac:dyDescent="0.4">
      <c r="A64" s="4" t="s">
        <v>25</v>
      </c>
      <c r="B64" s="4" t="s">
        <v>3</v>
      </c>
      <c r="C64" s="4" t="s">
        <v>26</v>
      </c>
      <c r="D64" s="4" t="s">
        <v>166</v>
      </c>
      <c r="E64" s="4" t="s">
        <v>167</v>
      </c>
      <c r="F64" s="4" t="s">
        <v>27</v>
      </c>
      <c r="G64" s="4" t="s">
        <v>98</v>
      </c>
      <c r="H64" s="4">
        <v>87</v>
      </c>
      <c r="I64" s="4" t="s">
        <v>28</v>
      </c>
      <c r="J64" s="4" t="s">
        <v>30</v>
      </c>
      <c r="K64" s="4">
        <v>100</v>
      </c>
      <c r="L64" s="4">
        <v>100</v>
      </c>
      <c r="M64" s="4">
        <v>15100</v>
      </c>
      <c r="N64" s="4">
        <v>151</v>
      </c>
      <c r="O64" s="4">
        <v>15100</v>
      </c>
      <c r="P64" s="4">
        <v>15100</v>
      </c>
      <c r="Q64" s="4">
        <v>70</v>
      </c>
      <c r="R64" s="8">
        <v>10570</v>
      </c>
      <c r="S64" s="16" t="str">
        <f>IF(ISERROR(VLOOKUP(G64,[1]작가별정산률!$R:$S,2,0)),"스토리위즈",VLOOKUP(G64,[1]작가별정산률!$R:$S,2,0))</f>
        <v>스토리위즈</v>
      </c>
      <c r="T64" s="16" t="str">
        <f>IF(S64="스토리위즈",VLOOKUP(G64,[1]작가별정산률!$A:$B,2,0),S64)</f>
        <v>스내치</v>
      </c>
    </row>
    <row r="65" spans="1:20" x14ac:dyDescent="0.4">
      <c r="A65" s="4" t="s">
        <v>25</v>
      </c>
      <c r="B65" s="4" t="s">
        <v>0</v>
      </c>
      <c r="C65" s="4" t="s">
        <v>31</v>
      </c>
      <c r="D65" s="4" t="s">
        <v>168</v>
      </c>
      <c r="E65" s="4" t="s">
        <v>169</v>
      </c>
      <c r="F65" s="4" t="s">
        <v>34</v>
      </c>
      <c r="G65" s="4" t="s">
        <v>170</v>
      </c>
      <c r="H65" s="4">
        <v>201</v>
      </c>
      <c r="I65" s="4" t="s">
        <v>28</v>
      </c>
      <c r="J65" s="4" t="s">
        <v>29</v>
      </c>
      <c r="K65" s="4">
        <v>100</v>
      </c>
      <c r="L65" s="4">
        <v>100</v>
      </c>
      <c r="M65" s="4">
        <v>3400</v>
      </c>
      <c r="N65" s="4">
        <v>34</v>
      </c>
      <c r="O65" s="4">
        <v>3400</v>
      </c>
      <c r="P65" s="4">
        <v>3400</v>
      </c>
      <c r="Q65" s="4">
        <v>70</v>
      </c>
      <c r="R65" s="8">
        <v>2380</v>
      </c>
      <c r="S65" s="16" t="str">
        <f>IF(ISERROR(VLOOKUP(G65,[1]작가별정산률!$R:$S,2,0)),"스토리위즈",VLOOKUP(G65,[1]작가별정산률!$R:$S,2,0))</f>
        <v>스토리위즈</v>
      </c>
      <c r="T65" s="16" t="str">
        <f>IF(S65="스토리위즈",VLOOKUP(G65,[1]작가별정산률!$A:$B,2,0),S65)</f>
        <v>갓띵작</v>
      </c>
    </row>
    <row r="66" spans="1:20" x14ac:dyDescent="0.4">
      <c r="A66" s="4" t="s">
        <v>25</v>
      </c>
      <c r="B66" s="4" t="s">
        <v>0</v>
      </c>
      <c r="C66" s="4" t="s">
        <v>31</v>
      </c>
      <c r="D66" s="4" t="s">
        <v>168</v>
      </c>
      <c r="E66" s="4" t="s">
        <v>169</v>
      </c>
      <c r="F66" s="4" t="s">
        <v>34</v>
      </c>
      <c r="G66" s="4" t="s">
        <v>170</v>
      </c>
      <c r="H66" s="4">
        <v>201</v>
      </c>
      <c r="I66" s="4" t="s">
        <v>28</v>
      </c>
      <c r="J66" s="4" t="s">
        <v>30</v>
      </c>
      <c r="K66" s="4">
        <v>100</v>
      </c>
      <c r="L66" s="4">
        <v>100</v>
      </c>
      <c r="M66" s="4">
        <v>29900</v>
      </c>
      <c r="N66" s="4">
        <v>299</v>
      </c>
      <c r="O66" s="4">
        <v>29900</v>
      </c>
      <c r="P66" s="4">
        <v>29900</v>
      </c>
      <c r="Q66" s="4">
        <v>70</v>
      </c>
      <c r="R66" s="8">
        <v>20930</v>
      </c>
      <c r="S66" s="16" t="str">
        <f>IF(ISERROR(VLOOKUP(G66,[1]작가별정산률!$R:$S,2,0)),"스토리위즈",VLOOKUP(G66,[1]작가별정산률!$R:$S,2,0))</f>
        <v>스토리위즈</v>
      </c>
      <c r="T66" s="16" t="str">
        <f>IF(S66="스토리위즈",VLOOKUP(G66,[1]작가별정산률!$A:$B,2,0),S66)</f>
        <v>갓띵작</v>
      </c>
    </row>
    <row r="67" spans="1:20" x14ac:dyDescent="0.4">
      <c r="A67" s="4" t="s">
        <v>25</v>
      </c>
      <c r="B67" s="4" t="s">
        <v>0</v>
      </c>
      <c r="C67" s="4" t="s">
        <v>31</v>
      </c>
      <c r="D67" s="4" t="s">
        <v>168</v>
      </c>
      <c r="E67" s="4" t="s">
        <v>169</v>
      </c>
      <c r="F67" s="4" t="s">
        <v>27</v>
      </c>
      <c r="G67" s="4" t="s">
        <v>170</v>
      </c>
      <c r="H67" s="4">
        <v>201</v>
      </c>
      <c r="I67" s="4" t="s">
        <v>28</v>
      </c>
      <c r="J67" s="4" t="s">
        <v>29</v>
      </c>
      <c r="K67" s="4">
        <v>100</v>
      </c>
      <c r="L67" s="4">
        <v>100</v>
      </c>
      <c r="M67" s="4">
        <v>6700</v>
      </c>
      <c r="N67" s="4">
        <v>67</v>
      </c>
      <c r="O67" s="4">
        <v>6700</v>
      </c>
      <c r="P67" s="4">
        <v>6700</v>
      </c>
      <c r="Q67" s="4">
        <v>70</v>
      </c>
      <c r="R67" s="8">
        <v>4690</v>
      </c>
      <c r="S67" s="16" t="str">
        <f>IF(ISERROR(VLOOKUP(G67,[1]작가별정산률!$R:$S,2,0)),"스토리위즈",VLOOKUP(G67,[1]작가별정산률!$R:$S,2,0))</f>
        <v>스토리위즈</v>
      </c>
      <c r="T67" s="16" t="str">
        <f>IF(S67="스토리위즈",VLOOKUP(G67,[1]작가별정산률!$A:$B,2,0),S67)</f>
        <v>갓띵작</v>
      </c>
    </row>
    <row r="68" spans="1:20" x14ac:dyDescent="0.4">
      <c r="A68" s="4" t="s">
        <v>25</v>
      </c>
      <c r="B68" s="4" t="s">
        <v>0</v>
      </c>
      <c r="C68" s="4" t="s">
        <v>31</v>
      </c>
      <c r="D68" s="4" t="s">
        <v>168</v>
      </c>
      <c r="E68" s="4" t="s">
        <v>169</v>
      </c>
      <c r="F68" s="4" t="s">
        <v>27</v>
      </c>
      <c r="G68" s="4" t="s">
        <v>170</v>
      </c>
      <c r="H68" s="4">
        <v>201</v>
      </c>
      <c r="I68" s="4" t="s">
        <v>28</v>
      </c>
      <c r="J68" s="4" t="s">
        <v>30</v>
      </c>
      <c r="K68" s="4">
        <v>100</v>
      </c>
      <c r="L68" s="4">
        <v>100</v>
      </c>
      <c r="M68" s="4">
        <v>6200</v>
      </c>
      <c r="N68" s="4">
        <v>62</v>
      </c>
      <c r="O68" s="4">
        <v>6200</v>
      </c>
      <c r="P68" s="4">
        <v>6200</v>
      </c>
      <c r="Q68" s="4">
        <v>70</v>
      </c>
      <c r="R68" s="8">
        <v>4340</v>
      </c>
      <c r="S68" s="16" t="str">
        <f>IF(ISERROR(VLOOKUP(G68,[1]작가별정산률!$R:$S,2,0)),"스토리위즈",VLOOKUP(G68,[1]작가별정산률!$R:$S,2,0))</f>
        <v>스토리위즈</v>
      </c>
      <c r="T68" s="16" t="str">
        <f>IF(S68="스토리위즈",VLOOKUP(G68,[1]작가별정산률!$A:$B,2,0),S68)</f>
        <v>갓띵작</v>
      </c>
    </row>
    <row r="69" spans="1:20" x14ac:dyDescent="0.4">
      <c r="A69" s="4" t="s">
        <v>25</v>
      </c>
      <c r="B69" s="4" t="s">
        <v>0</v>
      </c>
      <c r="C69" s="4" t="s">
        <v>31</v>
      </c>
      <c r="D69" s="4" t="s">
        <v>168</v>
      </c>
      <c r="E69" s="4" t="s">
        <v>169</v>
      </c>
      <c r="F69" s="4" t="s">
        <v>27</v>
      </c>
      <c r="G69" s="4" t="s">
        <v>170</v>
      </c>
      <c r="H69" s="4">
        <v>201</v>
      </c>
      <c r="I69" s="4" t="s">
        <v>28</v>
      </c>
      <c r="J69" s="4" t="s">
        <v>29</v>
      </c>
      <c r="K69" s="4">
        <v>100</v>
      </c>
      <c r="L69" s="4">
        <v>100</v>
      </c>
      <c r="M69" s="4">
        <v>9300</v>
      </c>
      <c r="N69" s="4">
        <v>93</v>
      </c>
      <c r="O69" s="4">
        <v>9300</v>
      </c>
      <c r="P69" s="4">
        <v>9300</v>
      </c>
      <c r="Q69" s="4">
        <v>70</v>
      </c>
      <c r="R69" s="8">
        <v>6510</v>
      </c>
      <c r="S69" s="16" t="str">
        <f>IF(ISERROR(VLOOKUP(G69,[1]작가별정산률!$R:$S,2,0)),"스토리위즈",VLOOKUP(G69,[1]작가별정산률!$R:$S,2,0))</f>
        <v>스토리위즈</v>
      </c>
      <c r="T69" s="16" t="str">
        <f>IF(S69="스토리위즈",VLOOKUP(G69,[1]작가별정산률!$A:$B,2,0),S69)</f>
        <v>갓띵작</v>
      </c>
    </row>
    <row r="70" spans="1:20" x14ac:dyDescent="0.4">
      <c r="A70" s="4" t="s">
        <v>25</v>
      </c>
      <c r="B70" s="4" t="s">
        <v>0</v>
      </c>
      <c r="C70" s="4" t="s">
        <v>31</v>
      </c>
      <c r="D70" s="4" t="s">
        <v>168</v>
      </c>
      <c r="E70" s="4" t="s">
        <v>169</v>
      </c>
      <c r="F70" s="4" t="s">
        <v>27</v>
      </c>
      <c r="G70" s="4" t="s">
        <v>170</v>
      </c>
      <c r="H70" s="4">
        <v>201</v>
      </c>
      <c r="I70" s="4" t="s">
        <v>28</v>
      </c>
      <c r="J70" s="4" t="s">
        <v>30</v>
      </c>
      <c r="K70" s="4">
        <v>100</v>
      </c>
      <c r="L70" s="4">
        <v>100</v>
      </c>
      <c r="M70" s="4">
        <v>224700</v>
      </c>
      <c r="N70" s="4">
        <v>2247</v>
      </c>
      <c r="O70" s="4">
        <v>224700</v>
      </c>
      <c r="P70" s="4">
        <v>224700</v>
      </c>
      <c r="Q70" s="4">
        <v>70</v>
      </c>
      <c r="R70" s="8">
        <v>157290</v>
      </c>
      <c r="S70" s="16" t="str">
        <f>IF(ISERROR(VLOOKUP(G70,[1]작가별정산률!$R:$S,2,0)),"스토리위즈",VLOOKUP(G70,[1]작가별정산률!$R:$S,2,0))</f>
        <v>스토리위즈</v>
      </c>
      <c r="T70" s="16" t="str">
        <f>IF(S70="스토리위즈",VLOOKUP(G70,[1]작가별정산률!$A:$B,2,0),S70)</f>
        <v>갓띵작</v>
      </c>
    </row>
    <row r="71" spans="1:20" x14ac:dyDescent="0.4">
      <c r="A71" s="4" t="s">
        <v>25</v>
      </c>
      <c r="B71" s="4" t="s">
        <v>0</v>
      </c>
      <c r="C71" s="4" t="s">
        <v>31</v>
      </c>
      <c r="D71" s="4" t="s">
        <v>168</v>
      </c>
      <c r="E71" s="4" t="s">
        <v>169</v>
      </c>
      <c r="F71" s="4" t="s">
        <v>32</v>
      </c>
      <c r="G71" s="4" t="s">
        <v>170</v>
      </c>
      <c r="H71" s="4">
        <v>201</v>
      </c>
      <c r="I71" s="4" t="s">
        <v>28</v>
      </c>
      <c r="J71" s="4" t="s">
        <v>30</v>
      </c>
      <c r="K71" s="4">
        <v>100</v>
      </c>
      <c r="L71" s="4">
        <v>100</v>
      </c>
      <c r="M71" s="4">
        <v>100</v>
      </c>
      <c r="N71" s="4">
        <v>1</v>
      </c>
      <c r="O71" s="4">
        <v>100</v>
      </c>
      <c r="P71" s="4">
        <v>100</v>
      </c>
      <c r="Q71" s="4">
        <v>70</v>
      </c>
      <c r="R71" s="8">
        <v>70</v>
      </c>
      <c r="S71" s="16" t="str">
        <f>IF(ISERROR(VLOOKUP(G71,[1]작가별정산률!$R:$S,2,0)),"스토리위즈",VLOOKUP(G71,[1]작가별정산률!$R:$S,2,0))</f>
        <v>스토리위즈</v>
      </c>
      <c r="T71" s="16" t="str">
        <f>IF(S71="스토리위즈",VLOOKUP(G71,[1]작가별정산률!$A:$B,2,0),S71)</f>
        <v>갓띵작</v>
      </c>
    </row>
    <row r="72" spans="1:20" x14ac:dyDescent="0.4">
      <c r="A72" s="4" t="s">
        <v>25</v>
      </c>
      <c r="B72" s="4" t="s">
        <v>0</v>
      </c>
      <c r="C72" s="4" t="s">
        <v>31</v>
      </c>
      <c r="D72" s="4" t="s">
        <v>168</v>
      </c>
      <c r="E72" s="4" t="s">
        <v>169</v>
      </c>
      <c r="F72" s="4" t="s">
        <v>32</v>
      </c>
      <c r="G72" s="4" t="s">
        <v>170</v>
      </c>
      <c r="H72" s="4">
        <v>201</v>
      </c>
      <c r="I72" s="4" t="s">
        <v>28</v>
      </c>
      <c r="J72" s="4" t="s">
        <v>30</v>
      </c>
      <c r="K72" s="4">
        <v>100</v>
      </c>
      <c r="L72" s="4">
        <v>100</v>
      </c>
      <c r="M72" s="4">
        <v>100</v>
      </c>
      <c r="N72" s="4">
        <v>1</v>
      </c>
      <c r="O72" s="4">
        <v>100</v>
      </c>
      <c r="P72" s="4">
        <v>100</v>
      </c>
      <c r="Q72" s="4">
        <v>70</v>
      </c>
      <c r="R72" s="8">
        <v>70</v>
      </c>
      <c r="S72" s="16" t="str">
        <f>IF(ISERROR(VLOOKUP(G72,[1]작가별정산률!$R:$S,2,0)),"스토리위즈",VLOOKUP(G72,[1]작가별정산률!$R:$S,2,0))</f>
        <v>스토리위즈</v>
      </c>
      <c r="T72" s="16" t="str">
        <f>IF(S72="스토리위즈",VLOOKUP(G72,[1]작가별정산률!$A:$B,2,0),S72)</f>
        <v>갓띵작</v>
      </c>
    </row>
    <row r="73" spans="1:20" x14ac:dyDescent="0.4">
      <c r="A73" s="4" t="s">
        <v>25</v>
      </c>
      <c r="B73" s="4" t="s">
        <v>3</v>
      </c>
      <c r="C73" s="4" t="s">
        <v>26</v>
      </c>
      <c r="D73" s="4" t="s">
        <v>171</v>
      </c>
      <c r="E73" s="4" t="s">
        <v>172</v>
      </c>
      <c r="F73" s="4" t="s">
        <v>27</v>
      </c>
      <c r="G73" s="4" t="s">
        <v>173</v>
      </c>
      <c r="H73" s="4">
        <v>187</v>
      </c>
      <c r="I73" s="4" t="s">
        <v>28</v>
      </c>
      <c r="J73" s="4" t="s">
        <v>30</v>
      </c>
      <c r="K73" s="4">
        <v>100</v>
      </c>
      <c r="L73" s="4">
        <v>100</v>
      </c>
      <c r="M73" s="4">
        <v>800</v>
      </c>
      <c r="N73" s="4">
        <v>8</v>
      </c>
      <c r="O73" s="4">
        <v>800</v>
      </c>
      <c r="P73" s="4">
        <v>800</v>
      </c>
      <c r="Q73" s="4">
        <v>70</v>
      </c>
      <c r="R73" s="8">
        <v>560</v>
      </c>
      <c r="S73" s="16" t="str">
        <f>IF(ISERROR(VLOOKUP(G73,[1]작가별정산률!$R:$S,2,0)),"스토리위즈",VLOOKUP(G73,[1]작가별정산률!$R:$S,2,0))</f>
        <v>스토리위즈</v>
      </c>
      <c r="T73" s="16" t="str">
        <f>IF(S73="스토리위즈",VLOOKUP(G73,[1]작가별정산률!$A:$B,2,0),S73)</f>
        <v>김온별</v>
      </c>
    </row>
    <row r="74" spans="1:20" x14ac:dyDescent="0.4">
      <c r="A74" s="4" t="s">
        <v>25</v>
      </c>
      <c r="B74" s="4" t="s">
        <v>3</v>
      </c>
      <c r="C74" s="4" t="s">
        <v>26</v>
      </c>
      <c r="D74" s="4" t="s">
        <v>171</v>
      </c>
      <c r="E74" s="4" t="s">
        <v>172</v>
      </c>
      <c r="F74" s="4" t="s">
        <v>32</v>
      </c>
      <c r="G74" s="4" t="s">
        <v>173</v>
      </c>
      <c r="H74" s="4">
        <v>187</v>
      </c>
      <c r="I74" s="4" t="s">
        <v>28</v>
      </c>
      <c r="J74" s="4" t="s">
        <v>30</v>
      </c>
      <c r="K74" s="4">
        <v>100</v>
      </c>
      <c r="L74" s="4">
        <v>100</v>
      </c>
      <c r="M74" s="4">
        <v>4200</v>
      </c>
      <c r="N74" s="4">
        <v>42</v>
      </c>
      <c r="O74" s="4">
        <v>4200</v>
      </c>
      <c r="P74" s="4">
        <v>4200</v>
      </c>
      <c r="Q74" s="4">
        <v>70</v>
      </c>
      <c r="R74" s="8">
        <v>2940</v>
      </c>
      <c r="S74" s="16" t="str">
        <f>IF(ISERROR(VLOOKUP(G74,[1]작가별정산률!$R:$S,2,0)),"스토리위즈",VLOOKUP(G74,[1]작가별정산률!$R:$S,2,0))</f>
        <v>스토리위즈</v>
      </c>
      <c r="T74" s="16" t="str">
        <f>IF(S74="스토리위즈",VLOOKUP(G74,[1]작가별정산률!$A:$B,2,0),S74)</f>
        <v>김온별</v>
      </c>
    </row>
    <row r="75" spans="1:20" x14ac:dyDescent="0.4">
      <c r="A75" s="4" t="s">
        <v>25</v>
      </c>
      <c r="B75" s="4" t="s">
        <v>3</v>
      </c>
      <c r="C75" s="4" t="s">
        <v>33</v>
      </c>
      <c r="D75" s="4" t="s">
        <v>174</v>
      </c>
      <c r="E75" s="4" t="s">
        <v>175</v>
      </c>
      <c r="F75" s="4" t="s">
        <v>34</v>
      </c>
      <c r="G75" s="4" t="s">
        <v>176</v>
      </c>
      <c r="H75" s="4">
        <v>62</v>
      </c>
      <c r="I75" s="4" t="s">
        <v>28</v>
      </c>
      <c r="J75" s="4" t="s">
        <v>30</v>
      </c>
      <c r="K75" s="4">
        <v>100</v>
      </c>
      <c r="L75" s="4">
        <v>100</v>
      </c>
      <c r="M75" s="4">
        <v>12900</v>
      </c>
      <c r="N75" s="4">
        <v>129</v>
      </c>
      <c r="O75" s="4">
        <v>12900</v>
      </c>
      <c r="P75" s="4">
        <v>12900</v>
      </c>
      <c r="Q75" s="4">
        <v>70</v>
      </c>
      <c r="R75" s="8">
        <v>9030</v>
      </c>
      <c r="S75" s="16" t="str">
        <f>IF(ISERROR(VLOOKUP(G75,[1]작가별정산률!$R:$S,2,0)),"스토리위즈",VLOOKUP(G75,[1]작가별정산률!$R:$S,2,0))</f>
        <v>스토리위즈</v>
      </c>
      <c r="T75" s="16" t="str">
        <f>IF(S75="스토리위즈",VLOOKUP(G75,[1]작가별정산률!$A:$B,2,0),S75)</f>
        <v>제외</v>
      </c>
    </row>
    <row r="76" spans="1:20" x14ac:dyDescent="0.4">
      <c r="A76" s="4" t="s">
        <v>25</v>
      </c>
      <c r="B76" s="4" t="s">
        <v>3</v>
      </c>
      <c r="C76" s="4" t="s">
        <v>33</v>
      </c>
      <c r="D76" s="4" t="s">
        <v>174</v>
      </c>
      <c r="E76" s="4" t="s">
        <v>175</v>
      </c>
      <c r="F76" s="4" t="s">
        <v>27</v>
      </c>
      <c r="G76" s="4" t="s">
        <v>176</v>
      </c>
      <c r="H76" s="4">
        <v>62</v>
      </c>
      <c r="I76" s="4" t="s">
        <v>28</v>
      </c>
      <c r="J76" s="4" t="s">
        <v>30</v>
      </c>
      <c r="K76" s="4">
        <v>100</v>
      </c>
      <c r="L76" s="4">
        <v>100</v>
      </c>
      <c r="M76" s="4">
        <v>14400</v>
      </c>
      <c r="N76" s="4">
        <v>144</v>
      </c>
      <c r="O76" s="4">
        <v>14400</v>
      </c>
      <c r="P76" s="4">
        <v>14400</v>
      </c>
      <c r="Q76" s="4">
        <v>70</v>
      </c>
      <c r="R76" s="8">
        <v>10080</v>
      </c>
      <c r="S76" s="16" t="str">
        <f>IF(ISERROR(VLOOKUP(G76,[1]작가별정산률!$R:$S,2,0)),"스토리위즈",VLOOKUP(G76,[1]작가별정산률!$R:$S,2,0))</f>
        <v>스토리위즈</v>
      </c>
      <c r="T76" s="16" t="str">
        <f>IF(S76="스토리위즈",VLOOKUP(G76,[1]작가별정산률!$A:$B,2,0),S76)</f>
        <v>제외</v>
      </c>
    </row>
    <row r="77" spans="1:20" x14ac:dyDescent="0.4">
      <c r="A77" s="4" t="s">
        <v>25</v>
      </c>
      <c r="B77" s="4" t="s">
        <v>3</v>
      </c>
      <c r="C77" s="4" t="s">
        <v>33</v>
      </c>
      <c r="D77" s="4" t="s">
        <v>174</v>
      </c>
      <c r="E77" s="4" t="s">
        <v>175</v>
      </c>
      <c r="F77" s="4" t="s">
        <v>27</v>
      </c>
      <c r="G77" s="4" t="s">
        <v>176</v>
      </c>
      <c r="H77" s="4">
        <v>62</v>
      </c>
      <c r="I77" s="4" t="s">
        <v>28</v>
      </c>
      <c r="J77" s="4" t="s">
        <v>30</v>
      </c>
      <c r="K77" s="4">
        <v>100</v>
      </c>
      <c r="L77" s="4">
        <v>100</v>
      </c>
      <c r="M77" s="4">
        <v>58700</v>
      </c>
      <c r="N77" s="4">
        <v>587</v>
      </c>
      <c r="O77" s="4">
        <v>58700</v>
      </c>
      <c r="P77" s="4">
        <v>58700</v>
      </c>
      <c r="Q77" s="4">
        <v>70</v>
      </c>
      <c r="R77" s="8">
        <v>41090</v>
      </c>
      <c r="S77" s="16" t="str">
        <f>IF(ISERROR(VLOOKUP(G77,[1]작가별정산률!$R:$S,2,0)),"스토리위즈",VLOOKUP(G77,[1]작가별정산률!$R:$S,2,0))</f>
        <v>스토리위즈</v>
      </c>
      <c r="T77" s="16" t="str">
        <f>IF(S77="스토리위즈",VLOOKUP(G77,[1]작가별정산률!$A:$B,2,0),S77)</f>
        <v>제외</v>
      </c>
    </row>
    <row r="78" spans="1:20" x14ac:dyDescent="0.4">
      <c r="A78" s="4" t="s">
        <v>25</v>
      </c>
      <c r="B78" s="4" t="s">
        <v>3</v>
      </c>
      <c r="C78" s="4" t="s">
        <v>33</v>
      </c>
      <c r="D78" s="4" t="s">
        <v>174</v>
      </c>
      <c r="E78" s="4" t="s">
        <v>175</v>
      </c>
      <c r="F78" s="4" t="s">
        <v>32</v>
      </c>
      <c r="G78" s="4" t="s">
        <v>176</v>
      </c>
      <c r="H78" s="4">
        <v>62</v>
      </c>
      <c r="I78" s="4" t="s">
        <v>28</v>
      </c>
      <c r="J78" s="4" t="s">
        <v>30</v>
      </c>
      <c r="K78" s="4">
        <v>100</v>
      </c>
      <c r="L78" s="4">
        <v>100</v>
      </c>
      <c r="M78" s="4">
        <v>4500</v>
      </c>
      <c r="N78" s="4">
        <v>45</v>
      </c>
      <c r="O78" s="4">
        <v>4500</v>
      </c>
      <c r="P78" s="4">
        <v>4500</v>
      </c>
      <c r="Q78" s="4">
        <v>70</v>
      </c>
      <c r="R78" s="8">
        <v>3150</v>
      </c>
      <c r="S78" s="16" t="str">
        <f>IF(ISERROR(VLOOKUP(G78,[1]작가별정산률!$R:$S,2,0)),"스토리위즈",VLOOKUP(G78,[1]작가별정산률!$R:$S,2,0))</f>
        <v>스토리위즈</v>
      </c>
      <c r="T78" s="16" t="str">
        <f>IF(S78="스토리위즈",VLOOKUP(G78,[1]작가별정산률!$A:$B,2,0),S78)</f>
        <v>제외</v>
      </c>
    </row>
    <row r="79" spans="1:20" x14ac:dyDescent="0.4">
      <c r="A79" s="4" t="s">
        <v>25</v>
      </c>
      <c r="B79" s="4" t="s">
        <v>3</v>
      </c>
      <c r="C79" s="4" t="s">
        <v>33</v>
      </c>
      <c r="D79" s="4" t="s">
        <v>177</v>
      </c>
      <c r="E79" s="4" t="s">
        <v>178</v>
      </c>
      <c r="F79" s="4" t="s">
        <v>34</v>
      </c>
      <c r="G79" s="4" t="s">
        <v>179</v>
      </c>
      <c r="H79" s="4">
        <v>75</v>
      </c>
      <c r="I79" s="4" t="s">
        <v>28</v>
      </c>
      <c r="J79" s="4" t="s">
        <v>30</v>
      </c>
      <c r="K79" s="4">
        <v>100</v>
      </c>
      <c r="L79" s="4">
        <v>100</v>
      </c>
      <c r="M79" s="4">
        <v>8600</v>
      </c>
      <c r="N79" s="4">
        <v>86</v>
      </c>
      <c r="O79" s="4">
        <v>8600</v>
      </c>
      <c r="P79" s="4">
        <v>8600</v>
      </c>
      <c r="Q79" s="4">
        <v>70</v>
      </c>
      <c r="R79" s="8">
        <v>6020</v>
      </c>
      <c r="S79" s="16" t="str">
        <f>IF(ISERROR(VLOOKUP(G79,[1]작가별정산률!$R:$S,2,0)),"스토리위즈",VLOOKUP(G79,[1]작가별정산률!$R:$S,2,0))</f>
        <v>스토리위즈</v>
      </c>
      <c r="T79" s="16" t="str">
        <f>IF(S79="스토리위즈",VLOOKUP(G79,[1]작가별정산률!$A:$B,2,0),S79)</f>
        <v>DION(디온)</v>
      </c>
    </row>
    <row r="80" spans="1:20" x14ac:dyDescent="0.4">
      <c r="A80" s="4" t="s">
        <v>25</v>
      </c>
      <c r="B80" s="4" t="s">
        <v>3</v>
      </c>
      <c r="C80" s="4" t="s">
        <v>33</v>
      </c>
      <c r="D80" s="4" t="s">
        <v>177</v>
      </c>
      <c r="E80" s="4" t="s">
        <v>178</v>
      </c>
      <c r="F80" s="4" t="s">
        <v>32</v>
      </c>
      <c r="G80" s="4" t="s">
        <v>179</v>
      </c>
      <c r="H80" s="4">
        <v>75</v>
      </c>
      <c r="I80" s="4" t="s">
        <v>28</v>
      </c>
      <c r="J80" s="4" t="s">
        <v>30</v>
      </c>
      <c r="K80" s="4">
        <v>100</v>
      </c>
      <c r="L80" s="4">
        <v>100</v>
      </c>
      <c r="M80" s="4">
        <v>7200</v>
      </c>
      <c r="N80" s="4">
        <v>72</v>
      </c>
      <c r="O80" s="4">
        <v>7200</v>
      </c>
      <c r="P80" s="4">
        <v>7200</v>
      </c>
      <c r="Q80" s="4">
        <v>70</v>
      </c>
      <c r="R80" s="8">
        <v>5040</v>
      </c>
      <c r="S80" s="16" t="str">
        <f>IF(ISERROR(VLOOKUP(G80,[1]작가별정산률!$R:$S,2,0)),"스토리위즈",VLOOKUP(G80,[1]작가별정산률!$R:$S,2,0))</f>
        <v>스토리위즈</v>
      </c>
      <c r="T80" s="16" t="str">
        <f>IF(S80="스토리위즈",VLOOKUP(G80,[1]작가별정산률!$A:$B,2,0),S80)</f>
        <v>DION(디온)</v>
      </c>
    </row>
    <row r="81" spans="1:20" x14ac:dyDescent="0.4">
      <c r="A81" s="4" t="s">
        <v>25</v>
      </c>
      <c r="B81" s="4" t="s">
        <v>3</v>
      </c>
      <c r="C81" s="4" t="s">
        <v>33</v>
      </c>
      <c r="D81" s="4" t="s">
        <v>177</v>
      </c>
      <c r="E81" s="4" t="s">
        <v>178</v>
      </c>
      <c r="F81" s="4" t="s">
        <v>27</v>
      </c>
      <c r="G81" s="4" t="s">
        <v>179</v>
      </c>
      <c r="H81" s="4">
        <v>75</v>
      </c>
      <c r="I81" s="4" t="s">
        <v>28</v>
      </c>
      <c r="J81" s="4" t="s">
        <v>30</v>
      </c>
      <c r="K81" s="4">
        <v>100</v>
      </c>
      <c r="L81" s="4">
        <v>100</v>
      </c>
      <c r="M81" s="4">
        <v>11600</v>
      </c>
      <c r="N81" s="4">
        <v>116</v>
      </c>
      <c r="O81" s="4">
        <v>11600</v>
      </c>
      <c r="P81" s="4">
        <v>11600</v>
      </c>
      <c r="Q81" s="4">
        <v>70</v>
      </c>
      <c r="R81" s="8">
        <v>8120</v>
      </c>
      <c r="S81" s="16" t="str">
        <f>IF(ISERROR(VLOOKUP(G81,[1]작가별정산률!$R:$S,2,0)),"스토리위즈",VLOOKUP(G81,[1]작가별정산률!$R:$S,2,0))</f>
        <v>스토리위즈</v>
      </c>
      <c r="T81" s="16" t="str">
        <f>IF(S81="스토리위즈",VLOOKUP(G81,[1]작가별정산률!$A:$B,2,0),S81)</f>
        <v>DION(디온)</v>
      </c>
    </row>
    <row r="82" spans="1:20" x14ac:dyDescent="0.4">
      <c r="A82" s="4" t="s">
        <v>25</v>
      </c>
      <c r="B82" s="4" t="s">
        <v>3</v>
      </c>
      <c r="C82" s="4" t="s">
        <v>33</v>
      </c>
      <c r="D82" s="4" t="s">
        <v>177</v>
      </c>
      <c r="E82" s="4" t="s">
        <v>178</v>
      </c>
      <c r="F82" s="4" t="s">
        <v>27</v>
      </c>
      <c r="G82" s="4" t="s">
        <v>179</v>
      </c>
      <c r="H82" s="4">
        <v>75</v>
      </c>
      <c r="I82" s="4" t="s">
        <v>28</v>
      </c>
      <c r="J82" s="4" t="s">
        <v>30</v>
      </c>
      <c r="K82" s="4">
        <v>100</v>
      </c>
      <c r="L82" s="4">
        <v>100</v>
      </c>
      <c r="M82" s="4">
        <v>25100</v>
      </c>
      <c r="N82" s="4">
        <v>251</v>
      </c>
      <c r="O82" s="4">
        <v>25100</v>
      </c>
      <c r="P82" s="4">
        <v>25100</v>
      </c>
      <c r="Q82" s="4">
        <v>70</v>
      </c>
      <c r="R82" s="8">
        <v>17570</v>
      </c>
      <c r="S82" s="16" t="str">
        <f>IF(ISERROR(VLOOKUP(G82,[1]작가별정산률!$R:$S,2,0)),"스토리위즈",VLOOKUP(G82,[1]작가별정산률!$R:$S,2,0))</f>
        <v>스토리위즈</v>
      </c>
      <c r="T82" s="16" t="str">
        <f>IF(S82="스토리위즈",VLOOKUP(G82,[1]작가별정산률!$A:$B,2,0),S82)</f>
        <v>DION(디온)</v>
      </c>
    </row>
    <row r="83" spans="1:20" x14ac:dyDescent="0.4">
      <c r="A83" s="4" t="s">
        <v>25</v>
      </c>
      <c r="B83" s="4" t="s">
        <v>3</v>
      </c>
      <c r="C83" s="4" t="s">
        <v>33</v>
      </c>
      <c r="D83" s="4" t="s">
        <v>177</v>
      </c>
      <c r="E83" s="4" t="s">
        <v>178</v>
      </c>
      <c r="F83" s="4" t="s">
        <v>32</v>
      </c>
      <c r="G83" s="4" t="s">
        <v>179</v>
      </c>
      <c r="H83" s="4">
        <v>75</v>
      </c>
      <c r="I83" s="4" t="s">
        <v>28</v>
      </c>
      <c r="J83" s="4" t="s">
        <v>30</v>
      </c>
      <c r="K83" s="4">
        <v>100</v>
      </c>
      <c r="L83" s="4">
        <v>100</v>
      </c>
      <c r="M83" s="4">
        <v>500</v>
      </c>
      <c r="N83" s="4">
        <v>5</v>
      </c>
      <c r="O83" s="4">
        <v>500</v>
      </c>
      <c r="P83" s="4">
        <v>500</v>
      </c>
      <c r="Q83" s="4">
        <v>70</v>
      </c>
      <c r="R83" s="8">
        <v>350</v>
      </c>
      <c r="S83" s="16" t="str">
        <f>IF(ISERROR(VLOOKUP(G83,[1]작가별정산률!$R:$S,2,0)),"스토리위즈",VLOOKUP(G83,[1]작가별정산률!$R:$S,2,0))</f>
        <v>스토리위즈</v>
      </c>
      <c r="T83" s="16" t="str">
        <f>IF(S83="스토리위즈",VLOOKUP(G83,[1]작가별정산률!$A:$B,2,0),S83)</f>
        <v>DION(디온)</v>
      </c>
    </row>
    <row r="84" spans="1:20" x14ac:dyDescent="0.4">
      <c r="A84" s="4" t="s">
        <v>25</v>
      </c>
      <c r="B84" s="4" t="s">
        <v>3</v>
      </c>
      <c r="C84" s="4" t="s">
        <v>33</v>
      </c>
      <c r="D84" s="4" t="s">
        <v>180</v>
      </c>
      <c r="E84" s="4" t="s">
        <v>181</v>
      </c>
      <c r="F84" s="4" t="s">
        <v>34</v>
      </c>
      <c r="G84" s="4" t="s">
        <v>182</v>
      </c>
      <c r="H84" s="4">
        <v>176</v>
      </c>
      <c r="I84" s="4" t="s">
        <v>28</v>
      </c>
      <c r="J84" s="4" t="s">
        <v>30</v>
      </c>
      <c r="K84" s="4">
        <v>100</v>
      </c>
      <c r="L84" s="4">
        <v>100</v>
      </c>
      <c r="M84" s="4">
        <v>24000</v>
      </c>
      <c r="N84" s="4">
        <v>240</v>
      </c>
      <c r="O84" s="4">
        <v>24000</v>
      </c>
      <c r="P84" s="4">
        <v>24000</v>
      </c>
      <c r="Q84" s="4">
        <v>70</v>
      </c>
      <c r="R84" s="8">
        <v>16800</v>
      </c>
      <c r="S84" s="16" t="str">
        <f>IF(ISERROR(VLOOKUP(G84,[1]작가별정산률!$R:$S,2,0)),"스토리위즈",VLOOKUP(G84,[1]작가별정산률!$R:$S,2,0))</f>
        <v>스토리위즈</v>
      </c>
      <c r="T84" s="16" t="str">
        <f>IF(S84="스토리위즈",VLOOKUP(G84,[1]작가별정산률!$A:$B,2,0),S84)</f>
        <v>제외</v>
      </c>
    </row>
    <row r="85" spans="1:20" x14ac:dyDescent="0.4">
      <c r="A85" s="4" t="s">
        <v>25</v>
      </c>
      <c r="B85" s="4" t="s">
        <v>3</v>
      </c>
      <c r="C85" s="4" t="s">
        <v>33</v>
      </c>
      <c r="D85" s="4" t="s">
        <v>180</v>
      </c>
      <c r="E85" s="4" t="s">
        <v>181</v>
      </c>
      <c r="F85" s="4" t="s">
        <v>32</v>
      </c>
      <c r="G85" s="4" t="s">
        <v>182</v>
      </c>
      <c r="H85" s="4">
        <v>176</v>
      </c>
      <c r="I85" s="4" t="s">
        <v>28</v>
      </c>
      <c r="J85" s="4" t="s">
        <v>30</v>
      </c>
      <c r="K85" s="4">
        <v>100</v>
      </c>
      <c r="L85" s="4">
        <v>100</v>
      </c>
      <c r="M85" s="4">
        <v>5000</v>
      </c>
      <c r="N85" s="4">
        <v>50</v>
      </c>
      <c r="O85" s="4">
        <v>5000</v>
      </c>
      <c r="P85" s="4">
        <v>5000</v>
      </c>
      <c r="Q85" s="4">
        <v>70</v>
      </c>
      <c r="R85" s="8">
        <v>3500</v>
      </c>
      <c r="S85" s="16" t="str">
        <f>IF(ISERROR(VLOOKUP(G85,[1]작가별정산률!$R:$S,2,0)),"스토리위즈",VLOOKUP(G85,[1]작가별정산률!$R:$S,2,0))</f>
        <v>스토리위즈</v>
      </c>
      <c r="T85" s="16" t="str">
        <f>IF(S85="스토리위즈",VLOOKUP(G85,[1]작가별정산률!$A:$B,2,0),S85)</f>
        <v>제외</v>
      </c>
    </row>
    <row r="86" spans="1:20" x14ac:dyDescent="0.4">
      <c r="A86" s="4" t="s">
        <v>25</v>
      </c>
      <c r="B86" s="4" t="s">
        <v>3</v>
      </c>
      <c r="C86" s="4" t="s">
        <v>33</v>
      </c>
      <c r="D86" s="4" t="s">
        <v>180</v>
      </c>
      <c r="E86" s="4" t="s">
        <v>181</v>
      </c>
      <c r="F86" s="4" t="s">
        <v>27</v>
      </c>
      <c r="G86" s="4" t="s">
        <v>182</v>
      </c>
      <c r="H86" s="4">
        <v>176</v>
      </c>
      <c r="I86" s="4" t="s">
        <v>28</v>
      </c>
      <c r="J86" s="4" t="s">
        <v>30</v>
      </c>
      <c r="K86" s="4">
        <v>100</v>
      </c>
      <c r="L86" s="4">
        <v>100</v>
      </c>
      <c r="M86" s="4">
        <v>15600</v>
      </c>
      <c r="N86" s="4">
        <v>156</v>
      </c>
      <c r="O86" s="4">
        <v>15600</v>
      </c>
      <c r="P86" s="4">
        <v>15600</v>
      </c>
      <c r="Q86" s="4">
        <v>70</v>
      </c>
      <c r="R86" s="8">
        <v>10920</v>
      </c>
      <c r="S86" s="16" t="str">
        <f>IF(ISERROR(VLOOKUP(G86,[1]작가별정산률!$R:$S,2,0)),"스토리위즈",VLOOKUP(G86,[1]작가별정산률!$R:$S,2,0))</f>
        <v>스토리위즈</v>
      </c>
      <c r="T86" s="16" t="str">
        <f>IF(S86="스토리위즈",VLOOKUP(G86,[1]작가별정산률!$A:$B,2,0),S86)</f>
        <v>제외</v>
      </c>
    </row>
    <row r="87" spans="1:20" x14ac:dyDescent="0.4">
      <c r="A87" s="4" t="s">
        <v>25</v>
      </c>
      <c r="B87" s="4" t="s">
        <v>3</v>
      </c>
      <c r="C87" s="4" t="s">
        <v>33</v>
      </c>
      <c r="D87" s="4" t="s">
        <v>180</v>
      </c>
      <c r="E87" s="4" t="s">
        <v>181</v>
      </c>
      <c r="F87" s="4" t="s">
        <v>27</v>
      </c>
      <c r="G87" s="4" t="s">
        <v>182</v>
      </c>
      <c r="H87" s="4">
        <v>176</v>
      </c>
      <c r="I87" s="4" t="s">
        <v>28</v>
      </c>
      <c r="J87" s="4" t="s">
        <v>30</v>
      </c>
      <c r="K87" s="4">
        <v>100</v>
      </c>
      <c r="L87" s="4">
        <v>100</v>
      </c>
      <c r="M87" s="4">
        <v>16500</v>
      </c>
      <c r="N87" s="4">
        <v>165</v>
      </c>
      <c r="O87" s="4">
        <v>16500</v>
      </c>
      <c r="P87" s="4">
        <v>16500</v>
      </c>
      <c r="Q87" s="4">
        <v>70</v>
      </c>
      <c r="R87" s="8">
        <v>11550</v>
      </c>
      <c r="S87" s="16" t="str">
        <f>IF(ISERROR(VLOOKUP(G87,[1]작가별정산률!$R:$S,2,0)),"스토리위즈",VLOOKUP(G87,[1]작가별정산률!$R:$S,2,0))</f>
        <v>스토리위즈</v>
      </c>
      <c r="T87" s="16" t="str">
        <f>IF(S87="스토리위즈",VLOOKUP(G87,[1]작가별정산률!$A:$B,2,0),S87)</f>
        <v>제외</v>
      </c>
    </row>
    <row r="88" spans="1:20" x14ac:dyDescent="0.4">
      <c r="A88" s="4" t="s">
        <v>25</v>
      </c>
      <c r="B88" s="4" t="s">
        <v>3</v>
      </c>
      <c r="C88" s="4" t="s">
        <v>183</v>
      </c>
      <c r="D88" s="4" t="s">
        <v>184</v>
      </c>
      <c r="E88" s="4" t="s">
        <v>185</v>
      </c>
      <c r="F88" s="4" t="s">
        <v>27</v>
      </c>
      <c r="G88" s="4" t="s">
        <v>186</v>
      </c>
      <c r="H88" s="4">
        <v>28</v>
      </c>
      <c r="I88" s="4" t="s">
        <v>28</v>
      </c>
      <c r="J88" s="4" t="s">
        <v>30</v>
      </c>
      <c r="K88" s="4">
        <v>100</v>
      </c>
      <c r="L88" s="4">
        <v>100</v>
      </c>
      <c r="M88" s="4">
        <v>300</v>
      </c>
      <c r="N88" s="4">
        <v>3</v>
      </c>
      <c r="O88" s="4">
        <v>300</v>
      </c>
      <c r="P88" s="4">
        <v>300</v>
      </c>
      <c r="Q88" s="4">
        <v>70</v>
      </c>
      <c r="R88" s="8">
        <v>210</v>
      </c>
      <c r="S88" s="16" t="str">
        <f>IF(ISERROR(VLOOKUP(G88,[1]작가별정산률!$R:$S,2,0)),"스토리위즈",VLOOKUP(G88,[1]작가별정산률!$R:$S,2,0))</f>
        <v>더컴퍼니</v>
      </c>
      <c r="T88" s="16" t="str">
        <f>IF(S88="스토리위즈",VLOOKUP(G88,[1]작가별정산률!$A:$B,2,0),S88)</f>
        <v>더컴퍼니</v>
      </c>
    </row>
    <row r="89" spans="1:20" x14ac:dyDescent="0.4">
      <c r="A89" s="4" t="s">
        <v>25</v>
      </c>
      <c r="B89" s="4" t="s">
        <v>3</v>
      </c>
      <c r="C89" s="4" t="s">
        <v>183</v>
      </c>
      <c r="D89" s="4" t="s">
        <v>184</v>
      </c>
      <c r="E89" s="4" t="s">
        <v>185</v>
      </c>
      <c r="F89" s="4" t="s">
        <v>27</v>
      </c>
      <c r="G89" s="4" t="s">
        <v>186</v>
      </c>
      <c r="H89" s="4">
        <v>28</v>
      </c>
      <c r="I89" s="4" t="s">
        <v>28</v>
      </c>
      <c r="J89" s="4" t="s">
        <v>30</v>
      </c>
      <c r="K89" s="4">
        <v>100</v>
      </c>
      <c r="L89" s="4">
        <v>100</v>
      </c>
      <c r="M89" s="4">
        <v>8600</v>
      </c>
      <c r="N89" s="4">
        <v>86</v>
      </c>
      <c r="O89" s="4">
        <v>8600</v>
      </c>
      <c r="P89" s="4">
        <v>8600</v>
      </c>
      <c r="Q89" s="4">
        <v>70</v>
      </c>
      <c r="R89" s="8">
        <v>6020</v>
      </c>
      <c r="S89" s="16" t="str">
        <f>IF(ISERROR(VLOOKUP(G89,[1]작가별정산률!$R:$S,2,0)),"스토리위즈",VLOOKUP(G89,[1]작가별정산률!$R:$S,2,0))</f>
        <v>더컴퍼니</v>
      </c>
      <c r="T89" s="16" t="str">
        <f>IF(S89="스토리위즈",VLOOKUP(G89,[1]작가별정산률!$A:$B,2,0),S89)</f>
        <v>더컴퍼니</v>
      </c>
    </row>
    <row r="90" spans="1:20" x14ac:dyDescent="0.4">
      <c r="A90" s="4" t="s">
        <v>25</v>
      </c>
      <c r="B90" s="4" t="s">
        <v>3</v>
      </c>
      <c r="C90" s="4" t="s">
        <v>183</v>
      </c>
      <c r="D90" s="4" t="s">
        <v>184</v>
      </c>
      <c r="E90" s="4" t="s">
        <v>185</v>
      </c>
      <c r="F90" s="4" t="s">
        <v>32</v>
      </c>
      <c r="G90" s="4" t="s">
        <v>186</v>
      </c>
      <c r="H90" s="4">
        <v>28</v>
      </c>
      <c r="I90" s="4" t="s">
        <v>28</v>
      </c>
      <c r="J90" s="4" t="s">
        <v>30</v>
      </c>
      <c r="K90" s="4">
        <v>100</v>
      </c>
      <c r="L90" s="4">
        <v>100</v>
      </c>
      <c r="M90" s="4">
        <v>1700</v>
      </c>
      <c r="N90" s="4">
        <v>17</v>
      </c>
      <c r="O90" s="4">
        <v>1700</v>
      </c>
      <c r="P90" s="4">
        <v>1700</v>
      </c>
      <c r="Q90" s="4">
        <v>70</v>
      </c>
      <c r="R90" s="8">
        <v>1190</v>
      </c>
      <c r="S90" s="16" t="str">
        <f>IF(ISERROR(VLOOKUP(G90,[1]작가별정산률!$R:$S,2,0)),"스토리위즈",VLOOKUP(G90,[1]작가별정산률!$R:$S,2,0))</f>
        <v>더컴퍼니</v>
      </c>
      <c r="T90" s="16" t="str">
        <f>IF(S90="스토리위즈",VLOOKUP(G90,[1]작가별정산률!$A:$B,2,0),S90)</f>
        <v>더컴퍼니</v>
      </c>
    </row>
    <row r="91" spans="1:20" x14ac:dyDescent="0.4">
      <c r="A91" s="4" t="s">
        <v>25</v>
      </c>
      <c r="B91" s="4" t="s">
        <v>3</v>
      </c>
      <c r="C91" s="4" t="s">
        <v>26</v>
      </c>
      <c r="D91" s="4" t="s">
        <v>187</v>
      </c>
      <c r="E91" s="4" t="s">
        <v>188</v>
      </c>
      <c r="F91" s="4" t="s">
        <v>27</v>
      </c>
      <c r="G91" s="4" t="s">
        <v>120</v>
      </c>
      <c r="H91" s="4">
        <v>66</v>
      </c>
      <c r="I91" s="4" t="s">
        <v>28</v>
      </c>
      <c r="J91" s="4" t="s">
        <v>30</v>
      </c>
      <c r="K91" s="4">
        <v>100</v>
      </c>
      <c r="L91" s="4">
        <v>100</v>
      </c>
      <c r="M91" s="4">
        <v>400</v>
      </c>
      <c r="N91" s="4">
        <v>4</v>
      </c>
      <c r="O91" s="4">
        <v>400</v>
      </c>
      <c r="P91" s="4">
        <v>400</v>
      </c>
      <c r="Q91" s="4">
        <v>70</v>
      </c>
      <c r="R91" s="8">
        <v>280</v>
      </c>
      <c r="S91" s="16" t="str">
        <f>IF(ISERROR(VLOOKUP(G91,[1]작가별정산률!$R:$S,2,0)),"스토리위즈",VLOOKUP(G91,[1]작가별정산률!$R:$S,2,0))</f>
        <v>더컴퍼니</v>
      </c>
      <c r="T91" s="16" t="str">
        <f>IF(S91="스토리위즈",VLOOKUP(G91,[1]작가별정산률!$A:$B,2,0),S91)</f>
        <v>더컴퍼니</v>
      </c>
    </row>
    <row r="92" spans="1:20" x14ac:dyDescent="0.4">
      <c r="A92" s="4" t="s">
        <v>25</v>
      </c>
      <c r="B92" s="4" t="s">
        <v>3</v>
      </c>
      <c r="C92" s="4" t="s">
        <v>26</v>
      </c>
      <c r="D92" s="4" t="s">
        <v>189</v>
      </c>
      <c r="E92" s="4" t="s">
        <v>190</v>
      </c>
      <c r="F92" s="4" t="s">
        <v>27</v>
      </c>
      <c r="G92" s="4" t="s">
        <v>191</v>
      </c>
      <c r="H92" s="4">
        <v>33</v>
      </c>
      <c r="I92" s="4" t="s">
        <v>28</v>
      </c>
      <c r="J92" s="4" t="s">
        <v>30</v>
      </c>
      <c r="K92" s="4">
        <v>100</v>
      </c>
      <c r="L92" s="4">
        <v>100</v>
      </c>
      <c r="M92" s="4">
        <v>1200</v>
      </c>
      <c r="N92" s="4">
        <v>12</v>
      </c>
      <c r="O92" s="4">
        <v>1200</v>
      </c>
      <c r="P92" s="4">
        <v>1200</v>
      </c>
      <c r="Q92" s="4">
        <v>70</v>
      </c>
      <c r="R92" s="8">
        <v>840</v>
      </c>
      <c r="S92" s="16" t="str">
        <f>IF(ISERROR(VLOOKUP(G92,[1]작가별정산률!$R:$S,2,0)),"스토리위즈",VLOOKUP(G92,[1]작가별정산률!$R:$S,2,0))</f>
        <v>더컴퍼니</v>
      </c>
      <c r="T92" s="16" t="str">
        <f>IF(S92="스토리위즈",VLOOKUP(G92,[1]작가별정산률!$A:$B,2,0),S92)</f>
        <v>더컴퍼니</v>
      </c>
    </row>
    <row r="93" spans="1:20" x14ac:dyDescent="0.4">
      <c r="A93" s="4" t="s">
        <v>25</v>
      </c>
      <c r="B93" s="4" t="s">
        <v>0</v>
      </c>
      <c r="C93" s="4" t="s">
        <v>53</v>
      </c>
      <c r="D93" s="4" t="s">
        <v>192</v>
      </c>
      <c r="E93" s="4" t="s">
        <v>193</v>
      </c>
      <c r="F93" s="4" t="s">
        <v>34</v>
      </c>
      <c r="G93" s="4" t="s">
        <v>194</v>
      </c>
      <c r="H93" s="4">
        <v>239</v>
      </c>
      <c r="I93" s="4" t="s">
        <v>28</v>
      </c>
      <c r="J93" s="4" t="s">
        <v>30</v>
      </c>
      <c r="K93" s="4">
        <v>100</v>
      </c>
      <c r="L93" s="4">
        <v>100</v>
      </c>
      <c r="M93" s="4">
        <v>14000</v>
      </c>
      <c r="N93" s="4">
        <v>140</v>
      </c>
      <c r="O93" s="4">
        <v>14000</v>
      </c>
      <c r="P93" s="4">
        <v>14000</v>
      </c>
      <c r="Q93" s="4">
        <v>70</v>
      </c>
      <c r="R93" s="8">
        <v>9800</v>
      </c>
      <c r="S93" s="16" t="str">
        <f>IF(ISERROR(VLOOKUP(G93,[1]작가별정산률!$R:$S,2,0)),"스토리위즈",VLOOKUP(G93,[1]작가별정산률!$R:$S,2,0))</f>
        <v>에필로그</v>
      </c>
      <c r="T93" s="16" t="str">
        <f>IF(S93="스토리위즈",VLOOKUP(G93,[1]작가별정산률!$A:$B,2,0),S93)</f>
        <v>에필로그</v>
      </c>
    </row>
    <row r="94" spans="1:20" x14ac:dyDescent="0.4">
      <c r="A94" s="4" t="s">
        <v>25</v>
      </c>
      <c r="B94" s="4" t="s">
        <v>0</v>
      </c>
      <c r="C94" s="4" t="s">
        <v>53</v>
      </c>
      <c r="D94" s="4" t="s">
        <v>192</v>
      </c>
      <c r="E94" s="4" t="s">
        <v>193</v>
      </c>
      <c r="F94" s="4" t="s">
        <v>27</v>
      </c>
      <c r="G94" s="4" t="s">
        <v>194</v>
      </c>
      <c r="H94" s="4">
        <v>239</v>
      </c>
      <c r="I94" s="4" t="s">
        <v>28</v>
      </c>
      <c r="J94" s="4" t="s">
        <v>29</v>
      </c>
      <c r="K94" s="4">
        <v>100</v>
      </c>
      <c r="L94" s="4">
        <v>100</v>
      </c>
      <c r="M94" s="4">
        <v>8000</v>
      </c>
      <c r="N94" s="4">
        <v>80</v>
      </c>
      <c r="O94" s="4">
        <v>8000</v>
      </c>
      <c r="P94" s="4">
        <v>8000</v>
      </c>
      <c r="Q94" s="4">
        <v>70</v>
      </c>
      <c r="R94" s="8">
        <v>5600</v>
      </c>
      <c r="S94" s="16" t="str">
        <f>IF(ISERROR(VLOOKUP(G94,[1]작가별정산률!$R:$S,2,0)),"스토리위즈",VLOOKUP(G94,[1]작가별정산률!$R:$S,2,0))</f>
        <v>에필로그</v>
      </c>
      <c r="T94" s="16" t="str">
        <f>IF(S94="스토리위즈",VLOOKUP(G94,[1]작가별정산률!$A:$B,2,0),S94)</f>
        <v>에필로그</v>
      </c>
    </row>
    <row r="95" spans="1:20" x14ac:dyDescent="0.4">
      <c r="A95" s="4" t="s">
        <v>25</v>
      </c>
      <c r="B95" s="4" t="s">
        <v>0</v>
      </c>
      <c r="C95" s="4" t="s">
        <v>53</v>
      </c>
      <c r="D95" s="4" t="s">
        <v>192</v>
      </c>
      <c r="E95" s="4" t="s">
        <v>193</v>
      </c>
      <c r="F95" s="4" t="s">
        <v>27</v>
      </c>
      <c r="G95" s="4" t="s">
        <v>194</v>
      </c>
      <c r="H95" s="4">
        <v>239</v>
      </c>
      <c r="I95" s="4" t="s">
        <v>28</v>
      </c>
      <c r="J95" s="4" t="s">
        <v>30</v>
      </c>
      <c r="K95" s="4">
        <v>100</v>
      </c>
      <c r="L95" s="4">
        <v>100</v>
      </c>
      <c r="M95" s="4">
        <v>2000</v>
      </c>
      <c r="N95" s="4">
        <v>20</v>
      </c>
      <c r="O95" s="4">
        <v>2000</v>
      </c>
      <c r="P95" s="4">
        <v>2000</v>
      </c>
      <c r="Q95" s="4">
        <v>70</v>
      </c>
      <c r="R95" s="8">
        <v>1400</v>
      </c>
      <c r="S95" s="16" t="str">
        <f>IF(ISERROR(VLOOKUP(G95,[1]작가별정산률!$R:$S,2,0)),"스토리위즈",VLOOKUP(G95,[1]작가별정산률!$R:$S,2,0))</f>
        <v>에필로그</v>
      </c>
      <c r="T95" s="16" t="str">
        <f>IF(S95="스토리위즈",VLOOKUP(G95,[1]작가별정산률!$A:$B,2,0),S95)</f>
        <v>에필로그</v>
      </c>
    </row>
    <row r="96" spans="1:20" x14ac:dyDescent="0.4">
      <c r="A96" s="4" t="s">
        <v>25</v>
      </c>
      <c r="B96" s="4" t="s">
        <v>0</v>
      </c>
      <c r="C96" s="4" t="s">
        <v>53</v>
      </c>
      <c r="D96" s="4" t="s">
        <v>192</v>
      </c>
      <c r="E96" s="4" t="s">
        <v>193</v>
      </c>
      <c r="F96" s="4" t="s">
        <v>27</v>
      </c>
      <c r="G96" s="4" t="s">
        <v>194</v>
      </c>
      <c r="H96" s="4">
        <v>239</v>
      </c>
      <c r="I96" s="4" t="s">
        <v>28</v>
      </c>
      <c r="J96" s="4" t="s">
        <v>30</v>
      </c>
      <c r="K96" s="4">
        <v>100</v>
      </c>
      <c r="L96" s="4">
        <v>100</v>
      </c>
      <c r="M96" s="4">
        <v>7600</v>
      </c>
      <c r="N96" s="4">
        <v>76</v>
      </c>
      <c r="O96" s="4">
        <v>7600</v>
      </c>
      <c r="P96" s="4">
        <v>7600</v>
      </c>
      <c r="Q96" s="4">
        <v>70</v>
      </c>
      <c r="R96" s="8">
        <v>5320</v>
      </c>
      <c r="S96" s="16" t="str">
        <f>IF(ISERROR(VLOOKUP(G96,[1]작가별정산률!$R:$S,2,0)),"스토리위즈",VLOOKUP(G96,[1]작가별정산률!$R:$S,2,0))</f>
        <v>에필로그</v>
      </c>
      <c r="T96" s="16" t="str">
        <f>IF(S96="스토리위즈",VLOOKUP(G96,[1]작가별정산률!$A:$B,2,0),S96)</f>
        <v>에필로그</v>
      </c>
    </row>
    <row r="97" spans="1:20" x14ac:dyDescent="0.4">
      <c r="A97" s="4" t="s">
        <v>25</v>
      </c>
      <c r="B97" s="4" t="s">
        <v>0</v>
      </c>
      <c r="C97" s="4" t="s">
        <v>53</v>
      </c>
      <c r="D97" s="4" t="s">
        <v>192</v>
      </c>
      <c r="E97" s="4" t="s">
        <v>193</v>
      </c>
      <c r="F97" s="4" t="s">
        <v>32</v>
      </c>
      <c r="G97" s="4" t="s">
        <v>194</v>
      </c>
      <c r="H97" s="4">
        <v>239</v>
      </c>
      <c r="I97" s="4" t="s">
        <v>28</v>
      </c>
      <c r="J97" s="4" t="s">
        <v>29</v>
      </c>
      <c r="K97" s="4">
        <v>100</v>
      </c>
      <c r="L97" s="4">
        <v>100</v>
      </c>
      <c r="M97" s="4">
        <v>100</v>
      </c>
      <c r="N97" s="4">
        <v>1</v>
      </c>
      <c r="O97" s="4">
        <v>100</v>
      </c>
      <c r="P97" s="4">
        <v>100</v>
      </c>
      <c r="Q97" s="4">
        <v>70</v>
      </c>
      <c r="R97" s="8">
        <v>70</v>
      </c>
      <c r="S97" s="16" t="str">
        <f>IF(ISERROR(VLOOKUP(G97,[1]작가별정산률!$R:$S,2,0)),"스토리위즈",VLOOKUP(G97,[1]작가별정산률!$R:$S,2,0))</f>
        <v>에필로그</v>
      </c>
      <c r="T97" s="16" t="str">
        <f>IF(S97="스토리위즈",VLOOKUP(G97,[1]작가별정산률!$A:$B,2,0),S97)</f>
        <v>에필로그</v>
      </c>
    </row>
    <row r="98" spans="1:20" x14ac:dyDescent="0.4">
      <c r="A98" s="4" t="s">
        <v>25</v>
      </c>
      <c r="B98" s="4" t="s">
        <v>0</v>
      </c>
      <c r="C98" s="4" t="s">
        <v>53</v>
      </c>
      <c r="D98" s="4" t="s">
        <v>192</v>
      </c>
      <c r="E98" s="4" t="s">
        <v>193</v>
      </c>
      <c r="F98" s="4" t="s">
        <v>32</v>
      </c>
      <c r="G98" s="4" t="s">
        <v>194</v>
      </c>
      <c r="H98" s="4">
        <v>239</v>
      </c>
      <c r="I98" s="4" t="s">
        <v>28</v>
      </c>
      <c r="J98" s="4" t="s">
        <v>30</v>
      </c>
      <c r="K98" s="4">
        <v>100</v>
      </c>
      <c r="L98" s="4">
        <v>100</v>
      </c>
      <c r="M98" s="4">
        <v>11600</v>
      </c>
      <c r="N98" s="4">
        <v>116</v>
      </c>
      <c r="O98" s="4">
        <v>11600</v>
      </c>
      <c r="P98" s="4">
        <v>11600</v>
      </c>
      <c r="Q98" s="4">
        <v>70</v>
      </c>
      <c r="R98" s="8">
        <v>8120</v>
      </c>
      <c r="S98" s="16" t="str">
        <f>IF(ISERROR(VLOOKUP(G98,[1]작가별정산률!$R:$S,2,0)),"스토리위즈",VLOOKUP(G98,[1]작가별정산률!$R:$S,2,0))</f>
        <v>에필로그</v>
      </c>
      <c r="T98" s="16" t="str">
        <f>IF(S98="스토리위즈",VLOOKUP(G98,[1]작가별정산률!$A:$B,2,0),S98)</f>
        <v>에필로그</v>
      </c>
    </row>
    <row r="99" spans="1:20" x14ac:dyDescent="0.4">
      <c r="A99" s="4" t="s">
        <v>25</v>
      </c>
      <c r="B99" s="4" t="s">
        <v>42</v>
      </c>
      <c r="C99" s="4" t="s">
        <v>43</v>
      </c>
      <c r="D99" s="4" t="s">
        <v>195</v>
      </c>
      <c r="E99" s="4" t="s">
        <v>196</v>
      </c>
      <c r="F99" s="4" t="s">
        <v>34</v>
      </c>
      <c r="G99" s="4" t="s">
        <v>197</v>
      </c>
      <c r="H99" s="4">
        <v>215</v>
      </c>
      <c r="I99" s="4" t="s">
        <v>28</v>
      </c>
      <c r="J99" s="4" t="s">
        <v>30</v>
      </c>
      <c r="K99" s="4">
        <v>100</v>
      </c>
      <c r="L99" s="4">
        <v>100</v>
      </c>
      <c r="M99" s="4">
        <v>5200</v>
      </c>
      <c r="N99" s="4">
        <v>52</v>
      </c>
      <c r="O99" s="4">
        <v>5200</v>
      </c>
      <c r="P99" s="4">
        <v>5200</v>
      </c>
      <c r="Q99" s="4">
        <v>70</v>
      </c>
      <c r="R99" s="8">
        <v>3640</v>
      </c>
      <c r="S99" s="16" t="str">
        <f>IF(ISERROR(VLOOKUP(G99,[1]작가별정산률!$R:$S,2,0)),"스토리위즈",VLOOKUP(G99,[1]작가별정산률!$R:$S,2,0))</f>
        <v>스토리위즈</v>
      </c>
      <c r="T99" s="16" t="str">
        <f>IF(S99="스토리위즈",VLOOKUP(G99,[1]작가별정산률!$A:$B,2,0),S99)</f>
        <v>윈델</v>
      </c>
    </row>
    <row r="100" spans="1:20" x14ac:dyDescent="0.4">
      <c r="A100" s="4" t="s">
        <v>25</v>
      </c>
      <c r="B100" s="4" t="s">
        <v>42</v>
      </c>
      <c r="C100" s="4" t="s">
        <v>43</v>
      </c>
      <c r="D100" s="4" t="s">
        <v>195</v>
      </c>
      <c r="E100" s="4" t="s">
        <v>196</v>
      </c>
      <c r="F100" s="4" t="s">
        <v>27</v>
      </c>
      <c r="G100" s="4" t="s">
        <v>197</v>
      </c>
      <c r="H100" s="4">
        <v>215</v>
      </c>
      <c r="I100" s="4" t="s">
        <v>28</v>
      </c>
      <c r="J100" s="4" t="s">
        <v>30</v>
      </c>
      <c r="K100" s="4">
        <v>100</v>
      </c>
      <c r="L100" s="4">
        <v>100</v>
      </c>
      <c r="M100" s="4">
        <v>42200</v>
      </c>
      <c r="N100" s="4">
        <v>422</v>
      </c>
      <c r="O100" s="4">
        <v>42200</v>
      </c>
      <c r="P100" s="4">
        <v>42200</v>
      </c>
      <c r="Q100" s="4">
        <v>70</v>
      </c>
      <c r="R100" s="8">
        <v>29540</v>
      </c>
      <c r="S100" s="16" t="str">
        <f>IF(ISERROR(VLOOKUP(G100,[1]작가별정산률!$R:$S,2,0)),"스토리위즈",VLOOKUP(G100,[1]작가별정산률!$R:$S,2,0))</f>
        <v>스토리위즈</v>
      </c>
      <c r="T100" s="16" t="str">
        <f>IF(S100="스토리위즈",VLOOKUP(G100,[1]작가별정산률!$A:$B,2,0),S100)</f>
        <v>윈델</v>
      </c>
    </row>
    <row r="101" spans="1:20" x14ac:dyDescent="0.4">
      <c r="A101" s="4" t="s">
        <v>25</v>
      </c>
      <c r="B101" s="4" t="s">
        <v>42</v>
      </c>
      <c r="C101" s="4" t="s">
        <v>43</v>
      </c>
      <c r="D101" s="4" t="s">
        <v>195</v>
      </c>
      <c r="E101" s="4" t="s">
        <v>196</v>
      </c>
      <c r="F101" s="4" t="s">
        <v>32</v>
      </c>
      <c r="G101" s="4" t="s">
        <v>197</v>
      </c>
      <c r="H101" s="4">
        <v>215</v>
      </c>
      <c r="I101" s="4" t="s">
        <v>28</v>
      </c>
      <c r="J101" s="4" t="s">
        <v>30</v>
      </c>
      <c r="K101" s="4">
        <v>100</v>
      </c>
      <c r="L101" s="4">
        <v>100</v>
      </c>
      <c r="M101" s="4">
        <v>7800</v>
      </c>
      <c r="N101" s="4">
        <v>78</v>
      </c>
      <c r="O101" s="4">
        <v>7800</v>
      </c>
      <c r="P101" s="4">
        <v>7800</v>
      </c>
      <c r="Q101" s="4">
        <v>70</v>
      </c>
      <c r="R101" s="8">
        <v>5460</v>
      </c>
      <c r="S101" s="16" t="str">
        <f>IF(ISERROR(VLOOKUP(G101,[1]작가별정산률!$R:$S,2,0)),"스토리위즈",VLOOKUP(G101,[1]작가별정산률!$R:$S,2,0))</f>
        <v>스토리위즈</v>
      </c>
      <c r="T101" s="16" t="str">
        <f>IF(S101="스토리위즈",VLOOKUP(G101,[1]작가별정산률!$A:$B,2,0),S101)</f>
        <v>윈델</v>
      </c>
    </row>
    <row r="102" spans="1:20" x14ac:dyDescent="0.4">
      <c r="A102" s="4" t="s">
        <v>25</v>
      </c>
      <c r="B102" s="4" t="s">
        <v>42</v>
      </c>
      <c r="C102" s="4" t="s">
        <v>43</v>
      </c>
      <c r="D102" s="4" t="s">
        <v>195</v>
      </c>
      <c r="E102" s="4" t="s">
        <v>196</v>
      </c>
      <c r="F102" s="4" t="s">
        <v>32</v>
      </c>
      <c r="G102" s="4" t="s">
        <v>197</v>
      </c>
      <c r="H102" s="4">
        <v>215</v>
      </c>
      <c r="I102" s="4" t="s">
        <v>28</v>
      </c>
      <c r="J102" s="4" t="s">
        <v>30</v>
      </c>
      <c r="K102" s="4">
        <v>100</v>
      </c>
      <c r="L102" s="4">
        <v>100</v>
      </c>
      <c r="M102" s="4">
        <v>200</v>
      </c>
      <c r="N102" s="4">
        <v>2</v>
      </c>
      <c r="O102" s="4">
        <v>200</v>
      </c>
      <c r="P102" s="4">
        <v>200</v>
      </c>
      <c r="Q102" s="4">
        <v>70</v>
      </c>
      <c r="R102" s="8">
        <v>140</v>
      </c>
      <c r="S102" s="16" t="str">
        <f>IF(ISERROR(VLOOKUP(G102,[1]작가별정산률!$R:$S,2,0)),"스토리위즈",VLOOKUP(G102,[1]작가별정산률!$R:$S,2,0))</f>
        <v>스토리위즈</v>
      </c>
      <c r="T102" s="16" t="str">
        <f>IF(S102="스토리위즈",VLOOKUP(G102,[1]작가별정산률!$A:$B,2,0),S102)</f>
        <v>윈델</v>
      </c>
    </row>
    <row r="103" spans="1:20" x14ac:dyDescent="0.4">
      <c r="A103" s="4" t="s">
        <v>36</v>
      </c>
      <c r="B103" s="4" t="s">
        <v>3</v>
      </c>
      <c r="C103" s="4" t="s">
        <v>3</v>
      </c>
      <c r="D103" s="4" t="s">
        <v>37</v>
      </c>
      <c r="E103" s="4" t="s">
        <v>38</v>
      </c>
      <c r="F103" s="4" t="s">
        <v>27</v>
      </c>
      <c r="G103" s="4" t="s">
        <v>39</v>
      </c>
      <c r="H103" s="4">
        <v>77</v>
      </c>
      <c r="I103" s="4" t="s">
        <v>28</v>
      </c>
      <c r="J103" s="4" t="s">
        <v>29</v>
      </c>
      <c r="K103" s="4">
        <v>200</v>
      </c>
      <c r="L103" s="4">
        <v>200</v>
      </c>
      <c r="M103" s="4">
        <v>14200</v>
      </c>
      <c r="N103" s="4">
        <v>71</v>
      </c>
      <c r="O103" s="4">
        <v>14200</v>
      </c>
      <c r="P103" s="4">
        <v>14200</v>
      </c>
      <c r="Q103" s="4">
        <v>70</v>
      </c>
      <c r="R103" s="8">
        <v>9940</v>
      </c>
      <c r="S103" s="16" t="str">
        <f>IF(ISERROR(VLOOKUP(G103,[1]작가별정산률!$R:$S,2,0)),"스토리위즈",VLOOKUP(G103,[1]작가별정산률!$R:$S,2,0))</f>
        <v>스토리위즈</v>
      </c>
      <c r="T103" s="16" t="str">
        <f>IF(S103="스토리위즈",VLOOKUP(G103,[1]작가별정산률!$A:$B,2,0),S103)</f>
        <v>제외</v>
      </c>
    </row>
    <row r="104" spans="1:20" x14ac:dyDescent="0.4">
      <c r="A104" s="4" t="s">
        <v>36</v>
      </c>
      <c r="B104" s="4" t="s">
        <v>3</v>
      </c>
      <c r="C104" s="4" t="s">
        <v>3</v>
      </c>
      <c r="D104" s="4" t="s">
        <v>198</v>
      </c>
      <c r="E104" s="4" t="s">
        <v>199</v>
      </c>
      <c r="F104" s="4" t="s">
        <v>27</v>
      </c>
      <c r="G104" s="4" t="s">
        <v>200</v>
      </c>
      <c r="H104" s="4">
        <v>83</v>
      </c>
      <c r="I104" s="4" t="s">
        <v>28</v>
      </c>
      <c r="J104" s="4" t="s">
        <v>29</v>
      </c>
      <c r="K104" s="4">
        <v>200</v>
      </c>
      <c r="L104" s="4">
        <v>200</v>
      </c>
      <c r="M104" s="4">
        <v>7400</v>
      </c>
      <c r="N104" s="4">
        <v>37</v>
      </c>
      <c r="O104" s="4">
        <v>7400</v>
      </c>
      <c r="P104" s="4">
        <v>7400</v>
      </c>
      <c r="Q104" s="4">
        <v>70</v>
      </c>
      <c r="R104" s="8">
        <v>5180</v>
      </c>
      <c r="S104" s="16" t="str">
        <f>IF(ISERROR(VLOOKUP(G104,[1]작가별정산률!$R:$S,2,0)),"스토리위즈",VLOOKUP(G104,[1]작가별정산률!$R:$S,2,0))</f>
        <v>스토리위즈</v>
      </c>
      <c r="T104" s="16" t="str">
        <f>IF(S104="스토리위즈",VLOOKUP(G104,[1]작가별정산률!$A:$B,2,0),S104)</f>
        <v>제외</v>
      </c>
    </row>
    <row r="105" spans="1:20" x14ac:dyDescent="0.4">
      <c r="A105" s="4" t="s">
        <v>36</v>
      </c>
      <c r="B105" s="4" t="s">
        <v>3</v>
      </c>
      <c r="C105" s="4" t="s">
        <v>3</v>
      </c>
      <c r="D105" s="4" t="s">
        <v>198</v>
      </c>
      <c r="E105" s="4" t="s">
        <v>199</v>
      </c>
      <c r="F105" s="4" t="s">
        <v>27</v>
      </c>
      <c r="G105" s="4" t="s">
        <v>200</v>
      </c>
      <c r="H105" s="4">
        <v>83</v>
      </c>
      <c r="I105" s="4" t="s">
        <v>28</v>
      </c>
      <c r="J105" s="4" t="s">
        <v>30</v>
      </c>
      <c r="K105" s="4">
        <v>400</v>
      </c>
      <c r="L105" s="4">
        <v>400</v>
      </c>
      <c r="M105" s="4">
        <v>400</v>
      </c>
      <c r="N105" s="4">
        <v>1</v>
      </c>
      <c r="O105" s="4">
        <v>400</v>
      </c>
      <c r="P105" s="4">
        <v>400</v>
      </c>
      <c r="Q105" s="4">
        <v>70</v>
      </c>
      <c r="R105" s="8">
        <v>280</v>
      </c>
      <c r="S105" s="16" t="str">
        <f>IF(ISERROR(VLOOKUP(G105,[1]작가별정산률!$R:$S,2,0)),"스토리위즈",VLOOKUP(G105,[1]작가별정산률!$R:$S,2,0))</f>
        <v>스토리위즈</v>
      </c>
      <c r="T105" s="16" t="str">
        <f>IF(S105="스토리위즈",VLOOKUP(G105,[1]작가별정산률!$A:$B,2,0),S105)</f>
        <v>제외</v>
      </c>
    </row>
    <row r="106" spans="1:20" x14ac:dyDescent="0.4">
      <c r="A106" s="4" t="s">
        <v>36</v>
      </c>
      <c r="B106" s="4" t="s">
        <v>3</v>
      </c>
      <c r="C106" s="4" t="s">
        <v>3</v>
      </c>
      <c r="D106" s="4" t="s">
        <v>124</v>
      </c>
      <c r="E106" s="4" t="s">
        <v>125</v>
      </c>
      <c r="F106" s="4" t="s">
        <v>32</v>
      </c>
      <c r="G106" s="4" t="s">
        <v>126</v>
      </c>
      <c r="H106" s="4">
        <v>68</v>
      </c>
      <c r="I106" s="4" t="s">
        <v>28</v>
      </c>
      <c r="J106" s="4" t="s">
        <v>30</v>
      </c>
      <c r="K106" s="4">
        <v>400</v>
      </c>
      <c r="L106" s="4">
        <v>400</v>
      </c>
      <c r="M106" s="4">
        <v>11200</v>
      </c>
      <c r="N106" s="4">
        <v>28</v>
      </c>
      <c r="O106" s="4">
        <v>11200</v>
      </c>
      <c r="P106" s="4">
        <v>11200</v>
      </c>
      <c r="Q106" s="4">
        <v>70</v>
      </c>
      <c r="R106" s="8">
        <v>7840</v>
      </c>
      <c r="S106" s="16" t="str">
        <f>IF(ISERROR(VLOOKUP(G106,[1]작가별정산률!$R:$S,2,0)),"스토리위즈",VLOOKUP(G106,[1]작가별정산률!$R:$S,2,0))</f>
        <v>컨텐츠헤라</v>
      </c>
      <c r="T106" s="16" t="str">
        <f>IF(S106="스토리위즈",VLOOKUP(G106,[1]작가별정산률!$A:$B,2,0),S106)</f>
        <v>컨텐츠헤라</v>
      </c>
    </row>
    <row r="107" spans="1:20" x14ac:dyDescent="0.4">
      <c r="A107" s="4" t="s">
        <v>36</v>
      </c>
      <c r="B107" s="4" t="s">
        <v>3</v>
      </c>
      <c r="C107" s="4" t="s">
        <v>3</v>
      </c>
      <c r="D107" s="4" t="s">
        <v>40</v>
      </c>
      <c r="E107" s="4" t="s">
        <v>41</v>
      </c>
      <c r="F107" s="4" t="s">
        <v>34</v>
      </c>
      <c r="G107" s="4" t="s">
        <v>52</v>
      </c>
      <c r="H107" s="4">
        <v>56</v>
      </c>
      <c r="I107" s="4" t="s">
        <v>28</v>
      </c>
      <c r="J107" s="4" t="s">
        <v>29</v>
      </c>
      <c r="K107" s="4">
        <v>200</v>
      </c>
      <c r="L107" s="4">
        <v>200</v>
      </c>
      <c r="M107" s="4">
        <v>1000</v>
      </c>
      <c r="N107" s="4">
        <v>5</v>
      </c>
      <c r="O107" s="4">
        <v>1000</v>
      </c>
      <c r="P107" s="4">
        <v>1000</v>
      </c>
      <c r="Q107" s="4">
        <v>70</v>
      </c>
      <c r="R107" s="8">
        <v>700</v>
      </c>
      <c r="S107" s="16" t="str">
        <f>IF(ISERROR(VLOOKUP(G107,[1]작가별정산률!$R:$S,2,0)),"스토리위즈",VLOOKUP(G107,[1]작가별정산률!$R:$S,2,0))</f>
        <v>스토리위즈</v>
      </c>
      <c r="T107" s="16" t="str">
        <f>IF(S107="스토리위즈",VLOOKUP(G107,[1]작가별정산률!$A:$B,2,0),S107)</f>
        <v>제외</v>
      </c>
    </row>
    <row r="108" spans="1:20" x14ac:dyDescent="0.4">
      <c r="A108" s="4" t="s">
        <v>36</v>
      </c>
      <c r="B108" s="4" t="s">
        <v>3</v>
      </c>
      <c r="C108" s="4" t="s">
        <v>3</v>
      </c>
      <c r="D108" s="4" t="s">
        <v>40</v>
      </c>
      <c r="E108" s="4" t="s">
        <v>41</v>
      </c>
      <c r="F108" s="4" t="s">
        <v>34</v>
      </c>
      <c r="G108" s="4" t="s">
        <v>52</v>
      </c>
      <c r="H108" s="4">
        <v>56</v>
      </c>
      <c r="I108" s="4" t="s">
        <v>28</v>
      </c>
      <c r="J108" s="4" t="s">
        <v>30</v>
      </c>
      <c r="K108" s="4">
        <v>400</v>
      </c>
      <c r="L108" s="4">
        <v>400</v>
      </c>
      <c r="M108" s="4">
        <v>5200</v>
      </c>
      <c r="N108" s="4">
        <v>13</v>
      </c>
      <c r="O108" s="4">
        <v>5200</v>
      </c>
      <c r="P108" s="4">
        <v>5200</v>
      </c>
      <c r="Q108" s="4">
        <v>70</v>
      </c>
      <c r="R108" s="8">
        <v>3640</v>
      </c>
      <c r="S108" s="16" t="str">
        <f>IF(ISERROR(VLOOKUP(G108,[1]작가별정산률!$R:$S,2,0)),"스토리위즈",VLOOKUP(G108,[1]작가별정산률!$R:$S,2,0))</f>
        <v>스토리위즈</v>
      </c>
      <c r="T108" s="16" t="str">
        <f>IF(S108="스토리위즈",VLOOKUP(G108,[1]작가별정산률!$A:$B,2,0),S108)</f>
        <v>제외</v>
      </c>
    </row>
    <row r="109" spans="1:20" x14ac:dyDescent="0.4">
      <c r="A109" s="4" t="s">
        <v>36</v>
      </c>
      <c r="B109" s="4" t="s">
        <v>3</v>
      </c>
      <c r="C109" s="4" t="s">
        <v>3</v>
      </c>
      <c r="D109" s="4" t="s">
        <v>40</v>
      </c>
      <c r="E109" s="4" t="s">
        <v>41</v>
      </c>
      <c r="F109" s="4" t="s">
        <v>27</v>
      </c>
      <c r="G109" s="4" t="s">
        <v>52</v>
      </c>
      <c r="H109" s="4">
        <v>56</v>
      </c>
      <c r="I109" s="4" t="s">
        <v>28</v>
      </c>
      <c r="J109" s="4" t="s">
        <v>30</v>
      </c>
      <c r="K109" s="4">
        <v>400</v>
      </c>
      <c r="L109" s="4">
        <v>400</v>
      </c>
      <c r="M109" s="4">
        <v>2400</v>
      </c>
      <c r="N109" s="4">
        <v>6</v>
      </c>
      <c r="O109" s="4">
        <v>2400</v>
      </c>
      <c r="P109" s="4">
        <v>2400</v>
      </c>
      <c r="Q109" s="4">
        <v>70</v>
      </c>
      <c r="R109" s="8">
        <v>1680</v>
      </c>
      <c r="S109" s="16" t="str">
        <f>IF(ISERROR(VLOOKUP(G109,[1]작가별정산률!$R:$S,2,0)),"스토리위즈",VLOOKUP(G109,[1]작가별정산률!$R:$S,2,0))</f>
        <v>스토리위즈</v>
      </c>
      <c r="T109" s="16" t="str">
        <f>IF(S109="스토리위즈",VLOOKUP(G109,[1]작가별정산률!$A:$B,2,0),S109)</f>
        <v>제외</v>
      </c>
    </row>
    <row r="110" spans="1:20" x14ac:dyDescent="0.4">
      <c r="A110" s="4" t="s">
        <v>36</v>
      </c>
      <c r="B110" s="4" t="s">
        <v>3</v>
      </c>
      <c r="C110" s="4" t="s">
        <v>3</v>
      </c>
      <c r="D110" s="4" t="s">
        <v>40</v>
      </c>
      <c r="E110" s="4" t="s">
        <v>41</v>
      </c>
      <c r="F110" s="4" t="s">
        <v>32</v>
      </c>
      <c r="G110" s="4" t="s">
        <v>52</v>
      </c>
      <c r="H110" s="4">
        <v>56</v>
      </c>
      <c r="I110" s="4" t="s">
        <v>28</v>
      </c>
      <c r="J110" s="4" t="s">
        <v>29</v>
      </c>
      <c r="K110" s="4">
        <v>200</v>
      </c>
      <c r="L110" s="4">
        <v>200</v>
      </c>
      <c r="M110" s="4">
        <v>2000</v>
      </c>
      <c r="N110" s="4">
        <v>10</v>
      </c>
      <c r="O110" s="4">
        <v>2000</v>
      </c>
      <c r="P110" s="4">
        <v>2000</v>
      </c>
      <c r="Q110" s="4">
        <v>70</v>
      </c>
      <c r="R110" s="8">
        <v>1400</v>
      </c>
      <c r="S110" s="16" t="str">
        <f>IF(ISERROR(VLOOKUP(G110,[1]작가별정산률!$R:$S,2,0)),"스토리위즈",VLOOKUP(G110,[1]작가별정산률!$R:$S,2,0))</f>
        <v>스토리위즈</v>
      </c>
      <c r="T110" s="16" t="str">
        <f>IF(S110="스토리위즈",VLOOKUP(G110,[1]작가별정산률!$A:$B,2,0),S110)</f>
        <v>제외</v>
      </c>
    </row>
    <row r="111" spans="1:20" x14ac:dyDescent="0.4">
      <c r="A111" s="4" t="s">
        <v>36</v>
      </c>
      <c r="B111" s="4" t="s">
        <v>3</v>
      </c>
      <c r="C111" s="4" t="s">
        <v>3</v>
      </c>
      <c r="D111" s="4" t="s">
        <v>201</v>
      </c>
      <c r="E111" s="4" t="s">
        <v>202</v>
      </c>
      <c r="F111" s="4" t="s">
        <v>34</v>
      </c>
      <c r="G111" s="4" t="s">
        <v>203</v>
      </c>
      <c r="H111" s="4">
        <v>113</v>
      </c>
      <c r="I111" s="4" t="s">
        <v>28</v>
      </c>
      <c r="J111" s="4" t="s">
        <v>29</v>
      </c>
      <c r="K111" s="4">
        <v>100</v>
      </c>
      <c r="L111" s="4">
        <v>100</v>
      </c>
      <c r="M111" s="4">
        <v>2700</v>
      </c>
      <c r="N111" s="4">
        <v>27</v>
      </c>
      <c r="O111" s="4">
        <v>2700</v>
      </c>
      <c r="P111" s="4">
        <v>2700</v>
      </c>
      <c r="Q111" s="4">
        <v>70</v>
      </c>
      <c r="R111" s="8">
        <v>1890</v>
      </c>
      <c r="S111" s="16" t="str">
        <f>IF(ISERROR(VLOOKUP(G111,[1]작가별정산률!$R:$S,2,0)),"스토리위즈",VLOOKUP(G111,[1]작가별정산률!$R:$S,2,0))</f>
        <v>스토리위즈</v>
      </c>
      <c r="T111" s="16" t="str">
        <f>IF(S111="스토리위즈",VLOOKUP(G111,[1]작가별정산률!$A:$B,2,0),S111)</f>
        <v>제외</v>
      </c>
    </row>
    <row r="112" spans="1:20" x14ac:dyDescent="0.4">
      <c r="A112" s="4" t="s">
        <v>36</v>
      </c>
      <c r="B112" s="4" t="s">
        <v>3</v>
      </c>
      <c r="C112" s="4" t="s">
        <v>3</v>
      </c>
      <c r="D112" s="4" t="s">
        <v>201</v>
      </c>
      <c r="E112" s="4" t="s">
        <v>202</v>
      </c>
      <c r="F112" s="4" t="s">
        <v>27</v>
      </c>
      <c r="G112" s="4" t="s">
        <v>203</v>
      </c>
      <c r="H112" s="4">
        <v>113</v>
      </c>
      <c r="I112" s="4" t="s">
        <v>28</v>
      </c>
      <c r="J112" s="4" t="s">
        <v>29</v>
      </c>
      <c r="K112" s="4">
        <v>100</v>
      </c>
      <c r="L112" s="4">
        <v>100</v>
      </c>
      <c r="M112" s="4">
        <v>100</v>
      </c>
      <c r="N112" s="4">
        <v>1</v>
      </c>
      <c r="O112" s="4">
        <v>100</v>
      </c>
      <c r="P112" s="4">
        <v>100</v>
      </c>
      <c r="Q112" s="4">
        <v>70</v>
      </c>
      <c r="R112" s="8">
        <v>70</v>
      </c>
      <c r="S112" s="16" t="str">
        <f>IF(ISERROR(VLOOKUP(G112,[1]작가별정산률!$R:$S,2,0)),"스토리위즈",VLOOKUP(G112,[1]작가별정산률!$R:$S,2,0))</f>
        <v>스토리위즈</v>
      </c>
      <c r="T112" s="16" t="str">
        <f>IF(S112="스토리위즈",VLOOKUP(G112,[1]작가별정산률!$A:$B,2,0),S112)</f>
        <v>제외</v>
      </c>
    </row>
    <row r="113" spans="1:20" x14ac:dyDescent="0.4">
      <c r="A113" s="4" t="s">
        <v>36</v>
      </c>
      <c r="B113" s="4" t="s">
        <v>3</v>
      </c>
      <c r="C113" s="4" t="s">
        <v>3</v>
      </c>
      <c r="D113" s="4" t="s">
        <v>201</v>
      </c>
      <c r="E113" s="4" t="s">
        <v>202</v>
      </c>
      <c r="F113" s="4" t="s">
        <v>32</v>
      </c>
      <c r="G113" s="4" t="s">
        <v>203</v>
      </c>
      <c r="H113" s="4">
        <v>113</v>
      </c>
      <c r="I113" s="4" t="s">
        <v>28</v>
      </c>
      <c r="J113" s="4" t="s">
        <v>29</v>
      </c>
      <c r="K113" s="4">
        <v>100</v>
      </c>
      <c r="L113" s="4">
        <v>100</v>
      </c>
      <c r="M113" s="4">
        <v>1800</v>
      </c>
      <c r="N113" s="4">
        <v>18</v>
      </c>
      <c r="O113" s="4">
        <v>1800</v>
      </c>
      <c r="P113" s="4">
        <v>1800</v>
      </c>
      <c r="Q113" s="4">
        <v>70</v>
      </c>
      <c r="R113" s="8">
        <v>1260</v>
      </c>
      <c r="S113" s="16" t="str">
        <f>IF(ISERROR(VLOOKUP(G113,[1]작가별정산률!$R:$S,2,0)),"스토리위즈",VLOOKUP(G113,[1]작가별정산률!$R:$S,2,0))</f>
        <v>스토리위즈</v>
      </c>
      <c r="T113" s="16" t="str">
        <f>IF(S113="스토리위즈",VLOOKUP(G113,[1]작가별정산률!$A:$B,2,0),S113)</f>
        <v>제외</v>
      </c>
    </row>
    <row r="114" spans="1:20" x14ac:dyDescent="0.4">
      <c r="A114" s="4" t="s">
        <v>36</v>
      </c>
      <c r="B114" s="4" t="s">
        <v>3</v>
      </c>
      <c r="C114" s="4" t="s">
        <v>3</v>
      </c>
      <c r="D114" s="4" t="s">
        <v>204</v>
      </c>
      <c r="E114" s="4" t="s">
        <v>205</v>
      </c>
      <c r="F114" s="4" t="s">
        <v>32</v>
      </c>
      <c r="G114" s="4" t="s">
        <v>206</v>
      </c>
      <c r="H114" s="4">
        <v>100</v>
      </c>
      <c r="I114" s="4" t="s">
        <v>28</v>
      </c>
      <c r="J114" s="4" t="s">
        <v>29</v>
      </c>
      <c r="K114" s="4">
        <v>200</v>
      </c>
      <c r="L114" s="4">
        <v>200</v>
      </c>
      <c r="M114" s="4">
        <v>2200</v>
      </c>
      <c r="N114" s="4">
        <v>11</v>
      </c>
      <c r="O114" s="4">
        <v>2200</v>
      </c>
      <c r="P114" s="4">
        <v>2200</v>
      </c>
      <c r="Q114" s="4">
        <v>70</v>
      </c>
      <c r="R114" s="8">
        <v>1540</v>
      </c>
      <c r="S114" s="16" t="str">
        <f>IF(ISERROR(VLOOKUP(G114,[1]작가별정산률!$R:$S,2,0)),"스토리위즈",VLOOKUP(G114,[1]작가별정산률!$R:$S,2,0))</f>
        <v>스토리위즈</v>
      </c>
      <c r="T114" s="16" t="str">
        <f>IF(S114="스토리위즈",VLOOKUP(G114,[1]작가별정산률!$A:$B,2,0),S114)</f>
        <v>제외</v>
      </c>
    </row>
    <row r="115" spans="1:20" x14ac:dyDescent="0.4">
      <c r="A115" s="4" t="s">
        <v>36</v>
      </c>
      <c r="B115" s="4" t="s">
        <v>3</v>
      </c>
      <c r="C115" s="4" t="s">
        <v>3</v>
      </c>
      <c r="D115" s="4" t="s">
        <v>204</v>
      </c>
      <c r="E115" s="4" t="s">
        <v>205</v>
      </c>
      <c r="F115" s="4" t="s">
        <v>32</v>
      </c>
      <c r="G115" s="4" t="s">
        <v>206</v>
      </c>
      <c r="H115" s="4">
        <v>100</v>
      </c>
      <c r="I115" s="4" t="s">
        <v>28</v>
      </c>
      <c r="J115" s="4" t="s">
        <v>30</v>
      </c>
      <c r="K115" s="4">
        <v>400</v>
      </c>
      <c r="L115" s="4">
        <v>400</v>
      </c>
      <c r="M115" s="4">
        <v>400</v>
      </c>
      <c r="N115" s="4">
        <v>1</v>
      </c>
      <c r="O115" s="4">
        <v>400</v>
      </c>
      <c r="P115" s="4">
        <v>400</v>
      </c>
      <c r="Q115" s="4">
        <v>70</v>
      </c>
      <c r="R115" s="8">
        <v>280</v>
      </c>
      <c r="S115" s="16" t="str">
        <f>IF(ISERROR(VLOOKUP(G115,[1]작가별정산률!$R:$S,2,0)),"스토리위즈",VLOOKUP(G115,[1]작가별정산률!$R:$S,2,0))</f>
        <v>스토리위즈</v>
      </c>
      <c r="T115" s="16" t="str">
        <f>IF(S115="스토리위즈",VLOOKUP(G115,[1]작가별정산률!$A:$B,2,0),S115)</f>
        <v>제외</v>
      </c>
    </row>
    <row r="116" spans="1:20" x14ac:dyDescent="0.4">
      <c r="A116" s="4" t="s">
        <v>36</v>
      </c>
      <c r="B116" s="4" t="s">
        <v>3</v>
      </c>
      <c r="C116" s="4" t="s">
        <v>3</v>
      </c>
      <c r="D116" s="4" t="s">
        <v>127</v>
      </c>
      <c r="E116" s="4" t="s">
        <v>128</v>
      </c>
      <c r="F116" s="4" t="s">
        <v>34</v>
      </c>
      <c r="G116" s="4" t="s">
        <v>129</v>
      </c>
      <c r="H116" s="4">
        <v>172</v>
      </c>
      <c r="I116" s="4" t="s">
        <v>28</v>
      </c>
      <c r="J116" s="4" t="s">
        <v>30</v>
      </c>
      <c r="K116" s="4">
        <v>200</v>
      </c>
      <c r="L116" s="4">
        <v>200</v>
      </c>
      <c r="M116" s="4">
        <v>14200</v>
      </c>
      <c r="N116" s="4">
        <v>71</v>
      </c>
      <c r="O116" s="4">
        <v>14200</v>
      </c>
      <c r="P116" s="4">
        <v>14200</v>
      </c>
      <c r="Q116" s="4">
        <v>70</v>
      </c>
      <c r="R116" s="8">
        <v>9940</v>
      </c>
      <c r="S116" s="16" t="str">
        <f>IF(ISERROR(VLOOKUP(G116,[1]작가별정산률!$R:$S,2,0)),"스토리위즈",VLOOKUP(G116,[1]작가별정산률!$R:$S,2,0))</f>
        <v>스토리위즈</v>
      </c>
      <c r="T116" s="16" t="str">
        <f>IF(S116="스토리위즈",VLOOKUP(G116,[1]작가별정산률!$A:$B,2,0),S116)</f>
        <v>제외</v>
      </c>
    </row>
    <row r="117" spans="1:20" x14ac:dyDescent="0.4">
      <c r="A117" s="4" t="s">
        <v>36</v>
      </c>
      <c r="B117" s="4" t="s">
        <v>3</v>
      </c>
      <c r="C117" s="4" t="s">
        <v>3</v>
      </c>
      <c r="D117" s="4" t="s">
        <v>127</v>
      </c>
      <c r="E117" s="4" t="s">
        <v>128</v>
      </c>
      <c r="F117" s="4" t="s">
        <v>27</v>
      </c>
      <c r="G117" s="4" t="s">
        <v>129</v>
      </c>
      <c r="H117" s="4">
        <v>172</v>
      </c>
      <c r="I117" s="4" t="s">
        <v>28</v>
      </c>
      <c r="J117" s="4" t="s">
        <v>29</v>
      </c>
      <c r="K117" s="4">
        <v>100</v>
      </c>
      <c r="L117" s="4">
        <v>100</v>
      </c>
      <c r="M117" s="4">
        <v>500</v>
      </c>
      <c r="N117" s="4">
        <v>5</v>
      </c>
      <c r="O117" s="4">
        <v>500</v>
      </c>
      <c r="P117" s="4">
        <v>500</v>
      </c>
      <c r="Q117" s="4">
        <v>70</v>
      </c>
      <c r="R117" s="8">
        <v>350</v>
      </c>
      <c r="S117" s="16" t="str">
        <f>IF(ISERROR(VLOOKUP(G117,[1]작가별정산률!$R:$S,2,0)),"스토리위즈",VLOOKUP(G117,[1]작가별정산률!$R:$S,2,0))</f>
        <v>스토리위즈</v>
      </c>
      <c r="T117" s="16" t="str">
        <f>IF(S117="스토리위즈",VLOOKUP(G117,[1]작가별정산률!$A:$B,2,0),S117)</f>
        <v>제외</v>
      </c>
    </row>
    <row r="118" spans="1:20" x14ac:dyDescent="0.4">
      <c r="A118" s="4" t="s">
        <v>36</v>
      </c>
      <c r="B118" s="4" t="s">
        <v>3</v>
      </c>
      <c r="C118" s="4" t="s">
        <v>3</v>
      </c>
      <c r="D118" s="4" t="s">
        <v>127</v>
      </c>
      <c r="E118" s="4" t="s">
        <v>128</v>
      </c>
      <c r="F118" s="4" t="s">
        <v>32</v>
      </c>
      <c r="G118" s="4" t="s">
        <v>129</v>
      </c>
      <c r="H118" s="4">
        <v>172</v>
      </c>
      <c r="I118" s="4" t="s">
        <v>28</v>
      </c>
      <c r="J118" s="4" t="s">
        <v>29</v>
      </c>
      <c r="K118" s="4">
        <v>100</v>
      </c>
      <c r="L118" s="4">
        <v>100</v>
      </c>
      <c r="M118" s="4">
        <v>300</v>
      </c>
      <c r="N118" s="4">
        <v>3</v>
      </c>
      <c r="O118" s="4">
        <v>300</v>
      </c>
      <c r="P118" s="4">
        <v>300</v>
      </c>
      <c r="Q118" s="4">
        <v>70</v>
      </c>
      <c r="R118" s="8">
        <v>210</v>
      </c>
      <c r="S118" s="16" t="str">
        <f>IF(ISERROR(VLOOKUP(G118,[1]작가별정산률!$R:$S,2,0)),"스토리위즈",VLOOKUP(G118,[1]작가별정산률!$R:$S,2,0))</f>
        <v>스토리위즈</v>
      </c>
      <c r="T118" s="16" t="str">
        <f>IF(S118="스토리위즈",VLOOKUP(G118,[1]작가별정산률!$A:$B,2,0),S118)</f>
        <v>제외</v>
      </c>
    </row>
    <row r="119" spans="1:20" x14ac:dyDescent="0.4">
      <c r="A119" s="4" t="s">
        <v>36</v>
      </c>
      <c r="B119" s="4" t="s">
        <v>3</v>
      </c>
      <c r="C119" s="4" t="s">
        <v>3</v>
      </c>
      <c r="D119" s="4" t="s">
        <v>207</v>
      </c>
      <c r="E119" s="4" t="s">
        <v>208</v>
      </c>
      <c r="F119" s="4" t="s">
        <v>34</v>
      </c>
      <c r="G119" s="4" t="s">
        <v>209</v>
      </c>
      <c r="H119" s="4">
        <v>114</v>
      </c>
      <c r="I119" s="4" t="s">
        <v>28</v>
      </c>
      <c r="J119" s="4" t="s">
        <v>29</v>
      </c>
      <c r="K119" s="4">
        <v>100</v>
      </c>
      <c r="L119" s="4">
        <v>100</v>
      </c>
      <c r="M119" s="4">
        <v>1000</v>
      </c>
      <c r="N119" s="4">
        <v>10</v>
      </c>
      <c r="O119" s="4">
        <v>1000</v>
      </c>
      <c r="P119" s="4">
        <v>1000</v>
      </c>
      <c r="Q119" s="4">
        <v>70</v>
      </c>
      <c r="R119" s="8">
        <v>700</v>
      </c>
      <c r="S119" s="16" t="str">
        <f>IF(ISERROR(VLOOKUP(G119,[1]작가별정산률!$R:$S,2,0)),"스토리위즈",VLOOKUP(G119,[1]작가별정산률!$R:$S,2,0))</f>
        <v>스토리위즈</v>
      </c>
      <c r="T119" s="16" t="str">
        <f>IF(S119="스토리위즈",VLOOKUP(G119,[1]작가별정산률!$A:$B,2,0),S119)</f>
        <v>제외</v>
      </c>
    </row>
    <row r="120" spans="1:20" x14ac:dyDescent="0.4">
      <c r="A120" s="4" t="s">
        <v>36</v>
      </c>
      <c r="B120" s="4" t="s">
        <v>3</v>
      </c>
      <c r="C120" s="4" t="s">
        <v>3</v>
      </c>
      <c r="D120" s="4" t="s">
        <v>210</v>
      </c>
      <c r="E120" s="4" t="s">
        <v>211</v>
      </c>
      <c r="F120" s="4" t="s">
        <v>27</v>
      </c>
      <c r="G120" s="4" t="s">
        <v>212</v>
      </c>
      <c r="H120" s="4">
        <v>28</v>
      </c>
      <c r="I120" s="4" t="s">
        <v>28</v>
      </c>
      <c r="J120" s="4" t="s">
        <v>29</v>
      </c>
      <c r="K120" s="4">
        <v>200</v>
      </c>
      <c r="L120" s="4">
        <v>200</v>
      </c>
      <c r="M120" s="4">
        <v>4400</v>
      </c>
      <c r="N120" s="4">
        <v>22</v>
      </c>
      <c r="O120" s="4">
        <v>4400</v>
      </c>
      <c r="P120" s="4">
        <v>4400</v>
      </c>
      <c r="Q120" s="4">
        <v>70</v>
      </c>
      <c r="R120" s="8">
        <v>3080</v>
      </c>
      <c r="S120" s="16" t="str">
        <f>IF(ISERROR(VLOOKUP(G120,[1]작가별정산률!$R:$S,2,0)),"스토리위즈",VLOOKUP(G120,[1]작가별정산률!$R:$S,2,0))</f>
        <v>스토리위즈</v>
      </c>
      <c r="T120" s="16" t="str">
        <f>IF(S120="스토리위즈",VLOOKUP(G120,[1]작가별정산률!$A:$B,2,0),S120)</f>
        <v>제외</v>
      </c>
    </row>
    <row r="121" spans="1:20" x14ac:dyDescent="0.4">
      <c r="A121" s="4" t="s">
        <v>36</v>
      </c>
      <c r="B121" s="4" t="s">
        <v>3</v>
      </c>
      <c r="C121" s="4" t="s">
        <v>3</v>
      </c>
      <c r="D121" s="4" t="s">
        <v>210</v>
      </c>
      <c r="E121" s="4" t="s">
        <v>211</v>
      </c>
      <c r="F121" s="4" t="s">
        <v>27</v>
      </c>
      <c r="G121" s="4" t="s">
        <v>212</v>
      </c>
      <c r="H121" s="4">
        <v>28</v>
      </c>
      <c r="I121" s="4" t="s">
        <v>28</v>
      </c>
      <c r="J121" s="4" t="s">
        <v>30</v>
      </c>
      <c r="K121" s="4">
        <v>400</v>
      </c>
      <c r="L121" s="4">
        <v>400</v>
      </c>
      <c r="M121" s="4">
        <v>6000</v>
      </c>
      <c r="N121" s="4">
        <v>15</v>
      </c>
      <c r="O121" s="4">
        <v>6000</v>
      </c>
      <c r="P121" s="4">
        <v>6000</v>
      </c>
      <c r="Q121" s="4">
        <v>70</v>
      </c>
      <c r="R121" s="8">
        <v>4200</v>
      </c>
      <c r="S121" s="16" t="str">
        <f>IF(ISERROR(VLOOKUP(G121,[1]작가별정산률!$R:$S,2,0)),"스토리위즈",VLOOKUP(G121,[1]작가별정산률!$R:$S,2,0))</f>
        <v>스토리위즈</v>
      </c>
      <c r="T121" s="16" t="str">
        <f>IF(S121="스토리위즈",VLOOKUP(G121,[1]작가별정산률!$A:$B,2,0),S121)</f>
        <v>제외</v>
      </c>
    </row>
    <row r="122" spans="1:20" x14ac:dyDescent="0.4">
      <c r="A122" s="4" t="s">
        <v>36</v>
      </c>
      <c r="B122" s="4" t="s">
        <v>3</v>
      </c>
      <c r="C122" s="4" t="s">
        <v>3</v>
      </c>
      <c r="D122" s="4" t="s">
        <v>210</v>
      </c>
      <c r="E122" s="4" t="s">
        <v>211</v>
      </c>
      <c r="F122" s="4" t="s">
        <v>32</v>
      </c>
      <c r="G122" s="4" t="s">
        <v>212</v>
      </c>
      <c r="H122" s="4">
        <v>28</v>
      </c>
      <c r="I122" s="4" t="s">
        <v>28</v>
      </c>
      <c r="J122" s="4" t="s">
        <v>29</v>
      </c>
      <c r="K122" s="4">
        <v>200</v>
      </c>
      <c r="L122" s="4">
        <v>200</v>
      </c>
      <c r="M122" s="4">
        <v>200</v>
      </c>
      <c r="N122" s="4">
        <v>1</v>
      </c>
      <c r="O122" s="4">
        <v>200</v>
      </c>
      <c r="P122" s="4">
        <v>200</v>
      </c>
      <c r="Q122" s="4">
        <v>70</v>
      </c>
      <c r="R122" s="8">
        <v>140</v>
      </c>
      <c r="S122" s="16" t="str">
        <f>IF(ISERROR(VLOOKUP(G122,[1]작가별정산률!$R:$S,2,0)),"스토리위즈",VLOOKUP(G122,[1]작가별정산률!$R:$S,2,0))</f>
        <v>스토리위즈</v>
      </c>
      <c r="T122" s="16" t="str">
        <f>IF(S122="스토리위즈",VLOOKUP(G122,[1]작가별정산률!$A:$B,2,0),S122)</f>
        <v>제외</v>
      </c>
    </row>
    <row r="123" spans="1:20" x14ac:dyDescent="0.4">
      <c r="A123" s="4" t="s">
        <v>36</v>
      </c>
      <c r="B123" s="4" t="s">
        <v>3</v>
      </c>
      <c r="C123" s="4" t="s">
        <v>3</v>
      </c>
      <c r="D123" s="4" t="s">
        <v>210</v>
      </c>
      <c r="E123" s="4" t="s">
        <v>211</v>
      </c>
      <c r="F123" s="4" t="s">
        <v>32</v>
      </c>
      <c r="G123" s="4" t="s">
        <v>212</v>
      </c>
      <c r="H123" s="4">
        <v>28</v>
      </c>
      <c r="I123" s="4" t="s">
        <v>28</v>
      </c>
      <c r="J123" s="4" t="s">
        <v>30</v>
      </c>
      <c r="K123" s="4">
        <v>400</v>
      </c>
      <c r="L123" s="4">
        <v>400</v>
      </c>
      <c r="M123" s="4">
        <v>8400</v>
      </c>
      <c r="N123" s="4">
        <v>21</v>
      </c>
      <c r="O123" s="4">
        <v>8400</v>
      </c>
      <c r="P123" s="4">
        <v>8400</v>
      </c>
      <c r="Q123" s="4">
        <v>70</v>
      </c>
      <c r="R123" s="8">
        <v>5880</v>
      </c>
      <c r="S123" s="16" t="str">
        <f>IF(ISERROR(VLOOKUP(G123,[1]작가별정산률!$R:$S,2,0)),"스토리위즈",VLOOKUP(G123,[1]작가별정산률!$R:$S,2,0))</f>
        <v>스토리위즈</v>
      </c>
      <c r="T123" s="16" t="str">
        <f>IF(S123="스토리위즈",VLOOKUP(G123,[1]작가별정산률!$A:$B,2,0),S123)</f>
        <v>제외</v>
      </c>
    </row>
    <row r="124" spans="1:20" x14ac:dyDescent="0.4">
      <c r="A124" s="17" t="s">
        <v>213</v>
      </c>
      <c r="B124" s="17"/>
      <c r="C124" s="17"/>
      <c r="D124" s="17"/>
      <c r="E124" s="17"/>
      <c r="F124" s="17"/>
      <c r="G124" s="17"/>
      <c r="H124" s="17">
        <v>23058</v>
      </c>
      <c r="I124" s="17"/>
      <c r="J124" s="17"/>
      <c r="K124" s="17">
        <v>15100</v>
      </c>
      <c r="L124" s="17">
        <v>15100</v>
      </c>
      <c r="M124" s="2">
        <v>952000</v>
      </c>
      <c r="N124" s="2">
        <v>9037</v>
      </c>
      <c r="O124" s="2">
        <v>952000</v>
      </c>
      <c r="P124" s="2">
        <v>952000</v>
      </c>
      <c r="Q124" s="2">
        <v>8540</v>
      </c>
      <c r="R124" s="9">
        <f>SUM(R2:R123)</f>
        <v>666400</v>
      </c>
    </row>
    <row r="125" spans="1:20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8"/>
    </row>
    <row r="126" spans="1:20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8"/>
    </row>
    <row r="127" spans="1:20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8"/>
    </row>
    <row r="128" spans="1:20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8"/>
    </row>
    <row r="129" spans="1:20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8"/>
    </row>
    <row r="130" spans="1:20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8"/>
    </row>
    <row r="131" spans="1:20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8"/>
    </row>
    <row r="132" spans="1:20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8"/>
    </row>
    <row r="133" spans="1:20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8"/>
    </row>
    <row r="134" spans="1:20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8"/>
    </row>
    <row r="135" spans="1:20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8"/>
    </row>
    <row r="136" spans="1:20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8"/>
    </row>
    <row r="137" spans="1:20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8"/>
    </row>
    <row r="138" spans="1:20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8"/>
    </row>
    <row r="139" spans="1:20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0"/>
      <c r="S139" s="11"/>
      <c r="T139" s="11"/>
    </row>
    <row r="140" spans="1:20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10"/>
      <c r="S140" s="11"/>
      <c r="T140" s="12"/>
    </row>
    <row r="141" spans="1:20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10"/>
      <c r="S141" s="11"/>
      <c r="T141" s="11"/>
    </row>
    <row r="142" spans="1:20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10"/>
      <c r="S142" s="11"/>
      <c r="T142" s="11"/>
    </row>
    <row r="143" spans="1:20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10"/>
      <c r="S143" s="11"/>
      <c r="T143" s="11"/>
    </row>
    <row r="144" spans="1:20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10"/>
      <c r="S144" s="11"/>
      <c r="T144" s="11"/>
    </row>
    <row r="145" spans="1:20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10"/>
      <c r="S145" s="11"/>
      <c r="T145" s="12"/>
    </row>
    <row r="146" spans="1:20" x14ac:dyDescent="0.4">
      <c r="R146" s="12"/>
      <c r="S146" s="11"/>
      <c r="T146" s="11"/>
    </row>
    <row r="147" spans="1:20" x14ac:dyDescent="0.4">
      <c r="R147" s="12"/>
      <c r="S147" s="11"/>
      <c r="T147" s="11"/>
    </row>
  </sheetData>
  <mergeCells count="1">
    <mergeCell ref="A124:L12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9"/>
  <sheetViews>
    <sheetView workbookViewId="0"/>
  </sheetViews>
  <sheetFormatPr defaultRowHeight="17.399999999999999" x14ac:dyDescent="0.4"/>
  <cols>
    <col min="1" max="1" width="8.59765625" bestFit="1" customWidth="1"/>
    <col min="2" max="2" width="6.796875" bestFit="1" customWidth="1"/>
    <col min="3" max="3" width="8.59765625" bestFit="1" customWidth="1"/>
    <col min="4" max="4" width="15.5" bestFit="1" customWidth="1"/>
    <col min="5" max="5" width="32.3984375" bestFit="1" customWidth="1"/>
    <col min="6" max="6" width="9.59765625" bestFit="1" customWidth="1"/>
    <col min="7" max="7" width="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26</v>
      </c>
      <c r="D2" s="4" t="s">
        <v>82</v>
      </c>
      <c r="E2" s="4" t="s">
        <v>83</v>
      </c>
      <c r="F2" s="4" t="s">
        <v>27</v>
      </c>
      <c r="G2" s="4" t="s">
        <v>4</v>
      </c>
      <c r="H2" s="4">
        <v>581</v>
      </c>
      <c r="I2" s="4" t="s">
        <v>28</v>
      </c>
      <c r="J2" s="4" t="s">
        <v>30</v>
      </c>
      <c r="K2" s="4">
        <v>100</v>
      </c>
      <c r="L2" s="4">
        <v>100</v>
      </c>
      <c r="M2" s="4">
        <v>2500</v>
      </c>
      <c r="N2" s="4">
        <v>25</v>
      </c>
      <c r="O2" s="4">
        <v>2500</v>
      </c>
      <c r="P2" s="4">
        <v>2500</v>
      </c>
      <c r="Q2" s="4">
        <v>70</v>
      </c>
      <c r="R2" s="8">
        <v>1750</v>
      </c>
      <c r="S2" s="16" t="s">
        <v>222</v>
      </c>
      <c r="T2" s="16" t="s">
        <v>4</v>
      </c>
    </row>
    <row r="3" spans="1:20" x14ac:dyDescent="0.4">
      <c r="A3" s="4" t="s">
        <v>25</v>
      </c>
      <c r="B3" s="4" t="s">
        <v>0</v>
      </c>
      <c r="C3" s="4" t="s">
        <v>26</v>
      </c>
      <c r="D3" s="4" t="s">
        <v>82</v>
      </c>
      <c r="E3" s="4" t="s">
        <v>83</v>
      </c>
      <c r="F3" s="4" t="s">
        <v>27</v>
      </c>
      <c r="G3" s="4" t="s">
        <v>4</v>
      </c>
      <c r="H3" s="4">
        <v>581</v>
      </c>
      <c r="I3" s="4" t="s">
        <v>28</v>
      </c>
      <c r="J3" s="4" t="s">
        <v>30</v>
      </c>
      <c r="K3" s="4">
        <v>100</v>
      </c>
      <c r="L3" s="4">
        <v>100</v>
      </c>
      <c r="M3" s="4">
        <v>2000</v>
      </c>
      <c r="N3" s="4">
        <v>20</v>
      </c>
      <c r="O3" s="4">
        <v>2000</v>
      </c>
      <c r="P3" s="4">
        <v>2000</v>
      </c>
      <c r="Q3" s="4">
        <v>70</v>
      </c>
      <c r="R3" s="8">
        <v>1400</v>
      </c>
      <c r="S3" s="16" t="s">
        <v>222</v>
      </c>
      <c r="T3" s="16" t="s">
        <v>4</v>
      </c>
    </row>
    <row r="4" spans="1:20" x14ac:dyDescent="0.4">
      <c r="A4" s="4" t="s">
        <v>25</v>
      </c>
      <c r="B4" s="4" t="s">
        <v>0</v>
      </c>
      <c r="C4" s="4" t="s">
        <v>26</v>
      </c>
      <c r="D4" s="4" t="s">
        <v>82</v>
      </c>
      <c r="E4" s="4" t="s">
        <v>83</v>
      </c>
      <c r="F4" s="4" t="s">
        <v>32</v>
      </c>
      <c r="G4" s="4" t="s">
        <v>4</v>
      </c>
      <c r="H4" s="4">
        <v>581</v>
      </c>
      <c r="I4" s="4" t="s">
        <v>28</v>
      </c>
      <c r="J4" s="4" t="s">
        <v>30</v>
      </c>
      <c r="K4" s="4">
        <v>100</v>
      </c>
      <c r="L4" s="4">
        <v>100</v>
      </c>
      <c r="M4" s="4">
        <v>8500</v>
      </c>
      <c r="N4" s="4">
        <v>85</v>
      </c>
      <c r="O4" s="4">
        <v>8500</v>
      </c>
      <c r="P4" s="4">
        <v>8500</v>
      </c>
      <c r="Q4" s="4">
        <v>70</v>
      </c>
      <c r="R4" s="8">
        <v>5950</v>
      </c>
      <c r="S4" s="16" t="s">
        <v>222</v>
      </c>
      <c r="T4" s="16" t="s">
        <v>4</v>
      </c>
    </row>
    <row r="5" spans="1:20" x14ac:dyDescent="0.4">
      <c r="A5" s="4" t="s">
        <v>25</v>
      </c>
      <c r="B5" s="4" t="s">
        <v>0</v>
      </c>
      <c r="C5" s="4" t="s">
        <v>93</v>
      </c>
      <c r="D5" s="4" t="s">
        <v>130</v>
      </c>
      <c r="E5" s="4" t="s">
        <v>131</v>
      </c>
      <c r="F5" s="4" t="s">
        <v>27</v>
      </c>
      <c r="G5" s="4" t="s">
        <v>4</v>
      </c>
      <c r="H5" s="4">
        <v>262</v>
      </c>
      <c r="I5" s="4" t="s">
        <v>28</v>
      </c>
      <c r="J5" s="4" t="s">
        <v>30</v>
      </c>
      <c r="K5" s="4">
        <v>100</v>
      </c>
      <c r="L5" s="4">
        <v>100</v>
      </c>
      <c r="M5" s="4">
        <v>400</v>
      </c>
      <c r="N5" s="4">
        <v>4</v>
      </c>
      <c r="O5" s="4">
        <v>400</v>
      </c>
      <c r="P5" s="4">
        <v>400</v>
      </c>
      <c r="Q5" s="4">
        <v>70</v>
      </c>
      <c r="R5" s="8">
        <v>280</v>
      </c>
      <c r="S5" s="16" t="s">
        <v>222</v>
      </c>
      <c r="T5" s="16" t="s">
        <v>4</v>
      </c>
    </row>
    <row r="6" spans="1:20" x14ac:dyDescent="0.4">
      <c r="A6" s="4" t="s">
        <v>25</v>
      </c>
      <c r="B6" s="4" t="s">
        <v>0</v>
      </c>
      <c r="C6" s="4" t="s">
        <v>26</v>
      </c>
      <c r="D6" s="4" t="s">
        <v>54</v>
      </c>
      <c r="E6" s="4" t="s">
        <v>55</v>
      </c>
      <c r="F6" s="4" t="s">
        <v>27</v>
      </c>
      <c r="G6" s="4" t="s">
        <v>4</v>
      </c>
      <c r="H6" s="4">
        <v>315</v>
      </c>
      <c r="I6" s="4" t="s">
        <v>28</v>
      </c>
      <c r="J6" s="4" t="s">
        <v>30</v>
      </c>
      <c r="K6" s="4">
        <v>100</v>
      </c>
      <c r="L6" s="4">
        <v>100</v>
      </c>
      <c r="M6" s="4">
        <v>3700</v>
      </c>
      <c r="N6" s="4">
        <v>37</v>
      </c>
      <c r="O6" s="4">
        <v>3700</v>
      </c>
      <c r="P6" s="4">
        <v>3700</v>
      </c>
      <c r="Q6" s="4">
        <v>70</v>
      </c>
      <c r="R6" s="8">
        <v>2590</v>
      </c>
      <c r="S6" s="16" t="s">
        <v>222</v>
      </c>
      <c r="T6" s="16" t="s">
        <v>4</v>
      </c>
    </row>
    <row r="7" spans="1:20" x14ac:dyDescent="0.4">
      <c r="A7" s="4" t="s">
        <v>25</v>
      </c>
      <c r="B7" s="4" t="s">
        <v>0</v>
      </c>
      <c r="C7" s="4" t="s">
        <v>26</v>
      </c>
      <c r="D7" s="4" t="s">
        <v>54</v>
      </c>
      <c r="E7" s="4" t="s">
        <v>55</v>
      </c>
      <c r="F7" s="4" t="s">
        <v>27</v>
      </c>
      <c r="G7" s="4" t="s">
        <v>4</v>
      </c>
      <c r="H7" s="4">
        <v>315</v>
      </c>
      <c r="I7" s="4" t="s">
        <v>28</v>
      </c>
      <c r="J7" s="4" t="s">
        <v>30</v>
      </c>
      <c r="K7" s="4">
        <v>100</v>
      </c>
      <c r="L7" s="4">
        <v>100</v>
      </c>
      <c r="M7" s="4">
        <v>2500</v>
      </c>
      <c r="N7" s="4">
        <v>25</v>
      </c>
      <c r="O7" s="4">
        <v>2500</v>
      </c>
      <c r="P7" s="4">
        <v>2500</v>
      </c>
      <c r="Q7" s="4">
        <v>70</v>
      </c>
      <c r="R7" s="8">
        <v>1750</v>
      </c>
      <c r="S7" s="16" t="s">
        <v>222</v>
      </c>
      <c r="T7" s="16" t="s">
        <v>4</v>
      </c>
    </row>
    <row r="8" spans="1:20" x14ac:dyDescent="0.4">
      <c r="A8" s="4" t="s">
        <v>25</v>
      </c>
      <c r="B8" s="4" t="s">
        <v>0</v>
      </c>
      <c r="C8" s="4" t="s">
        <v>26</v>
      </c>
      <c r="D8" s="4" t="s">
        <v>63</v>
      </c>
      <c r="E8" s="4" t="s">
        <v>64</v>
      </c>
      <c r="F8" s="4" t="s">
        <v>27</v>
      </c>
      <c r="G8" s="4" t="s">
        <v>4</v>
      </c>
      <c r="H8" s="4">
        <v>513</v>
      </c>
      <c r="I8" s="4" t="s">
        <v>28</v>
      </c>
      <c r="J8" s="4" t="s">
        <v>30</v>
      </c>
      <c r="K8" s="4">
        <v>100</v>
      </c>
      <c r="L8" s="4">
        <v>100</v>
      </c>
      <c r="M8" s="4">
        <v>10100</v>
      </c>
      <c r="N8" s="4">
        <v>101</v>
      </c>
      <c r="O8" s="4">
        <v>10100</v>
      </c>
      <c r="P8" s="4">
        <v>10100</v>
      </c>
      <c r="Q8" s="4">
        <v>70</v>
      </c>
      <c r="R8" s="8">
        <v>7070</v>
      </c>
      <c r="S8" s="16" t="s">
        <v>222</v>
      </c>
      <c r="T8" s="16" t="s">
        <v>4</v>
      </c>
    </row>
    <row r="9" spans="1:20" x14ac:dyDescent="0.4">
      <c r="A9" s="4" t="s">
        <v>25</v>
      </c>
      <c r="B9" s="4" t="s">
        <v>1</v>
      </c>
      <c r="C9" s="4" t="s">
        <v>65</v>
      </c>
      <c r="D9" s="4" t="s">
        <v>66</v>
      </c>
      <c r="E9" s="4" t="s">
        <v>67</v>
      </c>
      <c r="F9" s="4" t="s">
        <v>27</v>
      </c>
      <c r="G9" s="4" t="s">
        <v>4</v>
      </c>
      <c r="H9" s="4">
        <v>118</v>
      </c>
      <c r="I9" s="4" t="s">
        <v>28</v>
      </c>
      <c r="J9" s="4" t="s">
        <v>30</v>
      </c>
      <c r="K9" s="4">
        <v>100</v>
      </c>
      <c r="L9" s="4">
        <v>100</v>
      </c>
      <c r="M9" s="4">
        <v>2000</v>
      </c>
      <c r="N9" s="4">
        <v>20</v>
      </c>
      <c r="O9" s="4">
        <v>2000</v>
      </c>
      <c r="P9" s="4">
        <v>2000</v>
      </c>
      <c r="Q9" s="4">
        <v>70</v>
      </c>
      <c r="R9" s="8">
        <v>1400</v>
      </c>
      <c r="S9" s="16" t="s">
        <v>222</v>
      </c>
      <c r="T9" s="16" t="s">
        <v>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4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9.0976562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33</v>
      </c>
      <c r="D2" s="4" t="s">
        <v>132</v>
      </c>
      <c r="E2" s="4" t="s">
        <v>133</v>
      </c>
      <c r="F2" s="4" t="s">
        <v>27</v>
      </c>
      <c r="G2" s="4" t="s">
        <v>84</v>
      </c>
      <c r="H2" s="4">
        <v>67</v>
      </c>
      <c r="I2" s="4" t="s">
        <v>28</v>
      </c>
      <c r="J2" s="4" t="s">
        <v>30</v>
      </c>
      <c r="K2" s="4">
        <v>100</v>
      </c>
      <c r="L2" s="4">
        <v>100</v>
      </c>
      <c r="M2" s="4">
        <v>11100</v>
      </c>
      <c r="N2" s="4">
        <v>111</v>
      </c>
      <c r="O2" s="4">
        <v>11100</v>
      </c>
      <c r="P2" s="4">
        <v>11100</v>
      </c>
      <c r="Q2" s="4">
        <v>70</v>
      </c>
      <c r="R2" s="8">
        <v>7770</v>
      </c>
      <c r="S2" s="16" t="s">
        <v>222</v>
      </c>
      <c r="T2" s="16" t="s">
        <v>84</v>
      </c>
    </row>
    <row r="3" spans="1:20" x14ac:dyDescent="0.4">
      <c r="A3" s="4" t="s">
        <v>25</v>
      </c>
      <c r="B3" s="4" t="s">
        <v>3</v>
      </c>
      <c r="C3" s="4" t="s">
        <v>33</v>
      </c>
      <c r="D3" s="4" t="s">
        <v>85</v>
      </c>
      <c r="E3" s="4" t="s">
        <v>86</v>
      </c>
      <c r="F3" s="4" t="s">
        <v>27</v>
      </c>
      <c r="G3" s="4" t="s">
        <v>84</v>
      </c>
      <c r="H3" s="4">
        <v>65</v>
      </c>
      <c r="I3" s="4" t="s">
        <v>28</v>
      </c>
      <c r="J3" s="4" t="s">
        <v>30</v>
      </c>
      <c r="K3" s="4">
        <v>100</v>
      </c>
      <c r="L3" s="4">
        <v>100</v>
      </c>
      <c r="M3" s="4">
        <v>5600</v>
      </c>
      <c r="N3" s="4">
        <v>56</v>
      </c>
      <c r="O3" s="4">
        <v>5600</v>
      </c>
      <c r="P3" s="4">
        <v>5600</v>
      </c>
      <c r="Q3" s="4">
        <v>70</v>
      </c>
      <c r="R3" s="8">
        <v>3920</v>
      </c>
      <c r="S3" s="16" t="s">
        <v>222</v>
      </c>
      <c r="T3" s="16" t="s">
        <v>84</v>
      </c>
    </row>
    <row r="4" spans="1:20" x14ac:dyDescent="0.4">
      <c r="A4" s="4" t="s">
        <v>25</v>
      </c>
      <c r="B4" s="4" t="s">
        <v>3</v>
      </c>
      <c r="C4" s="4" t="s">
        <v>33</v>
      </c>
      <c r="D4" s="4" t="s">
        <v>85</v>
      </c>
      <c r="E4" s="4" t="s">
        <v>86</v>
      </c>
      <c r="F4" s="4" t="s">
        <v>27</v>
      </c>
      <c r="G4" s="4" t="s">
        <v>84</v>
      </c>
      <c r="H4" s="4">
        <v>65</v>
      </c>
      <c r="I4" s="4" t="s">
        <v>28</v>
      </c>
      <c r="J4" s="4" t="s">
        <v>30</v>
      </c>
      <c r="K4" s="4">
        <v>100</v>
      </c>
      <c r="L4" s="4">
        <v>100</v>
      </c>
      <c r="M4" s="4">
        <v>4500</v>
      </c>
      <c r="N4" s="4">
        <v>45</v>
      </c>
      <c r="O4" s="4">
        <v>4500</v>
      </c>
      <c r="P4" s="4">
        <v>4500</v>
      </c>
      <c r="Q4" s="4">
        <v>70</v>
      </c>
      <c r="R4" s="8">
        <v>3150</v>
      </c>
      <c r="S4" s="16" t="s">
        <v>222</v>
      </c>
      <c r="T4" s="16" t="s">
        <v>84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11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6.1992187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20" width="8.5976562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1</v>
      </c>
      <c r="C2" s="4" t="s">
        <v>35</v>
      </c>
      <c r="D2" s="4" t="s">
        <v>134</v>
      </c>
      <c r="E2" s="4" t="s">
        <v>135</v>
      </c>
      <c r="F2" s="4" t="s">
        <v>34</v>
      </c>
      <c r="G2" s="4" t="s">
        <v>136</v>
      </c>
      <c r="H2" s="4">
        <v>414</v>
      </c>
      <c r="I2" s="4" t="s">
        <v>28</v>
      </c>
      <c r="J2" s="4" t="s">
        <v>29</v>
      </c>
      <c r="K2" s="4">
        <v>100</v>
      </c>
      <c r="L2" s="4">
        <v>100</v>
      </c>
      <c r="M2" s="4">
        <v>100</v>
      </c>
      <c r="N2" s="4">
        <v>1</v>
      </c>
      <c r="O2" s="4">
        <v>100</v>
      </c>
      <c r="P2" s="4">
        <v>100</v>
      </c>
      <c r="Q2" s="4">
        <v>70</v>
      </c>
      <c r="R2" s="8">
        <v>70</v>
      </c>
      <c r="S2" s="16" t="s">
        <v>216</v>
      </c>
      <c r="T2" s="16" t="s">
        <v>216</v>
      </c>
    </row>
    <row r="3" spans="1:20" x14ac:dyDescent="0.4">
      <c r="A3" s="4" t="s">
        <v>25</v>
      </c>
      <c r="B3" s="4" t="s">
        <v>1</v>
      </c>
      <c r="C3" s="4" t="s">
        <v>35</v>
      </c>
      <c r="D3" s="4" t="s">
        <v>134</v>
      </c>
      <c r="E3" s="4" t="s">
        <v>135</v>
      </c>
      <c r="F3" s="4" t="s">
        <v>34</v>
      </c>
      <c r="G3" s="4" t="s">
        <v>136</v>
      </c>
      <c r="H3" s="4">
        <v>414</v>
      </c>
      <c r="I3" s="4" t="s">
        <v>28</v>
      </c>
      <c r="J3" s="4" t="s">
        <v>30</v>
      </c>
      <c r="K3" s="4">
        <v>100</v>
      </c>
      <c r="L3" s="4">
        <v>100</v>
      </c>
      <c r="M3" s="4">
        <v>10200</v>
      </c>
      <c r="N3" s="4">
        <v>102</v>
      </c>
      <c r="O3" s="4">
        <v>10200</v>
      </c>
      <c r="P3" s="4">
        <v>10200</v>
      </c>
      <c r="Q3" s="4">
        <v>70</v>
      </c>
      <c r="R3" s="8">
        <v>7140</v>
      </c>
      <c r="S3" s="16" t="s">
        <v>216</v>
      </c>
      <c r="T3" s="16" t="s">
        <v>216</v>
      </c>
    </row>
    <row r="4" spans="1:20" x14ac:dyDescent="0.4">
      <c r="A4" s="4" t="s">
        <v>25</v>
      </c>
      <c r="B4" s="4" t="s">
        <v>0</v>
      </c>
      <c r="C4" s="4" t="s">
        <v>31</v>
      </c>
      <c r="D4" s="4" t="s">
        <v>45</v>
      </c>
      <c r="E4" s="4" t="s">
        <v>46</v>
      </c>
      <c r="F4" s="4" t="s">
        <v>27</v>
      </c>
      <c r="G4" s="4" t="s">
        <v>47</v>
      </c>
      <c r="H4" s="4">
        <v>204</v>
      </c>
      <c r="I4" s="4" t="s">
        <v>28</v>
      </c>
      <c r="J4" s="4" t="s">
        <v>30</v>
      </c>
      <c r="K4" s="4">
        <v>100</v>
      </c>
      <c r="L4" s="4">
        <v>100</v>
      </c>
      <c r="M4" s="4">
        <v>4100</v>
      </c>
      <c r="N4" s="4">
        <v>41</v>
      </c>
      <c r="O4" s="4">
        <v>4100</v>
      </c>
      <c r="P4" s="4">
        <v>4100</v>
      </c>
      <c r="Q4" s="4">
        <v>70</v>
      </c>
      <c r="R4" s="8">
        <v>2870</v>
      </c>
      <c r="S4" s="16" t="s">
        <v>216</v>
      </c>
      <c r="T4" s="16" t="s">
        <v>216</v>
      </c>
    </row>
    <row r="5" spans="1:20" x14ac:dyDescent="0.4">
      <c r="A5" s="4" t="s">
        <v>25</v>
      </c>
      <c r="B5" s="4" t="s">
        <v>1</v>
      </c>
      <c r="C5" s="4" t="s">
        <v>35</v>
      </c>
      <c r="D5" s="4" t="s">
        <v>49</v>
      </c>
      <c r="E5" s="4" t="s">
        <v>50</v>
      </c>
      <c r="F5" s="4" t="s">
        <v>27</v>
      </c>
      <c r="G5" s="4" t="s">
        <v>51</v>
      </c>
      <c r="H5" s="4">
        <v>822</v>
      </c>
      <c r="I5" s="4" t="s">
        <v>28</v>
      </c>
      <c r="J5" s="4" t="s">
        <v>30</v>
      </c>
      <c r="K5" s="4">
        <v>100</v>
      </c>
      <c r="L5" s="4">
        <v>100</v>
      </c>
      <c r="M5" s="4">
        <v>2400</v>
      </c>
      <c r="N5" s="4">
        <v>24</v>
      </c>
      <c r="O5" s="4">
        <v>2400</v>
      </c>
      <c r="P5" s="4">
        <v>2400</v>
      </c>
      <c r="Q5" s="4">
        <v>70</v>
      </c>
      <c r="R5" s="8">
        <v>1680</v>
      </c>
      <c r="S5" s="16" t="s">
        <v>216</v>
      </c>
      <c r="T5" s="16" t="s">
        <v>216</v>
      </c>
    </row>
    <row r="6" spans="1:20" x14ac:dyDescent="0.4">
      <c r="A6" s="4" t="s">
        <v>25</v>
      </c>
      <c r="B6" s="4" t="s">
        <v>0</v>
      </c>
      <c r="C6" s="4" t="s">
        <v>53</v>
      </c>
      <c r="D6" s="4" t="s">
        <v>192</v>
      </c>
      <c r="E6" s="4" t="s">
        <v>193</v>
      </c>
      <c r="F6" s="4" t="s">
        <v>34</v>
      </c>
      <c r="G6" s="4" t="s">
        <v>194</v>
      </c>
      <c r="H6" s="4">
        <v>239</v>
      </c>
      <c r="I6" s="4" t="s">
        <v>28</v>
      </c>
      <c r="J6" s="4" t="s">
        <v>30</v>
      </c>
      <c r="K6" s="4">
        <v>100</v>
      </c>
      <c r="L6" s="4">
        <v>100</v>
      </c>
      <c r="M6" s="4">
        <v>14000</v>
      </c>
      <c r="N6" s="4">
        <v>140</v>
      </c>
      <c r="O6" s="4">
        <v>14000</v>
      </c>
      <c r="P6" s="4">
        <v>14000</v>
      </c>
      <c r="Q6" s="4">
        <v>70</v>
      </c>
      <c r="R6" s="8">
        <v>9800</v>
      </c>
      <c r="S6" s="16" t="s">
        <v>216</v>
      </c>
      <c r="T6" s="16" t="s">
        <v>216</v>
      </c>
    </row>
    <row r="7" spans="1:20" x14ac:dyDescent="0.4">
      <c r="A7" s="4" t="s">
        <v>25</v>
      </c>
      <c r="B7" s="4" t="s">
        <v>0</v>
      </c>
      <c r="C7" s="4" t="s">
        <v>53</v>
      </c>
      <c r="D7" s="4" t="s">
        <v>192</v>
      </c>
      <c r="E7" s="4" t="s">
        <v>193</v>
      </c>
      <c r="F7" s="4" t="s">
        <v>27</v>
      </c>
      <c r="G7" s="4" t="s">
        <v>194</v>
      </c>
      <c r="H7" s="4">
        <v>239</v>
      </c>
      <c r="I7" s="4" t="s">
        <v>28</v>
      </c>
      <c r="J7" s="4" t="s">
        <v>29</v>
      </c>
      <c r="K7" s="4">
        <v>100</v>
      </c>
      <c r="L7" s="4">
        <v>100</v>
      </c>
      <c r="M7" s="4">
        <v>8000</v>
      </c>
      <c r="N7" s="4">
        <v>80</v>
      </c>
      <c r="O7" s="4">
        <v>8000</v>
      </c>
      <c r="P7" s="4">
        <v>8000</v>
      </c>
      <c r="Q7" s="4">
        <v>70</v>
      </c>
      <c r="R7" s="8">
        <v>5600</v>
      </c>
      <c r="S7" s="16" t="s">
        <v>216</v>
      </c>
      <c r="T7" s="16" t="s">
        <v>216</v>
      </c>
    </row>
    <row r="8" spans="1:20" x14ac:dyDescent="0.4">
      <c r="A8" s="4" t="s">
        <v>25</v>
      </c>
      <c r="B8" s="4" t="s">
        <v>0</v>
      </c>
      <c r="C8" s="4" t="s">
        <v>53</v>
      </c>
      <c r="D8" s="4" t="s">
        <v>192</v>
      </c>
      <c r="E8" s="4" t="s">
        <v>193</v>
      </c>
      <c r="F8" s="4" t="s">
        <v>27</v>
      </c>
      <c r="G8" s="4" t="s">
        <v>194</v>
      </c>
      <c r="H8" s="4">
        <v>239</v>
      </c>
      <c r="I8" s="4" t="s">
        <v>28</v>
      </c>
      <c r="J8" s="4" t="s">
        <v>30</v>
      </c>
      <c r="K8" s="4">
        <v>100</v>
      </c>
      <c r="L8" s="4">
        <v>100</v>
      </c>
      <c r="M8" s="4">
        <v>2000</v>
      </c>
      <c r="N8" s="4">
        <v>20</v>
      </c>
      <c r="O8" s="4">
        <v>2000</v>
      </c>
      <c r="P8" s="4">
        <v>2000</v>
      </c>
      <c r="Q8" s="4">
        <v>70</v>
      </c>
      <c r="R8" s="8">
        <v>1400</v>
      </c>
      <c r="S8" s="16" t="s">
        <v>216</v>
      </c>
      <c r="T8" s="16" t="s">
        <v>216</v>
      </c>
    </row>
    <row r="9" spans="1:20" x14ac:dyDescent="0.4">
      <c r="A9" s="4" t="s">
        <v>25</v>
      </c>
      <c r="B9" s="4" t="s">
        <v>0</v>
      </c>
      <c r="C9" s="4" t="s">
        <v>53</v>
      </c>
      <c r="D9" s="4" t="s">
        <v>192</v>
      </c>
      <c r="E9" s="4" t="s">
        <v>193</v>
      </c>
      <c r="F9" s="4" t="s">
        <v>27</v>
      </c>
      <c r="G9" s="4" t="s">
        <v>194</v>
      </c>
      <c r="H9" s="4">
        <v>239</v>
      </c>
      <c r="I9" s="4" t="s">
        <v>28</v>
      </c>
      <c r="J9" s="4" t="s">
        <v>30</v>
      </c>
      <c r="K9" s="4">
        <v>100</v>
      </c>
      <c r="L9" s="4">
        <v>100</v>
      </c>
      <c r="M9" s="4">
        <v>7600</v>
      </c>
      <c r="N9" s="4">
        <v>76</v>
      </c>
      <c r="O9" s="4">
        <v>7600</v>
      </c>
      <c r="P9" s="4">
        <v>7600</v>
      </c>
      <c r="Q9" s="4">
        <v>70</v>
      </c>
      <c r="R9" s="8">
        <v>5320</v>
      </c>
      <c r="S9" s="16" t="s">
        <v>216</v>
      </c>
      <c r="T9" s="16" t="s">
        <v>216</v>
      </c>
    </row>
    <row r="10" spans="1:20" x14ac:dyDescent="0.4">
      <c r="A10" s="4" t="s">
        <v>25</v>
      </c>
      <c r="B10" s="4" t="s">
        <v>0</v>
      </c>
      <c r="C10" s="4" t="s">
        <v>53</v>
      </c>
      <c r="D10" s="4" t="s">
        <v>192</v>
      </c>
      <c r="E10" s="4" t="s">
        <v>193</v>
      </c>
      <c r="F10" s="4" t="s">
        <v>32</v>
      </c>
      <c r="G10" s="4" t="s">
        <v>194</v>
      </c>
      <c r="H10" s="4">
        <v>239</v>
      </c>
      <c r="I10" s="4" t="s">
        <v>28</v>
      </c>
      <c r="J10" s="4" t="s">
        <v>29</v>
      </c>
      <c r="K10" s="4">
        <v>100</v>
      </c>
      <c r="L10" s="4">
        <v>100</v>
      </c>
      <c r="M10" s="4">
        <v>100</v>
      </c>
      <c r="N10" s="4">
        <v>1</v>
      </c>
      <c r="O10" s="4">
        <v>100</v>
      </c>
      <c r="P10" s="4">
        <v>100</v>
      </c>
      <c r="Q10" s="4">
        <v>70</v>
      </c>
      <c r="R10" s="8">
        <v>70</v>
      </c>
      <c r="S10" s="16" t="s">
        <v>216</v>
      </c>
      <c r="T10" s="16" t="s">
        <v>216</v>
      </c>
    </row>
    <row r="11" spans="1:20" x14ac:dyDescent="0.4">
      <c r="A11" s="4" t="s">
        <v>25</v>
      </c>
      <c r="B11" s="4" t="s">
        <v>0</v>
      </c>
      <c r="C11" s="4" t="s">
        <v>53</v>
      </c>
      <c r="D11" s="4" t="s">
        <v>192</v>
      </c>
      <c r="E11" s="4" t="s">
        <v>193</v>
      </c>
      <c r="F11" s="4" t="s">
        <v>32</v>
      </c>
      <c r="G11" s="4" t="s">
        <v>194</v>
      </c>
      <c r="H11" s="4">
        <v>239</v>
      </c>
      <c r="I11" s="4" t="s">
        <v>28</v>
      </c>
      <c r="J11" s="4" t="s">
        <v>30</v>
      </c>
      <c r="K11" s="4">
        <v>100</v>
      </c>
      <c r="L11" s="4">
        <v>100</v>
      </c>
      <c r="M11" s="4">
        <v>11600</v>
      </c>
      <c r="N11" s="4">
        <v>116</v>
      </c>
      <c r="O11" s="4">
        <v>11600</v>
      </c>
      <c r="P11" s="4">
        <v>11600</v>
      </c>
      <c r="Q11" s="4">
        <v>70</v>
      </c>
      <c r="R11" s="8">
        <v>8120</v>
      </c>
      <c r="S11" s="16" t="s">
        <v>216</v>
      </c>
      <c r="T11" s="16" t="s">
        <v>216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7.5976562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31</v>
      </c>
      <c r="D2" s="4" t="s">
        <v>87</v>
      </c>
      <c r="E2" s="4" t="s">
        <v>88</v>
      </c>
      <c r="F2" s="4" t="s">
        <v>27</v>
      </c>
      <c r="G2" s="4" t="s">
        <v>89</v>
      </c>
      <c r="H2" s="4">
        <v>261</v>
      </c>
      <c r="I2" s="4" t="s">
        <v>28</v>
      </c>
      <c r="J2" s="4" t="s">
        <v>30</v>
      </c>
      <c r="K2" s="4">
        <v>100</v>
      </c>
      <c r="L2" s="4">
        <v>100</v>
      </c>
      <c r="M2" s="4">
        <v>19200</v>
      </c>
      <c r="N2" s="4">
        <v>192</v>
      </c>
      <c r="O2" s="4">
        <v>19200</v>
      </c>
      <c r="P2" s="4">
        <v>19200</v>
      </c>
      <c r="Q2" s="4">
        <v>70</v>
      </c>
      <c r="R2" s="8">
        <v>13440</v>
      </c>
      <c r="S2" s="16" t="s">
        <v>222</v>
      </c>
      <c r="T2" s="16" t="s">
        <v>89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6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1.0976562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26</v>
      </c>
      <c r="D2" s="4" t="s">
        <v>5</v>
      </c>
      <c r="E2" s="4" t="s">
        <v>6</v>
      </c>
      <c r="F2" s="4" t="s">
        <v>34</v>
      </c>
      <c r="G2" s="4" t="s">
        <v>2</v>
      </c>
      <c r="H2" s="4">
        <v>1309</v>
      </c>
      <c r="I2" s="4" t="s">
        <v>28</v>
      </c>
      <c r="J2" s="4" t="s">
        <v>30</v>
      </c>
      <c r="K2" s="4">
        <v>100</v>
      </c>
      <c r="L2" s="4">
        <v>100</v>
      </c>
      <c r="M2" s="4">
        <v>11700</v>
      </c>
      <c r="N2" s="4">
        <v>117</v>
      </c>
      <c r="O2" s="4">
        <v>11700</v>
      </c>
      <c r="P2" s="4">
        <v>11700</v>
      </c>
      <c r="Q2" s="4">
        <v>70</v>
      </c>
      <c r="R2" s="8">
        <v>8190</v>
      </c>
      <c r="S2" s="16" t="s">
        <v>222</v>
      </c>
      <c r="T2" s="16" t="s">
        <v>2</v>
      </c>
    </row>
    <row r="3" spans="1:20" x14ac:dyDescent="0.4">
      <c r="A3" s="4" t="s">
        <v>25</v>
      </c>
      <c r="B3" s="4" t="s">
        <v>0</v>
      </c>
      <c r="C3" s="4" t="s">
        <v>26</v>
      </c>
      <c r="D3" s="4" t="s">
        <v>5</v>
      </c>
      <c r="E3" s="4" t="s">
        <v>6</v>
      </c>
      <c r="F3" s="4" t="s">
        <v>27</v>
      </c>
      <c r="G3" s="4" t="s">
        <v>2</v>
      </c>
      <c r="H3" s="4">
        <v>1309</v>
      </c>
      <c r="I3" s="4" t="s">
        <v>28</v>
      </c>
      <c r="J3" s="4" t="s">
        <v>30</v>
      </c>
      <c r="K3" s="4">
        <v>100</v>
      </c>
      <c r="L3" s="4">
        <v>100</v>
      </c>
      <c r="M3" s="4">
        <v>4200</v>
      </c>
      <c r="N3" s="4">
        <v>42</v>
      </c>
      <c r="O3" s="4">
        <v>4200</v>
      </c>
      <c r="P3" s="4">
        <v>4200</v>
      </c>
      <c r="Q3" s="4">
        <v>70</v>
      </c>
      <c r="R3" s="8">
        <v>2940</v>
      </c>
      <c r="S3" s="16" t="s">
        <v>222</v>
      </c>
      <c r="T3" s="16" t="s">
        <v>2</v>
      </c>
    </row>
    <row r="4" spans="1:20" x14ac:dyDescent="0.4">
      <c r="A4" s="4" t="s">
        <v>25</v>
      </c>
      <c r="B4" s="4" t="s">
        <v>0</v>
      </c>
      <c r="C4" s="4" t="s">
        <v>26</v>
      </c>
      <c r="D4" s="4" t="s">
        <v>5</v>
      </c>
      <c r="E4" s="4" t="s">
        <v>6</v>
      </c>
      <c r="F4" s="4" t="s">
        <v>27</v>
      </c>
      <c r="G4" s="4" t="s">
        <v>2</v>
      </c>
      <c r="H4" s="4">
        <v>1309</v>
      </c>
      <c r="I4" s="4" t="s">
        <v>28</v>
      </c>
      <c r="J4" s="4" t="s">
        <v>30</v>
      </c>
      <c r="K4" s="4">
        <v>100</v>
      </c>
      <c r="L4" s="4">
        <v>100</v>
      </c>
      <c r="M4" s="4">
        <v>3900</v>
      </c>
      <c r="N4" s="4">
        <v>39</v>
      </c>
      <c r="O4" s="4">
        <v>3900</v>
      </c>
      <c r="P4" s="4">
        <v>3900</v>
      </c>
      <c r="Q4" s="4">
        <v>70</v>
      </c>
      <c r="R4" s="8">
        <v>2730</v>
      </c>
      <c r="S4" s="16" t="s">
        <v>222</v>
      </c>
      <c r="T4" s="16" t="s">
        <v>2</v>
      </c>
    </row>
    <row r="5" spans="1:20" x14ac:dyDescent="0.4">
      <c r="A5" s="4" t="s">
        <v>25</v>
      </c>
      <c r="B5" s="4" t="s">
        <v>1</v>
      </c>
      <c r="C5" s="4" t="s">
        <v>35</v>
      </c>
      <c r="D5" s="4" t="s">
        <v>137</v>
      </c>
      <c r="E5" s="4" t="s">
        <v>138</v>
      </c>
      <c r="F5" s="4" t="s">
        <v>27</v>
      </c>
      <c r="G5" s="4" t="s">
        <v>2</v>
      </c>
      <c r="H5" s="4">
        <v>180</v>
      </c>
      <c r="I5" s="4" t="s">
        <v>28</v>
      </c>
      <c r="J5" s="4" t="s">
        <v>30</v>
      </c>
      <c r="K5" s="4">
        <v>100</v>
      </c>
      <c r="L5" s="4">
        <v>100</v>
      </c>
      <c r="M5" s="4">
        <v>15200</v>
      </c>
      <c r="N5" s="4">
        <v>152</v>
      </c>
      <c r="O5" s="4">
        <v>15200</v>
      </c>
      <c r="P5" s="4">
        <v>15200</v>
      </c>
      <c r="Q5" s="4">
        <v>70</v>
      </c>
      <c r="R5" s="8">
        <v>10640</v>
      </c>
      <c r="S5" s="16" t="s">
        <v>222</v>
      </c>
      <c r="T5" s="16" t="s">
        <v>2</v>
      </c>
    </row>
    <row r="6" spans="1:20" x14ac:dyDescent="0.4">
      <c r="A6" s="4" t="s">
        <v>25</v>
      </c>
      <c r="B6" s="4" t="s">
        <v>0</v>
      </c>
      <c r="C6" s="4" t="s">
        <v>93</v>
      </c>
      <c r="D6" s="4" t="s">
        <v>94</v>
      </c>
      <c r="E6" s="4" t="s">
        <v>95</v>
      </c>
      <c r="F6" s="4" t="s">
        <v>27</v>
      </c>
      <c r="G6" s="4" t="s">
        <v>2</v>
      </c>
      <c r="H6" s="4">
        <v>420</v>
      </c>
      <c r="I6" s="4" t="s">
        <v>28</v>
      </c>
      <c r="J6" s="4" t="s">
        <v>30</v>
      </c>
      <c r="K6" s="4">
        <v>100</v>
      </c>
      <c r="L6" s="4">
        <v>100</v>
      </c>
      <c r="M6" s="4">
        <v>8500</v>
      </c>
      <c r="N6" s="4">
        <v>85</v>
      </c>
      <c r="O6" s="4">
        <v>8500</v>
      </c>
      <c r="P6" s="4">
        <v>8500</v>
      </c>
      <c r="Q6" s="4">
        <v>70</v>
      </c>
      <c r="R6" s="8">
        <v>5950</v>
      </c>
      <c r="S6" s="16" t="s">
        <v>222</v>
      </c>
      <c r="T6" s="16" t="s">
        <v>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7" bestFit="1" customWidth="1"/>
    <col min="6" max="6" width="8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26</v>
      </c>
      <c r="D2" s="4" t="s">
        <v>90</v>
      </c>
      <c r="E2" s="4" t="s">
        <v>91</v>
      </c>
      <c r="F2" s="4" t="s">
        <v>34</v>
      </c>
      <c r="G2" s="4" t="s">
        <v>92</v>
      </c>
      <c r="H2" s="4">
        <v>70</v>
      </c>
      <c r="I2" s="4" t="s">
        <v>28</v>
      </c>
      <c r="J2" s="4" t="s">
        <v>30</v>
      </c>
      <c r="K2" s="4">
        <v>100</v>
      </c>
      <c r="L2" s="4">
        <v>100</v>
      </c>
      <c r="M2" s="4">
        <v>400</v>
      </c>
      <c r="N2" s="4">
        <v>4</v>
      </c>
      <c r="O2" s="4">
        <v>400</v>
      </c>
      <c r="P2" s="4">
        <v>400</v>
      </c>
      <c r="Q2" s="4">
        <v>70</v>
      </c>
      <c r="R2" s="8">
        <v>280</v>
      </c>
      <c r="S2" s="16" t="s">
        <v>222</v>
      </c>
      <c r="T2" s="16" t="s">
        <v>92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7" bestFit="1" customWidth="1"/>
    <col min="6" max="6" width="9.59765625" bestFit="1" customWidth="1"/>
    <col min="7" max="7" width="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31</v>
      </c>
      <c r="D2" s="4" t="s">
        <v>139</v>
      </c>
      <c r="E2" s="4" t="s">
        <v>140</v>
      </c>
      <c r="F2" s="4" t="s">
        <v>27</v>
      </c>
      <c r="G2" s="4" t="s">
        <v>141</v>
      </c>
      <c r="H2" s="4">
        <v>225</v>
      </c>
      <c r="I2" s="4" t="s">
        <v>28</v>
      </c>
      <c r="J2" s="4" t="s">
        <v>30</v>
      </c>
      <c r="K2" s="4">
        <v>100</v>
      </c>
      <c r="L2" s="4">
        <v>100</v>
      </c>
      <c r="M2" s="4">
        <v>2500</v>
      </c>
      <c r="N2" s="4">
        <v>25</v>
      </c>
      <c r="O2" s="4">
        <v>2500</v>
      </c>
      <c r="P2" s="4">
        <v>2500</v>
      </c>
      <c r="Q2" s="4">
        <v>70</v>
      </c>
      <c r="R2" s="8">
        <v>1750</v>
      </c>
      <c r="S2" s="16" t="s">
        <v>222</v>
      </c>
      <c r="T2" s="16" t="s">
        <v>141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3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31</v>
      </c>
      <c r="D2" s="4" t="s">
        <v>96</v>
      </c>
      <c r="E2" s="4" t="s">
        <v>97</v>
      </c>
      <c r="F2" s="4" t="s">
        <v>27</v>
      </c>
      <c r="G2" s="4" t="s">
        <v>62</v>
      </c>
      <c r="H2" s="4">
        <v>812</v>
      </c>
      <c r="I2" s="4" t="s">
        <v>28</v>
      </c>
      <c r="J2" s="4" t="s">
        <v>30</v>
      </c>
      <c r="K2" s="4">
        <v>100</v>
      </c>
      <c r="L2" s="4">
        <v>100</v>
      </c>
      <c r="M2" s="4">
        <v>400</v>
      </c>
      <c r="N2" s="4">
        <v>4</v>
      </c>
      <c r="O2" s="4">
        <v>400</v>
      </c>
      <c r="P2" s="4">
        <v>400</v>
      </c>
      <c r="Q2" s="4">
        <v>70</v>
      </c>
      <c r="R2" s="8">
        <v>280</v>
      </c>
      <c r="S2" s="16" t="s">
        <v>222</v>
      </c>
      <c r="T2" s="16" t="s">
        <v>62</v>
      </c>
    </row>
    <row r="3" spans="1:20" x14ac:dyDescent="0.4">
      <c r="A3" s="4" t="s">
        <v>25</v>
      </c>
      <c r="B3" s="4" t="s">
        <v>0</v>
      </c>
      <c r="C3" s="4" t="s">
        <v>31</v>
      </c>
      <c r="D3" s="4" t="s">
        <v>142</v>
      </c>
      <c r="E3" s="4" t="s">
        <v>143</v>
      </c>
      <c r="F3" s="4" t="s">
        <v>27</v>
      </c>
      <c r="G3" s="4" t="s">
        <v>144</v>
      </c>
      <c r="H3" s="4">
        <v>198</v>
      </c>
      <c r="I3" s="4" t="s">
        <v>28</v>
      </c>
      <c r="J3" s="4" t="s">
        <v>30</v>
      </c>
      <c r="K3" s="4">
        <v>100</v>
      </c>
      <c r="L3" s="4">
        <v>100</v>
      </c>
      <c r="M3" s="4">
        <v>500</v>
      </c>
      <c r="N3" s="4">
        <v>5</v>
      </c>
      <c r="O3" s="4">
        <v>500</v>
      </c>
      <c r="P3" s="4">
        <v>500</v>
      </c>
      <c r="Q3" s="4">
        <v>70</v>
      </c>
      <c r="R3" s="8">
        <v>350</v>
      </c>
      <c r="S3" s="16" t="s">
        <v>222</v>
      </c>
      <c r="T3" s="16" t="s">
        <v>62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3" bestFit="1" customWidth="1"/>
    <col min="6" max="6" width="8.59765625" bestFit="1" customWidth="1"/>
    <col min="7" max="7" width="10.39843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20" width="10.398437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42</v>
      </c>
      <c r="C2" s="4" t="s">
        <v>43</v>
      </c>
      <c r="D2" s="4" t="s">
        <v>59</v>
      </c>
      <c r="E2" s="4" t="s">
        <v>60</v>
      </c>
      <c r="F2" s="4" t="s">
        <v>34</v>
      </c>
      <c r="G2" s="4" t="s">
        <v>61</v>
      </c>
      <c r="H2" s="4">
        <v>215</v>
      </c>
      <c r="I2" s="4" t="s">
        <v>28</v>
      </c>
      <c r="J2" s="4" t="s">
        <v>30</v>
      </c>
      <c r="K2" s="4">
        <v>100</v>
      </c>
      <c r="L2" s="4">
        <v>100</v>
      </c>
      <c r="M2" s="4">
        <v>700</v>
      </c>
      <c r="N2" s="4">
        <v>7</v>
      </c>
      <c r="O2" s="4">
        <v>700</v>
      </c>
      <c r="P2" s="4">
        <v>700</v>
      </c>
      <c r="Q2" s="4">
        <v>70</v>
      </c>
      <c r="R2" s="8">
        <v>490</v>
      </c>
      <c r="S2" s="16" t="s">
        <v>222</v>
      </c>
      <c r="T2" s="16" t="s">
        <v>61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6.796875" bestFit="1" customWidth="1"/>
    <col min="6" max="6" width="9.59765625" bestFit="1" customWidth="1"/>
    <col min="7" max="7" width="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26</v>
      </c>
      <c r="D2" s="4" t="s">
        <v>145</v>
      </c>
      <c r="E2" s="4" t="s">
        <v>146</v>
      </c>
      <c r="F2" s="4" t="s">
        <v>27</v>
      </c>
      <c r="G2" s="4" t="s">
        <v>147</v>
      </c>
      <c r="H2" s="4">
        <v>71</v>
      </c>
      <c r="I2" s="4" t="s">
        <v>28</v>
      </c>
      <c r="J2" s="4" t="s">
        <v>30</v>
      </c>
      <c r="K2" s="4">
        <v>100</v>
      </c>
      <c r="L2" s="4">
        <v>100</v>
      </c>
      <c r="M2" s="4">
        <v>2300</v>
      </c>
      <c r="N2" s="4">
        <v>23</v>
      </c>
      <c r="O2" s="4">
        <v>2300</v>
      </c>
      <c r="P2" s="4">
        <v>2300</v>
      </c>
      <c r="Q2" s="4">
        <v>70</v>
      </c>
      <c r="R2" s="8">
        <v>1610</v>
      </c>
      <c r="S2" s="16" t="s">
        <v>222</v>
      </c>
      <c r="T2" s="16" t="s">
        <v>147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5.6992187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26</v>
      </c>
      <c r="D2" s="4" t="s">
        <v>148</v>
      </c>
      <c r="E2" s="4" t="s">
        <v>149</v>
      </c>
      <c r="F2" s="4" t="s">
        <v>27</v>
      </c>
      <c r="G2" s="4" t="s">
        <v>150</v>
      </c>
      <c r="H2" s="4">
        <v>101</v>
      </c>
      <c r="I2" s="4" t="s">
        <v>28</v>
      </c>
      <c r="J2" s="4" t="s">
        <v>30</v>
      </c>
      <c r="K2" s="4">
        <v>100</v>
      </c>
      <c r="L2" s="4">
        <v>100</v>
      </c>
      <c r="M2" s="4">
        <v>100</v>
      </c>
      <c r="N2" s="4">
        <v>1</v>
      </c>
      <c r="O2" s="4">
        <v>100</v>
      </c>
      <c r="P2" s="4">
        <v>100</v>
      </c>
      <c r="Q2" s="4">
        <v>70</v>
      </c>
      <c r="R2" s="8">
        <v>70</v>
      </c>
      <c r="S2" s="16" t="s">
        <v>222</v>
      </c>
      <c r="T2" s="16" t="s">
        <v>150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30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30.3984375" bestFit="1" customWidth="1"/>
    <col min="6" max="6" width="9.59765625" bestFit="1" customWidth="1"/>
    <col min="7" max="7" width="21.2968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33</v>
      </c>
      <c r="D2" s="4" t="s">
        <v>99</v>
      </c>
      <c r="E2" s="4" t="s">
        <v>100</v>
      </c>
      <c r="F2" s="4" t="s">
        <v>27</v>
      </c>
      <c r="G2" s="4" t="s">
        <v>101</v>
      </c>
      <c r="H2" s="4">
        <v>63</v>
      </c>
      <c r="I2" s="4" t="s">
        <v>28</v>
      </c>
      <c r="J2" s="4" t="s">
        <v>30</v>
      </c>
      <c r="K2" s="4">
        <v>100</v>
      </c>
      <c r="L2" s="4">
        <v>100</v>
      </c>
      <c r="M2" s="4">
        <v>1400</v>
      </c>
      <c r="N2" s="4">
        <v>14</v>
      </c>
      <c r="O2" s="4">
        <v>1400</v>
      </c>
      <c r="P2" s="4">
        <v>1400</v>
      </c>
      <c r="Q2" s="4">
        <v>70</v>
      </c>
      <c r="R2" s="8">
        <v>980</v>
      </c>
      <c r="S2" s="16" t="s">
        <v>222</v>
      </c>
      <c r="T2" s="16" t="s">
        <v>217</v>
      </c>
    </row>
    <row r="3" spans="1:20" x14ac:dyDescent="0.4">
      <c r="A3" s="4" t="s">
        <v>25</v>
      </c>
      <c r="B3" s="4" t="s">
        <v>3</v>
      </c>
      <c r="C3" s="4" t="s">
        <v>33</v>
      </c>
      <c r="D3" s="4" t="s">
        <v>174</v>
      </c>
      <c r="E3" s="4" t="s">
        <v>175</v>
      </c>
      <c r="F3" s="4" t="s">
        <v>34</v>
      </c>
      <c r="G3" s="4" t="s">
        <v>176</v>
      </c>
      <c r="H3" s="4">
        <v>62</v>
      </c>
      <c r="I3" s="4" t="s">
        <v>28</v>
      </c>
      <c r="J3" s="4" t="s">
        <v>30</v>
      </c>
      <c r="K3" s="4">
        <v>100</v>
      </c>
      <c r="L3" s="4">
        <v>100</v>
      </c>
      <c r="M3" s="4">
        <v>12900</v>
      </c>
      <c r="N3" s="4">
        <v>129</v>
      </c>
      <c r="O3" s="4">
        <v>12900</v>
      </c>
      <c r="P3" s="4">
        <v>12900</v>
      </c>
      <c r="Q3" s="4">
        <v>70</v>
      </c>
      <c r="R3" s="8">
        <v>9030</v>
      </c>
      <c r="S3" s="16" t="s">
        <v>222</v>
      </c>
      <c r="T3" s="16" t="s">
        <v>217</v>
      </c>
    </row>
    <row r="4" spans="1:20" x14ac:dyDescent="0.4">
      <c r="A4" s="4" t="s">
        <v>25</v>
      </c>
      <c r="B4" s="4" t="s">
        <v>3</v>
      </c>
      <c r="C4" s="4" t="s">
        <v>33</v>
      </c>
      <c r="D4" s="4" t="s">
        <v>174</v>
      </c>
      <c r="E4" s="4" t="s">
        <v>175</v>
      </c>
      <c r="F4" s="4" t="s">
        <v>27</v>
      </c>
      <c r="G4" s="4" t="s">
        <v>176</v>
      </c>
      <c r="H4" s="4">
        <v>62</v>
      </c>
      <c r="I4" s="4" t="s">
        <v>28</v>
      </c>
      <c r="J4" s="4" t="s">
        <v>30</v>
      </c>
      <c r="K4" s="4">
        <v>100</v>
      </c>
      <c r="L4" s="4">
        <v>100</v>
      </c>
      <c r="M4" s="4">
        <v>14400</v>
      </c>
      <c r="N4" s="4">
        <v>144</v>
      </c>
      <c r="O4" s="4">
        <v>14400</v>
      </c>
      <c r="P4" s="4">
        <v>14400</v>
      </c>
      <c r="Q4" s="4">
        <v>70</v>
      </c>
      <c r="R4" s="8">
        <v>10080</v>
      </c>
      <c r="S4" s="16" t="s">
        <v>222</v>
      </c>
      <c r="T4" s="16" t="s">
        <v>217</v>
      </c>
    </row>
    <row r="5" spans="1:20" x14ac:dyDescent="0.4">
      <c r="A5" s="4" t="s">
        <v>25</v>
      </c>
      <c r="B5" s="4" t="s">
        <v>3</v>
      </c>
      <c r="C5" s="4" t="s">
        <v>33</v>
      </c>
      <c r="D5" s="4" t="s">
        <v>174</v>
      </c>
      <c r="E5" s="4" t="s">
        <v>175</v>
      </c>
      <c r="F5" s="4" t="s">
        <v>27</v>
      </c>
      <c r="G5" s="4" t="s">
        <v>176</v>
      </c>
      <c r="H5" s="4">
        <v>62</v>
      </c>
      <c r="I5" s="4" t="s">
        <v>28</v>
      </c>
      <c r="J5" s="4" t="s">
        <v>30</v>
      </c>
      <c r="K5" s="4">
        <v>100</v>
      </c>
      <c r="L5" s="4">
        <v>100</v>
      </c>
      <c r="M5" s="4">
        <v>58700</v>
      </c>
      <c r="N5" s="4">
        <v>587</v>
      </c>
      <c r="O5" s="4">
        <v>58700</v>
      </c>
      <c r="P5" s="4">
        <v>58700</v>
      </c>
      <c r="Q5" s="4">
        <v>70</v>
      </c>
      <c r="R5" s="8">
        <v>41090</v>
      </c>
      <c r="S5" s="16" t="s">
        <v>222</v>
      </c>
      <c r="T5" s="16" t="s">
        <v>217</v>
      </c>
    </row>
    <row r="6" spans="1:20" x14ac:dyDescent="0.4">
      <c r="A6" s="4" t="s">
        <v>25</v>
      </c>
      <c r="B6" s="4" t="s">
        <v>3</v>
      </c>
      <c r="C6" s="4" t="s">
        <v>33</v>
      </c>
      <c r="D6" s="4" t="s">
        <v>174</v>
      </c>
      <c r="E6" s="4" t="s">
        <v>175</v>
      </c>
      <c r="F6" s="4" t="s">
        <v>32</v>
      </c>
      <c r="G6" s="4" t="s">
        <v>176</v>
      </c>
      <c r="H6" s="4">
        <v>62</v>
      </c>
      <c r="I6" s="4" t="s">
        <v>28</v>
      </c>
      <c r="J6" s="4" t="s">
        <v>30</v>
      </c>
      <c r="K6" s="4">
        <v>100</v>
      </c>
      <c r="L6" s="4">
        <v>100</v>
      </c>
      <c r="M6" s="4">
        <v>4500</v>
      </c>
      <c r="N6" s="4">
        <v>45</v>
      </c>
      <c r="O6" s="4">
        <v>4500</v>
      </c>
      <c r="P6" s="4">
        <v>4500</v>
      </c>
      <c r="Q6" s="4">
        <v>70</v>
      </c>
      <c r="R6" s="8">
        <v>3150</v>
      </c>
      <c r="S6" s="16" t="s">
        <v>222</v>
      </c>
      <c r="T6" s="16" t="s">
        <v>217</v>
      </c>
    </row>
    <row r="7" spans="1:20" x14ac:dyDescent="0.4">
      <c r="A7" s="4" t="s">
        <v>25</v>
      </c>
      <c r="B7" s="4" t="s">
        <v>3</v>
      </c>
      <c r="C7" s="4" t="s">
        <v>33</v>
      </c>
      <c r="D7" s="4" t="s">
        <v>180</v>
      </c>
      <c r="E7" s="4" t="s">
        <v>181</v>
      </c>
      <c r="F7" s="4" t="s">
        <v>34</v>
      </c>
      <c r="G7" s="4" t="s">
        <v>182</v>
      </c>
      <c r="H7" s="4">
        <v>176</v>
      </c>
      <c r="I7" s="4" t="s">
        <v>28</v>
      </c>
      <c r="J7" s="4" t="s">
        <v>30</v>
      </c>
      <c r="K7" s="4">
        <v>100</v>
      </c>
      <c r="L7" s="4">
        <v>100</v>
      </c>
      <c r="M7" s="4">
        <v>24000</v>
      </c>
      <c r="N7" s="4">
        <v>240</v>
      </c>
      <c r="O7" s="4">
        <v>24000</v>
      </c>
      <c r="P7" s="4">
        <v>24000</v>
      </c>
      <c r="Q7" s="4">
        <v>70</v>
      </c>
      <c r="R7" s="8">
        <v>16800</v>
      </c>
      <c r="S7" s="16" t="s">
        <v>222</v>
      </c>
      <c r="T7" s="16" t="s">
        <v>217</v>
      </c>
    </row>
    <row r="8" spans="1:20" x14ac:dyDescent="0.4">
      <c r="A8" s="4" t="s">
        <v>25</v>
      </c>
      <c r="B8" s="4" t="s">
        <v>3</v>
      </c>
      <c r="C8" s="4" t="s">
        <v>33</v>
      </c>
      <c r="D8" s="4" t="s">
        <v>180</v>
      </c>
      <c r="E8" s="4" t="s">
        <v>181</v>
      </c>
      <c r="F8" s="4" t="s">
        <v>32</v>
      </c>
      <c r="G8" s="4" t="s">
        <v>182</v>
      </c>
      <c r="H8" s="4">
        <v>176</v>
      </c>
      <c r="I8" s="4" t="s">
        <v>28</v>
      </c>
      <c r="J8" s="4" t="s">
        <v>30</v>
      </c>
      <c r="K8" s="4">
        <v>100</v>
      </c>
      <c r="L8" s="4">
        <v>100</v>
      </c>
      <c r="M8" s="4">
        <v>5000</v>
      </c>
      <c r="N8" s="4">
        <v>50</v>
      </c>
      <c r="O8" s="4">
        <v>5000</v>
      </c>
      <c r="P8" s="4">
        <v>5000</v>
      </c>
      <c r="Q8" s="4">
        <v>70</v>
      </c>
      <c r="R8" s="8">
        <v>3500</v>
      </c>
      <c r="S8" s="16" t="s">
        <v>222</v>
      </c>
      <c r="T8" s="16" t="s">
        <v>217</v>
      </c>
    </row>
    <row r="9" spans="1:20" x14ac:dyDescent="0.4">
      <c r="A9" s="4" t="s">
        <v>25</v>
      </c>
      <c r="B9" s="4" t="s">
        <v>3</v>
      </c>
      <c r="C9" s="4" t="s">
        <v>33</v>
      </c>
      <c r="D9" s="4" t="s">
        <v>180</v>
      </c>
      <c r="E9" s="4" t="s">
        <v>181</v>
      </c>
      <c r="F9" s="4" t="s">
        <v>27</v>
      </c>
      <c r="G9" s="4" t="s">
        <v>182</v>
      </c>
      <c r="H9" s="4">
        <v>176</v>
      </c>
      <c r="I9" s="4" t="s">
        <v>28</v>
      </c>
      <c r="J9" s="4" t="s">
        <v>30</v>
      </c>
      <c r="K9" s="4">
        <v>100</v>
      </c>
      <c r="L9" s="4">
        <v>100</v>
      </c>
      <c r="M9" s="4">
        <v>15600</v>
      </c>
      <c r="N9" s="4">
        <v>156</v>
      </c>
      <c r="O9" s="4">
        <v>15600</v>
      </c>
      <c r="P9" s="4">
        <v>15600</v>
      </c>
      <c r="Q9" s="4">
        <v>70</v>
      </c>
      <c r="R9" s="8">
        <v>10920</v>
      </c>
      <c r="S9" s="16" t="s">
        <v>222</v>
      </c>
      <c r="T9" s="16" t="s">
        <v>217</v>
      </c>
    </row>
    <row r="10" spans="1:20" x14ac:dyDescent="0.4">
      <c r="A10" s="4" t="s">
        <v>25</v>
      </c>
      <c r="B10" s="4" t="s">
        <v>3</v>
      </c>
      <c r="C10" s="4" t="s">
        <v>33</v>
      </c>
      <c r="D10" s="4" t="s">
        <v>180</v>
      </c>
      <c r="E10" s="4" t="s">
        <v>181</v>
      </c>
      <c r="F10" s="4" t="s">
        <v>27</v>
      </c>
      <c r="G10" s="4" t="s">
        <v>182</v>
      </c>
      <c r="H10" s="4">
        <v>176</v>
      </c>
      <c r="I10" s="4" t="s">
        <v>28</v>
      </c>
      <c r="J10" s="4" t="s">
        <v>30</v>
      </c>
      <c r="K10" s="4">
        <v>100</v>
      </c>
      <c r="L10" s="4">
        <v>100</v>
      </c>
      <c r="M10" s="4">
        <v>16500</v>
      </c>
      <c r="N10" s="4">
        <v>165</v>
      </c>
      <c r="O10" s="4">
        <v>16500</v>
      </c>
      <c r="P10" s="4">
        <v>16500</v>
      </c>
      <c r="Q10" s="4">
        <v>70</v>
      </c>
      <c r="R10" s="8">
        <v>11550</v>
      </c>
      <c r="S10" s="16" t="s">
        <v>222</v>
      </c>
      <c r="T10" s="16" t="s">
        <v>217</v>
      </c>
    </row>
    <row r="11" spans="1:20" x14ac:dyDescent="0.4">
      <c r="A11" s="4" t="s">
        <v>36</v>
      </c>
      <c r="B11" s="4" t="s">
        <v>3</v>
      </c>
      <c r="C11" s="4" t="s">
        <v>3</v>
      </c>
      <c r="D11" s="4" t="s">
        <v>37</v>
      </c>
      <c r="E11" s="4" t="s">
        <v>38</v>
      </c>
      <c r="F11" s="4" t="s">
        <v>27</v>
      </c>
      <c r="G11" s="4" t="s">
        <v>39</v>
      </c>
      <c r="H11" s="4">
        <v>77</v>
      </c>
      <c r="I11" s="4" t="s">
        <v>28</v>
      </c>
      <c r="J11" s="4" t="s">
        <v>29</v>
      </c>
      <c r="K11" s="4">
        <v>200</v>
      </c>
      <c r="L11" s="4">
        <v>200</v>
      </c>
      <c r="M11" s="4">
        <v>14200</v>
      </c>
      <c r="N11" s="4">
        <v>71</v>
      </c>
      <c r="O11" s="4">
        <v>14200</v>
      </c>
      <c r="P11" s="4">
        <v>14200</v>
      </c>
      <c r="Q11" s="4">
        <v>70</v>
      </c>
      <c r="R11" s="8">
        <v>9940</v>
      </c>
      <c r="S11" s="16" t="s">
        <v>222</v>
      </c>
      <c r="T11" s="16" t="s">
        <v>217</v>
      </c>
    </row>
    <row r="12" spans="1:20" x14ac:dyDescent="0.4">
      <c r="A12" s="4" t="s">
        <v>36</v>
      </c>
      <c r="B12" s="4" t="s">
        <v>3</v>
      </c>
      <c r="C12" s="4" t="s">
        <v>3</v>
      </c>
      <c r="D12" s="4" t="s">
        <v>198</v>
      </c>
      <c r="E12" s="4" t="s">
        <v>199</v>
      </c>
      <c r="F12" s="4" t="s">
        <v>27</v>
      </c>
      <c r="G12" s="4" t="s">
        <v>200</v>
      </c>
      <c r="H12" s="4">
        <v>83</v>
      </c>
      <c r="I12" s="4" t="s">
        <v>28</v>
      </c>
      <c r="J12" s="4" t="s">
        <v>29</v>
      </c>
      <c r="K12" s="4">
        <v>200</v>
      </c>
      <c r="L12" s="4">
        <v>200</v>
      </c>
      <c r="M12" s="4">
        <v>7400</v>
      </c>
      <c r="N12" s="4">
        <v>37</v>
      </c>
      <c r="O12" s="4">
        <v>7400</v>
      </c>
      <c r="P12" s="4">
        <v>7400</v>
      </c>
      <c r="Q12" s="4">
        <v>70</v>
      </c>
      <c r="R12" s="8">
        <v>5180</v>
      </c>
      <c r="S12" s="16" t="s">
        <v>222</v>
      </c>
      <c r="T12" s="16" t="s">
        <v>217</v>
      </c>
    </row>
    <row r="13" spans="1:20" x14ac:dyDescent="0.4">
      <c r="A13" s="4" t="s">
        <v>36</v>
      </c>
      <c r="B13" s="4" t="s">
        <v>3</v>
      </c>
      <c r="C13" s="4" t="s">
        <v>3</v>
      </c>
      <c r="D13" s="4" t="s">
        <v>198</v>
      </c>
      <c r="E13" s="4" t="s">
        <v>199</v>
      </c>
      <c r="F13" s="4" t="s">
        <v>27</v>
      </c>
      <c r="G13" s="4" t="s">
        <v>200</v>
      </c>
      <c r="H13" s="4">
        <v>83</v>
      </c>
      <c r="I13" s="4" t="s">
        <v>28</v>
      </c>
      <c r="J13" s="4" t="s">
        <v>30</v>
      </c>
      <c r="K13" s="4">
        <v>400</v>
      </c>
      <c r="L13" s="4">
        <v>400</v>
      </c>
      <c r="M13" s="4">
        <v>400</v>
      </c>
      <c r="N13" s="4">
        <v>1</v>
      </c>
      <c r="O13" s="4">
        <v>400</v>
      </c>
      <c r="P13" s="4">
        <v>400</v>
      </c>
      <c r="Q13" s="4">
        <v>70</v>
      </c>
      <c r="R13" s="8">
        <v>280</v>
      </c>
      <c r="S13" s="16" t="s">
        <v>222</v>
      </c>
      <c r="T13" s="16" t="s">
        <v>217</v>
      </c>
    </row>
    <row r="14" spans="1:20" x14ac:dyDescent="0.4">
      <c r="A14" s="4" t="s">
        <v>36</v>
      </c>
      <c r="B14" s="4" t="s">
        <v>3</v>
      </c>
      <c r="C14" s="4" t="s">
        <v>3</v>
      </c>
      <c r="D14" s="4" t="s">
        <v>40</v>
      </c>
      <c r="E14" s="4" t="s">
        <v>41</v>
      </c>
      <c r="F14" s="4" t="s">
        <v>34</v>
      </c>
      <c r="G14" s="4" t="s">
        <v>52</v>
      </c>
      <c r="H14" s="4">
        <v>56</v>
      </c>
      <c r="I14" s="4" t="s">
        <v>28</v>
      </c>
      <c r="J14" s="4" t="s">
        <v>29</v>
      </c>
      <c r="K14" s="4">
        <v>200</v>
      </c>
      <c r="L14" s="4">
        <v>200</v>
      </c>
      <c r="M14" s="4">
        <v>1000</v>
      </c>
      <c r="N14" s="4">
        <v>5</v>
      </c>
      <c r="O14" s="4">
        <v>1000</v>
      </c>
      <c r="P14" s="4">
        <v>1000</v>
      </c>
      <c r="Q14" s="4">
        <v>70</v>
      </c>
      <c r="R14" s="8">
        <v>700</v>
      </c>
      <c r="S14" s="16" t="s">
        <v>222</v>
      </c>
      <c r="T14" s="16" t="s">
        <v>217</v>
      </c>
    </row>
    <row r="15" spans="1:20" x14ac:dyDescent="0.4">
      <c r="A15" s="4" t="s">
        <v>36</v>
      </c>
      <c r="B15" s="4" t="s">
        <v>3</v>
      </c>
      <c r="C15" s="4" t="s">
        <v>3</v>
      </c>
      <c r="D15" s="4" t="s">
        <v>40</v>
      </c>
      <c r="E15" s="4" t="s">
        <v>41</v>
      </c>
      <c r="F15" s="4" t="s">
        <v>34</v>
      </c>
      <c r="G15" s="4" t="s">
        <v>52</v>
      </c>
      <c r="H15" s="4">
        <v>56</v>
      </c>
      <c r="I15" s="4" t="s">
        <v>28</v>
      </c>
      <c r="J15" s="4" t="s">
        <v>30</v>
      </c>
      <c r="K15" s="4">
        <v>400</v>
      </c>
      <c r="L15" s="4">
        <v>400</v>
      </c>
      <c r="M15" s="4">
        <v>5200</v>
      </c>
      <c r="N15" s="4">
        <v>13</v>
      </c>
      <c r="O15" s="4">
        <v>5200</v>
      </c>
      <c r="P15" s="4">
        <v>5200</v>
      </c>
      <c r="Q15" s="4">
        <v>70</v>
      </c>
      <c r="R15" s="8">
        <v>3640</v>
      </c>
      <c r="S15" s="16" t="s">
        <v>222</v>
      </c>
      <c r="T15" s="16" t="s">
        <v>217</v>
      </c>
    </row>
    <row r="16" spans="1:20" x14ac:dyDescent="0.4">
      <c r="A16" s="4" t="s">
        <v>36</v>
      </c>
      <c r="B16" s="4" t="s">
        <v>3</v>
      </c>
      <c r="C16" s="4" t="s">
        <v>3</v>
      </c>
      <c r="D16" s="4" t="s">
        <v>40</v>
      </c>
      <c r="E16" s="4" t="s">
        <v>41</v>
      </c>
      <c r="F16" s="4" t="s">
        <v>27</v>
      </c>
      <c r="G16" s="4" t="s">
        <v>52</v>
      </c>
      <c r="H16" s="4">
        <v>56</v>
      </c>
      <c r="I16" s="4" t="s">
        <v>28</v>
      </c>
      <c r="J16" s="4" t="s">
        <v>30</v>
      </c>
      <c r="K16" s="4">
        <v>400</v>
      </c>
      <c r="L16" s="4">
        <v>400</v>
      </c>
      <c r="M16" s="4">
        <v>2400</v>
      </c>
      <c r="N16" s="4">
        <v>6</v>
      </c>
      <c r="O16" s="4">
        <v>2400</v>
      </c>
      <c r="P16" s="4">
        <v>2400</v>
      </c>
      <c r="Q16" s="4">
        <v>70</v>
      </c>
      <c r="R16" s="8">
        <v>1680</v>
      </c>
      <c r="S16" s="16" t="s">
        <v>222</v>
      </c>
      <c r="T16" s="16" t="s">
        <v>217</v>
      </c>
    </row>
    <row r="17" spans="1:20" x14ac:dyDescent="0.4">
      <c r="A17" s="4" t="s">
        <v>36</v>
      </c>
      <c r="B17" s="4" t="s">
        <v>3</v>
      </c>
      <c r="C17" s="4" t="s">
        <v>3</v>
      </c>
      <c r="D17" s="4" t="s">
        <v>40</v>
      </c>
      <c r="E17" s="4" t="s">
        <v>41</v>
      </c>
      <c r="F17" s="4" t="s">
        <v>32</v>
      </c>
      <c r="G17" s="4" t="s">
        <v>52</v>
      </c>
      <c r="H17" s="4">
        <v>56</v>
      </c>
      <c r="I17" s="4" t="s">
        <v>28</v>
      </c>
      <c r="J17" s="4" t="s">
        <v>29</v>
      </c>
      <c r="K17" s="4">
        <v>200</v>
      </c>
      <c r="L17" s="4">
        <v>200</v>
      </c>
      <c r="M17" s="4">
        <v>2000</v>
      </c>
      <c r="N17" s="4">
        <v>10</v>
      </c>
      <c r="O17" s="4">
        <v>2000</v>
      </c>
      <c r="P17" s="4">
        <v>2000</v>
      </c>
      <c r="Q17" s="4">
        <v>70</v>
      </c>
      <c r="R17" s="8">
        <v>1400</v>
      </c>
      <c r="S17" s="16" t="s">
        <v>222</v>
      </c>
      <c r="T17" s="16" t="s">
        <v>217</v>
      </c>
    </row>
    <row r="18" spans="1:20" x14ac:dyDescent="0.4">
      <c r="A18" s="4" t="s">
        <v>36</v>
      </c>
      <c r="B18" s="4" t="s">
        <v>3</v>
      </c>
      <c r="C18" s="4" t="s">
        <v>3</v>
      </c>
      <c r="D18" s="4" t="s">
        <v>201</v>
      </c>
      <c r="E18" s="4" t="s">
        <v>202</v>
      </c>
      <c r="F18" s="4" t="s">
        <v>34</v>
      </c>
      <c r="G18" s="4" t="s">
        <v>203</v>
      </c>
      <c r="H18" s="4">
        <v>113</v>
      </c>
      <c r="I18" s="4" t="s">
        <v>28</v>
      </c>
      <c r="J18" s="4" t="s">
        <v>29</v>
      </c>
      <c r="K18" s="4">
        <v>100</v>
      </c>
      <c r="L18" s="4">
        <v>100</v>
      </c>
      <c r="M18" s="4">
        <v>2700</v>
      </c>
      <c r="N18" s="4">
        <v>27</v>
      </c>
      <c r="O18" s="4">
        <v>2700</v>
      </c>
      <c r="P18" s="4">
        <v>2700</v>
      </c>
      <c r="Q18" s="4">
        <v>70</v>
      </c>
      <c r="R18" s="8">
        <v>1890</v>
      </c>
      <c r="S18" s="16" t="s">
        <v>222</v>
      </c>
      <c r="T18" s="16" t="s">
        <v>217</v>
      </c>
    </row>
    <row r="19" spans="1:20" x14ac:dyDescent="0.4">
      <c r="A19" s="4" t="s">
        <v>36</v>
      </c>
      <c r="B19" s="4" t="s">
        <v>3</v>
      </c>
      <c r="C19" s="4" t="s">
        <v>3</v>
      </c>
      <c r="D19" s="4" t="s">
        <v>201</v>
      </c>
      <c r="E19" s="4" t="s">
        <v>202</v>
      </c>
      <c r="F19" s="4" t="s">
        <v>27</v>
      </c>
      <c r="G19" s="4" t="s">
        <v>203</v>
      </c>
      <c r="H19" s="4">
        <v>113</v>
      </c>
      <c r="I19" s="4" t="s">
        <v>28</v>
      </c>
      <c r="J19" s="4" t="s">
        <v>29</v>
      </c>
      <c r="K19" s="4">
        <v>100</v>
      </c>
      <c r="L19" s="4">
        <v>100</v>
      </c>
      <c r="M19" s="4">
        <v>100</v>
      </c>
      <c r="N19" s="4">
        <v>1</v>
      </c>
      <c r="O19" s="4">
        <v>100</v>
      </c>
      <c r="P19" s="4">
        <v>100</v>
      </c>
      <c r="Q19" s="4">
        <v>70</v>
      </c>
      <c r="R19" s="8">
        <v>70</v>
      </c>
      <c r="S19" s="16" t="s">
        <v>222</v>
      </c>
      <c r="T19" s="16" t="s">
        <v>217</v>
      </c>
    </row>
    <row r="20" spans="1:20" x14ac:dyDescent="0.4">
      <c r="A20" s="4" t="s">
        <v>36</v>
      </c>
      <c r="B20" s="4" t="s">
        <v>3</v>
      </c>
      <c r="C20" s="4" t="s">
        <v>3</v>
      </c>
      <c r="D20" s="4" t="s">
        <v>201</v>
      </c>
      <c r="E20" s="4" t="s">
        <v>202</v>
      </c>
      <c r="F20" s="4" t="s">
        <v>32</v>
      </c>
      <c r="G20" s="4" t="s">
        <v>203</v>
      </c>
      <c r="H20" s="4">
        <v>113</v>
      </c>
      <c r="I20" s="4" t="s">
        <v>28</v>
      </c>
      <c r="J20" s="4" t="s">
        <v>29</v>
      </c>
      <c r="K20" s="4">
        <v>100</v>
      </c>
      <c r="L20" s="4">
        <v>100</v>
      </c>
      <c r="M20" s="4">
        <v>1800</v>
      </c>
      <c r="N20" s="4">
        <v>18</v>
      </c>
      <c r="O20" s="4">
        <v>1800</v>
      </c>
      <c r="P20" s="4">
        <v>1800</v>
      </c>
      <c r="Q20" s="4">
        <v>70</v>
      </c>
      <c r="R20" s="8">
        <v>1260</v>
      </c>
      <c r="S20" s="16" t="s">
        <v>222</v>
      </c>
      <c r="T20" s="16" t="s">
        <v>217</v>
      </c>
    </row>
    <row r="21" spans="1:20" x14ac:dyDescent="0.4">
      <c r="A21" s="4" t="s">
        <v>36</v>
      </c>
      <c r="B21" s="4" t="s">
        <v>3</v>
      </c>
      <c r="C21" s="4" t="s">
        <v>3</v>
      </c>
      <c r="D21" s="4" t="s">
        <v>204</v>
      </c>
      <c r="E21" s="4" t="s">
        <v>205</v>
      </c>
      <c r="F21" s="4" t="s">
        <v>32</v>
      </c>
      <c r="G21" s="4" t="s">
        <v>206</v>
      </c>
      <c r="H21" s="4">
        <v>100</v>
      </c>
      <c r="I21" s="4" t="s">
        <v>28</v>
      </c>
      <c r="J21" s="4" t="s">
        <v>29</v>
      </c>
      <c r="K21" s="4">
        <v>200</v>
      </c>
      <c r="L21" s="4">
        <v>200</v>
      </c>
      <c r="M21" s="4">
        <v>2200</v>
      </c>
      <c r="N21" s="4">
        <v>11</v>
      </c>
      <c r="O21" s="4">
        <v>2200</v>
      </c>
      <c r="P21" s="4">
        <v>2200</v>
      </c>
      <c r="Q21" s="4">
        <v>70</v>
      </c>
      <c r="R21" s="8">
        <v>1540</v>
      </c>
      <c r="S21" s="16" t="s">
        <v>222</v>
      </c>
      <c r="T21" s="16" t="s">
        <v>217</v>
      </c>
    </row>
    <row r="22" spans="1:20" x14ac:dyDescent="0.4">
      <c r="A22" s="4" t="s">
        <v>36</v>
      </c>
      <c r="B22" s="4" t="s">
        <v>3</v>
      </c>
      <c r="C22" s="4" t="s">
        <v>3</v>
      </c>
      <c r="D22" s="4" t="s">
        <v>204</v>
      </c>
      <c r="E22" s="4" t="s">
        <v>205</v>
      </c>
      <c r="F22" s="4" t="s">
        <v>32</v>
      </c>
      <c r="G22" s="4" t="s">
        <v>206</v>
      </c>
      <c r="H22" s="4">
        <v>100</v>
      </c>
      <c r="I22" s="4" t="s">
        <v>28</v>
      </c>
      <c r="J22" s="4" t="s">
        <v>30</v>
      </c>
      <c r="K22" s="4">
        <v>400</v>
      </c>
      <c r="L22" s="4">
        <v>400</v>
      </c>
      <c r="M22" s="4">
        <v>400</v>
      </c>
      <c r="N22" s="4">
        <v>1</v>
      </c>
      <c r="O22" s="4">
        <v>400</v>
      </c>
      <c r="P22" s="4">
        <v>400</v>
      </c>
      <c r="Q22" s="4">
        <v>70</v>
      </c>
      <c r="R22" s="8">
        <v>280</v>
      </c>
      <c r="S22" s="16" t="s">
        <v>222</v>
      </c>
      <c r="T22" s="16" t="s">
        <v>217</v>
      </c>
    </row>
    <row r="23" spans="1:20" x14ac:dyDescent="0.4">
      <c r="A23" s="4" t="s">
        <v>36</v>
      </c>
      <c r="B23" s="4" t="s">
        <v>3</v>
      </c>
      <c r="C23" s="4" t="s">
        <v>3</v>
      </c>
      <c r="D23" s="4" t="s">
        <v>127</v>
      </c>
      <c r="E23" s="4" t="s">
        <v>128</v>
      </c>
      <c r="F23" s="4" t="s">
        <v>34</v>
      </c>
      <c r="G23" s="4" t="s">
        <v>129</v>
      </c>
      <c r="H23" s="4">
        <v>172</v>
      </c>
      <c r="I23" s="4" t="s">
        <v>28</v>
      </c>
      <c r="J23" s="4" t="s">
        <v>30</v>
      </c>
      <c r="K23" s="4">
        <v>200</v>
      </c>
      <c r="L23" s="4">
        <v>200</v>
      </c>
      <c r="M23" s="4">
        <v>14200</v>
      </c>
      <c r="N23" s="4">
        <v>71</v>
      </c>
      <c r="O23" s="4">
        <v>14200</v>
      </c>
      <c r="P23" s="4">
        <v>14200</v>
      </c>
      <c r="Q23" s="4">
        <v>70</v>
      </c>
      <c r="R23" s="8">
        <v>9940</v>
      </c>
      <c r="S23" s="16" t="s">
        <v>222</v>
      </c>
      <c r="T23" s="16" t="s">
        <v>217</v>
      </c>
    </row>
    <row r="24" spans="1:20" x14ac:dyDescent="0.4">
      <c r="A24" s="4" t="s">
        <v>36</v>
      </c>
      <c r="B24" s="4" t="s">
        <v>3</v>
      </c>
      <c r="C24" s="4" t="s">
        <v>3</v>
      </c>
      <c r="D24" s="4" t="s">
        <v>127</v>
      </c>
      <c r="E24" s="4" t="s">
        <v>128</v>
      </c>
      <c r="F24" s="4" t="s">
        <v>27</v>
      </c>
      <c r="G24" s="4" t="s">
        <v>129</v>
      </c>
      <c r="H24" s="4">
        <v>172</v>
      </c>
      <c r="I24" s="4" t="s">
        <v>28</v>
      </c>
      <c r="J24" s="4" t="s">
        <v>29</v>
      </c>
      <c r="K24" s="4">
        <v>100</v>
      </c>
      <c r="L24" s="4">
        <v>100</v>
      </c>
      <c r="M24" s="4">
        <v>500</v>
      </c>
      <c r="N24" s="4">
        <v>5</v>
      </c>
      <c r="O24" s="4">
        <v>500</v>
      </c>
      <c r="P24" s="4">
        <v>500</v>
      </c>
      <c r="Q24" s="4">
        <v>70</v>
      </c>
      <c r="R24" s="8">
        <v>350</v>
      </c>
      <c r="S24" s="16" t="s">
        <v>222</v>
      </c>
      <c r="T24" s="16" t="s">
        <v>217</v>
      </c>
    </row>
    <row r="25" spans="1:20" x14ac:dyDescent="0.4">
      <c r="A25" s="4" t="s">
        <v>36</v>
      </c>
      <c r="B25" s="4" t="s">
        <v>3</v>
      </c>
      <c r="C25" s="4" t="s">
        <v>3</v>
      </c>
      <c r="D25" s="4" t="s">
        <v>127</v>
      </c>
      <c r="E25" s="4" t="s">
        <v>128</v>
      </c>
      <c r="F25" s="4" t="s">
        <v>32</v>
      </c>
      <c r="G25" s="4" t="s">
        <v>129</v>
      </c>
      <c r="H25" s="4">
        <v>172</v>
      </c>
      <c r="I25" s="4" t="s">
        <v>28</v>
      </c>
      <c r="J25" s="4" t="s">
        <v>29</v>
      </c>
      <c r="K25" s="4">
        <v>100</v>
      </c>
      <c r="L25" s="4">
        <v>100</v>
      </c>
      <c r="M25" s="4">
        <v>300</v>
      </c>
      <c r="N25" s="4">
        <v>3</v>
      </c>
      <c r="O25" s="4">
        <v>300</v>
      </c>
      <c r="P25" s="4">
        <v>300</v>
      </c>
      <c r="Q25" s="4">
        <v>70</v>
      </c>
      <c r="R25" s="8">
        <v>210</v>
      </c>
      <c r="S25" s="16" t="s">
        <v>222</v>
      </c>
      <c r="T25" s="16" t="s">
        <v>217</v>
      </c>
    </row>
    <row r="26" spans="1:20" x14ac:dyDescent="0.4">
      <c r="A26" s="4" t="s">
        <v>36</v>
      </c>
      <c r="B26" s="4" t="s">
        <v>3</v>
      </c>
      <c r="C26" s="4" t="s">
        <v>3</v>
      </c>
      <c r="D26" s="4" t="s">
        <v>207</v>
      </c>
      <c r="E26" s="4" t="s">
        <v>208</v>
      </c>
      <c r="F26" s="4" t="s">
        <v>34</v>
      </c>
      <c r="G26" s="4" t="s">
        <v>209</v>
      </c>
      <c r="H26" s="4">
        <v>114</v>
      </c>
      <c r="I26" s="4" t="s">
        <v>28</v>
      </c>
      <c r="J26" s="4" t="s">
        <v>29</v>
      </c>
      <c r="K26" s="4">
        <v>100</v>
      </c>
      <c r="L26" s="4">
        <v>100</v>
      </c>
      <c r="M26" s="4">
        <v>1000</v>
      </c>
      <c r="N26" s="4">
        <v>10</v>
      </c>
      <c r="O26" s="4">
        <v>1000</v>
      </c>
      <c r="P26" s="4">
        <v>1000</v>
      </c>
      <c r="Q26" s="4">
        <v>70</v>
      </c>
      <c r="R26" s="8">
        <v>700</v>
      </c>
      <c r="S26" s="16" t="s">
        <v>222</v>
      </c>
      <c r="T26" s="16" t="s">
        <v>217</v>
      </c>
    </row>
    <row r="27" spans="1:20" x14ac:dyDescent="0.4">
      <c r="A27" s="4" t="s">
        <v>36</v>
      </c>
      <c r="B27" s="4" t="s">
        <v>3</v>
      </c>
      <c r="C27" s="4" t="s">
        <v>3</v>
      </c>
      <c r="D27" s="4" t="s">
        <v>210</v>
      </c>
      <c r="E27" s="4" t="s">
        <v>211</v>
      </c>
      <c r="F27" s="4" t="s">
        <v>27</v>
      </c>
      <c r="G27" s="4" t="s">
        <v>212</v>
      </c>
      <c r="H27" s="4">
        <v>28</v>
      </c>
      <c r="I27" s="4" t="s">
        <v>28</v>
      </c>
      <c r="J27" s="4" t="s">
        <v>29</v>
      </c>
      <c r="K27" s="4">
        <v>200</v>
      </c>
      <c r="L27" s="4">
        <v>200</v>
      </c>
      <c r="M27" s="4">
        <v>4400</v>
      </c>
      <c r="N27" s="4">
        <v>22</v>
      </c>
      <c r="O27" s="4">
        <v>4400</v>
      </c>
      <c r="P27" s="4">
        <v>4400</v>
      </c>
      <c r="Q27" s="4">
        <v>70</v>
      </c>
      <c r="R27" s="8">
        <v>3080</v>
      </c>
      <c r="S27" s="16" t="s">
        <v>222</v>
      </c>
      <c r="T27" s="16" t="s">
        <v>217</v>
      </c>
    </row>
    <row r="28" spans="1:20" x14ac:dyDescent="0.4">
      <c r="A28" s="4" t="s">
        <v>36</v>
      </c>
      <c r="B28" s="4" t="s">
        <v>3</v>
      </c>
      <c r="C28" s="4" t="s">
        <v>3</v>
      </c>
      <c r="D28" s="4" t="s">
        <v>210</v>
      </c>
      <c r="E28" s="4" t="s">
        <v>211</v>
      </c>
      <c r="F28" s="4" t="s">
        <v>27</v>
      </c>
      <c r="G28" s="4" t="s">
        <v>212</v>
      </c>
      <c r="H28" s="4">
        <v>28</v>
      </c>
      <c r="I28" s="4" t="s">
        <v>28</v>
      </c>
      <c r="J28" s="4" t="s">
        <v>30</v>
      </c>
      <c r="K28" s="4">
        <v>400</v>
      </c>
      <c r="L28" s="4">
        <v>400</v>
      </c>
      <c r="M28" s="4">
        <v>6000</v>
      </c>
      <c r="N28" s="4">
        <v>15</v>
      </c>
      <c r="O28" s="4">
        <v>6000</v>
      </c>
      <c r="P28" s="4">
        <v>6000</v>
      </c>
      <c r="Q28" s="4">
        <v>70</v>
      </c>
      <c r="R28" s="8">
        <v>4200</v>
      </c>
      <c r="S28" s="16" t="s">
        <v>222</v>
      </c>
      <c r="T28" s="16" t="s">
        <v>217</v>
      </c>
    </row>
    <row r="29" spans="1:20" x14ac:dyDescent="0.4">
      <c r="A29" s="4" t="s">
        <v>36</v>
      </c>
      <c r="B29" s="4" t="s">
        <v>3</v>
      </c>
      <c r="C29" s="4" t="s">
        <v>3</v>
      </c>
      <c r="D29" s="4" t="s">
        <v>210</v>
      </c>
      <c r="E29" s="4" t="s">
        <v>211</v>
      </c>
      <c r="F29" s="4" t="s">
        <v>32</v>
      </c>
      <c r="G29" s="4" t="s">
        <v>212</v>
      </c>
      <c r="H29" s="4">
        <v>28</v>
      </c>
      <c r="I29" s="4" t="s">
        <v>28</v>
      </c>
      <c r="J29" s="4" t="s">
        <v>29</v>
      </c>
      <c r="K29" s="4">
        <v>200</v>
      </c>
      <c r="L29" s="4">
        <v>200</v>
      </c>
      <c r="M29" s="4">
        <v>200</v>
      </c>
      <c r="N29" s="4">
        <v>1</v>
      </c>
      <c r="O29" s="4">
        <v>200</v>
      </c>
      <c r="P29" s="4">
        <v>200</v>
      </c>
      <c r="Q29" s="4">
        <v>70</v>
      </c>
      <c r="R29" s="8">
        <v>140</v>
      </c>
      <c r="S29" s="16" t="s">
        <v>222</v>
      </c>
      <c r="T29" s="16" t="s">
        <v>217</v>
      </c>
    </row>
    <row r="30" spans="1:20" x14ac:dyDescent="0.4">
      <c r="A30" s="4" t="s">
        <v>36</v>
      </c>
      <c r="B30" s="4" t="s">
        <v>3</v>
      </c>
      <c r="C30" s="4" t="s">
        <v>3</v>
      </c>
      <c r="D30" s="4" t="s">
        <v>210</v>
      </c>
      <c r="E30" s="4" t="s">
        <v>211</v>
      </c>
      <c r="F30" s="4" t="s">
        <v>32</v>
      </c>
      <c r="G30" s="4" t="s">
        <v>212</v>
      </c>
      <c r="H30" s="4">
        <v>28</v>
      </c>
      <c r="I30" s="4" t="s">
        <v>28</v>
      </c>
      <c r="J30" s="4" t="s">
        <v>30</v>
      </c>
      <c r="K30" s="4">
        <v>400</v>
      </c>
      <c r="L30" s="4">
        <v>400</v>
      </c>
      <c r="M30" s="4">
        <v>8400</v>
      </c>
      <c r="N30" s="4">
        <v>21</v>
      </c>
      <c r="O30" s="4">
        <v>8400</v>
      </c>
      <c r="P30" s="4">
        <v>8400</v>
      </c>
      <c r="Q30" s="4">
        <v>70</v>
      </c>
      <c r="R30" s="8">
        <v>5880</v>
      </c>
      <c r="S30" s="16" t="s">
        <v>222</v>
      </c>
      <c r="T30" s="16" t="s">
        <v>217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31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34.69921875" bestFit="1" customWidth="1"/>
    <col min="6" max="6" width="9.59765625" bestFit="1" customWidth="1"/>
    <col min="7" max="7" width="12.39843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20" width="8.5976562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33</v>
      </c>
      <c r="D2" s="4" t="s">
        <v>151</v>
      </c>
      <c r="E2" s="4" t="s">
        <v>152</v>
      </c>
      <c r="F2" s="4" t="s">
        <v>27</v>
      </c>
      <c r="G2" s="4" t="s">
        <v>153</v>
      </c>
      <c r="H2" s="4">
        <v>163</v>
      </c>
      <c r="I2" s="4" t="s">
        <v>28</v>
      </c>
      <c r="J2" s="4" t="s">
        <v>30</v>
      </c>
      <c r="K2" s="4">
        <v>100</v>
      </c>
      <c r="L2" s="4">
        <v>100</v>
      </c>
      <c r="M2" s="4">
        <v>1100</v>
      </c>
      <c r="N2" s="4">
        <v>11</v>
      </c>
      <c r="O2" s="4">
        <v>1100</v>
      </c>
      <c r="P2" s="4">
        <v>1100</v>
      </c>
      <c r="Q2" s="4">
        <v>70</v>
      </c>
      <c r="R2" s="8">
        <v>770</v>
      </c>
      <c r="S2" s="16" t="s">
        <v>218</v>
      </c>
      <c r="T2" s="16" t="s">
        <v>218</v>
      </c>
    </row>
    <row r="3" spans="1:20" x14ac:dyDescent="0.4">
      <c r="A3" s="4" t="s">
        <v>25</v>
      </c>
      <c r="B3" s="4" t="s">
        <v>3</v>
      </c>
      <c r="C3" s="4" t="s">
        <v>33</v>
      </c>
      <c r="D3" s="4" t="s">
        <v>154</v>
      </c>
      <c r="E3" s="4" t="s">
        <v>155</v>
      </c>
      <c r="F3" s="4" t="s">
        <v>27</v>
      </c>
      <c r="G3" s="4" t="s">
        <v>156</v>
      </c>
      <c r="H3" s="4">
        <v>59</v>
      </c>
      <c r="I3" s="4" t="s">
        <v>28</v>
      </c>
      <c r="J3" s="4" t="s">
        <v>30</v>
      </c>
      <c r="K3" s="4">
        <v>100</v>
      </c>
      <c r="L3" s="4">
        <v>100</v>
      </c>
      <c r="M3" s="4">
        <v>200</v>
      </c>
      <c r="N3" s="4">
        <v>2</v>
      </c>
      <c r="O3" s="4">
        <v>200</v>
      </c>
      <c r="P3" s="4">
        <v>200</v>
      </c>
      <c r="Q3" s="4">
        <v>70</v>
      </c>
      <c r="R3" s="8">
        <v>140</v>
      </c>
      <c r="S3" s="16" t="s">
        <v>218</v>
      </c>
      <c r="T3" s="16" t="s">
        <v>218</v>
      </c>
    </row>
    <row r="4" spans="1:20" x14ac:dyDescent="0.4">
      <c r="A4" s="4" t="s">
        <v>25</v>
      </c>
      <c r="B4" s="4" t="s">
        <v>3</v>
      </c>
      <c r="C4" s="4" t="s">
        <v>33</v>
      </c>
      <c r="D4" s="4" t="s">
        <v>157</v>
      </c>
      <c r="E4" s="4" t="s">
        <v>158</v>
      </c>
      <c r="F4" s="4" t="s">
        <v>27</v>
      </c>
      <c r="G4" s="4" t="s">
        <v>159</v>
      </c>
      <c r="H4" s="4">
        <v>77</v>
      </c>
      <c r="I4" s="4" t="s">
        <v>28</v>
      </c>
      <c r="J4" s="4" t="s">
        <v>30</v>
      </c>
      <c r="K4" s="4">
        <v>100</v>
      </c>
      <c r="L4" s="4">
        <v>100</v>
      </c>
      <c r="M4" s="4">
        <v>300</v>
      </c>
      <c r="N4" s="4">
        <v>3</v>
      </c>
      <c r="O4" s="4">
        <v>300</v>
      </c>
      <c r="P4" s="4">
        <v>300</v>
      </c>
      <c r="Q4" s="4">
        <v>70</v>
      </c>
      <c r="R4" s="8">
        <v>210</v>
      </c>
      <c r="S4" s="16" t="s">
        <v>218</v>
      </c>
      <c r="T4" s="16" t="s">
        <v>218</v>
      </c>
    </row>
    <row r="5" spans="1:20" x14ac:dyDescent="0.4">
      <c r="A5" s="4" t="s">
        <v>25</v>
      </c>
      <c r="B5" s="4" t="s">
        <v>3</v>
      </c>
      <c r="C5" s="4" t="s">
        <v>33</v>
      </c>
      <c r="D5" s="4" t="s">
        <v>160</v>
      </c>
      <c r="E5" s="4" t="s">
        <v>161</v>
      </c>
      <c r="F5" s="4" t="s">
        <v>27</v>
      </c>
      <c r="G5" s="4" t="s">
        <v>162</v>
      </c>
      <c r="H5" s="4">
        <v>93</v>
      </c>
      <c r="I5" s="4" t="s">
        <v>28</v>
      </c>
      <c r="J5" s="4" t="s">
        <v>30</v>
      </c>
      <c r="K5" s="4">
        <v>100</v>
      </c>
      <c r="L5" s="4">
        <v>100</v>
      </c>
      <c r="M5" s="4">
        <v>1000</v>
      </c>
      <c r="N5" s="4">
        <v>10</v>
      </c>
      <c r="O5" s="4">
        <v>1000</v>
      </c>
      <c r="P5" s="4">
        <v>1000</v>
      </c>
      <c r="Q5" s="4">
        <v>70</v>
      </c>
      <c r="R5" s="8">
        <v>700</v>
      </c>
      <c r="S5" s="16" t="s">
        <v>218</v>
      </c>
      <c r="T5" s="16" t="s">
        <v>218</v>
      </c>
    </row>
    <row r="6" spans="1:20" x14ac:dyDescent="0.4">
      <c r="A6" s="4" t="s">
        <v>25</v>
      </c>
      <c r="B6" s="4" t="s">
        <v>3</v>
      </c>
      <c r="C6" s="4" t="s">
        <v>33</v>
      </c>
      <c r="D6" s="4" t="s">
        <v>160</v>
      </c>
      <c r="E6" s="4" t="s">
        <v>161</v>
      </c>
      <c r="F6" s="4" t="s">
        <v>27</v>
      </c>
      <c r="G6" s="4" t="s">
        <v>162</v>
      </c>
      <c r="H6" s="4">
        <v>93</v>
      </c>
      <c r="I6" s="4" t="s">
        <v>28</v>
      </c>
      <c r="J6" s="4" t="s">
        <v>30</v>
      </c>
      <c r="K6" s="4">
        <v>100</v>
      </c>
      <c r="L6" s="4">
        <v>100</v>
      </c>
      <c r="M6" s="4">
        <v>1000</v>
      </c>
      <c r="N6" s="4">
        <v>10</v>
      </c>
      <c r="O6" s="4">
        <v>1000</v>
      </c>
      <c r="P6" s="4">
        <v>1000</v>
      </c>
      <c r="Q6" s="4">
        <v>70</v>
      </c>
      <c r="R6" s="8">
        <v>700</v>
      </c>
      <c r="S6" s="16" t="s">
        <v>218</v>
      </c>
      <c r="T6" s="16" t="s">
        <v>218</v>
      </c>
    </row>
    <row r="7" spans="1:20" x14ac:dyDescent="0.4">
      <c r="A7" s="4" t="s">
        <v>25</v>
      </c>
      <c r="B7" s="4" t="s">
        <v>3</v>
      </c>
      <c r="C7" s="4" t="s">
        <v>33</v>
      </c>
      <c r="D7" s="4" t="s">
        <v>56</v>
      </c>
      <c r="E7" s="4" t="s">
        <v>57</v>
      </c>
      <c r="F7" s="4" t="s">
        <v>27</v>
      </c>
      <c r="G7" s="4" t="s">
        <v>58</v>
      </c>
      <c r="H7" s="4">
        <v>99</v>
      </c>
      <c r="I7" s="4" t="s">
        <v>28</v>
      </c>
      <c r="J7" s="4" t="s">
        <v>30</v>
      </c>
      <c r="K7" s="4">
        <v>100</v>
      </c>
      <c r="L7" s="4">
        <v>100</v>
      </c>
      <c r="M7" s="4">
        <v>2500</v>
      </c>
      <c r="N7" s="4">
        <v>25</v>
      </c>
      <c r="O7" s="4">
        <v>2500</v>
      </c>
      <c r="P7" s="4">
        <v>2500</v>
      </c>
      <c r="Q7" s="4">
        <v>70</v>
      </c>
      <c r="R7" s="8">
        <v>1750</v>
      </c>
      <c r="S7" s="16" t="s">
        <v>218</v>
      </c>
      <c r="T7" s="16" t="s">
        <v>218</v>
      </c>
    </row>
    <row r="8" spans="1:20" x14ac:dyDescent="0.4">
      <c r="A8" s="4" t="s">
        <v>25</v>
      </c>
      <c r="B8" s="4" t="s">
        <v>3</v>
      </c>
      <c r="C8" s="4" t="s">
        <v>33</v>
      </c>
      <c r="D8" s="4" t="s">
        <v>68</v>
      </c>
      <c r="E8" s="4" t="s">
        <v>69</v>
      </c>
      <c r="F8" s="4" t="s">
        <v>34</v>
      </c>
      <c r="G8" s="4" t="s">
        <v>44</v>
      </c>
      <c r="H8" s="4">
        <v>63</v>
      </c>
      <c r="I8" s="4" t="s">
        <v>28</v>
      </c>
      <c r="J8" s="4" t="s">
        <v>30</v>
      </c>
      <c r="K8" s="4">
        <v>100</v>
      </c>
      <c r="L8" s="4">
        <v>100</v>
      </c>
      <c r="M8" s="4">
        <v>5300</v>
      </c>
      <c r="N8" s="4">
        <v>53</v>
      </c>
      <c r="O8" s="4">
        <v>5300</v>
      </c>
      <c r="P8" s="4">
        <v>5300</v>
      </c>
      <c r="Q8" s="4">
        <v>70</v>
      </c>
      <c r="R8" s="8">
        <v>3710</v>
      </c>
      <c r="S8" s="16" t="s">
        <v>218</v>
      </c>
      <c r="T8" s="16" t="s">
        <v>218</v>
      </c>
    </row>
    <row r="9" spans="1:20" x14ac:dyDescent="0.4">
      <c r="A9" s="4" t="s">
        <v>25</v>
      </c>
      <c r="B9" s="4" t="s">
        <v>3</v>
      </c>
      <c r="C9" s="4" t="s">
        <v>33</v>
      </c>
      <c r="D9" s="4" t="s">
        <v>71</v>
      </c>
      <c r="E9" s="4" t="s">
        <v>72</v>
      </c>
      <c r="F9" s="4" t="s">
        <v>27</v>
      </c>
      <c r="G9" s="4" t="s">
        <v>73</v>
      </c>
      <c r="H9" s="4">
        <v>108</v>
      </c>
      <c r="I9" s="4" t="s">
        <v>28</v>
      </c>
      <c r="J9" s="4" t="s">
        <v>30</v>
      </c>
      <c r="K9" s="4">
        <v>100</v>
      </c>
      <c r="L9" s="4">
        <v>100</v>
      </c>
      <c r="M9" s="4">
        <v>10500</v>
      </c>
      <c r="N9" s="4">
        <v>105</v>
      </c>
      <c r="O9" s="4">
        <v>10500</v>
      </c>
      <c r="P9" s="4">
        <v>10500</v>
      </c>
      <c r="Q9" s="4">
        <v>70</v>
      </c>
      <c r="R9" s="8">
        <v>7350</v>
      </c>
      <c r="S9" s="16" t="s">
        <v>218</v>
      </c>
      <c r="T9" s="16" t="s">
        <v>218</v>
      </c>
    </row>
    <row r="10" spans="1:20" x14ac:dyDescent="0.4">
      <c r="A10" s="4" t="s">
        <v>25</v>
      </c>
      <c r="B10" s="4" t="s">
        <v>3</v>
      </c>
      <c r="C10" s="4" t="s">
        <v>33</v>
      </c>
      <c r="D10" s="4" t="s">
        <v>74</v>
      </c>
      <c r="E10" s="4" t="s">
        <v>75</v>
      </c>
      <c r="F10" s="4" t="s">
        <v>27</v>
      </c>
      <c r="G10" s="4" t="s">
        <v>76</v>
      </c>
      <c r="H10" s="4">
        <v>77</v>
      </c>
      <c r="I10" s="4" t="s">
        <v>28</v>
      </c>
      <c r="J10" s="4" t="s">
        <v>30</v>
      </c>
      <c r="K10" s="4">
        <v>100</v>
      </c>
      <c r="L10" s="4">
        <v>100</v>
      </c>
      <c r="M10" s="4">
        <v>100</v>
      </c>
      <c r="N10" s="4">
        <v>1</v>
      </c>
      <c r="O10" s="4">
        <v>100</v>
      </c>
      <c r="P10" s="4">
        <v>100</v>
      </c>
      <c r="Q10" s="4">
        <v>70</v>
      </c>
      <c r="R10" s="8">
        <v>70</v>
      </c>
      <c r="S10" s="16" t="s">
        <v>218</v>
      </c>
      <c r="T10" s="16" t="s">
        <v>218</v>
      </c>
    </row>
    <row r="11" spans="1:20" x14ac:dyDescent="0.4">
      <c r="A11" s="4" t="s">
        <v>25</v>
      </c>
      <c r="B11" s="4" t="s">
        <v>3</v>
      </c>
      <c r="C11" s="4" t="s">
        <v>33</v>
      </c>
      <c r="D11" s="4" t="s">
        <v>77</v>
      </c>
      <c r="E11" s="4" t="s">
        <v>78</v>
      </c>
      <c r="F11" s="4" t="s">
        <v>34</v>
      </c>
      <c r="G11" s="4" t="s">
        <v>79</v>
      </c>
      <c r="H11" s="4">
        <v>75</v>
      </c>
      <c r="I11" s="4" t="s">
        <v>28</v>
      </c>
      <c r="J11" s="4" t="s">
        <v>30</v>
      </c>
      <c r="K11" s="4">
        <v>100</v>
      </c>
      <c r="L11" s="4">
        <v>100</v>
      </c>
      <c r="M11" s="4">
        <v>7200</v>
      </c>
      <c r="N11" s="4">
        <v>72</v>
      </c>
      <c r="O11" s="4">
        <v>7200</v>
      </c>
      <c r="P11" s="4">
        <v>7200</v>
      </c>
      <c r="Q11" s="4">
        <v>70</v>
      </c>
      <c r="R11" s="8">
        <v>5040</v>
      </c>
      <c r="S11" s="16" t="s">
        <v>218</v>
      </c>
      <c r="T11" s="16" t="s">
        <v>218</v>
      </c>
    </row>
    <row r="12" spans="1:20" x14ac:dyDescent="0.4">
      <c r="A12" s="4" t="s">
        <v>25</v>
      </c>
      <c r="B12" s="4" t="s">
        <v>3</v>
      </c>
      <c r="C12" s="4" t="s">
        <v>33</v>
      </c>
      <c r="D12" s="4" t="s">
        <v>77</v>
      </c>
      <c r="E12" s="4" t="s">
        <v>78</v>
      </c>
      <c r="F12" s="4" t="s">
        <v>27</v>
      </c>
      <c r="G12" s="4" t="s">
        <v>79</v>
      </c>
      <c r="H12" s="4">
        <v>75</v>
      </c>
      <c r="I12" s="4" t="s">
        <v>28</v>
      </c>
      <c r="J12" s="4" t="s">
        <v>30</v>
      </c>
      <c r="K12" s="4">
        <v>100</v>
      </c>
      <c r="L12" s="4">
        <v>100</v>
      </c>
      <c r="M12" s="4">
        <v>2700</v>
      </c>
      <c r="N12" s="4">
        <v>27</v>
      </c>
      <c r="O12" s="4">
        <v>2700</v>
      </c>
      <c r="P12" s="4">
        <v>2700</v>
      </c>
      <c r="Q12" s="4">
        <v>70</v>
      </c>
      <c r="R12" s="8">
        <v>1890</v>
      </c>
      <c r="S12" s="16" t="s">
        <v>218</v>
      </c>
      <c r="T12" s="16" t="s">
        <v>218</v>
      </c>
    </row>
    <row r="13" spans="1:20" x14ac:dyDescent="0.4">
      <c r="A13" s="4" t="s">
        <v>25</v>
      </c>
      <c r="B13" s="4" t="s">
        <v>3</v>
      </c>
      <c r="C13" s="4" t="s">
        <v>33</v>
      </c>
      <c r="D13" s="4" t="s">
        <v>77</v>
      </c>
      <c r="E13" s="4" t="s">
        <v>78</v>
      </c>
      <c r="F13" s="4" t="s">
        <v>27</v>
      </c>
      <c r="G13" s="4" t="s">
        <v>79</v>
      </c>
      <c r="H13" s="4">
        <v>75</v>
      </c>
      <c r="I13" s="4" t="s">
        <v>28</v>
      </c>
      <c r="J13" s="4" t="s">
        <v>30</v>
      </c>
      <c r="K13" s="4">
        <v>100</v>
      </c>
      <c r="L13" s="4">
        <v>100</v>
      </c>
      <c r="M13" s="4">
        <v>300</v>
      </c>
      <c r="N13" s="4">
        <v>3</v>
      </c>
      <c r="O13" s="4">
        <v>300</v>
      </c>
      <c r="P13" s="4">
        <v>300</v>
      </c>
      <c r="Q13" s="4">
        <v>70</v>
      </c>
      <c r="R13" s="8">
        <v>210</v>
      </c>
      <c r="S13" s="16" t="s">
        <v>218</v>
      </c>
      <c r="T13" s="16" t="s">
        <v>218</v>
      </c>
    </row>
    <row r="14" spans="1:20" x14ac:dyDescent="0.4">
      <c r="A14" s="4" t="s">
        <v>25</v>
      </c>
      <c r="B14" s="4" t="s">
        <v>3</v>
      </c>
      <c r="C14" s="4" t="s">
        <v>33</v>
      </c>
      <c r="D14" s="4" t="s">
        <v>77</v>
      </c>
      <c r="E14" s="4" t="s">
        <v>78</v>
      </c>
      <c r="F14" s="4" t="s">
        <v>27</v>
      </c>
      <c r="G14" s="4" t="s">
        <v>79</v>
      </c>
      <c r="H14" s="4">
        <v>75</v>
      </c>
      <c r="I14" s="4" t="s">
        <v>28</v>
      </c>
      <c r="J14" s="4" t="s">
        <v>30</v>
      </c>
      <c r="K14" s="4">
        <v>100</v>
      </c>
      <c r="L14" s="4">
        <v>100</v>
      </c>
      <c r="M14" s="4">
        <v>100</v>
      </c>
      <c r="N14" s="4">
        <v>1</v>
      </c>
      <c r="O14" s="4">
        <v>100</v>
      </c>
      <c r="P14" s="4">
        <v>100</v>
      </c>
      <c r="Q14" s="4">
        <v>70</v>
      </c>
      <c r="R14" s="8">
        <v>70</v>
      </c>
      <c r="S14" s="16" t="s">
        <v>218</v>
      </c>
      <c r="T14" s="16" t="s">
        <v>218</v>
      </c>
    </row>
    <row r="15" spans="1:20" x14ac:dyDescent="0.4">
      <c r="A15" s="4" t="s">
        <v>25</v>
      </c>
      <c r="B15" s="4" t="s">
        <v>3</v>
      </c>
      <c r="C15" s="4" t="s">
        <v>33</v>
      </c>
      <c r="D15" s="4" t="s">
        <v>80</v>
      </c>
      <c r="E15" s="4" t="s">
        <v>81</v>
      </c>
      <c r="F15" s="4" t="s">
        <v>27</v>
      </c>
      <c r="G15" s="4" t="s">
        <v>79</v>
      </c>
      <c r="H15" s="4">
        <v>47</v>
      </c>
      <c r="I15" s="4" t="s">
        <v>28</v>
      </c>
      <c r="J15" s="4" t="s">
        <v>30</v>
      </c>
      <c r="K15" s="4">
        <v>100</v>
      </c>
      <c r="L15" s="4">
        <v>100</v>
      </c>
      <c r="M15" s="4">
        <v>4400</v>
      </c>
      <c r="N15" s="4">
        <v>44</v>
      </c>
      <c r="O15" s="4">
        <v>4400</v>
      </c>
      <c r="P15" s="4">
        <v>4400</v>
      </c>
      <c r="Q15" s="4">
        <v>70</v>
      </c>
      <c r="R15" s="8">
        <v>3080</v>
      </c>
      <c r="S15" s="16" t="s">
        <v>218</v>
      </c>
      <c r="T15" s="16" t="s">
        <v>218</v>
      </c>
    </row>
    <row r="16" spans="1:20" x14ac:dyDescent="0.4">
      <c r="A16" s="4" t="s">
        <v>25</v>
      </c>
      <c r="B16" s="4" t="s">
        <v>3</v>
      </c>
      <c r="C16" s="4" t="s">
        <v>33</v>
      </c>
      <c r="D16" s="4" t="s">
        <v>163</v>
      </c>
      <c r="E16" s="4" t="s">
        <v>164</v>
      </c>
      <c r="F16" s="4" t="s">
        <v>27</v>
      </c>
      <c r="G16" s="4" t="s">
        <v>165</v>
      </c>
      <c r="H16" s="4">
        <v>108</v>
      </c>
      <c r="I16" s="4" t="s">
        <v>28</v>
      </c>
      <c r="J16" s="4" t="s">
        <v>30</v>
      </c>
      <c r="K16" s="4">
        <v>100</v>
      </c>
      <c r="L16" s="4">
        <v>100</v>
      </c>
      <c r="M16" s="4">
        <v>300</v>
      </c>
      <c r="N16" s="4">
        <v>3</v>
      </c>
      <c r="O16" s="4">
        <v>300</v>
      </c>
      <c r="P16" s="4">
        <v>300</v>
      </c>
      <c r="Q16" s="4">
        <v>70</v>
      </c>
      <c r="R16" s="8">
        <v>210</v>
      </c>
      <c r="S16" s="16" t="s">
        <v>218</v>
      </c>
      <c r="T16" s="16" t="s">
        <v>218</v>
      </c>
    </row>
    <row r="17" spans="1:20" x14ac:dyDescent="0.4">
      <c r="A17" s="4" t="s">
        <v>25</v>
      </c>
      <c r="B17" s="4" t="s">
        <v>3</v>
      </c>
      <c r="C17" s="4" t="s">
        <v>33</v>
      </c>
      <c r="D17" s="4" t="s">
        <v>108</v>
      </c>
      <c r="E17" s="4" t="s">
        <v>109</v>
      </c>
      <c r="F17" s="4" t="s">
        <v>32</v>
      </c>
      <c r="G17" s="4" t="s">
        <v>110</v>
      </c>
      <c r="H17" s="4">
        <v>70</v>
      </c>
      <c r="I17" s="4" t="s">
        <v>28</v>
      </c>
      <c r="J17" s="4" t="s">
        <v>30</v>
      </c>
      <c r="K17" s="4">
        <v>100</v>
      </c>
      <c r="L17" s="4">
        <v>100</v>
      </c>
      <c r="M17" s="4">
        <v>1400</v>
      </c>
      <c r="N17" s="4">
        <v>14</v>
      </c>
      <c r="O17" s="4">
        <v>1400</v>
      </c>
      <c r="P17" s="4">
        <v>1400</v>
      </c>
      <c r="Q17" s="4">
        <v>70</v>
      </c>
      <c r="R17" s="8">
        <v>980</v>
      </c>
      <c r="S17" s="16" t="s">
        <v>218</v>
      </c>
      <c r="T17" s="16" t="s">
        <v>218</v>
      </c>
    </row>
    <row r="18" spans="1:20" x14ac:dyDescent="0.4">
      <c r="A18" s="4" t="s">
        <v>25</v>
      </c>
      <c r="B18" s="4" t="s">
        <v>3</v>
      </c>
      <c r="C18" s="4" t="s">
        <v>33</v>
      </c>
      <c r="D18" s="4" t="s">
        <v>108</v>
      </c>
      <c r="E18" s="4" t="s">
        <v>109</v>
      </c>
      <c r="F18" s="4" t="s">
        <v>27</v>
      </c>
      <c r="G18" s="4" t="s">
        <v>110</v>
      </c>
      <c r="H18" s="4">
        <v>70</v>
      </c>
      <c r="I18" s="4" t="s">
        <v>28</v>
      </c>
      <c r="J18" s="4" t="s">
        <v>30</v>
      </c>
      <c r="K18" s="4">
        <v>100</v>
      </c>
      <c r="L18" s="4">
        <v>100</v>
      </c>
      <c r="M18" s="4">
        <v>600</v>
      </c>
      <c r="N18" s="4">
        <v>6</v>
      </c>
      <c r="O18" s="4">
        <v>600</v>
      </c>
      <c r="P18" s="4">
        <v>600</v>
      </c>
      <c r="Q18" s="4">
        <v>70</v>
      </c>
      <c r="R18" s="8">
        <v>420</v>
      </c>
      <c r="S18" s="16" t="s">
        <v>218</v>
      </c>
      <c r="T18" s="16" t="s">
        <v>218</v>
      </c>
    </row>
    <row r="19" spans="1:20" x14ac:dyDescent="0.4">
      <c r="A19" s="4" t="s">
        <v>25</v>
      </c>
      <c r="B19" s="4" t="s">
        <v>3</v>
      </c>
      <c r="C19" s="4" t="s">
        <v>33</v>
      </c>
      <c r="D19" s="4" t="s">
        <v>108</v>
      </c>
      <c r="E19" s="4" t="s">
        <v>109</v>
      </c>
      <c r="F19" s="4" t="s">
        <v>27</v>
      </c>
      <c r="G19" s="4" t="s">
        <v>110</v>
      </c>
      <c r="H19" s="4">
        <v>70</v>
      </c>
      <c r="I19" s="4" t="s">
        <v>28</v>
      </c>
      <c r="J19" s="4" t="s">
        <v>30</v>
      </c>
      <c r="K19" s="4">
        <v>100</v>
      </c>
      <c r="L19" s="4">
        <v>100</v>
      </c>
      <c r="M19" s="4">
        <v>600</v>
      </c>
      <c r="N19" s="4">
        <v>6</v>
      </c>
      <c r="O19" s="4">
        <v>600</v>
      </c>
      <c r="P19" s="4">
        <v>600</v>
      </c>
      <c r="Q19" s="4">
        <v>70</v>
      </c>
      <c r="R19" s="8">
        <v>420</v>
      </c>
      <c r="S19" s="16" t="s">
        <v>218</v>
      </c>
      <c r="T19" s="16" t="s">
        <v>218</v>
      </c>
    </row>
    <row r="20" spans="1:20" x14ac:dyDescent="0.4">
      <c r="A20" s="4" t="s">
        <v>25</v>
      </c>
      <c r="B20" s="4" t="s">
        <v>3</v>
      </c>
      <c r="C20" s="4" t="s">
        <v>33</v>
      </c>
      <c r="D20" s="4" t="s">
        <v>111</v>
      </c>
      <c r="E20" s="4" t="s">
        <v>112</v>
      </c>
      <c r="F20" s="4" t="s">
        <v>34</v>
      </c>
      <c r="G20" s="4" t="s">
        <v>70</v>
      </c>
      <c r="H20" s="4">
        <v>93</v>
      </c>
      <c r="I20" s="4" t="s">
        <v>28</v>
      </c>
      <c r="J20" s="4" t="s">
        <v>30</v>
      </c>
      <c r="K20" s="4">
        <v>100</v>
      </c>
      <c r="L20" s="4">
        <v>100</v>
      </c>
      <c r="M20" s="4">
        <v>2200</v>
      </c>
      <c r="N20" s="4">
        <v>22</v>
      </c>
      <c r="O20" s="4">
        <v>2200</v>
      </c>
      <c r="P20" s="4">
        <v>2200</v>
      </c>
      <c r="Q20" s="4">
        <v>70</v>
      </c>
      <c r="R20" s="8">
        <v>1540</v>
      </c>
      <c r="S20" s="16" t="s">
        <v>218</v>
      </c>
      <c r="T20" s="16" t="s">
        <v>218</v>
      </c>
    </row>
    <row r="21" spans="1:20" x14ac:dyDescent="0.4">
      <c r="A21" s="4" t="s">
        <v>25</v>
      </c>
      <c r="B21" s="4" t="s">
        <v>3</v>
      </c>
      <c r="C21" s="4" t="s">
        <v>33</v>
      </c>
      <c r="D21" s="4" t="s">
        <v>111</v>
      </c>
      <c r="E21" s="4" t="s">
        <v>112</v>
      </c>
      <c r="F21" s="4" t="s">
        <v>27</v>
      </c>
      <c r="G21" s="4" t="s">
        <v>70</v>
      </c>
      <c r="H21" s="4">
        <v>93</v>
      </c>
      <c r="I21" s="4" t="s">
        <v>28</v>
      </c>
      <c r="J21" s="4" t="s">
        <v>30</v>
      </c>
      <c r="K21" s="4">
        <v>100</v>
      </c>
      <c r="L21" s="4">
        <v>100</v>
      </c>
      <c r="M21" s="4">
        <v>2400</v>
      </c>
      <c r="N21" s="4">
        <v>24</v>
      </c>
      <c r="O21" s="4">
        <v>2400</v>
      </c>
      <c r="P21" s="4">
        <v>2400</v>
      </c>
      <c r="Q21" s="4">
        <v>70</v>
      </c>
      <c r="R21" s="8">
        <v>1680</v>
      </c>
      <c r="S21" s="16" t="s">
        <v>218</v>
      </c>
      <c r="T21" s="16" t="s">
        <v>218</v>
      </c>
    </row>
    <row r="22" spans="1:20" x14ac:dyDescent="0.4">
      <c r="A22" s="4" t="s">
        <v>25</v>
      </c>
      <c r="B22" s="4" t="s">
        <v>3</v>
      </c>
      <c r="C22" s="4" t="s">
        <v>33</v>
      </c>
      <c r="D22" s="4" t="s">
        <v>111</v>
      </c>
      <c r="E22" s="4" t="s">
        <v>112</v>
      </c>
      <c r="F22" s="4" t="s">
        <v>27</v>
      </c>
      <c r="G22" s="4" t="s">
        <v>70</v>
      </c>
      <c r="H22" s="4">
        <v>93</v>
      </c>
      <c r="I22" s="4" t="s">
        <v>28</v>
      </c>
      <c r="J22" s="4" t="s">
        <v>30</v>
      </c>
      <c r="K22" s="4">
        <v>100</v>
      </c>
      <c r="L22" s="4">
        <v>100</v>
      </c>
      <c r="M22" s="4">
        <v>5000</v>
      </c>
      <c r="N22" s="4">
        <v>50</v>
      </c>
      <c r="O22" s="4">
        <v>5000</v>
      </c>
      <c r="P22" s="4">
        <v>5000</v>
      </c>
      <c r="Q22" s="4">
        <v>70</v>
      </c>
      <c r="R22" s="8">
        <v>3500</v>
      </c>
      <c r="S22" s="16" t="s">
        <v>218</v>
      </c>
      <c r="T22" s="16" t="s">
        <v>218</v>
      </c>
    </row>
    <row r="23" spans="1:20" x14ac:dyDescent="0.4">
      <c r="A23" s="4" t="s">
        <v>25</v>
      </c>
      <c r="B23" s="4" t="s">
        <v>3</v>
      </c>
      <c r="C23" s="4" t="s">
        <v>33</v>
      </c>
      <c r="D23" s="4" t="s">
        <v>113</v>
      </c>
      <c r="E23" s="4" t="s">
        <v>114</v>
      </c>
      <c r="F23" s="4" t="s">
        <v>32</v>
      </c>
      <c r="G23" s="4" t="s">
        <v>48</v>
      </c>
      <c r="H23" s="4">
        <v>99</v>
      </c>
      <c r="I23" s="4" t="s">
        <v>28</v>
      </c>
      <c r="J23" s="4" t="s">
        <v>30</v>
      </c>
      <c r="K23" s="4">
        <v>100</v>
      </c>
      <c r="L23" s="4">
        <v>100</v>
      </c>
      <c r="M23" s="4">
        <v>8700</v>
      </c>
      <c r="N23" s="4">
        <v>87</v>
      </c>
      <c r="O23" s="4">
        <v>8700</v>
      </c>
      <c r="P23" s="4">
        <v>8700</v>
      </c>
      <c r="Q23" s="4">
        <v>70</v>
      </c>
      <c r="R23" s="8">
        <v>6090</v>
      </c>
      <c r="S23" s="16" t="s">
        <v>218</v>
      </c>
      <c r="T23" s="16" t="s">
        <v>218</v>
      </c>
    </row>
    <row r="24" spans="1:20" x14ac:dyDescent="0.4">
      <c r="A24" s="4" t="s">
        <v>25</v>
      </c>
      <c r="B24" s="4" t="s">
        <v>3</v>
      </c>
      <c r="C24" s="4" t="s">
        <v>33</v>
      </c>
      <c r="D24" s="4" t="s">
        <v>115</v>
      </c>
      <c r="E24" s="4" t="s">
        <v>116</v>
      </c>
      <c r="F24" s="4" t="s">
        <v>34</v>
      </c>
      <c r="G24" s="4" t="s">
        <v>117</v>
      </c>
      <c r="H24" s="4">
        <v>139</v>
      </c>
      <c r="I24" s="4" t="s">
        <v>28</v>
      </c>
      <c r="J24" s="4" t="s">
        <v>30</v>
      </c>
      <c r="K24" s="4">
        <v>100</v>
      </c>
      <c r="L24" s="4">
        <v>100</v>
      </c>
      <c r="M24" s="4">
        <v>13600</v>
      </c>
      <c r="N24" s="4">
        <v>136</v>
      </c>
      <c r="O24" s="4">
        <v>13600</v>
      </c>
      <c r="P24" s="4">
        <v>13600</v>
      </c>
      <c r="Q24" s="4">
        <v>70</v>
      </c>
      <c r="R24" s="8">
        <v>9520</v>
      </c>
      <c r="S24" s="16" t="s">
        <v>218</v>
      </c>
      <c r="T24" s="16" t="s">
        <v>218</v>
      </c>
    </row>
    <row r="25" spans="1:20" x14ac:dyDescent="0.4">
      <c r="A25" s="4" t="s">
        <v>25</v>
      </c>
      <c r="B25" s="4" t="s">
        <v>3</v>
      </c>
      <c r="C25" s="4" t="s">
        <v>33</v>
      </c>
      <c r="D25" s="4" t="s">
        <v>115</v>
      </c>
      <c r="E25" s="4" t="s">
        <v>116</v>
      </c>
      <c r="F25" s="4" t="s">
        <v>27</v>
      </c>
      <c r="G25" s="4" t="s">
        <v>117</v>
      </c>
      <c r="H25" s="4">
        <v>139</v>
      </c>
      <c r="I25" s="4" t="s">
        <v>28</v>
      </c>
      <c r="J25" s="4" t="s">
        <v>30</v>
      </c>
      <c r="K25" s="4">
        <v>100</v>
      </c>
      <c r="L25" s="4">
        <v>100</v>
      </c>
      <c r="M25" s="4">
        <v>500</v>
      </c>
      <c r="N25" s="4">
        <v>5</v>
      </c>
      <c r="O25" s="4">
        <v>500</v>
      </c>
      <c r="P25" s="4">
        <v>500</v>
      </c>
      <c r="Q25" s="4">
        <v>70</v>
      </c>
      <c r="R25" s="8">
        <v>350</v>
      </c>
      <c r="S25" s="16" t="s">
        <v>218</v>
      </c>
      <c r="T25" s="16" t="s">
        <v>218</v>
      </c>
    </row>
    <row r="26" spans="1:20" x14ac:dyDescent="0.4">
      <c r="A26" s="4" t="s">
        <v>25</v>
      </c>
      <c r="B26" s="4" t="s">
        <v>3</v>
      </c>
      <c r="C26" s="4" t="s">
        <v>26</v>
      </c>
      <c r="D26" s="4" t="s">
        <v>118</v>
      </c>
      <c r="E26" s="4" t="s">
        <v>119</v>
      </c>
      <c r="F26" s="4" t="s">
        <v>32</v>
      </c>
      <c r="G26" s="4" t="s">
        <v>120</v>
      </c>
      <c r="H26" s="4">
        <v>75</v>
      </c>
      <c r="I26" s="4" t="s">
        <v>28</v>
      </c>
      <c r="J26" s="4" t="s">
        <v>30</v>
      </c>
      <c r="K26" s="4">
        <v>100</v>
      </c>
      <c r="L26" s="4">
        <v>100</v>
      </c>
      <c r="M26" s="4">
        <v>900</v>
      </c>
      <c r="N26" s="4">
        <v>9</v>
      </c>
      <c r="O26" s="4">
        <v>900</v>
      </c>
      <c r="P26" s="4">
        <v>900</v>
      </c>
      <c r="Q26" s="4">
        <v>70</v>
      </c>
      <c r="R26" s="8">
        <v>630</v>
      </c>
      <c r="S26" s="16" t="s">
        <v>218</v>
      </c>
      <c r="T26" s="16" t="s">
        <v>218</v>
      </c>
    </row>
    <row r="27" spans="1:20" x14ac:dyDescent="0.4">
      <c r="A27" s="4" t="s">
        <v>25</v>
      </c>
      <c r="B27" s="4" t="s">
        <v>3</v>
      </c>
      <c r="C27" s="4" t="s">
        <v>183</v>
      </c>
      <c r="D27" s="4" t="s">
        <v>184</v>
      </c>
      <c r="E27" s="4" t="s">
        <v>185</v>
      </c>
      <c r="F27" s="4" t="s">
        <v>27</v>
      </c>
      <c r="G27" s="4" t="s">
        <v>186</v>
      </c>
      <c r="H27" s="4">
        <v>28</v>
      </c>
      <c r="I27" s="4" t="s">
        <v>28</v>
      </c>
      <c r="J27" s="4" t="s">
        <v>30</v>
      </c>
      <c r="K27" s="4">
        <v>100</v>
      </c>
      <c r="L27" s="4">
        <v>100</v>
      </c>
      <c r="M27" s="4">
        <v>300</v>
      </c>
      <c r="N27" s="4">
        <v>3</v>
      </c>
      <c r="O27" s="4">
        <v>300</v>
      </c>
      <c r="P27" s="4">
        <v>300</v>
      </c>
      <c r="Q27" s="4">
        <v>70</v>
      </c>
      <c r="R27" s="8">
        <v>210</v>
      </c>
      <c r="S27" s="16" t="s">
        <v>218</v>
      </c>
      <c r="T27" s="16" t="s">
        <v>218</v>
      </c>
    </row>
    <row r="28" spans="1:20" x14ac:dyDescent="0.4">
      <c r="A28" s="4" t="s">
        <v>25</v>
      </c>
      <c r="B28" s="4" t="s">
        <v>3</v>
      </c>
      <c r="C28" s="4" t="s">
        <v>183</v>
      </c>
      <c r="D28" s="4" t="s">
        <v>184</v>
      </c>
      <c r="E28" s="4" t="s">
        <v>185</v>
      </c>
      <c r="F28" s="4" t="s">
        <v>27</v>
      </c>
      <c r="G28" s="4" t="s">
        <v>186</v>
      </c>
      <c r="H28" s="4">
        <v>28</v>
      </c>
      <c r="I28" s="4" t="s">
        <v>28</v>
      </c>
      <c r="J28" s="4" t="s">
        <v>30</v>
      </c>
      <c r="K28" s="4">
        <v>100</v>
      </c>
      <c r="L28" s="4">
        <v>100</v>
      </c>
      <c r="M28" s="4">
        <v>8600</v>
      </c>
      <c r="N28" s="4">
        <v>86</v>
      </c>
      <c r="O28" s="4">
        <v>8600</v>
      </c>
      <c r="P28" s="4">
        <v>8600</v>
      </c>
      <c r="Q28" s="4">
        <v>70</v>
      </c>
      <c r="R28" s="8">
        <v>6020</v>
      </c>
      <c r="S28" s="16" t="s">
        <v>218</v>
      </c>
      <c r="T28" s="16" t="s">
        <v>218</v>
      </c>
    </row>
    <row r="29" spans="1:20" x14ac:dyDescent="0.4">
      <c r="A29" s="4" t="s">
        <v>25</v>
      </c>
      <c r="B29" s="4" t="s">
        <v>3</v>
      </c>
      <c r="C29" s="4" t="s">
        <v>183</v>
      </c>
      <c r="D29" s="4" t="s">
        <v>184</v>
      </c>
      <c r="E29" s="4" t="s">
        <v>185</v>
      </c>
      <c r="F29" s="4" t="s">
        <v>32</v>
      </c>
      <c r="G29" s="4" t="s">
        <v>186</v>
      </c>
      <c r="H29" s="4">
        <v>28</v>
      </c>
      <c r="I29" s="4" t="s">
        <v>28</v>
      </c>
      <c r="J29" s="4" t="s">
        <v>30</v>
      </c>
      <c r="K29" s="4">
        <v>100</v>
      </c>
      <c r="L29" s="4">
        <v>100</v>
      </c>
      <c r="M29" s="4">
        <v>1700</v>
      </c>
      <c r="N29" s="4">
        <v>17</v>
      </c>
      <c r="O29" s="4">
        <v>1700</v>
      </c>
      <c r="P29" s="4">
        <v>1700</v>
      </c>
      <c r="Q29" s="4">
        <v>70</v>
      </c>
      <c r="R29" s="8">
        <v>1190</v>
      </c>
      <c r="S29" s="16" t="s">
        <v>218</v>
      </c>
      <c r="T29" s="16" t="s">
        <v>218</v>
      </c>
    </row>
    <row r="30" spans="1:20" x14ac:dyDescent="0.4">
      <c r="A30" s="4" t="s">
        <v>25</v>
      </c>
      <c r="B30" s="4" t="s">
        <v>3</v>
      </c>
      <c r="C30" s="4" t="s">
        <v>26</v>
      </c>
      <c r="D30" s="4" t="s">
        <v>187</v>
      </c>
      <c r="E30" s="4" t="s">
        <v>188</v>
      </c>
      <c r="F30" s="4" t="s">
        <v>27</v>
      </c>
      <c r="G30" s="4" t="s">
        <v>120</v>
      </c>
      <c r="H30" s="4">
        <v>66</v>
      </c>
      <c r="I30" s="4" t="s">
        <v>28</v>
      </c>
      <c r="J30" s="4" t="s">
        <v>30</v>
      </c>
      <c r="K30" s="4">
        <v>100</v>
      </c>
      <c r="L30" s="4">
        <v>100</v>
      </c>
      <c r="M30" s="4">
        <v>400</v>
      </c>
      <c r="N30" s="4">
        <v>4</v>
      </c>
      <c r="O30" s="4">
        <v>400</v>
      </c>
      <c r="P30" s="4">
        <v>400</v>
      </c>
      <c r="Q30" s="4">
        <v>70</v>
      </c>
      <c r="R30" s="8">
        <v>280</v>
      </c>
      <c r="S30" s="16" t="s">
        <v>218</v>
      </c>
      <c r="T30" s="16" t="s">
        <v>218</v>
      </c>
    </row>
    <row r="31" spans="1:20" x14ac:dyDescent="0.4">
      <c r="A31" s="4" t="s">
        <v>25</v>
      </c>
      <c r="B31" s="4" t="s">
        <v>3</v>
      </c>
      <c r="C31" s="4" t="s">
        <v>26</v>
      </c>
      <c r="D31" s="4" t="s">
        <v>189</v>
      </c>
      <c r="E31" s="4" t="s">
        <v>190</v>
      </c>
      <c r="F31" s="4" t="s">
        <v>27</v>
      </c>
      <c r="G31" s="4" t="s">
        <v>191</v>
      </c>
      <c r="H31" s="4">
        <v>33</v>
      </c>
      <c r="I31" s="4" t="s">
        <v>28</v>
      </c>
      <c r="J31" s="4" t="s">
        <v>30</v>
      </c>
      <c r="K31" s="4">
        <v>100</v>
      </c>
      <c r="L31" s="4">
        <v>100</v>
      </c>
      <c r="M31" s="4">
        <v>1200</v>
      </c>
      <c r="N31" s="4">
        <v>12</v>
      </c>
      <c r="O31" s="4">
        <v>1200</v>
      </c>
      <c r="P31" s="4">
        <v>1200</v>
      </c>
      <c r="Q31" s="4">
        <v>70</v>
      </c>
      <c r="R31" s="8">
        <v>840</v>
      </c>
      <c r="S31" s="16" t="s">
        <v>218</v>
      </c>
      <c r="T31" s="16" t="s">
        <v>218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T4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3.5" bestFit="1" customWidth="1"/>
    <col min="6" max="6" width="9.59765625" bestFit="1" customWidth="1"/>
    <col min="7" max="7" width="10.39843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20" width="10.398437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26</v>
      </c>
      <c r="D2" s="4" t="s">
        <v>102</v>
      </c>
      <c r="E2" s="4" t="s">
        <v>103</v>
      </c>
      <c r="F2" s="4" t="s">
        <v>34</v>
      </c>
      <c r="G2" s="4" t="s">
        <v>104</v>
      </c>
      <c r="H2" s="4">
        <v>169</v>
      </c>
      <c r="I2" s="4" t="s">
        <v>28</v>
      </c>
      <c r="J2" s="4" t="s">
        <v>30</v>
      </c>
      <c r="K2" s="4">
        <v>100</v>
      </c>
      <c r="L2" s="4">
        <v>100</v>
      </c>
      <c r="M2" s="4">
        <v>1400</v>
      </c>
      <c r="N2" s="4">
        <v>14</v>
      </c>
      <c r="O2" s="4">
        <v>1400</v>
      </c>
      <c r="P2" s="4">
        <v>1400</v>
      </c>
      <c r="Q2" s="4">
        <v>70</v>
      </c>
      <c r="R2" s="8">
        <v>980</v>
      </c>
      <c r="S2" s="16" t="s">
        <v>222</v>
      </c>
      <c r="T2" s="16" t="s">
        <v>104</v>
      </c>
    </row>
    <row r="3" spans="1:20" x14ac:dyDescent="0.4">
      <c r="A3" s="4" t="s">
        <v>25</v>
      </c>
      <c r="B3" s="4" t="s">
        <v>0</v>
      </c>
      <c r="C3" s="4" t="s">
        <v>26</v>
      </c>
      <c r="D3" s="4" t="s">
        <v>102</v>
      </c>
      <c r="E3" s="4" t="s">
        <v>103</v>
      </c>
      <c r="F3" s="4" t="s">
        <v>32</v>
      </c>
      <c r="G3" s="4" t="s">
        <v>104</v>
      </c>
      <c r="H3" s="4">
        <v>169</v>
      </c>
      <c r="I3" s="4" t="s">
        <v>28</v>
      </c>
      <c r="J3" s="4" t="s">
        <v>30</v>
      </c>
      <c r="K3" s="4">
        <v>100</v>
      </c>
      <c r="L3" s="4">
        <v>100</v>
      </c>
      <c r="M3" s="4">
        <v>100</v>
      </c>
      <c r="N3" s="4">
        <v>1</v>
      </c>
      <c r="O3" s="4">
        <v>100</v>
      </c>
      <c r="P3" s="4">
        <v>100</v>
      </c>
      <c r="Q3" s="4">
        <v>70</v>
      </c>
      <c r="R3" s="8">
        <v>70</v>
      </c>
      <c r="S3" s="16" t="s">
        <v>222</v>
      </c>
      <c r="T3" s="16" t="s">
        <v>104</v>
      </c>
    </row>
    <row r="4" spans="1:20" x14ac:dyDescent="0.4">
      <c r="A4" s="4" t="s">
        <v>25</v>
      </c>
      <c r="B4" s="4" t="s">
        <v>0</v>
      </c>
      <c r="C4" s="4" t="s">
        <v>26</v>
      </c>
      <c r="D4" s="4" t="s">
        <v>102</v>
      </c>
      <c r="E4" s="4" t="s">
        <v>103</v>
      </c>
      <c r="F4" s="4" t="s">
        <v>27</v>
      </c>
      <c r="G4" s="4" t="s">
        <v>104</v>
      </c>
      <c r="H4" s="4">
        <v>169</v>
      </c>
      <c r="I4" s="4" t="s">
        <v>28</v>
      </c>
      <c r="J4" s="4" t="s">
        <v>30</v>
      </c>
      <c r="K4" s="4">
        <v>100</v>
      </c>
      <c r="L4" s="4">
        <v>100</v>
      </c>
      <c r="M4" s="4">
        <v>2000</v>
      </c>
      <c r="N4" s="4">
        <v>20</v>
      </c>
      <c r="O4" s="4">
        <v>2000</v>
      </c>
      <c r="P4" s="4">
        <v>2000</v>
      </c>
      <c r="Q4" s="4">
        <v>70</v>
      </c>
      <c r="R4" s="8">
        <v>1400</v>
      </c>
      <c r="S4" s="16" t="s">
        <v>222</v>
      </c>
      <c r="T4" s="16" t="s">
        <v>104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1.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31</v>
      </c>
      <c r="D2" s="4" t="s">
        <v>105</v>
      </c>
      <c r="E2" s="4" t="s">
        <v>106</v>
      </c>
      <c r="F2" s="4" t="s">
        <v>27</v>
      </c>
      <c r="G2" s="4" t="s">
        <v>107</v>
      </c>
      <c r="H2" s="4">
        <v>200</v>
      </c>
      <c r="I2" s="4" t="s">
        <v>28</v>
      </c>
      <c r="J2" s="4" t="s">
        <v>30</v>
      </c>
      <c r="K2" s="4">
        <v>100</v>
      </c>
      <c r="L2" s="4">
        <v>100</v>
      </c>
      <c r="M2" s="4">
        <v>7900</v>
      </c>
      <c r="N2" s="4">
        <v>79</v>
      </c>
      <c r="O2" s="4">
        <v>7900</v>
      </c>
      <c r="P2" s="4">
        <v>7900</v>
      </c>
      <c r="Q2" s="4">
        <v>70</v>
      </c>
      <c r="R2" s="8">
        <v>5530</v>
      </c>
      <c r="S2" s="16" t="s">
        <v>222</v>
      </c>
      <c r="T2" s="16" t="s">
        <v>107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T3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0.796875" bestFit="1" customWidth="1"/>
    <col min="6" max="6" width="9.59765625" bestFit="1" customWidth="1"/>
    <col min="7" max="7" width="8.5976562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8.5976562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31</v>
      </c>
      <c r="D2" s="4" t="s">
        <v>121</v>
      </c>
      <c r="E2" s="4" t="s">
        <v>122</v>
      </c>
      <c r="F2" s="4" t="s">
        <v>34</v>
      </c>
      <c r="G2" s="4" t="s">
        <v>123</v>
      </c>
      <c r="H2" s="4">
        <v>200</v>
      </c>
      <c r="I2" s="4" t="s">
        <v>28</v>
      </c>
      <c r="J2" s="4" t="s">
        <v>30</v>
      </c>
      <c r="K2" s="4">
        <v>100</v>
      </c>
      <c r="L2" s="4">
        <v>100</v>
      </c>
      <c r="M2" s="4">
        <v>1200</v>
      </c>
      <c r="N2" s="4">
        <v>12</v>
      </c>
      <c r="O2" s="4">
        <v>1200</v>
      </c>
      <c r="P2" s="4">
        <v>1200</v>
      </c>
      <c r="Q2" s="4">
        <v>70</v>
      </c>
      <c r="R2" s="8">
        <v>840</v>
      </c>
      <c r="S2" s="16" t="s">
        <v>222</v>
      </c>
      <c r="T2" s="16" t="s">
        <v>123</v>
      </c>
    </row>
    <row r="3" spans="1:20" x14ac:dyDescent="0.4">
      <c r="A3" s="4" t="s">
        <v>25</v>
      </c>
      <c r="B3" s="4" t="s">
        <v>0</v>
      </c>
      <c r="C3" s="4" t="s">
        <v>31</v>
      </c>
      <c r="D3" s="4" t="s">
        <v>121</v>
      </c>
      <c r="E3" s="4" t="s">
        <v>122</v>
      </c>
      <c r="F3" s="4" t="s">
        <v>27</v>
      </c>
      <c r="G3" s="4" t="s">
        <v>123</v>
      </c>
      <c r="H3" s="4">
        <v>200</v>
      </c>
      <c r="I3" s="4" t="s">
        <v>28</v>
      </c>
      <c r="J3" s="4" t="s">
        <v>30</v>
      </c>
      <c r="K3" s="4">
        <v>100</v>
      </c>
      <c r="L3" s="4">
        <v>100</v>
      </c>
      <c r="M3" s="4">
        <v>4000</v>
      </c>
      <c r="N3" s="4">
        <v>40</v>
      </c>
      <c r="O3" s="4">
        <v>4000</v>
      </c>
      <c r="P3" s="4">
        <v>4000</v>
      </c>
      <c r="Q3" s="4">
        <v>70</v>
      </c>
      <c r="R3" s="8">
        <v>2800</v>
      </c>
      <c r="S3" s="16" t="s">
        <v>222</v>
      </c>
      <c r="T3" s="16" t="s">
        <v>123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T4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3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26</v>
      </c>
      <c r="D2" s="4" t="s">
        <v>166</v>
      </c>
      <c r="E2" s="4" t="s">
        <v>167</v>
      </c>
      <c r="F2" s="4" t="s">
        <v>34</v>
      </c>
      <c r="G2" s="4" t="s">
        <v>98</v>
      </c>
      <c r="H2" s="4">
        <v>87</v>
      </c>
      <c r="I2" s="4" t="s">
        <v>28</v>
      </c>
      <c r="J2" s="4" t="s">
        <v>30</v>
      </c>
      <c r="K2" s="4">
        <v>100</v>
      </c>
      <c r="L2" s="4">
        <v>100</v>
      </c>
      <c r="M2" s="4">
        <v>15200</v>
      </c>
      <c r="N2" s="4">
        <v>152</v>
      </c>
      <c r="O2" s="4">
        <v>15200</v>
      </c>
      <c r="P2" s="4">
        <v>15200</v>
      </c>
      <c r="Q2" s="4">
        <v>70</v>
      </c>
      <c r="R2" s="8">
        <v>10640</v>
      </c>
      <c r="S2" s="16" t="s">
        <v>222</v>
      </c>
      <c r="T2" s="16" t="s">
        <v>98</v>
      </c>
    </row>
    <row r="3" spans="1:20" x14ac:dyDescent="0.4">
      <c r="A3" s="4" t="s">
        <v>25</v>
      </c>
      <c r="B3" s="4" t="s">
        <v>3</v>
      </c>
      <c r="C3" s="4" t="s">
        <v>26</v>
      </c>
      <c r="D3" s="4" t="s">
        <v>166</v>
      </c>
      <c r="E3" s="4" t="s">
        <v>167</v>
      </c>
      <c r="F3" s="4" t="s">
        <v>27</v>
      </c>
      <c r="G3" s="4" t="s">
        <v>98</v>
      </c>
      <c r="H3" s="4">
        <v>87</v>
      </c>
      <c r="I3" s="4" t="s">
        <v>28</v>
      </c>
      <c r="J3" s="4" t="s">
        <v>30</v>
      </c>
      <c r="K3" s="4">
        <v>100</v>
      </c>
      <c r="L3" s="4">
        <v>100</v>
      </c>
      <c r="M3" s="4">
        <v>4600</v>
      </c>
      <c r="N3" s="4">
        <v>46</v>
      </c>
      <c r="O3" s="4">
        <v>4600</v>
      </c>
      <c r="P3" s="4">
        <v>4600</v>
      </c>
      <c r="Q3" s="4">
        <v>70</v>
      </c>
      <c r="R3" s="8">
        <v>3220</v>
      </c>
      <c r="S3" s="16" t="s">
        <v>222</v>
      </c>
      <c r="T3" s="16" t="s">
        <v>98</v>
      </c>
    </row>
    <row r="4" spans="1:20" x14ac:dyDescent="0.4">
      <c r="A4" s="4" t="s">
        <v>25</v>
      </c>
      <c r="B4" s="4" t="s">
        <v>3</v>
      </c>
      <c r="C4" s="4" t="s">
        <v>26</v>
      </c>
      <c r="D4" s="4" t="s">
        <v>166</v>
      </c>
      <c r="E4" s="4" t="s">
        <v>167</v>
      </c>
      <c r="F4" s="4" t="s">
        <v>27</v>
      </c>
      <c r="G4" s="4" t="s">
        <v>98</v>
      </c>
      <c r="H4" s="4">
        <v>87</v>
      </c>
      <c r="I4" s="4" t="s">
        <v>28</v>
      </c>
      <c r="J4" s="4" t="s">
        <v>30</v>
      </c>
      <c r="K4" s="4">
        <v>100</v>
      </c>
      <c r="L4" s="4">
        <v>100</v>
      </c>
      <c r="M4" s="4">
        <v>15100</v>
      </c>
      <c r="N4" s="4">
        <v>151</v>
      </c>
      <c r="O4" s="4">
        <v>15100</v>
      </c>
      <c r="P4" s="4">
        <v>15100</v>
      </c>
      <c r="Q4" s="4">
        <v>70</v>
      </c>
      <c r="R4" s="8">
        <v>10570</v>
      </c>
      <c r="S4" s="16" t="s">
        <v>222</v>
      </c>
      <c r="T4" s="16" t="s">
        <v>98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T9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.398437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0</v>
      </c>
      <c r="C2" s="4" t="s">
        <v>31</v>
      </c>
      <c r="D2" s="4" t="s">
        <v>168</v>
      </c>
      <c r="E2" s="4" t="s">
        <v>169</v>
      </c>
      <c r="F2" s="4" t="s">
        <v>34</v>
      </c>
      <c r="G2" s="4" t="s">
        <v>170</v>
      </c>
      <c r="H2" s="4">
        <v>201</v>
      </c>
      <c r="I2" s="4" t="s">
        <v>28</v>
      </c>
      <c r="J2" s="4" t="s">
        <v>29</v>
      </c>
      <c r="K2" s="4">
        <v>100</v>
      </c>
      <c r="L2" s="4">
        <v>100</v>
      </c>
      <c r="M2" s="4">
        <v>3400</v>
      </c>
      <c r="N2" s="4">
        <v>34</v>
      </c>
      <c r="O2" s="4">
        <v>3400</v>
      </c>
      <c r="P2" s="4">
        <v>3400</v>
      </c>
      <c r="Q2" s="4">
        <v>70</v>
      </c>
      <c r="R2" s="8">
        <v>2380</v>
      </c>
      <c r="S2" s="16" t="s">
        <v>222</v>
      </c>
      <c r="T2" s="16" t="s">
        <v>170</v>
      </c>
    </row>
    <row r="3" spans="1:20" x14ac:dyDescent="0.4">
      <c r="A3" s="4" t="s">
        <v>25</v>
      </c>
      <c r="B3" s="4" t="s">
        <v>0</v>
      </c>
      <c r="C3" s="4" t="s">
        <v>31</v>
      </c>
      <c r="D3" s="4" t="s">
        <v>168</v>
      </c>
      <c r="E3" s="4" t="s">
        <v>169</v>
      </c>
      <c r="F3" s="4" t="s">
        <v>34</v>
      </c>
      <c r="G3" s="4" t="s">
        <v>170</v>
      </c>
      <c r="H3" s="4">
        <v>201</v>
      </c>
      <c r="I3" s="4" t="s">
        <v>28</v>
      </c>
      <c r="J3" s="4" t="s">
        <v>30</v>
      </c>
      <c r="K3" s="4">
        <v>100</v>
      </c>
      <c r="L3" s="4">
        <v>100</v>
      </c>
      <c r="M3" s="4">
        <v>29900</v>
      </c>
      <c r="N3" s="4">
        <v>299</v>
      </c>
      <c r="O3" s="4">
        <v>29900</v>
      </c>
      <c r="P3" s="4">
        <v>29900</v>
      </c>
      <c r="Q3" s="4">
        <v>70</v>
      </c>
      <c r="R3" s="8">
        <v>20930</v>
      </c>
      <c r="S3" s="16" t="s">
        <v>222</v>
      </c>
      <c r="T3" s="16" t="s">
        <v>170</v>
      </c>
    </row>
    <row r="4" spans="1:20" x14ac:dyDescent="0.4">
      <c r="A4" s="4" t="s">
        <v>25</v>
      </c>
      <c r="B4" s="4" t="s">
        <v>0</v>
      </c>
      <c r="C4" s="4" t="s">
        <v>31</v>
      </c>
      <c r="D4" s="4" t="s">
        <v>168</v>
      </c>
      <c r="E4" s="4" t="s">
        <v>169</v>
      </c>
      <c r="F4" s="4" t="s">
        <v>27</v>
      </c>
      <c r="G4" s="4" t="s">
        <v>170</v>
      </c>
      <c r="H4" s="4">
        <v>201</v>
      </c>
      <c r="I4" s="4" t="s">
        <v>28</v>
      </c>
      <c r="J4" s="4" t="s">
        <v>29</v>
      </c>
      <c r="K4" s="4">
        <v>100</v>
      </c>
      <c r="L4" s="4">
        <v>100</v>
      </c>
      <c r="M4" s="4">
        <v>6700</v>
      </c>
      <c r="N4" s="4">
        <v>67</v>
      </c>
      <c r="O4" s="4">
        <v>6700</v>
      </c>
      <c r="P4" s="4">
        <v>6700</v>
      </c>
      <c r="Q4" s="4">
        <v>70</v>
      </c>
      <c r="R4" s="8">
        <v>4690</v>
      </c>
      <c r="S4" s="16" t="s">
        <v>222</v>
      </c>
      <c r="T4" s="16" t="s">
        <v>170</v>
      </c>
    </row>
    <row r="5" spans="1:20" x14ac:dyDescent="0.4">
      <c r="A5" s="4" t="s">
        <v>25</v>
      </c>
      <c r="B5" s="4" t="s">
        <v>0</v>
      </c>
      <c r="C5" s="4" t="s">
        <v>31</v>
      </c>
      <c r="D5" s="4" t="s">
        <v>168</v>
      </c>
      <c r="E5" s="4" t="s">
        <v>169</v>
      </c>
      <c r="F5" s="4" t="s">
        <v>27</v>
      </c>
      <c r="G5" s="4" t="s">
        <v>170</v>
      </c>
      <c r="H5" s="4">
        <v>201</v>
      </c>
      <c r="I5" s="4" t="s">
        <v>28</v>
      </c>
      <c r="J5" s="4" t="s">
        <v>30</v>
      </c>
      <c r="K5" s="4">
        <v>100</v>
      </c>
      <c r="L5" s="4">
        <v>100</v>
      </c>
      <c r="M5" s="4">
        <v>6200</v>
      </c>
      <c r="N5" s="4">
        <v>62</v>
      </c>
      <c r="O5" s="4">
        <v>6200</v>
      </c>
      <c r="P5" s="4">
        <v>6200</v>
      </c>
      <c r="Q5" s="4">
        <v>70</v>
      </c>
      <c r="R5" s="8">
        <v>4340</v>
      </c>
      <c r="S5" s="16" t="s">
        <v>222</v>
      </c>
      <c r="T5" s="16" t="s">
        <v>170</v>
      </c>
    </row>
    <row r="6" spans="1:20" x14ac:dyDescent="0.4">
      <c r="A6" s="4" t="s">
        <v>25</v>
      </c>
      <c r="B6" s="4" t="s">
        <v>0</v>
      </c>
      <c r="C6" s="4" t="s">
        <v>31</v>
      </c>
      <c r="D6" s="4" t="s">
        <v>168</v>
      </c>
      <c r="E6" s="4" t="s">
        <v>169</v>
      </c>
      <c r="F6" s="4" t="s">
        <v>27</v>
      </c>
      <c r="G6" s="4" t="s">
        <v>170</v>
      </c>
      <c r="H6" s="4">
        <v>201</v>
      </c>
      <c r="I6" s="4" t="s">
        <v>28</v>
      </c>
      <c r="J6" s="4" t="s">
        <v>29</v>
      </c>
      <c r="K6" s="4">
        <v>100</v>
      </c>
      <c r="L6" s="4">
        <v>100</v>
      </c>
      <c r="M6" s="4">
        <v>9300</v>
      </c>
      <c r="N6" s="4">
        <v>93</v>
      </c>
      <c r="O6" s="4">
        <v>9300</v>
      </c>
      <c r="P6" s="4">
        <v>9300</v>
      </c>
      <c r="Q6" s="4">
        <v>70</v>
      </c>
      <c r="R6" s="8">
        <v>6510</v>
      </c>
      <c r="S6" s="16" t="s">
        <v>222</v>
      </c>
      <c r="T6" s="16" t="s">
        <v>170</v>
      </c>
    </row>
    <row r="7" spans="1:20" x14ac:dyDescent="0.4">
      <c r="A7" s="4" t="s">
        <v>25</v>
      </c>
      <c r="B7" s="4" t="s">
        <v>0</v>
      </c>
      <c r="C7" s="4" t="s">
        <v>31</v>
      </c>
      <c r="D7" s="4" t="s">
        <v>168</v>
      </c>
      <c r="E7" s="4" t="s">
        <v>169</v>
      </c>
      <c r="F7" s="4" t="s">
        <v>27</v>
      </c>
      <c r="G7" s="4" t="s">
        <v>170</v>
      </c>
      <c r="H7" s="4">
        <v>201</v>
      </c>
      <c r="I7" s="4" t="s">
        <v>28</v>
      </c>
      <c r="J7" s="4" t="s">
        <v>30</v>
      </c>
      <c r="K7" s="4">
        <v>100</v>
      </c>
      <c r="L7" s="4">
        <v>100</v>
      </c>
      <c r="M7" s="4">
        <v>224700</v>
      </c>
      <c r="N7" s="4">
        <v>2247</v>
      </c>
      <c r="O7" s="4">
        <v>224700</v>
      </c>
      <c r="P7" s="4">
        <v>224700</v>
      </c>
      <c r="Q7" s="4">
        <v>70</v>
      </c>
      <c r="R7" s="8">
        <v>157290</v>
      </c>
      <c r="S7" s="16" t="s">
        <v>222</v>
      </c>
      <c r="T7" s="16" t="s">
        <v>170</v>
      </c>
    </row>
    <row r="8" spans="1:20" x14ac:dyDescent="0.4">
      <c r="A8" s="4" t="s">
        <v>25</v>
      </c>
      <c r="B8" s="4" t="s">
        <v>0</v>
      </c>
      <c r="C8" s="4" t="s">
        <v>31</v>
      </c>
      <c r="D8" s="4" t="s">
        <v>168</v>
      </c>
      <c r="E8" s="4" t="s">
        <v>169</v>
      </c>
      <c r="F8" s="4" t="s">
        <v>32</v>
      </c>
      <c r="G8" s="4" t="s">
        <v>170</v>
      </c>
      <c r="H8" s="4">
        <v>201</v>
      </c>
      <c r="I8" s="4" t="s">
        <v>28</v>
      </c>
      <c r="J8" s="4" t="s">
        <v>30</v>
      </c>
      <c r="K8" s="4">
        <v>100</v>
      </c>
      <c r="L8" s="4">
        <v>100</v>
      </c>
      <c r="M8" s="4">
        <v>100</v>
      </c>
      <c r="N8" s="4">
        <v>1</v>
      </c>
      <c r="O8" s="4">
        <v>100</v>
      </c>
      <c r="P8" s="4">
        <v>100</v>
      </c>
      <c r="Q8" s="4">
        <v>70</v>
      </c>
      <c r="R8" s="8">
        <v>70</v>
      </c>
      <c r="S8" s="16" t="s">
        <v>222</v>
      </c>
      <c r="T8" s="16" t="s">
        <v>170</v>
      </c>
    </row>
    <row r="9" spans="1:20" x14ac:dyDescent="0.4">
      <c r="A9" s="4" t="s">
        <v>25</v>
      </c>
      <c r="B9" s="4" t="s">
        <v>0</v>
      </c>
      <c r="C9" s="4" t="s">
        <v>31</v>
      </c>
      <c r="D9" s="4" t="s">
        <v>168</v>
      </c>
      <c r="E9" s="4" t="s">
        <v>169</v>
      </c>
      <c r="F9" s="4" t="s">
        <v>32</v>
      </c>
      <c r="G9" s="4" t="s">
        <v>170</v>
      </c>
      <c r="H9" s="4">
        <v>201</v>
      </c>
      <c r="I9" s="4" t="s">
        <v>28</v>
      </c>
      <c r="J9" s="4" t="s">
        <v>30</v>
      </c>
      <c r="K9" s="4">
        <v>100</v>
      </c>
      <c r="L9" s="4">
        <v>100</v>
      </c>
      <c r="M9" s="4">
        <v>100</v>
      </c>
      <c r="N9" s="4">
        <v>1</v>
      </c>
      <c r="O9" s="4">
        <v>100</v>
      </c>
      <c r="P9" s="4">
        <v>100</v>
      </c>
      <c r="Q9" s="4">
        <v>70</v>
      </c>
      <c r="R9" s="8">
        <v>70</v>
      </c>
      <c r="S9" s="16" t="s">
        <v>222</v>
      </c>
      <c r="T9" s="16" t="s">
        <v>170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T3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3.5" bestFit="1" customWidth="1"/>
    <col min="6" max="6" width="9.59765625" bestFit="1" customWidth="1"/>
    <col min="7" max="7" width="15.39843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26</v>
      </c>
      <c r="D2" s="4" t="s">
        <v>171</v>
      </c>
      <c r="E2" s="4" t="s">
        <v>172</v>
      </c>
      <c r="F2" s="4" t="s">
        <v>27</v>
      </c>
      <c r="G2" s="4" t="s">
        <v>173</v>
      </c>
      <c r="H2" s="4">
        <v>187</v>
      </c>
      <c r="I2" s="4" t="s">
        <v>28</v>
      </c>
      <c r="J2" s="4" t="s">
        <v>30</v>
      </c>
      <c r="K2" s="4">
        <v>100</v>
      </c>
      <c r="L2" s="4">
        <v>100</v>
      </c>
      <c r="M2" s="4">
        <v>800</v>
      </c>
      <c r="N2" s="4">
        <v>8</v>
      </c>
      <c r="O2" s="4">
        <v>800</v>
      </c>
      <c r="P2" s="4">
        <v>800</v>
      </c>
      <c r="Q2" s="4">
        <v>70</v>
      </c>
      <c r="R2" s="8">
        <v>560</v>
      </c>
      <c r="S2" s="16" t="s">
        <v>222</v>
      </c>
      <c r="T2" s="16" t="s">
        <v>219</v>
      </c>
    </row>
    <row r="3" spans="1:20" x14ac:dyDescent="0.4">
      <c r="A3" s="4" t="s">
        <v>25</v>
      </c>
      <c r="B3" s="4" t="s">
        <v>3</v>
      </c>
      <c r="C3" s="4" t="s">
        <v>26</v>
      </c>
      <c r="D3" s="4" t="s">
        <v>171</v>
      </c>
      <c r="E3" s="4" t="s">
        <v>172</v>
      </c>
      <c r="F3" s="4" t="s">
        <v>32</v>
      </c>
      <c r="G3" s="4" t="s">
        <v>173</v>
      </c>
      <c r="H3" s="4">
        <v>187</v>
      </c>
      <c r="I3" s="4" t="s">
        <v>28</v>
      </c>
      <c r="J3" s="4" t="s">
        <v>30</v>
      </c>
      <c r="K3" s="4">
        <v>100</v>
      </c>
      <c r="L3" s="4">
        <v>100</v>
      </c>
      <c r="M3" s="4">
        <v>4200</v>
      </c>
      <c r="N3" s="4">
        <v>42</v>
      </c>
      <c r="O3" s="4">
        <v>4200</v>
      </c>
      <c r="P3" s="4">
        <v>4200</v>
      </c>
      <c r="Q3" s="4">
        <v>70</v>
      </c>
      <c r="R3" s="8">
        <v>2940</v>
      </c>
      <c r="S3" s="16" t="s">
        <v>222</v>
      </c>
      <c r="T3" s="16" t="s">
        <v>219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T6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9.5" bestFit="1" customWidth="1"/>
    <col min="6" max="6" width="9.59765625" bestFit="1" customWidth="1"/>
    <col min="7" max="7" width="6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10.6992187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3</v>
      </c>
      <c r="C2" s="4" t="s">
        <v>33</v>
      </c>
      <c r="D2" s="4" t="s">
        <v>177</v>
      </c>
      <c r="E2" s="4" t="s">
        <v>178</v>
      </c>
      <c r="F2" s="4" t="s">
        <v>34</v>
      </c>
      <c r="G2" s="4" t="s">
        <v>179</v>
      </c>
      <c r="H2" s="4">
        <v>75</v>
      </c>
      <c r="I2" s="4" t="s">
        <v>28</v>
      </c>
      <c r="J2" s="4" t="s">
        <v>30</v>
      </c>
      <c r="K2" s="4">
        <v>100</v>
      </c>
      <c r="L2" s="4">
        <v>100</v>
      </c>
      <c r="M2" s="4">
        <v>8600</v>
      </c>
      <c r="N2" s="4">
        <v>86</v>
      </c>
      <c r="O2" s="4">
        <v>8600</v>
      </c>
      <c r="P2" s="4">
        <v>8600</v>
      </c>
      <c r="Q2" s="4">
        <v>70</v>
      </c>
      <c r="R2" s="8">
        <v>6020</v>
      </c>
      <c r="S2" s="16" t="s">
        <v>222</v>
      </c>
      <c r="T2" s="16" t="s">
        <v>220</v>
      </c>
    </row>
    <row r="3" spans="1:20" x14ac:dyDescent="0.4">
      <c r="A3" s="4" t="s">
        <v>25</v>
      </c>
      <c r="B3" s="4" t="s">
        <v>3</v>
      </c>
      <c r="C3" s="4" t="s">
        <v>33</v>
      </c>
      <c r="D3" s="4" t="s">
        <v>177</v>
      </c>
      <c r="E3" s="4" t="s">
        <v>178</v>
      </c>
      <c r="F3" s="4" t="s">
        <v>32</v>
      </c>
      <c r="G3" s="4" t="s">
        <v>179</v>
      </c>
      <c r="H3" s="4">
        <v>75</v>
      </c>
      <c r="I3" s="4" t="s">
        <v>28</v>
      </c>
      <c r="J3" s="4" t="s">
        <v>30</v>
      </c>
      <c r="K3" s="4">
        <v>100</v>
      </c>
      <c r="L3" s="4">
        <v>100</v>
      </c>
      <c r="M3" s="4">
        <v>7200</v>
      </c>
      <c r="N3" s="4">
        <v>72</v>
      </c>
      <c r="O3" s="4">
        <v>7200</v>
      </c>
      <c r="P3" s="4">
        <v>7200</v>
      </c>
      <c r="Q3" s="4">
        <v>70</v>
      </c>
      <c r="R3" s="8">
        <v>5040</v>
      </c>
      <c r="S3" s="16" t="s">
        <v>222</v>
      </c>
      <c r="T3" s="16" t="s">
        <v>220</v>
      </c>
    </row>
    <row r="4" spans="1:20" x14ac:dyDescent="0.4">
      <c r="A4" s="4" t="s">
        <v>25</v>
      </c>
      <c r="B4" s="4" t="s">
        <v>3</v>
      </c>
      <c r="C4" s="4" t="s">
        <v>33</v>
      </c>
      <c r="D4" s="4" t="s">
        <v>177</v>
      </c>
      <c r="E4" s="4" t="s">
        <v>178</v>
      </c>
      <c r="F4" s="4" t="s">
        <v>27</v>
      </c>
      <c r="G4" s="4" t="s">
        <v>179</v>
      </c>
      <c r="H4" s="4">
        <v>75</v>
      </c>
      <c r="I4" s="4" t="s">
        <v>28</v>
      </c>
      <c r="J4" s="4" t="s">
        <v>30</v>
      </c>
      <c r="K4" s="4">
        <v>100</v>
      </c>
      <c r="L4" s="4">
        <v>100</v>
      </c>
      <c r="M4" s="4">
        <v>11600</v>
      </c>
      <c r="N4" s="4">
        <v>116</v>
      </c>
      <c r="O4" s="4">
        <v>11600</v>
      </c>
      <c r="P4" s="4">
        <v>11600</v>
      </c>
      <c r="Q4" s="4">
        <v>70</v>
      </c>
      <c r="R4" s="8">
        <v>8120</v>
      </c>
      <c r="S4" s="16" t="s">
        <v>222</v>
      </c>
      <c r="T4" s="16" t="s">
        <v>220</v>
      </c>
    </row>
    <row r="5" spans="1:20" x14ac:dyDescent="0.4">
      <c r="A5" s="4" t="s">
        <v>25</v>
      </c>
      <c r="B5" s="4" t="s">
        <v>3</v>
      </c>
      <c r="C5" s="4" t="s">
        <v>33</v>
      </c>
      <c r="D5" s="4" t="s">
        <v>177</v>
      </c>
      <c r="E5" s="4" t="s">
        <v>178</v>
      </c>
      <c r="F5" s="4" t="s">
        <v>27</v>
      </c>
      <c r="G5" s="4" t="s">
        <v>179</v>
      </c>
      <c r="H5" s="4">
        <v>75</v>
      </c>
      <c r="I5" s="4" t="s">
        <v>28</v>
      </c>
      <c r="J5" s="4" t="s">
        <v>30</v>
      </c>
      <c r="K5" s="4">
        <v>100</v>
      </c>
      <c r="L5" s="4">
        <v>100</v>
      </c>
      <c r="M5" s="4">
        <v>25100</v>
      </c>
      <c r="N5" s="4">
        <v>251</v>
      </c>
      <c r="O5" s="4">
        <v>25100</v>
      </c>
      <c r="P5" s="4">
        <v>25100</v>
      </c>
      <c r="Q5" s="4">
        <v>70</v>
      </c>
      <c r="R5" s="8">
        <v>17570</v>
      </c>
      <c r="S5" s="16" t="s">
        <v>222</v>
      </c>
      <c r="T5" s="16" t="s">
        <v>220</v>
      </c>
    </row>
    <row r="6" spans="1:20" x14ac:dyDescent="0.4">
      <c r="A6" s="4" t="s">
        <v>25</v>
      </c>
      <c r="B6" s="4" t="s">
        <v>3</v>
      </c>
      <c r="C6" s="4" t="s">
        <v>33</v>
      </c>
      <c r="D6" s="4" t="s">
        <v>177</v>
      </c>
      <c r="E6" s="4" t="s">
        <v>178</v>
      </c>
      <c r="F6" s="4" t="s">
        <v>32</v>
      </c>
      <c r="G6" s="4" t="s">
        <v>179</v>
      </c>
      <c r="H6" s="4">
        <v>75</v>
      </c>
      <c r="I6" s="4" t="s">
        <v>28</v>
      </c>
      <c r="J6" s="4" t="s">
        <v>30</v>
      </c>
      <c r="K6" s="4">
        <v>100</v>
      </c>
      <c r="L6" s="4">
        <v>100</v>
      </c>
      <c r="M6" s="4">
        <v>500</v>
      </c>
      <c r="N6" s="4">
        <v>5</v>
      </c>
      <c r="O6" s="4">
        <v>500</v>
      </c>
      <c r="P6" s="4">
        <v>500</v>
      </c>
      <c r="Q6" s="4">
        <v>70</v>
      </c>
      <c r="R6" s="8">
        <v>350</v>
      </c>
      <c r="S6" s="16" t="s">
        <v>222</v>
      </c>
      <c r="T6" s="16" t="s">
        <v>220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T5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30" bestFit="1" customWidth="1"/>
    <col min="6" max="6" width="9.59765625" bestFit="1" customWidth="1"/>
    <col min="7" max="7" width="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  <col min="20" max="20" width="7.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25</v>
      </c>
      <c r="B2" s="4" t="s">
        <v>42</v>
      </c>
      <c r="C2" s="4" t="s">
        <v>43</v>
      </c>
      <c r="D2" s="4" t="s">
        <v>195</v>
      </c>
      <c r="E2" s="4" t="s">
        <v>196</v>
      </c>
      <c r="F2" s="4" t="s">
        <v>34</v>
      </c>
      <c r="G2" s="4" t="s">
        <v>197</v>
      </c>
      <c r="H2" s="4">
        <v>215</v>
      </c>
      <c r="I2" s="4" t="s">
        <v>28</v>
      </c>
      <c r="J2" s="4" t="s">
        <v>30</v>
      </c>
      <c r="K2" s="4">
        <v>100</v>
      </c>
      <c r="L2" s="4">
        <v>100</v>
      </c>
      <c r="M2" s="4">
        <v>5200</v>
      </c>
      <c r="N2" s="4">
        <v>52</v>
      </c>
      <c r="O2" s="4">
        <v>5200</v>
      </c>
      <c r="P2" s="4">
        <v>5200</v>
      </c>
      <c r="Q2" s="4">
        <v>70</v>
      </c>
      <c r="R2" s="8">
        <v>3640</v>
      </c>
      <c r="S2" s="16" t="s">
        <v>222</v>
      </c>
      <c r="T2" s="16" t="s">
        <v>197</v>
      </c>
    </row>
    <row r="3" spans="1:20" x14ac:dyDescent="0.4">
      <c r="A3" s="4" t="s">
        <v>25</v>
      </c>
      <c r="B3" s="4" t="s">
        <v>42</v>
      </c>
      <c r="C3" s="4" t="s">
        <v>43</v>
      </c>
      <c r="D3" s="4" t="s">
        <v>195</v>
      </c>
      <c r="E3" s="4" t="s">
        <v>196</v>
      </c>
      <c r="F3" s="4" t="s">
        <v>27</v>
      </c>
      <c r="G3" s="4" t="s">
        <v>197</v>
      </c>
      <c r="H3" s="4">
        <v>215</v>
      </c>
      <c r="I3" s="4" t="s">
        <v>28</v>
      </c>
      <c r="J3" s="4" t="s">
        <v>30</v>
      </c>
      <c r="K3" s="4">
        <v>100</v>
      </c>
      <c r="L3" s="4">
        <v>100</v>
      </c>
      <c r="M3" s="4">
        <v>42200</v>
      </c>
      <c r="N3" s="4">
        <v>422</v>
      </c>
      <c r="O3" s="4">
        <v>42200</v>
      </c>
      <c r="P3" s="4">
        <v>42200</v>
      </c>
      <c r="Q3" s="4">
        <v>70</v>
      </c>
      <c r="R3" s="8">
        <v>29540</v>
      </c>
      <c r="S3" s="16" t="s">
        <v>222</v>
      </c>
      <c r="T3" s="16" t="s">
        <v>197</v>
      </c>
    </row>
    <row r="4" spans="1:20" x14ac:dyDescent="0.4">
      <c r="A4" s="4" t="s">
        <v>25</v>
      </c>
      <c r="B4" s="4" t="s">
        <v>42</v>
      </c>
      <c r="C4" s="4" t="s">
        <v>43</v>
      </c>
      <c r="D4" s="4" t="s">
        <v>195</v>
      </c>
      <c r="E4" s="4" t="s">
        <v>196</v>
      </c>
      <c r="F4" s="4" t="s">
        <v>32</v>
      </c>
      <c r="G4" s="4" t="s">
        <v>197</v>
      </c>
      <c r="H4" s="4">
        <v>215</v>
      </c>
      <c r="I4" s="4" t="s">
        <v>28</v>
      </c>
      <c r="J4" s="4" t="s">
        <v>30</v>
      </c>
      <c r="K4" s="4">
        <v>100</v>
      </c>
      <c r="L4" s="4">
        <v>100</v>
      </c>
      <c r="M4" s="4">
        <v>7800</v>
      </c>
      <c r="N4" s="4">
        <v>78</v>
      </c>
      <c r="O4" s="4">
        <v>7800</v>
      </c>
      <c r="P4" s="4">
        <v>7800</v>
      </c>
      <c r="Q4" s="4">
        <v>70</v>
      </c>
      <c r="R4" s="8">
        <v>5460</v>
      </c>
      <c r="S4" s="16" t="s">
        <v>222</v>
      </c>
      <c r="T4" s="16" t="s">
        <v>197</v>
      </c>
    </row>
    <row r="5" spans="1:20" x14ac:dyDescent="0.4">
      <c r="A5" s="4" t="s">
        <v>25</v>
      </c>
      <c r="B5" s="4" t="s">
        <v>42</v>
      </c>
      <c r="C5" s="4" t="s">
        <v>43</v>
      </c>
      <c r="D5" s="4" t="s">
        <v>195</v>
      </c>
      <c r="E5" s="4" t="s">
        <v>196</v>
      </c>
      <c r="F5" s="4" t="s">
        <v>32</v>
      </c>
      <c r="G5" s="4" t="s">
        <v>197</v>
      </c>
      <c r="H5" s="4">
        <v>215</v>
      </c>
      <c r="I5" s="4" t="s">
        <v>28</v>
      </c>
      <c r="J5" s="4" t="s">
        <v>30</v>
      </c>
      <c r="K5" s="4">
        <v>100</v>
      </c>
      <c r="L5" s="4">
        <v>100</v>
      </c>
      <c r="M5" s="4">
        <v>200</v>
      </c>
      <c r="N5" s="4">
        <v>2</v>
      </c>
      <c r="O5" s="4">
        <v>200</v>
      </c>
      <c r="P5" s="4">
        <v>200</v>
      </c>
      <c r="Q5" s="4">
        <v>70</v>
      </c>
      <c r="R5" s="8">
        <v>140</v>
      </c>
      <c r="S5" s="16" t="s">
        <v>222</v>
      </c>
      <c r="T5" s="16" t="s">
        <v>197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T2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5.69921875" bestFit="1" customWidth="1"/>
    <col min="6" max="6" width="8.59765625" bestFit="1" customWidth="1"/>
    <col min="7" max="7" width="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20" width="10.3984375" bestFit="1" customWidth="1"/>
  </cols>
  <sheetData>
    <row r="1" spans="1:20" x14ac:dyDescent="0.4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5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7" t="s">
        <v>24</v>
      </c>
      <c r="S1" s="14" t="s">
        <v>214</v>
      </c>
      <c r="T1" s="15" t="s">
        <v>215</v>
      </c>
    </row>
    <row r="2" spans="1:20" x14ac:dyDescent="0.4">
      <c r="A2" s="4" t="s">
        <v>36</v>
      </c>
      <c r="B2" s="4" t="s">
        <v>3</v>
      </c>
      <c r="C2" s="4" t="s">
        <v>3</v>
      </c>
      <c r="D2" s="4" t="s">
        <v>124</v>
      </c>
      <c r="E2" s="4" t="s">
        <v>125</v>
      </c>
      <c r="F2" s="4" t="s">
        <v>32</v>
      </c>
      <c r="G2" s="4" t="s">
        <v>126</v>
      </c>
      <c r="H2" s="4">
        <v>68</v>
      </c>
      <c r="I2" s="4" t="s">
        <v>28</v>
      </c>
      <c r="J2" s="4" t="s">
        <v>30</v>
      </c>
      <c r="K2" s="4">
        <v>400</v>
      </c>
      <c r="L2" s="4">
        <v>400</v>
      </c>
      <c r="M2" s="4">
        <v>11200</v>
      </c>
      <c r="N2" s="4">
        <v>28</v>
      </c>
      <c r="O2" s="4">
        <v>11200</v>
      </c>
      <c r="P2" s="4">
        <v>11200</v>
      </c>
      <c r="Q2" s="4">
        <v>70</v>
      </c>
      <c r="R2" s="8">
        <v>7840</v>
      </c>
      <c r="S2" s="16" t="s">
        <v>221</v>
      </c>
      <c r="T2" s="16" t="s">
        <v>221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월별합계(5)</vt:lpstr>
      <vt:lpstr>무장</vt:lpstr>
      <vt:lpstr>모리미</vt:lpstr>
      <vt:lpstr>에필로그</vt:lpstr>
      <vt:lpstr>루이세</vt:lpstr>
      <vt:lpstr>김광수</vt:lpstr>
      <vt:lpstr>엘리신</vt:lpstr>
      <vt:lpstr>구유</vt:lpstr>
      <vt:lpstr>청빙</vt:lpstr>
      <vt:lpstr>불고기자리</vt:lpstr>
      <vt:lpstr>꽃잠</vt:lpstr>
      <vt:lpstr>박도아</vt:lpstr>
      <vt:lpstr>제외</vt:lpstr>
      <vt:lpstr>더컴퍼니</vt:lpstr>
      <vt:lpstr>모험왕선우</vt:lpstr>
      <vt:lpstr>글면증</vt:lpstr>
      <vt:lpstr>리세마라</vt:lpstr>
      <vt:lpstr>스내치</vt:lpstr>
      <vt:lpstr>갓띵작</vt:lpstr>
      <vt:lpstr>김온별</vt:lpstr>
      <vt:lpstr>DION(디온)</vt:lpstr>
      <vt:lpstr>윈델</vt:lpstr>
      <vt:lpstr>컨텐츠헤라</vt:lpstr>
      <vt:lpstr>'DION(디온)'!Extract</vt:lpstr>
      <vt:lpstr>갓띵작!Extract</vt:lpstr>
      <vt:lpstr>구유!Extract</vt:lpstr>
      <vt:lpstr>글면증!Extract</vt:lpstr>
      <vt:lpstr>김광수!Extract</vt:lpstr>
      <vt:lpstr>김온별!Extract</vt:lpstr>
      <vt:lpstr>꽃잠!Extract</vt:lpstr>
      <vt:lpstr>더컴퍼니!Extract</vt:lpstr>
      <vt:lpstr>루이세!Extract</vt:lpstr>
      <vt:lpstr>리세마라!Extract</vt:lpstr>
      <vt:lpstr>모리미!Extract</vt:lpstr>
      <vt:lpstr>모험왕선우!Extract</vt:lpstr>
      <vt:lpstr>무장!Extract</vt:lpstr>
      <vt:lpstr>박도아!Extract</vt:lpstr>
      <vt:lpstr>불고기자리!Extract</vt:lpstr>
      <vt:lpstr>스내치!Extract</vt:lpstr>
      <vt:lpstr>에필로그!Extract</vt:lpstr>
      <vt:lpstr>엘리신!Extract</vt:lpstr>
      <vt:lpstr>윈델!Extract</vt:lpstr>
      <vt:lpstr>제외!Extract</vt:lpstr>
      <vt:lpstr>청빙!Extract</vt:lpstr>
      <vt:lpstr>컨텐츠헤라!Extract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2022-06-08T15:50:08Z</dcterms:modified>
</cp:coreProperties>
</file>