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5" activeTab="17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  <sheet name="202205" sheetId="18" r:id="rId18"/>
  </sheets>
  <calcPr calcId="162913"/>
  <extLst>
    <ext uri="GoogleSheetsCustomDataVersion1">
      <go:sheetsCustomData xmlns:go="http://customooxmlschemas.google.com/" r:id="rId22" roundtripDataSignature="AMtx7mg3OeVNNRV2XQJmQL+sdCGxjJ0utg=="/>
    </ext>
  </extLst>
</workbook>
</file>

<file path=xl/calcChain.xml><?xml version="1.0" encoding="utf-8"?>
<calcChain xmlns="http://schemas.openxmlformats.org/spreadsheetml/2006/main">
  <c r="F20" i="18" l="1"/>
  <c r="E20" i="18"/>
  <c r="D20" i="18"/>
  <c r="C20" i="18"/>
  <c r="H19" i="18"/>
  <c r="I19" i="18" s="1"/>
  <c r="H18" i="18"/>
  <c r="I18" i="18" s="1"/>
  <c r="I17" i="18"/>
  <c r="H17" i="18"/>
  <c r="H16" i="18"/>
  <c r="I16" i="18" s="1"/>
  <c r="H15" i="18"/>
  <c r="I15" i="18" s="1"/>
  <c r="I14" i="18"/>
  <c r="H14" i="18"/>
  <c r="H13" i="18"/>
  <c r="I13" i="18" s="1"/>
  <c r="H12" i="18"/>
  <c r="I12" i="18" s="1"/>
  <c r="G11" i="18"/>
  <c r="H11" i="18" s="1"/>
  <c r="F20" i="17"/>
  <c r="E20" i="17"/>
  <c r="D20" i="17"/>
  <c r="C20" i="17"/>
  <c r="I19" i="17"/>
  <c r="H19" i="17"/>
  <c r="I18" i="17"/>
  <c r="H18" i="17"/>
  <c r="H17" i="17"/>
  <c r="I17" i="17" s="1"/>
  <c r="I16" i="17"/>
  <c r="H16" i="17"/>
  <c r="I15" i="17"/>
  <c r="H15" i="17"/>
  <c r="H14" i="17"/>
  <c r="I14" i="17" s="1"/>
  <c r="I13" i="17"/>
  <c r="H13" i="17"/>
  <c r="I12" i="17"/>
  <c r="H12" i="17"/>
  <c r="G11" i="17"/>
  <c r="G20" i="17" s="1"/>
  <c r="G17" i="16"/>
  <c r="F17" i="16"/>
  <c r="E17" i="16"/>
  <c r="D17" i="16"/>
  <c r="C17" i="16"/>
  <c r="H16" i="16"/>
  <c r="I16" i="16" s="1"/>
  <c r="I15" i="16"/>
  <c r="H15" i="16"/>
  <c r="H14" i="16"/>
  <c r="I14" i="16" s="1"/>
  <c r="H13" i="16"/>
  <c r="I13" i="16" s="1"/>
  <c r="I12" i="16"/>
  <c r="H12" i="16"/>
  <c r="G11" i="16"/>
  <c r="H11" i="16" s="1"/>
  <c r="F17" i="15"/>
  <c r="E17" i="15"/>
  <c r="D17" i="15"/>
  <c r="C17" i="15"/>
  <c r="I16" i="15"/>
  <c r="H16" i="15"/>
  <c r="H15" i="15"/>
  <c r="I15" i="15" s="1"/>
  <c r="I14" i="15"/>
  <c r="H14" i="15"/>
  <c r="I13" i="15"/>
  <c r="H13" i="15"/>
  <c r="H12" i="15"/>
  <c r="I12" i="15" s="1"/>
  <c r="G11" i="15"/>
  <c r="H11" i="15" s="1"/>
  <c r="F17" i="14"/>
  <c r="E17" i="14"/>
  <c r="D17" i="14"/>
  <c r="C17" i="14"/>
  <c r="I16" i="14"/>
  <c r="H16" i="14"/>
  <c r="I15" i="14"/>
  <c r="H15" i="14"/>
  <c r="H14" i="14"/>
  <c r="I14" i="14" s="1"/>
  <c r="I13" i="14"/>
  <c r="H13" i="14"/>
  <c r="H12" i="14"/>
  <c r="I12" i="14" s="1"/>
  <c r="G11" i="14"/>
  <c r="G17" i="14" s="1"/>
  <c r="G17" i="13"/>
  <c r="F17" i="13"/>
  <c r="D17" i="13"/>
  <c r="C17" i="13"/>
  <c r="H16" i="13"/>
  <c r="I16" i="13" s="1"/>
  <c r="H15" i="13"/>
  <c r="I15" i="13" s="1"/>
  <c r="H14" i="13"/>
  <c r="I14" i="13" s="1"/>
  <c r="H13" i="13"/>
  <c r="I13" i="13" s="1"/>
  <c r="H12" i="13"/>
  <c r="I12" i="13" s="1"/>
  <c r="G11" i="13"/>
  <c r="H11" i="13" s="1"/>
  <c r="F17" i="12"/>
  <c r="D17" i="12"/>
  <c r="C17" i="12"/>
  <c r="I16" i="12"/>
  <c r="H16" i="12"/>
  <c r="H15" i="12"/>
  <c r="I15" i="12" s="1"/>
  <c r="H14" i="12"/>
  <c r="I14" i="12" s="1"/>
  <c r="I13" i="12"/>
  <c r="H13" i="12"/>
  <c r="H12" i="12"/>
  <c r="I12" i="12" s="1"/>
  <c r="G11" i="12"/>
  <c r="G17" i="12" s="1"/>
  <c r="G17" i="11"/>
  <c r="F17" i="11"/>
  <c r="D17" i="11"/>
  <c r="C17" i="11"/>
  <c r="H16" i="11"/>
  <c r="I16" i="11" s="1"/>
  <c r="H15" i="11"/>
  <c r="I15" i="11" s="1"/>
  <c r="H14" i="11"/>
  <c r="I14" i="11" s="1"/>
  <c r="H13" i="11"/>
  <c r="I13" i="11" s="1"/>
  <c r="H12" i="11"/>
  <c r="H17" i="11" s="1"/>
  <c r="H11" i="11"/>
  <c r="I11" i="11" s="1"/>
  <c r="G11" i="11"/>
  <c r="D18" i="10"/>
  <c r="C18" i="10"/>
  <c r="F17" i="10"/>
  <c r="G17" i="10" s="1"/>
  <c r="F16" i="10"/>
  <c r="G16" i="10" s="1"/>
  <c r="F15" i="10"/>
  <c r="G15" i="10" s="1"/>
  <c r="F14" i="10"/>
  <c r="G14" i="10" s="1"/>
  <c r="F13" i="10"/>
  <c r="G13" i="10" s="1"/>
  <c r="E12" i="10"/>
  <c r="F12" i="10" s="1"/>
  <c r="G12" i="10" s="1"/>
  <c r="E11" i="10"/>
  <c r="F11" i="10" s="1"/>
  <c r="D17" i="9"/>
  <c r="C17" i="9"/>
  <c r="F16" i="9"/>
  <c r="G16" i="9" s="1"/>
  <c r="G15" i="9"/>
  <c r="F15" i="9"/>
  <c r="F14" i="9"/>
  <c r="G14" i="9" s="1"/>
  <c r="F13" i="9"/>
  <c r="G13" i="9" s="1"/>
  <c r="G12" i="9"/>
  <c r="F12" i="9"/>
  <c r="E11" i="9"/>
  <c r="E17" i="9" s="1"/>
  <c r="E15" i="8"/>
  <c r="D15" i="8"/>
  <c r="C15" i="8"/>
  <c r="G14" i="8"/>
  <c r="F14" i="8"/>
  <c r="F13" i="8"/>
  <c r="G13" i="8" s="1"/>
  <c r="F12" i="8"/>
  <c r="G12" i="8" s="1"/>
  <c r="G11" i="8"/>
  <c r="G15" i="8" s="1"/>
  <c r="B4" i="8" s="1"/>
  <c r="C4" i="8" s="1"/>
  <c r="F11" i="8"/>
  <c r="F15" i="8" s="1"/>
  <c r="E15" i="7"/>
  <c r="D15" i="7"/>
  <c r="C15" i="7"/>
  <c r="F14" i="7"/>
  <c r="G14" i="7" s="1"/>
  <c r="F13" i="7"/>
  <c r="G13" i="7" s="1"/>
  <c r="F12" i="7"/>
  <c r="G12" i="7" s="1"/>
  <c r="E11" i="7"/>
  <c r="F11" i="7" s="1"/>
  <c r="E15" i="6"/>
  <c r="D15" i="6"/>
  <c r="C15" i="6"/>
  <c r="F14" i="6"/>
  <c r="G14" i="6" s="1"/>
  <c r="F13" i="6"/>
  <c r="G13" i="6" s="1"/>
  <c r="F12" i="6"/>
  <c r="G12" i="6" s="1"/>
  <c r="E11" i="6"/>
  <c r="F11" i="6" s="1"/>
  <c r="E16" i="5"/>
  <c r="D16" i="5"/>
  <c r="C16" i="5"/>
  <c r="F15" i="5"/>
  <c r="G15" i="5" s="1"/>
  <c r="F14" i="5"/>
  <c r="G14" i="5" s="1"/>
  <c r="F13" i="5"/>
  <c r="G13" i="5" s="1"/>
  <c r="F12" i="5"/>
  <c r="G12" i="5" s="1"/>
  <c r="F11" i="5"/>
  <c r="F16" i="5" s="1"/>
  <c r="F13" i="4"/>
  <c r="D13" i="4"/>
  <c r="C13" i="4"/>
  <c r="F12" i="4"/>
  <c r="G12" i="4" s="1"/>
  <c r="G11" i="4"/>
  <c r="G13" i="4" s="1"/>
  <c r="B4" i="4" s="1"/>
  <c r="C4" i="4" s="1"/>
  <c r="F11" i="4"/>
  <c r="E11" i="4"/>
  <c r="E13" i="4" s="1"/>
  <c r="F13" i="3"/>
  <c r="D13" i="3"/>
  <c r="C13" i="3"/>
  <c r="F12" i="3"/>
  <c r="G12" i="3" s="1"/>
  <c r="G11" i="3"/>
  <c r="G13" i="3" s="1"/>
  <c r="B4" i="3" s="1"/>
  <c r="C4" i="3" s="1"/>
  <c r="F11" i="3"/>
  <c r="E11" i="3"/>
  <c r="E13" i="3" s="1"/>
  <c r="F13" i="2"/>
  <c r="D13" i="2"/>
  <c r="C13" i="2"/>
  <c r="F12" i="2"/>
  <c r="G12" i="2" s="1"/>
  <c r="G11" i="2"/>
  <c r="G13" i="2" s="1"/>
  <c r="B4" i="2" s="1"/>
  <c r="C4" i="2" s="1"/>
  <c r="F11" i="2"/>
  <c r="E11" i="2"/>
  <c r="E13" i="2" s="1"/>
  <c r="F18" i="10" l="1"/>
  <c r="G11" i="10"/>
  <c r="G18" i="10" s="1"/>
  <c r="B4" i="10" s="1"/>
  <c r="C4" i="10" s="1"/>
  <c r="I11" i="18"/>
  <c r="I20" i="18" s="1"/>
  <c r="B4" i="18" s="1"/>
  <c r="C4" i="18" s="1"/>
  <c r="H20" i="18"/>
  <c r="H17" i="15"/>
  <c r="I11" i="15"/>
  <c r="I17" i="15" s="1"/>
  <c r="B4" i="15" s="1"/>
  <c r="C4" i="15" s="1"/>
  <c r="I11" i="13"/>
  <c r="I17" i="13" s="1"/>
  <c r="B4" i="13" s="1"/>
  <c r="C4" i="13" s="1"/>
  <c r="H17" i="13"/>
  <c r="I11" i="16"/>
  <c r="I17" i="16" s="1"/>
  <c r="B4" i="16" s="1"/>
  <c r="C4" i="16" s="1"/>
  <c r="H17" i="16"/>
  <c r="G11" i="6"/>
  <c r="G15" i="6" s="1"/>
  <c r="B4" i="6" s="1"/>
  <c r="C4" i="6" s="1"/>
  <c r="F15" i="6"/>
  <c r="G11" i="7"/>
  <c r="G15" i="7" s="1"/>
  <c r="B4" i="7" s="1"/>
  <c r="C4" i="7" s="1"/>
  <c r="F15" i="7"/>
  <c r="I12" i="11"/>
  <c r="I17" i="11" s="1"/>
  <c r="B4" i="11" s="1"/>
  <c r="C4" i="11" s="1"/>
  <c r="H11" i="12"/>
  <c r="H11" i="14"/>
  <c r="F11" i="9"/>
  <c r="G17" i="15"/>
  <c r="G20" i="18"/>
  <c r="H11" i="17"/>
  <c r="E18" i="10"/>
  <c r="G11" i="5"/>
  <c r="G16" i="5" s="1"/>
  <c r="B4" i="5" s="1"/>
  <c r="C4" i="5" s="1"/>
  <c r="I11" i="14" l="1"/>
  <c r="I17" i="14" s="1"/>
  <c r="B4" i="14" s="1"/>
  <c r="C4" i="14" s="1"/>
  <c r="H17" i="14"/>
  <c r="H17" i="12"/>
  <c r="I11" i="12"/>
  <c r="I17" i="12" s="1"/>
  <c r="B4" i="12" s="1"/>
  <c r="C4" i="12" s="1"/>
  <c r="I11" i="17"/>
  <c r="I20" i="17" s="1"/>
  <c r="B4" i="17" s="1"/>
  <c r="C4" i="17" s="1"/>
  <c r="H20" i="17"/>
  <c r="G11" i="9"/>
  <c r="G17" i="9" s="1"/>
  <c r="B4" i="9" s="1"/>
  <c r="C4" i="9" s="1"/>
  <c r="F17" i="9"/>
</calcChain>
</file>

<file path=xl/sharedStrings.xml><?xml version="1.0" encoding="utf-8"?>
<sst xmlns="http://schemas.openxmlformats.org/spreadsheetml/2006/main" count="485" uniqueCount="50">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</sst>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4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29" t="s">
        <v>0</v>
      </c>
      <c r="B1" s="30"/>
      <c r="C1" s="30"/>
      <c r="D1" s="30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25</v>
      </c>
      <c r="B20" s="33"/>
      <c r="C20" s="33"/>
      <c r="D20" s="33"/>
      <c r="E20" s="33"/>
      <c r="F20" s="33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26</v>
      </c>
      <c r="B21" s="33"/>
      <c r="C21" s="33"/>
      <c r="D21" s="33"/>
      <c r="E21" s="33"/>
      <c r="F21" s="33"/>
      <c r="G21" s="33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2" t="s">
        <v>27</v>
      </c>
      <c r="B22" s="33"/>
      <c r="C22" s="33"/>
      <c r="D22" s="33"/>
      <c r="E22" s="33"/>
      <c r="F22" s="33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1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32" t="s">
        <v>23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24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25</v>
      </c>
      <c r="B22" s="33"/>
      <c r="C22" s="33"/>
      <c r="D22" s="33"/>
      <c r="E22" s="33"/>
      <c r="F22" s="33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26</v>
      </c>
      <c r="B23" s="33"/>
      <c r="C23" s="33"/>
      <c r="D23" s="33"/>
      <c r="E23" s="33"/>
      <c r="F23" s="33"/>
      <c r="G23" s="33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32" t="s">
        <v>27</v>
      </c>
      <c r="B24" s="33"/>
      <c r="C24" s="33"/>
      <c r="D24" s="33"/>
      <c r="E24" s="33"/>
      <c r="F24" s="33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2" t="s">
        <v>23</v>
      </c>
      <c r="B22" s="33"/>
      <c r="C22" s="33"/>
      <c r="D22" s="33"/>
      <c r="E22" s="33"/>
      <c r="F22" s="33"/>
      <c r="G22" s="33"/>
      <c r="H22" s="11"/>
      <c r="I22" s="11"/>
    </row>
    <row r="23" spans="1:26" ht="11.25" customHeight="1">
      <c r="A23" s="32" t="s">
        <v>24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25</v>
      </c>
      <c r="B24" s="33"/>
      <c r="C24" s="33"/>
      <c r="D24" s="33"/>
      <c r="E24" s="33"/>
      <c r="F24" s="33"/>
      <c r="G24" s="33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4" t="s">
        <v>26</v>
      </c>
      <c r="B25" s="33"/>
      <c r="C25" s="33"/>
      <c r="D25" s="33"/>
      <c r="E25" s="33"/>
      <c r="F25" s="33"/>
      <c r="G25" s="33"/>
      <c r="H25" s="33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2" t="s">
        <v>27</v>
      </c>
      <c r="B26" s="33"/>
      <c r="C26" s="33"/>
      <c r="D26" s="33"/>
      <c r="E26" s="33"/>
      <c r="F26" s="33"/>
      <c r="G26" s="33"/>
      <c r="H26" s="11"/>
      <c r="I26" s="11"/>
    </row>
    <row r="27" spans="1:26" ht="11.25" customHeight="1">
      <c r="A27" s="32" t="s">
        <v>45</v>
      </c>
      <c r="B27" s="33"/>
      <c r="C27" s="33"/>
      <c r="D27" s="33"/>
      <c r="E27" s="33"/>
      <c r="F27" s="33"/>
      <c r="G27" s="33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6:G26"/>
    <mergeCell ref="A27:G27"/>
    <mergeCell ref="A2:C2"/>
    <mergeCell ref="A6:G6"/>
    <mergeCell ref="A9:D9"/>
    <mergeCell ref="A22:G22"/>
    <mergeCell ref="A23:G23"/>
    <mergeCell ref="A24:G24"/>
    <mergeCell ref="A25:H25"/>
  </mergeCells>
  <phoneticPr fontId="1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workbookViewId="0">
      <selection activeCell="H22" sqref="H22"/>
    </sheetView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1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I20</f>
        <v>31240577.600000005</v>
      </c>
      <c r="C4" s="10">
        <f>B4</f>
        <v>31240577.600000005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1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2" t="s">
        <v>39</v>
      </c>
      <c r="C11" s="23">
        <v>4000000</v>
      </c>
      <c r="D11" s="23">
        <v>23521559</v>
      </c>
      <c r="E11" s="23">
        <v>6923318</v>
      </c>
      <c r="F11" s="13"/>
      <c r="G11" s="10">
        <f>(D11+E11)-C11</f>
        <v>26444877</v>
      </c>
      <c r="H11" s="10">
        <f>(C11+G11)</f>
        <v>30444877</v>
      </c>
      <c r="I11" s="10">
        <f t="shared" ref="I11:I19" si="0">H11*0.2</f>
        <v>6088975.4000000004</v>
      </c>
    </row>
    <row r="12" spans="1:26" ht="16.5" customHeight="1">
      <c r="A12" s="21">
        <v>202204</v>
      </c>
      <c r="B12" s="22" t="s">
        <v>21</v>
      </c>
      <c r="C12" s="13"/>
      <c r="D12" s="13"/>
      <c r="E12" s="13"/>
      <c r="F12" s="24">
        <v>125162452</v>
      </c>
      <c r="G12" s="13"/>
      <c r="H12" s="10">
        <f t="shared" ref="H12:H18" si="1">F12</f>
        <v>125162452</v>
      </c>
      <c r="I12" s="10">
        <f t="shared" si="0"/>
        <v>25032490.400000002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595559</v>
      </c>
      <c r="G14" s="13"/>
      <c r="H14" s="10">
        <f t="shared" si="1"/>
        <v>595559</v>
      </c>
      <c r="I14" s="10">
        <f t="shared" si="0"/>
        <v>119111.8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202204</v>
      </c>
      <c r="B17" s="22" t="s">
        <v>47</v>
      </c>
      <c r="C17" s="13"/>
      <c r="D17" s="13"/>
      <c r="E17" s="13"/>
      <c r="F17" s="26">
        <v>0</v>
      </c>
      <c r="G17" s="13"/>
      <c r="H17" s="10">
        <f t="shared" si="1"/>
        <v>0</v>
      </c>
      <c r="I17" s="10">
        <f t="shared" si="0"/>
        <v>0</v>
      </c>
    </row>
    <row r="18" spans="1:26" ht="16.5" customHeight="1">
      <c r="A18" s="21">
        <v>202205</v>
      </c>
      <c r="B18" s="22" t="s">
        <v>48</v>
      </c>
      <c r="C18" s="13"/>
      <c r="D18" s="13"/>
      <c r="E18" s="13"/>
      <c r="F18" s="26">
        <v>0</v>
      </c>
      <c r="G18" s="13"/>
      <c r="H18" s="10">
        <f t="shared" si="1"/>
        <v>0</v>
      </c>
      <c r="I18" s="10">
        <f t="shared" si="0"/>
        <v>0</v>
      </c>
    </row>
    <row r="19" spans="1:26" ht="16.5" customHeight="1">
      <c r="A19" s="21">
        <v>202205</v>
      </c>
      <c r="B19" s="22" t="s">
        <v>49</v>
      </c>
      <c r="C19" s="27">
        <v>0</v>
      </c>
      <c r="D19" s="13"/>
      <c r="E19" s="13"/>
      <c r="F19" s="28"/>
      <c r="G19" s="13"/>
      <c r="H19" s="10">
        <f>C19</f>
        <v>0</v>
      </c>
      <c r="I19" s="10">
        <f t="shared" si="0"/>
        <v>0</v>
      </c>
    </row>
    <row r="20" spans="1:26" ht="16.5" customHeight="1">
      <c r="A20" s="4" t="s">
        <v>22</v>
      </c>
      <c r="B20" s="12"/>
      <c r="C20" s="10">
        <f t="shared" ref="C20:I20" si="2">SUM(C11:C19)</f>
        <v>4000000</v>
      </c>
      <c r="D20" s="10">
        <f t="shared" si="2"/>
        <v>23521559</v>
      </c>
      <c r="E20" s="10">
        <f t="shared" si="2"/>
        <v>6923318</v>
      </c>
      <c r="F20" s="10">
        <f t="shared" si="2"/>
        <v>125758011</v>
      </c>
      <c r="G20" s="10">
        <f t="shared" si="2"/>
        <v>26444877</v>
      </c>
      <c r="H20" s="10">
        <f t="shared" si="2"/>
        <v>156202888</v>
      </c>
      <c r="I20" s="14">
        <f t="shared" si="2"/>
        <v>31240577.600000005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2" t="s">
        <v>23</v>
      </c>
      <c r="B22" s="33"/>
      <c r="C22" s="33"/>
      <c r="D22" s="33"/>
      <c r="E22" s="33"/>
      <c r="F22" s="33"/>
      <c r="G22" s="33"/>
      <c r="H22" s="11"/>
      <c r="I22" s="11"/>
    </row>
    <row r="23" spans="1:26" ht="11.25" customHeight="1">
      <c r="A23" s="32" t="s">
        <v>24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25</v>
      </c>
      <c r="B24" s="33"/>
      <c r="C24" s="33"/>
      <c r="D24" s="33"/>
      <c r="E24" s="33"/>
      <c r="F24" s="33"/>
      <c r="G24" s="33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4" t="s">
        <v>26</v>
      </c>
      <c r="B25" s="33"/>
      <c r="C25" s="33"/>
      <c r="D25" s="33"/>
      <c r="E25" s="33"/>
      <c r="F25" s="33"/>
      <c r="G25" s="33"/>
      <c r="H25" s="33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2" t="s">
        <v>27</v>
      </c>
      <c r="B26" s="33"/>
      <c r="C26" s="33"/>
      <c r="D26" s="33"/>
      <c r="E26" s="33"/>
      <c r="F26" s="33"/>
      <c r="G26" s="33"/>
      <c r="H26" s="11"/>
      <c r="I26" s="11"/>
    </row>
    <row r="27" spans="1:26" ht="11.25" customHeight="1">
      <c r="A27" s="32" t="s">
        <v>45</v>
      </c>
      <c r="B27" s="33"/>
      <c r="C27" s="33"/>
      <c r="D27" s="33"/>
      <c r="E27" s="33"/>
      <c r="F27" s="33"/>
      <c r="G27" s="33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2022-06-23T08:29:46Z</dcterms:modified>
</cp:coreProperties>
</file>