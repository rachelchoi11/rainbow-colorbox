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6월 마감\월중마감\태피툰(콘텐츠퍼스트)\"/>
    </mc:Choice>
  </mc:AlternateContent>
  <bookViews>
    <workbookView xWindow="0" yWindow="0" windowWidth="15504" windowHeight="9588"/>
  </bookViews>
  <sheets>
    <sheet name="종합" sheetId="1" r:id="rId1"/>
    <sheet name="월별 매출_SW" sheetId="2" r:id="rId2"/>
    <sheet name="월별 매출_KTOON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1" i="1" l="1"/>
  <c r="F41" i="1" s="1"/>
  <c r="F29" i="1"/>
  <c r="E29" i="1"/>
  <c r="D29" i="1" s="1"/>
  <c r="C29" i="1" s="1"/>
  <c r="D41" i="1" l="1"/>
  <c r="C41" i="1" s="1"/>
  <c r="E40" i="1"/>
  <c r="D40" i="1" s="1"/>
  <c r="C40" i="1" s="1"/>
  <c r="E28" i="1"/>
  <c r="D28" i="1" s="1"/>
  <c r="C28" i="1" s="1"/>
  <c r="F28" i="1" l="1"/>
  <c r="F40" i="1"/>
  <c r="E39" i="1"/>
  <c r="D39" i="1" s="1"/>
  <c r="C39" i="1" s="1"/>
  <c r="E27" i="1"/>
  <c r="E26" i="1"/>
  <c r="F27" i="1" l="1"/>
  <c r="D27" i="1"/>
  <c r="C27" i="1" s="1"/>
  <c r="F39" i="1"/>
  <c r="E38" i="1"/>
  <c r="D38" i="1" s="1"/>
  <c r="C38" i="1" s="1"/>
  <c r="F26" i="1"/>
  <c r="F38" i="1" l="1"/>
  <c r="D26" i="1"/>
  <c r="C26" i="1" s="1"/>
  <c r="E37" i="1"/>
  <c r="F37" i="1" s="1"/>
  <c r="E25" i="1"/>
  <c r="F25" i="1" s="1"/>
  <c r="D25" i="1" l="1"/>
  <c r="C25" i="1" s="1"/>
  <c r="D37" i="1"/>
  <c r="C37" i="1" s="1"/>
  <c r="E36" i="1"/>
  <c r="D36" i="1" s="1"/>
  <c r="C36" i="1" s="1"/>
  <c r="E24" i="1"/>
  <c r="D24" i="1" s="1"/>
  <c r="C24" i="1" s="1"/>
  <c r="F36" i="1" l="1"/>
  <c r="F24" i="1"/>
  <c r="E35" i="1"/>
  <c r="F35" i="1" s="1"/>
  <c r="E23" i="1"/>
  <c r="F23" i="1" s="1"/>
  <c r="D35" i="1" l="1"/>
  <c r="C35" i="1" s="1"/>
  <c r="D23" i="1"/>
  <c r="C23" i="1" s="1"/>
  <c r="E34" i="1"/>
  <c r="D34" i="1" s="1"/>
  <c r="C34" i="1" s="1"/>
  <c r="E33" i="1"/>
  <c r="F33" i="1" s="1"/>
  <c r="E22" i="1"/>
  <c r="D22" i="1" s="1"/>
  <c r="C22" i="1" s="1"/>
  <c r="F34" i="1" l="1"/>
  <c r="D33" i="1"/>
  <c r="C33" i="1" s="1"/>
  <c r="F22" i="1"/>
  <c r="E21" i="1"/>
  <c r="F21" i="1" s="1"/>
  <c r="D21" i="1" l="1"/>
  <c r="C21" i="1" s="1"/>
  <c r="C20" i="1"/>
  <c r="D20" i="1"/>
  <c r="F20" i="1"/>
  <c r="E19" i="1" l="1"/>
  <c r="F19" i="1" l="1"/>
  <c r="D19" i="1"/>
  <c r="C19" i="1" s="1"/>
  <c r="E18" i="1"/>
  <c r="F18" i="1" s="1"/>
  <c r="D18" i="1" l="1"/>
  <c r="C18" i="1" s="1"/>
  <c r="E17" i="1"/>
  <c r="D17" i="1" s="1"/>
  <c r="C17" i="1" s="1"/>
  <c r="F17" i="1" l="1"/>
  <c r="E16" i="1"/>
  <c r="F16" i="1" s="1"/>
  <c r="B61" i="2"/>
  <c r="A61" i="2"/>
  <c r="D16" i="1" l="1"/>
  <c r="C16" i="1" s="1"/>
  <c r="E15" i="1"/>
  <c r="D15" i="1" s="1"/>
  <c r="C15" i="1" s="1"/>
  <c r="F15" i="1" l="1"/>
  <c r="E14" i="1"/>
  <c r="F14" i="1" s="1"/>
  <c r="E13" i="1"/>
  <c r="F13" i="1" s="1"/>
  <c r="E12" i="1"/>
  <c r="E11" i="1"/>
  <c r="D14" i="1" l="1"/>
  <c r="C14" i="1" s="1"/>
  <c r="D12" i="1"/>
  <c r="C12" i="1" s="1"/>
  <c r="D11" i="1"/>
  <c r="C11" i="1" s="1"/>
  <c r="E10" i="1"/>
  <c r="D10" i="1" l="1"/>
  <c r="C10" i="1" s="1"/>
  <c r="F10" i="1"/>
  <c r="F11" i="1" s="1"/>
  <c r="F12" i="1"/>
  <c r="D13" i="1"/>
  <c r="C13" i="1" s="1"/>
</calcChain>
</file>

<file path=xl/comments1.xml><?xml version="1.0" encoding="utf-8"?>
<comments xmlns="http://schemas.openxmlformats.org/spreadsheetml/2006/main">
  <authors>
    <author>soojeoung choi</author>
  </authors>
  <commentList>
    <comment ref="C9" authorId="0" shapeId="0">
      <text>
        <r>
          <rPr>
            <b/>
            <sz val="9"/>
            <color indexed="81"/>
            <rFont val="돋움"/>
            <family val="3"/>
            <charset val="129"/>
          </rPr>
          <t>앱마켓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수수료</t>
        </r>
        <r>
          <rPr>
            <b/>
            <sz val="9"/>
            <color indexed="81"/>
            <rFont val="Tahoma"/>
            <family val="2"/>
          </rPr>
          <t xml:space="preserve"> 30%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SW </t>
        </r>
        <r>
          <rPr>
            <b/>
            <sz val="9"/>
            <color indexed="81"/>
            <rFont val="돋움"/>
            <family val="3"/>
            <charset val="129"/>
          </rPr>
          <t>배분수익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역산하여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산출
</t>
        </r>
      </text>
    </comment>
    <comment ref="C32" authorId="0" shapeId="0">
      <text>
        <r>
          <rPr>
            <b/>
            <sz val="9"/>
            <color indexed="81"/>
            <rFont val="돋움"/>
            <family val="3"/>
            <charset val="129"/>
          </rPr>
          <t>앱마켓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수수료</t>
        </r>
        <r>
          <rPr>
            <b/>
            <sz val="9"/>
            <color indexed="81"/>
            <rFont val="Tahoma"/>
            <family val="2"/>
          </rPr>
          <t xml:space="preserve"> 30%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SW </t>
        </r>
        <r>
          <rPr>
            <b/>
            <sz val="9"/>
            <color indexed="81"/>
            <rFont val="돋움"/>
            <family val="3"/>
            <charset val="129"/>
          </rPr>
          <t>배분수익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역산하여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산출
</t>
        </r>
      </text>
    </comment>
  </commentList>
</comments>
</file>

<file path=xl/sharedStrings.xml><?xml version="1.0" encoding="utf-8"?>
<sst xmlns="http://schemas.openxmlformats.org/spreadsheetml/2006/main" count="409" uniqueCount="99">
  <si>
    <t>기본정보</t>
    <phoneticPr fontId="2" type="noConversion"/>
  </si>
  <si>
    <t>작품명</t>
  </si>
  <si>
    <t>토큰 합계</t>
  </si>
  <si>
    <t>배분 수익</t>
  </si>
  <si>
    <t>이월 선급금</t>
  </si>
  <si>
    <t>잔여 선급금</t>
  </si>
  <si>
    <t>정산 금액</t>
  </si>
  <si>
    <t>The Adventures of a Demon King's Daughter (221)</t>
    <phoneticPr fontId="5" type="noConversion"/>
  </si>
  <si>
    <t>전체 수익</t>
  </si>
  <si>
    <t>총 지급액 (부가세 포함)</t>
  </si>
  <si>
    <t>지급일</t>
  </si>
  <si>
    <t>2020-12-31</t>
  </si>
  <si>
    <t>The Adventures of a Demon King's Daughter (221)</t>
  </si>
  <si>
    <t>총 지급액 (부가세 미포함)</t>
  </si>
  <si>
    <t>2020-11-30</t>
  </si>
  <si>
    <t>매출내역</t>
    <phoneticPr fontId="2" type="noConversion"/>
  </si>
  <si>
    <t>SW매출</t>
    <phoneticPr fontId="2" type="noConversion"/>
  </si>
  <si>
    <t>태피툰 순매출</t>
    <phoneticPr fontId="2" type="noConversion"/>
  </si>
  <si>
    <t>총매출</t>
    <phoneticPr fontId="2" type="noConversion"/>
  </si>
  <si>
    <t>태피툰(콘텐츠퍼스트)</t>
    <phoneticPr fontId="2" type="noConversion"/>
  </si>
  <si>
    <t>2021-01-31</t>
  </si>
  <si>
    <t>런칭일</t>
    <phoneticPr fontId="2" type="noConversion"/>
  </si>
  <si>
    <t>2020.09.28</t>
    <phoneticPr fontId="2" type="noConversion"/>
  </si>
  <si>
    <t>2020.10</t>
    <phoneticPr fontId="2" type="noConversion"/>
  </si>
  <si>
    <t>작품명</t>
    <phoneticPr fontId="2" type="noConversion"/>
  </si>
  <si>
    <t>MG</t>
    <phoneticPr fontId="2" type="noConversion"/>
  </si>
  <si>
    <t>The Adventures of a Demon King's Daughter 
(마왕의 딸로 태어났습니다)</t>
    <phoneticPr fontId="2" type="noConversion"/>
  </si>
  <si>
    <t>2021-02-28</t>
  </si>
  <si>
    <t>계산서발행</t>
    <phoneticPr fontId="2" type="noConversion"/>
  </si>
  <si>
    <t>X</t>
    <phoneticPr fontId="2" type="noConversion"/>
  </si>
  <si>
    <t>매출월: M
정산서 전달: M+1월 10일 내
실제 정산(세금계산서 발행): M+2월 1~15일
입금일: M+2월 말일
기타: 세금계산서 발행 (면세사업자X)
RS: 태피툰 순매출의 50%
※순매출액 : 앱 마켓 수수료 30% 제외한 태피툰 매출액</t>
    <phoneticPr fontId="2" type="noConversion"/>
  </si>
  <si>
    <t>SW정산액</t>
    <phoneticPr fontId="2" type="noConversion"/>
  </si>
  <si>
    <t>2020년 09월</t>
    <phoneticPr fontId="2" type="noConversion"/>
  </si>
  <si>
    <t>2020년 10월</t>
    <phoneticPr fontId="2" type="noConversion"/>
  </si>
  <si>
    <t>2020년 11월</t>
    <phoneticPr fontId="2" type="noConversion"/>
  </si>
  <si>
    <t>2020년 12월</t>
    <phoneticPr fontId="2" type="noConversion"/>
  </si>
  <si>
    <t>월별 매출 정산내역</t>
    <phoneticPr fontId="2" type="noConversion"/>
  </si>
  <si>
    <t xml:space="preserve">2021년 01월 </t>
    <phoneticPr fontId="2" type="noConversion"/>
  </si>
  <si>
    <t>2021-03-31</t>
  </si>
  <si>
    <t xml:space="preserve">2021년 02월 </t>
    <phoneticPr fontId="2" type="noConversion"/>
  </si>
  <si>
    <t>2021-04-30</t>
  </si>
  <si>
    <t>구분(매출월)</t>
    <phoneticPr fontId="2" type="noConversion"/>
  </si>
  <si>
    <t xml:space="preserve">2021년 03월 </t>
    <phoneticPr fontId="2" type="noConversion"/>
  </si>
  <si>
    <t xml:space="preserve">2021년 04월 </t>
    <phoneticPr fontId="2" type="noConversion"/>
  </si>
  <si>
    <t>2021-06-30</t>
  </si>
  <si>
    <t xml:space="preserve">2021년 05월 </t>
    <phoneticPr fontId="2" type="noConversion"/>
  </si>
  <si>
    <t>2021-07-31</t>
  </si>
  <si>
    <t xml:space="preserve">2021년 06월 </t>
    <phoneticPr fontId="2" type="noConversion"/>
  </si>
  <si>
    <t>2021-08-31</t>
  </si>
  <si>
    <t xml:space="preserve">2021년 07월 </t>
    <phoneticPr fontId="2" type="noConversion"/>
  </si>
  <si>
    <t>2021-09-30</t>
  </si>
  <si>
    <t>포인트 합계</t>
  </si>
  <si>
    <t>2021-10-31</t>
  </si>
  <si>
    <t xml:space="preserve">2021년 08월 </t>
    <phoneticPr fontId="2" type="noConversion"/>
  </si>
  <si>
    <t>2021.10</t>
    <phoneticPr fontId="2" type="noConversion"/>
  </si>
  <si>
    <t xml:space="preserve">2021년 09월 </t>
    <phoneticPr fontId="2" type="noConversion"/>
  </si>
  <si>
    <t>2021-11-30</t>
  </si>
  <si>
    <t>2021.11</t>
    <phoneticPr fontId="2" type="noConversion"/>
  </si>
  <si>
    <t>He's My Softy (38)</t>
  </si>
  <si>
    <t>You At First Sight (41)</t>
  </si>
  <si>
    <t xml:space="preserve">2021년 09월 </t>
    <phoneticPr fontId="2" type="noConversion"/>
  </si>
  <si>
    <t>You At First Sight (41)</t>
    <phoneticPr fontId="2" type="noConversion"/>
  </si>
  <si>
    <t>You At First Sight
(소녀예찬)</t>
    <phoneticPr fontId="2" type="noConversion"/>
  </si>
  <si>
    <t xml:space="preserve">2021년 10월 </t>
    <phoneticPr fontId="2" type="noConversion"/>
  </si>
  <si>
    <t>2021-12-31</t>
  </si>
  <si>
    <t xml:space="preserve">2021년 10월 </t>
    <phoneticPr fontId="2" type="noConversion"/>
  </si>
  <si>
    <t>2021.10</t>
    <phoneticPr fontId="2" type="noConversion"/>
  </si>
  <si>
    <t>2021.12</t>
    <phoneticPr fontId="2" type="noConversion"/>
  </si>
  <si>
    <t>2022-01-31</t>
  </si>
  <si>
    <t xml:space="preserve">2021년 11월 </t>
    <phoneticPr fontId="2" type="noConversion"/>
  </si>
  <si>
    <t>2022.01</t>
    <phoneticPr fontId="2" type="noConversion"/>
  </si>
  <si>
    <t>2021.12</t>
    <phoneticPr fontId="2" type="noConversion"/>
  </si>
  <si>
    <t>2022.02</t>
    <phoneticPr fontId="2" type="noConversion"/>
  </si>
  <si>
    <t>2021.12</t>
    <phoneticPr fontId="2" type="noConversion"/>
  </si>
  <si>
    <t>2022.02</t>
    <phoneticPr fontId="2" type="noConversion"/>
  </si>
  <si>
    <t xml:space="preserve">2021년 12월 </t>
    <phoneticPr fontId="2" type="noConversion"/>
  </si>
  <si>
    <t>2022-02-28</t>
  </si>
  <si>
    <t xml:space="preserve">2021년 12월 </t>
    <phoneticPr fontId="2" type="noConversion"/>
  </si>
  <si>
    <t xml:space="preserve">2022년 1월 </t>
    <phoneticPr fontId="2" type="noConversion"/>
  </si>
  <si>
    <t>2022-03-31</t>
  </si>
  <si>
    <t xml:space="preserve">2022년 1월 </t>
    <phoneticPr fontId="2" type="noConversion"/>
  </si>
  <si>
    <t>2022.03</t>
  </si>
  <si>
    <t>2022.01</t>
    <phoneticPr fontId="2" type="noConversion"/>
  </si>
  <si>
    <t>2022.01</t>
    <phoneticPr fontId="2" type="noConversion"/>
  </si>
  <si>
    <t>2022.04</t>
    <phoneticPr fontId="2" type="noConversion"/>
  </si>
  <si>
    <t>2022.04</t>
    <phoneticPr fontId="2" type="noConversion"/>
  </si>
  <si>
    <t xml:space="preserve">2022년 2월 </t>
    <phoneticPr fontId="2" type="noConversion"/>
  </si>
  <si>
    <t>2022-04-30</t>
  </si>
  <si>
    <t xml:space="preserve">2022년 2월 </t>
    <phoneticPr fontId="2" type="noConversion"/>
  </si>
  <si>
    <t>The Adventures of a Demon King's Daughter (221)</t>
    <phoneticPr fontId="5" type="noConversion"/>
  </si>
  <si>
    <t>2022-05-31</t>
  </si>
  <si>
    <t xml:space="preserve">2022년 3월 </t>
    <phoneticPr fontId="2" type="noConversion"/>
  </si>
  <si>
    <t>You At First Sight (41)</t>
    <phoneticPr fontId="5" type="noConversion"/>
  </si>
  <si>
    <t xml:space="preserve">2022년 3월 </t>
    <phoneticPr fontId="2" type="noConversion"/>
  </si>
  <si>
    <t>2022.05</t>
  </si>
  <si>
    <t>2022-06-30</t>
  </si>
  <si>
    <t xml:space="preserve">2022년 4월 </t>
    <phoneticPr fontId="2" type="noConversion"/>
  </si>
  <si>
    <t xml:space="preserve">2022년 4월 </t>
    <phoneticPr fontId="2" type="noConversion"/>
  </si>
  <si>
    <t>2022.06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</si>
</sst>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1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name val="Calibri"/>
      <family val="2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b/>
      <sz val="16"/>
      <color theme="1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1" fillId="0" borderId="0">
      <alignment vertical="center"/>
    </xf>
  </cellStyleXfs>
  <cellXfs count="3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3" fillId="0" borderId="0" xfId="0" applyFont="1">
      <alignment vertical="center"/>
    </xf>
    <xf numFmtId="0" fontId="4" fillId="0" borderId="0" xfId="0" applyFont="1" applyAlignment="1"/>
    <xf numFmtId="41" fontId="0" fillId="0" borderId="0" xfId="1" applyFont="1">
      <alignment vertical="center"/>
    </xf>
    <xf numFmtId="41" fontId="0" fillId="0" borderId="0" xfId="0" applyNumberFormat="1">
      <alignment vertical="center"/>
    </xf>
    <xf numFmtId="41" fontId="6" fillId="0" borderId="1" xfId="1" applyFont="1" applyBorder="1" applyAlignment="1">
      <alignment horizontal="right" vertical="center"/>
    </xf>
    <xf numFmtId="41" fontId="6" fillId="0" borderId="1" xfId="1" applyFont="1" applyBorder="1">
      <alignment vertical="center"/>
    </xf>
    <xf numFmtId="0" fontId="10" fillId="0" borderId="0" xfId="0" applyFont="1">
      <alignment vertical="center"/>
    </xf>
    <xf numFmtId="0" fontId="11" fillId="0" borderId="0" xfId="2">
      <alignment vertical="center"/>
    </xf>
    <xf numFmtId="0" fontId="12" fillId="0" borderId="0" xfId="2" applyFont="1" applyAlignment="1"/>
    <xf numFmtId="41" fontId="11" fillId="0" borderId="0" xfId="1" applyFo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quotePrefix="1" applyFont="1" applyBorder="1" applyAlignment="1">
      <alignment horizontal="center" vertical="center"/>
    </xf>
    <xf numFmtId="0" fontId="4" fillId="0" borderId="0" xfId="2" applyFont="1" applyAlignment="1"/>
    <xf numFmtId="41" fontId="6" fillId="3" borderId="1" xfId="0" applyNumberFormat="1" applyFont="1" applyFill="1" applyBorder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quotePrefix="1" applyFont="1" applyFill="1" applyBorder="1" applyAlignment="1">
      <alignment horizontal="center" vertical="center"/>
    </xf>
    <xf numFmtId="0" fontId="3" fillId="4" borderId="0" xfId="0" applyFont="1" applyFill="1">
      <alignment vertical="center"/>
    </xf>
    <xf numFmtId="14" fontId="0" fillId="0" borderId="0" xfId="0" applyNumberFormat="1">
      <alignment vertical="center"/>
    </xf>
    <xf numFmtId="0" fontId="11" fillId="0" borderId="0" xfId="2">
      <alignment vertical="center"/>
    </xf>
    <xf numFmtId="0" fontId="11" fillId="0" borderId="0" xfId="2">
      <alignment vertical="center"/>
    </xf>
    <xf numFmtId="0" fontId="13" fillId="0" borderId="0" xfId="0" applyFont="1" applyAlignment="1"/>
    <xf numFmtId="0" fontId="7" fillId="0" borderId="0" xfId="0" applyFont="1" applyAlignment="1">
      <alignment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1" fontId="6" fillId="0" borderId="3" xfId="1" applyFont="1" applyBorder="1" applyAlignment="1">
      <alignment horizontal="center" vertical="center"/>
    </xf>
    <xf numFmtId="41" fontId="6" fillId="0" borderId="4" xfId="1" applyFont="1" applyBorder="1" applyAlignment="1">
      <alignment horizontal="center" vertical="center"/>
    </xf>
    <xf numFmtId="41" fontId="6" fillId="0" borderId="2" xfId="1" applyFont="1" applyBorder="1" applyAlignment="1">
      <alignment horizontal="center" vertical="center"/>
    </xf>
  </cellXfs>
  <cellStyles count="3">
    <cellStyle name="쉼표 [0]" xfId="1" builtinId="6"/>
    <cellStyle name="표준" xfId="0" builtinId="0"/>
    <cellStyle name="표준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41"/>
  <sheetViews>
    <sheetView tabSelected="1" zoomScaleNormal="100" workbookViewId="0"/>
  </sheetViews>
  <sheetFormatPr defaultRowHeight="17.399999999999999" x14ac:dyDescent="0.4"/>
  <cols>
    <col min="1" max="1" width="15.3984375" customWidth="1"/>
    <col min="2" max="2" width="13.19921875" customWidth="1"/>
    <col min="3" max="3" width="12.69921875" bestFit="1" customWidth="1"/>
    <col min="4" max="4" width="11.69921875" bestFit="1" customWidth="1"/>
    <col min="5" max="9" width="11.69921875" customWidth="1"/>
    <col min="10" max="13" width="12.5" customWidth="1"/>
    <col min="14" max="16" width="12.5" hidden="1" customWidth="1"/>
    <col min="17" max="19" width="12.5" customWidth="1"/>
  </cols>
  <sheetData>
    <row r="1" spans="1:12" ht="25.2" x14ac:dyDescent="0.4">
      <c r="A1" s="8" t="s">
        <v>19</v>
      </c>
      <c r="B1" s="8"/>
      <c r="C1" s="2"/>
    </row>
    <row r="2" spans="1:12" x14ac:dyDescent="0.4">
      <c r="A2" s="2" t="s">
        <v>0</v>
      </c>
      <c r="B2" s="2"/>
      <c r="C2" s="2"/>
    </row>
    <row r="3" spans="1:12" ht="116.55" customHeight="1" x14ac:dyDescent="0.4">
      <c r="A3" s="23" t="s">
        <v>30</v>
      </c>
      <c r="B3" s="23"/>
      <c r="C3" s="23"/>
      <c r="D3" s="23"/>
      <c r="E3" s="23"/>
      <c r="F3" s="1"/>
      <c r="G3" s="1"/>
      <c r="H3" s="1"/>
      <c r="I3" s="1"/>
      <c r="J3" s="1"/>
      <c r="K3" s="1"/>
      <c r="L3" s="1"/>
    </row>
    <row r="5" spans="1:12" x14ac:dyDescent="0.4">
      <c r="A5" s="2" t="s">
        <v>15</v>
      </c>
      <c r="B5" s="2"/>
      <c r="C5" s="2"/>
    </row>
    <row r="6" spans="1:12" ht="42" customHeight="1" x14ac:dyDescent="0.4">
      <c r="A6" s="16" t="s">
        <v>24</v>
      </c>
      <c r="B6" s="24" t="s">
        <v>26</v>
      </c>
      <c r="C6" s="25"/>
      <c r="D6" s="25"/>
      <c r="E6" s="25"/>
      <c r="F6" s="26"/>
    </row>
    <row r="7" spans="1:12" x14ac:dyDescent="0.4">
      <c r="A7" s="16" t="s">
        <v>21</v>
      </c>
      <c r="B7" s="27" t="s">
        <v>22</v>
      </c>
      <c r="C7" s="28"/>
      <c r="D7" s="28"/>
      <c r="E7" s="28"/>
      <c r="F7" s="29"/>
    </row>
    <row r="8" spans="1:12" x14ac:dyDescent="0.4">
      <c r="A8" s="16" t="s">
        <v>25</v>
      </c>
      <c r="B8" s="30">
        <v>10000000</v>
      </c>
      <c r="C8" s="31"/>
      <c r="D8" s="31"/>
      <c r="E8" s="31"/>
      <c r="F8" s="32"/>
    </row>
    <row r="9" spans="1:12" x14ac:dyDescent="0.4">
      <c r="A9" s="16" t="s">
        <v>41</v>
      </c>
      <c r="B9" s="16" t="s">
        <v>28</v>
      </c>
      <c r="C9" s="16" t="s">
        <v>18</v>
      </c>
      <c r="D9" s="16" t="s">
        <v>17</v>
      </c>
      <c r="E9" s="16" t="s">
        <v>16</v>
      </c>
      <c r="F9" s="16" t="s">
        <v>31</v>
      </c>
    </row>
    <row r="10" spans="1:12" x14ac:dyDescent="0.4">
      <c r="A10" s="16">
        <v>2020.09</v>
      </c>
      <c r="B10" s="12" t="s">
        <v>29</v>
      </c>
      <c r="C10" s="6">
        <f>(D10/7)*100</f>
        <v>102222000</v>
      </c>
      <c r="D10" s="6">
        <f>E10*2</f>
        <v>7155540</v>
      </c>
      <c r="E10" s="7">
        <f>'월별 매출_SW'!C4</f>
        <v>3577770</v>
      </c>
      <c r="F10" s="15">
        <f>-(B8-E10)</f>
        <v>-6422230</v>
      </c>
    </row>
    <row r="11" spans="1:12" x14ac:dyDescent="0.4">
      <c r="A11" s="17" t="s">
        <v>23</v>
      </c>
      <c r="B11" s="13">
        <v>2020.12</v>
      </c>
      <c r="C11" s="6">
        <f t="shared" ref="C11:C13" si="0">(D11/7)*100</f>
        <v>268796571.4285714</v>
      </c>
      <c r="D11" s="6">
        <f t="shared" ref="D11:D13" si="1">E11*2</f>
        <v>18815760</v>
      </c>
      <c r="E11" s="7">
        <f>'월별 매출_SW'!C13</f>
        <v>9407880</v>
      </c>
      <c r="F11" s="15">
        <f>F10+E11</f>
        <v>2985650</v>
      </c>
      <c r="J11" s="5"/>
      <c r="K11" s="5"/>
      <c r="L11" s="5"/>
    </row>
    <row r="12" spans="1:12" x14ac:dyDescent="0.4">
      <c r="A12" s="16">
        <v>2020.11</v>
      </c>
      <c r="B12" s="12">
        <v>2021.01</v>
      </c>
      <c r="C12" s="6">
        <f t="shared" si="0"/>
        <v>231150857.14285713</v>
      </c>
      <c r="D12" s="6">
        <f t="shared" si="1"/>
        <v>16180560</v>
      </c>
      <c r="E12" s="7">
        <f>'월별 매출_SW'!C22</f>
        <v>8090280</v>
      </c>
      <c r="F12" s="15">
        <f t="shared" ref="F12:F17" si="2">E12</f>
        <v>8090280</v>
      </c>
    </row>
    <row r="13" spans="1:12" x14ac:dyDescent="0.4">
      <c r="A13" s="16">
        <v>2020.12</v>
      </c>
      <c r="B13" s="12">
        <v>2021.02</v>
      </c>
      <c r="C13" s="6">
        <f t="shared" si="0"/>
        <v>257074714.28571427</v>
      </c>
      <c r="D13" s="6">
        <f t="shared" si="1"/>
        <v>17995230</v>
      </c>
      <c r="E13" s="7">
        <f>'월별 매출_SW'!C31</f>
        <v>8997615</v>
      </c>
      <c r="F13" s="15">
        <f t="shared" si="2"/>
        <v>8997615</v>
      </c>
    </row>
    <row r="14" spans="1:12" x14ac:dyDescent="0.4">
      <c r="A14" s="16">
        <v>2021.01</v>
      </c>
      <c r="B14" s="12">
        <v>2021.03</v>
      </c>
      <c r="C14" s="6">
        <f t="shared" ref="C14" si="3">(D14/7)*100</f>
        <v>396614571.4285714</v>
      </c>
      <c r="D14" s="6">
        <f t="shared" ref="D14" si="4">E14*2</f>
        <v>27763020</v>
      </c>
      <c r="E14" s="7">
        <f>'월별 매출_SW'!C40</f>
        <v>13881510</v>
      </c>
      <c r="F14" s="15">
        <f t="shared" si="2"/>
        <v>13881510</v>
      </c>
    </row>
    <row r="15" spans="1:12" x14ac:dyDescent="0.4">
      <c r="A15" s="16">
        <v>2021.02</v>
      </c>
      <c r="B15" s="12">
        <v>2021.04</v>
      </c>
      <c r="C15" s="6">
        <f t="shared" ref="C15" si="5">(D15/7)*100</f>
        <v>407067428.5714286</v>
      </c>
      <c r="D15" s="6">
        <f t="shared" ref="D15" si="6">E15*2</f>
        <v>28494720</v>
      </c>
      <c r="E15" s="7">
        <f>'월별 매출_SW'!F48</f>
        <v>14247360</v>
      </c>
      <c r="F15" s="15">
        <f t="shared" si="2"/>
        <v>14247360</v>
      </c>
    </row>
    <row r="16" spans="1:12" x14ac:dyDescent="0.4">
      <c r="A16" s="16">
        <v>2021.03</v>
      </c>
      <c r="B16" s="12">
        <v>2021.05</v>
      </c>
      <c r="C16" s="6">
        <f t="shared" ref="C16" si="7">(D16/7)*100</f>
        <v>662559428.57142854</v>
      </c>
      <c r="D16" s="6">
        <f t="shared" ref="D16" si="8">E16*2</f>
        <v>46379160</v>
      </c>
      <c r="E16" s="7">
        <f>'월별 매출_SW'!F57</f>
        <v>23189580</v>
      </c>
      <c r="F16" s="15">
        <f t="shared" si="2"/>
        <v>23189580</v>
      </c>
    </row>
    <row r="17" spans="1:6" x14ac:dyDescent="0.4">
      <c r="A17" s="16">
        <v>2021.04</v>
      </c>
      <c r="B17" s="12">
        <v>2021.06</v>
      </c>
      <c r="C17" s="6">
        <f t="shared" ref="C17" si="9">(D17/7)*100</f>
        <v>613613571.42857146</v>
      </c>
      <c r="D17" s="6">
        <f t="shared" ref="D17" si="10">E17*2</f>
        <v>42952950</v>
      </c>
      <c r="E17" s="7">
        <f>'월별 매출_SW'!F66</f>
        <v>21476475</v>
      </c>
      <c r="F17" s="15">
        <f t="shared" si="2"/>
        <v>21476475</v>
      </c>
    </row>
    <row r="18" spans="1:6" x14ac:dyDescent="0.4">
      <c r="A18" s="16">
        <v>2021.05</v>
      </c>
      <c r="B18" s="12">
        <v>2021.07</v>
      </c>
      <c r="C18" s="6">
        <f t="shared" ref="C18" si="11">(D18/7)*100</f>
        <v>647521714.28571427</v>
      </c>
      <c r="D18" s="6">
        <f t="shared" ref="D18" si="12">E18*2</f>
        <v>45326520</v>
      </c>
      <c r="E18" s="7">
        <f>'월별 매출_SW'!F75</f>
        <v>22663260</v>
      </c>
      <c r="F18" s="15">
        <f t="shared" ref="F18" si="13">E18</f>
        <v>22663260</v>
      </c>
    </row>
    <row r="19" spans="1:6" x14ac:dyDescent="0.4">
      <c r="A19" s="16">
        <v>2021.06</v>
      </c>
      <c r="B19" s="12">
        <v>2021.08</v>
      </c>
      <c r="C19" s="6">
        <f t="shared" ref="C19:C25" si="14">(D19/7)*100</f>
        <v>563173714.28571427</v>
      </c>
      <c r="D19" s="6">
        <f t="shared" ref="D19:D25" si="15">E19*2</f>
        <v>39422160</v>
      </c>
      <c r="E19" s="7">
        <f>'월별 매출_SW'!A87</f>
        <v>19711080</v>
      </c>
      <c r="F19" s="15">
        <f t="shared" ref="F19" si="16">E19</f>
        <v>19711080</v>
      </c>
    </row>
    <row r="20" spans="1:6" x14ac:dyDescent="0.4">
      <c r="A20" s="16">
        <v>2021.07</v>
      </c>
      <c r="B20" s="12">
        <v>2021.09</v>
      </c>
      <c r="C20" s="6">
        <f t="shared" si="14"/>
        <v>498975428.57142854</v>
      </c>
      <c r="D20" s="6">
        <f t="shared" si="15"/>
        <v>34928280</v>
      </c>
      <c r="E20" s="7">
        <v>17464140</v>
      </c>
      <c r="F20" s="15">
        <f t="shared" ref="F20" si="17">E20</f>
        <v>17464140</v>
      </c>
    </row>
    <row r="21" spans="1:6" x14ac:dyDescent="0.4">
      <c r="A21" s="16">
        <v>2021.08</v>
      </c>
      <c r="B21" s="13" t="s">
        <v>54</v>
      </c>
      <c r="C21" s="6">
        <f t="shared" si="14"/>
        <v>514116000</v>
      </c>
      <c r="D21" s="6">
        <f t="shared" si="15"/>
        <v>35988120</v>
      </c>
      <c r="E21" s="7">
        <f>'월별 매출_SW'!A104</f>
        <v>17994060</v>
      </c>
      <c r="F21" s="15">
        <f t="shared" ref="F21" si="18">E21</f>
        <v>17994060</v>
      </c>
    </row>
    <row r="22" spans="1:6" x14ac:dyDescent="0.4">
      <c r="A22" s="16">
        <v>2021.09</v>
      </c>
      <c r="B22" s="13" t="s">
        <v>57</v>
      </c>
      <c r="C22" s="6">
        <f t="shared" si="14"/>
        <v>398139428.5714286</v>
      </c>
      <c r="D22" s="6">
        <f t="shared" si="15"/>
        <v>27869760</v>
      </c>
      <c r="E22" s="7">
        <f>'월별 매출_SW'!C108</f>
        <v>13934880</v>
      </c>
      <c r="F22" s="15">
        <f t="shared" ref="F22" si="19">E22</f>
        <v>13934880</v>
      </c>
    </row>
    <row r="23" spans="1:6" x14ac:dyDescent="0.4">
      <c r="A23" s="17" t="s">
        <v>66</v>
      </c>
      <c r="B23" s="13" t="s">
        <v>67</v>
      </c>
      <c r="C23" s="6">
        <f t="shared" si="14"/>
        <v>295647428.5714286</v>
      </c>
      <c r="D23" s="6">
        <f t="shared" si="15"/>
        <v>20695320</v>
      </c>
      <c r="E23" s="7">
        <f>'월별 매출_SW'!A120</f>
        <v>10347660</v>
      </c>
      <c r="F23" s="15">
        <f t="shared" ref="F23" si="20">E23</f>
        <v>10347660</v>
      </c>
    </row>
    <row r="24" spans="1:6" x14ac:dyDescent="0.4">
      <c r="A24" s="17" t="s">
        <v>57</v>
      </c>
      <c r="B24" s="13" t="s">
        <v>70</v>
      </c>
      <c r="C24" s="6">
        <f t="shared" si="14"/>
        <v>298023428.5714286</v>
      </c>
      <c r="D24" s="6">
        <f t="shared" si="15"/>
        <v>20861640</v>
      </c>
      <c r="E24" s="7">
        <f>'월별 매출_SW'!A128</f>
        <v>10430820</v>
      </c>
      <c r="F24" s="15">
        <f t="shared" ref="F24" si="21">E24</f>
        <v>10430820</v>
      </c>
    </row>
    <row r="25" spans="1:6" x14ac:dyDescent="0.4">
      <c r="A25" s="17" t="s">
        <v>71</v>
      </c>
      <c r="B25" s="13" t="s">
        <v>72</v>
      </c>
      <c r="C25" s="6">
        <f t="shared" si="14"/>
        <v>430688571.42857146</v>
      </c>
      <c r="D25" s="6">
        <f t="shared" si="15"/>
        <v>30148200</v>
      </c>
      <c r="E25" s="7">
        <f>'월별 매출_SW'!F132</f>
        <v>15074100</v>
      </c>
      <c r="F25" s="15">
        <f t="shared" ref="F25" si="22">E25</f>
        <v>15074100</v>
      </c>
    </row>
    <row r="26" spans="1:6" x14ac:dyDescent="0.4">
      <c r="A26" s="17" t="s">
        <v>82</v>
      </c>
      <c r="B26" s="13" t="s">
        <v>81</v>
      </c>
      <c r="C26" s="6">
        <f t="shared" ref="C26" si="23">(D26/7)*100</f>
        <v>219209142.85714287</v>
      </c>
      <c r="D26" s="6">
        <f t="shared" ref="D26" si="24">E26*2</f>
        <v>15344640</v>
      </c>
      <c r="E26" s="7">
        <f>'월별 매출_SW'!F140</f>
        <v>7672320</v>
      </c>
      <c r="F26" s="15">
        <f t="shared" ref="F26" si="25">E26</f>
        <v>7672320</v>
      </c>
    </row>
    <row r="27" spans="1:6" x14ac:dyDescent="0.4">
      <c r="A27" s="17" t="s">
        <v>72</v>
      </c>
      <c r="B27" s="13" t="s">
        <v>84</v>
      </c>
      <c r="C27" s="6">
        <f>(D27/7)*100</f>
        <v>148510285.7142857</v>
      </c>
      <c r="D27" s="6">
        <f>E27*2</f>
        <v>10395720</v>
      </c>
      <c r="E27" s="7">
        <f>'월별 매출_SW'!F147</f>
        <v>5197860</v>
      </c>
      <c r="F27" s="15">
        <f t="shared" ref="F27" si="26">E27</f>
        <v>5197860</v>
      </c>
    </row>
    <row r="28" spans="1:6" x14ac:dyDescent="0.4">
      <c r="A28" s="17">
        <v>2022.03</v>
      </c>
      <c r="B28" s="13">
        <v>2022.05</v>
      </c>
      <c r="C28" s="6">
        <f>(D28/7)*100</f>
        <v>184983428.57142857</v>
      </c>
      <c r="D28" s="6">
        <f>E28*2</f>
        <v>12948840</v>
      </c>
      <c r="E28" s="7">
        <f>'월별 매출_SW'!F154</f>
        <v>6474420</v>
      </c>
      <c r="F28" s="15">
        <f>E28</f>
        <v>6474420</v>
      </c>
    </row>
    <row r="29" spans="1:6" x14ac:dyDescent="0.4">
      <c r="A29" s="17">
        <v>2022.04</v>
      </c>
      <c r="B29" s="13">
        <v>2022.06</v>
      </c>
      <c r="C29" s="6">
        <f>(D29/7)*100</f>
        <v>249761142.85714287</v>
      </c>
      <c r="D29" s="6">
        <f>E29*2</f>
        <v>17483280</v>
      </c>
      <c r="E29" s="7">
        <f>'월별 매출_SW'!F162</f>
        <v>8741640</v>
      </c>
      <c r="F29" s="15">
        <f>E29</f>
        <v>8741640</v>
      </c>
    </row>
    <row r="31" spans="1:6" ht="32.4" customHeight="1" x14ac:dyDescent="0.4">
      <c r="A31" s="16" t="s">
        <v>24</v>
      </c>
      <c r="B31" s="24" t="s">
        <v>62</v>
      </c>
      <c r="C31" s="25"/>
      <c r="D31" s="25"/>
      <c r="E31" s="25"/>
      <c r="F31" s="26"/>
    </row>
    <row r="32" spans="1:6" x14ac:dyDescent="0.4">
      <c r="A32" s="16" t="s">
        <v>41</v>
      </c>
      <c r="B32" s="16" t="s">
        <v>28</v>
      </c>
      <c r="C32" s="16" t="s">
        <v>18</v>
      </c>
      <c r="D32" s="16" t="s">
        <v>17</v>
      </c>
      <c r="E32" s="16" t="s">
        <v>16</v>
      </c>
      <c r="F32" s="16" t="s">
        <v>31</v>
      </c>
    </row>
    <row r="33" spans="1:6" x14ac:dyDescent="0.4">
      <c r="A33" s="16">
        <v>2021.08</v>
      </c>
      <c r="B33" s="13" t="s">
        <v>54</v>
      </c>
      <c r="C33" s="6">
        <f t="shared" ref="C33:C40" si="27">(D33/7)*100</f>
        <v>10913142.857142856</v>
      </c>
      <c r="D33" s="6">
        <f t="shared" ref="D33:D40" si="28">E33*2</f>
        <v>763920</v>
      </c>
      <c r="E33" s="7">
        <f>'월별 매출_KTOON'!F5</f>
        <v>381960</v>
      </c>
      <c r="F33" s="15">
        <f t="shared" ref="F33:F34" si="29">E33</f>
        <v>381960</v>
      </c>
    </row>
    <row r="34" spans="1:6" x14ac:dyDescent="0.4">
      <c r="A34" s="16">
        <v>2021.09</v>
      </c>
      <c r="B34" s="13" t="s">
        <v>57</v>
      </c>
      <c r="C34" s="6">
        <f t="shared" si="27"/>
        <v>12281142.857142856</v>
      </c>
      <c r="D34" s="6">
        <f t="shared" si="28"/>
        <v>859680</v>
      </c>
      <c r="E34" s="7">
        <f>'월별 매출_KTOON'!F14</f>
        <v>429840</v>
      </c>
      <c r="F34" s="15">
        <f t="shared" si="29"/>
        <v>429840</v>
      </c>
    </row>
    <row r="35" spans="1:6" x14ac:dyDescent="0.4">
      <c r="A35" s="17" t="s">
        <v>66</v>
      </c>
      <c r="B35" s="13" t="s">
        <v>67</v>
      </c>
      <c r="C35" s="6">
        <f t="shared" si="27"/>
        <v>7452000</v>
      </c>
      <c r="D35" s="6">
        <f t="shared" si="28"/>
        <v>521640</v>
      </c>
      <c r="E35" s="7">
        <f>'월별 매출_KTOON'!A28</f>
        <v>260820</v>
      </c>
      <c r="F35" s="15">
        <f t="shared" ref="F35" si="30">E35</f>
        <v>260820</v>
      </c>
    </row>
    <row r="36" spans="1:6" x14ac:dyDescent="0.4">
      <c r="A36" s="17" t="s">
        <v>57</v>
      </c>
      <c r="B36" s="13" t="s">
        <v>70</v>
      </c>
      <c r="C36" s="6">
        <f t="shared" si="27"/>
        <v>6464571.4285714282</v>
      </c>
      <c r="D36" s="6">
        <f t="shared" si="28"/>
        <v>452520</v>
      </c>
      <c r="E36" s="7">
        <f>'월별 매출_KTOON'!A37</f>
        <v>226260</v>
      </c>
      <c r="F36" s="15">
        <f t="shared" ref="F36" si="31">E36</f>
        <v>226260</v>
      </c>
    </row>
    <row r="37" spans="1:6" x14ac:dyDescent="0.4">
      <c r="A37" s="17" t="s">
        <v>73</v>
      </c>
      <c r="B37" s="13" t="s">
        <v>74</v>
      </c>
      <c r="C37" s="6">
        <f t="shared" si="27"/>
        <v>4690285.7142857146</v>
      </c>
      <c r="D37" s="6">
        <f t="shared" si="28"/>
        <v>328320</v>
      </c>
      <c r="E37" s="7">
        <f>'월별 매출_KTOON'!C42</f>
        <v>164160</v>
      </c>
      <c r="F37" s="15">
        <f t="shared" ref="F37" si="32">E37</f>
        <v>164160</v>
      </c>
    </row>
    <row r="38" spans="1:6" x14ac:dyDescent="0.4">
      <c r="A38" s="17" t="s">
        <v>83</v>
      </c>
      <c r="B38" s="13" t="s">
        <v>81</v>
      </c>
      <c r="C38" s="6">
        <f t="shared" si="27"/>
        <v>3142285.7142857141</v>
      </c>
      <c r="D38" s="6">
        <f t="shared" si="28"/>
        <v>219960</v>
      </c>
      <c r="E38" s="7">
        <f>'월별 매출_KTOON'!F51</f>
        <v>109980</v>
      </c>
      <c r="F38" s="15">
        <f t="shared" ref="F38" si="33">E38</f>
        <v>109980</v>
      </c>
    </row>
    <row r="39" spans="1:6" x14ac:dyDescent="0.4">
      <c r="A39" s="17" t="s">
        <v>72</v>
      </c>
      <c r="B39" s="13" t="s">
        <v>85</v>
      </c>
      <c r="C39" s="6">
        <f t="shared" si="27"/>
        <v>4227428.5714285718</v>
      </c>
      <c r="D39" s="6">
        <f t="shared" si="28"/>
        <v>295920</v>
      </c>
      <c r="E39" s="7">
        <f>'월별 매출_KTOON'!F60</f>
        <v>147960</v>
      </c>
      <c r="F39" s="15">
        <f t="shared" ref="F39" si="34">E39</f>
        <v>147960</v>
      </c>
    </row>
    <row r="40" spans="1:6" x14ac:dyDescent="0.4">
      <c r="A40" s="17">
        <v>2022.03</v>
      </c>
      <c r="B40" s="13" t="s">
        <v>94</v>
      </c>
      <c r="C40" s="6">
        <f t="shared" si="27"/>
        <v>3543428.5714285718</v>
      </c>
      <c r="D40" s="6">
        <f t="shared" si="28"/>
        <v>248040</v>
      </c>
      <c r="E40" s="7">
        <f>'월별 매출_KTOON'!F69</f>
        <v>124020</v>
      </c>
      <c r="F40" s="15">
        <f>E40</f>
        <v>124020</v>
      </c>
    </row>
    <row r="41" spans="1:6" x14ac:dyDescent="0.4">
      <c r="A41" s="17">
        <v>2022.04</v>
      </c>
      <c r="B41" s="13" t="s">
        <v>98</v>
      </c>
      <c r="C41" s="6">
        <f t="shared" ref="C41" si="35">(D41/7)*100</f>
        <v>2324571.4285714286</v>
      </c>
      <c r="D41" s="6">
        <f t="shared" ref="D41" si="36">E41*2</f>
        <v>162720</v>
      </c>
      <c r="E41" s="7">
        <f>'월별 매출_KTOON'!F78</f>
        <v>81360</v>
      </c>
      <c r="F41" s="15">
        <f>E41</f>
        <v>81360</v>
      </c>
    </row>
  </sheetData>
  <mergeCells count="5">
    <mergeCell ref="A3:E3"/>
    <mergeCell ref="B6:F6"/>
    <mergeCell ref="B7:F7"/>
    <mergeCell ref="B8:F8"/>
    <mergeCell ref="B31:F31"/>
  </mergeCells>
  <phoneticPr fontId="2" type="noConversion"/>
  <pageMargins left="0.7" right="0.7" top="0.75" bottom="0.75" header="0.3" footer="0.3"/>
  <pageSetup paperSize="9" orientation="portrait" verticalDpi="0" r:id="rId1"/>
  <ignoredErrors>
    <ignoredError sqref="A11" numberStoredAsText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6"/>
  <sheetViews>
    <sheetView workbookViewId="0">
      <pane ySplit="1" topLeftCell="A146" activePane="bottomLeft" state="frozen"/>
      <selection pane="bottomLeft" activeCell="F162" sqref="F162"/>
    </sheetView>
  </sheetViews>
  <sheetFormatPr defaultRowHeight="17.399999999999999" x14ac:dyDescent="0.4"/>
  <cols>
    <col min="1" max="1" width="46.5" bestFit="1" customWidth="1"/>
    <col min="2" max="2" width="22.8984375" bestFit="1" customWidth="1"/>
    <col min="3" max="4" width="11.69921875" bestFit="1" customWidth="1"/>
    <col min="5" max="5" width="10.8984375" bestFit="1" customWidth="1"/>
    <col min="6" max="6" width="11.69921875" bestFit="1" customWidth="1"/>
  </cols>
  <sheetData>
    <row r="1" spans="1:7" x14ac:dyDescent="0.4">
      <c r="A1" s="2" t="s">
        <v>36</v>
      </c>
    </row>
    <row r="2" spans="1:7" x14ac:dyDescent="0.4">
      <c r="A2" s="18" t="s">
        <v>32</v>
      </c>
    </row>
    <row r="3" spans="1:7" x14ac:dyDescent="0.3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</row>
    <row r="4" spans="1:7" x14ac:dyDescent="0.4">
      <c r="A4" t="s">
        <v>12</v>
      </c>
      <c r="B4" s="4">
        <v>79506</v>
      </c>
      <c r="C4" s="4">
        <v>3577770</v>
      </c>
      <c r="D4" s="4">
        <v>10000000</v>
      </c>
      <c r="E4" s="4">
        <v>6422230</v>
      </c>
      <c r="F4" s="4">
        <v>0</v>
      </c>
    </row>
    <row r="7" spans="1:7" x14ac:dyDescent="0.3">
      <c r="A7" s="3" t="s">
        <v>8</v>
      </c>
      <c r="B7" s="3" t="s">
        <v>13</v>
      </c>
      <c r="C7" s="3" t="s">
        <v>10</v>
      </c>
    </row>
    <row r="8" spans="1:7" x14ac:dyDescent="0.4">
      <c r="A8">
        <v>0</v>
      </c>
      <c r="B8">
        <v>0</v>
      </c>
      <c r="C8" t="s">
        <v>14</v>
      </c>
    </row>
    <row r="11" spans="1:7" x14ac:dyDescent="0.4">
      <c r="A11" s="18" t="s">
        <v>33</v>
      </c>
    </row>
    <row r="12" spans="1:7" x14ac:dyDescent="0.3">
      <c r="A12" s="3" t="s">
        <v>1</v>
      </c>
      <c r="B12" s="3" t="s">
        <v>2</v>
      </c>
      <c r="C12" s="3" t="s">
        <v>3</v>
      </c>
      <c r="D12" s="3" t="s">
        <v>4</v>
      </c>
      <c r="E12" s="3" t="s">
        <v>5</v>
      </c>
      <c r="F12" s="3" t="s">
        <v>6</v>
      </c>
    </row>
    <row r="13" spans="1:7" x14ac:dyDescent="0.4">
      <c r="A13" t="s">
        <v>7</v>
      </c>
      <c r="B13" s="4">
        <v>209064</v>
      </c>
      <c r="C13" s="4">
        <v>9407880</v>
      </c>
      <c r="D13" s="4">
        <v>6422230</v>
      </c>
      <c r="E13" s="4">
        <v>0</v>
      </c>
      <c r="F13" s="4">
        <v>2985650</v>
      </c>
      <c r="G13" s="4"/>
    </row>
    <row r="16" spans="1:7" x14ac:dyDescent="0.3">
      <c r="A16" s="3" t="s">
        <v>8</v>
      </c>
      <c r="B16" s="3" t="s">
        <v>9</v>
      </c>
      <c r="C16" s="3" t="s">
        <v>10</v>
      </c>
    </row>
    <row r="17" spans="1:7" x14ac:dyDescent="0.4">
      <c r="A17" s="4">
        <v>2985650</v>
      </c>
      <c r="B17" s="4">
        <v>3284215</v>
      </c>
      <c r="C17" t="s">
        <v>11</v>
      </c>
    </row>
    <row r="20" spans="1:7" x14ac:dyDescent="0.4">
      <c r="A20" s="18" t="s">
        <v>34</v>
      </c>
    </row>
    <row r="21" spans="1:7" x14ac:dyDescent="0.3">
      <c r="A21" s="10" t="s">
        <v>1</v>
      </c>
      <c r="B21" s="10" t="s">
        <v>2</v>
      </c>
      <c r="C21" s="10" t="s">
        <v>3</v>
      </c>
      <c r="D21" s="10" t="s">
        <v>4</v>
      </c>
      <c r="E21" s="10" t="s">
        <v>5</v>
      </c>
      <c r="F21" s="10" t="s">
        <v>6</v>
      </c>
      <c r="G21" s="9"/>
    </row>
    <row r="22" spans="1:7" x14ac:dyDescent="0.4">
      <c r="A22" s="9" t="s">
        <v>12</v>
      </c>
      <c r="B22" s="11">
        <v>179784</v>
      </c>
      <c r="C22" s="11">
        <v>8090280</v>
      </c>
      <c r="D22" s="11">
        <v>0</v>
      </c>
      <c r="E22" s="11">
        <v>0</v>
      </c>
      <c r="F22" s="11">
        <v>8090280</v>
      </c>
      <c r="G22" s="11"/>
    </row>
    <row r="23" spans="1:7" x14ac:dyDescent="0.4">
      <c r="A23" s="9"/>
      <c r="B23" s="9"/>
      <c r="C23" s="9"/>
      <c r="D23" s="9"/>
      <c r="E23" s="9"/>
      <c r="F23" s="9"/>
      <c r="G23" s="9"/>
    </row>
    <row r="24" spans="1:7" x14ac:dyDescent="0.4">
      <c r="A24" s="9"/>
      <c r="B24" s="9"/>
      <c r="C24" s="9"/>
      <c r="D24" s="9"/>
      <c r="E24" s="9"/>
      <c r="F24" s="9"/>
      <c r="G24" s="9"/>
    </row>
    <row r="25" spans="1:7" x14ac:dyDescent="0.3">
      <c r="A25" s="10" t="s">
        <v>8</v>
      </c>
      <c r="B25" s="10" t="s">
        <v>9</v>
      </c>
      <c r="C25" s="10" t="s">
        <v>10</v>
      </c>
      <c r="D25" s="9"/>
      <c r="E25" s="9"/>
      <c r="F25" s="9"/>
      <c r="G25" s="9"/>
    </row>
    <row r="26" spans="1:7" x14ac:dyDescent="0.4">
      <c r="A26" s="11">
        <v>8090280</v>
      </c>
      <c r="B26" s="11">
        <v>8899308</v>
      </c>
      <c r="C26" s="9" t="s">
        <v>20</v>
      </c>
      <c r="D26" s="9"/>
      <c r="E26" s="9"/>
      <c r="F26" s="9"/>
      <c r="G26" s="9"/>
    </row>
    <row r="29" spans="1:7" x14ac:dyDescent="0.4">
      <c r="A29" s="18" t="s">
        <v>35</v>
      </c>
    </row>
    <row r="30" spans="1:7" x14ac:dyDescent="0.3">
      <c r="A30" s="14" t="s">
        <v>1</v>
      </c>
      <c r="B30" s="14" t="s">
        <v>2</v>
      </c>
      <c r="C30" s="14" t="s">
        <v>3</v>
      </c>
      <c r="D30" s="14" t="s">
        <v>4</v>
      </c>
      <c r="E30" s="14" t="s">
        <v>5</v>
      </c>
      <c r="F30" s="14" t="s">
        <v>6</v>
      </c>
    </row>
    <row r="31" spans="1:7" x14ac:dyDescent="0.4">
      <c r="A31" s="9" t="s">
        <v>12</v>
      </c>
      <c r="B31" s="9">
        <v>199947</v>
      </c>
      <c r="C31" s="11">
        <v>8997615</v>
      </c>
      <c r="D31" s="11">
        <v>0</v>
      </c>
      <c r="E31" s="11">
        <v>0</v>
      </c>
      <c r="F31" s="11">
        <v>8997615</v>
      </c>
    </row>
    <row r="32" spans="1:7" x14ac:dyDescent="0.4">
      <c r="A32" s="9"/>
      <c r="B32" s="9"/>
      <c r="C32" s="9"/>
      <c r="D32" s="9"/>
      <c r="E32" s="9"/>
      <c r="F32" s="9"/>
    </row>
    <row r="33" spans="1:7" x14ac:dyDescent="0.4">
      <c r="A33" s="9"/>
      <c r="B33" s="9"/>
      <c r="C33" s="9"/>
      <c r="D33" s="9"/>
      <c r="E33" s="9"/>
      <c r="F33" s="9"/>
    </row>
    <row r="34" spans="1:7" x14ac:dyDescent="0.3">
      <c r="A34" s="14" t="s">
        <v>8</v>
      </c>
      <c r="B34" s="14" t="s">
        <v>9</v>
      </c>
      <c r="C34" s="14" t="s">
        <v>10</v>
      </c>
      <c r="D34" s="9"/>
      <c r="E34" s="9"/>
      <c r="F34" s="9"/>
    </row>
    <row r="35" spans="1:7" x14ac:dyDescent="0.4">
      <c r="A35" s="11">
        <v>8997615</v>
      </c>
      <c r="B35" s="11">
        <v>9897376</v>
      </c>
      <c r="C35" s="9" t="s">
        <v>27</v>
      </c>
      <c r="D35" s="9"/>
      <c r="E35" s="9"/>
      <c r="F35" s="9"/>
    </row>
    <row r="38" spans="1:7" x14ac:dyDescent="0.4">
      <c r="A38" s="18" t="s">
        <v>37</v>
      </c>
    </row>
    <row r="39" spans="1:7" x14ac:dyDescent="0.3">
      <c r="A39" s="3" t="s">
        <v>1</v>
      </c>
      <c r="B39" s="3" t="s">
        <v>2</v>
      </c>
      <c r="C39" s="3" t="s">
        <v>3</v>
      </c>
      <c r="D39" s="3" t="s">
        <v>4</v>
      </c>
      <c r="E39" s="3" t="s">
        <v>5</v>
      </c>
      <c r="F39" s="3" t="s">
        <v>6</v>
      </c>
    </row>
    <row r="40" spans="1:7" x14ac:dyDescent="0.4">
      <c r="A40" t="s">
        <v>12</v>
      </c>
      <c r="B40">
        <v>308478</v>
      </c>
      <c r="C40" s="4">
        <v>13881510</v>
      </c>
      <c r="D40" s="4">
        <v>0</v>
      </c>
      <c r="E40" s="4">
        <v>0</v>
      </c>
      <c r="F40" s="4">
        <v>13881510</v>
      </c>
    </row>
    <row r="43" spans="1:7" x14ac:dyDescent="0.3">
      <c r="A43" s="3" t="s">
        <v>8</v>
      </c>
      <c r="B43" s="3" t="s">
        <v>9</v>
      </c>
      <c r="C43" s="3" t="s">
        <v>10</v>
      </c>
    </row>
    <row r="44" spans="1:7" x14ac:dyDescent="0.4">
      <c r="A44" s="4">
        <v>13881510</v>
      </c>
      <c r="B44" s="4">
        <v>15269661</v>
      </c>
      <c r="C44" t="s">
        <v>38</v>
      </c>
    </row>
    <row r="46" spans="1:7" x14ac:dyDescent="0.4">
      <c r="A46" s="18" t="s">
        <v>39</v>
      </c>
    </row>
    <row r="47" spans="1:7" x14ac:dyDescent="0.3">
      <c r="A47" s="3" t="s">
        <v>1</v>
      </c>
      <c r="B47" s="3" t="s">
        <v>2</v>
      </c>
      <c r="C47" s="3" t="s">
        <v>3</v>
      </c>
      <c r="D47" s="3" t="s">
        <v>4</v>
      </c>
      <c r="E47" s="3" t="s">
        <v>5</v>
      </c>
      <c r="F47" s="3" t="s">
        <v>6</v>
      </c>
    </row>
    <row r="48" spans="1:7" x14ac:dyDescent="0.4">
      <c r="A48" t="s">
        <v>12</v>
      </c>
      <c r="B48" s="4">
        <v>316608</v>
      </c>
      <c r="C48" s="4">
        <v>14247360</v>
      </c>
      <c r="D48" s="4">
        <v>0</v>
      </c>
      <c r="E48" s="4">
        <v>0</v>
      </c>
      <c r="F48" s="4">
        <v>14247360</v>
      </c>
      <c r="G48" s="4"/>
    </row>
    <row r="51" spans="1:7" x14ac:dyDescent="0.3">
      <c r="A51" s="3" t="s">
        <v>8</v>
      </c>
      <c r="B51" s="3" t="s">
        <v>9</v>
      </c>
      <c r="C51" s="3" t="s">
        <v>10</v>
      </c>
    </row>
    <row r="52" spans="1:7" x14ac:dyDescent="0.4">
      <c r="A52" s="4">
        <v>14247360</v>
      </c>
      <c r="B52" s="4">
        <v>15672096</v>
      </c>
      <c r="C52" t="s">
        <v>40</v>
      </c>
    </row>
    <row r="53" spans="1:7" x14ac:dyDescent="0.4">
      <c r="A53" s="4"/>
      <c r="B53" s="4"/>
    </row>
    <row r="55" spans="1:7" x14ac:dyDescent="0.4">
      <c r="A55" s="18" t="s">
        <v>42</v>
      </c>
    </row>
    <row r="56" spans="1:7" x14ac:dyDescent="0.3">
      <c r="A56" s="3" t="s">
        <v>1</v>
      </c>
      <c r="B56" s="3" t="s">
        <v>2</v>
      </c>
      <c r="C56" s="3" t="s">
        <v>3</v>
      </c>
      <c r="D56" s="3" t="s">
        <v>4</v>
      </c>
      <c r="E56" s="3" t="s">
        <v>5</v>
      </c>
      <c r="F56" s="3" t="s">
        <v>6</v>
      </c>
    </row>
    <row r="57" spans="1:7" x14ac:dyDescent="0.4">
      <c r="A57" t="s">
        <v>12</v>
      </c>
      <c r="B57" s="4">
        <v>515324</v>
      </c>
      <c r="C57" s="4">
        <v>23189580</v>
      </c>
      <c r="D57" s="4">
        <v>0</v>
      </c>
      <c r="E57" s="4">
        <v>0</v>
      </c>
      <c r="F57" s="4">
        <v>23189580</v>
      </c>
      <c r="G57" s="4"/>
    </row>
    <row r="60" spans="1:7" x14ac:dyDescent="0.3">
      <c r="A60" s="3" t="s">
        <v>8</v>
      </c>
      <c r="B60" s="3" t="s">
        <v>9</v>
      </c>
      <c r="C60" s="3" t="s">
        <v>10</v>
      </c>
    </row>
    <row r="61" spans="1:7" x14ac:dyDescent="0.4">
      <c r="A61" s="4">
        <f>F57</f>
        <v>23189580</v>
      </c>
      <c r="B61" s="4">
        <f>A61*1.1</f>
        <v>25508538.000000004</v>
      </c>
      <c r="C61" s="19">
        <v>44347</v>
      </c>
    </row>
    <row r="63" spans="1:7" ht="16.5" customHeight="1" x14ac:dyDescent="0.4"/>
    <row r="64" spans="1:7" x14ac:dyDescent="0.4">
      <c r="A64" s="18" t="s">
        <v>43</v>
      </c>
    </row>
    <row r="65" spans="1:8" x14ac:dyDescent="0.3">
      <c r="A65" s="3" t="s">
        <v>1</v>
      </c>
      <c r="B65" s="3" t="s">
        <v>2</v>
      </c>
      <c r="C65" s="3" t="s">
        <v>3</v>
      </c>
      <c r="D65" s="3" t="s">
        <v>4</v>
      </c>
      <c r="E65" s="3" t="s">
        <v>5</v>
      </c>
      <c r="F65" s="3" t="s">
        <v>6</v>
      </c>
    </row>
    <row r="66" spans="1:8" x14ac:dyDescent="0.4">
      <c r="A66" t="s">
        <v>12</v>
      </c>
      <c r="B66">
        <v>477255</v>
      </c>
      <c r="C66" s="4">
        <v>21476475</v>
      </c>
      <c r="D66">
        <v>0</v>
      </c>
      <c r="E66">
        <v>0</v>
      </c>
      <c r="F66" s="4">
        <v>21476475</v>
      </c>
    </row>
    <row r="69" spans="1:8" x14ac:dyDescent="0.3">
      <c r="A69" s="3" t="s">
        <v>8</v>
      </c>
      <c r="B69" s="3" t="s">
        <v>9</v>
      </c>
      <c r="C69" s="3" t="s">
        <v>10</v>
      </c>
    </row>
    <row r="70" spans="1:8" x14ac:dyDescent="0.4">
      <c r="A70">
        <v>21476475</v>
      </c>
      <c r="B70" s="4">
        <v>23624122</v>
      </c>
      <c r="C70" t="s">
        <v>44</v>
      </c>
    </row>
    <row r="73" spans="1:8" x14ac:dyDescent="0.4">
      <c r="A73" s="18" t="s">
        <v>45</v>
      </c>
    </row>
    <row r="74" spans="1:8" x14ac:dyDescent="0.3">
      <c r="A74" s="3" t="s">
        <v>1</v>
      </c>
      <c r="B74" s="3" t="s">
        <v>2</v>
      </c>
      <c r="C74" s="3" t="s">
        <v>3</v>
      </c>
      <c r="D74" s="3" t="s">
        <v>4</v>
      </c>
      <c r="E74" s="3" t="s">
        <v>5</v>
      </c>
      <c r="F74" s="3" t="s">
        <v>6</v>
      </c>
    </row>
    <row r="75" spans="1:8" x14ac:dyDescent="0.4">
      <c r="A75" t="s">
        <v>12</v>
      </c>
      <c r="B75" s="4">
        <v>377721</v>
      </c>
      <c r="C75" s="4">
        <v>22663260</v>
      </c>
      <c r="D75" s="4">
        <v>0</v>
      </c>
      <c r="E75" s="4">
        <v>0</v>
      </c>
      <c r="F75" s="4">
        <v>22663260</v>
      </c>
      <c r="G75" s="4"/>
      <c r="H75" s="4"/>
    </row>
    <row r="78" spans="1:8" x14ac:dyDescent="0.3">
      <c r="A78" s="3" t="s">
        <v>8</v>
      </c>
      <c r="B78" s="3" t="s">
        <v>9</v>
      </c>
      <c r="C78" s="3" t="s">
        <v>10</v>
      </c>
    </row>
    <row r="79" spans="1:8" x14ac:dyDescent="0.4">
      <c r="A79" s="4">
        <v>22663260</v>
      </c>
      <c r="B79" s="4">
        <v>24929586</v>
      </c>
      <c r="C79" t="s">
        <v>46</v>
      </c>
    </row>
    <row r="81" spans="1:6" x14ac:dyDescent="0.4">
      <c r="A81" s="18" t="s">
        <v>47</v>
      </c>
    </row>
    <row r="82" spans="1:6" x14ac:dyDescent="0.3">
      <c r="A82" s="3" t="s">
        <v>1</v>
      </c>
      <c r="B82" s="3" t="s">
        <v>2</v>
      </c>
      <c r="C82" s="3" t="s">
        <v>3</v>
      </c>
      <c r="D82" s="3" t="s">
        <v>4</v>
      </c>
      <c r="E82" s="3" t="s">
        <v>5</v>
      </c>
      <c r="F82" s="3" t="s">
        <v>6</v>
      </c>
    </row>
    <row r="83" spans="1:6" x14ac:dyDescent="0.4">
      <c r="A83" t="s">
        <v>12</v>
      </c>
      <c r="B83" s="4">
        <v>328518</v>
      </c>
      <c r="C83" s="4">
        <v>19711080</v>
      </c>
      <c r="D83" s="4">
        <v>0</v>
      </c>
      <c r="E83" s="4">
        <v>0</v>
      </c>
      <c r="F83" s="4">
        <v>19711080</v>
      </c>
    </row>
    <row r="86" spans="1:6" x14ac:dyDescent="0.3">
      <c r="A86" s="3" t="s">
        <v>8</v>
      </c>
      <c r="B86" s="3" t="s">
        <v>9</v>
      </c>
      <c r="C86" s="3" t="s">
        <v>10</v>
      </c>
    </row>
    <row r="87" spans="1:6" x14ac:dyDescent="0.4">
      <c r="A87" s="4">
        <v>19711080</v>
      </c>
      <c r="B87" s="4">
        <v>21682188</v>
      </c>
      <c r="C87" t="s">
        <v>48</v>
      </c>
    </row>
    <row r="89" spans="1:6" x14ac:dyDescent="0.4">
      <c r="A89" s="18" t="s">
        <v>49</v>
      </c>
    </row>
    <row r="90" spans="1:6" x14ac:dyDescent="0.3">
      <c r="A90" s="3" t="s">
        <v>1</v>
      </c>
      <c r="B90" s="3" t="s">
        <v>2</v>
      </c>
      <c r="C90" s="3" t="s">
        <v>3</v>
      </c>
      <c r="D90" s="3" t="s">
        <v>4</v>
      </c>
      <c r="E90" s="3" t="s">
        <v>5</v>
      </c>
      <c r="F90" s="3" t="s">
        <v>6</v>
      </c>
    </row>
    <row r="91" spans="1:6" x14ac:dyDescent="0.4">
      <c r="A91" t="s">
        <v>12</v>
      </c>
      <c r="B91" s="4">
        <v>291069</v>
      </c>
      <c r="C91" s="4">
        <v>17464140</v>
      </c>
      <c r="D91" s="4">
        <v>0</v>
      </c>
      <c r="E91" s="4">
        <v>0</v>
      </c>
      <c r="F91" s="4">
        <v>17464140</v>
      </c>
    </row>
    <row r="94" spans="1:6" x14ac:dyDescent="0.3">
      <c r="A94" s="3" t="s">
        <v>8</v>
      </c>
      <c r="B94" s="3" t="s">
        <v>9</v>
      </c>
      <c r="C94" s="3" t="s">
        <v>10</v>
      </c>
    </row>
    <row r="95" spans="1:6" x14ac:dyDescent="0.4">
      <c r="A95" s="4">
        <v>17464140</v>
      </c>
      <c r="B95" s="4">
        <v>19210554</v>
      </c>
      <c r="C95" t="s">
        <v>50</v>
      </c>
    </row>
    <row r="98" spans="1:6" x14ac:dyDescent="0.4">
      <c r="A98" s="18" t="s">
        <v>53</v>
      </c>
    </row>
    <row r="99" spans="1:6" x14ac:dyDescent="0.3">
      <c r="A99" s="3" t="s">
        <v>1</v>
      </c>
      <c r="B99" s="3" t="s">
        <v>2</v>
      </c>
      <c r="C99" s="3" t="s">
        <v>3</v>
      </c>
      <c r="D99" s="3" t="s">
        <v>4</v>
      </c>
      <c r="E99" s="3" t="s">
        <v>5</v>
      </c>
      <c r="F99" s="3" t="s">
        <v>6</v>
      </c>
    </row>
    <row r="100" spans="1:6" x14ac:dyDescent="0.4">
      <c r="A100" t="s">
        <v>12</v>
      </c>
      <c r="B100">
        <v>299901</v>
      </c>
      <c r="C100">
        <v>17994060</v>
      </c>
      <c r="D100">
        <v>0</v>
      </c>
      <c r="E100">
        <v>0</v>
      </c>
      <c r="F100">
        <v>17994060</v>
      </c>
    </row>
    <row r="103" spans="1:6" x14ac:dyDescent="0.3">
      <c r="A103" s="3" t="s">
        <v>8</v>
      </c>
      <c r="B103" s="3" t="s">
        <v>9</v>
      </c>
      <c r="C103" s="3" t="s">
        <v>10</v>
      </c>
    </row>
    <row r="104" spans="1:6" x14ac:dyDescent="0.4">
      <c r="A104">
        <v>17994060</v>
      </c>
      <c r="B104">
        <v>19793466</v>
      </c>
      <c r="C104" t="s">
        <v>52</v>
      </c>
    </row>
    <row r="106" spans="1:6" x14ac:dyDescent="0.4">
      <c r="A106" s="18" t="s">
        <v>55</v>
      </c>
    </row>
    <row r="107" spans="1:6" x14ac:dyDescent="0.3">
      <c r="A107" s="3" t="s">
        <v>1</v>
      </c>
      <c r="B107" s="3" t="s">
        <v>2</v>
      </c>
      <c r="C107" s="3" t="s">
        <v>3</v>
      </c>
      <c r="D107" s="3" t="s">
        <v>4</v>
      </c>
      <c r="E107" s="3" t="s">
        <v>5</v>
      </c>
      <c r="F107" s="3" t="s">
        <v>6</v>
      </c>
    </row>
    <row r="108" spans="1:6" x14ac:dyDescent="0.4">
      <c r="A108" t="s">
        <v>12</v>
      </c>
      <c r="B108">
        <v>232248</v>
      </c>
      <c r="C108">
        <v>13934880</v>
      </c>
      <c r="D108">
        <v>0</v>
      </c>
      <c r="E108">
        <v>0</v>
      </c>
      <c r="F108">
        <v>13934880</v>
      </c>
    </row>
    <row r="111" spans="1:6" x14ac:dyDescent="0.3">
      <c r="A111" s="3" t="s">
        <v>8</v>
      </c>
      <c r="B111" s="3" t="s">
        <v>9</v>
      </c>
      <c r="C111" s="3" t="s">
        <v>10</v>
      </c>
    </row>
    <row r="112" spans="1:6" x14ac:dyDescent="0.4">
      <c r="A112">
        <v>13934880</v>
      </c>
      <c r="B112">
        <v>15328368</v>
      </c>
      <c r="C112" t="s">
        <v>56</v>
      </c>
    </row>
    <row r="114" spans="1:6" x14ac:dyDescent="0.4">
      <c r="A114" s="18" t="s">
        <v>63</v>
      </c>
    </row>
    <row r="115" spans="1:6" x14ac:dyDescent="0.3">
      <c r="A115" s="3" t="s">
        <v>1</v>
      </c>
      <c r="B115" s="3" t="s">
        <v>2</v>
      </c>
      <c r="C115" s="3" t="s">
        <v>3</v>
      </c>
      <c r="D115" s="3" t="s">
        <v>4</v>
      </c>
      <c r="E115" s="3" t="s">
        <v>5</v>
      </c>
      <c r="F115" s="3" t="s">
        <v>6</v>
      </c>
    </row>
    <row r="116" spans="1:6" x14ac:dyDescent="0.4">
      <c r="A116" t="s">
        <v>12</v>
      </c>
      <c r="B116" s="20">
        <v>172461</v>
      </c>
      <c r="C116" s="20">
        <v>10347660</v>
      </c>
      <c r="D116" s="20">
        <v>0</v>
      </c>
      <c r="E116" s="20">
        <v>0</v>
      </c>
      <c r="F116" s="20">
        <v>10347660</v>
      </c>
    </row>
    <row r="119" spans="1:6" x14ac:dyDescent="0.3">
      <c r="A119" s="3" t="s">
        <v>8</v>
      </c>
      <c r="B119" s="3" t="s">
        <v>9</v>
      </c>
      <c r="C119" s="3" t="s">
        <v>10</v>
      </c>
    </row>
    <row r="120" spans="1:6" x14ac:dyDescent="0.4">
      <c r="A120" s="21">
        <v>10347660</v>
      </c>
      <c r="B120" s="21">
        <v>11382426</v>
      </c>
      <c r="C120" s="21" t="s">
        <v>64</v>
      </c>
    </row>
    <row r="122" spans="1:6" x14ac:dyDescent="0.4">
      <c r="A122" s="18" t="s">
        <v>69</v>
      </c>
    </row>
    <row r="123" spans="1:6" x14ac:dyDescent="0.3">
      <c r="A123" s="3" t="s">
        <v>1</v>
      </c>
      <c r="B123" s="3" t="s">
        <v>51</v>
      </c>
      <c r="C123" s="3" t="s">
        <v>3</v>
      </c>
      <c r="D123" s="3" t="s">
        <v>4</v>
      </c>
      <c r="E123" s="3" t="s">
        <v>5</v>
      </c>
      <c r="F123" s="3" t="s">
        <v>6</v>
      </c>
    </row>
    <row r="124" spans="1:6" x14ac:dyDescent="0.4">
      <c r="A124" t="s">
        <v>12</v>
      </c>
      <c r="B124">
        <v>17384700</v>
      </c>
      <c r="C124">
        <v>10430820</v>
      </c>
      <c r="D124">
        <v>0</v>
      </c>
      <c r="E124">
        <v>0</v>
      </c>
      <c r="F124">
        <v>10430820</v>
      </c>
    </row>
    <row r="127" spans="1:6" x14ac:dyDescent="0.3">
      <c r="A127" s="3" t="s">
        <v>8</v>
      </c>
      <c r="B127" s="3" t="s">
        <v>9</v>
      </c>
      <c r="C127" s="3" t="s">
        <v>10</v>
      </c>
    </row>
    <row r="128" spans="1:6" x14ac:dyDescent="0.4">
      <c r="A128">
        <v>10430820</v>
      </c>
      <c r="B128">
        <v>11473902</v>
      </c>
      <c r="C128" t="s">
        <v>68</v>
      </c>
    </row>
    <row r="130" spans="1:6" x14ac:dyDescent="0.4">
      <c r="A130" s="18" t="s">
        <v>75</v>
      </c>
    </row>
    <row r="131" spans="1:6" x14ac:dyDescent="0.3">
      <c r="A131" s="3" t="s">
        <v>1</v>
      </c>
      <c r="B131" s="3" t="s">
        <v>51</v>
      </c>
      <c r="C131" s="3" t="s">
        <v>3</v>
      </c>
      <c r="D131" s="3" t="s">
        <v>4</v>
      </c>
      <c r="E131" s="3" t="s">
        <v>5</v>
      </c>
      <c r="F131" s="3" t="s">
        <v>6</v>
      </c>
    </row>
    <row r="132" spans="1:6" x14ac:dyDescent="0.4">
      <c r="A132" t="s">
        <v>12</v>
      </c>
      <c r="B132">
        <v>25123500</v>
      </c>
      <c r="C132">
        <v>15074100</v>
      </c>
      <c r="D132">
        <v>0</v>
      </c>
      <c r="E132">
        <v>0</v>
      </c>
      <c r="F132">
        <v>15074100</v>
      </c>
    </row>
    <row r="135" spans="1:6" x14ac:dyDescent="0.3">
      <c r="A135" s="3" t="s">
        <v>8</v>
      </c>
      <c r="B135" s="3" t="s">
        <v>9</v>
      </c>
      <c r="C135" s="3" t="s">
        <v>10</v>
      </c>
    </row>
    <row r="136" spans="1:6" x14ac:dyDescent="0.4">
      <c r="A136">
        <v>15074100</v>
      </c>
      <c r="B136">
        <v>16581510</v>
      </c>
      <c r="C136" t="s">
        <v>76</v>
      </c>
    </row>
    <row r="138" spans="1:6" x14ac:dyDescent="0.4">
      <c r="A138" s="18" t="s">
        <v>78</v>
      </c>
    </row>
    <row r="139" spans="1:6" x14ac:dyDescent="0.3">
      <c r="A139" s="3" t="s">
        <v>1</v>
      </c>
      <c r="B139" s="3" t="s">
        <v>51</v>
      </c>
      <c r="C139" s="3" t="s">
        <v>3</v>
      </c>
      <c r="D139" s="3" t="s">
        <v>4</v>
      </c>
      <c r="E139" s="3" t="s">
        <v>5</v>
      </c>
      <c r="F139" s="3" t="s">
        <v>6</v>
      </c>
    </row>
    <row r="140" spans="1:6" x14ac:dyDescent="0.4">
      <c r="A140" t="s">
        <v>12</v>
      </c>
      <c r="B140">
        <v>12787200</v>
      </c>
      <c r="C140">
        <v>7672320</v>
      </c>
      <c r="D140">
        <v>0</v>
      </c>
      <c r="E140">
        <v>0</v>
      </c>
      <c r="F140">
        <v>7672320</v>
      </c>
    </row>
    <row r="143" spans="1:6" x14ac:dyDescent="0.3">
      <c r="A143" s="3" t="s">
        <v>8</v>
      </c>
      <c r="B143" s="3" t="s">
        <v>9</v>
      </c>
      <c r="C143" s="3" t="s">
        <v>10</v>
      </c>
    </row>
    <row r="144" spans="1:6" x14ac:dyDescent="0.4">
      <c r="A144">
        <v>7672320</v>
      </c>
      <c r="B144">
        <v>8439552</v>
      </c>
      <c r="C144" t="s">
        <v>79</v>
      </c>
    </row>
    <row r="145" spans="1:6" x14ac:dyDescent="0.4">
      <c r="A145" s="18" t="s">
        <v>86</v>
      </c>
    </row>
    <row r="146" spans="1:6" x14ac:dyDescent="0.3">
      <c r="A146" s="3" t="s">
        <v>1</v>
      </c>
      <c r="B146" s="3" t="s">
        <v>51</v>
      </c>
      <c r="C146" s="3" t="s">
        <v>3</v>
      </c>
      <c r="D146" s="3" t="s">
        <v>4</v>
      </c>
      <c r="E146" s="3" t="s">
        <v>5</v>
      </c>
      <c r="F146" s="3" t="s">
        <v>6</v>
      </c>
    </row>
    <row r="147" spans="1:6" x14ac:dyDescent="0.4">
      <c r="A147" t="s">
        <v>12</v>
      </c>
      <c r="B147">
        <v>8663100</v>
      </c>
      <c r="C147">
        <v>5197860</v>
      </c>
      <c r="D147">
        <v>0</v>
      </c>
      <c r="E147">
        <v>0</v>
      </c>
      <c r="F147">
        <v>5197860</v>
      </c>
    </row>
    <row r="150" spans="1:6" x14ac:dyDescent="0.3">
      <c r="A150" s="3" t="s">
        <v>8</v>
      </c>
      <c r="B150" s="3" t="s">
        <v>9</v>
      </c>
      <c r="C150" s="3" t="s">
        <v>10</v>
      </c>
    </row>
    <row r="151" spans="1:6" x14ac:dyDescent="0.4">
      <c r="A151">
        <v>5197860</v>
      </c>
      <c r="B151">
        <v>5717646</v>
      </c>
      <c r="C151" t="s">
        <v>87</v>
      </c>
    </row>
    <row r="152" spans="1:6" x14ac:dyDescent="0.4">
      <c r="A152" s="18" t="s">
        <v>91</v>
      </c>
    </row>
    <row r="153" spans="1:6" x14ac:dyDescent="0.3">
      <c r="A153" s="3" t="s">
        <v>1</v>
      </c>
      <c r="B153" s="3" t="s">
        <v>51</v>
      </c>
      <c r="C153" s="3" t="s">
        <v>3</v>
      </c>
      <c r="D153" s="3" t="s">
        <v>4</v>
      </c>
      <c r="E153" s="3" t="s">
        <v>5</v>
      </c>
      <c r="F153" s="3" t="s">
        <v>6</v>
      </c>
    </row>
    <row r="154" spans="1:6" x14ac:dyDescent="0.4">
      <c r="A154" t="s">
        <v>89</v>
      </c>
      <c r="B154">
        <v>10790700</v>
      </c>
      <c r="C154">
        <v>6474420</v>
      </c>
      <c r="D154">
        <v>0</v>
      </c>
      <c r="E154">
        <v>0</v>
      </c>
      <c r="F154" s="4">
        <v>6474420</v>
      </c>
    </row>
    <row r="157" spans="1:6" x14ac:dyDescent="0.3">
      <c r="A157" s="3" t="s">
        <v>8</v>
      </c>
      <c r="B157" s="3" t="s">
        <v>9</v>
      </c>
      <c r="C157" s="3" t="s">
        <v>10</v>
      </c>
    </row>
    <row r="158" spans="1:6" x14ac:dyDescent="0.4">
      <c r="A158">
        <v>6474420</v>
      </c>
      <c r="B158">
        <v>7121862</v>
      </c>
      <c r="C158" t="s">
        <v>90</v>
      </c>
    </row>
    <row r="160" spans="1:6" x14ac:dyDescent="0.4">
      <c r="A160" s="18" t="s">
        <v>96</v>
      </c>
    </row>
    <row r="161" spans="1:6" x14ac:dyDescent="0.3">
      <c r="A161" s="3" t="s">
        <v>1</v>
      </c>
      <c r="B161" s="3" t="s">
        <v>51</v>
      </c>
      <c r="C161" s="3" t="s">
        <v>3</v>
      </c>
      <c r="D161" s="3" t="s">
        <v>4</v>
      </c>
      <c r="E161" s="3" t="s">
        <v>5</v>
      </c>
      <c r="F161" s="3" t="s">
        <v>6</v>
      </c>
    </row>
    <row r="162" spans="1:6" x14ac:dyDescent="0.4">
      <c r="A162" t="s">
        <v>12</v>
      </c>
      <c r="B162">
        <v>14569400</v>
      </c>
      <c r="C162">
        <v>8741640</v>
      </c>
      <c r="D162">
        <v>0</v>
      </c>
      <c r="E162">
        <v>0</v>
      </c>
      <c r="F162" s="4">
        <v>8741640</v>
      </c>
    </row>
    <row r="165" spans="1:6" x14ac:dyDescent="0.3">
      <c r="A165" s="3" t="s">
        <v>8</v>
      </c>
      <c r="B165" s="3" t="s">
        <v>9</v>
      </c>
      <c r="C165" s="3" t="s">
        <v>10</v>
      </c>
    </row>
    <row r="166" spans="1:6" x14ac:dyDescent="0.4">
      <c r="A166">
        <v>8741640</v>
      </c>
      <c r="B166">
        <v>9615804</v>
      </c>
      <c r="C166" t="s">
        <v>95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2"/>
  <sheetViews>
    <sheetView topLeftCell="A61" workbookViewId="0">
      <selection activeCell="A77" sqref="A77"/>
    </sheetView>
  </sheetViews>
  <sheetFormatPr defaultRowHeight="17.399999999999999" x14ac:dyDescent="0.4"/>
  <cols>
    <col min="1" max="1" width="21.69921875" customWidth="1"/>
    <col min="2" max="2" width="13.296875" customWidth="1"/>
    <col min="3" max="3" width="12.5" customWidth="1"/>
    <col min="4" max="4" width="10.5" customWidth="1"/>
    <col min="5" max="5" width="11.19921875" customWidth="1"/>
    <col min="6" max="6" width="12" customWidth="1"/>
  </cols>
  <sheetData>
    <row r="1" spans="1:8" x14ac:dyDescent="0.4">
      <c r="A1" s="2" t="s">
        <v>36</v>
      </c>
    </row>
    <row r="2" spans="1:8" x14ac:dyDescent="0.4">
      <c r="A2" s="18" t="s">
        <v>53</v>
      </c>
    </row>
    <row r="3" spans="1:8" x14ac:dyDescent="0.3">
      <c r="A3" s="3" t="s">
        <v>1</v>
      </c>
      <c r="B3" s="3" t="s">
        <v>51</v>
      </c>
      <c r="C3" s="3" t="s">
        <v>3</v>
      </c>
      <c r="D3" s="3" t="s">
        <v>4</v>
      </c>
      <c r="E3" s="3" t="s">
        <v>5</v>
      </c>
      <c r="F3" s="3" t="s">
        <v>6</v>
      </c>
    </row>
    <row r="4" spans="1:8" x14ac:dyDescent="0.4">
      <c r="A4" t="s">
        <v>58</v>
      </c>
      <c r="B4">
        <v>0</v>
      </c>
      <c r="C4">
        <v>0</v>
      </c>
      <c r="D4">
        <v>0</v>
      </c>
      <c r="E4">
        <v>0</v>
      </c>
      <c r="F4">
        <v>0</v>
      </c>
    </row>
    <row r="5" spans="1:8" x14ac:dyDescent="0.4">
      <c r="A5" t="s">
        <v>61</v>
      </c>
      <c r="B5">
        <v>636600</v>
      </c>
      <c r="C5">
        <v>381960</v>
      </c>
      <c r="D5">
        <v>0</v>
      </c>
      <c r="E5">
        <v>0</v>
      </c>
      <c r="F5">
        <v>381960</v>
      </c>
    </row>
    <row r="8" spans="1:8" x14ac:dyDescent="0.3">
      <c r="A8" s="3" t="s">
        <v>8</v>
      </c>
      <c r="B8" s="3" t="s">
        <v>9</v>
      </c>
      <c r="C8" s="3" t="s">
        <v>10</v>
      </c>
    </row>
    <row r="9" spans="1:8" x14ac:dyDescent="0.4">
      <c r="A9">
        <v>381960</v>
      </c>
      <c r="B9">
        <v>420156</v>
      </c>
      <c r="C9" t="s">
        <v>52</v>
      </c>
    </row>
    <row r="11" spans="1:8" x14ac:dyDescent="0.4">
      <c r="A11" s="18" t="s">
        <v>60</v>
      </c>
    </row>
    <row r="12" spans="1:8" x14ac:dyDescent="0.3">
      <c r="A12" s="3" t="s">
        <v>1</v>
      </c>
      <c r="B12" s="3" t="s">
        <v>51</v>
      </c>
      <c r="C12" s="3" t="s">
        <v>3</v>
      </c>
      <c r="D12" s="3" t="s">
        <v>4</v>
      </c>
      <c r="E12" s="3" t="s">
        <v>5</v>
      </c>
      <c r="F12" s="3" t="s">
        <v>6</v>
      </c>
    </row>
    <row r="13" spans="1:8" x14ac:dyDescent="0.4">
      <c r="A13" t="s">
        <v>58</v>
      </c>
      <c r="B13">
        <v>0</v>
      </c>
      <c r="C13">
        <v>0</v>
      </c>
      <c r="D13">
        <v>0</v>
      </c>
      <c r="E13">
        <v>0</v>
      </c>
      <c r="F13">
        <v>0</v>
      </c>
    </row>
    <row r="14" spans="1:8" x14ac:dyDescent="0.4">
      <c r="A14" t="s">
        <v>59</v>
      </c>
      <c r="B14">
        <v>716400</v>
      </c>
      <c r="C14">
        <v>429840</v>
      </c>
      <c r="D14">
        <v>0</v>
      </c>
      <c r="E14">
        <v>0</v>
      </c>
      <c r="F14">
        <v>429840</v>
      </c>
      <c r="H14" s="21"/>
    </row>
    <row r="17" spans="1:6" x14ac:dyDescent="0.3">
      <c r="A17" s="3" t="s">
        <v>8</v>
      </c>
      <c r="B17" s="3" t="s">
        <v>9</v>
      </c>
      <c r="C17" s="3" t="s">
        <v>10</v>
      </c>
    </row>
    <row r="18" spans="1:6" x14ac:dyDescent="0.4">
      <c r="A18">
        <v>429840</v>
      </c>
      <c r="B18">
        <v>472824</v>
      </c>
      <c r="C18" t="s">
        <v>56</v>
      </c>
    </row>
    <row r="21" spans="1:6" x14ac:dyDescent="0.4">
      <c r="A21" s="18" t="s">
        <v>65</v>
      </c>
    </row>
    <row r="22" spans="1:6" x14ac:dyDescent="0.3">
      <c r="A22" s="3" t="s">
        <v>1</v>
      </c>
      <c r="B22" s="3" t="s">
        <v>51</v>
      </c>
      <c r="C22" s="3" t="s">
        <v>3</v>
      </c>
      <c r="D22" s="3" t="s">
        <v>4</v>
      </c>
      <c r="E22" s="3" t="s">
        <v>5</v>
      </c>
      <c r="F22" s="3" t="s">
        <v>6</v>
      </c>
    </row>
    <row r="23" spans="1:6" x14ac:dyDescent="0.4">
      <c r="A23" t="s">
        <v>58</v>
      </c>
      <c r="B23">
        <v>0</v>
      </c>
      <c r="C23">
        <v>0</v>
      </c>
      <c r="D23">
        <v>0</v>
      </c>
      <c r="E23">
        <v>0</v>
      </c>
      <c r="F23">
        <v>0</v>
      </c>
    </row>
    <row r="24" spans="1:6" x14ac:dyDescent="0.4">
      <c r="A24" t="s">
        <v>59</v>
      </c>
      <c r="B24">
        <v>434700</v>
      </c>
      <c r="C24">
        <v>260820</v>
      </c>
      <c r="D24">
        <v>0</v>
      </c>
      <c r="E24">
        <v>0</v>
      </c>
      <c r="F24">
        <v>260820</v>
      </c>
    </row>
    <row r="27" spans="1:6" x14ac:dyDescent="0.3">
      <c r="A27" s="3" t="s">
        <v>8</v>
      </c>
      <c r="B27" s="3" t="s">
        <v>9</v>
      </c>
      <c r="C27" s="3" t="s">
        <v>10</v>
      </c>
    </row>
    <row r="28" spans="1:6" x14ac:dyDescent="0.4">
      <c r="A28">
        <v>260820</v>
      </c>
      <c r="B28">
        <v>286902</v>
      </c>
      <c r="C28" t="s">
        <v>64</v>
      </c>
    </row>
    <row r="30" spans="1:6" x14ac:dyDescent="0.4">
      <c r="A30" s="18" t="s">
        <v>69</v>
      </c>
    </row>
    <row r="31" spans="1:6" x14ac:dyDescent="0.3">
      <c r="A31" s="22" t="s">
        <v>1</v>
      </c>
      <c r="B31" s="22" t="s">
        <v>51</v>
      </c>
      <c r="C31" s="22" t="s">
        <v>3</v>
      </c>
      <c r="D31" s="22" t="s">
        <v>4</v>
      </c>
      <c r="E31" s="22" t="s">
        <v>5</v>
      </c>
      <c r="F31" s="22" t="s">
        <v>6</v>
      </c>
    </row>
    <row r="32" spans="1:6" x14ac:dyDescent="0.4">
      <c r="A32" t="s">
        <v>58</v>
      </c>
      <c r="B32">
        <v>0</v>
      </c>
      <c r="C32">
        <v>0</v>
      </c>
      <c r="D32">
        <v>0</v>
      </c>
      <c r="E32">
        <v>0</v>
      </c>
      <c r="F32">
        <v>0</v>
      </c>
    </row>
    <row r="33" spans="1:6" x14ac:dyDescent="0.4">
      <c r="A33" t="s">
        <v>59</v>
      </c>
      <c r="B33">
        <v>377100</v>
      </c>
      <c r="C33">
        <v>226260</v>
      </c>
      <c r="D33">
        <v>0</v>
      </c>
      <c r="E33">
        <v>0</v>
      </c>
      <c r="F33">
        <v>226260</v>
      </c>
    </row>
    <row r="36" spans="1:6" x14ac:dyDescent="0.3">
      <c r="A36" s="22" t="s">
        <v>8</v>
      </c>
      <c r="B36" s="22" t="s">
        <v>9</v>
      </c>
      <c r="C36" s="22" t="s">
        <v>10</v>
      </c>
    </row>
    <row r="37" spans="1:6" x14ac:dyDescent="0.4">
      <c r="A37">
        <v>226260</v>
      </c>
      <c r="B37">
        <v>248886</v>
      </c>
      <c r="C37" t="s">
        <v>68</v>
      </c>
    </row>
    <row r="39" spans="1:6" x14ac:dyDescent="0.4">
      <c r="A39" s="18" t="s">
        <v>77</v>
      </c>
    </row>
    <row r="40" spans="1:6" x14ac:dyDescent="0.3">
      <c r="A40" s="3" t="s">
        <v>1</v>
      </c>
      <c r="B40" s="3" t="s">
        <v>51</v>
      </c>
      <c r="C40" s="3" t="s">
        <v>3</v>
      </c>
      <c r="D40" s="3" t="s">
        <v>4</v>
      </c>
      <c r="E40" s="3" t="s">
        <v>5</v>
      </c>
      <c r="F40" s="3" t="s">
        <v>6</v>
      </c>
    </row>
    <row r="41" spans="1:6" x14ac:dyDescent="0.4">
      <c r="A41" t="s">
        <v>58</v>
      </c>
      <c r="B41">
        <v>0</v>
      </c>
      <c r="C41">
        <v>0</v>
      </c>
      <c r="D41">
        <v>0</v>
      </c>
      <c r="E41">
        <v>0</v>
      </c>
      <c r="F41">
        <v>0</v>
      </c>
    </row>
    <row r="42" spans="1:6" x14ac:dyDescent="0.4">
      <c r="A42" t="s">
        <v>59</v>
      </c>
      <c r="B42">
        <v>273600</v>
      </c>
      <c r="C42">
        <v>164160</v>
      </c>
      <c r="D42">
        <v>0</v>
      </c>
      <c r="E42">
        <v>0</v>
      </c>
      <c r="F42">
        <v>164160</v>
      </c>
    </row>
    <row r="45" spans="1:6" x14ac:dyDescent="0.3">
      <c r="A45" s="3" t="s">
        <v>8</v>
      </c>
      <c r="B45" s="3" t="s">
        <v>9</v>
      </c>
      <c r="C45" s="3" t="s">
        <v>10</v>
      </c>
    </row>
    <row r="46" spans="1:6" x14ac:dyDescent="0.4">
      <c r="A46">
        <v>164160</v>
      </c>
      <c r="B46">
        <v>180576</v>
      </c>
      <c r="C46" t="s">
        <v>76</v>
      </c>
    </row>
    <row r="48" spans="1:6" x14ac:dyDescent="0.4">
      <c r="A48" s="18" t="s">
        <v>80</v>
      </c>
    </row>
    <row r="49" spans="1:6" x14ac:dyDescent="0.3">
      <c r="A49" s="3" t="s">
        <v>1</v>
      </c>
      <c r="B49" s="3" t="s">
        <v>51</v>
      </c>
      <c r="C49" s="3" t="s">
        <v>3</v>
      </c>
      <c r="D49" s="3" t="s">
        <v>4</v>
      </c>
      <c r="E49" s="3" t="s">
        <v>5</v>
      </c>
      <c r="F49" s="3" t="s">
        <v>6</v>
      </c>
    </row>
    <row r="50" spans="1:6" x14ac:dyDescent="0.4">
      <c r="A50" t="s">
        <v>58</v>
      </c>
      <c r="B50">
        <v>0</v>
      </c>
      <c r="C50">
        <v>0</v>
      </c>
      <c r="D50">
        <v>0</v>
      </c>
      <c r="E50">
        <v>0</v>
      </c>
      <c r="F50">
        <v>0</v>
      </c>
    </row>
    <row r="51" spans="1:6" x14ac:dyDescent="0.4">
      <c r="A51" t="s">
        <v>59</v>
      </c>
      <c r="B51">
        <v>183300</v>
      </c>
      <c r="C51">
        <v>109980</v>
      </c>
      <c r="D51">
        <v>0</v>
      </c>
      <c r="E51">
        <v>0</v>
      </c>
      <c r="F51">
        <v>109980</v>
      </c>
    </row>
    <row r="54" spans="1:6" x14ac:dyDescent="0.3">
      <c r="A54" s="3" t="s">
        <v>8</v>
      </c>
      <c r="B54" s="3" t="s">
        <v>9</v>
      </c>
      <c r="C54" s="3" t="s">
        <v>10</v>
      </c>
    </row>
    <row r="55" spans="1:6" x14ac:dyDescent="0.4">
      <c r="A55">
        <v>109980</v>
      </c>
      <c r="B55">
        <v>120978</v>
      </c>
      <c r="C55" t="s">
        <v>79</v>
      </c>
    </row>
    <row r="57" spans="1:6" x14ac:dyDescent="0.4">
      <c r="A57" s="18" t="s">
        <v>88</v>
      </c>
    </row>
    <row r="58" spans="1:6" x14ac:dyDescent="0.3">
      <c r="A58" s="3" t="s">
        <v>1</v>
      </c>
      <c r="B58" s="3" t="s">
        <v>51</v>
      </c>
      <c r="C58" s="3" t="s">
        <v>3</v>
      </c>
      <c r="D58" s="3" t="s">
        <v>4</v>
      </c>
      <c r="E58" s="3" t="s">
        <v>5</v>
      </c>
      <c r="F58" s="3" t="s">
        <v>6</v>
      </c>
    </row>
    <row r="59" spans="1:6" x14ac:dyDescent="0.4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</row>
    <row r="60" spans="1:6" x14ac:dyDescent="0.4">
      <c r="A60" t="s">
        <v>59</v>
      </c>
      <c r="B60">
        <v>246600</v>
      </c>
      <c r="C60">
        <v>147960</v>
      </c>
      <c r="D60">
        <v>0</v>
      </c>
      <c r="E60">
        <v>0</v>
      </c>
      <c r="F60">
        <v>147960</v>
      </c>
    </row>
    <row r="63" spans="1:6" x14ac:dyDescent="0.3">
      <c r="A63" s="3" t="s">
        <v>8</v>
      </c>
      <c r="B63" s="3" t="s">
        <v>9</v>
      </c>
      <c r="C63" s="3" t="s">
        <v>10</v>
      </c>
    </row>
    <row r="64" spans="1:6" x14ac:dyDescent="0.4">
      <c r="A64">
        <v>147960</v>
      </c>
      <c r="B64">
        <v>162756</v>
      </c>
      <c r="C64" t="s">
        <v>87</v>
      </c>
    </row>
    <row r="66" spans="1:6" x14ac:dyDescent="0.4">
      <c r="A66" s="18" t="s">
        <v>93</v>
      </c>
    </row>
    <row r="67" spans="1:6" x14ac:dyDescent="0.3">
      <c r="A67" s="3" t="s">
        <v>1</v>
      </c>
      <c r="B67" s="3" t="s">
        <v>51</v>
      </c>
      <c r="C67" s="3" t="s">
        <v>3</v>
      </c>
      <c r="D67" s="3" t="s">
        <v>4</v>
      </c>
      <c r="E67" s="3" t="s">
        <v>5</v>
      </c>
      <c r="F67" s="3" t="s">
        <v>6</v>
      </c>
    </row>
    <row r="68" spans="1:6" x14ac:dyDescent="0.4">
      <c r="A68" t="s">
        <v>58</v>
      </c>
      <c r="B68">
        <v>0</v>
      </c>
      <c r="C68">
        <v>0</v>
      </c>
      <c r="D68">
        <v>0</v>
      </c>
      <c r="E68">
        <v>0</v>
      </c>
      <c r="F68">
        <v>0</v>
      </c>
    </row>
    <row r="69" spans="1:6" x14ac:dyDescent="0.4">
      <c r="A69" t="s">
        <v>92</v>
      </c>
      <c r="B69">
        <v>206700</v>
      </c>
      <c r="C69">
        <v>124020</v>
      </c>
      <c r="D69">
        <v>0</v>
      </c>
      <c r="E69">
        <v>0</v>
      </c>
      <c r="F69">
        <v>124020</v>
      </c>
    </row>
    <row r="72" spans="1:6" x14ac:dyDescent="0.3">
      <c r="A72" s="3" t="s">
        <v>8</v>
      </c>
      <c r="B72" s="3" t="s">
        <v>9</v>
      </c>
      <c r="C72" s="3" t="s">
        <v>10</v>
      </c>
    </row>
    <row r="73" spans="1:6" x14ac:dyDescent="0.4">
      <c r="A73">
        <v>124020</v>
      </c>
      <c r="B73">
        <v>136422</v>
      </c>
      <c r="C73" t="s">
        <v>90</v>
      </c>
    </row>
    <row r="75" spans="1:6" x14ac:dyDescent="0.4">
      <c r="A75" s="18" t="s">
        <v>97</v>
      </c>
    </row>
    <row r="76" spans="1:6" x14ac:dyDescent="0.3">
      <c r="A76" s="3" t="s">
        <v>1</v>
      </c>
      <c r="B76" s="3" t="s">
        <v>51</v>
      </c>
      <c r="C76" s="3" t="s">
        <v>3</v>
      </c>
      <c r="D76" s="3" t="s">
        <v>4</v>
      </c>
      <c r="E76" s="3" t="s">
        <v>5</v>
      </c>
      <c r="F76" s="3" t="s">
        <v>6</v>
      </c>
    </row>
    <row r="77" spans="1:6" x14ac:dyDescent="0.4">
      <c r="A77" t="s">
        <v>58</v>
      </c>
      <c r="B77">
        <v>0</v>
      </c>
      <c r="C77">
        <v>0</v>
      </c>
      <c r="D77">
        <v>0</v>
      </c>
      <c r="E77">
        <v>0</v>
      </c>
      <c r="F77">
        <v>0</v>
      </c>
    </row>
    <row r="78" spans="1:6" x14ac:dyDescent="0.4">
      <c r="A78" t="s">
        <v>59</v>
      </c>
      <c r="B78">
        <v>135600</v>
      </c>
      <c r="C78">
        <v>81360</v>
      </c>
      <c r="D78">
        <v>0</v>
      </c>
      <c r="E78">
        <v>0</v>
      </c>
      <c r="F78">
        <v>81360</v>
      </c>
    </row>
    <row r="81" spans="1:3" x14ac:dyDescent="0.3">
      <c r="A81" s="3" t="s">
        <v>8</v>
      </c>
      <c r="B81" s="3" t="s">
        <v>9</v>
      </c>
      <c r="C81" s="3" t="s">
        <v>10</v>
      </c>
    </row>
    <row r="82" spans="1:3" x14ac:dyDescent="0.4">
      <c r="A82">
        <v>81360</v>
      </c>
      <c r="B82">
        <v>89496</v>
      </c>
      <c r="C82" t="s">
        <v>95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종합</vt:lpstr>
      <vt:lpstr>월별 매출_SW</vt:lpstr>
      <vt:lpstr>월별 매출_KTOON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soojeoung choi</dc:creator>
  <cp:lastModifiedBy>storywiz</cp:lastModifiedBy>
  <dcterms:created xsi:type="dcterms:W3CDTF">2020-12-02T06:07:48Z</dcterms:created>
  <dcterms:modified xsi:type="dcterms:W3CDTF">2022-06-24T01:48:21Z</dcterms:modified>
</cp:coreProperties>
</file>