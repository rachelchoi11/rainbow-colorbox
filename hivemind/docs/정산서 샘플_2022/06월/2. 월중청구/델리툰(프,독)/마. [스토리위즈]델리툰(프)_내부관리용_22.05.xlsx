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델리툰(프,독)\"/>
    </mc:Choice>
  </mc:AlternateContent>
  <bookViews>
    <workbookView xWindow="0" yWindow="0" windowWidth="15504" windowHeight="9588" tabRatio="607"/>
  </bookViews>
  <sheets>
    <sheet name="종합" sheetId="1" r:id="rId1"/>
    <sheet name="월별 정산서" sheetId="6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9" i="1" l="1"/>
  <c r="Q29" i="1"/>
  <c r="P29" i="1"/>
  <c r="O29" i="1"/>
  <c r="N29" i="1"/>
  <c r="L29" i="1"/>
  <c r="I29" i="1"/>
  <c r="H29" i="1"/>
  <c r="C29" i="1"/>
  <c r="F29" i="1"/>
  <c r="B29" i="1"/>
  <c r="R28" i="1" l="1"/>
  <c r="Q28" i="1"/>
  <c r="P28" i="1"/>
  <c r="O28" i="1"/>
  <c r="N28" i="1"/>
  <c r="L28" i="1"/>
  <c r="K28" i="1"/>
  <c r="J28" i="1"/>
  <c r="I28" i="1"/>
  <c r="H28" i="1"/>
  <c r="E28" i="1"/>
  <c r="D28" i="1"/>
  <c r="F28" i="1"/>
  <c r="C28" i="1"/>
  <c r="B28" i="1"/>
  <c r="L27" i="1" l="1"/>
  <c r="I103" i="6" l="1"/>
  <c r="E103" i="6"/>
  <c r="D103" i="6"/>
  <c r="J25" i="1" l="1"/>
  <c r="E97" i="6"/>
  <c r="D97" i="6"/>
  <c r="I97" i="6"/>
  <c r="J24" i="1" l="1"/>
  <c r="K24" i="1" s="1"/>
  <c r="K25" i="1" s="1"/>
  <c r="H24" i="1"/>
  <c r="B24" i="1"/>
  <c r="F24" i="1" s="1"/>
  <c r="H23" i="1" l="1"/>
  <c r="L23" i="1" s="1"/>
  <c r="B23" i="1"/>
  <c r="F23" i="1" s="1"/>
  <c r="H22" i="1" l="1"/>
  <c r="L22" i="1" s="1"/>
  <c r="B22" i="1"/>
  <c r="F22" i="1" s="1"/>
  <c r="F79" i="6"/>
  <c r="H79" i="6"/>
  <c r="I79" i="6"/>
  <c r="J79" i="6"/>
  <c r="E79" i="6"/>
  <c r="L21" i="1" l="1"/>
  <c r="I21" i="1"/>
  <c r="I22" i="1" s="1"/>
  <c r="I23" i="1" s="1"/>
  <c r="I24" i="1" s="1"/>
  <c r="I25" i="1" s="1"/>
  <c r="H21" i="1"/>
  <c r="F21" i="1"/>
  <c r="C21" i="1"/>
  <c r="C22" i="1" s="1"/>
  <c r="C23" i="1" s="1"/>
  <c r="C24" i="1" s="1"/>
  <c r="B21" i="1"/>
  <c r="F73" i="6"/>
  <c r="E73" i="6"/>
  <c r="L20" i="1" l="1"/>
  <c r="H20" i="1"/>
  <c r="F20" i="1"/>
  <c r="B20" i="1"/>
  <c r="J19" i="1" l="1"/>
  <c r="K19" i="1" s="1"/>
  <c r="I19" i="1"/>
  <c r="H19" i="1"/>
  <c r="L19" i="1" s="1"/>
  <c r="D19" i="1"/>
  <c r="E19" i="1" s="1"/>
  <c r="C19" i="1"/>
  <c r="B19" i="1"/>
  <c r="F19" i="1" s="1"/>
  <c r="J18" i="1" l="1"/>
  <c r="I18" i="1"/>
  <c r="H18" i="1"/>
  <c r="L18" i="1" s="1"/>
  <c r="C18" i="1"/>
  <c r="B18" i="1"/>
  <c r="B17" i="1" l="1"/>
  <c r="J17" i="1" l="1"/>
  <c r="H17" i="1"/>
  <c r="L17" i="1" s="1"/>
  <c r="E17" i="1"/>
  <c r="D18" i="1" s="1"/>
  <c r="F18" i="1" s="1"/>
  <c r="J16" i="1" l="1"/>
  <c r="I16" i="1"/>
  <c r="I17" i="1" s="1"/>
  <c r="H16" i="1"/>
  <c r="L16" i="1" s="1"/>
  <c r="E16" i="1"/>
  <c r="D17" i="1" s="1"/>
  <c r="D16" i="1"/>
  <c r="C16" i="1"/>
  <c r="C17" i="1" s="1"/>
  <c r="B16" i="1"/>
  <c r="J15" i="1" l="1"/>
  <c r="K15" i="1" s="1"/>
  <c r="I15" i="1"/>
  <c r="H15" i="1"/>
  <c r="L15" i="1" s="1"/>
  <c r="C15" i="1"/>
  <c r="B15" i="1"/>
  <c r="G28" i="6"/>
  <c r="I27" i="6"/>
  <c r="I29" i="6" s="1"/>
  <c r="E29" i="6"/>
  <c r="D29" i="6"/>
  <c r="H28" i="6" l="1"/>
  <c r="D15" i="1"/>
  <c r="L14" i="1"/>
  <c r="J14" i="1"/>
  <c r="I14" i="1"/>
  <c r="H14" i="1"/>
  <c r="E14" i="1"/>
  <c r="D14" i="1"/>
  <c r="C14" i="1"/>
  <c r="B14" i="1"/>
  <c r="B14" i="6"/>
  <c r="E15" i="1" l="1"/>
  <c r="H13" i="1"/>
  <c r="D13" i="1"/>
  <c r="B13" i="1"/>
  <c r="H12" i="1"/>
  <c r="B12" i="1"/>
  <c r="E13" i="1" l="1"/>
  <c r="I12" i="1"/>
  <c r="I13" i="1" s="1"/>
  <c r="I11" i="1"/>
  <c r="D11" i="1"/>
  <c r="C11" i="1"/>
  <c r="C12" i="1" s="1"/>
  <c r="C13" i="1" s="1"/>
  <c r="B11" i="1"/>
  <c r="J12" i="1" l="1"/>
  <c r="K12" i="1" s="1"/>
  <c r="J13" i="1" s="1"/>
  <c r="L13" i="1" s="1"/>
  <c r="E11" i="1"/>
  <c r="D12" i="1" s="1"/>
  <c r="E12" i="1" s="1"/>
</calcChain>
</file>

<file path=xl/comments1.xml><?xml version="1.0" encoding="utf-8"?>
<comments xmlns="http://schemas.openxmlformats.org/spreadsheetml/2006/main">
  <authors>
    <author>jihui</author>
  </authors>
  <commentList>
    <comment ref="J24" authorId="0" shapeId="0">
      <text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MG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</text>
    </comment>
    <comment ref="J25" authorId="0" shapeId="0">
      <text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MG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</text>
    </comment>
    <comment ref="J26" authorId="0" shapeId="0">
      <text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MG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</text>
    </comment>
  </commentList>
</comments>
</file>

<file path=xl/sharedStrings.xml><?xml version="1.0" encoding="utf-8"?>
<sst xmlns="http://schemas.openxmlformats.org/spreadsheetml/2006/main" count="389" uniqueCount="97">
  <si>
    <t>기본정보</t>
    <phoneticPr fontId="2" type="noConversion"/>
  </si>
  <si>
    <t>매출내역</t>
    <phoneticPr fontId="2" type="noConversion"/>
  </si>
  <si>
    <t>델리툰 (프)</t>
    <phoneticPr fontId="2" type="noConversion"/>
  </si>
  <si>
    <t>cid</t>
  </si>
  <si>
    <t>title</t>
  </si>
  <si>
    <t>CP RS (€)</t>
  </si>
  <si>
    <t>CP RS (￦)</t>
  </si>
  <si>
    <t>전체 MG (￦)</t>
  </si>
  <si>
    <t>남은 MG (￦)</t>
  </si>
  <si>
    <t>차감 후 MG (￦)</t>
  </si>
  <si>
    <t>자급 금액 (￦)</t>
  </si>
  <si>
    <t>Unit</t>
  </si>
  <si>
    <t>Baiser en coulisses</t>
  </si>
  <si>
    <t>KRW</t>
  </si>
  <si>
    <t>Sum</t>
  </si>
  <si>
    <t>상세 *매출월 발생월 기준 / 타이틀 MG, RS 월별 정산 (M+2)</t>
    <phoneticPr fontId="12" type="Hiragana"/>
  </si>
  <si>
    <t>작품명</t>
    <phoneticPr fontId="2" type="noConversion"/>
  </si>
  <si>
    <t>런칭일</t>
    <phoneticPr fontId="2" type="noConversion"/>
  </si>
  <si>
    <t>MG</t>
    <phoneticPr fontId="2" type="noConversion"/>
  </si>
  <si>
    <t>구분</t>
    <phoneticPr fontId="2" type="noConversion"/>
  </si>
  <si>
    <t>BAISER EN COULISSES 
(백스테이지 키스신)</t>
    <phoneticPr fontId="2" type="noConversion"/>
  </si>
  <si>
    <t>MG 정산</t>
    <phoneticPr fontId="2" type="noConversion"/>
  </si>
  <si>
    <t>2020.11.26</t>
    <phoneticPr fontId="2" type="noConversion"/>
  </si>
  <si>
    <t>Les aventures de la fille du Roi Démon</t>
    <phoneticPr fontId="2" type="noConversion"/>
  </si>
  <si>
    <t>BAISER EN COULISSES Les aventures de la fille du Roi Démon
(마왕의 딸로 태어났습니다)</t>
    <phoneticPr fontId="2" type="noConversion"/>
  </si>
  <si>
    <t>2020.12.15</t>
    <phoneticPr fontId="2" type="noConversion"/>
  </si>
  <si>
    <t xml:space="preserve">2020.07 SW매출인식 / 8월 입금 </t>
    <phoneticPr fontId="2" type="noConversion"/>
  </si>
  <si>
    <t xml:space="preserve">2020.06 SW매출인식 / 7월 입금 </t>
    <phoneticPr fontId="2" type="noConversion"/>
  </si>
  <si>
    <t>월별 매출</t>
    <phoneticPr fontId="2" type="noConversion"/>
  </si>
  <si>
    <t>2020년 11월</t>
    <phoneticPr fontId="2" type="noConversion"/>
  </si>
  <si>
    <t>2020년 12월</t>
    <phoneticPr fontId="2" type="noConversion"/>
  </si>
  <si>
    <t>지급 금액 (￦)</t>
    <phoneticPr fontId="2" type="noConversion"/>
  </si>
  <si>
    <t>2021년 01월</t>
    <phoneticPr fontId="2" type="noConversion"/>
  </si>
  <si>
    <t>Les aventures de la fille du Roi Démon</t>
  </si>
  <si>
    <t>정산현황</t>
    <phoneticPr fontId="2" type="noConversion"/>
  </si>
  <si>
    <t>N</t>
    <phoneticPr fontId="2" type="noConversion"/>
  </si>
  <si>
    <t>2021년 02월</t>
    <phoneticPr fontId="2" type="noConversion"/>
  </si>
  <si>
    <t>2021년 03월</t>
    <phoneticPr fontId="2" type="noConversion"/>
  </si>
  <si>
    <t>2021년 04월</t>
    <phoneticPr fontId="2" type="noConversion"/>
  </si>
  <si>
    <t>2021.02 계산서발행</t>
    <phoneticPr fontId="2" type="noConversion"/>
  </si>
  <si>
    <t>2021.03 계산서 발행</t>
    <phoneticPr fontId="2" type="noConversion"/>
  </si>
  <si>
    <t>2021.04 계산서 발행</t>
    <phoneticPr fontId="2" type="noConversion"/>
  </si>
  <si>
    <t>2021.05 계산서 발행</t>
    <phoneticPr fontId="2" type="noConversion"/>
  </si>
  <si>
    <t>2021년 05월</t>
    <phoneticPr fontId="2" type="noConversion"/>
  </si>
  <si>
    <t>delitoonFR</t>
  </si>
  <si>
    <t>CID sum</t>
  </si>
  <si>
    <t>Service</t>
    <phoneticPr fontId="2" type="noConversion"/>
  </si>
  <si>
    <t>2021.06 계산서 발행</t>
    <phoneticPr fontId="2" type="noConversion"/>
  </si>
  <si>
    <t>2021년 06월</t>
    <phoneticPr fontId="2" type="noConversion"/>
  </si>
  <si>
    <t>Service</t>
  </si>
  <si>
    <t>2021년 07월</t>
    <phoneticPr fontId="2" type="noConversion"/>
  </si>
  <si>
    <t>2021.07 계산서 발행</t>
    <phoneticPr fontId="2" type="noConversion"/>
  </si>
  <si>
    <t>2021.07 계산서 발행</t>
    <phoneticPr fontId="2" type="noConversion"/>
  </si>
  <si>
    <t>2021.08 계산서 발행</t>
    <phoneticPr fontId="2" type="noConversion"/>
  </si>
  <si>
    <t>시드</t>
  </si>
  <si>
    <t>제목</t>
  </si>
  <si>
    <t>이상 MG (￦)</t>
  </si>
  <si>
    <t>자급금액(￦)</t>
  </si>
  <si>
    <t>단위</t>
  </si>
  <si>
    <t>원</t>
  </si>
  <si>
    <t>합집합</t>
  </si>
  <si>
    <t>Baiser en coulisses</t>
    <phoneticPr fontId="2" type="noConversion"/>
  </si>
  <si>
    <t>2021년 08월</t>
    <phoneticPr fontId="2" type="noConversion"/>
  </si>
  <si>
    <t>2021.09 계산서 발행</t>
    <phoneticPr fontId="2" type="noConversion"/>
  </si>
  <si>
    <t>RS: 순매출의 40%
매출월: M
정산서 전달: M+1월 20일 내 (CMS로 확인)
실제 정산(계산서 발행): M+2M 진행
기타: 과세사업자</t>
    <phoneticPr fontId="2" type="noConversion"/>
  </si>
  <si>
    <t>2021년 09월</t>
    <phoneticPr fontId="2" type="noConversion"/>
  </si>
  <si>
    <t>2021.10 계산서 발행</t>
    <phoneticPr fontId="2" type="noConversion"/>
  </si>
  <si>
    <t>2021.10</t>
    <phoneticPr fontId="2" type="noConversion"/>
  </si>
  <si>
    <t>2021년 10월</t>
    <phoneticPr fontId="2" type="noConversion"/>
  </si>
  <si>
    <t>Baiser en coulisses</t>
    <phoneticPr fontId="2" type="noConversion"/>
  </si>
  <si>
    <t>2021년 11월</t>
    <phoneticPr fontId="2" type="noConversion"/>
  </si>
  <si>
    <t>2021.12 계산서 발행</t>
    <phoneticPr fontId="2" type="noConversion"/>
  </si>
  <si>
    <t>2021.11 계산서 발행</t>
    <phoneticPr fontId="2" type="noConversion"/>
  </si>
  <si>
    <t>2021.11</t>
    <phoneticPr fontId="2" type="noConversion"/>
  </si>
  <si>
    <t>2021년 12월</t>
    <phoneticPr fontId="2" type="noConversion"/>
  </si>
  <si>
    <t>2021.12 계산서 발행</t>
    <phoneticPr fontId="2" type="noConversion"/>
  </si>
  <si>
    <t>2022년 1월</t>
    <phoneticPr fontId="2" type="noConversion"/>
  </si>
  <si>
    <t>2021.12</t>
    <phoneticPr fontId="2" type="noConversion"/>
  </si>
  <si>
    <t>2022.01 계산서 발행</t>
    <phoneticPr fontId="2" type="noConversion"/>
  </si>
  <si>
    <t>N</t>
    <phoneticPr fontId="2" type="noConversion"/>
  </si>
  <si>
    <t>2022.02 계산서 발행</t>
    <phoneticPr fontId="2" type="noConversion"/>
  </si>
  <si>
    <t>2022.03 계산서 발행</t>
    <phoneticPr fontId="2" type="noConversion"/>
  </si>
  <si>
    <t>N</t>
    <phoneticPr fontId="2" type="noConversion"/>
  </si>
  <si>
    <t>2022년 2월</t>
    <phoneticPr fontId="2" type="noConversion"/>
  </si>
  <si>
    <t>2022.04 계산서 발행</t>
    <phoneticPr fontId="2" type="noConversion"/>
  </si>
  <si>
    <t>2022년 3월</t>
    <phoneticPr fontId="2" type="noConversion"/>
  </si>
  <si>
    <t>Le Retour de la Légende
(회귀의 전설)</t>
    <phoneticPr fontId="2" type="noConversion"/>
  </si>
  <si>
    <t>2022.04.22</t>
    <phoneticPr fontId="2" type="noConversion"/>
  </si>
  <si>
    <t>2022년 4월</t>
    <phoneticPr fontId="2" type="noConversion"/>
  </si>
  <si>
    <t>Le Retour de la Légende</t>
    <phoneticPr fontId="2" type="noConversion"/>
  </si>
  <si>
    <t>2022.05 계산서 발행</t>
    <phoneticPr fontId="2" type="noConversion"/>
  </si>
  <si>
    <t>N</t>
    <phoneticPr fontId="2" type="noConversion"/>
  </si>
  <si>
    <t xml:space="preserve">2021.10 SW매출인식 / 10월 입금 </t>
    <phoneticPr fontId="2" type="noConversion"/>
  </si>
  <si>
    <t>2022년 5월</t>
    <phoneticPr fontId="2" type="noConversion"/>
  </si>
  <si>
    <t>2022.06 계산서 발행</t>
    <phoneticPr fontId="2" type="noConversion"/>
  </si>
  <si>
    <t>2022.06 계산서 발행</t>
    <phoneticPr fontId="2" type="noConversion"/>
  </si>
  <si>
    <t>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</si>
</sst>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_(* #,##0_);_(* \(#,##0\);_(* &quot;-&quot;_);_(@_)"/>
    <numFmt numFmtId="177" formatCode="_(* #,##0.00_);_(* \(#,##0.00\);_(* &quot;-&quot;??_);_(@_)"/>
    <numFmt numFmtId="178" formatCode="_(* #,##0_);_(* \(#,##0\);_(* &quot;-&quot;??_);_(@_)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1"/>
      <color rgb="FFFFFFFF"/>
      <name val="맑은 고딕"/>
      <family val="3"/>
      <charset val="129"/>
      <scheme val="minor"/>
    </font>
    <font>
      <sz val="7"/>
      <color rgb="FF676A6C"/>
      <name val="Arial"/>
      <family val="2"/>
    </font>
    <font>
      <b/>
      <sz val="11"/>
      <color indexed="8"/>
      <name val="맑은 고딕"/>
      <family val="3"/>
      <charset val="129"/>
      <scheme val="minor"/>
    </font>
    <font>
      <b/>
      <sz val="7"/>
      <color rgb="FFFFFFFF"/>
      <name val="Arial"/>
      <family val="2"/>
    </font>
    <font>
      <sz val="11"/>
      <name val="Arial"/>
      <family val="2"/>
    </font>
    <font>
      <sz val="11"/>
      <name val="맑은 고딕"/>
      <family val="2"/>
      <scheme val="minor"/>
    </font>
    <font>
      <b/>
      <sz val="8"/>
      <color rgb="FFFFFFFF"/>
      <name val="Arial"/>
      <family val="2"/>
    </font>
    <font>
      <sz val="8"/>
      <color rgb="FF676A6C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AB39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4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E7E7E7"/>
      </left>
      <right style="medium">
        <color rgb="FFE7E7E7"/>
      </right>
      <top style="medium">
        <color rgb="FFE7EAEC"/>
      </top>
      <bottom style="medium">
        <color rgb="FFE7E7E7"/>
      </bottom>
      <diagonal/>
    </border>
    <border>
      <left style="medium">
        <color rgb="FFEBEBEB"/>
      </left>
      <right style="medium">
        <color rgb="FFE7E7E7"/>
      </right>
      <top style="medium">
        <color rgb="FFEBEBEB"/>
      </top>
      <bottom style="medium">
        <color rgb="FFDDDDDD"/>
      </bottom>
      <diagonal/>
    </border>
    <border>
      <left style="medium">
        <color rgb="FFE7E7E7"/>
      </left>
      <right style="medium">
        <color rgb="FFE7E7E7"/>
      </right>
      <top style="medium">
        <color rgb="FFEBEBEB"/>
      </top>
      <bottom style="medium">
        <color rgb="FFDDDDDD"/>
      </bottom>
      <diagonal/>
    </border>
    <border>
      <left style="medium">
        <color rgb="FFE7E7E7"/>
      </left>
      <right style="medium">
        <color rgb="FFEBEBEB"/>
      </right>
      <top style="medium">
        <color rgb="FFEBEBEB"/>
      </top>
      <bottom style="medium">
        <color rgb="FFDDDDDD"/>
      </bottom>
      <diagonal/>
    </border>
    <border>
      <left style="medium">
        <color rgb="FFEBEBEB"/>
      </left>
      <right style="medium">
        <color rgb="FFE7E7E7"/>
      </right>
      <top style="medium">
        <color rgb="FFE7EAEC"/>
      </top>
      <bottom style="medium">
        <color rgb="FFE7E7E7"/>
      </bottom>
      <diagonal/>
    </border>
    <border>
      <left style="medium">
        <color rgb="FFE7E7E7"/>
      </left>
      <right style="medium">
        <color rgb="FFEBEBEB"/>
      </right>
      <top style="medium">
        <color rgb="FFE7EAEC"/>
      </top>
      <bottom style="medium">
        <color rgb="FFE7E7E7"/>
      </bottom>
      <diagonal/>
    </border>
    <border>
      <left style="medium">
        <color rgb="FFEBEBEB"/>
      </left>
      <right style="medium">
        <color rgb="FFE7E7E7"/>
      </right>
      <top style="medium">
        <color rgb="FFE7EAEC"/>
      </top>
      <bottom style="medium">
        <color rgb="FFEBEBEB"/>
      </bottom>
      <diagonal/>
    </border>
    <border>
      <left style="medium">
        <color rgb="FFE7E7E7"/>
      </left>
      <right style="medium">
        <color rgb="FFE7E7E7"/>
      </right>
      <top style="medium">
        <color rgb="FFE7EAEC"/>
      </top>
      <bottom style="medium">
        <color rgb="FFEBEBEB"/>
      </bottom>
      <diagonal/>
    </border>
    <border>
      <left/>
      <right style="medium">
        <color rgb="FFEBEBEB"/>
      </right>
      <top/>
      <bottom style="medium">
        <color rgb="FFEBEBE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7E7E7"/>
      </left>
      <right style="medium">
        <color rgb="FFE7E7E7"/>
      </right>
      <top/>
      <bottom style="medium">
        <color rgb="FFDDDDDD"/>
      </bottom>
      <diagonal/>
    </border>
    <border>
      <left style="medium">
        <color rgb="FFEBEBEB"/>
      </left>
      <right style="medium">
        <color rgb="FFE7E7E7"/>
      </right>
      <top/>
      <bottom style="medium">
        <color rgb="FFDDDDDD"/>
      </bottom>
      <diagonal/>
    </border>
    <border>
      <left style="medium">
        <color rgb="FFE7E7E7"/>
      </left>
      <right style="medium">
        <color rgb="FFEBEBEB"/>
      </right>
      <top/>
      <bottom style="medium">
        <color rgb="FFDDDDDD"/>
      </bottom>
      <diagonal/>
    </border>
    <border>
      <left style="medium">
        <color rgb="FFE7E7E7"/>
      </left>
      <right style="medium">
        <color rgb="FFE7E7E7"/>
      </right>
      <top/>
      <bottom style="medium">
        <color rgb="FFE7E7E7"/>
      </bottom>
      <diagonal/>
    </border>
    <border>
      <left style="medium">
        <color rgb="FFEBEBEB"/>
      </left>
      <right style="medium">
        <color rgb="FFE7E7E7"/>
      </right>
      <top/>
      <bottom style="medium">
        <color rgb="FFE7E7E7"/>
      </bottom>
      <diagonal/>
    </border>
    <border>
      <left style="medium">
        <color rgb="FFEBEBEB"/>
      </left>
      <right style="medium">
        <color rgb="FFE7E7E7"/>
      </right>
      <top style="medium">
        <color rgb="FFDDDDDD"/>
      </top>
      <bottom/>
      <diagonal/>
    </border>
    <border>
      <left style="medium">
        <color rgb="FFE7E7E7"/>
      </left>
      <right style="medium">
        <color rgb="FFE7E7E7"/>
      </right>
      <top style="medium">
        <color rgb="FFDDDDDD"/>
      </top>
      <bottom/>
      <diagonal/>
    </border>
    <border>
      <left style="medium">
        <color rgb="FFEBEBEB"/>
      </left>
      <right style="medium">
        <color rgb="FFE7E7E7"/>
      </right>
      <top style="medium">
        <color rgb="FFE7E7E7"/>
      </top>
      <bottom/>
      <diagonal/>
    </border>
    <border>
      <left style="medium">
        <color rgb="FFE7E7E7"/>
      </left>
      <right style="medium">
        <color rgb="FFE7E7E7"/>
      </right>
      <top style="medium">
        <color rgb="FFE7E7E7"/>
      </top>
      <bottom/>
      <diagonal/>
    </border>
    <border>
      <left/>
      <right/>
      <top style="medium">
        <color rgb="FFEBEBEB"/>
      </top>
      <bottom/>
      <diagonal/>
    </border>
    <border>
      <left/>
      <right style="medium">
        <color rgb="FFEBEBEB"/>
      </right>
      <top style="medium">
        <color rgb="FFEBEBEB"/>
      </top>
      <bottom/>
      <diagonal/>
    </border>
  </borders>
  <cellStyleXfs count="9">
    <xf numFmtId="0" fontId="0" fillId="0" borderId="0">
      <alignment vertical="center"/>
    </xf>
    <xf numFmtId="0" fontId="8" fillId="0" borderId="0">
      <alignment vertical="center"/>
    </xf>
    <xf numFmtId="0" fontId="8" fillId="0" borderId="0"/>
    <xf numFmtId="176" fontId="9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9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2"/>
    <xf numFmtId="176" fontId="8" fillId="0" borderId="0" xfId="3" applyFont="1"/>
    <xf numFmtId="178" fontId="8" fillId="0" borderId="0" xfId="4" applyNumberFormat="1" applyFont="1"/>
    <xf numFmtId="0" fontId="9" fillId="0" borderId="0" xfId="5"/>
    <xf numFmtId="177" fontId="8" fillId="0" borderId="0" xfId="4" applyFont="1"/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3" fontId="11" fillId="0" borderId="5" xfId="0" applyNumberFormat="1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13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4" fontId="0" fillId="0" borderId="6" xfId="0" applyNumberFormat="1" applyBorder="1" applyAlignment="1">
      <alignment horizontal="right" vertical="center" wrapText="1"/>
    </xf>
    <xf numFmtId="3" fontId="0" fillId="0" borderId="6" xfId="0" applyNumberFormat="1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15" fillId="3" borderId="7" xfId="0" applyFont="1" applyFill="1" applyBorder="1" applyAlignment="1">
      <alignment horizontal="center" vertical="top" wrapText="1"/>
    </xf>
    <xf numFmtId="0" fontId="15" fillId="3" borderId="8" xfId="0" applyFont="1" applyFill="1" applyBorder="1" applyAlignment="1">
      <alignment horizontal="center" vertical="top" wrapText="1"/>
    </xf>
    <xf numFmtId="0" fontId="15" fillId="3" borderId="9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top" wrapText="1"/>
    </xf>
    <xf numFmtId="0" fontId="16" fillId="4" borderId="13" xfId="0" applyFont="1" applyFill="1" applyBorder="1" applyAlignment="1">
      <alignment horizontal="center" vertical="top" wrapText="1"/>
    </xf>
    <xf numFmtId="4" fontId="16" fillId="4" borderId="13" xfId="0" applyNumberFormat="1" applyFont="1" applyFill="1" applyBorder="1" applyAlignment="1">
      <alignment horizontal="right" vertical="top" wrapText="1"/>
    </xf>
    <xf numFmtId="3" fontId="16" fillId="4" borderId="13" xfId="0" applyNumberFormat="1" applyFont="1" applyFill="1" applyBorder="1" applyAlignment="1">
      <alignment horizontal="right" vertical="top" wrapText="1"/>
    </xf>
    <xf numFmtId="0" fontId="16" fillId="4" borderId="13" xfId="0" applyFont="1" applyFill="1" applyBorder="1" applyAlignment="1">
      <alignment horizontal="right" vertical="top" wrapText="1"/>
    </xf>
    <xf numFmtId="0" fontId="0" fillId="0" borderId="14" xfId="0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41" fontId="5" fillId="0" borderId="1" xfId="8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7" fillId="0" borderId="0" xfId="2" applyFont="1"/>
    <xf numFmtId="0" fontId="17" fillId="5" borderId="0" xfId="2" applyFont="1" applyFill="1"/>
    <xf numFmtId="41" fontId="5" fillId="6" borderId="1" xfId="8" applyFont="1" applyFill="1" applyBorder="1">
      <alignment vertical="center"/>
    </xf>
    <xf numFmtId="0" fontId="18" fillId="3" borderId="18" xfId="0" applyFont="1" applyFill="1" applyBorder="1" applyAlignment="1">
      <alignment horizontal="center" vertical="top" wrapText="1"/>
    </xf>
    <xf numFmtId="0" fontId="18" fillId="3" borderId="19" xfId="0" applyFont="1" applyFill="1" applyBorder="1" applyAlignment="1">
      <alignment horizontal="center" vertical="top" wrapText="1"/>
    </xf>
    <xf numFmtId="0" fontId="18" fillId="3" borderId="20" xfId="0" applyFont="1" applyFill="1" applyBorder="1" applyAlignment="1">
      <alignment horizontal="center" vertical="top" wrapText="1"/>
    </xf>
    <xf numFmtId="0" fontId="0" fillId="7" borderId="14" xfId="0" applyFill="1" applyBorder="1">
      <alignment vertical="center"/>
    </xf>
    <xf numFmtId="0" fontId="19" fillId="7" borderId="10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4" fontId="19" fillId="7" borderId="6" xfId="0" applyNumberFormat="1" applyFont="1" applyFill="1" applyBorder="1" applyAlignment="1">
      <alignment horizontal="right" vertical="center" wrapText="1"/>
    </xf>
    <xf numFmtId="3" fontId="19" fillId="7" borderId="6" xfId="0" applyNumberFormat="1" applyFont="1" applyFill="1" applyBorder="1" applyAlignment="1">
      <alignment horizontal="right" vertical="center" wrapText="1"/>
    </xf>
    <xf numFmtId="0" fontId="19" fillId="7" borderId="6" xfId="0" applyFont="1" applyFill="1" applyBorder="1" applyAlignment="1">
      <alignment horizontal="right" vertical="center" wrapText="1"/>
    </xf>
    <xf numFmtId="0" fontId="19" fillId="7" borderId="11" xfId="0" applyFont="1" applyFill="1" applyBorder="1" applyAlignment="1">
      <alignment horizontal="center" vertical="center" wrapText="1"/>
    </xf>
    <xf numFmtId="3" fontId="5" fillId="0" borderId="1" xfId="0" applyNumberFormat="1" applyFont="1" applyBorder="1">
      <alignment vertical="center"/>
    </xf>
    <xf numFmtId="41" fontId="5" fillId="0" borderId="1" xfId="0" applyNumberFormat="1" applyFont="1" applyBorder="1">
      <alignment vertical="center"/>
    </xf>
    <xf numFmtId="41" fontId="4" fillId="0" borderId="1" xfId="8" applyFont="1" applyBorder="1">
      <alignment vertical="center"/>
    </xf>
    <xf numFmtId="41" fontId="4" fillId="0" borderId="1" xfId="8" applyFont="1" applyBorder="1" applyAlignment="1">
      <alignment horizontal="center" vertical="center"/>
    </xf>
    <xf numFmtId="41" fontId="4" fillId="0" borderId="1" xfId="8" applyFont="1" applyBorder="1" applyAlignment="1">
      <alignment horizontal="center" vertical="center" wrapText="1"/>
    </xf>
    <xf numFmtId="41" fontId="4" fillId="5" borderId="1" xfId="8" applyFont="1" applyFill="1" applyBorder="1">
      <alignment vertical="center"/>
    </xf>
    <xf numFmtId="41" fontId="4" fillId="5" borderId="1" xfId="0" applyNumberFormat="1" applyFont="1" applyFill="1" applyBorder="1">
      <alignment vertical="center"/>
    </xf>
    <xf numFmtId="3" fontId="4" fillId="5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20" fillId="0" borderId="0" xfId="3" applyFont="1"/>
    <xf numFmtId="0" fontId="20" fillId="0" borderId="0" xfId="5" applyFont="1"/>
    <xf numFmtId="178" fontId="20" fillId="0" borderId="0" xfId="4" applyNumberFormat="1" applyFont="1"/>
    <xf numFmtId="0" fontId="20" fillId="0" borderId="0" xfId="2" applyFont="1"/>
    <xf numFmtId="0" fontId="19" fillId="8" borderId="6" xfId="0" applyFont="1" applyFill="1" applyBorder="1" applyAlignment="1">
      <alignment horizontal="center" vertical="center" wrapText="1"/>
    </xf>
    <xf numFmtId="4" fontId="19" fillId="8" borderId="6" xfId="0" applyNumberFormat="1" applyFont="1" applyFill="1" applyBorder="1" applyAlignment="1">
      <alignment horizontal="right" vertical="center" wrapText="1"/>
    </xf>
    <xf numFmtId="3" fontId="19" fillId="8" borderId="6" xfId="0" applyNumberFormat="1" applyFont="1" applyFill="1" applyBorder="1" applyAlignment="1">
      <alignment horizontal="right" vertical="center" wrapText="1"/>
    </xf>
    <xf numFmtId="0" fontId="19" fillId="8" borderId="6" xfId="0" applyFont="1" applyFill="1" applyBorder="1" applyAlignment="1">
      <alignment horizontal="right" vertical="center" wrapText="1"/>
    </xf>
    <xf numFmtId="0" fontId="19" fillId="8" borderId="11" xfId="0" applyFont="1" applyFill="1" applyBorder="1" applyAlignment="1">
      <alignment horizontal="center" vertical="center" wrapText="1"/>
    </xf>
    <xf numFmtId="3" fontId="19" fillId="4" borderId="13" xfId="0" applyNumberFormat="1" applyFont="1" applyFill="1" applyBorder="1" applyAlignment="1">
      <alignment horizontal="right" vertical="top" wrapText="1"/>
    </xf>
    <xf numFmtId="0" fontId="5" fillId="0" borderId="1" xfId="0" applyFont="1" applyBorder="1" applyAlignment="1">
      <alignment horizontal="center" vertical="center"/>
    </xf>
    <xf numFmtId="0" fontId="0" fillId="8" borderId="6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right" vertical="center" wrapText="1"/>
    </xf>
    <xf numFmtId="3" fontId="0" fillId="8" borderId="6" xfId="0" applyNumberFormat="1" applyFill="1" applyBorder="1" applyAlignment="1">
      <alignment horizontal="right" vertical="center" wrapText="1"/>
    </xf>
    <xf numFmtId="0" fontId="0" fillId="8" borderId="11" xfId="0" applyFill="1" applyBorder="1" applyAlignment="1">
      <alignment horizontal="center" vertical="center" wrapText="1"/>
    </xf>
    <xf numFmtId="41" fontId="4" fillId="9" borderId="1" xfId="8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top" wrapText="1"/>
    </xf>
    <xf numFmtId="0" fontId="22" fillId="7" borderId="6" xfId="0" applyFont="1" applyFill="1" applyBorder="1" applyAlignment="1">
      <alignment horizontal="center" vertical="center" wrapText="1"/>
    </xf>
    <xf numFmtId="4" fontId="22" fillId="7" borderId="6" xfId="0" applyNumberFormat="1" applyFont="1" applyFill="1" applyBorder="1" applyAlignment="1">
      <alignment horizontal="right" vertical="center" wrapText="1"/>
    </xf>
    <xf numFmtId="3" fontId="22" fillId="7" borderId="6" xfId="0" applyNumberFormat="1" applyFont="1" applyFill="1" applyBorder="1" applyAlignment="1">
      <alignment horizontal="right" vertical="center" wrapText="1"/>
    </xf>
    <xf numFmtId="0" fontId="22" fillId="7" borderId="6" xfId="0" applyFont="1" applyFill="1" applyBorder="1" applyAlignment="1">
      <alignment horizontal="right" vertical="center" wrapText="1"/>
    </xf>
    <xf numFmtId="0" fontId="0" fillId="7" borderId="27" xfId="0" applyFill="1" applyBorder="1">
      <alignment vertical="center"/>
    </xf>
    <xf numFmtId="0" fontId="0" fillId="7" borderId="28" xfId="0" applyFill="1" applyBorder="1">
      <alignment vertical="center"/>
    </xf>
    <xf numFmtId="0" fontId="21" fillId="3" borderId="19" xfId="0" applyFont="1" applyFill="1" applyBorder="1" applyAlignment="1">
      <alignment horizontal="center" vertical="top" wrapText="1"/>
    </xf>
    <xf numFmtId="0" fontId="21" fillId="3" borderId="20" xfId="0" applyFont="1" applyFill="1" applyBorder="1" applyAlignment="1">
      <alignment horizontal="center" vertical="top" wrapText="1"/>
    </xf>
    <xf numFmtId="0" fontId="22" fillId="7" borderId="10" xfId="0" applyFont="1" applyFill="1" applyBorder="1" applyAlignment="1">
      <alignment horizontal="center" vertical="center" wrapText="1"/>
    </xf>
    <xf numFmtId="0" fontId="22" fillId="7" borderId="11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center" vertical="top" wrapText="1"/>
    </xf>
    <xf numFmtId="0" fontId="22" fillId="4" borderId="13" xfId="0" applyFont="1" applyFill="1" applyBorder="1" applyAlignment="1">
      <alignment horizontal="center" vertical="top" wrapText="1"/>
    </xf>
    <xf numFmtId="4" fontId="22" fillId="4" borderId="13" xfId="0" applyNumberFormat="1" applyFont="1" applyFill="1" applyBorder="1" applyAlignment="1">
      <alignment horizontal="right" vertical="top" wrapText="1"/>
    </xf>
    <xf numFmtId="3" fontId="22" fillId="4" borderId="13" xfId="0" applyNumberFormat="1" applyFont="1" applyFill="1" applyBorder="1" applyAlignment="1">
      <alignment horizontal="right" vertical="top" wrapText="1"/>
    </xf>
    <xf numFmtId="0" fontId="5" fillId="0" borderId="1" xfId="0" applyFont="1" applyFill="1" applyBorder="1" applyAlignment="1">
      <alignment horizontal="center" vertical="center"/>
    </xf>
    <xf numFmtId="3" fontId="5" fillId="0" borderId="1" xfId="0" applyNumberFormat="1" applyFont="1" applyFill="1" applyBorder="1">
      <alignment vertical="center"/>
    </xf>
    <xf numFmtId="41" fontId="5" fillId="0" borderId="1" xfId="0" applyNumberFormat="1" applyFont="1" applyFill="1" applyBorder="1">
      <alignment vertical="center"/>
    </xf>
    <xf numFmtId="0" fontId="0" fillId="0" borderId="0" xfId="0" applyFill="1">
      <alignment vertical="center"/>
    </xf>
    <xf numFmtId="41" fontId="4" fillId="0" borderId="1" xfId="8" applyFont="1" applyFill="1" applyBorder="1" applyAlignment="1">
      <alignment horizontal="center" vertical="center"/>
    </xf>
    <xf numFmtId="41" fontId="4" fillId="0" borderId="1" xfId="8" applyFont="1" applyFill="1" applyBorder="1">
      <alignment vertical="center"/>
    </xf>
    <xf numFmtId="3" fontId="4" fillId="0" borderId="1" xfId="0" applyNumberFormat="1" applyFont="1" applyFill="1" applyBorder="1">
      <alignment vertical="center"/>
    </xf>
    <xf numFmtId="0" fontId="5" fillId="9" borderId="1" xfId="0" applyFont="1" applyFill="1" applyBorder="1">
      <alignment vertical="center"/>
    </xf>
    <xf numFmtId="0" fontId="5" fillId="9" borderId="1" xfId="0" quotePrefix="1" applyFont="1" applyFill="1" applyBorder="1" applyAlignment="1">
      <alignment horizontal="center" vertical="center"/>
    </xf>
    <xf numFmtId="41" fontId="16" fillId="4" borderId="13" xfId="8" applyFont="1" applyFill="1" applyBorder="1" applyAlignment="1">
      <alignment horizontal="right" vertical="top" wrapText="1"/>
    </xf>
    <xf numFmtId="41" fontId="5" fillId="9" borderId="1" xfId="8" applyFont="1" applyFill="1" applyBorder="1">
      <alignment vertical="center"/>
    </xf>
    <xf numFmtId="0" fontId="5" fillId="0" borderId="2" xfId="0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41" fontId="5" fillId="9" borderId="1" xfId="0" applyNumberFormat="1" applyFont="1" applyFill="1" applyBorder="1">
      <alignment vertical="center"/>
    </xf>
    <xf numFmtId="41" fontId="4" fillId="9" borderId="1" xfId="8" applyFont="1" applyFill="1" applyBorder="1">
      <alignment vertical="center"/>
    </xf>
    <xf numFmtId="3" fontId="15" fillId="3" borderId="8" xfId="0" applyNumberFormat="1" applyFont="1" applyFill="1" applyBorder="1" applyAlignment="1">
      <alignment horizontal="center" vertical="top" wrapText="1"/>
    </xf>
    <xf numFmtId="0" fontId="5" fillId="0" borderId="1" xfId="0" quotePrefix="1" applyFont="1" applyFill="1" applyBorder="1" applyAlignment="1">
      <alignment horizontal="center" vertical="center"/>
    </xf>
    <xf numFmtId="41" fontId="5" fillId="0" borderId="1" xfId="8" applyFont="1" applyFill="1" applyBorder="1">
      <alignment vertical="center"/>
    </xf>
    <xf numFmtId="0" fontId="5" fillId="0" borderId="1" xfId="0" applyFont="1" applyFill="1" applyBorder="1">
      <alignment vertical="center"/>
    </xf>
    <xf numFmtId="41" fontId="4" fillId="0" borderId="1" xfId="0" applyNumberFormat="1" applyFont="1" applyFill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1" fontId="5" fillId="0" borderId="1" xfId="8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1" fontId="5" fillId="0" borderId="15" xfId="8" applyFont="1" applyBorder="1" applyAlignment="1">
      <alignment horizontal="center" vertical="center"/>
    </xf>
    <xf numFmtId="41" fontId="5" fillId="0" borderId="16" xfId="8" applyFont="1" applyBorder="1" applyAlignment="1">
      <alignment horizontal="center" vertical="center"/>
    </xf>
    <xf numFmtId="41" fontId="5" fillId="0" borderId="17" xfId="8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9" fillId="7" borderId="23" xfId="0" applyFont="1" applyFill="1" applyBorder="1" applyAlignment="1">
      <alignment horizontal="center" vertical="center" wrapText="1"/>
    </xf>
    <xf numFmtId="0" fontId="19" fillId="7" borderId="22" xfId="0" applyFont="1" applyFill="1" applyBorder="1" applyAlignment="1">
      <alignment horizontal="center" vertical="center" wrapText="1"/>
    </xf>
    <xf numFmtId="0" fontId="19" fillId="7" borderId="24" xfId="0" applyFont="1" applyFill="1" applyBorder="1" applyAlignment="1">
      <alignment horizontal="center" vertical="center" wrapText="1"/>
    </xf>
    <xf numFmtId="0" fontId="19" fillId="7" borderId="21" xfId="0" applyFont="1" applyFill="1" applyBorder="1" applyAlignment="1">
      <alignment horizontal="center" vertical="center" wrapText="1"/>
    </xf>
    <xf numFmtId="0" fontId="19" fillId="7" borderId="25" xfId="0" applyFont="1" applyFill="1" applyBorder="1" applyAlignment="1">
      <alignment horizontal="center" vertical="center" wrapText="1"/>
    </xf>
    <xf numFmtId="0" fontId="19" fillId="7" borderId="26" xfId="0" applyFont="1" applyFill="1" applyBorder="1" applyAlignment="1">
      <alignment horizontal="center" vertical="center" wrapText="1"/>
    </xf>
  </cellXfs>
  <cellStyles count="9">
    <cellStyle name="Comma [0] 2 2" xfId="3"/>
    <cellStyle name="Normal 2" xfId="2"/>
    <cellStyle name="Normal 3 2" xfId="5"/>
    <cellStyle name="백분율 2" xfId="6"/>
    <cellStyle name="쉼표 [0]" xfId="8" builtinId="6"/>
    <cellStyle name="쉼표 [0] 3" xfId="7"/>
    <cellStyle name="쉼표 2" xfId="4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9"/>
  <sheetViews>
    <sheetView tabSelected="1" zoomScale="70" zoomScaleNormal="70" workbookViewId="0">
      <selection activeCell="A3" sqref="A3:D3"/>
    </sheetView>
  </sheetViews>
  <sheetFormatPr defaultRowHeight="17.399999999999999" x14ac:dyDescent="0.4"/>
  <cols>
    <col min="1" max="1" width="9.69921875" customWidth="1"/>
    <col min="2" max="2" width="10" bestFit="1" customWidth="1"/>
    <col min="3" max="4" width="12.3984375" bestFit="1" customWidth="1"/>
    <col min="5" max="5" width="15" bestFit="1" customWidth="1"/>
    <col min="6" max="6" width="12.796875" bestFit="1" customWidth="1"/>
    <col min="7" max="7" width="20.3984375" bestFit="1" customWidth="1"/>
    <col min="8" max="8" width="11.09765625" bestFit="1" customWidth="1"/>
    <col min="9" max="10" width="12.3984375" bestFit="1" customWidth="1"/>
    <col min="11" max="11" width="15" bestFit="1" customWidth="1"/>
    <col min="12" max="12" width="12.796875" bestFit="1" customWidth="1"/>
    <col min="13" max="13" width="20.3984375" bestFit="1" customWidth="1"/>
    <col min="14" max="14" width="11.09765625" bestFit="1" customWidth="1"/>
    <col min="15" max="16" width="12.3984375" bestFit="1" customWidth="1"/>
    <col min="17" max="17" width="15" bestFit="1" customWidth="1"/>
    <col min="18" max="18" width="12.796875" bestFit="1" customWidth="1"/>
    <col min="19" max="19" width="20.3984375" bestFit="1" customWidth="1"/>
  </cols>
  <sheetData>
    <row r="1" spans="1:19" ht="25.2" x14ac:dyDescent="0.4">
      <c r="A1" s="3" t="s">
        <v>2</v>
      </c>
      <c r="B1" s="2"/>
    </row>
    <row r="2" spans="1:19" x14ac:dyDescent="0.4">
      <c r="A2" s="2" t="s">
        <v>0</v>
      </c>
      <c r="B2" s="2"/>
    </row>
    <row r="3" spans="1:19" ht="98.55" customHeight="1" x14ac:dyDescent="0.4">
      <c r="A3" s="116" t="s">
        <v>64</v>
      </c>
      <c r="B3" s="116"/>
      <c r="C3" s="116"/>
      <c r="D3" s="116"/>
      <c r="E3" s="1"/>
      <c r="F3" s="1"/>
      <c r="G3" s="1"/>
      <c r="H3" s="1"/>
      <c r="I3" s="1"/>
      <c r="J3" s="1"/>
      <c r="K3" s="1"/>
      <c r="L3" s="1"/>
      <c r="M3" s="1"/>
    </row>
    <row r="5" spans="1:19" x14ac:dyDescent="0.4">
      <c r="A5" s="2" t="s">
        <v>1</v>
      </c>
      <c r="B5" s="2"/>
    </row>
    <row r="6" spans="1:19" x14ac:dyDescent="0.4">
      <c r="A6" s="2" t="s">
        <v>15</v>
      </c>
    </row>
    <row r="7" spans="1:19" ht="31.05" customHeight="1" x14ac:dyDescent="0.4">
      <c r="A7" s="32" t="s">
        <v>16</v>
      </c>
      <c r="B7" s="117" t="s">
        <v>20</v>
      </c>
      <c r="C7" s="118"/>
      <c r="D7" s="118"/>
      <c r="E7" s="118"/>
      <c r="F7" s="118"/>
      <c r="G7" s="119"/>
      <c r="H7" s="113" t="s">
        <v>24</v>
      </c>
      <c r="I7" s="113"/>
      <c r="J7" s="113"/>
      <c r="K7" s="113"/>
      <c r="L7" s="113"/>
      <c r="M7" s="113"/>
      <c r="N7" s="113" t="s">
        <v>86</v>
      </c>
      <c r="O7" s="113"/>
      <c r="P7" s="113"/>
      <c r="Q7" s="113"/>
      <c r="R7" s="113"/>
      <c r="S7" s="113"/>
    </row>
    <row r="8" spans="1:19" x14ac:dyDescent="0.4">
      <c r="A8" s="32" t="s">
        <v>17</v>
      </c>
      <c r="B8" s="120" t="s">
        <v>22</v>
      </c>
      <c r="C8" s="121"/>
      <c r="D8" s="121"/>
      <c r="E8" s="121"/>
      <c r="F8" s="121"/>
      <c r="G8" s="122"/>
      <c r="H8" s="114" t="s">
        <v>25</v>
      </c>
      <c r="I8" s="114"/>
      <c r="J8" s="114"/>
      <c r="K8" s="114"/>
      <c r="L8" s="114"/>
      <c r="M8" s="114"/>
      <c r="N8" s="114" t="s">
        <v>87</v>
      </c>
      <c r="O8" s="114"/>
      <c r="P8" s="114"/>
      <c r="Q8" s="114"/>
      <c r="R8" s="114"/>
      <c r="S8" s="114"/>
    </row>
    <row r="9" spans="1:19" x14ac:dyDescent="0.4">
      <c r="A9" s="32" t="s">
        <v>18</v>
      </c>
      <c r="B9" s="115">
        <v>2500000</v>
      </c>
      <c r="C9" s="115"/>
      <c r="D9" s="32" t="s">
        <v>21</v>
      </c>
      <c r="E9" s="123" t="s">
        <v>27</v>
      </c>
      <c r="F9" s="124"/>
      <c r="G9" s="125"/>
      <c r="H9" s="115">
        <v>3000000</v>
      </c>
      <c r="I9" s="115"/>
      <c r="J9" s="32" t="s">
        <v>21</v>
      </c>
      <c r="K9" s="115" t="s">
        <v>26</v>
      </c>
      <c r="L9" s="115"/>
      <c r="M9" s="115"/>
      <c r="N9" s="115">
        <v>5000000</v>
      </c>
      <c r="O9" s="115"/>
      <c r="P9" s="32" t="s">
        <v>21</v>
      </c>
      <c r="Q9" s="115" t="s">
        <v>92</v>
      </c>
      <c r="R9" s="115"/>
      <c r="S9" s="115"/>
    </row>
    <row r="10" spans="1:19" x14ac:dyDescent="0.35">
      <c r="A10" s="32" t="s">
        <v>19</v>
      </c>
      <c r="B10" s="14" t="s">
        <v>6</v>
      </c>
      <c r="C10" s="14" t="s">
        <v>7</v>
      </c>
      <c r="D10" s="14" t="s">
        <v>8</v>
      </c>
      <c r="E10" s="15" t="s">
        <v>9</v>
      </c>
      <c r="F10" s="15" t="s">
        <v>31</v>
      </c>
      <c r="G10" s="15" t="s">
        <v>34</v>
      </c>
      <c r="H10" s="14" t="s">
        <v>6</v>
      </c>
      <c r="I10" s="14" t="s">
        <v>7</v>
      </c>
      <c r="J10" s="14" t="s">
        <v>8</v>
      </c>
      <c r="K10" s="15" t="s">
        <v>9</v>
      </c>
      <c r="L10" s="15" t="s">
        <v>31</v>
      </c>
      <c r="M10" s="15" t="s">
        <v>34</v>
      </c>
      <c r="N10" s="14" t="s">
        <v>6</v>
      </c>
      <c r="O10" s="14" t="s">
        <v>7</v>
      </c>
      <c r="P10" s="14" t="s">
        <v>8</v>
      </c>
      <c r="Q10" s="15" t="s">
        <v>9</v>
      </c>
      <c r="R10" s="15" t="s">
        <v>31</v>
      </c>
      <c r="S10" s="15" t="s">
        <v>34</v>
      </c>
    </row>
    <row r="11" spans="1:19" x14ac:dyDescent="0.4">
      <c r="A11" s="16">
        <v>2020.11</v>
      </c>
      <c r="B11" s="33">
        <f>'월별 정산서'!E4</f>
        <v>464842</v>
      </c>
      <c r="C11" s="33">
        <f>'월별 정산서'!F4</f>
        <v>2500000</v>
      </c>
      <c r="D11" s="33">
        <f>'월별 정산서'!G4</f>
        <v>2500000</v>
      </c>
      <c r="E11" s="39">
        <f>D11-B11</f>
        <v>2035158</v>
      </c>
      <c r="F11" s="55">
        <v>0</v>
      </c>
      <c r="G11" s="53" t="s">
        <v>35</v>
      </c>
      <c r="H11" s="33">
        <v>0</v>
      </c>
      <c r="I11" s="33">
        <f>H111</f>
        <v>0</v>
      </c>
      <c r="J11" s="33">
        <v>0</v>
      </c>
      <c r="K11" s="33">
        <v>0</v>
      </c>
      <c r="L11" s="55">
        <v>0</v>
      </c>
      <c r="M11" s="52">
        <v>0</v>
      </c>
      <c r="N11" s="33"/>
      <c r="O11" s="33"/>
      <c r="P11" s="33"/>
      <c r="Q11" s="110"/>
      <c r="R11" s="98"/>
      <c r="S11" s="52"/>
    </row>
    <row r="12" spans="1:19" x14ac:dyDescent="0.4">
      <c r="A12" s="16">
        <v>2020.12</v>
      </c>
      <c r="B12" s="33">
        <f>'월별 정산서'!E10</f>
        <v>390296</v>
      </c>
      <c r="C12" s="33">
        <f>C11</f>
        <v>2500000</v>
      </c>
      <c r="D12" s="33">
        <f>E11</f>
        <v>2035158</v>
      </c>
      <c r="E12" s="39">
        <f>D12-B12</f>
        <v>1644862</v>
      </c>
      <c r="F12" s="55">
        <v>0</v>
      </c>
      <c r="G12" s="53" t="s">
        <v>35</v>
      </c>
      <c r="H12" s="33">
        <f>'월별 정산서'!E9</f>
        <v>2762380</v>
      </c>
      <c r="I12" s="33">
        <f>H9</f>
        <v>3000000</v>
      </c>
      <c r="J12" s="33">
        <f>I12</f>
        <v>3000000</v>
      </c>
      <c r="K12" s="39">
        <f>J12-H12</f>
        <v>237620</v>
      </c>
      <c r="L12" s="55">
        <v>0</v>
      </c>
      <c r="M12" s="53" t="s">
        <v>35</v>
      </c>
      <c r="N12" s="33"/>
      <c r="O12" s="33"/>
      <c r="P12" s="33"/>
      <c r="Q12" s="110"/>
      <c r="R12" s="98"/>
      <c r="S12" s="53"/>
    </row>
    <row r="13" spans="1:19" x14ac:dyDescent="0.4">
      <c r="A13" s="34">
        <v>2021.01</v>
      </c>
      <c r="B13" s="50">
        <f>'월별 정산서'!E16</f>
        <v>272976</v>
      </c>
      <c r="C13" s="33">
        <f>C12</f>
        <v>2500000</v>
      </c>
      <c r="D13" s="51">
        <f>'월별 정산서'!G16</f>
        <v>1644862</v>
      </c>
      <c r="E13" s="39">
        <f>D13-B13</f>
        <v>1371886</v>
      </c>
      <c r="F13" s="55">
        <v>0</v>
      </c>
      <c r="G13" s="53" t="s">
        <v>35</v>
      </c>
      <c r="H13" s="33">
        <f>'월별 정산서'!E15</f>
        <v>1930103</v>
      </c>
      <c r="I13" s="33">
        <f>I12</f>
        <v>3000000</v>
      </c>
      <c r="J13" s="51">
        <f>K12</f>
        <v>237620</v>
      </c>
      <c r="K13" s="33">
        <v>0</v>
      </c>
      <c r="L13" s="56">
        <f>H13-J13</f>
        <v>1692483</v>
      </c>
      <c r="M13" s="54" t="s">
        <v>39</v>
      </c>
      <c r="N13" s="33"/>
      <c r="O13" s="33"/>
      <c r="P13" s="51"/>
      <c r="Q13" s="110"/>
      <c r="R13" s="112"/>
      <c r="S13" s="54"/>
    </row>
    <row r="14" spans="1:19" x14ac:dyDescent="0.4">
      <c r="A14" s="35">
        <v>2021.02</v>
      </c>
      <c r="B14" s="50">
        <f>'월별 정산서'!E22</f>
        <v>279242</v>
      </c>
      <c r="C14" s="51">
        <f>B9</f>
        <v>2500000</v>
      </c>
      <c r="D14" s="51">
        <f>'월별 정산서'!G22</f>
        <v>1371886</v>
      </c>
      <c r="E14" s="39">
        <f>'월별 정산서'!H22</f>
        <v>1092644</v>
      </c>
      <c r="F14" s="55">
        <v>0</v>
      </c>
      <c r="G14" s="53" t="s">
        <v>35</v>
      </c>
      <c r="H14" s="50">
        <f>'월별 정산서'!E21</f>
        <v>1588893</v>
      </c>
      <c r="I14" s="51">
        <f>H9</f>
        <v>3000000</v>
      </c>
      <c r="J14" s="33">
        <f>'월별 정산서'!G21</f>
        <v>0</v>
      </c>
      <c r="K14" s="33">
        <v>0</v>
      </c>
      <c r="L14" s="57">
        <f>'월별 정산서'!I21</f>
        <v>1588893</v>
      </c>
      <c r="M14" s="58" t="s">
        <v>40</v>
      </c>
      <c r="N14" s="50"/>
      <c r="O14" s="51"/>
      <c r="P14" s="33"/>
      <c r="Q14" s="110"/>
      <c r="R14" s="99"/>
      <c r="S14" s="58"/>
    </row>
    <row r="15" spans="1:19" x14ac:dyDescent="0.4">
      <c r="A15" s="59">
        <v>2021.03</v>
      </c>
      <c r="B15" s="50">
        <f>'월별 정산서'!E28</f>
        <v>269226</v>
      </c>
      <c r="C15" s="50">
        <f>'월별 정산서'!F28</f>
        <v>2500000</v>
      </c>
      <c r="D15" s="50">
        <f>'월별 정산서'!G28</f>
        <v>1092644</v>
      </c>
      <c r="E15" s="39">
        <f>'월별 정산서'!H28</f>
        <v>823418</v>
      </c>
      <c r="F15" s="55">
        <v>0</v>
      </c>
      <c r="G15" s="53" t="s">
        <v>35</v>
      </c>
      <c r="H15" s="50">
        <f>'월별 정산서'!E27</f>
        <v>1727331</v>
      </c>
      <c r="I15" s="51">
        <f>H9</f>
        <v>3000000</v>
      </c>
      <c r="J15" s="51">
        <f>K14</f>
        <v>0</v>
      </c>
      <c r="K15" s="51">
        <f>J15</f>
        <v>0</v>
      </c>
      <c r="L15" s="57">
        <f>H15</f>
        <v>1727331</v>
      </c>
      <c r="M15" s="58" t="s">
        <v>41</v>
      </c>
      <c r="N15" s="50"/>
      <c r="O15" s="51"/>
      <c r="P15" s="51"/>
      <c r="Q15" s="95"/>
      <c r="R15" s="99"/>
      <c r="S15" s="58"/>
    </row>
    <row r="16" spans="1:19" x14ac:dyDescent="0.4">
      <c r="A16" s="60">
        <v>2021.04</v>
      </c>
      <c r="B16" s="50">
        <f>'월별 정산서'!E34</f>
        <v>280972</v>
      </c>
      <c r="C16" s="50">
        <f>'월별 정산서'!F34</f>
        <v>2500000</v>
      </c>
      <c r="D16" s="50">
        <f>'월별 정산서'!G34</f>
        <v>823418</v>
      </c>
      <c r="E16" s="39">
        <f>'월별 정산서'!H34</f>
        <v>542446</v>
      </c>
      <c r="F16" s="55">
        <v>0</v>
      </c>
      <c r="G16" s="53" t="s">
        <v>35</v>
      </c>
      <c r="H16" s="50">
        <f>'월별 정산서'!E33</f>
        <v>1230419</v>
      </c>
      <c r="I16" s="50">
        <f>'월별 정산서'!F33</f>
        <v>3000000</v>
      </c>
      <c r="J16" s="51">
        <f>'월별 정산서'!G33</f>
        <v>0</v>
      </c>
      <c r="K16" s="51">
        <v>0</v>
      </c>
      <c r="L16" s="57">
        <f>H16</f>
        <v>1230419</v>
      </c>
      <c r="M16" s="58" t="s">
        <v>42</v>
      </c>
      <c r="N16" s="50"/>
      <c r="O16" s="50"/>
      <c r="P16" s="51"/>
      <c r="Q16" s="95"/>
      <c r="R16" s="99"/>
      <c r="S16" s="58"/>
    </row>
    <row r="17" spans="1:19" x14ac:dyDescent="0.4">
      <c r="A17" s="61">
        <v>2021.05</v>
      </c>
      <c r="B17" s="50">
        <f>'월별 정산서'!F42</f>
        <v>252072</v>
      </c>
      <c r="C17" s="50">
        <f>C16</f>
        <v>2500000</v>
      </c>
      <c r="D17" s="51">
        <f>E16</f>
        <v>542446</v>
      </c>
      <c r="E17" s="39">
        <f>'월별 정산서'!I42</f>
        <v>290374</v>
      </c>
      <c r="F17" s="55">
        <v>0</v>
      </c>
      <c r="G17" s="53" t="s">
        <v>35</v>
      </c>
      <c r="H17" s="50">
        <f>'월별 정산서'!F40</f>
        <v>1386884</v>
      </c>
      <c r="I17" s="50">
        <f>I16</f>
        <v>3000000</v>
      </c>
      <c r="J17" s="51">
        <f>K16</f>
        <v>0</v>
      </c>
      <c r="K17" s="51">
        <v>0</v>
      </c>
      <c r="L17" s="57">
        <f>H17</f>
        <v>1386884</v>
      </c>
      <c r="M17" s="58" t="s">
        <v>47</v>
      </c>
      <c r="N17" s="50"/>
      <c r="O17" s="50"/>
      <c r="P17" s="51"/>
      <c r="Q17" s="95"/>
      <c r="R17" s="99"/>
      <c r="S17" s="58"/>
    </row>
    <row r="18" spans="1:19" x14ac:dyDescent="0.4">
      <c r="A18" s="72">
        <v>2021.06</v>
      </c>
      <c r="B18" s="50">
        <f>'월별 정산서'!F50</f>
        <v>520666</v>
      </c>
      <c r="C18" s="50">
        <f>B9</f>
        <v>2500000</v>
      </c>
      <c r="D18" s="51">
        <f>E17</f>
        <v>290374</v>
      </c>
      <c r="E18" s="39">
        <v>0</v>
      </c>
      <c r="F18" s="55">
        <f>B18-D18</f>
        <v>230292</v>
      </c>
      <c r="G18" s="53" t="s">
        <v>51</v>
      </c>
      <c r="H18" s="50">
        <f>'월별 정산서'!F48</f>
        <v>1308507</v>
      </c>
      <c r="I18" s="50">
        <f>H9</f>
        <v>3000000</v>
      </c>
      <c r="J18" s="51">
        <f>K17</f>
        <v>0</v>
      </c>
      <c r="K18" s="51">
        <v>0</v>
      </c>
      <c r="L18" s="57">
        <f>H18</f>
        <v>1308507</v>
      </c>
      <c r="M18" s="58" t="s">
        <v>52</v>
      </c>
      <c r="N18" s="50"/>
      <c r="O18" s="50"/>
      <c r="P18" s="51"/>
      <c r="Q18" s="95"/>
      <c r="R18" s="99"/>
      <c r="S18" s="58"/>
    </row>
    <row r="19" spans="1:19" s="96" customFormat="1" x14ac:dyDescent="0.4">
      <c r="A19" s="93">
        <v>2021.07</v>
      </c>
      <c r="B19" s="94">
        <f>'월별 정산서'!F58</f>
        <v>227010</v>
      </c>
      <c r="C19" s="95">
        <f>B9</f>
        <v>2500000</v>
      </c>
      <c r="D19" s="95">
        <f>E18</f>
        <v>0</v>
      </c>
      <c r="E19" s="95">
        <f>D19</f>
        <v>0</v>
      </c>
      <c r="F19" s="55">
        <f>B19</f>
        <v>227010</v>
      </c>
      <c r="G19" s="97" t="s">
        <v>53</v>
      </c>
      <c r="H19" s="94">
        <f>'월별 정산서'!F56</f>
        <v>1395008</v>
      </c>
      <c r="I19" s="95">
        <f>H9</f>
        <v>3000000</v>
      </c>
      <c r="J19" s="95">
        <f>K18</f>
        <v>0</v>
      </c>
      <c r="K19" s="95">
        <f>J19</f>
        <v>0</v>
      </c>
      <c r="L19" s="57">
        <f>H19</f>
        <v>1395008</v>
      </c>
      <c r="M19" s="97" t="s">
        <v>53</v>
      </c>
      <c r="N19" s="94"/>
      <c r="O19" s="95"/>
      <c r="P19" s="95"/>
      <c r="Q19" s="95"/>
      <c r="R19" s="99"/>
      <c r="S19" s="97"/>
    </row>
    <row r="20" spans="1:19" s="96" customFormat="1" x14ac:dyDescent="0.4">
      <c r="A20" s="93">
        <v>2021.08</v>
      </c>
      <c r="B20" s="94">
        <f>'월별 정산서'!I64</f>
        <v>281862</v>
      </c>
      <c r="C20" s="95">
        <v>2500000</v>
      </c>
      <c r="D20" s="95">
        <v>0</v>
      </c>
      <c r="E20" s="95">
        <v>0</v>
      </c>
      <c r="F20" s="98">
        <f>'월별 정산서'!I64</f>
        <v>281862</v>
      </c>
      <c r="G20" s="97" t="s">
        <v>63</v>
      </c>
      <c r="H20" s="94">
        <f>'월별 정산서'!I63</f>
        <v>1750461</v>
      </c>
      <c r="I20" s="95">
        <v>3000000</v>
      </c>
      <c r="J20" s="95">
        <v>0</v>
      </c>
      <c r="K20" s="95">
        <v>0</v>
      </c>
      <c r="L20" s="99">
        <f>'월별 정산서'!I63</f>
        <v>1750461</v>
      </c>
      <c r="M20" s="97" t="s">
        <v>63</v>
      </c>
      <c r="N20" s="94"/>
      <c r="O20" s="95"/>
      <c r="P20" s="95"/>
      <c r="Q20" s="95"/>
      <c r="R20" s="99"/>
      <c r="S20" s="97"/>
    </row>
    <row r="21" spans="1:19" s="96" customFormat="1" x14ac:dyDescent="0.4">
      <c r="A21" s="93">
        <v>2021.09</v>
      </c>
      <c r="B21" s="94">
        <f>'월별 정산서'!F72</f>
        <v>190397</v>
      </c>
      <c r="C21" s="95">
        <f>'월별 정산서'!G72</f>
        <v>2500000</v>
      </c>
      <c r="D21" s="95"/>
      <c r="E21" s="95"/>
      <c r="F21" s="98">
        <f>'월별 정산서'!J72</f>
        <v>190397</v>
      </c>
      <c r="G21" s="97" t="s">
        <v>66</v>
      </c>
      <c r="H21" s="94">
        <f>'월별 정산서'!F70</f>
        <v>1520433</v>
      </c>
      <c r="I21" s="95">
        <f>'월별 정산서'!G70</f>
        <v>3000000</v>
      </c>
      <c r="J21" s="95"/>
      <c r="K21" s="95"/>
      <c r="L21" s="99">
        <f>'월별 정산서'!J70</f>
        <v>1520433</v>
      </c>
      <c r="M21" s="97" t="s">
        <v>66</v>
      </c>
      <c r="N21" s="94"/>
      <c r="O21" s="95"/>
      <c r="P21" s="95"/>
      <c r="Q21" s="95"/>
      <c r="R21" s="99"/>
      <c r="S21" s="97"/>
    </row>
    <row r="22" spans="1:19" s="96" customFormat="1" x14ac:dyDescent="0.4">
      <c r="A22" s="93" t="s">
        <v>67</v>
      </c>
      <c r="B22" s="94">
        <f>'월별 정산서'!F78</f>
        <v>38404</v>
      </c>
      <c r="C22" s="95">
        <f>C21</f>
        <v>2500000</v>
      </c>
      <c r="D22" s="95"/>
      <c r="E22" s="95"/>
      <c r="F22" s="98">
        <f>B22</f>
        <v>38404</v>
      </c>
      <c r="G22" s="97" t="s">
        <v>72</v>
      </c>
      <c r="H22" s="94">
        <f>'월별 정산서'!F77</f>
        <v>1251150</v>
      </c>
      <c r="I22" s="95">
        <f>I21</f>
        <v>3000000</v>
      </c>
      <c r="J22" s="95"/>
      <c r="K22" s="95"/>
      <c r="L22" s="99">
        <f>H22</f>
        <v>1251150</v>
      </c>
      <c r="M22" s="97" t="s">
        <v>72</v>
      </c>
      <c r="N22" s="94"/>
      <c r="O22" s="95"/>
      <c r="P22" s="95"/>
      <c r="Q22" s="95"/>
      <c r="R22" s="99"/>
      <c r="S22" s="97"/>
    </row>
    <row r="23" spans="1:19" s="96" customFormat="1" x14ac:dyDescent="0.4">
      <c r="A23" s="93" t="s">
        <v>73</v>
      </c>
      <c r="B23" s="94">
        <f>'월별 정산서'!E84</f>
        <v>13684</v>
      </c>
      <c r="C23" s="95">
        <f>C22</f>
        <v>2500000</v>
      </c>
      <c r="D23" s="95"/>
      <c r="E23" s="95"/>
      <c r="F23" s="98">
        <f>B23</f>
        <v>13684</v>
      </c>
      <c r="G23" s="97" t="s">
        <v>75</v>
      </c>
      <c r="H23" s="94">
        <f>'월별 정산서'!E83</f>
        <v>1314100</v>
      </c>
      <c r="I23" s="95">
        <f>I22</f>
        <v>3000000</v>
      </c>
      <c r="J23" s="95"/>
      <c r="K23" s="95"/>
      <c r="L23" s="99">
        <f>H23</f>
        <v>1314100</v>
      </c>
      <c r="M23" s="97" t="s">
        <v>71</v>
      </c>
      <c r="N23" s="94"/>
      <c r="O23" s="95"/>
      <c r="P23" s="95"/>
      <c r="Q23" s="95"/>
      <c r="R23" s="99"/>
      <c r="S23" s="97"/>
    </row>
    <row r="24" spans="1:19" s="96" customFormat="1" x14ac:dyDescent="0.4">
      <c r="A24" s="93" t="s">
        <v>77</v>
      </c>
      <c r="B24" s="94">
        <f>'월별 정산서'!E90</f>
        <v>41096</v>
      </c>
      <c r="C24" s="95">
        <f>C23</f>
        <v>2500000</v>
      </c>
      <c r="D24" s="95"/>
      <c r="E24" s="95"/>
      <c r="F24" s="98">
        <f>B24</f>
        <v>41096</v>
      </c>
      <c r="G24" s="97" t="s">
        <v>78</v>
      </c>
      <c r="H24" s="94">
        <f>'월별 정산서'!E89</f>
        <v>1398817</v>
      </c>
      <c r="I24" s="95">
        <f>I23</f>
        <v>3000000</v>
      </c>
      <c r="J24" s="95">
        <f>'월별 정산서'!G89</f>
        <v>4000000</v>
      </c>
      <c r="K24" s="95">
        <f>J24-H24</f>
        <v>2601183</v>
      </c>
      <c r="L24" s="98">
        <v>0</v>
      </c>
      <c r="M24" s="97" t="s">
        <v>79</v>
      </c>
      <c r="N24" s="94"/>
      <c r="O24" s="95"/>
      <c r="P24" s="95"/>
      <c r="Q24" s="95"/>
      <c r="R24" s="98"/>
      <c r="S24" s="97"/>
    </row>
    <row r="25" spans="1:19" s="96" customFormat="1" x14ac:dyDescent="0.4">
      <c r="A25" s="93">
        <v>2022.01</v>
      </c>
      <c r="B25" s="94">
        <v>41925</v>
      </c>
      <c r="C25" s="95">
        <v>2500000</v>
      </c>
      <c r="D25" s="95"/>
      <c r="E25" s="95"/>
      <c r="F25" s="98">
        <v>41925</v>
      </c>
      <c r="G25" s="97" t="s">
        <v>80</v>
      </c>
      <c r="H25" s="94">
        <v>1035146</v>
      </c>
      <c r="I25" s="95">
        <f>I24</f>
        <v>3000000</v>
      </c>
      <c r="J25" s="95">
        <f>'월별 정산서'!G90</f>
        <v>0</v>
      </c>
      <c r="K25" s="95">
        <f>K24-H25</f>
        <v>1566037</v>
      </c>
      <c r="L25" s="98">
        <v>0</v>
      </c>
      <c r="M25" s="97" t="s">
        <v>82</v>
      </c>
      <c r="N25" s="94"/>
      <c r="O25" s="95"/>
      <c r="P25" s="95"/>
      <c r="Q25" s="95"/>
      <c r="R25" s="98"/>
      <c r="S25" s="97"/>
    </row>
    <row r="26" spans="1:19" s="96" customFormat="1" x14ac:dyDescent="0.4">
      <c r="A26" s="109">
        <v>2022.02</v>
      </c>
      <c r="B26" s="110">
        <v>21843</v>
      </c>
      <c r="C26" s="110">
        <v>2500000</v>
      </c>
      <c r="D26" s="111">
        <v>0</v>
      </c>
      <c r="E26" s="111">
        <v>0</v>
      </c>
      <c r="F26" s="98">
        <v>21843</v>
      </c>
      <c r="G26" s="97" t="s">
        <v>81</v>
      </c>
      <c r="H26" s="110">
        <v>1073294</v>
      </c>
      <c r="I26" s="110">
        <v>3000000</v>
      </c>
      <c r="J26" s="110">
        <v>1566037</v>
      </c>
      <c r="K26" s="95">
        <v>492743</v>
      </c>
      <c r="L26" s="98">
        <v>0</v>
      </c>
      <c r="M26" s="97" t="s">
        <v>35</v>
      </c>
      <c r="N26" s="110"/>
      <c r="O26" s="110"/>
      <c r="P26" s="110"/>
      <c r="Q26" s="95"/>
      <c r="R26" s="98"/>
      <c r="S26" s="97"/>
    </row>
    <row r="27" spans="1:19" s="96" customFormat="1" x14ac:dyDescent="0.4">
      <c r="A27" s="109">
        <v>2022.03</v>
      </c>
      <c r="B27" s="110">
        <v>184680</v>
      </c>
      <c r="C27" s="110">
        <v>2500000</v>
      </c>
      <c r="D27" s="111">
        <v>0</v>
      </c>
      <c r="E27" s="111">
        <v>0</v>
      </c>
      <c r="F27" s="98">
        <v>184680</v>
      </c>
      <c r="G27" s="97" t="s">
        <v>84</v>
      </c>
      <c r="H27" s="110">
        <v>947982</v>
      </c>
      <c r="I27" s="110">
        <v>3000000</v>
      </c>
      <c r="J27" s="110">
        <v>492743</v>
      </c>
      <c r="K27" s="95"/>
      <c r="L27" s="98">
        <f>'월별 정산서'!I107</f>
        <v>455239</v>
      </c>
      <c r="M27" s="97" t="s">
        <v>84</v>
      </c>
      <c r="N27" s="110"/>
      <c r="O27" s="110"/>
      <c r="P27" s="110"/>
      <c r="Q27" s="95"/>
      <c r="R27" s="98"/>
      <c r="S27" s="97"/>
    </row>
    <row r="28" spans="1:19" s="96" customFormat="1" x14ac:dyDescent="0.4">
      <c r="A28" s="109">
        <v>2022.04</v>
      </c>
      <c r="B28" s="110">
        <f>'월별 정산서'!E115</f>
        <v>38552</v>
      </c>
      <c r="C28" s="110">
        <f>'월별 정산서'!F115</f>
        <v>2500000</v>
      </c>
      <c r="D28" s="111">
        <f>'월별 정산서'!G115</f>
        <v>0</v>
      </c>
      <c r="E28" s="111">
        <f>'월별 정산서'!H115</f>
        <v>0</v>
      </c>
      <c r="F28" s="98">
        <f>'월별 정산서'!I115</f>
        <v>38552</v>
      </c>
      <c r="G28" s="97" t="s">
        <v>90</v>
      </c>
      <c r="H28" s="110">
        <f>'월별 정산서'!E113</f>
        <v>831309</v>
      </c>
      <c r="I28" s="110">
        <f>'월별 정산서'!F113</f>
        <v>3000000</v>
      </c>
      <c r="J28" s="110">
        <f>'월별 정산서'!G113</f>
        <v>0</v>
      </c>
      <c r="K28" s="95">
        <f>'월별 정산서'!H113</f>
        <v>0</v>
      </c>
      <c r="L28" s="98">
        <f>'월별 정산서'!I113</f>
        <v>831309</v>
      </c>
      <c r="M28" s="97" t="s">
        <v>90</v>
      </c>
      <c r="N28" s="110">
        <f>'월별 정산서'!E114</f>
        <v>443991</v>
      </c>
      <c r="O28" s="110">
        <f>'월별 정산서'!F114</f>
        <v>5000000</v>
      </c>
      <c r="P28" s="110">
        <f>'월별 정산서'!G114</f>
        <v>5000000</v>
      </c>
      <c r="Q28" s="95">
        <f>'월별 정산서'!H114</f>
        <v>4556009</v>
      </c>
      <c r="R28" s="98">
        <f>'월별 정산서'!I114</f>
        <v>0</v>
      </c>
      <c r="S28" s="97" t="s">
        <v>91</v>
      </c>
    </row>
    <row r="29" spans="1:19" x14ac:dyDescent="0.4">
      <c r="A29" s="101">
        <v>2022.05</v>
      </c>
      <c r="B29" s="103">
        <f>'월별 정산서'!E122</f>
        <v>34101</v>
      </c>
      <c r="C29" s="103">
        <f>'월별 정산서'!F122</f>
        <v>2500000</v>
      </c>
      <c r="D29" s="100"/>
      <c r="E29" s="100"/>
      <c r="F29" s="107">
        <f>'월별 정산서'!I122</f>
        <v>34101</v>
      </c>
      <c r="G29" s="77" t="s">
        <v>94</v>
      </c>
      <c r="H29" s="103">
        <f>'월별 정산서'!E120</f>
        <v>1056078</v>
      </c>
      <c r="I29" s="103">
        <f>'월별 정산서'!F120</f>
        <v>3000000</v>
      </c>
      <c r="J29" s="103"/>
      <c r="K29" s="106"/>
      <c r="L29" s="107">
        <f>'월별 정산서'!I120</f>
        <v>1056078</v>
      </c>
      <c r="M29" s="77" t="s">
        <v>95</v>
      </c>
      <c r="N29" s="103">
        <f>'월별 정산서'!E121</f>
        <v>285886</v>
      </c>
      <c r="O29" s="103">
        <f>'월별 정산서'!F121</f>
        <v>5000000</v>
      </c>
      <c r="P29" s="103">
        <f>'월별 정산서'!G121</f>
        <v>4556009</v>
      </c>
      <c r="Q29" s="106">
        <f>'월별 정산서'!H121</f>
        <v>4270123</v>
      </c>
      <c r="R29" s="107">
        <f>'월별 정산서'!I121</f>
        <v>0</v>
      </c>
      <c r="S29" s="77" t="s">
        <v>96</v>
      </c>
    </row>
  </sheetData>
  <mergeCells count="13">
    <mergeCell ref="A3:D3"/>
    <mergeCell ref="B9:C9"/>
    <mergeCell ref="B7:G7"/>
    <mergeCell ref="B8:G8"/>
    <mergeCell ref="E9:G9"/>
    <mergeCell ref="N7:S7"/>
    <mergeCell ref="N8:S8"/>
    <mergeCell ref="N9:O9"/>
    <mergeCell ref="Q9:S9"/>
    <mergeCell ref="H9:I9"/>
    <mergeCell ref="H7:M7"/>
    <mergeCell ref="H8:M8"/>
    <mergeCell ref="K9:M9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23"/>
  <sheetViews>
    <sheetView zoomScale="83" zoomScaleNormal="83" workbookViewId="0">
      <pane ySplit="1" topLeftCell="A98" activePane="bottomLeft" state="frozen"/>
      <selection pane="bottomLeft" activeCell="I118" sqref="I118"/>
    </sheetView>
  </sheetViews>
  <sheetFormatPr defaultColWidth="8.69921875" defaultRowHeight="17.399999999999999" x14ac:dyDescent="0.4"/>
  <cols>
    <col min="1" max="1" width="2.296875" style="4" customWidth="1"/>
    <col min="2" max="2" width="16.296875" style="4" customWidth="1"/>
    <col min="3" max="3" width="34.19921875" style="4" bestFit="1" customWidth="1"/>
    <col min="4" max="4" width="16.69921875" style="4" customWidth="1"/>
    <col min="5" max="5" width="17.69921875" style="4" customWidth="1"/>
    <col min="6" max="6" width="15.69921875" style="8" customWidth="1"/>
    <col min="7" max="11" width="18.69921875" style="8" customWidth="1"/>
    <col min="12" max="12" width="17.69921875" style="5" customWidth="1"/>
    <col min="13" max="13" width="21.09765625" style="7" customWidth="1"/>
    <col min="14" max="14" width="18.69921875" style="6" customWidth="1"/>
    <col min="15" max="16384" width="8.69921875" style="4"/>
  </cols>
  <sheetData>
    <row r="1" spans="2:13" x14ac:dyDescent="0.4">
      <c r="B1" s="37" t="s">
        <v>28</v>
      </c>
      <c r="M1" s="4"/>
    </row>
    <row r="2" spans="2:13" x14ac:dyDescent="0.4">
      <c r="B2" s="38" t="s">
        <v>29</v>
      </c>
    </row>
    <row r="3" spans="2:13" x14ac:dyDescent="0.4"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</row>
    <row r="4" spans="2:13" x14ac:dyDescent="0.4">
      <c r="B4" s="36">
        <v>328</v>
      </c>
      <c r="C4" s="11" t="s">
        <v>12</v>
      </c>
      <c r="D4" s="11">
        <v>350.84</v>
      </c>
      <c r="E4" s="12">
        <v>464842</v>
      </c>
      <c r="F4" s="12">
        <v>2500000</v>
      </c>
      <c r="G4" s="12">
        <v>2500000</v>
      </c>
      <c r="H4" s="12">
        <v>2035158</v>
      </c>
      <c r="I4" s="11">
        <v>0</v>
      </c>
      <c r="J4" s="11" t="s">
        <v>13</v>
      </c>
    </row>
    <row r="5" spans="2:13" x14ac:dyDescent="0.4">
      <c r="B5" s="36" t="s">
        <v>14</v>
      </c>
      <c r="C5" s="13"/>
      <c r="D5" s="11">
        <v>350.84</v>
      </c>
      <c r="E5" s="12">
        <v>464842</v>
      </c>
      <c r="F5" s="13"/>
      <c r="G5" s="13"/>
      <c r="H5" s="13"/>
      <c r="I5" s="11">
        <v>0</v>
      </c>
      <c r="J5" s="13"/>
    </row>
    <row r="7" spans="2:13" ht="18" thickBot="1" x14ac:dyDescent="0.45">
      <c r="B7" s="38" t="s">
        <v>30</v>
      </c>
    </row>
    <row r="8" spans="2:13" ht="18" thickBot="1" x14ac:dyDescent="0.45">
      <c r="B8" s="21" t="s">
        <v>3</v>
      </c>
      <c r="C8" s="22" t="s">
        <v>4</v>
      </c>
      <c r="D8" s="22" t="s">
        <v>5</v>
      </c>
      <c r="E8" s="22" t="s">
        <v>6</v>
      </c>
      <c r="F8" s="22" t="s">
        <v>7</v>
      </c>
      <c r="G8" s="22" t="s">
        <v>8</v>
      </c>
      <c r="H8" s="22" t="s">
        <v>9</v>
      </c>
      <c r="I8" s="22" t="s">
        <v>10</v>
      </c>
      <c r="J8" s="23" t="s">
        <v>11</v>
      </c>
    </row>
    <row r="9" spans="2:13" ht="18" thickBot="1" x14ac:dyDescent="0.45">
      <c r="B9" s="24">
        <v>349</v>
      </c>
      <c r="C9" s="17" t="s">
        <v>23</v>
      </c>
      <c r="D9" s="18">
        <v>2065.4699999999998</v>
      </c>
      <c r="E9" s="19">
        <v>2762380</v>
      </c>
      <c r="F9" s="19">
        <v>3000000</v>
      </c>
      <c r="G9" s="19">
        <v>3000000</v>
      </c>
      <c r="H9" s="19">
        <v>237620</v>
      </c>
      <c r="I9" s="20">
        <v>0</v>
      </c>
      <c r="J9" s="25" t="s">
        <v>13</v>
      </c>
    </row>
    <row r="10" spans="2:13" ht="18" thickBot="1" x14ac:dyDescent="0.45">
      <c r="B10" s="24">
        <v>328</v>
      </c>
      <c r="C10" s="17" t="s">
        <v>12</v>
      </c>
      <c r="D10" s="20">
        <v>291.83</v>
      </c>
      <c r="E10" s="19">
        <v>390296</v>
      </c>
      <c r="F10" s="19">
        <v>2500000</v>
      </c>
      <c r="G10" s="19">
        <v>2035158</v>
      </c>
      <c r="H10" s="19">
        <v>1644862</v>
      </c>
      <c r="I10" s="20">
        <v>0</v>
      </c>
      <c r="J10" s="25" t="s">
        <v>13</v>
      </c>
    </row>
    <row r="11" spans="2:13" ht="18" thickBot="1" x14ac:dyDescent="0.45">
      <c r="B11" s="26" t="s">
        <v>14</v>
      </c>
      <c r="C11" s="27"/>
      <c r="D11" s="28">
        <v>2357.3000000000002</v>
      </c>
      <c r="E11" s="29">
        <v>3152676</v>
      </c>
      <c r="F11" s="27"/>
      <c r="G11" s="27"/>
      <c r="H11" s="27"/>
      <c r="I11" s="30">
        <v>0</v>
      </c>
      <c r="J11" s="31"/>
    </row>
    <row r="13" spans="2:13" x14ac:dyDescent="0.4">
      <c r="B13" s="38" t="s">
        <v>32</v>
      </c>
    </row>
    <row r="14" spans="2:13" ht="18" thickBot="1" x14ac:dyDescent="0.45">
      <c r="B14" s="41" t="e">
        <f>'월별 정산서'!E22\</f>
        <v>#NAME?</v>
      </c>
      <c r="C14" s="40" t="s">
        <v>4</v>
      </c>
      <c r="D14" s="40" t="s">
        <v>5</v>
      </c>
      <c r="E14" s="40" t="s">
        <v>6</v>
      </c>
      <c r="F14" s="40" t="s">
        <v>7</v>
      </c>
      <c r="G14" s="40" t="s">
        <v>8</v>
      </c>
      <c r="H14" s="40" t="s">
        <v>9</v>
      </c>
      <c r="I14" s="40" t="s">
        <v>10</v>
      </c>
      <c r="J14" s="42" t="s">
        <v>11</v>
      </c>
    </row>
    <row r="15" spans="2:13" ht="18" thickBot="1" x14ac:dyDescent="0.45">
      <c r="B15" s="44">
        <v>349</v>
      </c>
      <c r="C15" s="45" t="s">
        <v>33</v>
      </c>
      <c r="D15" s="46">
        <v>1434.2</v>
      </c>
      <c r="E15" s="47">
        <v>1930103</v>
      </c>
      <c r="F15" s="47">
        <v>3000000</v>
      </c>
      <c r="G15" s="47">
        <v>237620</v>
      </c>
      <c r="H15" s="48">
        <v>0</v>
      </c>
      <c r="I15" s="47">
        <v>1692483</v>
      </c>
      <c r="J15" s="49" t="s">
        <v>13</v>
      </c>
    </row>
    <row r="16" spans="2:13" ht="18" thickBot="1" x14ac:dyDescent="0.45">
      <c r="B16" s="44">
        <v>328</v>
      </c>
      <c r="C16" s="45" t="s">
        <v>12</v>
      </c>
      <c r="D16" s="48">
        <v>202.84</v>
      </c>
      <c r="E16" s="47">
        <v>272976</v>
      </c>
      <c r="F16" s="47">
        <v>2500000</v>
      </c>
      <c r="G16" s="47">
        <v>1644862</v>
      </c>
      <c r="H16" s="47">
        <v>1371886</v>
      </c>
      <c r="I16" s="48">
        <v>0</v>
      </c>
      <c r="J16" s="49" t="s">
        <v>13</v>
      </c>
    </row>
    <row r="17" spans="2:10" ht="18" thickBot="1" x14ac:dyDescent="0.45">
      <c r="B17" s="26" t="s">
        <v>14</v>
      </c>
      <c r="C17" s="27"/>
      <c r="D17" s="28">
        <v>1637.04</v>
      </c>
      <c r="E17" s="29">
        <v>2203079</v>
      </c>
      <c r="F17" s="27"/>
      <c r="G17" s="27"/>
      <c r="H17" s="27"/>
      <c r="I17" s="29">
        <v>1692483</v>
      </c>
      <c r="J17" s="43"/>
    </row>
    <row r="19" spans="2:10" x14ac:dyDescent="0.4">
      <c r="B19" s="38" t="s">
        <v>36</v>
      </c>
    </row>
    <row r="20" spans="2:10" ht="18" thickBot="1" x14ac:dyDescent="0.45">
      <c r="B20" s="41" t="s">
        <v>3</v>
      </c>
      <c r="C20" s="40" t="s">
        <v>4</v>
      </c>
      <c r="D20" s="40" t="s">
        <v>5</v>
      </c>
      <c r="E20" s="40" t="s">
        <v>6</v>
      </c>
      <c r="F20" s="40" t="s">
        <v>7</v>
      </c>
      <c r="G20" s="40" t="s">
        <v>8</v>
      </c>
      <c r="H20" s="40" t="s">
        <v>9</v>
      </c>
      <c r="I20" s="40" t="s">
        <v>10</v>
      </c>
      <c r="J20" s="42" t="s">
        <v>11</v>
      </c>
    </row>
    <row r="21" spans="2:10" ht="18" thickBot="1" x14ac:dyDescent="0.45">
      <c r="B21" s="44">
        <v>349</v>
      </c>
      <c r="C21" s="45" t="s">
        <v>33</v>
      </c>
      <c r="D21" s="46">
        <v>1175.73</v>
      </c>
      <c r="E21" s="47">
        <v>1588893</v>
      </c>
      <c r="F21" s="47">
        <v>3000000</v>
      </c>
      <c r="G21" s="47">
        <v>0</v>
      </c>
      <c r="H21" s="48">
        <v>0</v>
      </c>
      <c r="I21" s="47">
        <v>1588893</v>
      </c>
      <c r="J21" s="49" t="s">
        <v>13</v>
      </c>
    </row>
    <row r="22" spans="2:10" ht="18" thickBot="1" x14ac:dyDescent="0.45">
      <c r="B22" s="44">
        <v>328</v>
      </c>
      <c r="C22" s="45" t="s">
        <v>12</v>
      </c>
      <c r="D22" s="48">
        <v>206.63</v>
      </c>
      <c r="E22" s="47">
        <v>279242</v>
      </c>
      <c r="F22" s="47">
        <v>2500000</v>
      </c>
      <c r="G22" s="47">
        <v>1371886</v>
      </c>
      <c r="H22" s="47">
        <v>1092644</v>
      </c>
      <c r="I22" s="48">
        <v>0</v>
      </c>
      <c r="J22" s="49" t="s">
        <v>13</v>
      </c>
    </row>
    <row r="23" spans="2:10" ht="18" thickBot="1" x14ac:dyDescent="0.45">
      <c r="B23" s="26" t="s">
        <v>14</v>
      </c>
      <c r="C23" s="27"/>
      <c r="D23" s="28">
        <v>1382.36</v>
      </c>
      <c r="E23" s="29">
        <v>1868135</v>
      </c>
      <c r="F23" s="27"/>
      <c r="G23" s="27"/>
      <c r="H23" s="27"/>
      <c r="I23" s="29">
        <v>1588893</v>
      </c>
      <c r="J23" s="43"/>
    </row>
    <row r="25" spans="2:10" x14ac:dyDescent="0.4">
      <c r="B25" s="38" t="s">
        <v>37</v>
      </c>
    </row>
    <row r="26" spans="2:10" ht="18" thickBot="1" x14ac:dyDescent="0.45">
      <c r="B26" s="41" t="s">
        <v>3</v>
      </c>
      <c r="C26" s="40" t="s">
        <v>4</v>
      </c>
      <c r="D26" s="40" t="s">
        <v>5</v>
      </c>
      <c r="E26" s="40" t="s">
        <v>6</v>
      </c>
      <c r="F26" s="40" t="s">
        <v>7</v>
      </c>
      <c r="G26" s="40" t="s">
        <v>8</v>
      </c>
      <c r="H26" s="40" t="s">
        <v>9</v>
      </c>
      <c r="I26" s="40" t="s">
        <v>10</v>
      </c>
      <c r="J26" s="42" t="s">
        <v>11</v>
      </c>
    </row>
    <row r="27" spans="2:10" ht="18" thickBot="1" x14ac:dyDescent="0.45">
      <c r="B27" s="44">
        <v>349</v>
      </c>
      <c r="C27" s="45" t="s">
        <v>33</v>
      </c>
      <c r="D27" s="46">
        <v>1287.42</v>
      </c>
      <c r="E27" s="47">
        <v>1727331</v>
      </c>
      <c r="F27" s="47">
        <v>3000000</v>
      </c>
      <c r="G27" s="47">
        <v>0</v>
      </c>
      <c r="H27" s="48">
        <v>0</v>
      </c>
      <c r="I27" s="47">
        <f>E27</f>
        <v>1727331</v>
      </c>
      <c r="J27" s="49" t="s">
        <v>13</v>
      </c>
    </row>
    <row r="28" spans="2:10" ht="18" thickBot="1" x14ac:dyDescent="0.45">
      <c r="B28" s="44">
        <v>328</v>
      </c>
      <c r="C28" s="45" t="s">
        <v>12</v>
      </c>
      <c r="D28" s="48">
        <v>200.66</v>
      </c>
      <c r="E28" s="47">
        <v>269226</v>
      </c>
      <c r="F28" s="47">
        <v>2500000</v>
      </c>
      <c r="G28" s="47">
        <f>H22</f>
        <v>1092644</v>
      </c>
      <c r="H28" s="47">
        <f>G28-E28</f>
        <v>823418</v>
      </c>
      <c r="I28" s="48">
        <v>0</v>
      </c>
      <c r="J28" s="49" t="s">
        <v>13</v>
      </c>
    </row>
    <row r="29" spans="2:10" ht="18" thickBot="1" x14ac:dyDescent="0.45">
      <c r="B29" s="26" t="s">
        <v>14</v>
      </c>
      <c r="C29" s="27"/>
      <c r="D29" s="28">
        <f>SUM(D27:D28)</f>
        <v>1488.0800000000002</v>
      </c>
      <c r="E29" s="29">
        <f>SUM(E27:E28)</f>
        <v>1996557</v>
      </c>
      <c r="F29" s="27"/>
      <c r="G29" s="27"/>
      <c r="H29" s="27"/>
      <c r="I29" s="29">
        <f>SUM(I27:I28)</f>
        <v>1727331</v>
      </c>
      <c r="J29" s="43"/>
    </row>
    <row r="31" spans="2:10" x14ac:dyDescent="0.4">
      <c r="B31" s="38" t="s">
        <v>38</v>
      </c>
    </row>
    <row r="32" spans="2:10" ht="18" thickBot="1" x14ac:dyDescent="0.45">
      <c r="B32" s="41" t="s">
        <v>3</v>
      </c>
      <c r="C32" s="40" t="s">
        <v>4</v>
      </c>
      <c r="D32" s="40" t="s">
        <v>5</v>
      </c>
      <c r="E32" s="40" t="s">
        <v>6</v>
      </c>
      <c r="F32" s="40" t="s">
        <v>7</v>
      </c>
      <c r="G32" s="40" t="s">
        <v>8</v>
      </c>
      <c r="H32" s="40" t="s">
        <v>9</v>
      </c>
      <c r="I32" s="40" t="s">
        <v>10</v>
      </c>
      <c r="J32" s="42" t="s">
        <v>11</v>
      </c>
    </row>
    <row r="33" spans="2:14" ht="18" thickBot="1" x14ac:dyDescent="0.45">
      <c r="B33" s="44">
        <v>349</v>
      </c>
      <c r="C33" s="45" t="s">
        <v>33</v>
      </c>
      <c r="D33" s="46">
        <v>901.01</v>
      </c>
      <c r="E33" s="47">
        <v>1230419</v>
      </c>
      <c r="F33" s="47">
        <v>3000000</v>
      </c>
      <c r="G33" s="47">
        <v>0</v>
      </c>
      <c r="H33" s="48">
        <v>0</v>
      </c>
      <c r="I33" s="47">
        <v>1230419</v>
      </c>
      <c r="J33" s="49" t="s">
        <v>13</v>
      </c>
    </row>
    <row r="34" spans="2:14" ht="18" thickBot="1" x14ac:dyDescent="0.45">
      <c r="B34" s="44">
        <v>328</v>
      </c>
      <c r="C34" s="45" t="s">
        <v>12</v>
      </c>
      <c r="D34" s="48">
        <v>205.75</v>
      </c>
      <c r="E34" s="47">
        <v>280972</v>
      </c>
      <c r="F34" s="47">
        <v>2500000</v>
      </c>
      <c r="G34" s="47">
        <v>823418</v>
      </c>
      <c r="H34" s="47">
        <v>542446</v>
      </c>
      <c r="I34" s="48">
        <v>0</v>
      </c>
      <c r="J34" s="49" t="s">
        <v>13</v>
      </c>
    </row>
    <row r="35" spans="2:14" ht="18" thickBot="1" x14ac:dyDescent="0.45">
      <c r="B35" s="26" t="s">
        <v>14</v>
      </c>
      <c r="C35" s="27"/>
      <c r="D35" s="28">
        <v>1106.76</v>
      </c>
      <c r="E35" s="29">
        <v>1511391</v>
      </c>
      <c r="F35" s="27"/>
      <c r="G35" s="27"/>
      <c r="H35" s="27"/>
      <c r="I35" s="29">
        <v>1230419</v>
      </c>
      <c r="J35" s="43"/>
    </row>
    <row r="37" spans="2:14" x14ac:dyDescent="0.4">
      <c r="B37" s="38" t="s">
        <v>43</v>
      </c>
    </row>
    <row r="38" spans="2:14" ht="18" thickBot="1" x14ac:dyDescent="0.45">
      <c r="B38" s="41" t="s">
        <v>3</v>
      </c>
      <c r="C38" s="40" t="s">
        <v>4</v>
      </c>
      <c r="D38" s="40" t="s">
        <v>46</v>
      </c>
      <c r="E38" s="40" t="s">
        <v>5</v>
      </c>
      <c r="F38" s="40" t="s">
        <v>6</v>
      </c>
      <c r="G38" s="40" t="s">
        <v>7</v>
      </c>
      <c r="H38" s="40" t="s">
        <v>8</v>
      </c>
      <c r="I38" s="40" t="s">
        <v>9</v>
      </c>
      <c r="J38" s="42" t="s">
        <v>10</v>
      </c>
      <c r="K38" s="42" t="s">
        <v>11</v>
      </c>
    </row>
    <row r="39" spans="2:14" s="65" customFormat="1" ht="18" thickBot="1" x14ac:dyDescent="0.45">
      <c r="B39" s="132">
        <v>349</v>
      </c>
      <c r="C39" s="134" t="s">
        <v>33</v>
      </c>
      <c r="D39" s="45" t="s">
        <v>44</v>
      </c>
      <c r="E39" s="46">
        <v>1024.9000000000001</v>
      </c>
      <c r="F39" s="45"/>
      <c r="G39" s="45"/>
      <c r="H39" s="45"/>
      <c r="I39" s="45"/>
      <c r="J39" s="45"/>
      <c r="K39" s="49"/>
      <c r="L39" s="62"/>
      <c r="M39" s="63"/>
      <c r="N39" s="64"/>
    </row>
    <row r="40" spans="2:14" s="65" customFormat="1" ht="18" thickBot="1" x14ac:dyDescent="0.45">
      <c r="B40" s="133"/>
      <c r="C40" s="135"/>
      <c r="D40" s="66" t="s">
        <v>45</v>
      </c>
      <c r="E40" s="67">
        <v>1024.9000000000001</v>
      </c>
      <c r="F40" s="68">
        <v>1386884</v>
      </c>
      <c r="G40" s="68">
        <v>3000000</v>
      </c>
      <c r="H40" s="69">
        <v>0</v>
      </c>
      <c r="I40" s="69">
        <v>0</v>
      </c>
      <c r="J40" s="68">
        <v>1386884</v>
      </c>
      <c r="K40" s="70" t="s">
        <v>13</v>
      </c>
      <c r="L40" s="62"/>
      <c r="M40" s="63"/>
      <c r="N40" s="64"/>
    </row>
    <row r="41" spans="2:14" s="65" customFormat="1" ht="18" thickBot="1" x14ac:dyDescent="0.45">
      <c r="B41" s="136">
        <v>328</v>
      </c>
      <c r="C41" s="137" t="s">
        <v>12</v>
      </c>
      <c r="D41" s="45" t="s">
        <v>44</v>
      </c>
      <c r="E41" s="48">
        <v>186.28</v>
      </c>
      <c r="F41" s="45"/>
      <c r="G41" s="45"/>
      <c r="H41" s="45"/>
      <c r="I41" s="45"/>
      <c r="J41" s="45"/>
      <c r="K41" s="49"/>
      <c r="L41" s="62"/>
      <c r="M41" s="63"/>
      <c r="N41" s="64"/>
    </row>
    <row r="42" spans="2:14" s="65" customFormat="1" ht="18" thickBot="1" x14ac:dyDescent="0.45">
      <c r="B42" s="133"/>
      <c r="C42" s="135"/>
      <c r="D42" s="66" t="s">
        <v>45</v>
      </c>
      <c r="E42" s="69">
        <v>186.28</v>
      </c>
      <c r="F42" s="68">
        <v>252072</v>
      </c>
      <c r="G42" s="68">
        <v>2500000</v>
      </c>
      <c r="H42" s="68">
        <v>542446</v>
      </c>
      <c r="I42" s="68">
        <v>290374</v>
      </c>
      <c r="J42" s="69">
        <v>0</v>
      </c>
      <c r="K42" s="70" t="s">
        <v>13</v>
      </c>
      <c r="L42" s="62"/>
      <c r="M42" s="63"/>
      <c r="N42" s="64"/>
    </row>
    <row r="43" spans="2:14" ht="18" thickBot="1" x14ac:dyDescent="0.45">
      <c r="B43" s="26" t="s">
        <v>14</v>
      </c>
      <c r="C43" s="27"/>
      <c r="D43" s="27"/>
      <c r="E43" s="28">
        <v>1211.18</v>
      </c>
      <c r="F43" s="29">
        <v>1638956</v>
      </c>
      <c r="G43" s="27"/>
      <c r="H43" s="27"/>
      <c r="I43" s="27"/>
      <c r="J43" s="71">
        <v>1386884</v>
      </c>
      <c r="K43" s="43"/>
    </row>
    <row r="45" spans="2:14" ht="18" thickBot="1" x14ac:dyDescent="0.45">
      <c r="B45" s="38" t="s">
        <v>48</v>
      </c>
    </row>
    <row r="46" spans="2:14" ht="18" thickBot="1" x14ac:dyDescent="0.45">
      <c r="B46" s="21" t="s">
        <v>3</v>
      </c>
      <c r="C46" s="22" t="s">
        <v>4</v>
      </c>
      <c r="D46" s="22" t="s">
        <v>49</v>
      </c>
      <c r="E46" s="22" t="s">
        <v>5</v>
      </c>
      <c r="F46" s="22" t="s">
        <v>6</v>
      </c>
      <c r="G46" s="22" t="s">
        <v>7</v>
      </c>
      <c r="H46" s="22" t="s">
        <v>8</v>
      </c>
      <c r="I46" s="22" t="s">
        <v>9</v>
      </c>
      <c r="J46" s="22" t="s">
        <v>10</v>
      </c>
      <c r="K46" s="23" t="s">
        <v>11</v>
      </c>
    </row>
    <row r="47" spans="2:14" ht="18" thickBot="1" x14ac:dyDescent="0.45">
      <c r="B47" s="126">
        <v>349</v>
      </c>
      <c r="C47" s="128" t="s">
        <v>33</v>
      </c>
      <c r="D47" s="17" t="s">
        <v>44</v>
      </c>
      <c r="E47" s="20">
        <v>961</v>
      </c>
      <c r="F47" s="17"/>
      <c r="G47" s="17"/>
      <c r="H47" s="17"/>
      <c r="I47" s="17"/>
      <c r="J47" s="17"/>
      <c r="K47" s="25"/>
    </row>
    <row r="48" spans="2:14" ht="18" thickBot="1" x14ac:dyDescent="0.45">
      <c r="B48" s="127"/>
      <c r="C48" s="129"/>
      <c r="D48" s="73" t="s">
        <v>45</v>
      </c>
      <c r="E48" s="74">
        <v>961</v>
      </c>
      <c r="F48" s="75">
        <v>1308507</v>
      </c>
      <c r="G48" s="75">
        <v>3000000</v>
      </c>
      <c r="H48" s="74">
        <v>0</v>
      </c>
      <c r="I48" s="74">
        <v>0</v>
      </c>
      <c r="J48" s="75">
        <v>1308507</v>
      </c>
      <c r="K48" s="76" t="s">
        <v>13</v>
      </c>
    </row>
    <row r="49" spans="2:11" ht="18" thickBot="1" x14ac:dyDescent="0.45">
      <c r="B49" s="130">
        <v>328</v>
      </c>
      <c r="C49" s="131" t="s">
        <v>12</v>
      </c>
      <c r="D49" s="17" t="s">
        <v>44</v>
      </c>
      <c r="E49" s="20">
        <v>382.39</v>
      </c>
      <c r="F49" s="17"/>
      <c r="G49" s="17"/>
      <c r="H49" s="17"/>
      <c r="I49" s="17"/>
      <c r="J49" s="17"/>
      <c r="K49" s="25"/>
    </row>
    <row r="50" spans="2:11" ht="18" thickBot="1" x14ac:dyDescent="0.45">
      <c r="B50" s="127"/>
      <c r="C50" s="129"/>
      <c r="D50" s="73" t="s">
        <v>45</v>
      </c>
      <c r="E50" s="74">
        <v>382.39</v>
      </c>
      <c r="F50" s="75">
        <v>520666</v>
      </c>
      <c r="G50" s="75">
        <v>2500000</v>
      </c>
      <c r="H50" s="75">
        <v>290374</v>
      </c>
      <c r="I50" s="74">
        <v>0</v>
      </c>
      <c r="J50" s="75">
        <v>230292</v>
      </c>
      <c r="K50" s="76" t="s">
        <v>13</v>
      </c>
    </row>
    <row r="51" spans="2:11" ht="18" thickBot="1" x14ac:dyDescent="0.45">
      <c r="B51" s="26" t="s">
        <v>14</v>
      </c>
      <c r="C51" s="27"/>
      <c r="D51" s="27"/>
      <c r="E51" s="28">
        <v>1343.39</v>
      </c>
      <c r="F51" s="29">
        <v>1829173</v>
      </c>
      <c r="G51" s="27"/>
      <c r="H51" s="27"/>
      <c r="I51" s="27"/>
      <c r="J51" s="29">
        <v>1538799</v>
      </c>
      <c r="K51" s="31"/>
    </row>
    <row r="53" spans="2:11" ht="18" thickBot="1" x14ac:dyDescent="0.45">
      <c r="B53" s="38" t="s">
        <v>50</v>
      </c>
    </row>
    <row r="54" spans="2:11" ht="18" thickBot="1" x14ac:dyDescent="0.45">
      <c r="B54" s="21" t="s">
        <v>3</v>
      </c>
      <c r="C54" s="22" t="s">
        <v>4</v>
      </c>
      <c r="D54" s="22" t="s">
        <v>49</v>
      </c>
      <c r="E54" s="22" t="s">
        <v>5</v>
      </c>
      <c r="F54" s="22" t="s">
        <v>6</v>
      </c>
      <c r="G54" s="22" t="s">
        <v>7</v>
      </c>
      <c r="H54" s="22" t="s">
        <v>8</v>
      </c>
      <c r="I54" s="22" t="s">
        <v>9</v>
      </c>
      <c r="J54" s="22" t="s">
        <v>10</v>
      </c>
      <c r="K54" s="23" t="s">
        <v>11</v>
      </c>
    </row>
    <row r="55" spans="2:11" ht="18" thickBot="1" x14ac:dyDescent="0.45">
      <c r="B55" s="126">
        <v>349</v>
      </c>
      <c r="C55" s="128" t="s">
        <v>33</v>
      </c>
      <c r="D55" s="17" t="s">
        <v>44</v>
      </c>
      <c r="E55" s="20">
        <v>1025.5</v>
      </c>
      <c r="F55" s="17"/>
      <c r="G55" s="17"/>
      <c r="H55" s="17"/>
      <c r="I55" s="17"/>
      <c r="J55" s="17"/>
      <c r="K55" s="25"/>
    </row>
    <row r="56" spans="2:11" ht="18" thickBot="1" x14ac:dyDescent="0.45">
      <c r="B56" s="127"/>
      <c r="C56" s="129"/>
      <c r="D56" s="73" t="s">
        <v>45</v>
      </c>
      <c r="E56" s="74">
        <v>1025.5</v>
      </c>
      <c r="F56" s="75">
        <v>1395008</v>
      </c>
      <c r="G56" s="75">
        <v>3000000</v>
      </c>
      <c r="H56" s="74">
        <v>0</v>
      </c>
      <c r="I56" s="74">
        <v>0</v>
      </c>
      <c r="J56" s="75">
        <v>1395008</v>
      </c>
      <c r="K56" s="76" t="s">
        <v>13</v>
      </c>
    </row>
    <row r="57" spans="2:11" ht="18" thickBot="1" x14ac:dyDescent="0.45">
      <c r="B57" s="130">
        <v>328</v>
      </c>
      <c r="C57" s="131" t="s">
        <v>61</v>
      </c>
      <c r="D57" s="17" t="s">
        <v>44</v>
      </c>
      <c r="E57" s="20">
        <v>166.88</v>
      </c>
      <c r="F57" s="17"/>
      <c r="G57" s="17"/>
      <c r="H57" s="17"/>
      <c r="I57" s="17"/>
      <c r="J57" s="17"/>
      <c r="K57" s="25"/>
    </row>
    <row r="58" spans="2:11" ht="18" thickBot="1" x14ac:dyDescent="0.45">
      <c r="B58" s="127"/>
      <c r="C58" s="129"/>
      <c r="D58" s="73" t="s">
        <v>45</v>
      </c>
      <c r="E58" s="74">
        <v>166.88</v>
      </c>
      <c r="F58" s="75">
        <v>227010</v>
      </c>
      <c r="G58" s="75">
        <v>2500000</v>
      </c>
      <c r="H58" s="75">
        <v>0</v>
      </c>
      <c r="I58" s="74">
        <v>0</v>
      </c>
      <c r="J58" s="75">
        <v>227010</v>
      </c>
      <c r="K58" s="76" t="s">
        <v>13</v>
      </c>
    </row>
    <row r="59" spans="2:11" ht="18" thickBot="1" x14ac:dyDescent="0.45">
      <c r="B59" s="26" t="s">
        <v>14</v>
      </c>
      <c r="C59" s="27"/>
      <c r="D59" s="27"/>
      <c r="E59" s="28">
        <v>1192.3800000000001</v>
      </c>
      <c r="F59" s="29">
        <v>1622018</v>
      </c>
      <c r="G59" s="27"/>
      <c r="H59" s="27"/>
      <c r="I59" s="27"/>
      <c r="J59" s="29">
        <v>1622018</v>
      </c>
      <c r="K59" s="31"/>
    </row>
    <row r="60" spans="2:11" ht="18" thickBot="1" x14ac:dyDescent="0.45"/>
    <row r="61" spans="2:11" x14ac:dyDescent="0.4">
      <c r="B61" s="38" t="s">
        <v>62</v>
      </c>
      <c r="C61" s="83"/>
      <c r="D61" s="83"/>
      <c r="E61" s="83"/>
      <c r="F61" s="83"/>
      <c r="G61" s="83"/>
      <c r="H61" s="83"/>
      <c r="I61" s="83"/>
      <c r="J61" s="84"/>
    </row>
    <row r="62" spans="2:11" ht="18" thickBot="1" x14ac:dyDescent="0.45">
      <c r="B62" s="85" t="s">
        <v>54</v>
      </c>
      <c r="C62" s="78" t="s">
        <v>55</v>
      </c>
      <c r="D62" s="78" t="s">
        <v>5</v>
      </c>
      <c r="E62" s="78" t="s">
        <v>6</v>
      </c>
      <c r="F62" s="78" t="s">
        <v>7</v>
      </c>
      <c r="G62" s="78" t="s">
        <v>56</v>
      </c>
      <c r="H62" s="78" t="s">
        <v>9</v>
      </c>
      <c r="I62" s="78" t="s">
        <v>57</v>
      </c>
      <c r="J62" s="86" t="s">
        <v>58</v>
      </c>
    </row>
    <row r="63" spans="2:11" ht="18" thickBot="1" x14ac:dyDescent="0.45">
      <c r="B63" s="87">
        <v>349</v>
      </c>
      <c r="C63" s="79" t="s">
        <v>33</v>
      </c>
      <c r="D63" s="80">
        <v>1265.3599999999999</v>
      </c>
      <c r="E63" s="81">
        <v>1750461</v>
      </c>
      <c r="F63" s="81">
        <v>3000000</v>
      </c>
      <c r="G63" s="82">
        <v>0</v>
      </c>
      <c r="H63" s="82">
        <v>0</v>
      </c>
      <c r="I63" s="81">
        <v>1750461</v>
      </c>
      <c r="J63" s="88" t="s">
        <v>59</v>
      </c>
    </row>
    <row r="64" spans="2:11" ht="18" thickBot="1" x14ac:dyDescent="0.45">
      <c r="B64" s="87">
        <v>328</v>
      </c>
      <c r="C64" s="79" t="s">
        <v>61</v>
      </c>
      <c r="D64" s="82">
        <v>203.75</v>
      </c>
      <c r="E64" s="81">
        <v>281862</v>
      </c>
      <c r="F64" s="81">
        <v>2500000</v>
      </c>
      <c r="G64" s="82">
        <v>0</v>
      </c>
      <c r="H64" s="82">
        <v>0</v>
      </c>
      <c r="I64" s="81">
        <v>281862</v>
      </c>
      <c r="J64" s="88" t="s">
        <v>59</v>
      </c>
    </row>
    <row r="65" spans="2:11" ht="18" thickBot="1" x14ac:dyDescent="0.45">
      <c r="B65" s="89" t="s">
        <v>60</v>
      </c>
      <c r="C65" s="90"/>
      <c r="D65" s="91">
        <v>1469.11</v>
      </c>
      <c r="E65" s="92">
        <v>2032323</v>
      </c>
      <c r="F65" s="90"/>
      <c r="G65" s="90"/>
      <c r="H65" s="90"/>
      <c r="I65" s="92">
        <v>2032323</v>
      </c>
      <c r="J65" s="43"/>
    </row>
    <row r="67" spans="2:11" ht="18" thickBot="1" x14ac:dyDescent="0.45">
      <c r="B67" s="38" t="s">
        <v>65</v>
      </c>
    </row>
    <row r="68" spans="2:11" ht="18" thickBot="1" x14ac:dyDescent="0.45">
      <c r="B68" s="21" t="s">
        <v>3</v>
      </c>
      <c r="C68" s="22" t="s">
        <v>4</v>
      </c>
      <c r="D68" s="22" t="s">
        <v>49</v>
      </c>
      <c r="E68" s="22" t="s">
        <v>5</v>
      </c>
      <c r="F68" s="22" t="s">
        <v>6</v>
      </c>
      <c r="G68" s="22" t="s">
        <v>7</v>
      </c>
      <c r="H68" s="22" t="s">
        <v>8</v>
      </c>
      <c r="I68" s="22" t="s">
        <v>9</v>
      </c>
      <c r="J68" s="22" t="s">
        <v>10</v>
      </c>
      <c r="K68" s="23" t="s">
        <v>11</v>
      </c>
    </row>
    <row r="69" spans="2:11" ht="18" thickBot="1" x14ac:dyDescent="0.45">
      <c r="B69" s="126">
        <v>349</v>
      </c>
      <c r="C69" s="128" t="s">
        <v>33</v>
      </c>
      <c r="D69" s="17" t="s">
        <v>44</v>
      </c>
      <c r="E69" s="20">
        <v>1103.21</v>
      </c>
      <c r="F69" s="17"/>
      <c r="G69" s="17"/>
      <c r="H69" s="17"/>
      <c r="I69" s="17"/>
      <c r="J69" s="17"/>
      <c r="K69" s="25"/>
    </row>
    <row r="70" spans="2:11" ht="18" thickBot="1" x14ac:dyDescent="0.45">
      <c r="B70" s="127"/>
      <c r="C70" s="129"/>
      <c r="D70" s="73" t="s">
        <v>45</v>
      </c>
      <c r="E70" s="74">
        <v>1103.21</v>
      </c>
      <c r="F70" s="75">
        <v>1520433</v>
      </c>
      <c r="G70" s="75">
        <v>3000000</v>
      </c>
      <c r="H70" s="74">
        <v>0</v>
      </c>
      <c r="I70" s="74">
        <v>0</v>
      </c>
      <c r="J70" s="75">
        <v>1520433</v>
      </c>
      <c r="K70" s="76" t="s">
        <v>13</v>
      </c>
    </row>
    <row r="71" spans="2:11" ht="18" thickBot="1" x14ac:dyDescent="0.45">
      <c r="B71" s="130">
        <v>328</v>
      </c>
      <c r="C71" s="131" t="s">
        <v>61</v>
      </c>
      <c r="D71" s="17" t="s">
        <v>44</v>
      </c>
      <c r="E71" s="20">
        <v>138.15</v>
      </c>
      <c r="F71" s="17"/>
      <c r="G71" s="17"/>
      <c r="H71" s="17"/>
      <c r="I71" s="17"/>
      <c r="J71" s="17"/>
      <c r="K71" s="25"/>
    </row>
    <row r="72" spans="2:11" ht="18" thickBot="1" x14ac:dyDescent="0.45">
      <c r="B72" s="127"/>
      <c r="C72" s="129"/>
      <c r="D72" s="73" t="s">
        <v>45</v>
      </c>
      <c r="E72" s="74">
        <v>138.15</v>
      </c>
      <c r="F72" s="75">
        <v>190397</v>
      </c>
      <c r="G72" s="75">
        <v>2500000</v>
      </c>
      <c r="H72" s="75">
        <v>0</v>
      </c>
      <c r="I72" s="74">
        <v>0</v>
      </c>
      <c r="J72" s="75">
        <v>190397</v>
      </c>
      <c r="K72" s="76" t="s">
        <v>13</v>
      </c>
    </row>
    <row r="73" spans="2:11" ht="18" thickBot="1" x14ac:dyDescent="0.45">
      <c r="B73" s="26" t="s">
        <v>14</v>
      </c>
      <c r="C73" s="27"/>
      <c r="D73" s="27"/>
      <c r="E73" s="28">
        <f>SUM(E70,E72)</f>
        <v>1241.3600000000001</v>
      </c>
      <c r="F73" s="29">
        <f>SUM(F70,F72)</f>
        <v>1710830</v>
      </c>
      <c r="G73" s="27"/>
      <c r="H73" s="27"/>
      <c r="I73" s="27"/>
      <c r="J73" s="29">
        <v>1710830</v>
      </c>
      <c r="K73" s="31"/>
    </row>
    <row r="75" spans="2:11" ht="18" thickBot="1" x14ac:dyDescent="0.45">
      <c r="B75" s="38" t="s">
        <v>68</v>
      </c>
    </row>
    <row r="76" spans="2:11" ht="18" thickBot="1" x14ac:dyDescent="0.45">
      <c r="B76" s="21" t="s">
        <v>3</v>
      </c>
      <c r="C76" s="22" t="s">
        <v>4</v>
      </c>
      <c r="D76" s="22" t="s">
        <v>49</v>
      </c>
      <c r="E76" s="22" t="s">
        <v>5</v>
      </c>
      <c r="F76" s="22" t="s">
        <v>6</v>
      </c>
      <c r="G76" s="22" t="s">
        <v>7</v>
      </c>
      <c r="H76" s="22" t="s">
        <v>8</v>
      </c>
      <c r="I76" s="22" t="s">
        <v>9</v>
      </c>
      <c r="J76" s="22" t="s">
        <v>10</v>
      </c>
      <c r="K76" s="23" t="s">
        <v>11</v>
      </c>
    </row>
    <row r="77" spans="2:11" ht="18" thickBot="1" x14ac:dyDescent="0.45">
      <c r="B77" s="87">
        <v>349</v>
      </c>
      <c r="C77" s="79" t="s">
        <v>33</v>
      </c>
      <c r="D77" s="80" t="s">
        <v>44</v>
      </c>
      <c r="E77" s="81">
        <v>926.86</v>
      </c>
      <c r="F77" s="81">
        <v>1251150</v>
      </c>
      <c r="G77" s="82">
        <v>3000000</v>
      </c>
      <c r="H77" s="82">
        <v>0</v>
      </c>
      <c r="I77" s="81">
        <v>0</v>
      </c>
      <c r="J77" s="82">
        <v>1251150</v>
      </c>
      <c r="K77" s="25"/>
    </row>
    <row r="78" spans="2:11" ht="18" thickBot="1" x14ac:dyDescent="0.45">
      <c r="B78" s="87">
        <v>328</v>
      </c>
      <c r="C78" s="79" t="s">
        <v>69</v>
      </c>
      <c r="D78" s="82" t="s">
        <v>44</v>
      </c>
      <c r="E78" s="81">
        <v>28.45</v>
      </c>
      <c r="F78" s="81">
        <v>38404</v>
      </c>
      <c r="G78" s="82">
        <v>2500000</v>
      </c>
      <c r="H78" s="82">
        <v>0</v>
      </c>
      <c r="I78" s="81">
        <v>0</v>
      </c>
      <c r="J78" s="82">
        <v>38404</v>
      </c>
      <c r="K78" s="25"/>
    </row>
    <row r="79" spans="2:11" ht="18" thickBot="1" x14ac:dyDescent="0.45">
      <c r="B79" s="89" t="s">
        <v>14</v>
      </c>
      <c r="C79" s="90"/>
      <c r="D79" s="91"/>
      <c r="E79" s="92">
        <f>SUM(E77:E78)</f>
        <v>955.31000000000006</v>
      </c>
      <c r="F79" s="90">
        <f t="shared" ref="F79:J79" si="0">SUM(F77:F78)</f>
        <v>1289554</v>
      </c>
      <c r="G79" s="90"/>
      <c r="H79" s="90">
        <f t="shared" si="0"/>
        <v>0</v>
      </c>
      <c r="I79" s="92">
        <f t="shared" si="0"/>
        <v>0</v>
      </c>
      <c r="J79" s="102">
        <f t="shared" si="0"/>
        <v>1289554</v>
      </c>
      <c r="K79" s="31"/>
    </row>
    <row r="81" spans="2:10" ht="18" thickBot="1" x14ac:dyDescent="0.45">
      <c r="B81" s="38" t="s">
        <v>70</v>
      </c>
    </row>
    <row r="82" spans="2:10" ht="18" thickBot="1" x14ac:dyDescent="0.45">
      <c r="B82" s="21" t="s">
        <v>3</v>
      </c>
      <c r="C82" s="22" t="s">
        <v>4</v>
      </c>
      <c r="D82" s="22" t="s">
        <v>5</v>
      </c>
      <c r="E82" s="22" t="s">
        <v>6</v>
      </c>
      <c r="F82" s="22" t="s">
        <v>7</v>
      </c>
      <c r="G82" s="22" t="s">
        <v>8</v>
      </c>
      <c r="H82" s="22" t="s">
        <v>9</v>
      </c>
      <c r="I82" s="22" t="s">
        <v>10</v>
      </c>
      <c r="J82" s="22" t="s">
        <v>11</v>
      </c>
    </row>
    <row r="83" spans="2:10" x14ac:dyDescent="0.4">
      <c r="B83" s="104">
        <v>349</v>
      </c>
      <c r="C83" s="104" t="s">
        <v>33</v>
      </c>
      <c r="D83" s="104">
        <v>986.28</v>
      </c>
      <c r="E83" s="105">
        <v>1314100</v>
      </c>
      <c r="F83" s="105">
        <v>3000000</v>
      </c>
      <c r="G83" s="104">
        <v>0</v>
      </c>
      <c r="H83" s="104">
        <v>0</v>
      </c>
      <c r="I83" s="105">
        <v>1314100</v>
      </c>
      <c r="J83" s="104" t="s">
        <v>13</v>
      </c>
    </row>
    <row r="84" spans="2:10" ht="18" thickBot="1" x14ac:dyDescent="0.45">
      <c r="B84" s="104">
        <v>328</v>
      </c>
      <c r="C84" s="104" t="s">
        <v>12</v>
      </c>
      <c r="D84" s="104">
        <v>10.27</v>
      </c>
      <c r="E84" s="105">
        <v>13684</v>
      </c>
      <c r="F84" s="105">
        <v>2500000</v>
      </c>
      <c r="G84" s="104">
        <v>0</v>
      </c>
      <c r="H84" s="104">
        <v>0</v>
      </c>
      <c r="I84" s="105">
        <v>13684</v>
      </c>
      <c r="J84" s="104" t="s">
        <v>13</v>
      </c>
    </row>
    <row r="85" spans="2:10" ht="18" thickBot="1" x14ac:dyDescent="0.45">
      <c r="B85" s="21" t="s">
        <v>14</v>
      </c>
      <c r="C85" s="22"/>
      <c r="D85" s="22">
        <v>996.55</v>
      </c>
      <c r="E85" s="22">
        <v>1327784</v>
      </c>
      <c r="F85" s="22"/>
      <c r="G85" s="22"/>
      <c r="H85" s="22"/>
      <c r="I85" s="22">
        <v>1327784</v>
      </c>
      <c r="J85" s="22"/>
    </row>
    <row r="87" spans="2:10" ht="18" thickBot="1" x14ac:dyDescent="0.45">
      <c r="B87" s="38" t="s">
        <v>74</v>
      </c>
    </row>
    <row r="88" spans="2:10" ht="18" thickBot="1" x14ac:dyDescent="0.45">
      <c r="B88" s="21" t="s">
        <v>3</v>
      </c>
      <c r="C88" s="22" t="s">
        <v>4</v>
      </c>
      <c r="D88" s="22" t="s">
        <v>5</v>
      </c>
      <c r="E88" s="22" t="s">
        <v>6</v>
      </c>
      <c r="F88" s="22" t="s">
        <v>7</v>
      </c>
      <c r="G88" s="22" t="s">
        <v>8</v>
      </c>
      <c r="H88" s="22" t="s">
        <v>9</v>
      </c>
      <c r="I88" s="22" t="s">
        <v>10</v>
      </c>
      <c r="J88" s="22" t="s">
        <v>11</v>
      </c>
    </row>
    <row r="89" spans="2:10" x14ac:dyDescent="0.4">
      <c r="B89" s="104">
        <v>349</v>
      </c>
      <c r="C89" s="104" t="s">
        <v>33</v>
      </c>
      <c r="D89" s="104">
        <v>1027.5899999999999</v>
      </c>
      <c r="E89" s="105">
        <v>1398817</v>
      </c>
      <c r="F89" s="105">
        <v>3000000</v>
      </c>
      <c r="G89" s="104">
        <v>4000000</v>
      </c>
      <c r="H89" s="104">
        <v>2601183</v>
      </c>
      <c r="I89" s="105">
        <v>0</v>
      </c>
      <c r="J89" s="104" t="s">
        <v>13</v>
      </c>
    </row>
    <row r="90" spans="2:10" ht="18" thickBot="1" x14ac:dyDescent="0.45">
      <c r="B90" s="104">
        <v>328</v>
      </c>
      <c r="C90" s="104" t="s">
        <v>12</v>
      </c>
      <c r="D90" s="104">
        <v>30.19</v>
      </c>
      <c r="E90" s="105">
        <v>41096</v>
      </c>
      <c r="F90" s="105">
        <v>2500000</v>
      </c>
      <c r="G90" s="104">
        <v>0</v>
      </c>
      <c r="H90" s="104">
        <v>0</v>
      </c>
      <c r="I90" s="105">
        <v>41096</v>
      </c>
      <c r="J90" s="104" t="s">
        <v>13</v>
      </c>
    </row>
    <row r="91" spans="2:10" ht="18" thickBot="1" x14ac:dyDescent="0.45">
      <c r="B91" s="21" t="s">
        <v>14</v>
      </c>
      <c r="C91" s="22"/>
      <c r="D91" s="22">
        <v>1057.78</v>
      </c>
      <c r="E91" s="22">
        <v>1439913</v>
      </c>
      <c r="F91" s="22"/>
      <c r="G91" s="22"/>
      <c r="H91" s="22"/>
      <c r="I91" s="22">
        <v>41096</v>
      </c>
      <c r="J91" s="22"/>
    </row>
    <row r="93" spans="2:10" ht="18" thickBot="1" x14ac:dyDescent="0.45">
      <c r="B93" s="38" t="s">
        <v>76</v>
      </c>
    </row>
    <row r="94" spans="2:10" ht="18" thickBot="1" x14ac:dyDescent="0.45">
      <c r="B94" s="21" t="s">
        <v>3</v>
      </c>
      <c r="C94" s="22" t="s">
        <v>4</v>
      </c>
      <c r="D94" s="22" t="s">
        <v>5</v>
      </c>
      <c r="E94" s="22" t="s">
        <v>6</v>
      </c>
      <c r="F94" s="22" t="s">
        <v>7</v>
      </c>
      <c r="G94" s="22" t="s">
        <v>8</v>
      </c>
      <c r="H94" s="22" t="s">
        <v>9</v>
      </c>
      <c r="I94" s="22" t="s">
        <v>10</v>
      </c>
      <c r="J94" s="22" t="s">
        <v>11</v>
      </c>
    </row>
    <row r="95" spans="2:10" x14ac:dyDescent="0.4">
      <c r="B95" s="104">
        <v>349</v>
      </c>
      <c r="C95" s="104" t="s">
        <v>33</v>
      </c>
      <c r="D95" s="104">
        <v>764.16</v>
      </c>
      <c r="E95" s="105">
        <v>1035146</v>
      </c>
      <c r="F95" s="105">
        <v>3000000</v>
      </c>
      <c r="G95" s="105">
        <v>2601183</v>
      </c>
      <c r="H95" s="105">
        <v>1566037</v>
      </c>
      <c r="I95" s="104">
        <v>0</v>
      </c>
      <c r="J95" s="104" t="s">
        <v>13</v>
      </c>
    </row>
    <row r="96" spans="2:10" ht="18" thickBot="1" x14ac:dyDescent="0.45">
      <c r="B96" s="104">
        <v>328</v>
      </c>
      <c r="C96" s="104" t="s">
        <v>12</v>
      </c>
      <c r="D96" s="104">
        <v>30.95</v>
      </c>
      <c r="E96" s="105">
        <v>41925</v>
      </c>
      <c r="F96" s="105">
        <v>2500000</v>
      </c>
      <c r="G96" s="104">
        <v>0</v>
      </c>
      <c r="H96" s="104">
        <v>0</v>
      </c>
      <c r="I96" s="105">
        <v>41925</v>
      </c>
      <c r="J96" s="104" t="s">
        <v>13</v>
      </c>
    </row>
    <row r="97" spans="2:10" ht="18" thickBot="1" x14ac:dyDescent="0.45">
      <c r="B97" s="21" t="s">
        <v>14</v>
      </c>
      <c r="C97" s="22"/>
      <c r="D97" s="22">
        <f>SUM(D95:D96)</f>
        <v>795.11</v>
      </c>
      <c r="E97" s="108">
        <f>SUM(E95:E96)</f>
        <v>1077071</v>
      </c>
      <c r="F97" s="22"/>
      <c r="G97" s="22"/>
      <c r="H97" s="22"/>
      <c r="I97" s="22">
        <f>SUM(I95:I96)</f>
        <v>41925</v>
      </c>
      <c r="J97" s="22"/>
    </row>
    <row r="99" spans="2:10" ht="18" thickBot="1" x14ac:dyDescent="0.45">
      <c r="B99" s="38" t="s">
        <v>83</v>
      </c>
    </row>
    <row r="100" spans="2:10" ht="18" thickBot="1" x14ac:dyDescent="0.45">
      <c r="B100" s="21" t="s">
        <v>3</v>
      </c>
      <c r="C100" s="22" t="s">
        <v>4</v>
      </c>
      <c r="D100" s="22" t="s">
        <v>5</v>
      </c>
      <c r="E100" s="22" t="s">
        <v>6</v>
      </c>
      <c r="F100" s="22" t="s">
        <v>7</v>
      </c>
      <c r="G100" s="22" t="s">
        <v>8</v>
      </c>
      <c r="H100" s="22" t="s">
        <v>9</v>
      </c>
      <c r="I100" s="22" t="s">
        <v>10</v>
      </c>
      <c r="J100" s="22" t="s">
        <v>11</v>
      </c>
    </row>
    <row r="101" spans="2:10" x14ac:dyDescent="0.4">
      <c r="B101" s="104">
        <v>349</v>
      </c>
      <c r="C101" s="104" t="s">
        <v>33</v>
      </c>
      <c r="D101" s="104">
        <v>792.59</v>
      </c>
      <c r="E101" s="105">
        <v>1073294</v>
      </c>
      <c r="F101" s="105">
        <v>3000000</v>
      </c>
      <c r="G101" s="105">
        <v>1566037</v>
      </c>
      <c r="H101" s="105">
        <v>492743</v>
      </c>
      <c r="I101" s="104">
        <v>0</v>
      </c>
      <c r="J101" s="104" t="s">
        <v>13</v>
      </c>
    </row>
    <row r="102" spans="2:10" ht="18" thickBot="1" x14ac:dyDescent="0.45">
      <c r="B102" s="104">
        <v>328</v>
      </c>
      <c r="C102" s="104" t="s">
        <v>12</v>
      </c>
      <c r="D102" s="104">
        <v>16.13</v>
      </c>
      <c r="E102" s="105">
        <v>21843</v>
      </c>
      <c r="F102" s="105">
        <v>2500000</v>
      </c>
      <c r="G102" s="104">
        <v>0</v>
      </c>
      <c r="H102" s="104">
        <v>0</v>
      </c>
      <c r="I102" s="105">
        <v>21843</v>
      </c>
      <c r="J102" s="104" t="s">
        <v>13</v>
      </c>
    </row>
    <row r="103" spans="2:10" ht="18" thickBot="1" x14ac:dyDescent="0.45">
      <c r="B103" s="21" t="s">
        <v>14</v>
      </c>
      <c r="C103" s="22"/>
      <c r="D103" s="22">
        <f>SUM(D101:D102)</f>
        <v>808.72</v>
      </c>
      <c r="E103" s="108">
        <f>SUM(E101:E102)</f>
        <v>1095137</v>
      </c>
      <c r="F103" s="22"/>
      <c r="G103" s="22"/>
      <c r="H103" s="22"/>
      <c r="I103" s="22">
        <f>SUM(I101:I102)</f>
        <v>21843</v>
      </c>
      <c r="J103" s="22"/>
    </row>
    <row r="105" spans="2:10" ht="18" thickBot="1" x14ac:dyDescent="0.45">
      <c r="B105" s="38" t="s">
        <v>85</v>
      </c>
    </row>
    <row r="106" spans="2:10" ht="18" thickBot="1" x14ac:dyDescent="0.45">
      <c r="B106" s="21" t="s">
        <v>3</v>
      </c>
      <c r="C106" s="22" t="s">
        <v>4</v>
      </c>
      <c r="D106" s="22" t="s">
        <v>5</v>
      </c>
      <c r="E106" s="22" t="s">
        <v>6</v>
      </c>
      <c r="F106" s="22" t="s">
        <v>7</v>
      </c>
      <c r="G106" s="22" t="s">
        <v>8</v>
      </c>
      <c r="H106" s="22" t="s">
        <v>9</v>
      </c>
      <c r="I106" s="22" t="s">
        <v>10</v>
      </c>
      <c r="J106" s="22" t="s">
        <v>11</v>
      </c>
    </row>
    <row r="107" spans="2:10" x14ac:dyDescent="0.4">
      <c r="B107" s="104">
        <v>349</v>
      </c>
      <c r="C107" s="104" t="s">
        <v>33</v>
      </c>
      <c r="D107" s="104">
        <v>715.35</v>
      </c>
      <c r="E107" s="105">
        <v>947982</v>
      </c>
      <c r="F107" s="105">
        <v>3000000</v>
      </c>
      <c r="G107" s="105">
        <v>492743</v>
      </c>
      <c r="H107" s="105">
        <v>0</v>
      </c>
      <c r="I107" s="104">
        <v>455239</v>
      </c>
      <c r="J107" s="104" t="s">
        <v>13</v>
      </c>
    </row>
    <row r="108" spans="2:10" ht="18" thickBot="1" x14ac:dyDescent="0.45">
      <c r="B108" s="104">
        <v>328</v>
      </c>
      <c r="C108" s="104" t="s">
        <v>12</v>
      </c>
      <c r="D108" s="104">
        <v>139.36000000000001</v>
      </c>
      <c r="E108" s="105">
        <v>184680</v>
      </c>
      <c r="F108" s="105">
        <v>2500000</v>
      </c>
      <c r="G108" s="104">
        <v>0</v>
      </c>
      <c r="H108" s="104">
        <v>0</v>
      </c>
      <c r="I108" s="105">
        <v>184680</v>
      </c>
      <c r="J108" s="104" t="s">
        <v>13</v>
      </c>
    </row>
    <row r="109" spans="2:10" ht="18" thickBot="1" x14ac:dyDescent="0.45">
      <c r="B109" s="21" t="s">
        <v>14</v>
      </c>
      <c r="C109" s="22"/>
      <c r="D109" s="22">
        <v>854.71</v>
      </c>
      <c r="E109" s="108">
        <v>1132662</v>
      </c>
      <c r="F109" s="22"/>
      <c r="G109" s="22"/>
      <c r="H109" s="22"/>
      <c r="I109" s="22">
        <v>639919</v>
      </c>
      <c r="J109" s="22"/>
    </row>
    <row r="111" spans="2:10" ht="18" thickBot="1" x14ac:dyDescent="0.45">
      <c r="B111" s="38" t="s">
        <v>88</v>
      </c>
    </row>
    <row r="112" spans="2:10" ht="18" thickBot="1" x14ac:dyDescent="0.45">
      <c r="B112" s="21" t="s">
        <v>3</v>
      </c>
      <c r="C112" s="22" t="s">
        <v>4</v>
      </c>
      <c r="D112" s="22" t="s">
        <v>5</v>
      </c>
      <c r="E112" s="22" t="s">
        <v>6</v>
      </c>
      <c r="F112" s="22" t="s">
        <v>7</v>
      </c>
      <c r="G112" s="22" t="s">
        <v>8</v>
      </c>
      <c r="H112" s="22" t="s">
        <v>9</v>
      </c>
      <c r="I112" s="22" t="s">
        <v>10</v>
      </c>
      <c r="J112" s="22" t="s">
        <v>11</v>
      </c>
    </row>
    <row r="113" spans="2:10" x14ac:dyDescent="0.4">
      <c r="B113" s="104">
        <v>349</v>
      </c>
      <c r="C113" s="104" t="s">
        <v>33</v>
      </c>
      <c r="D113" s="104">
        <v>622.54</v>
      </c>
      <c r="E113" s="105">
        <v>831309</v>
      </c>
      <c r="F113" s="105">
        <v>3000000</v>
      </c>
      <c r="G113" s="104">
        <v>0</v>
      </c>
      <c r="H113" s="104">
        <v>0</v>
      </c>
      <c r="I113" s="105">
        <v>831309</v>
      </c>
      <c r="J113" s="104" t="s">
        <v>13</v>
      </c>
    </row>
    <row r="114" spans="2:10" x14ac:dyDescent="0.4">
      <c r="B114" s="104">
        <v>1000557</v>
      </c>
      <c r="C114" s="104" t="s">
        <v>89</v>
      </c>
      <c r="D114" s="104">
        <v>332.49</v>
      </c>
      <c r="E114" s="105">
        <v>443991</v>
      </c>
      <c r="F114" s="105">
        <v>5000000</v>
      </c>
      <c r="G114" s="105">
        <v>5000000</v>
      </c>
      <c r="H114" s="105">
        <v>4556009</v>
      </c>
      <c r="I114" s="104">
        <v>0</v>
      </c>
      <c r="J114" s="104" t="s">
        <v>13</v>
      </c>
    </row>
    <row r="115" spans="2:10" ht="18" thickBot="1" x14ac:dyDescent="0.45">
      <c r="B115" s="104">
        <v>328</v>
      </c>
      <c r="C115" s="104" t="s">
        <v>12</v>
      </c>
      <c r="D115" s="104">
        <v>28.87</v>
      </c>
      <c r="E115" s="105">
        <v>38552</v>
      </c>
      <c r="F115" s="105">
        <v>2500000</v>
      </c>
      <c r="G115" s="104">
        <v>0</v>
      </c>
      <c r="H115" s="104">
        <v>0</v>
      </c>
      <c r="I115" s="105">
        <v>38552</v>
      </c>
      <c r="J115" s="104" t="s">
        <v>13</v>
      </c>
    </row>
    <row r="116" spans="2:10" ht="18" thickBot="1" x14ac:dyDescent="0.45">
      <c r="B116" s="21" t="s">
        <v>14</v>
      </c>
      <c r="C116" s="22"/>
      <c r="D116" s="22">
        <v>983.9</v>
      </c>
      <c r="E116" s="108">
        <v>1313852</v>
      </c>
      <c r="F116" s="22"/>
      <c r="G116" s="22"/>
      <c r="H116" s="22"/>
      <c r="I116" s="22">
        <v>869861</v>
      </c>
      <c r="J116" s="22"/>
    </row>
    <row r="118" spans="2:10" ht="18" thickBot="1" x14ac:dyDescent="0.45">
      <c r="B118" s="38" t="s">
        <v>93</v>
      </c>
    </row>
    <row r="119" spans="2:10" ht="18" thickBot="1" x14ac:dyDescent="0.45">
      <c r="B119" s="21" t="s">
        <v>3</v>
      </c>
      <c r="C119" s="22" t="s">
        <v>4</v>
      </c>
      <c r="D119" s="22" t="s">
        <v>5</v>
      </c>
      <c r="E119" s="22" t="s">
        <v>6</v>
      </c>
      <c r="F119" s="22" t="s">
        <v>7</v>
      </c>
      <c r="G119" s="22" t="s">
        <v>8</v>
      </c>
      <c r="H119" s="22" t="s">
        <v>9</v>
      </c>
      <c r="I119" s="22" t="s">
        <v>10</v>
      </c>
      <c r="J119" s="22" t="s">
        <v>11</v>
      </c>
    </row>
    <row r="120" spans="2:10" x14ac:dyDescent="0.4">
      <c r="B120" s="104">
        <v>349</v>
      </c>
      <c r="C120" s="104" t="s">
        <v>33</v>
      </c>
      <c r="D120" s="104">
        <v>785.06</v>
      </c>
      <c r="E120" s="105">
        <v>1056078</v>
      </c>
      <c r="F120" s="105">
        <v>3000000</v>
      </c>
      <c r="G120" s="104">
        <v>0</v>
      </c>
      <c r="H120" s="104">
        <v>0</v>
      </c>
      <c r="I120" s="105">
        <v>1056078</v>
      </c>
      <c r="J120" s="104" t="s">
        <v>13</v>
      </c>
    </row>
    <row r="121" spans="2:10" x14ac:dyDescent="0.4">
      <c r="B121" s="104">
        <v>1000557</v>
      </c>
      <c r="C121" s="104" t="s">
        <v>89</v>
      </c>
      <c r="D121" s="104">
        <v>212.52</v>
      </c>
      <c r="E121" s="105">
        <v>285886</v>
      </c>
      <c r="F121" s="105">
        <v>5000000</v>
      </c>
      <c r="G121" s="105">
        <v>4556009</v>
      </c>
      <c r="H121" s="105">
        <v>4270123</v>
      </c>
      <c r="I121" s="104">
        <v>0</v>
      </c>
      <c r="J121" s="104" t="s">
        <v>13</v>
      </c>
    </row>
    <row r="122" spans="2:10" ht="18" thickBot="1" x14ac:dyDescent="0.45">
      <c r="B122" s="104">
        <v>328</v>
      </c>
      <c r="C122" s="104" t="s">
        <v>12</v>
      </c>
      <c r="D122" s="104">
        <v>25.35</v>
      </c>
      <c r="E122" s="105">
        <v>34101</v>
      </c>
      <c r="F122" s="105">
        <v>2500000</v>
      </c>
      <c r="G122" s="104">
        <v>0</v>
      </c>
      <c r="H122" s="104">
        <v>0</v>
      </c>
      <c r="I122" s="105">
        <v>34101</v>
      </c>
      <c r="J122" s="104" t="s">
        <v>13</v>
      </c>
    </row>
    <row r="123" spans="2:10" ht="18" thickBot="1" x14ac:dyDescent="0.45">
      <c r="B123" s="21" t="s">
        <v>14</v>
      </c>
      <c r="C123" s="22"/>
      <c r="D123" s="22">
        <v>1022.93</v>
      </c>
      <c r="E123" s="108">
        <v>1376065</v>
      </c>
      <c r="F123" s="22"/>
      <c r="G123" s="22"/>
      <c r="H123" s="22"/>
      <c r="I123" s="22">
        <v>1090179</v>
      </c>
      <c r="J123" s="22"/>
    </row>
  </sheetData>
  <mergeCells count="16">
    <mergeCell ref="B69:B70"/>
    <mergeCell ref="C69:C70"/>
    <mergeCell ref="B71:B72"/>
    <mergeCell ref="C71:C72"/>
    <mergeCell ref="B39:B40"/>
    <mergeCell ref="C39:C40"/>
    <mergeCell ref="B41:B42"/>
    <mergeCell ref="C41:C42"/>
    <mergeCell ref="B55:B56"/>
    <mergeCell ref="C55:C56"/>
    <mergeCell ref="B57:B58"/>
    <mergeCell ref="C57:C58"/>
    <mergeCell ref="B47:B48"/>
    <mergeCell ref="C47:C48"/>
    <mergeCell ref="B49:B50"/>
    <mergeCell ref="C49:C50"/>
  </mergeCells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종합</vt:lpstr>
      <vt:lpstr>월별 정산서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soojeoung choi</dc:creator>
  <cp:lastModifiedBy>storywiz</cp:lastModifiedBy>
  <dcterms:created xsi:type="dcterms:W3CDTF">2020-12-02T06:07:48Z</dcterms:created>
  <dcterms:modified xsi:type="dcterms:W3CDTF">2022-06-24T04:35:58Z</dcterms:modified>
</cp:coreProperties>
</file>