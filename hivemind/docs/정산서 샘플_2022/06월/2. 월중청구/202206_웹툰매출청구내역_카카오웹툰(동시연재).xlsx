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"/>
    </mc:Choice>
  </mc:AlternateContent>
  <bookViews>
    <workbookView xWindow="11820" yWindow="504" windowWidth="26580" windowHeight="19860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calcChain.xml><?xml version="1.0" encoding="utf-8"?>
<calcChain xmlns="http://schemas.openxmlformats.org/spreadsheetml/2006/main">
  <c r="J19" i="1" l="1"/>
  <c r="I19" i="1"/>
  <c r="H19" i="1"/>
  <c r="G19" i="1"/>
</calcChain>
</file>

<file path=xl/sharedStrings.xml><?xml version="1.0" encoding="utf-8"?>
<sst xmlns="http://schemas.openxmlformats.org/spreadsheetml/2006/main" count="77" uniqueCount="60">
  <si>
    <t>카카오웹툰 "주식회사 스토리위즈" 정산내역서</t>
  </si>
  <si>
    <t>1)</t>
  </si>
  <si>
    <t>정산서 안내</t>
  </si>
  <si>
    <t>#1 플랫폼명 : 카카오페이지</t>
  </si>
  <si>
    <t>#2 작가명 : 주식회사 스토리위즈</t>
  </si>
  <si>
    <t>#3 판매월 : 2022-05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</si>
  <si>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</si>
  <si>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</si>
  <si>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</si>
  <si>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</si>
  <si>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</si>
  <si>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</si>
  <si>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</si>
  <si>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</si>
  <si>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</si>
  <si>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</si>
  <si>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</si>
  <si>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카카오페이지 정산금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</si>
  <si>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</si>
  <si>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</si>
  <si>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</si>
  <si>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</si>
  <si>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</si>
  <si>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</si>
  <si>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합계</t>
  </si>
  <si>
    <t>정산월</t>
  </si>
  <si>
    <t>시리즈ID</t>
  </si>
  <si>
    <t>시리즈명</t>
  </si>
  <si>
    <t>거래금액 합계</t>
  </si>
  <si>
    <t>안드로이드 거래금액</t>
  </si>
  <si>
    <t>이벤트캐시 거래금액</t>
  </si>
  <si>
    <t>iOS 거래금액</t>
  </si>
  <si>
    <t>정산율(안드 / 이벤트캐시)</t>
  </si>
  <si>
    <t>정산율(iOS)</t>
  </si>
  <si>
    <t>수익배분율</t>
  </si>
  <si>
    <t>작가정산금</t>
  </si>
  <si>
    <t>2022-05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</si>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</sst>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9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9" fontId="9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0" applyNumberFormat="1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9" fillId="0" borderId="0" xfId="1" applyFont="1" applyAlignment="1"/>
    <xf numFmtId="41" fontId="9" fillId="0" borderId="0" xfId="0" applyNumberFormat="1" applyFont="1" applyAlignment="1"/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/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4" xfId="0" applyBorder="1" applyAlignment="1"/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E10" sqref="E10"/>
    </sheetView>
  </sheetViews>
  <sheetFormatPr defaultColWidth="8.69921875" defaultRowHeight="15.6" x14ac:dyDescent="0.4"/>
  <cols>
    <col min="1" max="1" width="3.19921875" style="7" customWidth="1"/>
    <col min="2" max="2" width="2" style="8" customWidth="1"/>
    <col min="3" max="3" width="2.69921875" style="9" customWidth="1"/>
    <col min="4" max="4" width="18.5" style="6" customWidth="1"/>
    <col min="5" max="5" width="13.69921875" style="6" customWidth="1"/>
    <col min="6" max="13" width="15.5" style="6" bestFit="1" customWidth="1"/>
    <col min="14" max="14" width="8.69921875" style="7" customWidth="1"/>
    <col min="15" max="16384" width="8.69921875" style="7"/>
  </cols>
  <sheetData>
    <row r="1" spans="1:13" x14ac:dyDescent="0.4">
      <c r="A1" s="5"/>
      <c r="B1" s="5"/>
      <c r="C1" s="5"/>
      <c r="D1" s="5"/>
      <c r="E1" s="5"/>
      <c r="F1" s="5"/>
      <c r="G1" s="5"/>
      <c r="H1" s="5"/>
      <c r="I1" s="5"/>
      <c r="M1" s="7"/>
    </row>
    <row r="2" spans="1:13" ht="31.2" customHeight="1" x14ac:dyDescent="0.4">
      <c r="A2" s="5"/>
      <c r="B2" s="5"/>
      <c r="C2" s="5"/>
      <c r="D2" s="5"/>
      <c r="E2" s="5"/>
      <c r="F2" s="5"/>
      <c r="G2" s="5"/>
      <c r="H2" s="5"/>
      <c r="I2" s="1"/>
      <c r="L2" s="1" t="s">
        <v>0</v>
      </c>
      <c r="M2" s="7"/>
    </row>
    <row r="3" spans="1:13" ht="7.5" customHeight="1" x14ac:dyDescent="0.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</row>
    <row r="4" spans="1:13" x14ac:dyDescent="0.4">
      <c r="A4" s="5"/>
      <c r="B4" s="5"/>
      <c r="C4" s="5"/>
      <c r="D4" s="5"/>
      <c r="E4" s="5"/>
      <c r="F4" s="5"/>
      <c r="G4" s="5"/>
      <c r="H4" s="5"/>
      <c r="I4" s="5"/>
      <c r="M4" s="7"/>
    </row>
    <row r="5" spans="1:13" x14ac:dyDescent="0.4">
      <c r="C5" s="12" t="s">
        <v>1</v>
      </c>
      <c r="D5" s="12" t="s">
        <v>2</v>
      </c>
      <c r="E5" s="7"/>
      <c r="F5" s="7"/>
      <c r="G5" s="7"/>
      <c r="H5" s="7"/>
      <c r="I5" s="7"/>
      <c r="J5" s="7"/>
      <c r="K5" s="7"/>
      <c r="L5" s="7"/>
      <c r="M5" s="7"/>
    </row>
    <row r="6" spans="1:13" ht="9" customHeight="1" x14ac:dyDescent="0.4">
      <c r="M6" s="7"/>
    </row>
    <row r="7" spans="1:13" x14ac:dyDescent="0.35">
      <c r="D7" s="13" t="s">
        <v>3</v>
      </c>
      <c r="M7" s="7"/>
    </row>
    <row r="8" spans="1:13" x14ac:dyDescent="0.35">
      <c r="D8" s="13" t="s">
        <v>4</v>
      </c>
      <c r="M8" s="7"/>
    </row>
    <row r="9" spans="1:13" x14ac:dyDescent="0.35">
      <c r="D9" s="13" t="s">
        <v>5</v>
      </c>
      <c r="M9" s="7"/>
    </row>
    <row r="10" spans="1:13" x14ac:dyDescent="0.35">
      <c r="D10" s="13" t="s">
        <v>6</v>
      </c>
      <c r="M10" s="7"/>
    </row>
    <row r="11" spans="1:13" x14ac:dyDescent="0.35">
      <c r="D11" s="13" t="s">
        <v>7</v>
      </c>
      <c r="M11" s="7"/>
    </row>
    <row r="12" spans="1:13" ht="17.399999999999999" x14ac:dyDescent="0.4">
      <c r="D12" t="s">
        <v>8</v>
      </c>
      <c r="M12" s="7"/>
    </row>
    <row r="13" spans="1:13" x14ac:dyDescent="0.4">
      <c r="M13" s="7"/>
    </row>
    <row r="14" spans="1:13" x14ac:dyDescent="0.35">
      <c r="C14" s="13" t="s">
        <v>9</v>
      </c>
      <c r="D14" s="13" t="s">
        <v>10</v>
      </c>
      <c r="E14" s="14">
        <v>45202</v>
      </c>
      <c r="F14" s="15" t="s">
        <v>11</v>
      </c>
      <c r="M14" s="7"/>
    </row>
    <row r="15" spans="1:13" x14ac:dyDescent="0.4">
      <c r="M15" s="7"/>
    </row>
    <row r="16" spans="1:13" ht="17.399999999999999" x14ac:dyDescent="0.4">
      <c r="C16" s="16" t="s">
        <v>12</v>
      </c>
      <c r="D16" s="13" t="s">
        <v>13</v>
      </c>
      <c r="M16" s="7"/>
    </row>
    <row r="17" spans="4:13" ht="17.399999999999999" x14ac:dyDescent="0.4">
      <c r="D17" s="17" t="s">
        <v>14</v>
      </c>
      <c r="E17" s="17" t="s">
        <v>15</v>
      </c>
      <c r="F17" s="17" t="s">
        <v>16</v>
      </c>
      <c r="G17" s="17" t="s">
        <v>17</v>
      </c>
      <c r="H17" s="17" t="s">
        <v>18</v>
      </c>
      <c r="I17" s="17" t="s">
        <v>19</v>
      </c>
      <c r="J17" s="17" t="s">
        <v>20</v>
      </c>
      <c r="M17" s="7"/>
    </row>
    <row r="18" spans="4:13" ht="17.399999999999999" x14ac:dyDescent="0.4">
      <c r="D18" s="31" t="s">
        <v>21</v>
      </c>
      <c r="E18" s="31" t="s">
        <v>22</v>
      </c>
      <c r="F18" s="18" t="s">
        <v>23</v>
      </c>
      <c r="G18" s="19">
        <v>64574</v>
      </c>
      <c r="H18" s="19">
        <v>45202</v>
      </c>
      <c r="I18" s="19">
        <v>0</v>
      </c>
      <c r="J18" s="19">
        <v>45202</v>
      </c>
      <c r="M18" s="7"/>
    </row>
    <row r="19" spans="4:13" ht="17.399999999999999" x14ac:dyDescent="0.4">
      <c r="D19" s="31" t="s">
        <v>24</v>
      </c>
      <c r="E19" s="32"/>
      <c r="F19" s="33"/>
      <c r="G19" s="19">
        <f>SUM(G18:G18)</f>
        <v>64574</v>
      </c>
      <c r="H19" s="19">
        <f>SUM(H18:H18)</f>
        <v>45202</v>
      </c>
      <c r="I19" s="19">
        <f>SUM(I18:I18)</f>
        <v>0</v>
      </c>
      <c r="J19" s="19">
        <f>SUM(J18:J18)</f>
        <v>45202</v>
      </c>
      <c r="M19" s="7"/>
    </row>
    <row r="20" spans="4:13" x14ac:dyDescent="0.4">
      <c r="M20" s="7"/>
    </row>
    <row r="21" spans="4:13" x14ac:dyDescent="0.4">
      <c r="M21" s="7"/>
    </row>
    <row r="22" spans="4:13" x14ac:dyDescent="0.4">
      <c r="M22" s="7"/>
    </row>
    <row r="23" spans="4:13" x14ac:dyDescent="0.4">
      <c r="M23" s="7"/>
    </row>
    <row r="24" spans="4:13" x14ac:dyDescent="0.4">
      <c r="M24" s="7"/>
    </row>
  </sheetData>
  <mergeCells count="3">
    <mergeCell ref="D18"/>
    <mergeCell ref="E18"/>
    <mergeCell ref="D19:F1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K2" sqref="K2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2" x14ac:dyDescent="0.4">
      <c r="A1" s="20" t="s">
        <v>25</v>
      </c>
      <c r="B1" s="20" t="s">
        <v>26</v>
      </c>
      <c r="C1" s="20" t="s">
        <v>27</v>
      </c>
      <c r="D1" s="20" t="s">
        <v>28</v>
      </c>
      <c r="E1" s="20" t="s">
        <v>29</v>
      </c>
      <c r="F1" s="20" t="s">
        <v>30</v>
      </c>
      <c r="G1" s="20" t="s">
        <v>31</v>
      </c>
      <c r="H1" s="20" t="s">
        <v>32</v>
      </c>
      <c r="I1" s="20" t="s">
        <v>33</v>
      </c>
      <c r="J1" s="20" t="s">
        <v>17</v>
      </c>
      <c r="K1" s="20" t="s">
        <v>34</v>
      </c>
      <c r="L1" s="20" t="s">
        <v>35</v>
      </c>
    </row>
    <row r="2" spans="1:12" x14ac:dyDescent="0.3">
      <c r="A2" s="21" t="s">
        <v>36</v>
      </c>
      <c r="B2" s="22">
        <v>55171938</v>
      </c>
      <c r="C2" s="22" t="s">
        <v>23</v>
      </c>
      <c r="D2" s="23">
        <v>92940</v>
      </c>
      <c r="E2" s="23">
        <v>53500</v>
      </c>
      <c r="F2" s="23">
        <v>34600</v>
      </c>
      <c r="G2" s="24">
        <v>4840</v>
      </c>
      <c r="H2" s="25">
        <v>0.7</v>
      </c>
      <c r="I2" s="25">
        <v>0.6</v>
      </c>
      <c r="J2" s="23">
        <v>64574</v>
      </c>
      <c r="K2" s="25">
        <v>0.7</v>
      </c>
      <c r="L2" s="23">
        <v>45202</v>
      </c>
    </row>
    <row r="3" spans="1:12" x14ac:dyDescent="0.3">
      <c r="A3" s="3"/>
      <c r="B3" s="3"/>
      <c r="C3" s="3"/>
      <c r="D3" s="3"/>
      <c r="E3" s="3"/>
      <c r="F3" s="3"/>
      <c r="G3" s="26"/>
      <c r="H3" s="27"/>
      <c r="I3" s="27"/>
      <c r="J3" s="4"/>
      <c r="K3" s="27"/>
    </row>
    <row r="4" spans="1:12" x14ac:dyDescent="0.3">
      <c r="A4" s="3"/>
      <c r="B4" s="3"/>
      <c r="C4" s="3"/>
      <c r="D4" s="3"/>
      <c r="E4" s="3"/>
      <c r="F4" s="3"/>
      <c r="G4" s="26"/>
      <c r="H4" s="27"/>
      <c r="I4" s="27"/>
      <c r="J4" s="4"/>
      <c r="K4" s="27"/>
    </row>
    <row r="5" spans="1:12" x14ac:dyDescent="0.3">
      <c r="A5" s="3"/>
      <c r="B5" s="3"/>
      <c r="C5" s="3"/>
      <c r="D5" s="3"/>
      <c r="E5" s="3"/>
      <c r="F5" s="3"/>
      <c r="G5" s="26"/>
      <c r="H5" s="27"/>
      <c r="I5" s="27"/>
      <c r="J5" s="4"/>
      <c r="K5" s="2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C17" sqref="C17"/>
    </sheetView>
  </sheetViews>
  <sheetFormatPr defaultRowHeight="17.399999999999999" x14ac:dyDescent="0.4"/>
  <cols>
    <col min="1" max="8" width="20" style="11" customWidth="1"/>
  </cols>
  <sheetData>
    <row r="1" spans="1:8" x14ac:dyDescent="0.4">
      <c r="A1" s="34" t="s">
        <v>16</v>
      </c>
      <c r="B1" s="34" t="s">
        <v>25</v>
      </c>
      <c r="C1" s="34" t="s">
        <v>37</v>
      </c>
      <c r="D1" s="34" t="s">
        <v>38</v>
      </c>
      <c r="E1" s="33"/>
      <c r="F1" s="34" t="s">
        <v>39</v>
      </c>
      <c r="G1" s="34" t="s">
        <v>40</v>
      </c>
      <c r="H1" s="34" t="s">
        <v>41</v>
      </c>
    </row>
    <row r="2" spans="1:8" x14ac:dyDescent="0.4">
      <c r="A2" s="35"/>
      <c r="B2" s="35"/>
      <c r="C2" s="35"/>
      <c r="D2" s="28" t="s">
        <v>42</v>
      </c>
      <c r="E2" s="28" t="s">
        <v>43</v>
      </c>
      <c r="F2" s="35"/>
      <c r="G2" s="35"/>
      <c r="H2" s="35"/>
    </row>
    <row r="3" spans="1:8" x14ac:dyDescent="0.4">
      <c r="A3" s="37" t="s">
        <v>44</v>
      </c>
      <c r="B3" s="36" t="s">
        <v>45</v>
      </c>
      <c r="C3" s="29" t="s">
        <v>46</v>
      </c>
      <c r="D3" s="30">
        <v>0</v>
      </c>
      <c r="E3" s="30">
        <v>40000000</v>
      </c>
      <c r="F3" s="30">
        <v>1634352</v>
      </c>
      <c r="G3" s="30">
        <v>38365648</v>
      </c>
      <c r="H3" s="30">
        <v>0</v>
      </c>
    </row>
    <row r="4" spans="1:8" x14ac:dyDescent="0.4">
      <c r="A4" s="38"/>
      <c r="B4" s="36" t="s">
        <v>47</v>
      </c>
      <c r="C4" s="29" t="s">
        <v>46</v>
      </c>
      <c r="D4" s="30">
        <v>38365648</v>
      </c>
      <c r="E4" s="30">
        <v>0</v>
      </c>
      <c r="F4" s="30">
        <v>2005354</v>
      </c>
      <c r="G4" s="30">
        <v>36360294</v>
      </c>
      <c r="H4" s="30">
        <v>0</v>
      </c>
    </row>
    <row r="5" spans="1:8" x14ac:dyDescent="0.4">
      <c r="A5" s="38"/>
      <c r="B5" s="36" t="s">
        <v>48</v>
      </c>
      <c r="C5" s="29" t="s">
        <v>46</v>
      </c>
      <c r="D5" s="30">
        <v>36360294</v>
      </c>
      <c r="E5" s="30">
        <v>0</v>
      </c>
      <c r="F5" s="30">
        <v>2044892</v>
      </c>
      <c r="G5" s="30">
        <v>34315402</v>
      </c>
      <c r="H5" s="30">
        <v>0</v>
      </c>
    </row>
    <row r="6" spans="1:8" x14ac:dyDescent="0.4">
      <c r="A6" s="38"/>
      <c r="B6" s="36" t="s">
        <v>49</v>
      </c>
      <c r="C6" s="29" t="s">
        <v>46</v>
      </c>
      <c r="D6" s="30">
        <v>34315402</v>
      </c>
      <c r="E6" s="30">
        <v>0</v>
      </c>
      <c r="F6" s="30">
        <v>1433705</v>
      </c>
      <c r="G6" s="30">
        <v>32881697</v>
      </c>
      <c r="H6" s="30">
        <v>0</v>
      </c>
    </row>
    <row r="7" spans="1:8" x14ac:dyDescent="0.4">
      <c r="A7" s="38"/>
      <c r="B7" s="36" t="s">
        <v>50</v>
      </c>
      <c r="C7" s="29" t="s">
        <v>46</v>
      </c>
      <c r="D7" s="30">
        <v>32881697</v>
      </c>
      <c r="E7" s="30">
        <v>0</v>
      </c>
      <c r="F7" s="30">
        <v>2044938</v>
      </c>
      <c r="G7" s="30">
        <v>30836759</v>
      </c>
      <c r="H7" s="30">
        <v>0</v>
      </c>
    </row>
    <row r="8" spans="1:8" x14ac:dyDescent="0.4">
      <c r="A8" s="38"/>
      <c r="B8" s="36" t="s">
        <v>51</v>
      </c>
      <c r="C8" s="29" t="s">
        <v>46</v>
      </c>
      <c r="D8" s="30">
        <v>30836759</v>
      </c>
      <c r="E8" s="30">
        <v>0</v>
      </c>
      <c r="F8" s="30">
        <v>925342</v>
      </c>
      <c r="G8" s="30">
        <v>29911417</v>
      </c>
      <c r="H8" s="30">
        <v>0</v>
      </c>
    </row>
    <row r="9" spans="1:8" x14ac:dyDescent="0.4">
      <c r="A9" s="38"/>
      <c r="B9" s="36" t="s">
        <v>52</v>
      </c>
      <c r="C9" s="29" t="s">
        <v>46</v>
      </c>
      <c r="D9" s="30">
        <v>29911417</v>
      </c>
      <c r="E9" s="30">
        <v>0</v>
      </c>
      <c r="F9" s="30">
        <v>849269</v>
      </c>
      <c r="G9" s="30">
        <v>29062148</v>
      </c>
      <c r="H9" s="30">
        <v>0</v>
      </c>
    </row>
    <row r="10" spans="1:8" x14ac:dyDescent="0.4">
      <c r="A10" s="38"/>
      <c r="B10" s="36" t="s">
        <v>53</v>
      </c>
      <c r="C10" s="29" t="s">
        <v>46</v>
      </c>
      <c r="D10" s="30">
        <v>29062148</v>
      </c>
      <c r="E10" s="30">
        <v>0</v>
      </c>
      <c r="F10" s="30">
        <v>566393</v>
      </c>
      <c r="G10" s="30">
        <v>28495755</v>
      </c>
      <c r="H10" s="30">
        <v>0</v>
      </c>
    </row>
    <row r="11" spans="1:8" x14ac:dyDescent="0.4">
      <c r="A11" s="38"/>
      <c r="B11" s="36" t="s">
        <v>54</v>
      </c>
      <c r="C11" s="29" t="s">
        <v>46</v>
      </c>
      <c r="D11" s="30">
        <v>28495755</v>
      </c>
      <c r="E11" s="30">
        <v>0</v>
      </c>
      <c r="F11" s="30">
        <v>577678</v>
      </c>
      <c r="G11" s="30">
        <v>27918077</v>
      </c>
      <c r="H11" s="30">
        <v>0</v>
      </c>
    </row>
    <row r="12" spans="1:8" x14ac:dyDescent="0.4">
      <c r="A12" s="38"/>
      <c r="B12" s="36" t="s">
        <v>55</v>
      </c>
      <c r="C12" s="29" t="s">
        <v>46</v>
      </c>
      <c r="D12" s="30">
        <v>27918077</v>
      </c>
      <c r="E12" s="30">
        <v>0</v>
      </c>
      <c r="F12" s="30">
        <v>1368353</v>
      </c>
      <c r="G12" s="30">
        <v>26549724</v>
      </c>
      <c r="H12" s="30">
        <v>0</v>
      </c>
    </row>
    <row r="13" spans="1:8" x14ac:dyDescent="0.4">
      <c r="A13" s="38"/>
      <c r="B13" s="36" t="s">
        <v>56</v>
      </c>
      <c r="C13" s="29" t="s">
        <v>46</v>
      </c>
      <c r="D13" s="30">
        <v>26549724</v>
      </c>
      <c r="E13" s="30">
        <v>0</v>
      </c>
      <c r="F13" s="30">
        <v>483830</v>
      </c>
      <c r="G13" s="30">
        <v>26065894</v>
      </c>
      <c r="H13" s="30">
        <v>0</v>
      </c>
    </row>
    <row r="14" spans="1:8" x14ac:dyDescent="0.4">
      <c r="A14" s="38"/>
      <c r="B14" s="36" t="s">
        <v>57</v>
      </c>
      <c r="C14" s="29" t="s">
        <v>46</v>
      </c>
      <c r="D14" s="30">
        <v>26065894</v>
      </c>
      <c r="E14" s="30">
        <v>0</v>
      </c>
      <c r="F14" s="30">
        <v>455173</v>
      </c>
      <c r="G14" s="30">
        <v>25610721</v>
      </c>
      <c r="H14" s="30">
        <v>0</v>
      </c>
    </row>
    <row r="15" spans="1:8" x14ac:dyDescent="0.4">
      <c r="A15" s="38"/>
      <c r="B15" s="36" t="s">
        <v>58</v>
      </c>
      <c r="C15" s="29" t="s">
        <v>46</v>
      </c>
      <c r="D15" s="30">
        <v>25610721</v>
      </c>
      <c r="E15" s="30">
        <v>0</v>
      </c>
      <c r="F15" s="30">
        <v>376740</v>
      </c>
      <c r="G15" s="30">
        <v>25233981</v>
      </c>
      <c r="H15" s="30">
        <v>0</v>
      </c>
    </row>
    <row r="16" spans="1:8" x14ac:dyDescent="0.4">
      <c r="A16" s="35"/>
      <c r="B16" s="36" t="s">
        <v>59</v>
      </c>
      <c r="C16" s="29" t="s">
        <v>46</v>
      </c>
      <c r="D16" s="30">
        <v>25233981</v>
      </c>
      <c r="E16" s="30">
        <v>0</v>
      </c>
      <c r="F16" s="30">
        <v>606254</v>
      </c>
      <c r="G16" s="30">
        <v>24627727</v>
      </c>
      <c r="H16" s="30">
        <v>0</v>
      </c>
    </row>
  </sheetData>
  <mergeCells count="22">
    <mergeCell ref="B16"/>
    <mergeCell ref="A3:A16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2022-06-23T08:29:36Z</dcterms:modified>
</cp:coreProperties>
</file>