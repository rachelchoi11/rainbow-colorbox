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카카오페이지\"/>
    </mc:Choice>
  </mc:AlternateContent>
  <bookViews>
    <workbookView xWindow="0" yWindow="0" windowWidth="23040" windowHeight="9300"/>
  </bookViews>
  <sheets>
    <sheet name="합계(6)" sheetId="1" r:id="rId1"/>
    <sheet name="컨헤라_마딸,옹주" sheetId="10" r:id="rId2"/>
    <sheet name="컨헤라_회귀" sheetId="11" r:id="rId3"/>
    <sheet name="구디스튜디오_간신이 나라를 살림" sheetId="13" r:id="rId4"/>
    <sheet name="구디스튜디오_기사가문" sheetId="14" r:id="rId5"/>
    <sheet name="스토리위즈_새파랗게 어린" sheetId="15" r:id="rId6"/>
    <sheet name="스토리위즈_황녀, 미친 꽃으로 피어나다" sheetId="12" r:id="rId7"/>
  </sheets>
  <definedNames>
    <definedName name="_xlnm._FilterDatabase" localSheetId="0" hidden="1">'합계(6)'!$A$1:$AV$52</definedName>
    <definedName name="_xlnm.Extract" localSheetId="3">'구디스튜디오_간신이 나라를 살림'!$A$1:$AV$1</definedName>
    <definedName name="_xlnm.Extract" localSheetId="4">구디스튜디오_기사가문!$A$1:$AV$1</definedName>
    <definedName name="_xlnm.Extract" localSheetId="5">'스토리위즈_새파랗게 어린'!$A$1:$AV$1</definedName>
    <definedName name="_xlnm.Extract" localSheetId="6">'스토리위즈_황녀, 미친 꽃으로 피어나다'!$A$1:$AV$1</definedName>
    <definedName name="_xlnm.Extract" localSheetId="1">'컨헤라_마딸,옹주'!$A$1:$AV$1</definedName>
    <definedName name="_xlnm.Extract" localSheetId="2">컨헤라_회귀!$A$1:$AV$1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C16" i="12" l="1"/>
  <c r="B16" i="12"/>
  <c r="C14" i="12"/>
  <c r="D14" i="12" s="1"/>
  <c r="D13" i="15"/>
  <c r="D14" i="14"/>
  <c r="AU10" i="12"/>
  <c r="C16" i="15" l="1"/>
  <c r="B16" i="15"/>
  <c r="C13" i="15"/>
  <c r="AU9" i="15"/>
  <c r="C17" i="14"/>
  <c r="B17" i="14"/>
  <c r="C14" i="14"/>
  <c r="AU10" i="14"/>
  <c r="C24" i="13"/>
  <c r="D15" i="13"/>
  <c r="C15" i="13"/>
  <c r="D14" i="13"/>
  <c r="B24" i="13"/>
  <c r="D13" i="13"/>
  <c r="AU9" i="13"/>
  <c r="D23" i="11"/>
  <c r="C23" i="11"/>
  <c r="C25" i="11" s="1"/>
  <c r="B25" i="11"/>
  <c r="D14" i="11"/>
  <c r="D15" i="11" s="1"/>
  <c r="D16" i="11" s="1"/>
  <c r="D17" i="11" s="1"/>
  <c r="D18" i="11" s="1"/>
  <c r="D19" i="11" s="1"/>
  <c r="D20" i="11" s="1"/>
  <c r="D21" i="11" s="1"/>
  <c r="AU10" i="11"/>
  <c r="D55" i="10"/>
  <c r="C55" i="10"/>
  <c r="C57" i="10"/>
  <c r="B57" i="10"/>
  <c r="D31" i="10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AU15" i="10"/>
  <c r="D22" i="11" l="1"/>
  <c r="D54" i="10"/>
</calcChain>
</file>

<file path=xl/comments1.xml><?xml version="1.0" encoding="utf-8"?>
<comments xmlns="http://schemas.openxmlformats.org/spreadsheetml/2006/main">
  <authors>
    <author>jihui</author>
  </authors>
  <commentList>
    <comment ref="B26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<sst xmlns="http://schemas.openxmlformats.org/spreadsheetml/2006/main" count="2723" uniqueCount="136">
  <si>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</si>
  <si>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</si>
  <si>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</si>
  <si>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</si>
  <si>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</si>
  <si>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</si>
  <si>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</si>
  <si>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</si>
  <si>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</si>
  <si>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</si>
  <si>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</si>
  <si>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</si>
  <si>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</si>
  <si>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</si>
  <si>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</si>
  <si>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</si>
  <si>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</si>
  <si>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</si>
  <si>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</si>
  <si>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</si>
  <si>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</si>
  <si>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</si>
  <si>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</si>
  <si>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</si>
  <si>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</si>
  <si>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</si>
  <si>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</si>
  <si>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</si>
  <si>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</si>
  <si>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</si>
  <si>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</si>
  <si>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</si>
  <si>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</si>
  <si>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</si>
  <si>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</si>
  <si>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</si>
  <si>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</si>
  <si>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</si>
  <si>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</si>
  <si>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</si>
  <si>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</si>
  <si>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</si>
  <si>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</si>
  <si>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</si>
  <si>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</si>
  <si>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</si>
  <si>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</si>
  <si>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</si>
  <si>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</si>
  <si>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카카오페이지 선투자 계약</t>
  </si>
  <si>
    <t>N</t>
  </si>
  <si>
    <t>면세</t>
  </si>
  <si>
    <t/>
  </si>
  <si>
    <t>유</t>
  </si>
  <si>
    <t>단일 이용권</t>
  </si>
  <si>
    <t>60</t>
  </si>
  <si>
    <t>시리즈 이용권 패키지</t>
  </si>
  <si>
    <t>간신이 나라를 살림</t>
  </si>
  <si>
    <t>기사가문 망나니는 10클래스</t>
  </si>
  <si>
    <t>단일 대여 이용권</t>
  </si>
  <si>
    <t>시리즈 대여 이용권 패키지</t>
  </si>
  <si>
    <t>회귀의 전설</t>
  </si>
  <si>
    <t>storywiz</t>
  </si>
  <si>
    <t>1944</t>
  </si>
  <si>
    <t>스토리위즈_마왕의 딸 등 2종</t>
  </si>
  <si>
    <t>만화</t>
  </si>
  <si>
    <t>53361105</t>
  </si>
  <si>
    <t>마왕의 딸로 태어났습니다</t>
  </si>
  <si>
    <t>2019-10-31</t>
  </si>
  <si>
    <t>은민,여울</t>
  </si>
  <si>
    <t>53361778</t>
  </si>
  <si>
    <t>옹주의 호위무사</t>
  </si>
  <si>
    <t>2019-12-13</t>
  </si>
  <si>
    <t>정훈,수국</t>
  </si>
  <si>
    <t>2531</t>
  </si>
  <si>
    <t>스토리위즈_회귀의 전설_선투자</t>
  </si>
  <si>
    <t>57928448</t>
  </si>
  <si>
    <t>2021-09-30</t>
  </si>
  <si>
    <t>송진우,김광수</t>
  </si>
  <si>
    <t>3377</t>
  </si>
  <si>
    <t>스토리위즈_황녀, 미친 꽃으로 피어나다</t>
  </si>
  <si>
    <t>59603265</t>
  </si>
  <si>
    <t>황녀, 미친 꽃으로 피어나다</t>
  </si>
  <si>
    <t>2022-06-21</t>
  </si>
  <si>
    <t>황만주,문토,한보연</t>
  </si>
  <si>
    <t>3464</t>
  </si>
  <si>
    <t>스토리위즈_간신이 나라를 살림_선투자+2차</t>
  </si>
  <si>
    <t>59078106</t>
  </si>
  <si>
    <t>2022-04-05</t>
  </si>
  <si>
    <t>써드리오,Azul,루이세</t>
  </si>
  <si>
    <t>3465</t>
  </si>
  <si>
    <t>스토리위즈_기사가문 망나니는 10클래스_선투자+2차</t>
  </si>
  <si>
    <t>59628363</t>
  </si>
  <si>
    <t>2022-06-28</t>
  </si>
  <si>
    <t>조작가,최진규,예로나</t>
  </si>
  <si>
    <t>무</t>
  </si>
  <si>
    <t>3552</t>
  </si>
  <si>
    <t>스토리위즈_새파랗게 어린_선투자+2차</t>
  </si>
  <si>
    <t>59603081</t>
  </si>
  <si>
    <t>새파랗게 어린</t>
  </si>
  <si>
    <t>2022-06-17</t>
  </si>
  <si>
    <t>광야,늡이버섯,유엘,룽다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</si>
  <si>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</si>
  <si>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</si>
  <si>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</si>
  <si>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</si>
  <si>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</si>
  <si>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202111(카카오웹툰9,10월)</t>
    <phoneticPr fontId="1" type="noConversion"/>
  </si>
  <si>
    <t>202112(카카오웹툰11월)</t>
    <phoneticPr fontId="1" type="noConversion"/>
  </si>
  <si>
    <t>202201(카카오웹툰12월)</t>
    <phoneticPr fontId="1" type="noConversion"/>
  </si>
  <si>
    <t>202202(카카오웹툰1월)</t>
    <phoneticPr fontId="1" type="noConversion"/>
  </si>
  <si>
    <t>합계</t>
    <phoneticPr fontId="1" type="noConversion"/>
  </si>
  <si>
    <t>※ &lt;마왕의 딸로 태어났습니다&gt;, &lt;옹주의 호위무사&gt;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</si>
  <si>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</si>
  <si>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</si>
  <si>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※ '21.01 선MG 분할인식 금액</t>
    <phoneticPr fontId="1" type="noConversion"/>
  </si>
  <si>
    <t>ㅇ MG차감 내역(회귀의 전설)</t>
    <phoneticPr fontId="1" type="noConversion"/>
  </si>
  <si>
    <t xml:space="preserve">스토리위즈 매출 </t>
    <phoneticPr fontId="5" type="noConversion"/>
  </si>
  <si>
    <t>※ 2021.05.01 특별계약 1차 체결(국내 MG 5천만원)</t>
    <phoneticPr fontId="1" type="noConversion"/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</si>
  <si>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</si>
  <si>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</si>
  <si>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※ 2022.04 특별계약 4차 체결(국내 MG 5천만원)</t>
    <phoneticPr fontId="1" type="noConversion"/>
  </si>
  <si>
    <t>ㅇ MG차감 내역(간신이 나라를 살림)</t>
    <phoneticPr fontId="1" type="noConversion"/>
  </si>
  <si>
    <t>유통년월</t>
    <phoneticPr fontId="1" type="noConversion"/>
  </si>
  <si>
    <t>MG 잔여</t>
    <phoneticPr fontId="5" type="noConversion"/>
  </si>
  <si>
    <t>합계</t>
    <phoneticPr fontId="1" type="noConversion"/>
  </si>
  <si>
    <t>ㅇ MG차감 내역(기사가문 망나니는 10클래스)</t>
    <phoneticPr fontId="1" type="noConversion"/>
  </si>
  <si>
    <t>스토리위즈_기사가문 망나니는 10클래스</t>
    <phoneticPr fontId="1" type="noConversion"/>
  </si>
  <si>
    <t>스토리위즈_기사가문 망나니는 10클래스</t>
    <phoneticPr fontId="1" type="noConversion"/>
  </si>
  <si>
    <t>합계</t>
    <phoneticPr fontId="1" type="noConversion"/>
  </si>
  <si>
    <t>스토리위즈_새파랗게 어린</t>
    <phoneticPr fontId="1" type="noConversion"/>
  </si>
  <si>
    <t>스토리위즈_새파랗게 어린</t>
    <phoneticPr fontId="1" type="noConversion"/>
  </si>
  <si>
    <t>ㅇ MG차감 내역(새파랗게 어린)</t>
    <phoneticPr fontId="1" type="noConversion"/>
  </si>
  <si>
    <t>스토리위즈_황녀, 미친 꽃으로 피어나다</t>
    <phoneticPr fontId="1" type="noConversion"/>
  </si>
  <si>
    <t>ㅇ MG차감 내역(황녀, 미친 꽃으로 피어나다)</t>
    <phoneticPr fontId="1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</si>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</sst>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3" borderId="0" xfId="0" applyNumberFormat="1" applyFill="1">
      <alignment vertical="center"/>
    </xf>
    <xf numFmtId="0" fontId="4" fillId="0" borderId="0" xfId="2" applyFont="1" applyAlignment="1">
      <alignment vertical="center"/>
    </xf>
    <xf numFmtId="0" fontId="3" fillId="0" borderId="0" xfId="2" applyAlignment="1">
      <alignment vertical="center"/>
    </xf>
    <xf numFmtId="0" fontId="2" fillId="0" borderId="0" xfId="3">
      <alignment vertical="center"/>
    </xf>
    <xf numFmtId="0" fontId="4" fillId="4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2" xfId="1" applyFont="1" applyFill="1" applyBorder="1">
      <alignment vertical="center"/>
    </xf>
    <xf numFmtId="41" fontId="0" fillId="0" borderId="1" xfId="0" applyNumberFormat="1" applyBorder="1">
      <alignment vertical="center"/>
    </xf>
    <xf numFmtId="41" fontId="6" fillId="0" borderId="1" xfId="1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41" fontId="8" fillId="0" borderId="1" xfId="0" applyNumberFormat="1" applyFont="1" applyFill="1" applyBorder="1">
      <alignment vertical="center"/>
    </xf>
    <xf numFmtId="41" fontId="9" fillId="0" borderId="1" xfId="0" applyNumberFormat="1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41" fontId="10" fillId="0" borderId="1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41" fontId="8" fillId="0" borderId="1" xfId="1" applyFont="1" applyFill="1" applyBorder="1">
      <alignment vertical="center"/>
    </xf>
    <xf numFmtId="0" fontId="0" fillId="0" borderId="0" xfId="0" applyAlignment="1">
      <alignment horizontal="left" vertical="center"/>
    </xf>
    <xf numFmtId="41" fontId="8" fillId="0" borderId="2" xfId="1" applyFont="1" applyFill="1" applyBorder="1">
      <alignment vertical="center"/>
    </xf>
    <xf numFmtId="41" fontId="12" fillId="0" borderId="1" xfId="1" applyFont="1" applyFill="1" applyBorder="1">
      <alignment vertical="center"/>
    </xf>
    <xf numFmtId="3" fontId="0" fillId="0" borderId="1" xfId="0" applyNumberFormat="1" applyBorder="1">
      <alignment vertical="center"/>
    </xf>
    <xf numFmtId="0" fontId="10" fillId="0" borderId="1" xfId="0" applyFont="1" applyBorder="1">
      <alignment vertical="center"/>
    </xf>
  </cellXfs>
  <cellStyles count="4">
    <cellStyle name="쉼표 [0]" xfId="1" builtinId="6"/>
    <cellStyle name="표준" xfId="0" builtinId="0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V52"/>
  <sheetViews>
    <sheetView tabSelected="1" workbookViewId="0">
      <selection activeCell="E9" sqref="E9"/>
    </sheetView>
  </sheetViews>
  <sheetFormatPr defaultRowHeight="17.399999999999999"/>
  <cols>
    <col min="1" max="1" width="6" bestFit="1" customWidth="1"/>
    <col min="2" max="2" width="11.3984375" bestFit="1" customWidth="1"/>
    <col min="3" max="3" width="12.59765625" bestFit="1" customWidth="1"/>
    <col min="4" max="4" width="10.796875" bestFit="1" customWidth="1"/>
    <col min="5" max="5" width="14.19921875" bestFit="1" customWidth="1"/>
    <col min="6" max="6" width="9.796875" bestFit="1" customWidth="1"/>
    <col min="7" max="7" width="6.3984375" bestFit="1" customWidth="1"/>
    <col min="8" max="8" width="31" bestFit="1" customWidth="1"/>
    <col min="9" max="9" width="4.8984375" bestFit="1" customWidth="1"/>
    <col min="10" max="10" width="6.5" bestFit="1" customWidth="1"/>
    <col min="11" max="11" width="10.296875" bestFit="1" customWidth="1"/>
    <col min="12" max="12" width="49.8984375" bestFit="1" customWidth="1"/>
    <col min="13" max="14" width="11.59765625" bestFit="1" customWidth="1"/>
    <col min="15" max="15" width="19.5" bestFit="1" customWidth="1"/>
    <col min="16" max="16" width="4.19921875" bestFit="1" customWidth="1"/>
    <col min="17" max="17" width="13.69921875" bestFit="1" customWidth="1"/>
    <col min="18" max="18" width="9.3984375" bestFit="1" customWidth="1"/>
    <col min="19" max="19" width="14.796875" bestFit="1" customWidth="1"/>
    <col min="20" max="20" width="10.19921875" bestFit="1" customWidth="1"/>
    <col min="21" max="21" width="11.296875" bestFit="1" customWidth="1"/>
    <col min="22" max="22" width="10.19921875" bestFit="1" customWidth="1"/>
    <col min="23" max="23" width="10.296875" bestFit="1" customWidth="1"/>
    <col min="24" max="24" width="11.3984375" bestFit="1" customWidth="1"/>
    <col min="25" max="25" width="10.296875" bestFit="1" customWidth="1"/>
    <col min="26" max="26" width="11.3984375" bestFit="1" customWidth="1"/>
    <col min="27" max="28" width="11.296875" bestFit="1" customWidth="1"/>
    <col min="29" max="29" width="10.19921875" bestFit="1" customWidth="1"/>
    <col min="30" max="30" width="10.296875" bestFit="1" customWidth="1"/>
    <col min="31" max="31" width="11.3984375" bestFit="1" customWidth="1"/>
    <col min="32" max="32" width="10.296875" bestFit="1" customWidth="1"/>
    <col min="33" max="33" width="11.3984375" bestFit="1" customWidth="1"/>
    <col min="34" max="34" width="10.296875" bestFit="1" customWidth="1"/>
    <col min="35" max="35" width="11.296875" bestFit="1" customWidth="1"/>
    <col min="36" max="36" width="10.19921875" bestFit="1" customWidth="1"/>
    <col min="37" max="37" width="10.8984375" bestFit="1" customWidth="1"/>
    <col min="38" max="38" width="11.3984375" bestFit="1" customWidth="1"/>
    <col min="39" max="39" width="10.296875" bestFit="1" customWidth="1"/>
    <col min="40" max="40" width="11.3984375" bestFit="1" customWidth="1"/>
    <col min="41" max="41" width="13.5" bestFit="1" customWidth="1"/>
    <col min="42" max="42" width="12.296875" bestFit="1" customWidth="1"/>
    <col min="43" max="43" width="11" bestFit="1" customWidth="1"/>
    <col min="44" max="44" width="13.5" bestFit="1" customWidth="1"/>
    <col min="45" max="45" width="11.296875" bestFit="1" customWidth="1"/>
    <col min="46" max="46" width="3.09765625" bestFit="1" customWidth="1"/>
    <col min="47" max="47" width="11.296875" bestFit="1" customWidth="1"/>
    <col min="48" max="48" width="8.796875" style="4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t="s">
        <v>46</v>
      </c>
      <c r="B2" t="s">
        <v>47</v>
      </c>
      <c r="C2" t="s">
        <v>48</v>
      </c>
      <c r="D2" t="s">
        <v>62</v>
      </c>
      <c r="E2" t="s">
        <v>49</v>
      </c>
      <c r="F2" t="s">
        <v>50</v>
      </c>
      <c r="G2" t="s">
        <v>63</v>
      </c>
      <c r="H2" t="s">
        <v>64</v>
      </c>
      <c r="I2" t="s">
        <v>51</v>
      </c>
      <c r="J2" t="s">
        <v>65</v>
      </c>
      <c r="K2" t="s">
        <v>66</v>
      </c>
      <c r="L2" t="s">
        <v>67</v>
      </c>
      <c r="M2" t="s">
        <v>68</v>
      </c>
      <c r="N2" t="s">
        <v>52</v>
      </c>
      <c r="O2" t="s">
        <v>52</v>
      </c>
      <c r="P2" t="s">
        <v>52</v>
      </c>
      <c r="Q2" t="s">
        <v>69</v>
      </c>
      <c r="R2" t="s">
        <v>53</v>
      </c>
      <c r="S2" t="s">
        <v>54</v>
      </c>
      <c r="T2" s="2">
        <v>11260</v>
      </c>
      <c r="U2" s="2">
        <v>28940</v>
      </c>
      <c r="V2" s="2">
        <v>1200</v>
      </c>
      <c r="W2" s="2">
        <v>8600</v>
      </c>
      <c r="X2" s="2">
        <v>41400</v>
      </c>
      <c r="Y2" s="2">
        <v>8600</v>
      </c>
      <c r="Z2" s="2">
        <v>50000</v>
      </c>
      <c r="AA2" s="2">
        <v>13512</v>
      </c>
      <c r="AB2" s="2">
        <v>28940</v>
      </c>
      <c r="AC2" s="2">
        <v>1440</v>
      </c>
      <c r="AD2" s="2">
        <v>8600</v>
      </c>
      <c r="AE2" s="2">
        <v>43892</v>
      </c>
      <c r="AF2" s="2">
        <v>8600</v>
      </c>
      <c r="AG2" s="2">
        <v>52492</v>
      </c>
      <c r="AH2" s="2">
        <v>12160.8</v>
      </c>
      <c r="AI2" s="2">
        <v>28071.8</v>
      </c>
      <c r="AJ2" s="2">
        <v>1008</v>
      </c>
      <c r="AK2" s="2">
        <v>7740</v>
      </c>
      <c r="AL2" s="2">
        <v>41240.6</v>
      </c>
      <c r="AM2" s="2">
        <v>7740</v>
      </c>
      <c r="AN2" s="2">
        <v>48980.6</v>
      </c>
      <c r="AO2" t="s">
        <v>55</v>
      </c>
      <c r="AP2" t="s">
        <v>55</v>
      </c>
      <c r="AQ2" t="s">
        <v>55</v>
      </c>
      <c r="AR2" t="s">
        <v>55</v>
      </c>
      <c r="AS2" s="2">
        <v>29388</v>
      </c>
      <c r="AT2" s="2">
        <v>0</v>
      </c>
      <c r="AU2" s="2">
        <v>29388</v>
      </c>
    </row>
    <row r="3" spans="1:47">
      <c r="A3" t="s">
        <v>46</v>
      </c>
      <c r="B3" t="s">
        <v>47</v>
      </c>
      <c r="C3" t="s">
        <v>48</v>
      </c>
      <c r="D3" t="s">
        <v>62</v>
      </c>
      <c r="E3" t="s">
        <v>49</v>
      </c>
      <c r="F3" t="s">
        <v>50</v>
      </c>
      <c r="G3" t="s">
        <v>63</v>
      </c>
      <c r="H3" t="s">
        <v>64</v>
      </c>
      <c r="I3" t="s">
        <v>51</v>
      </c>
      <c r="J3" t="s">
        <v>65</v>
      </c>
      <c r="K3" t="s">
        <v>66</v>
      </c>
      <c r="L3" t="s">
        <v>67</v>
      </c>
      <c r="M3" t="s">
        <v>68</v>
      </c>
      <c r="N3" t="s">
        <v>52</v>
      </c>
      <c r="O3" t="s">
        <v>52</v>
      </c>
      <c r="P3" t="s">
        <v>52</v>
      </c>
      <c r="Q3" t="s">
        <v>69</v>
      </c>
      <c r="R3" t="s">
        <v>53</v>
      </c>
      <c r="S3" t="s">
        <v>56</v>
      </c>
      <c r="T3" s="2">
        <v>25000</v>
      </c>
      <c r="U3" s="2">
        <v>55700</v>
      </c>
      <c r="V3" s="2">
        <v>3600</v>
      </c>
      <c r="W3" s="2">
        <v>12900</v>
      </c>
      <c r="X3" s="2">
        <v>84300</v>
      </c>
      <c r="Y3" s="2">
        <v>12900</v>
      </c>
      <c r="Z3" s="2">
        <v>97200</v>
      </c>
      <c r="AA3" s="2">
        <v>30000</v>
      </c>
      <c r="AB3" s="2">
        <v>55700</v>
      </c>
      <c r="AC3" s="2">
        <v>4320</v>
      </c>
      <c r="AD3" s="2">
        <v>12900</v>
      </c>
      <c r="AE3" s="2">
        <v>90020</v>
      </c>
      <c r="AF3" s="2">
        <v>12900</v>
      </c>
      <c r="AG3" s="2">
        <v>102920</v>
      </c>
      <c r="AH3" s="2">
        <v>27000</v>
      </c>
      <c r="AI3" s="2">
        <v>54029</v>
      </c>
      <c r="AJ3" s="2">
        <v>3024</v>
      </c>
      <c r="AK3" s="2">
        <v>11610</v>
      </c>
      <c r="AL3" s="2">
        <v>84053</v>
      </c>
      <c r="AM3" s="2">
        <v>11610</v>
      </c>
      <c r="AN3" s="2">
        <v>95663</v>
      </c>
      <c r="AO3" t="s">
        <v>55</v>
      </c>
      <c r="AP3" t="s">
        <v>55</v>
      </c>
      <c r="AQ3" t="s">
        <v>55</v>
      </c>
      <c r="AR3" t="s">
        <v>55</v>
      </c>
      <c r="AS3" s="2">
        <v>57397</v>
      </c>
      <c r="AT3" s="2">
        <v>0</v>
      </c>
      <c r="AU3" s="2">
        <v>57397</v>
      </c>
    </row>
    <row r="4" spans="1:47">
      <c r="A4" t="s">
        <v>46</v>
      </c>
      <c r="B4" t="s">
        <v>47</v>
      </c>
      <c r="C4" t="s">
        <v>48</v>
      </c>
      <c r="D4" t="s">
        <v>62</v>
      </c>
      <c r="E4" t="s">
        <v>49</v>
      </c>
      <c r="F4" t="s">
        <v>50</v>
      </c>
      <c r="G4" t="s">
        <v>63</v>
      </c>
      <c r="H4" t="s">
        <v>64</v>
      </c>
      <c r="I4" t="s">
        <v>51</v>
      </c>
      <c r="J4" t="s">
        <v>65</v>
      </c>
      <c r="K4" t="s">
        <v>66</v>
      </c>
      <c r="L4" t="s">
        <v>67</v>
      </c>
      <c r="M4" t="s">
        <v>68</v>
      </c>
      <c r="N4" t="s">
        <v>52</v>
      </c>
      <c r="O4" t="s">
        <v>52</v>
      </c>
      <c r="P4" t="s">
        <v>52</v>
      </c>
      <c r="Q4" t="s">
        <v>69</v>
      </c>
      <c r="R4" t="s">
        <v>53</v>
      </c>
      <c r="S4" t="s">
        <v>56</v>
      </c>
      <c r="T4" s="2">
        <v>21600</v>
      </c>
      <c r="U4" s="2">
        <v>65200</v>
      </c>
      <c r="V4" s="2">
        <v>10800</v>
      </c>
      <c r="W4" s="2">
        <v>0</v>
      </c>
      <c r="X4" s="2">
        <v>97600</v>
      </c>
      <c r="Y4" s="2">
        <v>0</v>
      </c>
      <c r="Z4" s="2">
        <v>97600</v>
      </c>
      <c r="AA4" s="2">
        <v>25920</v>
      </c>
      <c r="AB4" s="2">
        <v>65200</v>
      </c>
      <c r="AC4" s="2">
        <v>12960</v>
      </c>
      <c r="AD4" s="2">
        <v>0</v>
      </c>
      <c r="AE4" s="2">
        <v>104080</v>
      </c>
      <c r="AF4" s="2">
        <v>0</v>
      </c>
      <c r="AG4" s="2">
        <v>104080</v>
      </c>
      <c r="AH4" s="2">
        <v>23328</v>
      </c>
      <c r="AI4" s="2">
        <v>63244</v>
      </c>
      <c r="AJ4" s="2">
        <v>9072</v>
      </c>
      <c r="AK4" s="2">
        <v>0</v>
      </c>
      <c r="AL4" s="2">
        <v>95644</v>
      </c>
      <c r="AM4" s="2">
        <v>0</v>
      </c>
      <c r="AN4" s="2">
        <v>95644</v>
      </c>
      <c r="AO4" t="s">
        <v>55</v>
      </c>
      <c r="AP4" t="s">
        <v>55</v>
      </c>
      <c r="AQ4" t="s">
        <v>55</v>
      </c>
      <c r="AR4" t="s">
        <v>55</v>
      </c>
      <c r="AS4" s="2">
        <v>57386</v>
      </c>
      <c r="AT4" s="2">
        <v>0</v>
      </c>
      <c r="AU4" s="2">
        <v>57386</v>
      </c>
    </row>
    <row r="5" spans="1:47">
      <c r="A5" t="s">
        <v>46</v>
      </c>
      <c r="B5" t="s">
        <v>47</v>
      </c>
      <c r="C5" t="s">
        <v>48</v>
      </c>
      <c r="D5" t="s">
        <v>62</v>
      </c>
      <c r="E5" t="s">
        <v>49</v>
      </c>
      <c r="F5" t="s">
        <v>50</v>
      </c>
      <c r="G5" t="s">
        <v>63</v>
      </c>
      <c r="H5" t="s">
        <v>64</v>
      </c>
      <c r="I5" t="s">
        <v>51</v>
      </c>
      <c r="J5" t="s">
        <v>65</v>
      </c>
      <c r="K5" t="s">
        <v>66</v>
      </c>
      <c r="L5" t="s">
        <v>67</v>
      </c>
      <c r="M5" t="s">
        <v>68</v>
      </c>
      <c r="N5" t="s">
        <v>52</v>
      </c>
      <c r="O5" t="s">
        <v>52</v>
      </c>
      <c r="P5" t="s">
        <v>52</v>
      </c>
      <c r="Q5" t="s">
        <v>69</v>
      </c>
      <c r="R5" t="s">
        <v>53</v>
      </c>
      <c r="S5" t="s">
        <v>56</v>
      </c>
      <c r="T5" s="2">
        <v>147400</v>
      </c>
      <c r="U5" s="2">
        <v>123400</v>
      </c>
      <c r="V5" s="2">
        <v>36000</v>
      </c>
      <c r="W5" s="2">
        <v>15600</v>
      </c>
      <c r="X5" s="2">
        <v>306800</v>
      </c>
      <c r="Y5" s="2">
        <v>15600</v>
      </c>
      <c r="Z5" s="2">
        <v>322400</v>
      </c>
      <c r="AA5" s="2">
        <v>176880</v>
      </c>
      <c r="AB5" s="2">
        <v>123400</v>
      </c>
      <c r="AC5" s="2">
        <v>43200</v>
      </c>
      <c r="AD5" s="2">
        <v>15600</v>
      </c>
      <c r="AE5" s="2">
        <v>343480</v>
      </c>
      <c r="AF5" s="2">
        <v>15600</v>
      </c>
      <c r="AG5" s="2">
        <v>359080</v>
      </c>
      <c r="AH5" s="2">
        <v>159192</v>
      </c>
      <c r="AI5" s="2">
        <v>119698</v>
      </c>
      <c r="AJ5" s="2">
        <v>30240</v>
      </c>
      <c r="AK5" s="2">
        <v>14040</v>
      </c>
      <c r="AL5" s="2">
        <v>309130</v>
      </c>
      <c r="AM5" s="2">
        <v>14040</v>
      </c>
      <c r="AN5" s="2">
        <v>323170</v>
      </c>
      <c r="AO5" t="s">
        <v>55</v>
      </c>
      <c r="AP5" t="s">
        <v>55</v>
      </c>
      <c r="AQ5" t="s">
        <v>55</v>
      </c>
      <c r="AR5" t="s">
        <v>55</v>
      </c>
      <c r="AS5" s="2">
        <v>193902</v>
      </c>
      <c r="AT5" s="2">
        <v>0</v>
      </c>
      <c r="AU5" s="2">
        <v>193902</v>
      </c>
    </row>
    <row r="6" spans="1:47">
      <c r="A6" t="s">
        <v>46</v>
      </c>
      <c r="B6" t="s">
        <v>47</v>
      </c>
      <c r="C6" t="s">
        <v>48</v>
      </c>
      <c r="D6" t="s">
        <v>62</v>
      </c>
      <c r="E6" t="s">
        <v>49</v>
      </c>
      <c r="F6" t="s">
        <v>50</v>
      </c>
      <c r="G6" t="s">
        <v>63</v>
      </c>
      <c r="H6" t="s">
        <v>64</v>
      </c>
      <c r="I6" t="s">
        <v>51</v>
      </c>
      <c r="J6" t="s">
        <v>65</v>
      </c>
      <c r="K6" t="s">
        <v>66</v>
      </c>
      <c r="L6" t="s">
        <v>67</v>
      </c>
      <c r="M6" t="s">
        <v>68</v>
      </c>
      <c r="N6" t="s">
        <v>52</v>
      </c>
      <c r="O6" t="s">
        <v>52</v>
      </c>
      <c r="P6" t="s">
        <v>52</v>
      </c>
      <c r="Q6" t="s">
        <v>69</v>
      </c>
      <c r="R6" t="s">
        <v>53</v>
      </c>
      <c r="S6" t="s">
        <v>59</v>
      </c>
      <c r="T6" s="2">
        <v>135350</v>
      </c>
      <c r="U6" s="2">
        <v>245640</v>
      </c>
      <c r="V6" s="2">
        <v>61750</v>
      </c>
      <c r="W6" s="2">
        <v>480860</v>
      </c>
      <c r="X6" s="2">
        <v>442740</v>
      </c>
      <c r="Y6" s="2">
        <v>480860</v>
      </c>
      <c r="Z6" s="2">
        <v>923600</v>
      </c>
      <c r="AA6" s="2">
        <v>162420</v>
      </c>
      <c r="AB6" s="2">
        <v>245640</v>
      </c>
      <c r="AC6" s="2">
        <v>73400</v>
      </c>
      <c r="AD6" s="2">
        <v>480860</v>
      </c>
      <c r="AE6" s="2">
        <v>481460</v>
      </c>
      <c r="AF6" s="2">
        <v>480860</v>
      </c>
      <c r="AG6" s="2">
        <v>962320</v>
      </c>
      <c r="AH6" s="2">
        <v>146178</v>
      </c>
      <c r="AI6" s="2">
        <v>238270.8</v>
      </c>
      <c r="AJ6" s="2">
        <v>51380</v>
      </c>
      <c r="AK6" s="2">
        <v>432774</v>
      </c>
      <c r="AL6" s="2">
        <v>435828.8</v>
      </c>
      <c r="AM6" s="2">
        <v>432774</v>
      </c>
      <c r="AN6" s="2">
        <v>868602.8</v>
      </c>
      <c r="AO6" t="s">
        <v>55</v>
      </c>
      <c r="AP6" t="s">
        <v>55</v>
      </c>
      <c r="AQ6" t="s">
        <v>55</v>
      </c>
      <c r="AR6" t="s">
        <v>55</v>
      </c>
      <c r="AS6" s="2">
        <v>521161</v>
      </c>
      <c r="AT6" s="2">
        <v>0</v>
      </c>
      <c r="AU6" s="2">
        <v>521161</v>
      </c>
    </row>
    <row r="7" spans="1:47">
      <c r="A7" t="s">
        <v>46</v>
      </c>
      <c r="B7" t="s">
        <v>47</v>
      </c>
      <c r="C7" t="s">
        <v>48</v>
      </c>
      <c r="D7" t="s">
        <v>62</v>
      </c>
      <c r="E7" t="s">
        <v>49</v>
      </c>
      <c r="F7" t="s">
        <v>50</v>
      </c>
      <c r="G7" t="s">
        <v>63</v>
      </c>
      <c r="H7" t="s">
        <v>64</v>
      </c>
      <c r="I7" t="s">
        <v>51</v>
      </c>
      <c r="J7" t="s">
        <v>65</v>
      </c>
      <c r="K7" t="s">
        <v>66</v>
      </c>
      <c r="L7" t="s">
        <v>67</v>
      </c>
      <c r="M7" t="s">
        <v>68</v>
      </c>
      <c r="N7" t="s">
        <v>52</v>
      </c>
      <c r="O7" t="s">
        <v>52</v>
      </c>
      <c r="P7" t="s">
        <v>52</v>
      </c>
      <c r="Q7" t="s">
        <v>69</v>
      </c>
      <c r="R7" t="s">
        <v>53</v>
      </c>
      <c r="S7" t="s">
        <v>60</v>
      </c>
      <c r="T7" s="2">
        <v>152800</v>
      </c>
      <c r="U7" s="2">
        <v>311520</v>
      </c>
      <c r="V7" s="2">
        <v>75880</v>
      </c>
      <c r="W7" s="2">
        <v>208800</v>
      </c>
      <c r="X7" s="2">
        <v>540200</v>
      </c>
      <c r="Y7" s="2">
        <v>208800</v>
      </c>
      <c r="Z7" s="2">
        <v>749000</v>
      </c>
      <c r="AA7" s="2">
        <v>183360</v>
      </c>
      <c r="AB7" s="2">
        <v>311520</v>
      </c>
      <c r="AC7" s="2">
        <v>90356</v>
      </c>
      <c r="AD7" s="2">
        <v>208800</v>
      </c>
      <c r="AE7" s="2">
        <v>585236</v>
      </c>
      <c r="AF7" s="2">
        <v>208800</v>
      </c>
      <c r="AG7" s="2">
        <v>794036</v>
      </c>
      <c r="AH7" s="2">
        <v>165024</v>
      </c>
      <c r="AI7" s="2">
        <v>302174.40000000002</v>
      </c>
      <c r="AJ7" s="2">
        <v>63249.2</v>
      </c>
      <c r="AK7" s="2">
        <v>187920</v>
      </c>
      <c r="AL7" s="2">
        <v>530447.6</v>
      </c>
      <c r="AM7" s="2">
        <v>187920</v>
      </c>
      <c r="AN7" s="2">
        <v>718367.6</v>
      </c>
      <c r="AO7" t="s">
        <v>55</v>
      </c>
      <c r="AP7" t="s">
        <v>55</v>
      </c>
      <c r="AQ7" t="s">
        <v>55</v>
      </c>
      <c r="AR7" t="s">
        <v>55</v>
      </c>
      <c r="AS7" s="2">
        <v>431021</v>
      </c>
      <c r="AT7" s="2">
        <v>0</v>
      </c>
      <c r="AU7" s="2">
        <v>431021</v>
      </c>
    </row>
    <row r="8" spans="1:47">
      <c r="A8" t="s">
        <v>46</v>
      </c>
      <c r="B8" t="s">
        <v>47</v>
      </c>
      <c r="C8" t="s">
        <v>48</v>
      </c>
      <c r="D8" t="s">
        <v>62</v>
      </c>
      <c r="E8" t="s">
        <v>49</v>
      </c>
      <c r="F8" t="s">
        <v>50</v>
      </c>
      <c r="G8" t="s">
        <v>63</v>
      </c>
      <c r="H8" t="s">
        <v>64</v>
      </c>
      <c r="I8" t="s">
        <v>51</v>
      </c>
      <c r="J8" t="s">
        <v>65</v>
      </c>
      <c r="K8" t="s">
        <v>66</v>
      </c>
      <c r="L8" t="s">
        <v>67</v>
      </c>
      <c r="M8" t="s">
        <v>68</v>
      </c>
      <c r="N8" t="s">
        <v>52</v>
      </c>
      <c r="O8" t="s">
        <v>52</v>
      </c>
      <c r="P8" t="s">
        <v>52</v>
      </c>
      <c r="Q8" t="s">
        <v>69</v>
      </c>
      <c r="R8" t="s">
        <v>53</v>
      </c>
      <c r="S8" t="s">
        <v>60</v>
      </c>
      <c r="T8" s="2">
        <v>130800</v>
      </c>
      <c r="U8" s="2">
        <v>202100</v>
      </c>
      <c r="V8" s="2">
        <v>43080</v>
      </c>
      <c r="W8" s="2">
        <v>26620</v>
      </c>
      <c r="X8" s="2">
        <v>375980</v>
      </c>
      <c r="Y8" s="2">
        <v>26620</v>
      </c>
      <c r="Z8" s="2">
        <v>402600</v>
      </c>
      <c r="AA8" s="2">
        <v>156960</v>
      </c>
      <c r="AB8" s="2">
        <v>202100</v>
      </c>
      <c r="AC8" s="2">
        <v>51368</v>
      </c>
      <c r="AD8" s="2">
        <v>26620</v>
      </c>
      <c r="AE8" s="2">
        <v>410428</v>
      </c>
      <c r="AF8" s="2">
        <v>26620</v>
      </c>
      <c r="AG8" s="2">
        <v>437048</v>
      </c>
      <c r="AH8" s="2">
        <v>141264</v>
      </c>
      <c r="AI8" s="2">
        <v>196037</v>
      </c>
      <c r="AJ8" s="2">
        <v>35957.599999999999</v>
      </c>
      <c r="AK8" s="2">
        <v>23958</v>
      </c>
      <c r="AL8" s="2">
        <v>373258.6</v>
      </c>
      <c r="AM8" s="2">
        <v>23958</v>
      </c>
      <c r="AN8" s="2">
        <v>397216.6</v>
      </c>
      <c r="AO8" t="s">
        <v>55</v>
      </c>
      <c r="AP8" t="s">
        <v>55</v>
      </c>
      <c r="AQ8" t="s">
        <v>55</v>
      </c>
      <c r="AR8" t="s">
        <v>55</v>
      </c>
      <c r="AS8" s="2">
        <v>238330</v>
      </c>
      <c r="AT8" s="2">
        <v>0</v>
      </c>
      <c r="AU8" s="2">
        <v>238330</v>
      </c>
    </row>
    <row r="9" spans="1:47">
      <c r="A9" t="s">
        <v>46</v>
      </c>
      <c r="B9" t="s">
        <v>47</v>
      </c>
      <c r="C9" t="s">
        <v>48</v>
      </c>
      <c r="D9" t="s">
        <v>62</v>
      </c>
      <c r="E9" t="s">
        <v>49</v>
      </c>
      <c r="F9" t="s">
        <v>50</v>
      </c>
      <c r="G9" t="s">
        <v>63</v>
      </c>
      <c r="H9" t="s">
        <v>64</v>
      </c>
      <c r="I9" t="s">
        <v>51</v>
      </c>
      <c r="J9" t="s">
        <v>65</v>
      </c>
      <c r="K9" t="s">
        <v>66</v>
      </c>
      <c r="L9" t="s">
        <v>67</v>
      </c>
      <c r="M9" t="s">
        <v>68</v>
      </c>
      <c r="N9" t="s">
        <v>52</v>
      </c>
      <c r="O9" t="s">
        <v>52</v>
      </c>
      <c r="P9" t="s">
        <v>52</v>
      </c>
      <c r="Q9" t="s">
        <v>69</v>
      </c>
      <c r="R9" t="s">
        <v>53</v>
      </c>
      <c r="S9" t="s">
        <v>60</v>
      </c>
      <c r="T9" s="2">
        <v>280460</v>
      </c>
      <c r="U9" s="2">
        <v>463000</v>
      </c>
      <c r="V9" s="2">
        <v>129500</v>
      </c>
      <c r="W9" s="2">
        <v>25640</v>
      </c>
      <c r="X9" s="2">
        <v>872960</v>
      </c>
      <c r="Y9" s="2">
        <v>25640</v>
      </c>
      <c r="Z9" s="2">
        <v>898600</v>
      </c>
      <c r="AA9" s="2">
        <v>336552</v>
      </c>
      <c r="AB9" s="2">
        <v>463000</v>
      </c>
      <c r="AC9" s="2">
        <v>153730</v>
      </c>
      <c r="AD9" s="2">
        <v>25640</v>
      </c>
      <c r="AE9" s="2">
        <v>953282</v>
      </c>
      <c r="AF9" s="2">
        <v>25640</v>
      </c>
      <c r="AG9" s="2">
        <v>978922</v>
      </c>
      <c r="AH9" s="2">
        <v>302896.8</v>
      </c>
      <c r="AI9" s="2">
        <v>449110</v>
      </c>
      <c r="AJ9" s="2">
        <v>107611</v>
      </c>
      <c r="AK9" s="2">
        <v>23076</v>
      </c>
      <c r="AL9" s="2">
        <v>859617.8</v>
      </c>
      <c r="AM9" s="2">
        <v>23076</v>
      </c>
      <c r="AN9" s="2">
        <v>882693.8</v>
      </c>
      <c r="AO9" t="s">
        <v>55</v>
      </c>
      <c r="AP9" t="s">
        <v>55</v>
      </c>
      <c r="AQ9" t="s">
        <v>55</v>
      </c>
      <c r="AR9" t="s">
        <v>55</v>
      </c>
      <c r="AS9" s="2">
        <v>529617</v>
      </c>
      <c r="AT9" s="2">
        <v>0</v>
      </c>
      <c r="AU9" s="2">
        <v>529617</v>
      </c>
    </row>
    <row r="10" spans="1:47">
      <c r="A10" t="s">
        <v>46</v>
      </c>
      <c r="B10" t="s">
        <v>47</v>
      </c>
      <c r="C10" t="s">
        <v>48</v>
      </c>
      <c r="D10" t="s">
        <v>62</v>
      </c>
      <c r="E10" t="s">
        <v>49</v>
      </c>
      <c r="F10" t="s">
        <v>50</v>
      </c>
      <c r="G10" t="s">
        <v>63</v>
      </c>
      <c r="H10" t="s">
        <v>64</v>
      </c>
      <c r="I10" t="s">
        <v>51</v>
      </c>
      <c r="J10" t="s">
        <v>65</v>
      </c>
      <c r="K10" t="s">
        <v>70</v>
      </c>
      <c r="L10" t="s">
        <v>71</v>
      </c>
      <c r="M10" t="s">
        <v>72</v>
      </c>
      <c r="N10" t="s">
        <v>52</v>
      </c>
      <c r="O10" t="s">
        <v>52</v>
      </c>
      <c r="P10" t="s">
        <v>52</v>
      </c>
      <c r="Q10" t="s">
        <v>73</v>
      </c>
      <c r="R10" t="s">
        <v>53</v>
      </c>
      <c r="S10" t="s">
        <v>54</v>
      </c>
      <c r="T10" s="2">
        <v>0</v>
      </c>
      <c r="U10" s="2">
        <v>400</v>
      </c>
      <c r="V10" s="2">
        <v>0</v>
      </c>
      <c r="W10" s="2">
        <v>0</v>
      </c>
      <c r="X10" s="2">
        <v>400</v>
      </c>
      <c r="Y10" s="2">
        <v>0</v>
      </c>
      <c r="Z10" s="2">
        <v>400</v>
      </c>
      <c r="AA10" s="2">
        <v>0</v>
      </c>
      <c r="AB10" s="2">
        <v>400</v>
      </c>
      <c r="AC10" s="2">
        <v>0</v>
      </c>
      <c r="AD10" s="2">
        <v>0</v>
      </c>
      <c r="AE10" s="2">
        <v>400</v>
      </c>
      <c r="AF10" s="2">
        <v>0</v>
      </c>
      <c r="AG10" s="2">
        <v>400</v>
      </c>
      <c r="AH10" s="2">
        <v>0</v>
      </c>
      <c r="AI10" s="2">
        <v>388</v>
      </c>
      <c r="AJ10" s="2">
        <v>0</v>
      </c>
      <c r="AK10" s="2">
        <v>0</v>
      </c>
      <c r="AL10" s="2">
        <v>388</v>
      </c>
      <c r="AM10" s="2">
        <v>0</v>
      </c>
      <c r="AN10" s="2">
        <v>388</v>
      </c>
      <c r="AO10" t="s">
        <v>55</v>
      </c>
      <c r="AP10" t="s">
        <v>55</v>
      </c>
      <c r="AQ10" t="s">
        <v>55</v>
      </c>
      <c r="AR10" t="s">
        <v>55</v>
      </c>
      <c r="AS10" s="2">
        <v>233</v>
      </c>
      <c r="AT10" s="2">
        <v>0</v>
      </c>
      <c r="AU10" s="2">
        <v>233</v>
      </c>
    </row>
    <row r="11" spans="1:47">
      <c r="A11" t="s">
        <v>46</v>
      </c>
      <c r="B11" t="s">
        <v>47</v>
      </c>
      <c r="C11" t="s">
        <v>48</v>
      </c>
      <c r="D11" t="s">
        <v>62</v>
      </c>
      <c r="E11" t="s">
        <v>49</v>
      </c>
      <c r="F11" t="s">
        <v>50</v>
      </c>
      <c r="G11" t="s">
        <v>63</v>
      </c>
      <c r="H11" t="s">
        <v>64</v>
      </c>
      <c r="I11" t="s">
        <v>51</v>
      </c>
      <c r="J11" t="s">
        <v>65</v>
      </c>
      <c r="K11" t="s">
        <v>70</v>
      </c>
      <c r="L11" t="s">
        <v>71</v>
      </c>
      <c r="M11" t="s">
        <v>72</v>
      </c>
      <c r="N11" t="s">
        <v>52</v>
      </c>
      <c r="O11" t="s">
        <v>52</v>
      </c>
      <c r="P11" t="s">
        <v>52</v>
      </c>
      <c r="Q11" t="s">
        <v>73</v>
      </c>
      <c r="R11" t="s">
        <v>53</v>
      </c>
      <c r="S11" t="s">
        <v>56</v>
      </c>
      <c r="T11" s="2">
        <v>0</v>
      </c>
      <c r="U11" s="2">
        <v>16600</v>
      </c>
      <c r="V11" s="2">
        <v>0</v>
      </c>
      <c r="W11" s="2">
        <v>1400</v>
      </c>
      <c r="X11" s="2">
        <v>16600</v>
      </c>
      <c r="Y11" s="2">
        <v>1400</v>
      </c>
      <c r="Z11" s="2">
        <v>18000</v>
      </c>
      <c r="AA11" s="2">
        <v>0</v>
      </c>
      <c r="AB11" s="2">
        <v>16600</v>
      </c>
      <c r="AC11" s="2">
        <v>0</v>
      </c>
      <c r="AD11" s="2">
        <v>1400</v>
      </c>
      <c r="AE11" s="2">
        <v>16600</v>
      </c>
      <c r="AF11" s="2">
        <v>1400</v>
      </c>
      <c r="AG11" s="2">
        <v>18000</v>
      </c>
      <c r="AH11" s="2">
        <v>0</v>
      </c>
      <c r="AI11" s="2">
        <v>16102</v>
      </c>
      <c r="AJ11" s="2">
        <v>0</v>
      </c>
      <c r="AK11" s="2">
        <v>1260</v>
      </c>
      <c r="AL11" s="2">
        <v>16102</v>
      </c>
      <c r="AM11" s="2">
        <v>1260</v>
      </c>
      <c r="AN11" s="2">
        <v>17362</v>
      </c>
      <c r="AO11" t="s">
        <v>55</v>
      </c>
      <c r="AP11" t="s">
        <v>55</v>
      </c>
      <c r="AQ11" t="s">
        <v>55</v>
      </c>
      <c r="AR11" t="s">
        <v>55</v>
      </c>
      <c r="AS11" s="2">
        <v>10417</v>
      </c>
      <c r="AT11" s="2">
        <v>0</v>
      </c>
      <c r="AU11" s="2">
        <v>10417</v>
      </c>
    </row>
    <row r="12" spans="1:47">
      <c r="A12" t="s">
        <v>46</v>
      </c>
      <c r="B12" t="s">
        <v>47</v>
      </c>
      <c r="C12" t="s">
        <v>48</v>
      </c>
      <c r="D12" t="s">
        <v>62</v>
      </c>
      <c r="E12" t="s">
        <v>49</v>
      </c>
      <c r="F12" t="s">
        <v>50</v>
      </c>
      <c r="G12" t="s">
        <v>63</v>
      </c>
      <c r="H12" t="s">
        <v>64</v>
      </c>
      <c r="I12" t="s">
        <v>51</v>
      </c>
      <c r="J12" t="s">
        <v>65</v>
      </c>
      <c r="K12" t="s">
        <v>70</v>
      </c>
      <c r="L12" t="s">
        <v>71</v>
      </c>
      <c r="M12" t="s">
        <v>72</v>
      </c>
      <c r="N12" t="s">
        <v>52</v>
      </c>
      <c r="O12" t="s">
        <v>52</v>
      </c>
      <c r="P12" t="s">
        <v>52</v>
      </c>
      <c r="Q12" t="s">
        <v>73</v>
      </c>
      <c r="R12" t="s">
        <v>53</v>
      </c>
      <c r="S12" t="s">
        <v>59</v>
      </c>
      <c r="T12" s="2">
        <v>2200</v>
      </c>
      <c r="U12" s="2">
        <v>12700</v>
      </c>
      <c r="V12" s="2">
        <v>0</v>
      </c>
      <c r="W12" s="2">
        <v>26300</v>
      </c>
      <c r="X12" s="2">
        <v>14900</v>
      </c>
      <c r="Y12" s="2">
        <v>26300</v>
      </c>
      <c r="Z12" s="2">
        <v>41200</v>
      </c>
      <c r="AA12" s="2">
        <v>2640</v>
      </c>
      <c r="AB12" s="2">
        <v>12700</v>
      </c>
      <c r="AC12" s="2">
        <v>0</v>
      </c>
      <c r="AD12" s="2">
        <v>26300</v>
      </c>
      <c r="AE12" s="2">
        <v>15340</v>
      </c>
      <c r="AF12" s="2">
        <v>26300</v>
      </c>
      <c r="AG12" s="2">
        <v>41640</v>
      </c>
      <c r="AH12" s="2">
        <v>2376</v>
      </c>
      <c r="AI12" s="2">
        <v>12319</v>
      </c>
      <c r="AJ12" s="2">
        <v>0</v>
      </c>
      <c r="AK12" s="2">
        <v>23670</v>
      </c>
      <c r="AL12" s="2">
        <v>14695</v>
      </c>
      <c r="AM12" s="2">
        <v>23670</v>
      </c>
      <c r="AN12" s="2">
        <v>38365</v>
      </c>
      <c r="AO12" t="s">
        <v>55</v>
      </c>
      <c r="AP12" t="s">
        <v>55</v>
      </c>
      <c r="AQ12" t="s">
        <v>55</v>
      </c>
      <c r="AR12" t="s">
        <v>55</v>
      </c>
      <c r="AS12" s="2">
        <v>23019</v>
      </c>
      <c r="AT12" s="2">
        <v>0</v>
      </c>
      <c r="AU12" s="2">
        <v>23019</v>
      </c>
    </row>
    <row r="13" spans="1:47">
      <c r="A13" t="s">
        <v>46</v>
      </c>
      <c r="B13" t="s">
        <v>47</v>
      </c>
      <c r="C13" t="s">
        <v>48</v>
      </c>
      <c r="D13" t="s">
        <v>62</v>
      </c>
      <c r="E13" t="s">
        <v>49</v>
      </c>
      <c r="F13" t="s">
        <v>50</v>
      </c>
      <c r="G13" t="s">
        <v>63</v>
      </c>
      <c r="H13" t="s">
        <v>64</v>
      </c>
      <c r="I13" t="s">
        <v>51</v>
      </c>
      <c r="J13" t="s">
        <v>65</v>
      </c>
      <c r="K13" t="s">
        <v>70</v>
      </c>
      <c r="L13" t="s">
        <v>71</v>
      </c>
      <c r="M13" t="s">
        <v>72</v>
      </c>
      <c r="N13" t="s">
        <v>52</v>
      </c>
      <c r="O13" t="s">
        <v>52</v>
      </c>
      <c r="P13" t="s">
        <v>52</v>
      </c>
      <c r="Q13" t="s">
        <v>73</v>
      </c>
      <c r="R13" t="s">
        <v>53</v>
      </c>
      <c r="S13" t="s">
        <v>60</v>
      </c>
      <c r="T13" s="2">
        <v>23100</v>
      </c>
      <c r="U13" s="2">
        <v>5700</v>
      </c>
      <c r="V13" s="2">
        <v>0</v>
      </c>
      <c r="W13" s="2">
        <v>11200</v>
      </c>
      <c r="X13" s="2">
        <v>28800</v>
      </c>
      <c r="Y13" s="2">
        <v>11200</v>
      </c>
      <c r="Z13" s="2">
        <v>40000</v>
      </c>
      <c r="AA13" s="2">
        <v>27720</v>
      </c>
      <c r="AB13" s="2">
        <v>5700</v>
      </c>
      <c r="AC13" s="2">
        <v>0</v>
      </c>
      <c r="AD13" s="2">
        <v>11200</v>
      </c>
      <c r="AE13" s="2">
        <v>33420</v>
      </c>
      <c r="AF13" s="2">
        <v>11200</v>
      </c>
      <c r="AG13" s="2">
        <v>44620</v>
      </c>
      <c r="AH13" s="2">
        <v>24948</v>
      </c>
      <c r="AI13" s="2">
        <v>5529</v>
      </c>
      <c r="AJ13" s="2">
        <v>0</v>
      </c>
      <c r="AK13" s="2">
        <v>10080</v>
      </c>
      <c r="AL13" s="2">
        <v>30477</v>
      </c>
      <c r="AM13" s="2">
        <v>10080</v>
      </c>
      <c r="AN13" s="2">
        <v>40557</v>
      </c>
      <c r="AO13" t="s">
        <v>55</v>
      </c>
      <c r="AP13" t="s">
        <v>55</v>
      </c>
      <c r="AQ13" t="s">
        <v>55</v>
      </c>
      <c r="AR13" t="s">
        <v>55</v>
      </c>
      <c r="AS13" s="2">
        <v>24334</v>
      </c>
      <c r="AT13" s="2">
        <v>0</v>
      </c>
      <c r="AU13" s="2">
        <v>24334</v>
      </c>
    </row>
    <row r="14" spans="1:47">
      <c r="A14" t="s">
        <v>46</v>
      </c>
      <c r="B14" t="s">
        <v>47</v>
      </c>
      <c r="C14" t="s">
        <v>48</v>
      </c>
      <c r="D14" t="s">
        <v>62</v>
      </c>
      <c r="E14" t="s">
        <v>49</v>
      </c>
      <c r="F14" t="s">
        <v>50</v>
      </c>
      <c r="G14" t="s">
        <v>63</v>
      </c>
      <c r="H14" t="s">
        <v>64</v>
      </c>
      <c r="I14" t="s">
        <v>51</v>
      </c>
      <c r="J14" t="s">
        <v>65</v>
      </c>
      <c r="K14" t="s">
        <v>70</v>
      </c>
      <c r="L14" t="s">
        <v>71</v>
      </c>
      <c r="M14" t="s">
        <v>72</v>
      </c>
      <c r="N14" t="s">
        <v>52</v>
      </c>
      <c r="O14" t="s">
        <v>52</v>
      </c>
      <c r="P14" t="s">
        <v>52</v>
      </c>
      <c r="Q14" t="s">
        <v>73</v>
      </c>
      <c r="R14" t="s">
        <v>53</v>
      </c>
      <c r="S14" t="s">
        <v>60</v>
      </c>
      <c r="T14" s="2">
        <v>9000</v>
      </c>
      <c r="U14" s="2">
        <v>9000</v>
      </c>
      <c r="V14" s="2">
        <v>0</v>
      </c>
      <c r="W14" s="2">
        <v>0</v>
      </c>
      <c r="X14" s="2">
        <v>18000</v>
      </c>
      <c r="Y14" s="2">
        <v>0</v>
      </c>
      <c r="Z14" s="2">
        <v>18000</v>
      </c>
      <c r="AA14" s="2">
        <v>10800</v>
      </c>
      <c r="AB14" s="2">
        <v>9000</v>
      </c>
      <c r="AC14" s="2">
        <v>0</v>
      </c>
      <c r="AD14" s="2">
        <v>0</v>
      </c>
      <c r="AE14" s="2">
        <v>19800</v>
      </c>
      <c r="AF14" s="2">
        <v>0</v>
      </c>
      <c r="AG14" s="2">
        <v>19800</v>
      </c>
      <c r="AH14" s="2">
        <v>9720</v>
      </c>
      <c r="AI14" s="2">
        <v>8730</v>
      </c>
      <c r="AJ14" s="2">
        <v>0</v>
      </c>
      <c r="AK14" s="2">
        <v>0</v>
      </c>
      <c r="AL14" s="2">
        <v>18450</v>
      </c>
      <c r="AM14" s="2">
        <v>0</v>
      </c>
      <c r="AN14" s="2">
        <v>18450</v>
      </c>
      <c r="AO14" t="s">
        <v>55</v>
      </c>
      <c r="AP14" t="s">
        <v>55</v>
      </c>
      <c r="AQ14" t="s">
        <v>55</v>
      </c>
      <c r="AR14" t="s">
        <v>55</v>
      </c>
      <c r="AS14" s="2">
        <v>11070</v>
      </c>
      <c r="AT14" s="2">
        <v>0</v>
      </c>
      <c r="AU14" s="2">
        <v>11070</v>
      </c>
    </row>
    <row r="15" spans="1:47">
      <c r="A15" t="s">
        <v>46</v>
      </c>
      <c r="B15" t="s">
        <v>47</v>
      </c>
      <c r="C15" t="s">
        <v>48</v>
      </c>
      <c r="D15" t="s">
        <v>62</v>
      </c>
      <c r="E15" t="s">
        <v>49</v>
      </c>
      <c r="F15" t="s">
        <v>50</v>
      </c>
      <c r="G15" t="s">
        <v>74</v>
      </c>
      <c r="H15" t="s">
        <v>75</v>
      </c>
      <c r="I15" t="s">
        <v>51</v>
      </c>
      <c r="J15" t="s">
        <v>65</v>
      </c>
      <c r="K15" t="s">
        <v>76</v>
      </c>
      <c r="L15" t="s">
        <v>61</v>
      </c>
      <c r="M15" t="s">
        <v>77</v>
      </c>
      <c r="N15" t="s">
        <v>52</v>
      </c>
      <c r="O15" t="s">
        <v>52</v>
      </c>
      <c r="P15" t="s">
        <v>52</v>
      </c>
      <c r="Q15" t="s">
        <v>78</v>
      </c>
      <c r="R15" t="s">
        <v>53</v>
      </c>
      <c r="S15" t="s">
        <v>54</v>
      </c>
      <c r="T15" s="2">
        <v>96900</v>
      </c>
      <c r="U15" s="2">
        <v>170240</v>
      </c>
      <c r="V15" s="2">
        <v>15600</v>
      </c>
      <c r="W15" s="2">
        <v>105660</v>
      </c>
      <c r="X15" s="2">
        <v>282740</v>
      </c>
      <c r="Y15" s="2">
        <v>105660</v>
      </c>
      <c r="Z15" s="2">
        <v>388400</v>
      </c>
      <c r="AA15" s="2">
        <v>116280</v>
      </c>
      <c r="AB15" s="2">
        <v>170240</v>
      </c>
      <c r="AC15" s="2">
        <v>18500</v>
      </c>
      <c r="AD15" s="2">
        <v>105660</v>
      </c>
      <c r="AE15" s="2">
        <v>305020</v>
      </c>
      <c r="AF15" s="2">
        <v>105660</v>
      </c>
      <c r="AG15" s="2">
        <v>410680</v>
      </c>
      <c r="AH15" s="2">
        <v>104652</v>
      </c>
      <c r="AI15" s="2">
        <v>165132.79999999999</v>
      </c>
      <c r="AJ15" s="2">
        <v>12950</v>
      </c>
      <c r="AK15" s="2">
        <v>95094</v>
      </c>
      <c r="AL15" s="2">
        <v>282734.8</v>
      </c>
      <c r="AM15" s="2">
        <v>95094</v>
      </c>
      <c r="AN15" s="2">
        <v>377828.8</v>
      </c>
      <c r="AO15" t="s">
        <v>55</v>
      </c>
      <c r="AP15" t="s">
        <v>55</v>
      </c>
      <c r="AQ15" t="s">
        <v>55</v>
      </c>
      <c r="AR15" t="s">
        <v>55</v>
      </c>
      <c r="AS15" s="2">
        <v>226697</v>
      </c>
      <c r="AT15" s="2">
        <v>0</v>
      </c>
      <c r="AU15" s="2">
        <v>226697</v>
      </c>
    </row>
    <row r="16" spans="1:47">
      <c r="A16" t="s">
        <v>46</v>
      </c>
      <c r="B16" t="s">
        <v>47</v>
      </c>
      <c r="C16" t="s">
        <v>48</v>
      </c>
      <c r="D16" t="s">
        <v>62</v>
      </c>
      <c r="E16" t="s">
        <v>49</v>
      </c>
      <c r="F16" t="s">
        <v>50</v>
      </c>
      <c r="G16" t="s">
        <v>74</v>
      </c>
      <c r="H16" t="s">
        <v>75</v>
      </c>
      <c r="I16" t="s">
        <v>51</v>
      </c>
      <c r="J16" t="s">
        <v>65</v>
      </c>
      <c r="K16" t="s">
        <v>76</v>
      </c>
      <c r="L16" t="s">
        <v>61</v>
      </c>
      <c r="M16" t="s">
        <v>77</v>
      </c>
      <c r="N16" t="s">
        <v>52</v>
      </c>
      <c r="O16" t="s">
        <v>52</v>
      </c>
      <c r="P16" t="s">
        <v>52</v>
      </c>
      <c r="Q16" t="s">
        <v>78</v>
      </c>
      <c r="R16" t="s">
        <v>53</v>
      </c>
      <c r="S16" t="s">
        <v>56</v>
      </c>
      <c r="T16" s="2">
        <v>122000</v>
      </c>
      <c r="U16" s="2">
        <v>259300</v>
      </c>
      <c r="V16" s="2">
        <v>21100</v>
      </c>
      <c r="W16" s="2">
        <v>53600</v>
      </c>
      <c r="X16" s="2">
        <v>402400</v>
      </c>
      <c r="Y16" s="2">
        <v>53600</v>
      </c>
      <c r="Z16" s="2">
        <v>456000</v>
      </c>
      <c r="AA16" s="2">
        <v>146400</v>
      </c>
      <c r="AB16" s="2">
        <v>259300</v>
      </c>
      <c r="AC16" s="2">
        <v>24630</v>
      </c>
      <c r="AD16" s="2">
        <v>53600</v>
      </c>
      <c r="AE16" s="2">
        <v>430330</v>
      </c>
      <c r="AF16" s="2">
        <v>53600</v>
      </c>
      <c r="AG16" s="2">
        <v>483930</v>
      </c>
      <c r="AH16" s="2">
        <v>131760</v>
      </c>
      <c r="AI16" s="2">
        <v>251521</v>
      </c>
      <c r="AJ16" s="2">
        <v>17241</v>
      </c>
      <c r="AK16" s="2">
        <v>48240</v>
      </c>
      <c r="AL16" s="2">
        <v>400522</v>
      </c>
      <c r="AM16" s="2">
        <v>48240</v>
      </c>
      <c r="AN16" s="2">
        <v>448762</v>
      </c>
      <c r="AO16" t="s">
        <v>55</v>
      </c>
      <c r="AP16" t="s">
        <v>55</v>
      </c>
      <c r="AQ16" t="s">
        <v>55</v>
      </c>
      <c r="AR16" t="s">
        <v>55</v>
      </c>
      <c r="AS16" s="2">
        <v>269258</v>
      </c>
      <c r="AT16" s="2">
        <v>0</v>
      </c>
      <c r="AU16" s="2">
        <v>269258</v>
      </c>
    </row>
    <row r="17" spans="1:47">
      <c r="A17" t="s">
        <v>46</v>
      </c>
      <c r="B17" t="s">
        <v>47</v>
      </c>
      <c r="C17" t="s">
        <v>48</v>
      </c>
      <c r="D17" t="s">
        <v>62</v>
      </c>
      <c r="E17" t="s">
        <v>49</v>
      </c>
      <c r="F17" t="s">
        <v>50</v>
      </c>
      <c r="G17" t="s">
        <v>74</v>
      </c>
      <c r="H17" t="s">
        <v>75</v>
      </c>
      <c r="I17" t="s">
        <v>51</v>
      </c>
      <c r="J17" t="s">
        <v>65</v>
      </c>
      <c r="K17" t="s">
        <v>76</v>
      </c>
      <c r="L17" t="s">
        <v>61</v>
      </c>
      <c r="M17" t="s">
        <v>77</v>
      </c>
      <c r="N17" t="s">
        <v>52</v>
      </c>
      <c r="O17" t="s">
        <v>52</v>
      </c>
      <c r="P17" t="s">
        <v>52</v>
      </c>
      <c r="Q17" t="s">
        <v>78</v>
      </c>
      <c r="R17" t="s">
        <v>53</v>
      </c>
      <c r="S17" t="s">
        <v>56</v>
      </c>
      <c r="T17" s="2">
        <v>21600</v>
      </c>
      <c r="U17" s="2">
        <v>85800</v>
      </c>
      <c r="V17" s="2">
        <v>32400</v>
      </c>
      <c r="W17" s="2">
        <v>33800</v>
      </c>
      <c r="X17" s="2">
        <v>139800</v>
      </c>
      <c r="Y17" s="2">
        <v>33800</v>
      </c>
      <c r="Z17" s="2">
        <v>173600</v>
      </c>
      <c r="AA17" s="2">
        <v>25920</v>
      </c>
      <c r="AB17" s="2">
        <v>85800</v>
      </c>
      <c r="AC17" s="2">
        <v>38860</v>
      </c>
      <c r="AD17" s="2">
        <v>33800</v>
      </c>
      <c r="AE17" s="2">
        <v>150580</v>
      </c>
      <c r="AF17" s="2">
        <v>33800</v>
      </c>
      <c r="AG17" s="2">
        <v>184380</v>
      </c>
      <c r="AH17" s="2">
        <v>23328</v>
      </c>
      <c r="AI17" s="2">
        <v>83226</v>
      </c>
      <c r="AJ17" s="2">
        <v>27202</v>
      </c>
      <c r="AK17" s="2">
        <v>30420</v>
      </c>
      <c r="AL17" s="2">
        <v>133756</v>
      </c>
      <c r="AM17" s="2">
        <v>30420</v>
      </c>
      <c r="AN17" s="2">
        <v>164176</v>
      </c>
      <c r="AO17" t="s">
        <v>55</v>
      </c>
      <c r="AP17" t="s">
        <v>55</v>
      </c>
      <c r="AQ17" t="s">
        <v>55</v>
      </c>
      <c r="AR17" t="s">
        <v>55</v>
      </c>
      <c r="AS17" s="2">
        <v>98506</v>
      </c>
      <c r="AT17" s="2">
        <v>0</v>
      </c>
      <c r="AU17" s="2">
        <v>98506</v>
      </c>
    </row>
    <row r="18" spans="1:47">
      <c r="A18" t="s">
        <v>46</v>
      </c>
      <c r="B18" t="s">
        <v>47</v>
      </c>
      <c r="C18" t="s">
        <v>48</v>
      </c>
      <c r="D18" t="s">
        <v>62</v>
      </c>
      <c r="E18" t="s">
        <v>49</v>
      </c>
      <c r="F18" t="s">
        <v>50</v>
      </c>
      <c r="G18" t="s">
        <v>74</v>
      </c>
      <c r="H18" t="s">
        <v>75</v>
      </c>
      <c r="I18" t="s">
        <v>51</v>
      </c>
      <c r="J18" t="s">
        <v>65</v>
      </c>
      <c r="K18" t="s">
        <v>76</v>
      </c>
      <c r="L18" t="s">
        <v>61</v>
      </c>
      <c r="M18" t="s">
        <v>77</v>
      </c>
      <c r="N18" t="s">
        <v>52</v>
      </c>
      <c r="O18" t="s">
        <v>52</v>
      </c>
      <c r="P18" t="s">
        <v>52</v>
      </c>
      <c r="Q18" t="s">
        <v>78</v>
      </c>
      <c r="R18" t="s">
        <v>53</v>
      </c>
      <c r="S18" t="s">
        <v>56</v>
      </c>
      <c r="T18" s="2">
        <v>173470</v>
      </c>
      <c r="U18" s="2">
        <v>245900</v>
      </c>
      <c r="V18" s="2">
        <v>18000</v>
      </c>
      <c r="W18" s="2">
        <v>12630</v>
      </c>
      <c r="X18" s="2">
        <v>437370</v>
      </c>
      <c r="Y18" s="2">
        <v>12630</v>
      </c>
      <c r="Z18" s="2">
        <v>450000</v>
      </c>
      <c r="AA18" s="2">
        <v>208164</v>
      </c>
      <c r="AB18" s="2">
        <v>245900</v>
      </c>
      <c r="AC18" s="2">
        <v>21600</v>
      </c>
      <c r="AD18" s="2">
        <v>12630</v>
      </c>
      <c r="AE18" s="2">
        <v>475664</v>
      </c>
      <c r="AF18" s="2">
        <v>12630</v>
      </c>
      <c r="AG18" s="2">
        <v>488294</v>
      </c>
      <c r="AH18" s="2">
        <v>187347.6</v>
      </c>
      <c r="AI18" s="2">
        <v>238523</v>
      </c>
      <c r="AJ18" s="2">
        <v>15120</v>
      </c>
      <c r="AK18" s="2">
        <v>11367</v>
      </c>
      <c r="AL18" s="2">
        <v>440990.6</v>
      </c>
      <c r="AM18" s="2">
        <v>11367</v>
      </c>
      <c r="AN18" s="2">
        <v>452357.6</v>
      </c>
      <c r="AO18" t="s">
        <v>55</v>
      </c>
      <c r="AP18" t="s">
        <v>55</v>
      </c>
      <c r="AQ18" t="s">
        <v>55</v>
      </c>
      <c r="AR18" t="s">
        <v>55</v>
      </c>
      <c r="AS18" s="2">
        <v>271415</v>
      </c>
      <c r="AT18" s="2">
        <v>0</v>
      </c>
      <c r="AU18" s="2">
        <v>271415</v>
      </c>
    </row>
    <row r="19" spans="1:47">
      <c r="A19" t="s">
        <v>46</v>
      </c>
      <c r="B19" t="s">
        <v>47</v>
      </c>
      <c r="C19" t="s">
        <v>48</v>
      </c>
      <c r="D19" t="s">
        <v>62</v>
      </c>
      <c r="E19" t="s">
        <v>49</v>
      </c>
      <c r="F19" t="s">
        <v>50</v>
      </c>
      <c r="G19" t="s">
        <v>74</v>
      </c>
      <c r="H19" t="s">
        <v>75</v>
      </c>
      <c r="I19" t="s">
        <v>51</v>
      </c>
      <c r="J19" t="s">
        <v>65</v>
      </c>
      <c r="K19" t="s">
        <v>76</v>
      </c>
      <c r="L19" t="s">
        <v>61</v>
      </c>
      <c r="M19" t="s">
        <v>77</v>
      </c>
      <c r="N19" t="s">
        <v>52</v>
      </c>
      <c r="O19" t="s">
        <v>52</v>
      </c>
      <c r="P19" t="s">
        <v>52</v>
      </c>
      <c r="Q19" t="s">
        <v>78</v>
      </c>
      <c r="R19" t="s">
        <v>53</v>
      </c>
      <c r="S19" t="s">
        <v>59</v>
      </c>
      <c r="T19" s="2">
        <v>2169400</v>
      </c>
      <c r="U19" s="2">
        <v>3901690</v>
      </c>
      <c r="V19" s="2">
        <v>525770</v>
      </c>
      <c r="W19" s="2">
        <v>4083140</v>
      </c>
      <c r="X19" s="2">
        <v>6596860</v>
      </c>
      <c r="Y19" s="2">
        <v>4083140</v>
      </c>
      <c r="Z19" s="2">
        <v>10680000</v>
      </c>
      <c r="AA19" s="2">
        <v>2603280</v>
      </c>
      <c r="AB19" s="2">
        <v>3901690</v>
      </c>
      <c r="AC19" s="2">
        <v>621810</v>
      </c>
      <c r="AD19" s="2">
        <v>4083140</v>
      </c>
      <c r="AE19" s="2">
        <v>7126780</v>
      </c>
      <c r="AF19" s="2">
        <v>4083140</v>
      </c>
      <c r="AG19" s="2">
        <v>11209920</v>
      </c>
      <c r="AH19" s="2">
        <v>2342952</v>
      </c>
      <c r="AI19" s="2">
        <v>3784639.3</v>
      </c>
      <c r="AJ19" s="2">
        <v>435267</v>
      </c>
      <c r="AK19" s="2">
        <v>3674826</v>
      </c>
      <c r="AL19" s="2">
        <v>6562858.2999999998</v>
      </c>
      <c r="AM19" s="2">
        <v>3674826</v>
      </c>
      <c r="AN19" s="2">
        <v>10237684.300000001</v>
      </c>
      <c r="AO19" t="s">
        <v>55</v>
      </c>
      <c r="AP19" t="s">
        <v>55</v>
      </c>
      <c r="AQ19" t="s">
        <v>55</v>
      </c>
      <c r="AR19" t="s">
        <v>55</v>
      </c>
      <c r="AS19" s="2">
        <v>6142611</v>
      </c>
      <c r="AT19" s="2">
        <v>0</v>
      </c>
      <c r="AU19" s="2">
        <v>6142611</v>
      </c>
    </row>
    <row r="20" spans="1:47">
      <c r="A20" t="s">
        <v>46</v>
      </c>
      <c r="B20" t="s">
        <v>47</v>
      </c>
      <c r="C20" t="s">
        <v>48</v>
      </c>
      <c r="D20" t="s">
        <v>62</v>
      </c>
      <c r="E20" t="s">
        <v>49</v>
      </c>
      <c r="F20" t="s">
        <v>50</v>
      </c>
      <c r="G20" t="s">
        <v>74</v>
      </c>
      <c r="H20" t="s">
        <v>75</v>
      </c>
      <c r="I20" t="s">
        <v>51</v>
      </c>
      <c r="J20" t="s">
        <v>65</v>
      </c>
      <c r="K20" t="s">
        <v>76</v>
      </c>
      <c r="L20" t="s">
        <v>61</v>
      </c>
      <c r="M20" t="s">
        <v>77</v>
      </c>
      <c r="N20" t="s">
        <v>52</v>
      </c>
      <c r="O20" t="s">
        <v>52</v>
      </c>
      <c r="P20" t="s">
        <v>52</v>
      </c>
      <c r="Q20" t="s">
        <v>78</v>
      </c>
      <c r="R20" t="s">
        <v>53</v>
      </c>
      <c r="S20" t="s">
        <v>60</v>
      </c>
      <c r="T20" s="2">
        <v>2154850</v>
      </c>
      <c r="U20" s="2">
        <v>4540320</v>
      </c>
      <c r="V20" s="2">
        <v>327440</v>
      </c>
      <c r="W20" s="2">
        <v>1486190</v>
      </c>
      <c r="X20" s="2">
        <v>7022610</v>
      </c>
      <c r="Y20" s="2">
        <v>1486190</v>
      </c>
      <c r="Z20" s="2">
        <v>8508800</v>
      </c>
      <c r="AA20" s="2">
        <v>2585820</v>
      </c>
      <c r="AB20" s="2">
        <v>4540320</v>
      </c>
      <c r="AC20" s="2">
        <v>387715</v>
      </c>
      <c r="AD20" s="2">
        <v>1486190</v>
      </c>
      <c r="AE20" s="2">
        <v>7513855</v>
      </c>
      <c r="AF20" s="2">
        <v>1486190</v>
      </c>
      <c r="AG20" s="2">
        <v>9000045</v>
      </c>
      <c r="AH20" s="2">
        <v>2327238</v>
      </c>
      <c r="AI20" s="2">
        <v>4404110.4000000004</v>
      </c>
      <c r="AJ20" s="2">
        <v>271400.5</v>
      </c>
      <c r="AK20" s="2">
        <v>1337571</v>
      </c>
      <c r="AL20" s="2">
        <v>7002748.9000000004</v>
      </c>
      <c r="AM20" s="2">
        <v>1337571</v>
      </c>
      <c r="AN20" s="2">
        <v>8340319.9000000004</v>
      </c>
      <c r="AO20" t="s">
        <v>55</v>
      </c>
      <c r="AP20" t="s">
        <v>55</v>
      </c>
      <c r="AQ20" t="s">
        <v>55</v>
      </c>
      <c r="AR20" t="s">
        <v>55</v>
      </c>
      <c r="AS20" s="2">
        <v>5004192</v>
      </c>
      <c r="AT20" s="2">
        <v>0</v>
      </c>
      <c r="AU20" s="2">
        <v>5004192</v>
      </c>
    </row>
    <row r="21" spans="1:47">
      <c r="A21" t="s">
        <v>46</v>
      </c>
      <c r="B21" t="s">
        <v>47</v>
      </c>
      <c r="C21" t="s">
        <v>48</v>
      </c>
      <c r="D21" t="s">
        <v>62</v>
      </c>
      <c r="E21" t="s">
        <v>49</v>
      </c>
      <c r="F21" t="s">
        <v>50</v>
      </c>
      <c r="G21" t="s">
        <v>74</v>
      </c>
      <c r="H21" t="s">
        <v>75</v>
      </c>
      <c r="I21" t="s">
        <v>51</v>
      </c>
      <c r="J21" t="s">
        <v>65</v>
      </c>
      <c r="K21" t="s">
        <v>76</v>
      </c>
      <c r="L21" t="s">
        <v>61</v>
      </c>
      <c r="M21" t="s">
        <v>77</v>
      </c>
      <c r="N21" t="s">
        <v>52</v>
      </c>
      <c r="O21" t="s">
        <v>52</v>
      </c>
      <c r="P21" t="s">
        <v>52</v>
      </c>
      <c r="Q21" t="s">
        <v>78</v>
      </c>
      <c r="R21" t="s">
        <v>53</v>
      </c>
      <c r="S21" t="s">
        <v>60</v>
      </c>
      <c r="T21" s="2">
        <v>1036690</v>
      </c>
      <c r="U21" s="2">
        <v>1439820</v>
      </c>
      <c r="V21" s="2">
        <v>209600</v>
      </c>
      <c r="W21" s="2">
        <v>219690</v>
      </c>
      <c r="X21" s="2">
        <v>2686110</v>
      </c>
      <c r="Y21" s="2">
        <v>219690</v>
      </c>
      <c r="Z21" s="2">
        <v>2905800</v>
      </c>
      <c r="AA21" s="2">
        <v>1244028</v>
      </c>
      <c r="AB21" s="2">
        <v>1439820</v>
      </c>
      <c r="AC21" s="2">
        <v>248850</v>
      </c>
      <c r="AD21" s="2">
        <v>219690</v>
      </c>
      <c r="AE21" s="2">
        <v>2932698</v>
      </c>
      <c r="AF21" s="2">
        <v>219690</v>
      </c>
      <c r="AG21" s="2">
        <v>3152388</v>
      </c>
      <c r="AH21" s="2">
        <v>1119625.2</v>
      </c>
      <c r="AI21" s="2">
        <v>1396625.4</v>
      </c>
      <c r="AJ21" s="2">
        <v>174195</v>
      </c>
      <c r="AK21" s="2">
        <v>197721</v>
      </c>
      <c r="AL21" s="2">
        <v>2690445.6</v>
      </c>
      <c r="AM21" s="2">
        <v>197721</v>
      </c>
      <c r="AN21" s="2">
        <v>2888166.6</v>
      </c>
      <c r="AO21" t="s">
        <v>55</v>
      </c>
      <c r="AP21" t="s">
        <v>55</v>
      </c>
      <c r="AQ21" t="s">
        <v>55</v>
      </c>
      <c r="AR21" t="s">
        <v>55</v>
      </c>
      <c r="AS21" s="2">
        <v>1732900</v>
      </c>
      <c r="AT21" s="2">
        <v>0</v>
      </c>
      <c r="AU21" s="2">
        <v>1732900</v>
      </c>
    </row>
    <row r="22" spans="1:47">
      <c r="A22" t="s">
        <v>46</v>
      </c>
      <c r="B22" t="s">
        <v>47</v>
      </c>
      <c r="C22" t="s">
        <v>48</v>
      </c>
      <c r="D22" t="s">
        <v>62</v>
      </c>
      <c r="E22" t="s">
        <v>49</v>
      </c>
      <c r="F22" t="s">
        <v>50</v>
      </c>
      <c r="G22" t="s">
        <v>74</v>
      </c>
      <c r="H22" t="s">
        <v>75</v>
      </c>
      <c r="I22" t="s">
        <v>51</v>
      </c>
      <c r="J22" t="s">
        <v>65</v>
      </c>
      <c r="K22" t="s">
        <v>76</v>
      </c>
      <c r="L22" t="s">
        <v>61</v>
      </c>
      <c r="M22" t="s">
        <v>77</v>
      </c>
      <c r="N22" t="s">
        <v>52</v>
      </c>
      <c r="O22" t="s">
        <v>52</v>
      </c>
      <c r="P22" t="s">
        <v>52</v>
      </c>
      <c r="Q22" t="s">
        <v>78</v>
      </c>
      <c r="R22" t="s">
        <v>53</v>
      </c>
      <c r="S22" t="s">
        <v>60</v>
      </c>
      <c r="T22" s="2">
        <v>483310</v>
      </c>
      <c r="U22" s="2">
        <v>765170</v>
      </c>
      <c r="V22" s="2">
        <v>81500</v>
      </c>
      <c r="W22" s="2">
        <v>126220</v>
      </c>
      <c r="X22" s="2">
        <v>1329980</v>
      </c>
      <c r="Y22" s="2">
        <v>126220</v>
      </c>
      <c r="Z22" s="2">
        <v>1456200</v>
      </c>
      <c r="AA22" s="2">
        <v>579972</v>
      </c>
      <c r="AB22" s="2">
        <v>765170</v>
      </c>
      <c r="AC22" s="2">
        <v>96920</v>
      </c>
      <c r="AD22" s="2">
        <v>126220</v>
      </c>
      <c r="AE22" s="2">
        <v>1442062</v>
      </c>
      <c r="AF22" s="2">
        <v>126220</v>
      </c>
      <c r="AG22" s="2">
        <v>1568282</v>
      </c>
      <c r="AH22" s="2">
        <v>521974.8</v>
      </c>
      <c r="AI22" s="2">
        <v>742214.9</v>
      </c>
      <c r="AJ22" s="2">
        <v>67844</v>
      </c>
      <c r="AK22" s="2">
        <v>113598</v>
      </c>
      <c r="AL22" s="2">
        <v>1332033.7</v>
      </c>
      <c r="AM22" s="2">
        <v>113598</v>
      </c>
      <c r="AN22" s="2">
        <v>1445631.7</v>
      </c>
      <c r="AO22" t="s">
        <v>55</v>
      </c>
      <c r="AP22" t="s">
        <v>55</v>
      </c>
      <c r="AQ22" t="s">
        <v>55</v>
      </c>
      <c r="AR22" t="s">
        <v>55</v>
      </c>
      <c r="AS22" s="2">
        <v>867379</v>
      </c>
      <c r="AT22" s="2">
        <v>0</v>
      </c>
      <c r="AU22" s="2">
        <v>867379</v>
      </c>
    </row>
    <row r="23" spans="1:47">
      <c r="A23" t="s">
        <v>46</v>
      </c>
      <c r="B23" t="s">
        <v>47</v>
      </c>
      <c r="C23" t="s">
        <v>48</v>
      </c>
      <c r="D23" t="s">
        <v>62</v>
      </c>
      <c r="E23" t="s">
        <v>49</v>
      </c>
      <c r="F23" t="s">
        <v>50</v>
      </c>
      <c r="G23" t="s">
        <v>79</v>
      </c>
      <c r="H23" t="s">
        <v>80</v>
      </c>
      <c r="I23" t="s">
        <v>51</v>
      </c>
      <c r="J23" t="s">
        <v>65</v>
      </c>
      <c r="K23" t="s">
        <v>81</v>
      </c>
      <c r="L23" t="s">
        <v>82</v>
      </c>
      <c r="M23" t="s">
        <v>83</v>
      </c>
      <c r="N23" t="s">
        <v>52</v>
      </c>
      <c r="O23" t="s">
        <v>52</v>
      </c>
      <c r="P23" t="s">
        <v>52</v>
      </c>
      <c r="Q23" t="s">
        <v>84</v>
      </c>
      <c r="R23" t="s">
        <v>53</v>
      </c>
      <c r="S23" t="s">
        <v>54</v>
      </c>
      <c r="T23" s="2">
        <v>386000</v>
      </c>
      <c r="U23" s="2">
        <v>1038820</v>
      </c>
      <c r="V23" s="2">
        <v>145840</v>
      </c>
      <c r="W23" s="2">
        <v>175840</v>
      </c>
      <c r="X23" s="2">
        <v>1570660</v>
      </c>
      <c r="Y23" s="2">
        <v>175840</v>
      </c>
      <c r="Z23" s="2">
        <v>1746500</v>
      </c>
      <c r="AA23" s="2">
        <v>463200</v>
      </c>
      <c r="AB23" s="2">
        <v>1038820</v>
      </c>
      <c r="AC23" s="2">
        <v>174278</v>
      </c>
      <c r="AD23" s="2">
        <v>175840</v>
      </c>
      <c r="AE23" s="2">
        <v>1676298</v>
      </c>
      <c r="AF23" s="2">
        <v>175840</v>
      </c>
      <c r="AG23" s="2">
        <v>1852138</v>
      </c>
      <c r="AH23" s="2">
        <v>416880</v>
      </c>
      <c r="AI23" s="2">
        <v>1007655.4</v>
      </c>
      <c r="AJ23" s="2">
        <v>121994.6</v>
      </c>
      <c r="AK23" s="2">
        <v>158256</v>
      </c>
      <c r="AL23" s="2">
        <v>1546530</v>
      </c>
      <c r="AM23" s="2">
        <v>158256</v>
      </c>
      <c r="AN23" s="2">
        <v>1704786</v>
      </c>
      <c r="AO23" t="s">
        <v>55</v>
      </c>
      <c r="AP23" t="s">
        <v>55</v>
      </c>
      <c r="AQ23" t="s">
        <v>55</v>
      </c>
      <c r="AR23" t="s">
        <v>55</v>
      </c>
      <c r="AS23" s="2">
        <v>1022872</v>
      </c>
      <c r="AT23" s="2">
        <v>0</v>
      </c>
      <c r="AU23" s="2">
        <v>1022872</v>
      </c>
    </row>
    <row r="24" spans="1:47">
      <c r="A24" t="s">
        <v>46</v>
      </c>
      <c r="B24" t="s">
        <v>47</v>
      </c>
      <c r="C24" t="s">
        <v>48</v>
      </c>
      <c r="D24" t="s">
        <v>62</v>
      </c>
      <c r="E24" t="s">
        <v>49</v>
      </c>
      <c r="F24" t="s">
        <v>50</v>
      </c>
      <c r="G24" t="s">
        <v>79</v>
      </c>
      <c r="H24" t="s">
        <v>80</v>
      </c>
      <c r="I24" t="s">
        <v>51</v>
      </c>
      <c r="J24" t="s">
        <v>65</v>
      </c>
      <c r="K24" t="s">
        <v>81</v>
      </c>
      <c r="L24" t="s">
        <v>82</v>
      </c>
      <c r="M24" t="s">
        <v>83</v>
      </c>
      <c r="N24" t="s">
        <v>52</v>
      </c>
      <c r="O24" t="s">
        <v>52</v>
      </c>
      <c r="P24" t="s">
        <v>52</v>
      </c>
      <c r="Q24" t="s">
        <v>84</v>
      </c>
      <c r="R24" t="s">
        <v>53</v>
      </c>
      <c r="S24" t="s">
        <v>56</v>
      </c>
      <c r="T24" s="2">
        <v>732880</v>
      </c>
      <c r="U24" s="2">
        <v>3118840</v>
      </c>
      <c r="V24" s="2">
        <v>201600</v>
      </c>
      <c r="W24" s="2">
        <v>291180</v>
      </c>
      <c r="X24" s="2">
        <v>4053320</v>
      </c>
      <c r="Y24" s="2">
        <v>291180</v>
      </c>
      <c r="Z24" s="2">
        <v>4344500</v>
      </c>
      <c r="AA24" s="2">
        <v>879456</v>
      </c>
      <c r="AB24" s="2">
        <v>3118840</v>
      </c>
      <c r="AC24" s="2">
        <v>241920</v>
      </c>
      <c r="AD24" s="2">
        <v>291180</v>
      </c>
      <c r="AE24" s="2">
        <v>4240216</v>
      </c>
      <c r="AF24" s="2">
        <v>291180</v>
      </c>
      <c r="AG24" s="2">
        <v>4531396</v>
      </c>
      <c r="AH24" s="2">
        <v>791510.4</v>
      </c>
      <c r="AI24" s="2">
        <v>3025274.8</v>
      </c>
      <c r="AJ24" s="2">
        <v>169344</v>
      </c>
      <c r="AK24" s="2">
        <v>262062</v>
      </c>
      <c r="AL24" s="2">
        <v>3986129.2</v>
      </c>
      <c r="AM24" s="2">
        <v>262062</v>
      </c>
      <c r="AN24" s="2">
        <v>4248191.2</v>
      </c>
      <c r="AO24" t="s">
        <v>55</v>
      </c>
      <c r="AP24" t="s">
        <v>55</v>
      </c>
      <c r="AQ24" t="s">
        <v>55</v>
      </c>
      <c r="AR24" t="s">
        <v>55</v>
      </c>
      <c r="AS24" s="2">
        <v>2548914</v>
      </c>
      <c r="AT24" s="2">
        <v>0</v>
      </c>
      <c r="AU24" s="2">
        <v>2548914</v>
      </c>
    </row>
    <row r="25" spans="1:47">
      <c r="A25" t="s">
        <v>46</v>
      </c>
      <c r="B25" t="s">
        <v>47</v>
      </c>
      <c r="C25" t="s">
        <v>48</v>
      </c>
      <c r="D25" t="s">
        <v>62</v>
      </c>
      <c r="E25" t="s">
        <v>49</v>
      </c>
      <c r="F25" t="s">
        <v>50</v>
      </c>
      <c r="G25" t="s">
        <v>79</v>
      </c>
      <c r="H25" t="s">
        <v>80</v>
      </c>
      <c r="I25" t="s">
        <v>51</v>
      </c>
      <c r="J25" t="s">
        <v>65</v>
      </c>
      <c r="K25" t="s">
        <v>81</v>
      </c>
      <c r="L25" t="s">
        <v>82</v>
      </c>
      <c r="M25" t="s">
        <v>83</v>
      </c>
      <c r="N25" t="s">
        <v>52</v>
      </c>
      <c r="O25" t="s">
        <v>52</v>
      </c>
      <c r="P25" t="s">
        <v>52</v>
      </c>
      <c r="Q25" t="s">
        <v>84</v>
      </c>
      <c r="R25" t="s">
        <v>53</v>
      </c>
      <c r="S25" t="s">
        <v>56</v>
      </c>
      <c r="T25" s="2">
        <v>268590</v>
      </c>
      <c r="U25" s="2">
        <v>1392250</v>
      </c>
      <c r="V25" s="2">
        <v>65910</v>
      </c>
      <c r="W25" s="2">
        <v>87250</v>
      </c>
      <c r="X25" s="2">
        <v>1726750</v>
      </c>
      <c r="Y25" s="2">
        <v>87250</v>
      </c>
      <c r="Z25" s="2">
        <v>1814000</v>
      </c>
      <c r="AA25" s="2">
        <v>322308</v>
      </c>
      <c r="AB25" s="2">
        <v>1392250</v>
      </c>
      <c r="AC25" s="2">
        <v>79092</v>
      </c>
      <c r="AD25" s="2">
        <v>87250</v>
      </c>
      <c r="AE25" s="2">
        <v>1793650</v>
      </c>
      <c r="AF25" s="2">
        <v>87250</v>
      </c>
      <c r="AG25" s="2">
        <v>1880900</v>
      </c>
      <c r="AH25" s="2">
        <v>290077.2</v>
      </c>
      <c r="AI25" s="2">
        <v>1350482.5</v>
      </c>
      <c r="AJ25" s="2">
        <v>55364.4</v>
      </c>
      <c r="AK25" s="2">
        <v>78525</v>
      </c>
      <c r="AL25" s="2">
        <v>1695924.1</v>
      </c>
      <c r="AM25" s="2">
        <v>78525</v>
      </c>
      <c r="AN25" s="2">
        <v>1774449.1</v>
      </c>
      <c r="AO25" t="s">
        <v>55</v>
      </c>
      <c r="AP25" t="s">
        <v>55</v>
      </c>
      <c r="AQ25" t="s">
        <v>55</v>
      </c>
      <c r="AR25" t="s">
        <v>55</v>
      </c>
      <c r="AS25" s="2">
        <v>1064670</v>
      </c>
      <c r="AT25" s="2">
        <v>0</v>
      </c>
      <c r="AU25" s="2">
        <v>1064670</v>
      </c>
    </row>
    <row r="26" spans="1:47">
      <c r="A26" t="s">
        <v>46</v>
      </c>
      <c r="B26" t="s">
        <v>47</v>
      </c>
      <c r="C26" t="s">
        <v>48</v>
      </c>
      <c r="D26" t="s">
        <v>62</v>
      </c>
      <c r="E26" t="s">
        <v>49</v>
      </c>
      <c r="F26" t="s">
        <v>50</v>
      </c>
      <c r="G26" t="s">
        <v>79</v>
      </c>
      <c r="H26" t="s">
        <v>80</v>
      </c>
      <c r="I26" t="s">
        <v>51</v>
      </c>
      <c r="J26" t="s">
        <v>65</v>
      </c>
      <c r="K26" t="s">
        <v>81</v>
      </c>
      <c r="L26" t="s">
        <v>82</v>
      </c>
      <c r="M26" t="s">
        <v>83</v>
      </c>
      <c r="N26" t="s">
        <v>52</v>
      </c>
      <c r="O26" t="s">
        <v>52</v>
      </c>
      <c r="P26" t="s">
        <v>52</v>
      </c>
      <c r="Q26" t="s">
        <v>84</v>
      </c>
      <c r="R26" t="s">
        <v>53</v>
      </c>
      <c r="S26" t="s">
        <v>56</v>
      </c>
      <c r="T26" s="2">
        <v>212600</v>
      </c>
      <c r="U26" s="2">
        <v>523500</v>
      </c>
      <c r="V26" s="2">
        <v>13500</v>
      </c>
      <c r="W26" s="2">
        <v>34900</v>
      </c>
      <c r="X26" s="2">
        <v>749600</v>
      </c>
      <c r="Y26" s="2">
        <v>34900</v>
      </c>
      <c r="Z26" s="2">
        <v>784500</v>
      </c>
      <c r="AA26" s="2">
        <v>255120</v>
      </c>
      <c r="AB26" s="2">
        <v>523500</v>
      </c>
      <c r="AC26" s="2">
        <v>16200</v>
      </c>
      <c r="AD26" s="2">
        <v>34900</v>
      </c>
      <c r="AE26" s="2">
        <v>794820</v>
      </c>
      <c r="AF26" s="2">
        <v>34900</v>
      </c>
      <c r="AG26" s="2">
        <v>829720</v>
      </c>
      <c r="AH26" s="2">
        <v>229608</v>
      </c>
      <c r="AI26" s="2">
        <v>507795</v>
      </c>
      <c r="AJ26" s="2">
        <v>11340</v>
      </c>
      <c r="AK26" s="2">
        <v>31410</v>
      </c>
      <c r="AL26" s="2">
        <v>748743</v>
      </c>
      <c r="AM26" s="2">
        <v>31410</v>
      </c>
      <c r="AN26" s="2">
        <v>780153</v>
      </c>
      <c r="AO26" t="s">
        <v>55</v>
      </c>
      <c r="AP26" t="s">
        <v>55</v>
      </c>
      <c r="AQ26" t="s">
        <v>55</v>
      </c>
      <c r="AR26" t="s">
        <v>55</v>
      </c>
      <c r="AS26" s="2">
        <v>468092</v>
      </c>
      <c r="AT26" s="2">
        <v>0</v>
      </c>
      <c r="AU26" s="2">
        <v>468092</v>
      </c>
    </row>
    <row r="27" spans="1:47">
      <c r="A27" t="s">
        <v>46</v>
      </c>
      <c r="B27" t="s">
        <v>47</v>
      </c>
      <c r="C27" t="s">
        <v>48</v>
      </c>
      <c r="D27" t="s">
        <v>62</v>
      </c>
      <c r="E27" t="s">
        <v>49</v>
      </c>
      <c r="F27" t="s">
        <v>50</v>
      </c>
      <c r="G27" t="s">
        <v>79</v>
      </c>
      <c r="H27" t="s">
        <v>80</v>
      </c>
      <c r="I27" t="s">
        <v>51</v>
      </c>
      <c r="J27" t="s">
        <v>65</v>
      </c>
      <c r="K27" t="s">
        <v>81</v>
      </c>
      <c r="L27" t="s">
        <v>82</v>
      </c>
      <c r="M27" t="s">
        <v>83</v>
      </c>
      <c r="N27" t="s">
        <v>52</v>
      </c>
      <c r="O27" t="s">
        <v>52</v>
      </c>
      <c r="P27" t="s">
        <v>52</v>
      </c>
      <c r="Q27" t="s">
        <v>84</v>
      </c>
      <c r="R27" t="s">
        <v>53</v>
      </c>
      <c r="S27" t="s">
        <v>59</v>
      </c>
      <c r="T27" s="2">
        <v>7377540</v>
      </c>
      <c r="U27" s="2">
        <v>10566870</v>
      </c>
      <c r="V27" s="2">
        <v>2624820</v>
      </c>
      <c r="W27" s="2">
        <v>7250970</v>
      </c>
      <c r="X27" s="2">
        <v>20569230</v>
      </c>
      <c r="Y27" s="2">
        <v>7250970</v>
      </c>
      <c r="Z27" s="2">
        <v>27820200</v>
      </c>
      <c r="AA27" s="2">
        <v>8853048</v>
      </c>
      <c r="AB27" s="2">
        <v>10566870</v>
      </c>
      <c r="AC27" s="2">
        <v>3143134</v>
      </c>
      <c r="AD27" s="2">
        <v>7250970</v>
      </c>
      <c r="AE27" s="2">
        <v>22563052</v>
      </c>
      <c r="AF27" s="2">
        <v>7250970</v>
      </c>
      <c r="AG27" s="2">
        <v>29814022</v>
      </c>
      <c r="AH27" s="2">
        <v>7967743.2000000002</v>
      </c>
      <c r="AI27" s="2">
        <v>10249863.9</v>
      </c>
      <c r="AJ27" s="2">
        <v>2200193.7999999998</v>
      </c>
      <c r="AK27" s="2">
        <v>6525873</v>
      </c>
      <c r="AL27" s="2">
        <v>20417800.899999999</v>
      </c>
      <c r="AM27" s="2">
        <v>6525873</v>
      </c>
      <c r="AN27" s="2">
        <v>26943673.899999999</v>
      </c>
      <c r="AO27" t="s">
        <v>55</v>
      </c>
      <c r="AP27" t="s">
        <v>55</v>
      </c>
      <c r="AQ27" t="s">
        <v>55</v>
      </c>
      <c r="AR27" t="s">
        <v>55</v>
      </c>
      <c r="AS27" s="2">
        <v>16166204</v>
      </c>
      <c r="AT27" s="2">
        <v>0</v>
      </c>
      <c r="AU27" s="2">
        <v>16166204</v>
      </c>
    </row>
    <row r="28" spans="1:47">
      <c r="A28" t="s">
        <v>46</v>
      </c>
      <c r="B28" t="s">
        <v>47</v>
      </c>
      <c r="C28" t="s">
        <v>48</v>
      </c>
      <c r="D28" t="s">
        <v>62</v>
      </c>
      <c r="E28" t="s">
        <v>49</v>
      </c>
      <c r="F28" t="s">
        <v>50</v>
      </c>
      <c r="G28" t="s">
        <v>79</v>
      </c>
      <c r="H28" t="s">
        <v>80</v>
      </c>
      <c r="I28" t="s">
        <v>51</v>
      </c>
      <c r="J28" t="s">
        <v>65</v>
      </c>
      <c r="K28" t="s">
        <v>81</v>
      </c>
      <c r="L28" t="s">
        <v>82</v>
      </c>
      <c r="M28" t="s">
        <v>83</v>
      </c>
      <c r="N28" t="s">
        <v>52</v>
      </c>
      <c r="O28" t="s">
        <v>52</v>
      </c>
      <c r="P28" t="s">
        <v>52</v>
      </c>
      <c r="Q28" t="s">
        <v>84</v>
      </c>
      <c r="R28" t="s">
        <v>53</v>
      </c>
      <c r="S28" t="s">
        <v>60</v>
      </c>
      <c r="T28" s="2">
        <v>8472870</v>
      </c>
      <c r="U28" s="2">
        <v>19433910</v>
      </c>
      <c r="V28" s="2">
        <v>2514180</v>
      </c>
      <c r="W28" s="2">
        <v>3482240</v>
      </c>
      <c r="X28" s="2">
        <v>30420960</v>
      </c>
      <c r="Y28" s="2">
        <v>3482240</v>
      </c>
      <c r="Z28" s="2">
        <v>33903200</v>
      </c>
      <c r="AA28" s="2">
        <v>10167444</v>
      </c>
      <c r="AB28" s="2">
        <v>19433910</v>
      </c>
      <c r="AC28" s="2">
        <v>3008070</v>
      </c>
      <c r="AD28" s="2">
        <v>3482240</v>
      </c>
      <c r="AE28" s="2">
        <v>32609424</v>
      </c>
      <c r="AF28" s="2">
        <v>3482240</v>
      </c>
      <c r="AG28" s="2">
        <v>36091664</v>
      </c>
      <c r="AH28" s="2">
        <v>9150699.5999999996</v>
      </c>
      <c r="AI28" s="2">
        <v>18850892.699999999</v>
      </c>
      <c r="AJ28" s="2">
        <v>2105649</v>
      </c>
      <c r="AK28" s="2">
        <v>3134016</v>
      </c>
      <c r="AL28" s="2">
        <v>30107241.300000001</v>
      </c>
      <c r="AM28" s="2">
        <v>3134016</v>
      </c>
      <c r="AN28" s="2">
        <v>33241257.300000001</v>
      </c>
      <c r="AO28" t="s">
        <v>55</v>
      </c>
      <c r="AP28" t="s">
        <v>55</v>
      </c>
      <c r="AQ28" t="s">
        <v>55</v>
      </c>
      <c r="AR28" t="s">
        <v>55</v>
      </c>
      <c r="AS28" s="2">
        <v>19944755</v>
      </c>
      <c r="AT28" s="2">
        <v>0</v>
      </c>
      <c r="AU28" s="2">
        <v>19944755</v>
      </c>
    </row>
    <row r="29" spans="1:47">
      <c r="A29" t="s">
        <v>46</v>
      </c>
      <c r="B29" t="s">
        <v>47</v>
      </c>
      <c r="C29" t="s">
        <v>48</v>
      </c>
      <c r="D29" t="s">
        <v>62</v>
      </c>
      <c r="E29" t="s">
        <v>49</v>
      </c>
      <c r="F29" t="s">
        <v>50</v>
      </c>
      <c r="G29" t="s">
        <v>79</v>
      </c>
      <c r="H29" t="s">
        <v>80</v>
      </c>
      <c r="I29" t="s">
        <v>51</v>
      </c>
      <c r="J29" t="s">
        <v>65</v>
      </c>
      <c r="K29" t="s">
        <v>81</v>
      </c>
      <c r="L29" t="s">
        <v>82</v>
      </c>
      <c r="M29" t="s">
        <v>83</v>
      </c>
      <c r="N29" t="s">
        <v>52</v>
      </c>
      <c r="O29" t="s">
        <v>52</v>
      </c>
      <c r="P29" t="s">
        <v>52</v>
      </c>
      <c r="Q29" t="s">
        <v>84</v>
      </c>
      <c r="R29" t="s">
        <v>53</v>
      </c>
      <c r="S29" t="s">
        <v>60</v>
      </c>
      <c r="T29" s="2">
        <v>1053130</v>
      </c>
      <c r="U29" s="2">
        <v>3387460</v>
      </c>
      <c r="V29" s="2">
        <v>347500</v>
      </c>
      <c r="W29" s="2">
        <v>350110</v>
      </c>
      <c r="X29" s="2">
        <v>4788090</v>
      </c>
      <c r="Y29" s="2">
        <v>350110</v>
      </c>
      <c r="Z29" s="2">
        <v>5138200</v>
      </c>
      <c r="AA29" s="2">
        <v>1263756</v>
      </c>
      <c r="AB29" s="2">
        <v>3387460</v>
      </c>
      <c r="AC29" s="2">
        <v>415124</v>
      </c>
      <c r="AD29" s="2">
        <v>350110</v>
      </c>
      <c r="AE29" s="2">
        <v>5066340</v>
      </c>
      <c r="AF29" s="2">
        <v>350110</v>
      </c>
      <c r="AG29" s="2">
        <v>5416450</v>
      </c>
      <c r="AH29" s="2">
        <v>1137380.3999999999</v>
      </c>
      <c r="AI29" s="2">
        <v>3285836.2</v>
      </c>
      <c r="AJ29" s="2">
        <v>290586.8</v>
      </c>
      <c r="AK29" s="2">
        <v>315099</v>
      </c>
      <c r="AL29" s="2">
        <v>4713803.4000000004</v>
      </c>
      <c r="AM29" s="2">
        <v>315099</v>
      </c>
      <c r="AN29" s="2">
        <v>5028902.4000000004</v>
      </c>
      <c r="AO29" t="s">
        <v>55</v>
      </c>
      <c r="AP29" t="s">
        <v>55</v>
      </c>
      <c r="AQ29" t="s">
        <v>55</v>
      </c>
      <c r="AR29" t="s">
        <v>55</v>
      </c>
      <c r="AS29" s="2">
        <v>3017341</v>
      </c>
      <c r="AT29" s="2">
        <v>0</v>
      </c>
      <c r="AU29" s="2">
        <v>3017341</v>
      </c>
    </row>
    <row r="30" spans="1:47">
      <c r="A30" t="s">
        <v>46</v>
      </c>
      <c r="B30" t="s">
        <v>47</v>
      </c>
      <c r="C30" t="s">
        <v>48</v>
      </c>
      <c r="D30" t="s">
        <v>62</v>
      </c>
      <c r="E30" t="s">
        <v>49</v>
      </c>
      <c r="F30" t="s">
        <v>50</v>
      </c>
      <c r="G30" t="s">
        <v>79</v>
      </c>
      <c r="H30" t="s">
        <v>80</v>
      </c>
      <c r="I30" t="s">
        <v>51</v>
      </c>
      <c r="J30" t="s">
        <v>65</v>
      </c>
      <c r="K30" t="s">
        <v>81</v>
      </c>
      <c r="L30" t="s">
        <v>82</v>
      </c>
      <c r="M30" t="s">
        <v>83</v>
      </c>
      <c r="N30" t="s">
        <v>52</v>
      </c>
      <c r="O30" t="s">
        <v>52</v>
      </c>
      <c r="P30" t="s">
        <v>52</v>
      </c>
      <c r="Q30" t="s">
        <v>84</v>
      </c>
      <c r="R30" t="s">
        <v>53</v>
      </c>
      <c r="S30" t="s">
        <v>60</v>
      </c>
      <c r="T30" s="2">
        <v>281800</v>
      </c>
      <c r="U30" s="2">
        <v>744120</v>
      </c>
      <c r="V30" s="2">
        <v>84620</v>
      </c>
      <c r="W30" s="2">
        <v>97860</v>
      </c>
      <c r="X30" s="2">
        <v>1110540</v>
      </c>
      <c r="Y30" s="2">
        <v>97860</v>
      </c>
      <c r="Z30" s="2">
        <v>1208400</v>
      </c>
      <c r="AA30" s="2">
        <v>338160</v>
      </c>
      <c r="AB30" s="2">
        <v>744120</v>
      </c>
      <c r="AC30" s="2">
        <v>101370</v>
      </c>
      <c r="AD30" s="2">
        <v>97860</v>
      </c>
      <c r="AE30" s="2">
        <v>1183650</v>
      </c>
      <c r="AF30" s="2">
        <v>97860</v>
      </c>
      <c r="AG30" s="2">
        <v>1281510</v>
      </c>
      <c r="AH30" s="2">
        <v>304344</v>
      </c>
      <c r="AI30" s="2">
        <v>721796.4</v>
      </c>
      <c r="AJ30" s="2">
        <v>70959</v>
      </c>
      <c r="AK30" s="2">
        <v>88074</v>
      </c>
      <c r="AL30" s="2">
        <v>1097099.3999999999</v>
      </c>
      <c r="AM30" s="2">
        <v>88074</v>
      </c>
      <c r="AN30" s="2">
        <v>1185173.3999999999</v>
      </c>
      <c r="AO30" t="s">
        <v>55</v>
      </c>
      <c r="AP30" t="s">
        <v>55</v>
      </c>
      <c r="AQ30" t="s">
        <v>55</v>
      </c>
      <c r="AR30" t="s">
        <v>55</v>
      </c>
      <c r="AS30" s="2">
        <v>711103</v>
      </c>
      <c r="AT30" s="2">
        <v>0</v>
      </c>
      <c r="AU30" s="2">
        <v>711103</v>
      </c>
    </row>
    <row r="31" spans="1:47">
      <c r="A31" t="s">
        <v>46</v>
      </c>
      <c r="B31" t="s">
        <v>47</v>
      </c>
      <c r="C31" t="s">
        <v>48</v>
      </c>
      <c r="D31" t="s">
        <v>62</v>
      </c>
      <c r="E31" t="s">
        <v>49</v>
      </c>
      <c r="F31" t="s">
        <v>50</v>
      </c>
      <c r="G31" t="s">
        <v>85</v>
      </c>
      <c r="H31" t="s">
        <v>86</v>
      </c>
      <c r="I31" t="s">
        <v>51</v>
      </c>
      <c r="J31" t="s">
        <v>65</v>
      </c>
      <c r="K31" t="s">
        <v>87</v>
      </c>
      <c r="L31" t="s">
        <v>57</v>
      </c>
      <c r="M31" t="s">
        <v>88</v>
      </c>
      <c r="N31" t="s">
        <v>52</v>
      </c>
      <c r="O31" t="s">
        <v>52</v>
      </c>
      <c r="P31" t="s">
        <v>52</v>
      </c>
      <c r="Q31" t="s">
        <v>89</v>
      </c>
      <c r="R31" t="s">
        <v>53</v>
      </c>
      <c r="S31" t="s">
        <v>54</v>
      </c>
      <c r="T31" s="2">
        <v>4800</v>
      </c>
      <c r="U31" s="2">
        <v>21060</v>
      </c>
      <c r="V31" s="2">
        <v>4000</v>
      </c>
      <c r="W31" s="2">
        <v>39340</v>
      </c>
      <c r="X31" s="2">
        <v>29860</v>
      </c>
      <c r="Y31" s="2">
        <v>39340</v>
      </c>
      <c r="Z31" s="2">
        <v>69200</v>
      </c>
      <c r="AA31" s="2">
        <v>5760</v>
      </c>
      <c r="AB31" s="2">
        <v>21060</v>
      </c>
      <c r="AC31" s="2">
        <v>4800</v>
      </c>
      <c r="AD31" s="2">
        <v>39340</v>
      </c>
      <c r="AE31" s="2">
        <v>31620</v>
      </c>
      <c r="AF31" s="2">
        <v>39340</v>
      </c>
      <c r="AG31" s="2">
        <v>70960</v>
      </c>
      <c r="AH31" s="2">
        <v>5184</v>
      </c>
      <c r="AI31" s="2">
        <v>20428.2</v>
      </c>
      <c r="AJ31" s="2">
        <v>3360</v>
      </c>
      <c r="AK31" s="2">
        <v>35406</v>
      </c>
      <c r="AL31" s="2">
        <v>28972.2</v>
      </c>
      <c r="AM31" s="2">
        <v>35406</v>
      </c>
      <c r="AN31" s="2">
        <v>64378.2</v>
      </c>
      <c r="AO31" t="s">
        <v>55</v>
      </c>
      <c r="AP31" t="s">
        <v>55</v>
      </c>
      <c r="AQ31" t="s">
        <v>55</v>
      </c>
      <c r="AR31" t="s">
        <v>55</v>
      </c>
      <c r="AS31" s="2">
        <v>38627</v>
      </c>
      <c r="AT31" s="2">
        <v>0</v>
      </c>
      <c r="AU31" s="2">
        <v>38627</v>
      </c>
    </row>
    <row r="32" spans="1:47">
      <c r="A32" t="s">
        <v>46</v>
      </c>
      <c r="B32" t="s">
        <v>47</v>
      </c>
      <c r="C32" t="s">
        <v>48</v>
      </c>
      <c r="D32" t="s">
        <v>62</v>
      </c>
      <c r="E32" t="s">
        <v>49</v>
      </c>
      <c r="F32" t="s">
        <v>50</v>
      </c>
      <c r="G32" t="s">
        <v>85</v>
      </c>
      <c r="H32" t="s">
        <v>86</v>
      </c>
      <c r="I32" t="s">
        <v>51</v>
      </c>
      <c r="J32" t="s">
        <v>65</v>
      </c>
      <c r="K32" t="s">
        <v>87</v>
      </c>
      <c r="L32" t="s">
        <v>57</v>
      </c>
      <c r="M32" t="s">
        <v>88</v>
      </c>
      <c r="N32" t="s">
        <v>52</v>
      </c>
      <c r="O32" t="s">
        <v>52</v>
      </c>
      <c r="P32" t="s">
        <v>52</v>
      </c>
      <c r="Q32" t="s">
        <v>89</v>
      </c>
      <c r="R32" t="s">
        <v>53</v>
      </c>
      <c r="S32" t="s">
        <v>56</v>
      </c>
      <c r="T32" s="2">
        <v>7200</v>
      </c>
      <c r="U32" s="2">
        <v>29700</v>
      </c>
      <c r="V32" s="2">
        <v>7200</v>
      </c>
      <c r="W32" s="2">
        <v>2700</v>
      </c>
      <c r="X32" s="2">
        <v>44100</v>
      </c>
      <c r="Y32" s="2">
        <v>2700</v>
      </c>
      <c r="Z32" s="2">
        <v>46800</v>
      </c>
      <c r="AA32" s="2">
        <v>8640</v>
      </c>
      <c r="AB32" s="2">
        <v>29700</v>
      </c>
      <c r="AC32" s="2">
        <v>8640</v>
      </c>
      <c r="AD32" s="2">
        <v>2700</v>
      </c>
      <c r="AE32" s="2">
        <v>46980</v>
      </c>
      <c r="AF32" s="2">
        <v>2700</v>
      </c>
      <c r="AG32" s="2">
        <v>49680</v>
      </c>
      <c r="AH32" s="2">
        <v>7776</v>
      </c>
      <c r="AI32" s="2">
        <v>28809</v>
      </c>
      <c r="AJ32" s="2">
        <v>6048</v>
      </c>
      <c r="AK32" s="2">
        <v>2430</v>
      </c>
      <c r="AL32" s="2">
        <v>42633</v>
      </c>
      <c r="AM32" s="2">
        <v>2430</v>
      </c>
      <c r="AN32" s="2">
        <v>45063</v>
      </c>
      <c r="AO32" t="s">
        <v>55</v>
      </c>
      <c r="AP32" t="s">
        <v>55</v>
      </c>
      <c r="AQ32" t="s">
        <v>55</v>
      </c>
      <c r="AR32" t="s">
        <v>55</v>
      </c>
      <c r="AS32" s="2">
        <v>27038</v>
      </c>
      <c r="AT32" s="2">
        <v>0</v>
      </c>
      <c r="AU32" s="2">
        <v>27038</v>
      </c>
    </row>
    <row r="33" spans="1:47">
      <c r="A33" t="s">
        <v>46</v>
      </c>
      <c r="B33" t="s">
        <v>47</v>
      </c>
      <c r="C33" t="s">
        <v>48</v>
      </c>
      <c r="D33" t="s">
        <v>62</v>
      </c>
      <c r="E33" t="s">
        <v>49</v>
      </c>
      <c r="F33" t="s">
        <v>50</v>
      </c>
      <c r="G33" t="s">
        <v>85</v>
      </c>
      <c r="H33" t="s">
        <v>86</v>
      </c>
      <c r="I33" t="s">
        <v>51</v>
      </c>
      <c r="J33" t="s">
        <v>65</v>
      </c>
      <c r="K33" t="s">
        <v>87</v>
      </c>
      <c r="L33" t="s">
        <v>57</v>
      </c>
      <c r="M33" t="s">
        <v>88</v>
      </c>
      <c r="N33" t="s">
        <v>52</v>
      </c>
      <c r="O33" t="s">
        <v>52</v>
      </c>
      <c r="P33" t="s">
        <v>52</v>
      </c>
      <c r="Q33" t="s">
        <v>89</v>
      </c>
      <c r="R33" t="s">
        <v>53</v>
      </c>
      <c r="S33" t="s">
        <v>56</v>
      </c>
      <c r="T33" s="2">
        <v>700</v>
      </c>
      <c r="U33" s="2">
        <v>18600</v>
      </c>
      <c r="V33" s="2">
        <v>0</v>
      </c>
      <c r="W33" s="2">
        <v>2300</v>
      </c>
      <c r="X33" s="2">
        <v>19300</v>
      </c>
      <c r="Y33" s="2">
        <v>2300</v>
      </c>
      <c r="Z33" s="2">
        <v>21600</v>
      </c>
      <c r="AA33" s="2">
        <v>840</v>
      </c>
      <c r="AB33" s="2">
        <v>18600</v>
      </c>
      <c r="AC33" s="2">
        <v>0</v>
      </c>
      <c r="AD33" s="2">
        <v>2300</v>
      </c>
      <c r="AE33" s="2">
        <v>19440</v>
      </c>
      <c r="AF33" s="2">
        <v>2300</v>
      </c>
      <c r="AG33" s="2">
        <v>21740</v>
      </c>
      <c r="AH33" s="2">
        <v>756</v>
      </c>
      <c r="AI33" s="2">
        <v>18042</v>
      </c>
      <c r="AJ33" s="2">
        <v>0</v>
      </c>
      <c r="AK33" s="2">
        <v>2070</v>
      </c>
      <c r="AL33" s="2">
        <v>18798</v>
      </c>
      <c r="AM33" s="2">
        <v>2070</v>
      </c>
      <c r="AN33" s="2">
        <v>20868</v>
      </c>
      <c r="AO33" t="s">
        <v>55</v>
      </c>
      <c r="AP33" t="s">
        <v>55</v>
      </c>
      <c r="AQ33" t="s">
        <v>55</v>
      </c>
      <c r="AR33" t="s">
        <v>55</v>
      </c>
      <c r="AS33" s="2">
        <v>12521</v>
      </c>
      <c r="AT33" s="2">
        <v>0</v>
      </c>
      <c r="AU33" s="2">
        <v>12521</v>
      </c>
    </row>
    <row r="34" spans="1:47">
      <c r="A34" t="s">
        <v>46</v>
      </c>
      <c r="B34" t="s">
        <v>47</v>
      </c>
      <c r="C34" t="s">
        <v>48</v>
      </c>
      <c r="D34" t="s">
        <v>62</v>
      </c>
      <c r="E34" t="s">
        <v>49</v>
      </c>
      <c r="F34" t="s">
        <v>50</v>
      </c>
      <c r="G34" t="s">
        <v>85</v>
      </c>
      <c r="H34" t="s">
        <v>86</v>
      </c>
      <c r="I34" t="s">
        <v>51</v>
      </c>
      <c r="J34" t="s">
        <v>65</v>
      </c>
      <c r="K34" t="s">
        <v>87</v>
      </c>
      <c r="L34" t="s">
        <v>57</v>
      </c>
      <c r="M34" t="s">
        <v>88</v>
      </c>
      <c r="N34" t="s">
        <v>52</v>
      </c>
      <c r="O34" t="s">
        <v>52</v>
      </c>
      <c r="P34" t="s">
        <v>52</v>
      </c>
      <c r="Q34" t="s">
        <v>89</v>
      </c>
      <c r="R34" t="s">
        <v>53</v>
      </c>
      <c r="S34" t="s">
        <v>59</v>
      </c>
      <c r="T34" s="2">
        <v>128670</v>
      </c>
      <c r="U34" s="2">
        <v>293970</v>
      </c>
      <c r="V34" s="2">
        <v>35760</v>
      </c>
      <c r="W34" s="2">
        <v>194600</v>
      </c>
      <c r="X34" s="2">
        <v>458400</v>
      </c>
      <c r="Y34" s="2">
        <v>194600</v>
      </c>
      <c r="Z34" s="2">
        <v>653000</v>
      </c>
      <c r="AA34" s="2">
        <v>154404</v>
      </c>
      <c r="AB34" s="2">
        <v>293970</v>
      </c>
      <c r="AC34" s="2">
        <v>42748</v>
      </c>
      <c r="AD34" s="2">
        <v>194600</v>
      </c>
      <c r="AE34" s="2">
        <v>491122</v>
      </c>
      <c r="AF34" s="2">
        <v>194600</v>
      </c>
      <c r="AG34" s="2">
        <v>685722</v>
      </c>
      <c r="AH34" s="2">
        <v>138963.6</v>
      </c>
      <c r="AI34" s="2">
        <v>285150.90000000002</v>
      </c>
      <c r="AJ34" s="2">
        <v>29923.599999999999</v>
      </c>
      <c r="AK34" s="2">
        <v>175140</v>
      </c>
      <c r="AL34" s="2">
        <v>454038.1</v>
      </c>
      <c r="AM34" s="2">
        <v>175140</v>
      </c>
      <c r="AN34" s="2">
        <v>629178.1</v>
      </c>
      <c r="AO34" t="s">
        <v>55</v>
      </c>
      <c r="AP34" t="s">
        <v>55</v>
      </c>
      <c r="AQ34" t="s">
        <v>55</v>
      </c>
      <c r="AR34" t="s">
        <v>55</v>
      </c>
      <c r="AS34" s="2">
        <v>377507</v>
      </c>
      <c r="AT34" s="2">
        <v>0</v>
      </c>
      <c r="AU34" s="2">
        <v>377507</v>
      </c>
    </row>
    <row r="35" spans="1:47">
      <c r="A35" t="s">
        <v>46</v>
      </c>
      <c r="B35" t="s">
        <v>47</v>
      </c>
      <c r="C35" t="s">
        <v>48</v>
      </c>
      <c r="D35" t="s">
        <v>62</v>
      </c>
      <c r="E35" t="s">
        <v>49</v>
      </c>
      <c r="F35" t="s">
        <v>50</v>
      </c>
      <c r="G35" t="s">
        <v>85</v>
      </c>
      <c r="H35" t="s">
        <v>86</v>
      </c>
      <c r="I35" t="s">
        <v>51</v>
      </c>
      <c r="J35" t="s">
        <v>65</v>
      </c>
      <c r="K35" t="s">
        <v>87</v>
      </c>
      <c r="L35" t="s">
        <v>57</v>
      </c>
      <c r="M35" t="s">
        <v>88</v>
      </c>
      <c r="N35" t="s">
        <v>52</v>
      </c>
      <c r="O35" t="s">
        <v>52</v>
      </c>
      <c r="P35" t="s">
        <v>52</v>
      </c>
      <c r="Q35" t="s">
        <v>89</v>
      </c>
      <c r="R35" t="s">
        <v>53</v>
      </c>
      <c r="S35" t="s">
        <v>60</v>
      </c>
      <c r="T35" s="2">
        <v>56270</v>
      </c>
      <c r="U35" s="2">
        <v>292470</v>
      </c>
      <c r="V35" s="2">
        <v>30600</v>
      </c>
      <c r="W35" s="2">
        <v>74660</v>
      </c>
      <c r="X35" s="2">
        <v>379340</v>
      </c>
      <c r="Y35" s="2">
        <v>74660</v>
      </c>
      <c r="Z35" s="2">
        <v>454000</v>
      </c>
      <c r="AA35" s="2">
        <v>67524</v>
      </c>
      <c r="AB35" s="2">
        <v>292470</v>
      </c>
      <c r="AC35" s="2">
        <v>36720</v>
      </c>
      <c r="AD35" s="2">
        <v>74660</v>
      </c>
      <c r="AE35" s="2">
        <v>396714</v>
      </c>
      <c r="AF35" s="2">
        <v>74660</v>
      </c>
      <c r="AG35" s="2">
        <v>471374</v>
      </c>
      <c r="AH35" s="2">
        <v>60771.6</v>
      </c>
      <c r="AI35" s="2">
        <v>283695.90000000002</v>
      </c>
      <c r="AJ35" s="2">
        <v>25704</v>
      </c>
      <c r="AK35" s="2">
        <v>67194</v>
      </c>
      <c r="AL35" s="2">
        <v>370171.5</v>
      </c>
      <c r="AM35" s="2">
        <v>67194</v>
      </c>
      <c r="AN35" s="2">
        <v>437365.5</v>
      </c>
      <c r="AO35" t="s">
        <v>55</v>
      </c>
      <c r="AP35" t="s">
        <v>55</v>
      </c>
      <c r="AQ35" t="s">
        <v>55</v>
      </c>
      <c r="AR35" t="s">
        <v>55</v>
      </c>
      <c r="AS35" s="2">
        <v>262419</v>
      </c>
      <c r="AT35" s="2">
        <v>0</v>
      </c>
      <c r="AU35" s="2">
        <v>262419</v>
      </c>
    </row>
    <row r="36" spans="1:47">
      <c r="A36" t="s">
        <v>46</v>
      </c>
      <c r="B36" t="s">
        <v>47</v>
      </c>
      <c r="C36" t="s">
        <v>48</v>
      </c>
      <c r="D36" t="s">
        <v>62</v>
      </c>
      <c r="E36" t="s">
        <v>49</v>
      </c>
      <c r="F36" t="s">
        <v>50</v>
      </c>
      <c r="G36" t="s">
        <v>85</v>
      </c>
      <c r="H36" t="s">
        <v>86</v>
      </c>
      <c r="I36" t="s">
        <v>51</v>
      </c>
      <c r="J36" t="s">
        <v>65</v>
      </c>
      <c r="K36" t="s">
        <v>87</v>
      </c>
      <c r="L36" t="s">
        <v>57</v>
      </c>
      <c r="M36" t="s">
        <v>88</v>
      </c>
      <c r="N36" t="s">
        <v>52</v>
      </c>
      <c r="O36" t="s">
        <v>52</v>
      </c>
      <c r="P36" t="s">
        <v>52</v>
      </c>
      <c r="Q36" t="s">
        <v>89</v>
      </c>
      <c r="R36" t="s">
        <v>53</v>
      </c>
      <c r="S36" t="s">
        <v>60</v>
      </c>
      <c r="T36" s="2">
        <v>30950</v>
      </c>
      <c r="U36" s="2">
        <v>28650</v>
      </c>
      <c r="V36" s="2">
        <v>0</v>
      </c>
      <c r="W36" s="2">
        <v>9000</v>
      </c>
      <c r="X36" s="2">
        <v>59600</v>
      </c>
      <c r="Y36" s="2">
        <v>9000</v>
      </c>
      <c r="Z36" s="2">
        <v>68600</v>
      </c>
      <c r="AA36" s="2">
        <v>37140</v>
      </c>
      <c r="AB36" s="2">
        <v>28650</v>
      </c>
      <c r="AC36" s="2">
        <v>0</v>
      </c>
      <c r="AD36" s="2">
        <v>9000</v>
      </c>
      <c r="AE36" s="2">
        <v>65790</v>
      </c>
      <c r="AF36" s="2">
        <v>9000</v>
      </c>
      <c r="AG36" s="2">
        <v>74790</v>
      </c>
      <c r="AH36" s="2">
        <v>33426</v>
      </c>
      <c r="AI36" s="2">
        <v>27790.5</v>
      </c>
      <c r="AJ36" s="2">
        <v>0</v>
      </c>
      <c r="AK36" s="2">
        <v>8100</v>
      </c>
      <c r="AL36" s="2">
        <v>61216.5</v>
      </c>
      <c r="AM36" s="2">
        <v>8100</v>
      </c>
      <c r="AN36" s="2">
        <v>69316.5</v>
      </c>
      <c r="AO36" t="s">
        <v>55</v>
      </c>
      <c r="AP36" t="s">
        <v>55</v>
      </c>
      <c r="AQ36" t="s">
        <v>55</v>
      </c>
      <c r="AR36" t="s">
        <v>55</v>
      </c>
      <c r="AS36" s="2">
        <v>41590</v>
      </c>
      <c r="AT36" s="2">
        <v>0</v>
      </c>
      <c r="AU36" s="2">
        <v>41590</v>
      </c>
    </row>
    <row r="37" spans="1:47">
      <c r="A37" t="s">
        <v>46</v>
      </c>
      <c r="B37" t="s">
        <v>47</v>
      </c>
      <c r="C37" t="s">
        <v>48</v>
      </c>
      <c r="D37" t="s">
        <v>62</v>
      </c>
      <c r="E37" t="s">
        <v>49</v>
      </c>
      <c r="F37" t="s">
        <v>50</v>
      </c>
      <c r="G37" t="s">
        <v>85</v>
      </c>
      <c r="H37" t="s">
        <v>86</v>
      </c>
      <c r="I37" t="s">
        <v>51</v>
      </c>
      <c r="J37" t="s">
        <v>65</v>
      </c>
      <c r="K37" t="s">
        <v>87</v>
      </c>
      <c r="L37" t="s">
        <v>57</v>
      </c>
      <c r="M37" t="s">
        <v>88</v>
      </c>
      <c r="N37" t="s">
        <v>52</v>
      </c>
      <c r="O37" t="s">
        <v>52</v>
      </c>
      <c r="P37" t="s">
        <v>52</v>
      </c>
      <c r="Q37" t="s">
        <v>89</v>
      </c>
      <c r="R37" t="s">
        <v>53</v>
      </c>
      <c r="S37" t="s">
        <v>60</v>
      </c>
      <c r="T37" s="2">
        <v>9000</v>
      </c>
      <c r="U37" s="2">
        <v>27000</v>
      </c>
      <c r="V37" s="2">
        <v>0</v>
      </c>
      <c r="W37" s="2">
        <v>0</v>
      </c>
      <c r="X37" s="2">
        <v>36000</v>
      </c>
      <c r="Y37" s="2">
        <v>0</v>
      </c>
      <c r="Z37" s="2">
        <v>36000</v>
      </c>
      <c r="AA37" s="2">
        <v>10800</v>
      </c>
      <c r="AB37" s="2">
        <v>27000</v>
      </c>
      <c r="AC37" s="2">
        <v>0</v>
      </c>
      <c r="AD37" s="2">
        <v>0</v>
      </c>
      <c r="AE37" s="2">
        <v>37800</v>
      </c>
      <c r="AF37" s="2">
        <v>0</v>
      </c>
      <c r="AG37" s="2">
        <v>37800</v>
      </c>
      <c r="AH37" s="2">
        <v>9720</v>
      </c>
      <c r="AI37" s="2">
        <v>26190</v>
      </c>
      <c r="AJ37" s="2">
        <v>0</v>
      </c>
      <c r="AK37" s="2">
        <v>0</v>
      </c>
      <c r="AL37" s="2">
        <v>35910</v>
      </c>
      <c r="AM37" s="2">
        <v>0</v>
      </c>
      <c r="AN37" s="2">
        <v>35910</v>
      </c>
      <c r="AO37" t="s">
        <v>55</v>
      </c>
      <c r="AP37" t="s">
        <v>55</v>
      </c>
      <c r="AQ37" t="s">
        <v>55</v>
      </c>
      <c r="AR37" t="s">
        <v>55</v>
      </c>
      <c r="AS37" s="2">
        <v>21546</v>
      </c>
      <c r="AT37" s="2">
        <v>0</v>
      </c>
      <c r="AU37" s="2">
        <v>21546</v>
      </c>
    </row>
    <row r="38" spans="1:47">
      <c r="A38" t="s">
        <v>46</v>
      </c>
      <c r="B38" t="s">
        <v>47</v>
      </c>
      <c r="C38" t="s">
        <v>48</v>
      </c>
      <c r="D38" t="s">
        <v>62</v>
      </c>
      <c r="E38" t="s">
        <v>49</v>
      </c>
      <c r="F38" t="s">
        <v>50</v>
      </c>
      <c r="G38" t="s">
        <v>90</v>
      </c>
      <c r="H38" t="s">
        <v>91</v>
      </c>
      <c r="I38" t="s">
        <v>51</v>
      </c>
      <c r="J38" t="s">
        <v>65</v>
      </c>
      <c r="K38" t="s">
        <v>92</v>
      </c>
      <c r="L38" t="s">
        <v>58</v>
      </c>
      <c r="M38" t="s">
        <v>93</v>
      </c>
      <c r="N38" t="s">
        <v>52</v>
      </c>
      <c r="O38" t="s">
        <v>52</v>
      </c>
      <c r="P38" t="s">
        <v>52</v>
      </c>
      <c r="Q38" t="s">
        <v>94</v>
      </c>
      <c r="R38" t="s">
        <v>95</v>
      </c>
      <c r="S38" t="s">
        <v>54</v>
      </c>
      <c r="T38" s="2">
        <v>65500</v>
      </c>
      <c r="U38" s="2">
        <v>66300</v>
      </c>
      <c r="V38" s="2">
        <v>9500</v>
      </c>
      <c r="W38" s="2">
        <v>5100</v>
      </c>
      <c r="X38" s="2">
        <v>141300</v>
      </c>
      <c r="Y38" s="2">
        <v>5100</v>
      </c>
      <c r="Z38" s="2">
        <v>146400</v>
      </c>
      <c r="AA38" s="2">
        <v>78600</v>
      </c>
      <c r="AB38" s="2">
        <v>66300</v>
      </c>
      <c r="AC38" s="2">
        <v>11400</v>
      </c>
      <c r="AD38" s="2">
        <v>5100</v>
      </c>
      <c r="AE38" s="2">
        <v>156300</v>
      </c>
      <c r="AF38" s="2">
        <v>5100</v>
      </c>
      <c r="AG38" s="2">
        <v>161400</v>
      </c>
      <c r="AH38" s="2">
        <v>70740</v>
      </c>
      <c r="AI38" s="2">
        <v>64311</v>
      </c>
      <c r="AJ38" s="2">
        <v>7980</v>
      </c>
      <c r="AK38" s="2">
        <v>4590</v>
      </c>
      <c r="AL38" s="2">
        <v>143031</v>
      </c>
      <c r="AM38" s="2">
        <v>4590</v>
      </c>
      <c r="AN38" s="2">
        <v>147621</v>
      </c>
      <c r="AO38" t="s">
        <v>55</v>
      </c>
      <c r="AP38" t="s">
        <v>55</v>
      </c>
      <c r="AQ38" t="s">
        <v>55</v>
      </c>
      <c r="AR38" t="s">
        <v>55</v>
      </c>
      <c r="AS38" s="2">
        <v>88573</v>
      </c>
      <c r="AT38" s="2">
        <v>0</v>
      </c>
      <c r="AU38" s="2">
        <v>88573</v>
      </c>
    </row>
    <row r="39" spans="1:47">
      <c r="A39" t="s">
        <v>46</v>
      </c>
      <c r="B39" t="s">
        <v>47</v>
      </c>
      <c r="C39" t="s">
        <v>48</v>
      </c>
      <c r="D39" t="s">
        <v>62</v>
      </c>
      <c r="E39" t="s">
        <v>49</v>
      </c>
      <c r="F39" t="s">
        <v>50</v>
      </c>
      <c r="G39" t="s">
        <v>90</v>
      </c>
      <c r="H39" t="s">
        <v>91</v>
      </c>
      <c r="I39" t="s">
        <v>51</v>
      </c>
      <c r="J39" t="s">
        <v>65</v>
      </c>
      <c r="K39" t="s">
        <v>92</v>
      </c>
      <c r="L39" t="s">
        <v>58</v>
      </c>
      <c r="M39" t="s">
        <v>93</v>
      </c>
      <c r="N39" t="s">
        <v>52</v>
      </c>
      <c r="O39" t="s">
        <v>52</v>
      </c>
      <c r="P39" t="s">
        <v>52</v>
      </c>
      <c r="Q39" t="s">
        <v>94</v>
      </c>
      <c r="R39" t="s">
        <v>95</v>
      </c>
      <c r="S39" t="s">
        <v>56</v>
      </c>
      <c r="T39" s="2">
        <v>110700</v>
      </c>
      <c r="U39" s="2">
        <v>175700</v>
      </c>
      <c r="V39" s="2">
        <v>14400</v>
      </c>
      <c r="W39" s="2">
        <v>12800</v>
      </c>
      <c r="X39" s="2">
        <v>300800</v>
      </c>
      <c r="Y39" s="2">
        <v>12800</v>
      </c>
      <c r="Z39" s="2">
        <v>313600</v>
      </c>
      <c r="AA39" s="2">
        <v>132840</v>
      </c>
      <c r="AB39" s="2">
        <v>175700</v>
      </c>
      <c r="AC39" s="2">
        <v>17280</v>
      </c>
      <c r="AD39" s="2">
        <v>12800</v>
      </c>
      <c r="AE39" s="2">
        <v>325820</v>
      </c>
      <c r="AF39" s="2">
        <v>12800</v>
      </c>
      <c r="AG39" s="2">
        <v>338620</v>
      </c>
      <c r="AH39" s="2">
        <v>119556</v>
      </c>
      <c r="AI39" s="2">
        <v>170429</v>
      </c>
      <c r="AJ39" s="2">
        <v>12096</v>
      </c>
      <c r="AK39" s="2">
        <v>11520</v>
      </c>
      <c r="AL39" s="2">
        <v>302081</v>
      </c>
      <c r="AM39" s="2">
        <v>11520</v>
      </c>
      <c r="AN39" s="2">
        <v>313601</v>
      </c>
      <c r="AO39" t="s">
        <v>55</v>
      </c>
      <c r="AP39" t="s">
        <v>55</v>
      </c>
      <c r="AQ39" t="s">
        <v>55</v>
      </c>
      <c r="AR39" t="s">
        <v>55</v>
      </c>
      <c r="AS39" s="2">
        <v>188161</v>
      </c>
      <c r="AT39" s="2">
        <v>0</v>
      </c>
      <c r="AU39" s="2">
        <v>188161</v>
      </c>
    </row>
    <row r="40" spans="1:47">
      <c r="A40" t="s">
        <v>46</v>
      </c>
      <c r="B40" t="s">
        <v>47</v>
      </c>
      <c r="C40" t="s">
        <v>48</v>
      </c>
      <c r="D40" t="s">
        <v>62</v>
      </c>
      <c r="E40" t="s">
        <v>49</v>
      </c>
      <c r="F40" t="s">
        <v>50</v>
      </c>
      <c r="G40" t="s">
        <v>90</v>
      </c>
      <c r="H40" t="s">
        <v>91</v>
      </c>
      <c r="I40" t="s">
        <v>51</v>
      </c>
      <c r="J40" t="s">
        <v>65</v>
      </c>
      <c r="K40" t="s">
        <v>92</v>
      </c>
      <c r="L40" t="s">
        <v>58</v>
      </c>
      <c r="M40" t="s">
        <v>93</v>
      </c>
      <c r="N40" t="s">
        <v>52</v>
      </c>
      <c r="O40" t="s">
        <v>52</v>
      </c>
      <c r="P40" t="s">
        <v>52</v>
      </c>
      <c r="Q40" t="s">
        <v>94</v>
      </c>
      <c r="R40" t="s">
        <v>95</v>
      </c>
      <c r="S40" t="s">
        <v>56</v>
      </c>
      <c r="T40" s="2">
        <v>50000</v>
      </c>
      <c r="U40" s="2">
        <v>113400</v>
      </c>
      <c r="V40" s="2">
        <v>14300</v>
      </c>
      <c r="W40" s="2">
        <v>2300</v>
      </c>
      <c r="X40" s="2">
        <v>177700</v>
      </c>
      <c r="Y40" s="2">
        <v>2300</v>
      </c>
      <c r="Z40" s="2">
        <v>180000</v>
      </c>
      <c r="AA40" s="2">
        <v>60000</v>
      </c>
      <c r="AB40" s="2">
        <v>113400</v>
      </c>
      <c r="AC40" s="2">
        <v>17160</v>
      </c>
      <c r="AD40" s="2">
        <v>2300</v>
      </c>
      <c r="AE40" s="2">
        <v>190560</v>
      </c>
      <c r="AF40" s="2">
        <v>2300</v>
      </c>
      <c r="AG40" s="2">
        <v>192860</v>
      </c>
      <c r="AH40" s="2">
        <v>54000</v>
      </c>
      <c r="AI40" s="2">
        <v>109998</v>
      </c>
      <c r="AJ40" s="2">
        <v>12012</v>
      </c>
      <c r="AK40" s="2">
        <v>2070</v>
      </c>
      <c r="AL40" s="2">
        <v>176010</v>
      </c>
      <c r="AM40" s="2">
        <v>2070</v>
      </c>
      <c r="AN40" s="2">
        <v>178080</v>
      </c>
      <c r="AO40" t="s">
        <v>55</v>
      </c>
      <c r="AP40" t="s">
        <v>55</v>
      </c>
      <c r="AQ40" t="s">
        <v>55</v>
      </c>
      <c r="AR40" t="s">
        <v>55</v>
      </c>
      <c r="AS40" s="2">
        <v>106848</v>
      </c>
      <c r="AT40" s="2">
        <v>0</v>
      </c>
      <c r="AU40" s="2">
        <v>106848</v>
      </c>
    </row>
    <row r="41" spans="1:47">
      <c r="A41" t="s">
        <v>46</v>
      </c>
      <c r="B41" t="s">
        <v>47</v>
      </c>
      <c r="C41" t="s">
        <v>48</v>
      </c>
      <c r="D41" t="s">
        <v>62</v>
      </c>
      <c r="E41" t="s">
        <v>49</v>
      </c>
      <c r="F41" t="s">
        <v>50</v>
      </c>
      <c r="G41" t="s">
        <v>90</v>
      </c>
      <c r="H41" t="s">
        <v>91</v>
      </c>
      <c r="I41" t="s">
        <v>51</v>
      </c>
      <c r="J41" t="s">
        <v>65</v>
      </c>
      <c r="K41" t="s">
        <v>92</v>
      </c>
      <c r="L41" t="s">
        <v>58</v>
      </c>
      <c r="M41" t="s">
        <v>93</v>
      </c>
      <c r="N41" t="s">
        <v>52</v>
      </c>
      <c r="O41" t="s">
        <v>52</v>
      </c>
      <c r="P41" t="s">
        <v>52</v>
      </c>
      <c r="Q41" t="s">
        <v>94</v>
      </c>
      <c r="R41" t="s">
        <v>95</v>
      </c>
      <c r="S41" t="s">
        <v>56</v>
      </c>
      <c r="T41" s="2">
        <v>62400</v>
      </c>
      <c r="U41" s="2">
        <v>55000</v>
      </c>
      <c r="V41" s="2">
        <v>10700</v>
      </c>
      <c r="W41" s="2">
        <v>1500</v>
      </c>
      <c r="X41" s="2">
        <v>128100</v>
      </c>
      <c r="Y41" s="2">
        <v>1500</v>
      </c>
      <c r="Z41" s="2">
        <v>129600</v>
      </c>
      <c r="AA41" s="2">
        <v>74880</v>
      </c>
      <c r="AB41" s="2">
        <v>55000</v>
      </c>
      <c r="AC41" s="2">
        <v>12840</v>
      </c>
      <c r="AD41" s="2">
        <v>1500</v>
      </c>
      <c r="AE41" s="2">
        <v>142720</v>
      </c>
      <c r="AF41" s="2">
        <v>1500</v>
      </c>
      <c r="AG41" s="2">
        <v>144220</v>
      </c>
      <c r="AH41" s="2">
        <v>67392</v>
      </c>
      <c r="AI41" s="2">
        <v>53350</v>
      </c>
      <c r="AJ41" s="2">
        <v>8988</v>
      </c>
      <c r="AK41" s="2">
        <v>1350</v>
      </c>
      <c r="AL41" s="2">
        <v>129730</v>
      </c>
      <c r="AM41" s="2">
        <v>1350</v>
      </c>
      <c r="AN41" s="2">
        <v>131080</v>
      </c>
      <c r="AO41" t="s">
        <v>55</v>
      </c>
      <c r="AP41" t="s">
        <v>55</v>
      </c>
      <c r="AQ41" t="s">
        <v>55</v>
      </c>
      <c r="AR41" t="s">
        <v>55</v>
      </c>
      <c r="AS41" s="2">
        <v>78648</v>
      </c>
      <c r="AT41" s="2">
        <v>0</v>
      </c>
      <c r="AU41" s="2">
        <v>78648</v>
      </c>
    </row>
    <row r="42" spans="1:47">
      <c r="A42" t="s">
        <v>46</v>
      </c>
      <c r="B42" t="s">
        <v>47</v>
      </c>
      <c r="C42" t="s">
        <v>48</v>
      </c>
      <c r="D42" t="s">
        <v>62</v>
      </c>
      <c r="E42" t="s">
        <v>49</v>
      </c>
      <c r="F42" t="s">
        <v>50</v>
      </c>
      <c r="G42" t="s">
        <v>90</v>
      </c>
      <c r="H42" t="s">
        <v>91</v>
      </c>
      <c r="I42" t="s">
        <v>51</v>
      </c>
      <c r="J42" t="s">
        <v>65</v>
      </c>
      <c r="K42" t="s">
        <v>92</v>
      </c>
      <c r="L42" t="s">
        <v>58</v>
      </c>
      <c r="M42" t="s">
        <v>93</v>
      </c>
      <c r="N42" t="s">
        <v>52</v>
      </c>
      <c r="O42" t="s">
        <v>52</v>
      </c>
      <c r="P42" t="s">
        <v>52</v>
      </c>
      <c r="Q42" t="s">
        <v>94</v>
      </c>
      <c r="R42" t="s">
        <v>95</v>
      </c>
      <c r="S42" t="s">
        <v>59</v>
      </c>
      <c r="T42" s="2">
        <v>1612180</v>
      </c>
      <c r="U42" s="2">
        <v>1489760</v>
      </c>
      <c r="V42" s="2">
        <v>257460</v>
      </c>
      <c r="W42" s="2">
        <v>655400</v>
      </c>
      <c r="X42" s="2">
        <v>3359400</v>
      </c>
      <c r="Y42" s="2">
        <v>655400</v>
      </c>
      <c r="Z42" s="2">
        <v>4014800</v>
      </c>
      <c r="AA42" s="2">
        <v>1934616</v>
      </c>
      <c r="AB42" s="2">
        <v>1489760</v>
      </c>
      <c r="AC42" s="2">
        <v>308592</v>
      </c>
      <c r="AD42" s="2">
        <v>655400</v>
      </c>
      <c r="AE42" s="2">
        <v>3732968</v>
      </c>
      <c r="AF42" s="2">
        <v>655400</v>
      </c>
      <c r="AG42" s="2">
        <v>4388368</v>
      </c>
      <c r="AH42" s="2">
        <v>1741154.4</v>
      </c>
      <c r="AI42" s="2">
        <v>1445067.2</v>
      </c>
      <c r="AJ42" s="2">
        <v>216014.4</v>
      </c>
      <c r="AK42" s="2">
        <v>589860</v>
      </c>
      <c r="AL42" s="2">
        <v>3402236</v>
      </c>
      <c r="AM42" s="2">
        <v>589860</v>
      </c>
      <c r="AN42" s="2">
        <v>3992096</v>
      </c>
      <c r="AO42" t="s">
        <v>55</v>
      </c>
      <c r="AP42" t="s">
        <v>55</v>
      </c>
      <c r="AQ42" t="s">
        <v>55</v>
      </c>
      <c r="AR42" t="s">
        <v>55</v>
      </c>
      <c r="AS42" s="2">
        <v>2395258</v>
      </c>
      <c r="AT42" s="2">
        <v>0</v>
      </c>
      <c r="AU42" s="2">
        <v>2395258</v>
      </c>
    </row>
    <row r="43" spans="1:47">
      <c r="A43" t="s">
        <v>46</v>
      </c>
      <c r="B43" t="s">
        <v>47</v>
      </c>
      <c r="C43" t="s">
        <v>48</v>
      </c>
      <c r="D43" t="s">
        <v>62</v>
      </c>
      <c r="E43" t="s">
        <v>49</v>
      </c>
      <c r="F43" t="s">
        <v>50</v>
      </c>
      <c r="G43" t="s">
        <v>90</v>
      </c>
      <c r="H43" t="s">
        <v>91</v>
      </c>
      <c r="I43" t="s">
        <v>51</v>
      </c>
      <c r="J43" t="s">
        <v>65</v>
      </c>
      <c r="K43" t="s">
        <v>92</v>
      </c>
      <c r="L43" t="s">
        <v>58</v>
      </c>
      <c r="M43" t="s">
        <v>93</v>
      </c>
      <c r="N43" t="s">
        <v>52</v>
      </c>
      <c r="O43" t="s">
        <v>52</v>
      </c>
      <c r="P43" t="s">
        <v>52</v>
      </c>
      <c r="Q43" t="s">
        <v>94</v>
      </c>
      <c r="R43" t="s">
        <v>95</v>
      </c>
      <c r="S43" t="s">
        <v>60</v>
      </c>
      <c r="T43" s="2">
        <v>2248890</v>
      </c>
      <c r="U43" s="2">
        <v>2712240</v>
      </c>
      <c r="V43" s="2">
        <v>319140</v>
      </c>
      <c r="W43" s="2">
        <v>376530</v>
      </c>
      <c r="X43" s="2">
        <v>5280270</v>
      </c>
      <c r="Y43" s="2">
        <v>376530</v>
      </c>
      <c r="Z43" s="2">
        <v>5656800</v>
      </c>
      <c r="AA43" s="2">
        <v>2698668</v>
      </c>
      <c r="AB43" s="2">
        <v>2712240</v>
      </c>
      <c r="AC43" s="2">
        <v>382588</v>
      </c>
      <c r="AD43" s="2">
        <v>376530</v>
      </c>
      <c r="AE43" s="2">
        <v>5793496</v>
      </c>
      <c r="AF43" s="2">
        <v>376530</v>
      </c>
      <c r="AG43" s="2">
        <v>6170026</v>
      </c>
      <c r="AH43" s="2">
        <v>2428801.2000000002</v>
      </c>
      <c r="AI43" s="2">
        <v>2630872.7999999998</v>
      </c>
      <c r="AJ43" s="2">
        <v>267811.59999999998</v>
      </c>
      <c r="AK43" s="2">
        <v>338877</v>
      </c>
      <c r="AL43" s="2">
        <v>5327485.5999999996</v>
      </c>
      <c r="AM43" s="2">
        <v>338877</v>
      </c>
      <c r="AN43" s="2">
        <v>5666362.5999999996</v>
      </c>
      <c r="AO43" t="s">
        <v>55</v>
      </c>
      <c r="AP43" t="s">
        <v>55</v>
      </c>
      <c r="AQ43" t="s">
        <v>55</v>
      </c>
      <c r="AR43" t="s">
        <v>55</v>
      </c>
      <c r="AS43" s="2">
        <v>3399818</v>
      </c>
      <c r="AT43" s="2">
        <v>0</v>
      </c>
      <c r="AU43" s="2">
        <v>3399818</v>
      </c>
    </row>
    <row r="44" spans="1:47">
      <c r="A44" t="s">
        <v>46</v>
      </c>
      <c r="B44" t="s">
        <v>47</v>
      </c>
      <c r="C44" t="s">
        <v>48</v>
      </c>
      <c r="D44" t="s">
        <v>62</v>
      </c>
      <c r="E44" t="s">
        <v>49</v>
      </c>
      <c r="F44" t="s">
        <v>50</v>
      </c>
      <c r="G44" t="s">
        <v>90</v>
      </c>
      <c r="H44" t="s">
        <v>91</v>
      </c>
      <c r="I44" t="s">
        <v>51</v>
      </c>
      <c r="J44" t="s">
        <v>65</v>
      </c>
      <c r="K44" t="s">
        <v>92</v>
      </c>
      <c r="L44" t="s">
        <v>58</v>
      </c>
      <c r="M44" t="s">
        <v>93</v>
      </c>
      <c r="N44" t="s">
        <v>52</v>
      </c>
      <c r="O44" t="s">
        <v>52</v>
      </c>
      <c r="P44" t="s">
        <v>52</v>
      </c>
      <c r="Q44" t="s">
        <v>94</v>
      </c>
      <c r="R44" t="s">
        <v>95</v>
      </c>
      <c r="S44" t="s">
        <v>60</v>
      </c>
      <c r="T44" s="2">
        <v>288650</v>
      </c>
      <c r="U44" s="2">
        <v>625190</v>
      </c>
      <c r="V44" s="2">
        <v>77100</v>
      </c>
      <c r="W44" s="2">
        <v>63260</v>
      </c>
      <c r="X44" s="2">
        <v>990940</v>
      </c>
      <c r="Y44" s="2">
        <v>63260</v>
      </c>
      <c r="Z44" s="2">
        <v>1054200</v>
      </c>
      <c r="AA44" s="2">
        <v>346380</v>
      </c>
      <c r="AB44" s="2">
        <v>625190</v>
      </c>
      <c r="AC44" s="2">
        <v>92520</v>
      </c>
      <c r="AD44" s="2">
        <v>63260</v>
      </c>
      <c r="AE44" s="2">
        <v>1064090</v>
      </c>
      <c r="AF44" s="2">
        <v>63260</v>
      </c>
      <c r="AG44" s="2">
        <v>1127350</v>
      </c>
      <c r="AH44" s="2">
        <v>311742</v>
      </c>
      <c r="AI44" s="2">
        <v>606434.30000000005</v>
      </c>
      <c r="AJ44" s="2">
        <v>64764</v>
      </c>
      <c r="AK44" s="2">
        <v>56934</v>
      </c>
      <c r="AL44" s="2">
        <v>982940.3</v>
      </c>
      <c r="AM44" s="2">
        <v>56934</v>
      </c>
      <c r="AN44" s="2">
        <v>1039874.3</v>
      </c>
      <c r="AO44" t="s">
        <v>55</v>
      </c>
      <c r="AP44" t="s">
        <v>55</v>
      </c>
      <c r="AQ44" t="s">
        <v>55</v>
      </c>
      <c r="AR44" t="s">
        <v>55</v>
      </c>
      <c r="AS44" s="2">
        <v>623924</v>
      </c>
      <c r="AT44" s="2">
        <v>0</v>
      </c>
      <c r="AU44" s="2">
        <v>623924</v>
      </c>
    </row>
    <row r="45" spans="1:47">
      <c r="A45" t="s">
        <v>46</v>
      </c>
      <c r="B45" t="s">
        <v>47</v>
      </c>
      <c r="C45" t="s">
        <v>48</v>
      </c>
      <c r="D45" t="s">
        <v>62</v>
      </c>
      <c r="E45" t="s">
        <v>49</v>
      </c>
      <c r="F45" t="s">
        <v>50</v>
      </c>
      <c r="G45" t="s">
        <v>90</v>
      </c>
      <c r="H45" t="s">
        <v>91</v>
      </c>
      <c r="I45" t="s">
        <v>51</v>
      </c>
      <c r="J45" t="s">
        <v>65</v>
      </c>
      <c r="K45" t="s">
        <v>92</v>
      </c>
      <c r="L45" t="s">
        <v>58</v>
      </c>
      <c r="M45" t="s">
        <v>93</v>
      </c>
      <c r="N45" t="s">
        <v>52</v>
      </c>
      <c r="O45" t="s">
        <v>52</v>
      </c>
      <c r="P45" t="s">
        <v>52</v>
      </c>
      <c r="Q45" t="s">
        <v>94</v>
      </c>
      <c r="R45" t="s">
        <v>95</v>
      </c>
      <c r="S45" t="s">
        <v>60</v>
      </c>
      <c r="T45" s="2">
        <v>106600</v>
      </c>
      <c r="U45" s="2">
        <v>155200</v>
      </c>
      <c r="V45" s="2">
        <v>16000</v>
      </c>
      <c r="W45" s="2">
        <v>9600</v>
      </c>
      <c r="X45" s="2">
        <v>277800</v>
      </c>
      <c r="Y45" s="2">
        <v>9600</v>
      </c>
      <c r="Z45" s="2">
        <v>287400</v>
      </c>
      <c r="AA45" s="2">
        <v>127920</v>
      </c>
      <c r="AB45" s="2">
        <v>155200</v>
      </c>
      <c r="AC45" s="2">
        <v>18670</v>
      </c>
      <c r="AD45" s="2">
        <v>9600</v>
      </c>
      <c r="AE45" s="2">
        <v>301790</v>
      </c>
      <c r="AF45" s="2">
        <v>9600</v>
      </c>
      <c r="AG45" s="2">
        <v>311390</v>
      </c>
      <c r="AH45" s="2">
        <v>115128</v>
      </c>
      <c r="AI45" s="2">
        <v>150544</v>
      </c>
      <c r="AJ45" s="2">
        <v>13069</v>
      </c>
      <c r="AK45" s="2">
        <v>8640</v>
      </c>
      <c r="AL45" s="2">
        <v>278741</v>
      </c>
      <c r="AM45" s="2">
        <v>8640</v>
      </c>
      <c r="AN45" s="2">
        <v>287381</v>
      </c>
      <c r="AO45" t="s">
        <v>55</v>
      </c>
      <c r="AP45" t="s">
        <v>55</v>
      </c>
      <c r="AQ45" t="s">
        <v>55</v>
      </c>
      <c r="AR45" t="s">
        <v>55</v>
      </c>
      <c r="AS45" s="2">
        <v>172428</v>
      </c>
      <c r="AT45" s="2">
        <v>0</v>
      </c>
      <c r="AU45" s="2">
        <v>172428</v>
      </c>
    </row>
    <row r="46" spans="1:47">
      <c r="A46" t="s">
        <v>46</v>
      </c>
      <c r="B46" t="s">
        <v>47</v>
      </c>
      <c r="C46" t="s">
        <v>48</v>
      </c>
      <c r="D46" t="s">
        <v>62</v>
      </c>
      <c r="E46" t="s">
        <v>49</v>
      </c>
      <c r="F46" t="s">
        <v>50</v>
      </c>
      <c r="G46" t="s">
        <v>96</v>
      </c>
      <c r="H46" t="s">
        <v>97</v>
      </c>
      <c r="I46" t="s">
        <v>51</v>
      </c>
      <c r="J46" t="s">
        <v>65</v>
      </c>
      <c r="K46" t="s">
        <v>98</v>
      </c>
      <c r="L46" t="s">
        <v>99</v>
      </c>
      <c r="M46" t="s">
        <v>100</v>
      </c>
      <c r="N46" t="s">
        <v>52</v>
      </c>
      <c r="O46" t="s">
        <v>52</v>
      </c>
      <c r="P46" t="s">
        <v>52</v>
      </c>
      <c r="Q46" t="s">
        <v>101</v>
      </c>
      <c r="R46" t="s">
        <v>53</v>
      </c>
      <c r="S46" t="s">
        <v>54</v>
      </c>
      <c r="T46" s="2">
        <v>4000</v>
      </c>
      <c r="U46" s="2">
        <v>17840</v>
      </c>
      <c r="V46" s="2">
        <v>400</v>
      </c>
      <c r="W46" s="2">
        <v>24160</v>
      </c>
      <c r="X46" s="2">
        <v>22240</v>
      </c>
      <c r="Y46" s="2">
        <v>24160</v>
      </c>
      <c r="Z46" s="2">
        <v>46400</v>
      </c>
      <c r="AA46" s="2">
        <v>4800</v>
      </c>
      <c r="AB46" s="2">
        <v>17840</v>
      </c>
      <c r="AC46" s="2">
        <v>440</v>
      </c>
      <c r="AD46" s="2">
        <v>24160</v>
      </c>
      <c r="AE46" s="2">
        <v>23080</v>
      </c>
      <c r="AF46" s="2">
        <v>24160</v>
      </c>
      <c r="AG46" s="2">
        <v>47240</v>
      </c>
      <c r="AH46" s="2">
        <v>4320</v>
      </c>
      <c r="AI46" s="2">
        <v>17304.8</v>
      </c>
      <c r="AJ46" s="2">
        <v>308</v>
      </c>
      <c r="AK46" s="2">
        <v>21744</v>
      </c>
      <c r="AL46" s="2">
        <v>21932.799999999999</v>
      </c>
      <c r="AM46" s="2">
        <v>21744</v>
      </c>
      <c r="AN46" s="2">
        <v>43676.800000000003</v>
      </c>
      <c r="AO46" t="s">
        <v>55</v>
      </c>
      <c r="AP46" t="s">
        <v>55</v>
      </c>
      <c r="AQ46" t="s">
        <v>55</v>
      </c>
      <c r="AR46" t="s">
        <v>55</v>
      </c>
      <c r="AS46" s="2">
        <v>26206</v>
      </c>
      <c r="AT46" s="2">
        <v>0</v>
      </c>
      <c r="AU46" s="2">
        <v>26206</v>
      </c>
    </row>
    <row r="47" spans="1:47">
      <c r="A47" t="s">
        <v>46</v>
      </c>
      <c r="B47" t="s">
        <v>47</v>
      </c>
      <c r="C47" t="s">
        <v>48</v>
      </c>
      <c r="D47" t="s">
        <v>62</v>
      </c>
      <c r="E47" t="s">
        <v>49</v>
      </c>
      <c r="F47" t="s">
        <v>50</v>
      </c>
      <c r="G47" t="s">
        <v>96</v>
      </c>
      <c r="H47" t="s">
        <v>97</v>
      </c>
      <c r="I47" t="s">
        <v>51</v>
      </c>
      <c r="J47" t="s">
        <v>65</v>
      </c>
      <c r="K47" t="s">
        <v>98</v>
      </c>
      <c r="L47" t="s">
        <v>99</v>
      </c>
      <c r="M47" t="s">
        <v>100</v>
      </c>
      <c r="N47" t="s">
        <v>52</v>
      </c>
      <c r="O47" t="s">
        <v>52</v>
      </c>
      <c r="P47" t="s">
        <v>52</v>
      </c>
      <c r="Q47" t="s">
        <v>101</v>
      </c>
      <c r="R47" t="s">
        <v>53</v>
      </c>
      <c r="S47" t="s">
        <v>56</v>
      </c>
      <c r="T47" s="2">
        <v>4800</v>
      </c>
      <c r="U47" s="2">
        <v>32200</v>
      </c>
      <c r="V47" s="2">
        <v>3600</v>
      </c>
      <c r="W47" s="2">
        <v>17000</v>
      </c>
      <c r="X47" s="2">
        <v>40600</v>
      </c>
      <c r="Y47" s="2">
        <v>17000</v>
      </c>
      <c r="Z47" s="2">
        <v>57600</v>
      </c>
      <c r="AA47" s="2">
        <v>5760</v>
      </c>
      <c r="AB47" s="2">
        <v>32200</v>
      </c>
      <c r="AC47" s="2">
        <v>4320</v>
      </c>
      <c r="AD47" s="2">
        <v>17000</v>
      </c>
      <c r="AE47" s="2">
        <v>42280</v>
      </c>
      <c r="AF47" s="2">
        <v>17000</v>
      </c>
      <c r="AG47" s="2">
        <v>59280</v>
      </c>
      <c r="AH47" s="2">
        <v>5184</v>
      </c>
      <c r="AI47" s="2">
        <v>31234</v>
      </c>
      <c r="AJ47" s="2">
        <v>3024</v>
      </c>
      <c r="AK47" s="2">
        <v>15300</v>
      </c>
      <c r="AL47" s="2">
        <v>39442</v>
      </c>
      <c r="AM47" s="2">
        <v>15300</v>
      </c>
      <c r="AN47" s="2">
        <v>54742</v>
      </c>
      <c r="AO47" t="s">
        <v>55</v>
      </c>
      <c r="AP47" t="s">
        <v>55</v>
      </c>
      <c r="AQ47" t="s">
        <v>55</v>
      </c>
      <c r="AR47" t="s">
        <v>55</v>
      </c>
      <c r="AS47" s="2">
        <v>32844</v>
      </c>
      <c r="AT47" s="2">
        <v>0</v>
      </c>
      <c r="AU47" s="2">
        <v>32844</v>
      </c>
    </row>
    <row r="48" spans="1:47">
      <c r="A48" t="s">
        <v>46</v>
      </c>
      <c r="B48" t="s">
        <v>47</v>
      </c>
      <c r="C48" t="s">
        <v>48</v>
      </c>
      <c r="D48" t="s">
        <v>62</v>
      </c>
      <c r="E48" t="s">
        <v>49</v>
      </c>
      <c r="F48" t="s">
        <v>50</v>
      </c>
      <c r="G48" t="s">
        <v>96</v>
      </c>
      <c r="H48" t="s">
        <v>97</v>
      </c>
      <c r="I48" t="s">
        <v>51</v>
      </c>
      <c r="J48" t="s">
        <v>65</v>
      </c>
      <c r="K48" t="s">
        <v>98</v>
      </c>
      <c r="L48" t="s">
        <v>99</v>
      </c>
      <c r="M48" t="s">
        <v>100</v>
      </c>
      <c r="N48" t="s">
        <v>52</v>
      </c>
      <c r="O48" t="s">
        <v>52</v>
      </c>
      <c r="P48" t="s">
        <v>52</v>
      </c>
      <c r="Q48" t="s">
        <v>101</v>
      </c>
      <c r="R48" t="s">
        <v>53</v>
      </c>
      <c r="S48" t="s">
        <v>56</v>
      </c>
      <c r="T48" s="2">
        <v>10000</v>
      </c>
      <c r="U48" s="2">
        <v>31300</v>
      </c>
      <c r="V48" s="2">
        <v>0</v>
      </c>
      <c r="W48" s="2">
        <v>23500</v>
      </c>
      <c r="X48" s="2">
        <v>41300</v>
      </c>
      <c r="Y48" s="2">
        <v>23500</v>
      </c>
      <c r="Z48" s="2">
        <v>64800</v>
      </c>
      <c r="AA48" s="2">
        <v>12000</v>
      </c>
      <c r="AB48" s="2">
        <v>31300</v>
      </c>
      <c r="AC48" s="2">
        <v>0</v>
      </c>
      <c r="AD48" s="2">
        <v>23500</v>
      </c>
      <c r="AE48" s="2">
        <v>43300</v>
      </c>
      <c r="AF48" s="2">
        <v>23500</v>
      </c>
      <c r="AG48" s="2">
        <v>66800</v>
      </c>
      <c r="AH48" s="2">
        <v>10800</v>
      </c>
      <c r="AI48" s="2">
        <v>30361</v>
      </c>
      <c r="AJ48" s="2">
        <v>0</v>
      </c>
      <c r="AK48" s="2">
        <v>21150</v>
      </c>
      <c r="AL48" s="2">
        <v>41161</v>
      </c>
      <c r="AM48" s="2">
        <v>21150</v>
      </c>
      <c r="AN48" s="2">
        <v>62311</v>
      </c>
      <c r="AO48" t="s">
        <v>55</v>
      </c>
      <c r="AP48" t="s">
        <v>55</v>
      </c>
      <c r="AQ48" t="s">
        <v>55</v>
      </c>
      <c r="AR48" t="s">
        <v>55</v>
      </c>
      <c r="AS48" s="2">
        <v>37387</v>
      </c>
      <c r="AT48" s="2">
        <v>0</v>
      </c>
      <c r="AU48" s="2">
        <v>37387</v>
      </c>
    </row>
    <row r="49" spans="1:47">
      <c r="A49" t="s">
        <v>46</v>
      </c>
      <c r="B49" t="s">
        <v>47</v>
      </c>
      <c r="C49" t="s">
        <v>48</v>
      </c>
      <c r="D49" t="s">
        <v>62</v>
      </c>
      <c r="E49" t="s">
        <v>49</v>
      </c>
      <c r="F49" t="s">
        <v>50</v>
      </c>
      <c r="G49" t="s">
        <v>96</v>
      </c>
      <c r="H49" t="s">
        <v>97</v>
      </c>
      <c r="I49" t="s">
        <v>51</v>
      </c>
      <c r="J49" t="s">
        <v>65</v>
      </c>
      <c r="K49" t="s">
        <v>98</v>
      </c>
      <c r="L49" t="s">
        <v>99</v>
      </c>
      <c r="M49" t="s">
        <v>100</v>
      </c>
      <c r="N49" t="s">
        <v>52</v>
      </c>
      <c r="O49" t="s">
        <v>52</v>
      </c>
      <c r="P49" t="s">
        <v>52</v>
      </c>
      <c r="Q49" t="s">
        <v>101</v>
      </c>
      <c r="R49" t="s">
        <v>53</v>
      </c>
      <c r="S49" t="s">
        <v>59</v>
      </c>
      <c r="T49" s="2">
        <v>175690</v>
      </c>
      <c r="U49" s="2">
        <v>164160</v>
      </c>
      <c r="V49" s="2">
        <v>32540</v>
      </c>
      <c r="W49" s="2">
        <v>366610</v>
      </c>
      <c r="X49" s="2">
        <v>372390</v>
      </c>
      <c r="Y49" s="2">
        <v>366610</v>
      </c>
      <c r="Z49" s="2">
        <v>739000</v>
      </c>
      <c r="AA49" s="2">
        <v>210828</v>
      </c>
      <c r="AB49" s="2">
        <v>164160</v>
      </c>
      <c r="AC49" s="2">
        <v>38368</v>
      </c>
      <c r="AD49" s="2">
        <v>366610</v>
      </c>
      <c r="AE49" s="2">
        <v>413356</v>
      </c>
      <c r="AF49" s="2">
        <v>366610</v>
      </c>
      <c r="AG49" s="2">
        <v>779966</v>
      </c>
      <c r="AH49" s="2">
        <v>189745.2</v>
      </c>
      <c r="AI49" s="2">
        <v>159235.20000000001</v>
      </c>
      <c r="AJ49" s="2">
        <v>26857.599999999999</v>
      </c>
      <c r="AK49" s="2">
        <v>329949</v>
      </c>
      <c r="AL49" s="2">
        <v>375838</v>
      </c>
      <c r="AM49" s="2">
        <v>329949</v>
      </c>
      <c r="AN49" s="2">
        <v>705787</v>
      </c>
      <c r="AO49" t="s">
        <v>55</v>
      </c>
      <c r="AP49" t="s">
        <v>55</v>
      </c>
      <c r="AQ49" t="s">
        <v>55</v>
      </c>
      <c r="AR49" t="s">
        <v>55</v>
      </c>
      <c r="AS49" s="2">
        <v>423472</v>
      </c>
      <c r="AT49" s="2">
        <v>0</v>
      </c>
      <c r="AU49" s="2">
        <v>423472</v>
      </c>
    </row>
    <row r="50" spans="1:47">
      <c r="A50" t="s">
        <v>46</v>
      </c>
      <c r="B50" t="s">
        <v>47</v>
      </c>
      <c r="C50" t="s">
        <v>48</v>
      </c>
      <c r="D50" t="s">
        <v>62</v>
      </c>
      <c r="E50" t="s">
        <v>49</v>
      </c>
      <c r="F50" t="s">
        <v>50</v>
      </c>
      <c r="G50" t="s">
        <v>96</v>
      </c>
      <c r="H50" t="s">
        <v>97</v>
      </c>
      <c r="I50" t="s">
        <v>51</v>
      </c>
      <c r="J50" t="s">
        <v>65</v>
      </c>
      <c r="K50" t="s">
        <v>98</v>
      </c>
      <c r="L50" t="s">
        <v>99</v>
      </c>
      <c r="M50" t="s">
        <v>100</v>
      </c>
      <c r="N50" t="s">
        <v>52</v>
      </c>
      <c r="O50" t="s">
        <v>52</v>
      </c>
      <c r="P50" t="s">
        <v>52</v>
      </c>
      <c r="Q50" t="s">
        <v>101</v>
      </c>
      <c r="R50" t="s">
        <v>53</v>
      </c>
      <c r="S50" t="s">
        <v>60</v>
      </c>
      <c r="T50" s="2">
        <v>154620</v>
      </c>
      <c r="U50" s="2">
        <v>242140</v>
      </c>
      <c r="V50" s="2">
        <v>28870</v>
      </c>
      <c r="W50" s="2">
        <v>148970</v>
      </c>
      <c r="X50" s="2">
        <v>425630</v>
      </c>
      <c r="Y50" s="2">
        <v>148970</v>
      </c>
      <c r="Z50" s="2">
        <v>574600</v>
      </c>
      <c r="AA50" s="2">
        <v>185544</v>
      </c>
      <c r="AB50" s="2">
        <v>242140</v>
      </c>
      <c r="AC50" s="2">
        <v>33924</v>
      </c>
      <c r="AD50" s="2">
        <v>148970</v>
      </c>
      <c r="AE50" s="2">
        <v>461608</v>
      </c>
      <c r="AF50" s="2">
        <v>148970</v>
      </c>
      <c r="AG50" s="2">
        <v>610578</v>
      </c>
      <c r="AH50" s="2">
        <v>166989.6</v>
      </c>
      <c r="AI50" s="2">
        <v>234875.8</v>
      </c>
      <c r="AJ50" s="2">
        <v>23746.799999999999</v>
      </c>
      <c r="AK50" s="2">
        <v>134073</v>
      </c>
      <c r="AL50" s="2">
        <v>425612.2</v>
      </c>
      <c r="AM50" s="2">
        <v>134073</v>
      </c>
      <c r="AN50" s="2">
        <v>559685.19999999995</v>
      </c>
      <c r="AO50" t="s">
        <v>55</v>
      </c>
      <c r="AP50" t="s">
        <v>55</v>
      </c>
      <c r="AQ50" t="s">
        <v>55</v>
      </c>
      <c r="AR50" t="s">
        <v>55</v>
      </c>
      <c r="AS50" s="2">
        <v>335811</v>
      </c>
      <c r="AT50" s="2">
        <v>0</v>
      </c>
      <c r="AU50" s="2">
        <v>335811</v>
      </c>
    </row>
    <row r="51" spans="1:47">
      <c r="A51" t="s">
        <v>46</v>
      </c>
      <c r="B51" t="s">
        <v>47</v>
      </c>
      <c r="C51" t="s">
        <v>48</v>
      </c>
      <c r="D51" t="s">
        <v>62</v>
      </c>
      <c r="E51" t="s">
        <v>49</v>
      </c>
      <c r="F51" t="s">
        <v>50</v>
      </c>
      <c r="G51" t="s">
        <v>96</v>
      </c>
      <c r="H51" t="s">
        <v>97</v>
      </c>
      <c r="I51" t="s">
        <v>51</v>
      </c>
      <c r="J51" t="s">
        <v>65</v>
      </c>
      <c r="K51" t="s">
        <v>98</v>
      </c>
      <c r="L51" t="s">
        <v>99</v>
      </c>
      <c r="M51" t="s">
        <v>100</v>
      </c>
      <c r="N51" t="s">
        <v>52</v>
      </c>
      <c r="O51" t="s">
        <v>52</v>
      </c>
      <c r="P51" t="s">
        <v>52</v>
      </c>
      <c r="Q51" t="s">
        <v>101</v>
      </c>
      <c r="R51" t="s">
        <v>53</v>
      </c>
      <c r="S51" t="s">
        <v>60</v>
      </c>
      <c r="T51" s="2">
        <v>39100</v>
      </c>
      <c r="U51" s="2">
        <v>39400</v>
      </c>
      <c r="V51" s="2">
        <v>7200</v>
      </c>
      <c r="W51" s="2">
        <v>15100</v>
      </c>
      <c r="X51" s="2">
        <v>85700</v>
      </c>
      <c r="Y51" s="2">
        <v>15100</v>
      </c>
      <c r="Z51" s="2">
        <v>100800</v>
      </c>
      <c r="AA51" s="2">
        <v>46920</v>
      </c>
      <c r="AB51" s="2">
        <v>39400</v>
      </c>
      <c r="AC51" s="2">
        <v>8640</v>
      </c>
      <c r="AD51" s="2">
        <v>15100</v>
      </c>
      <c r="AE51" s="2">
        <v>94960</v>
      </c>
      <c r="AF51" s="2">
        <v>15100</v>
      </c>
      <c r="AG51" s="2">
        <v>110060</v>
      </c>
      <c r="AH51" s="2">
        <v>42228</v>
      </c>
      <c r="AI51" s="2">
        <v>38218</v>
      </c>
      <c r="AJ51" s="2">
        <v>6048</v>
      </c>
      <c r="AK51" s="2">
        <v>13590</v>
      </c>
      <c r="AL51" s="2">
        <v>86494</v>
      </c>
      <c r="AM51" s="2">
        <v>13590</v>
      </c>
      <c r="AN51" s="2">
        <v>100084</v>
      </c>
      <c r="AO51" t="s">
        <v>55</v>
      </c>
      <c r="AP51" t="s">
        <v>55</v>
      </c>
      <c r="AQ51" t="s">
        <v>55</v>
      </c>
      <c r="AR51" t="s">
        <v>55</v>
      </c>
      <c r="AS51" s="2">
        <v>60051</v>
      </c>
      <c r="AT51" s="2">
        <v>0</v>
      </c>
      <c r="AU51" s="2">
        <v>60051</v>
      </c>
    </row>
    <row r="52" spans="1:47">
      <c r="A52" t="s">
        <v>46</v>
      </c>
      <c r="B52" t="s">
        <v>47</v>
      </c>
      <c r="C52" t="s">
        <v>48</v>
      </c>
      <c r="D52" t="s">
        <v>62</v>
      </c>
      <c r="E52" t="s">
        <v>49</v>
      </c>
      <c r="F52" t="s">
        <v>50</v>
      </c>
      <c r="G52" t="s">
        <v>96</v>
      </c>
      <c r="H52" t="s">
        <v>97</v>
      </c>
      <c r="I52" t="s">
        <v>51</v>
      </c>
      <c r="J52" t="s">
        <v>65</v>
      </c>
      <c r="K52" t="s">
        <v>98</v>
      </c>
      <c r="L52" t="s">
        <v>99</v>
      </c>
      <c r="M52" t="s">
        <v>100</v>
      </c>
      <c r="N52" t="s">
        <v>52</v>
      </c>
      <c r="O52" t="s">
        <v>52</v>
      </c>
      <c r="P52" t="s">
        <v>52</v>
      </c>
      <c r="Q52" t="s">
        <v>101</v>
      </c>
      <c r="R52" t="s">
        <v>53</v>
      </c>
      <c r="S52" t="s">
        <v>60</v>
      </c>
      <c r="T52" s="2">
        <v>5400</v>
      </c>
      <c r="U52" s="2">
        <v>3700</v>
      </c>
      <c r="V52" s="2">
        <v>1700</v>
      </c>
      <c r="W52" s="2">
        <v>10800</v>
      </c>
      <c r="X52" s="2">
        <v>10800</v>
      </c>
      <c r="Y52" s="2">
        <v>10800</v>
      </c>
      <c r="Z52" s="2">
        <v>21600</v>
      </c>
      <c r="AA52" s="2">
        <v>6480</v>
      </c>
      <c r="AB52" s="2">
        <v>3700</v>
      </c>
      <c r="AC52" s="2">
        <v>1870</v>
      </c>
      <c r="AD52" s="2">
        <v>10800</v>
      </c>
      <c r="AE52" s="2">
        <v>12050</v>
      </c>
      <c r="AF52" s="2">
        <v>10800</v>
      </c>
      <c r="AG52" s="2">
        <v>22850</v>
      </c>
      <c r="AH52" s="2">
        <v>5832</v>
      </c>
      <c r="AI52" s="2">
        <v>3589</v>
      </c>
      <c r="AJ52" s="2">
        <v>1309</v>
      </c>
      <c r="AK52" s="2">
        <v>9720</v>
      </c>
      <c r="AL52" s="2">
        <v>10730</v>
      </c>
      <c r="AM52" s="2">
        <v>9720</v>
      </c>
      <c r="AN52" s="2">
        <v>20450</v>
      </c>
      <c r="AO52" t="s">
        <v>55</v>
      </c>
      <c r="AP52" t="s">
        <v>55</v>
      </c>
      <c r="AQ52" t="s">
        <v>55</v>
      </c>
      <c r="AR52" t="s">
        <v>55</v>
      </c>
      <c r="AS52" s="2">
        <v>12269</v>
      </c>
      <c r="AT52" s="2">
        <v>0</v>
      </c>
      <c r="AU52" s="2">
        <v>12269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U62"/>
  <sheetViews>
    <sheetView topLeftCell="A46" workbookViewId="0">
      <selection activeCell="C63" sqref="C63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3" bestFit="1" customWidth="1"/>
    <col min="4" max="4" width="12.796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6.0976562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3.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9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9.19921875" bestFit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>
      <c r="A2" s="4" t="s">
        <v>46</v>
      </c>
      <c r="B2" s="4" t="s">
        <v>47</v>
      </c>
      <c r="C2" s="4" t="s">
        <v>48</v>
      </c>
      <c r="D2" s="4" t="s">
        <v>62</v>
      </c>
      <c r="E2" s="4" t="s">
        <v>49</v>
      </c>
      <c r="F2" s="4" t="s">
        <v>50</v>
      </c>
      <c r="G2" s="4" t="s">
        <v>63</v>
      </c>
      <c r="H2" s="4" t="s">
        <v>64</v>
      </c>
      <c r="I2" s="4" t="s">
        <v>51</v>
      </c>
      <c r="J2" s="4" t="s">
        <v>65</v>
      </c>
      <c r="K2" s="4" t="s">
        <v>66</v>
      </c>
      <c r="L2" s="4" t="s">
        <v>67</v>
      </c>
      <c r="M2" s="4" t="s">
        <v>68</v>
      </c>
      <c r="N2" s="4" t="s">
        <v>52</v>
      </c>
      <c r="O2" s="4" t="s">
        <v>52</v>
      </c>
      <c r="P2" s="4" t="s">
        <v>52</v>
      </c>
      <c r="Q2" s="4" t="s">
        <v>69</v>
      </c>
      <c r="R2" s="4" t="s">
        <v>53</v>
      </c>
      <c r="S2" s="4" t="s">
        <v>54</v>
      </c>
      <c r="T2" s="2">
        <v>11260</v>
      </c>
      <c r="U2" s="2">
        <v>28940</v>
      </c>
      <c r="V2" s="2">
        <v>1200</v>
      </c>
      <c r="W2" s="2">
        <v>8600</v>
      </c>
      <c r="X2" s="2">
        <v>41400</v>
      </c>
      <c r="Y2" s="2">
        <v>8600</v>
      </c>
      <c r="Z2" s="2">
        <v>50000</v>
      </c>
      <c r="AA2" s="2">
        <v>13512</v>
      </c>
      <c r="AB2" s="2">
        <v>28940</v>
      </c>
      <c r="AC2" s="2">
        <v>1440</v>
      </c>
      <c r="AD2" s="2">
        <v>8600</v>
      </c>
      <c r="AE2" s="2">
        <v>43892</v>
      </c>
      <c r="AF2" s="2">
        <v>8600</v>
      </c>
      <c r="AG2" s="2">
        <v>52492</v>
      </c>
      <c r="AH2" s="2">
        <v>12160.8</v>
      </c>
      <c r="AI2" s="2">
        <v>28071.8</v>
      </c>
      <c r="AJ2" s="2">
        <v>1008</v>
      </c>
      <c r="AK2" s="2">
        <v>7740</v>
      </c>
      <c r="AL2" s="2">
        <v>41240.6</v>
      </c>
      <c r="AM2" s="2">
        <v>7740</v>
      </c>
      <c r="AN2" s="2">
        <v>50000</v>
      </c>
      <c r="AO2" s="4" t="s">
        <v>55</v>
      </c>
      <c r="AP2" s="4" t="s">
        <v>55</v>
      </c>
      <c r="AQ2" s="4" t="s">
        <v>55</v>
      </c>
      <c r="AR2" s="4" t="s">
        <v>55</v>
      </c>
      <c r="AS2" s="2">
        <v>29388</v>
      </c>
      <c r="AT2" s="2">
        <v>0</v>
      </c>
      <c r="AU2" s="2">
        <v>29388</v>
      </c>
    </row>
    <row r="3" spans="1:47">
      <c r="A3" s="4" t="s">
        <v>46</v>
      </c>
      <c r="B3" s="4" t="s">
        <v>47</v>
      </c>
      <c r="C3" s="4" t="s">
        <v>48</v>
      </c>
      <c r="D3" s="4" t="s">
        <v>62</v>
      </c>
      <c r="E3" s="4" t="s">
        <v>49</v>
      </c>
      <c r="F3" s="4" t="s">
        <v>50</v>
      </c>
      <c r="G3" s="4" t="s">
        <v>63</v>
      </c>
      <c r="H3" s="4" t="s">
        <v>64</v>
      </c>
      <c r="I3" s="4" t="s">
        <v>51</v>
      </c>
      <c r="J3" s="4" t="s">
        <v>65</v>
      </c>
      <c r="K3" s="4" t="s">
        <v>66</v>
      </c>
      <c r="L3" s="4" t="s">
        <v>67</v>
      </c>
      <c r="M3" s="4" t="s">
        <v>68</v>
      </c>
      <c r="N3" s="4" t="s">
        <v>52</v>
      </c>
      <c r="O3" s="4" t="s">
        <v>52</v>
      </c>
      <c r="P3" s="4" t="s">
        <v>52</v>
      </c>
      <c r="Q3" s="4" t="s">
        <v>69</v>
      </c>
      <c r="R3" s="4" t="s">
        <v>53</v>
      </c>
      <c r="S3" s="4" t="s">
        <v>56</v>
      </c>
      <c r="T3" s="2">
        <v>25000</v>
      </c>
      <c r="U3" s="2">
        <v>55700</v>
      </c>
      <c r="V3" s="2">
        <v>3600</v>
      </c>
      <c r="W3" s="2">
        <v>12900</v>
      </c>
      <c r="X3" s="2">
        <v>84300</v>
      </c>
      <c r="Y3" s="2">
        <v>12900</v>
      </c>
      <c r="Z3" s="2">
        <v>97200</v>
      </c>
      <c r="AA3" s="2">
        <v>30000</v>
      </c>
      <c r="AB3" s="2">
        <v>55700</v>
      </c>
      <c r="AC3" s="2">
        <v>4320</v>
      </c>
      <c r="AD3" s="2">
        <v>12900</v>
      </c>
      <c r="AE3" s="2">
        <v>90020</v>
      </c>
      <c r="AF3" s="2">
        <v>12900</v>
      </c>
      <c r="AG3" s="2">
        <v>102920</v>
      </c>
      <c r="AH3" s="2">
        <v>27000</v>
      </c>
      <c r="AI3" s="2">
        <v>54029</v>
      </c>
      <c r="AJ3" s="2">
        <v>3024</v>
      </c>
      <c r="AK3" s="2">
        <v>11610</v>
      </c>
      <c r="AL3" s="2">
        <v>84053</v>
      </c>
      <c r="AM3" s="2">
        <v>11610</v>
      </c>
      <c r="AN3" s="2">
        <v>97200</v>
      </c>
      <c r="AO3" s="4" t="s">
        <v>55</v>
      </c>
      <c r="AP3" s="4" t="s">
        <v>55</v>
      </c>
      <c r="AQ3" s="4" t="s">
        <v>55</v>
      </c>
      <c r="AR3" s="4" t="s">
        <v>55</v>
      </c>
      <c r="AS3" s="2">
        <v>57397</v>
      </c>
      <c r="AT3" s="2">
        <v>0</v>
      </c>
      <c r="AU3" s="2">
        <v>57397</v>
      </c>
    </row>
    <row r="4" spans="1:47">
      <c r="A4" s="4" t="s">
        <v>46</v>
      </c>
      <c r="B4" s="4" t="s">
        <v>47</v>
      </c>
      <c r="C4" s="4" t="s">
        <v>48</v>
      </c>
      <c r="D4" s="4" t="s">
        <v>62</v>
      </c>
      <c r="E4" s="4" t="s">
        <v>49</v>
      </c>
      <c r="F4" s="4" t="s">
        <v>50</v>
      </c>
      <c r="G4" s="4" t="s">
        <v>63</v>
      </c>
      <c r="H4" s="4" t="s">
        <v>64</v>
      </c>
      <c r="I4" s="4" t="s">
        <v>51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52</v>
      </c>
      <c r="O4" s="4" t="s">
        <v>52</v>
      </c>
      <c r="P4" s="4" t="s">
        <v>52</v>
      </c>
      <c r="Q4" s="4" t="s">
        <v>69</v>
      </c>
      <c r="R4" s="4" t="s">
        <v>53</v>
      </c>
      <c r="S4" s="4" t="s">
        <v>56</v>
      </c>
      <c r="T4" s="2">
        <v>21600</v>
      </c>
      <c r="U4" s="2">
        <v>65200</v>
      </c>
      <c r="V4" s="2">
        <v>10800</v>
      </c>
      <c r="W4" s="2">
        <v>0</v>
      </c>
      <c r="X4" s="2">
        <v>97600</v>
      </c>
      <c r="Y4" s="2">
        <v>0</v>
      </c>
      <c r="Z4" s="2">
        <v>97600</v>
      </c>
      <c r="AA4" s="2">
        <v>25920</v>
      </c>
      <c r="AB4" s="2">
        <v>65200</v>
      </c>
      <c r="AC4" s="2">
        <v>12960</v>
      </c>
      <c r="AD4" s="2">
        <v>0</v>
      </c>
      <c r="AE4" s="2">
        <v>104080</v>
      </c>
      <c r="AF4" s="2">
        <v>0</v>
      </c>
      <c r="AG4" s="2">
        <v>104080</v>
      </c>
      <c r="AH4" s="2">
        <v>23328</v>
      </c>
      <c r="AI4" s="2">
        <v>63244</v>
      </c>
      <c r="AJ4" s="2">
        <v>9072</v>
      </c>
      <c r="AK4" s="2">
        <v>0</v>
      </c>
      <c r="AL4" s="2">
        <v>95644</v>
      </c>
      <c r="AM4" s="2">
        <v>0</v>
      </c>
      <c r="AN4" s="2">
        <v>97600</v>
      </c>
      <c r="AO4" s="4" t="s">
        <v>55</v>
      </c>
      <c r="AP4" s="4" t="s">
        <v>55</v>
      </c>
      <c r="AQ4" s="4" t="s">
        <v>55</v>
      </c>
      <c r="AR4" s="4" t="s">
        <v>55</v>
      </c>
      <c r="AS4" s="2">
        <v>57386</v>
      </c>
      <c r="AT4" s="2">
        <v>0</v>
      </c>
      <c r="AU4" s="2">
        <v>57386</v>
      </c>
    </row>
    <row r="5" spans="1:47">
      <c r="A5" s="4" t="s">
        <v>46</v>
      </c>
      <c r="B5" s="4" t="s">
        <v>47</v>
      </c>
      <c r="C5" s="4" t="s">
        <v>48</v>
      </c>
      <c r="D5" s="4" t="s">
        <v>62</v>
      </c>
      <c r="E5" s="4" t="s">
        <v>49</v>
      </c>
      <c r="F5" s="4" t="s">
        <v>50</v>
      </c>
      <c r="G5" s="4" t="s">
        <v>63</v>
      </c>
      <c r="H5" s="4" t="s">
        <v>64</v>
      </c>
      <c r="I5" s="4" t="s">
        <v>51</v>
      </c>
      <c r="J5" s="4" t="s">
        <v>65</v>
      </c>
      <c r="K5" s="4" t="s">
        <v>66</v>
      </c>
      <c r="L5" s="4" t="s">
        <v>67</v>
      </c>
      <c r="M5" s="4" t="s">
        <v>68</v>
      </c>
      <c r="N5" s="4" t="s">
        <v>52</v>
      </c>
      <c r="O5" s="4" t="s">
        <v>52</v>
      </c>
      <c r="P5" s="4" t="s">
        <v>52</v>
      </c>
      <c r="Q5" s="4" t="s">
        <v>69</v>
      </c>
      <c r="R5" s="4" t="s">
        <v>53</v>
      </c>
      <c r="S5" s="4" t="s">
        <v>56</v>
      </c>
      <c r="T5" s="2">
        <v>147400</v>
      </c>
      <c r="U5" s="2">
        <v>123400</v>
      </c>
      <c r="V5" s="2">
        <v>36000</v>
      </c>
      <c r="W5" s="2">
        <v>15600</v>
      </c>
      <c r="X5" s="2">
        <v>306800</v>
      </c>
      <c r="Y5" s="2">
        <v>15600</v>
      </c>
      <c r="Z5" s="2">
        <v>322400</v>
      </c>
      <c r="AA5" s="2">
        <v>176880</v>
      </c>
      <c r="AB5" s="2">
        <v>123400</v>
      </c>
      <c r="AC5" s="2">
        <v>43200</v>
      </c>
      <c r="AD5" s="2">
        <v>15600</v>
      </c>
      <c r="AE5" s="2">
        <v>343480</v>
      </c>
      <c r="AF5" s="2">
        <v>15600</v>
      </c>
      <c r="AG5" s="2">
        <v>359080</v>
      </c>
      <c r="AH5" s="2">
        <v>159192</v>
      </c>
      <c r="AI5" s="2">
        <v>119698</v>
      </c>
      <c r="AJ5" s="2">
        <v>30240</v>
      </c>
      <c r="AK5" s="2">
        <v>14040</v>
      </c>
      <c r="AL5" s="2">
        <v>309130</v>
      </c>
      <c r="AM5" s="2">
        <v>14040</v>
      </c>
      <c r="AN5" s="2">
        <v>322400</v>
      </c>
      <c r="AO5" s="4" t="s">
        <v>55</v>
      </c>
      <c r="AP5" s="4" t="s">
        <v>55</v>
      </c>
      <c r="AQ5" s="4" t="s">
        <v>55</v>
      </c>
      <c r="AR5" s="4" t="s">
        <v>55</v>
      </c>
      <c r="AS5" s="2">
        <v>193902</v>
      </c>
      <c r="AT5" s="2">
        <v>0</v>
      </c>
      <c r="AU5" s="2">
        <v>193902</v>
      </c>
    </row>
    <row r="6" spans="1:47">
      <c r="A6" s="4" t="s">
        <v>46</v>
      </c>
      <c r="B6" s="4" t="s">
        <v>47</v>
      </c>
      <c r="C6" s="4" t="s">
        <v>48</v>
      </c>
      <c r="D6" s="4" t="s">
        <v>62</v>
      </c>
      <c r="E6" s="4" t="s">
        <v>49</v>
      </c>
      <c r="F6" s="4" t="s">
        <v>50</v>
      </c>
      <c r="G6" s="4" t="s">
        <v>63</v>
      </c>
      <c r="H6" s="4" t="s">
        <v>64</v>
      </c>
      <c r="I6" s="4" t="s">
        <v>51</v>
      </c>
      <c r="J6" s="4" t="s">
        <v>65</v>
      </c>
      <c r="K6" s="4" t="s">
        <v>66</v>
      </c>
      <c r="L6" s="4" t="s">
        <v>67</v>
      </c>
      <c r="M6" s="4" t="s">
        <v>68</v>
      </c>
      <c r="N6" s="4" t="s">
        <v>52</v>
      </c>
      <c r="O6" s="4" t="s">
        <v>52</v>
      </c>
      <c r="P6" s="4" t="s">
        <v>52</v>
      </c>
      <c r="Q6" s="4" t="s">
        <v>69</v>
      </c>
      <c r="R6" s="4" t="s">
        <v>53</v>
      </c>
      <c r="S6" s="4" t="s">
        <v>59</v>
      </c>
      <c r="T6" s="2">
        <v>135350</v>
      </c>
      <c r="U6" s="2">
        <v>245640</v>
      </c>
      <c r="V6" s="2">
        <v>61750</v>
      </c>
      <c r="W6" s="2">
        <v>480860</v>
      </c>
      <c r="X6" s="2">
        <v>442740</v>
      </c>
      <c r="Y6" s="2">
        <v>480860</v>
      </c>
      <c r="Z6" s="2">
        <v>923600</v>
      </c>
      <c r="AA6" s="2">
        <v>162420</v>
      </c>
      <c r="AB6" s="2">
        <v>245640</v>
      </c>
      <c r="AC6" s="2">
        <v>73400</v>
      </c>
      <c r="AD6" s="2">
        <v>480860</v>
      </c>
      <c r="AE6" s="2">
        <v>481460</v>
      </c>
      <c r="AF6" s="2">
        <v>480860</v>
      </c>
      <c r="AG6" s="2">
        <v>962320</v>
      </c>
      <c r="AH6" s="2">
        <v>146178</v>
      </c>
      <c r="AI6" s="2">
        <v>238270.8</v>
      </c>
      <c r="AJ6" s="2">
        <v>51380</v>
      </c>
      <c r="AK6" s="2">
        <v>432774</v>
      </c>
      <c r="AL6" s="2">
        <v>435828.8</v>
      </c>
      <c r="AM6" s="2">
        <v>432774</v>
      </c>
      <c r="AN6" s="2">
        <v>923600</v>
      </c>
      <c r="AO6" s="4" t="s">
        <v>55</v>
      </c>
      <c r="AP6" s="4" t="s">
        <v>55</v>
      </c>
      <c r="AQ6" s="4" t="s">
        <v>55</v>
      </c>
      <c r="AR6" s="4" t="s">
        <v>55</v>
      </c>
      <c r="AS6" s="2">
        <v>521161</v>
      </c>
      <c r="AT6" s="2">
        <v>0</v>
      </c>
      <c r="AU6" s="2">
        <v>521161</v>
      </c>
    </row>
    <row r="7" spans="1:47">
      <c r="A7" s="4" t="s">
        <v>46</v>
      </c>
      <c r="B7" s="4" t="s">
        <v>47</v>
      </c>
      <c r="C7" s="4" t="s">
        <v>48</v>
      </c>
      <c r="D7" s="4" t="s">
        <v>62</v>
      </c>
      <c r="E7" s="4" t="s">
        <v>49</v>
      </c>
      <c r="F7" s="4" t="s">
        <v>50</v>
      </c>
      <c r="G7" s="4" t="s">
        <v>63</v>
      </c>
      <c r="H7" s="4" t="s">
        <v>64</v>
      </c>
      <c r="I7" s="4" t="s">
        <v>51</v>
      </c>
      <c r="J7" s="4" t="s">
        <v>65</v>
      </c>
      <c r="K7" s="4" t="s">
        <v>66</v>
      </c>
      <c r="L7" s="4" t="s">
        <v>67</v>
      </c>
      <c r="M7" s="4" t="s">
        <v>68</v>
      </c>
      <c r="N7" s="4" t="s">
        <v>52</v>
      </c>
      <c r="O7" s="4" t="s">
        <v>52</v>
      </c>
      <c r="P7" s="4" t="s">
        <v>52</v>
      </c>
      <c r="Q7" s="4" t="s">
        <v>69</v>
      </c>
      <c r="R7" s="4" t="s">
        <v>53</v>
      </c>
      <c r="S7" s="4" t="s">
        <v>60</v>
      </c>
      <c r="T7" s="2">
        <v>152800</v>
      </c>
      <c r="U7" s="2">
        <v>311520</v>
      </c>
      <c r="V7" s="2">
        <v>75880</v>
      </c>
      <c r="W7" s="2">
        <v>208800</v>
      </c>
      <c r="X7" s="2">
        <v>540200</v>
      </c>
      <c r="Y7" s="2">
        <v>208800</v>
      </c>
      <c r="Z7" s="2">
        <v>749000</v>
      </c>
      <c r="AA7" s="2">
        <v>183360</v>
      </c>
      <c r="AB7" s="2">
        <v>311520</v>
      </c>
      <c r="AC7" s="2">
        <v>90356</v>
      </c>
      <c r="AD7" s="2">
        <v>208800</v>
      </c>
      <c r="AE7" s="2">
        <v>585236</v>
      </c>
      <c r="AF7" s="2">
        <v>208800</v>
      </c>
      <c r="AG7" s="2">
        <v>794036</v>
      </c>
      <c r="AH7" s="2">
        <v>165024</v>
      </c>
      <c r="AI7" s="2">
        <v>302174.40000000002</v>
      </c>
      <c r="AJ7" s="2">
        <v>63249.2</v>
      </c>
      <c r="AK7" s="2">
        <v>187920</v>
      </c>
      <c r="AL7" s="2">
        <v>530447.6</v>
      </c>
      <c r="AM7" s="2">
        <v>187920</v>
      </c>
      <c r="AN7" s="2">
        <v>749000</v>
      </c>
      <c r="AO7" s="4" t="s">
        <v>55</v>
      </c>
      <c r="AP7" s="4" t="s">
        <v>55</v>
      </c>
      <c r="AQ7" s="4" t="s">
        <v>55</v>
      </c>
      <c r="AR7" s="4" t="s">
        <v>55</v>
      </c>
      <c r="AS7" s="2">
        <v>431021</v>
      </c>
      <c r="AT7" s="2">
        <v>0</v>
      </c>
      <c r="AU7" s="2">
        <v>431021</v>
      </c>
    </row>
    <row r="8" spans="1:47">
      <c r="A8" s="4" t="s">
        <v>46</v>
      </c>
      <c r="B8" s="4" t="s">
        <v>47</v>
      </c>
      <c r="C8" s="4" t="s">
        <v>48</v>
      </c>
      <c r="D8" s="4" t="s">
        <v>62</v>
      </c>
      <c r="E8" s="4" t="s">
        <v>49</v>
      </c>
      <c r="F8" s="4" t="s">
        <v>50</v>
      </c>
      <c r="G8" s="4" t="s">
        <v>63</v>
      </c>
      <c r="H8" s="4" t="s">
        <v>64</v>
      </c>
      <c r="I8" s="4" t="s">
        <v>51</v>
      </c>
      <c r="J8" s="4" t="s">
        <v>65</v>
      </c>
      <c r="K8" s="4" t="s">
        <v>66</v>
      </c>
      <c r="L8" s="4" t="s">
        <v>67</v>
      </c>
      <c r="M8" s="4" t="s">
        <v>68</v>
      </c>
      <c r="N8" s="4" t="s">
        <v>52</v>
      </c>
      <c r="O8" s="4" t="s">
        <v>52</v>
      </c>
      <c r="P8" s="4" t="s">
        <v>52</v>
      </c>
      <c r="Q8" s="4" t="s">
        <v>69</v>
      </c>
      <c r="R8" s="4" t="s">
        <v>53</v>
      </c>
      <c r="S8" s="4" t="s">
        <v>60</v>
      </c>
      <c r="T8" s="2">
        <v>130800</v>
      </c>
      <c r="U8" s="2">
        <v>202100</v>
      </c>
      <c r="V8" s="2">
        <v>43080</v>
      </c>
      <c r="W8" s="2">
        <v>26620</v>
      </c>
      <c r="X8" s="2">
        <v>375980</v>
      </c>
      <c r="Y8" s="2">
        <v>26620</v>
      </c>
      <c r="Z8" s="2">
        <v>402600</v>
      </c>
      <c r="AA8" s="2">
        <v>156960</v>
      </c>
      <c r="AB8" s="2">
        <v>202100</v>
      </c>
      <c r="AC8" s="2">
        <v>51368</v>
      </c>
      <c r="AD8" s="2">
        <v>26620</v>
      </c>
      <c r="AE8" s="2">
        <v>410428</v>
      </c>
      <c r="AF8" s="2">
        <v>26620</v>
      </c>
      <c r="AG8" s="2">
        <v>437048</v>
      </c>
      <c r="AH8" s="2">
        <v>141264</v>
      </c>
      <c r="AI8" s="2">
        <v>196037</v>
      </c>
      <c r="AJ8" s="2">
        <v>35957.599999999999</v>
      </c>
      <c r="AK8" s="2">
        <v>23958</v>
      </c>
      <c r="AL8" s="2">
        <v>373258.6</v>
      </c>
      <c r="AM8" s="2">
        <v>23958</v>
      </c>
      <c r="AN8" s="2">
        <v>402600</v>
      </c>
      <c r="AO8" s="4" t="s">
        <v>55</v>
      </c>
      <c r="AP8" s="4" t="s">
        <v>55</v>
      </c>
      <c r="AQ8" s="4" t="s">
        <v>55</v>
      </c>
      <c r="AR8" s="4" t="s">
        <v>55</v>
      </c>
      <c r="AS8" s="2">
        <v>238330</v>
      </c>
      <c r="AT8" s="2">
        <v>0</v>
      </c>
      <c r="AU8" s="2">
        <v>238330</v>
      </c>
    </row>
    <row r="9" spans="1:47">
      <c r="A9" s="4" t="s">
        <v>46</v>
      </c>
      <c r="B9" s="4" t="s">
        <v>47</v>
      </c>
      <c r="C9" s="4" t="s">
        <v>48</v>
      </c>
      <c r="D9" s="4" t="s">
        <v>62</v>
      </c>
      <c r="E9" s="4" t="s">
        <v>49</v>
      </c>
      <c r="F9" s="4" t="s">
        <v>50</v>
      </c>
      <c r="G9" s="4" t="s">
        <v>63</v>
      </c>
      <c r="H9" s="4" t="s">
        <v>64</v>
      </c>
      <c r="I9" s="4" t="s">
        <v>51</v>
      </c>
      <c r="J9" s="4" t="s">
        <v>65</v>
      </c>
      <c r="K9" s="4" t="s">
        <v>66</v>
      </c>
      <c r="L9" s="4" t="s">
        <v>67</v>
      </c>
      <c r="M9" s="4" t="s">
        <v>68</v>
      </c>
      <c r="N9" s="4" t="s">
        <v>52</v>
      </c>
      <c r="O9" s="4" t="s">
        <v>52</v>
      </c>
      <c r="P9" s="4" t="s">
        <v>52</v>
      </c>
      <c r="Q9" s="4" t="s">
        <v>69</v>
      </c>
      <c r="R9" s="4" t="s">
        <v>53</v>
      </c>
      <c r="S9" s="4" t="s">
        <v>60</v>
      </c>
      <c r="T9" s="2">
        <v>280460</v>
      </c>
      <c r="U9" s="2">
        <v>463000</v>
      </c>
      <c r="V9" s="2">
        <v>129500</v>
      </c>
      <c r="W9" s="2">
        <v>25640</v>
      </c>
      <c r="X9" s="2">
        <v>872960</v>
      </c>
      <c r="Y9" s="2">
        <v>25640</v>
      </c>
      <c r="Z9" s="2">
        <v>898600</v>
      </c>
      <c r="AA9" s="2">
        <v>336552</v>
      </c>
      <c r="AB9" s="2">
        <v>463000</v>
      </c>
      <c r="AC9" s="2">
        <v>153730</v>
      </c>
      <c r="AD9" s="2">
        <v>25640</v>
      </c>
      <c r="AE9" s="2">
        <v>953282</v>
      </c>
      <c r="AF9" s="2">
        <v>25640</v>
      </c>
      <c r="AG9" s="2">
        <v>978922</v>
      </c>
      <c r="AH9" s="2">
        <v>302896.8</v>
      </c>
      <c r="AI9" s="2">
        <v>449110</v>
      </c>
      <c r="AJ9" s="2">
        <v>107611</v>
      </c>
      <c r="AK9" s="2">
        <v>23076</v>
      </c>
      <c r="AL9" s="2">
        <v>859617.8</v>
      </c>
      <c r="AM9" s="2">
        <v>23076</v>
      </c>
      <c r="AN9" s="2">
        <v>898600</v>
      </c>
      <c r="AO9" s="4" t="s">
        <v>55</v>
      </c>
      <c r="AP9" s="4" t="s">
        <v>55</v>
      </c>
      <c r="AQ9" s="4" t="s">
        <v>55</v>
      </c>
      <c r="AR9" s="4" t="s">
        <v>55</v>
      </c>
      <c r="AS9" s="2">
        <v>529617</v>
      </c>
      <c r="AT9" s="2">
        <v>0</v>
      </c>
      <c r="AU9" s="2">
        <v>529617</v>
      </c>
    </row>
    <row r="10" spans="1:47">
      <c r="A10" s="4" t="s">
        <v>46</v>
      </c>
      <c r="B10" s="4" t="s">
        <v>47</v>
      </c>
      <c r="C10" s="4" t="s">
        <v>48</v>
      </c>
      <c r="D10" s="4" t="s">
        <v>62</v>
      </c>
      <c r="E10" s="4" t="s">
        <v>49</v>
      </c>
      <c r="F10" s="4" t="s">
        <v>50</v>
      </c>
      <c r="G10" s="4" t="s">
        <v>63</v>
      </c>
      <c r="H10" s="4" t="s">
        <v>64</v>
      </c>
      <c r="I10" s="4" t="s">
        <v>51</v>
      </c>
      <c r="J10" s="4" t="s">
        <v>65</v>
      </c>
      <c r="K10" s="4" t="s">
        <v>70</v>
      </c>
      <c r="L10" s="4" t="s">
        <v>71</v>
      </c>
      <c r="M10" s="4" t="s">
        <v>72</v>
      </c>
      <c r="N10" s="4" t="s">
        <v>52</v>
      </c>
      <c r="O10" s="4" t="s">
        <v>52</v>
      </c>
      <c r="P10" s="4" t="s">
        <v>52</v>
      </c>
      <c r="Q10" s="4" t="s">
        <v>73</v>
      </c>
      <c r="R10" s="4" t="s">
        <v>53</v>
      </c>
      <c r="S10" s="4" t="s">
        <v>54</v>
      </c>
      <c r="T10" s="2">
        <v>0</v>
      </c>
      <c r="U10" s="2">
        <v>400</v>
      </c>
      <c r="V10" s="2">
        <v>0</v>
      </c>
      <c r="W10" s="2">
        <v>0</v>
      </c>
      <c r="X10" s="2">
        <v>400</v>
      </c>
      <c r="Y10" s="2">
        <v>0</v>
      </c>
      <c r="Z10" s="2">
        <v>400</v>
      </c>
      <c r="AA10" s="2">
        <v>0</v>
      </c>
      <c r="AB10" s="2">
        <v>400</v>
      </c>
      <c r="AC10" s="2">
        <v>0</v>
      </c>
      <c r="AD10" s="2">
        <v>0</v>
      </c>
      <c r="AE10" s="2">
        <v>400</v>
      </c>
      <c r="AF10" s="2">
        <v>0</v>
      </c>
      <c r="AG10" s="2">
        <v>400</v>
      </c>
      <c r="AH10" s="2">
        <v>0</v>
      </c>
      <c r="AI10" s="2">
        <v>388</v>
      </c>
      <c r="AJ10" s="2">
        <v>0</v>
      </c>
      <c r="AK10" s="2">
        <v>0</v>
      </c>
      <c r="AL10" s="2">
        <v>388</v>
      </c>
      <c r="AM10" s="2">
        <v>0</v>
      </c>
      <c r="AN10" s="2">
        <v>400</v>
      </c>
      <c r="AO10" s="4" t="s">
        <v>55</v>
      </c>
      <c r="AP10" s="4" t="s">
        <v>55</v>
      </c>
      <c r="AQ10" s="4" t="s">
        <v>55</v>
      </c>
      <c r="AR10" s="4" t="s">
        <v>55</v>
      </c>
      <c r="AS10" s="2">
        <v>233</v>
      </c>
      <c r="AT10" s="2">
        <v>0</v>
      </c>
      <c r="AU10" s="2">
        <v>233</v>
      </c>
    </row>
    <row r="11" spans="1:47">
      <c r="A11" s="4" t="s">
        <v>46</v>
      </c>
      <c r="B11" s="4" t="s">
        <v>47</v>
      </c>
      <c r="C11" s="4" t="s">
        <v>48</v>
      </c>
      <c r="D11" s="4" t="s">
        <v>62</v>
      </c>
      <c r="E11" s="4" t="s">
        <v>49</v>
      </c>
      <c r="F11" s="4" t="s">
        <v>50</v>
      </c>
      <c r="G11" s="4" t="s">
        <v>63</v>
      </c>
      <c r="H11" s="4" t="s">
        <v>64</v>
      </c>
      <c r="I11" s="4" t="s">
        <v>51</v>
      </c>
      <c r="J11" s="4" t="s">
        <v>65</v>
      </c>
      <c r="K11" s="4" t="s">
        <v>70</v>
      </c>
      <c r="L11" s="4" t="s">
        <v>71</v>
      </c>
      <c r="M11" s="4" t="s">
        <v>72</v>
      </c>
      <c r="N11" s="4" t="s">
        <v>52</v>
      </c>
      <c r="O11" s="4" t="s">
        <v>52</v>
      </c>
      <c r="P11" s="4" t="s">
        <v>52</v>
      </c>
      <c r="Q11" s="4" t="s">
        <v>73</v>
      </c>
      <c r="R11" s="4" t="s">
        <v>53</v>
      </c>
      <c r="S11" s="4" t="s">
        <v>56</v>
      </c>
      <c r="T11" s="2">
        <v>0</v>
      </c>
      <c r="U11" s="2">
        <v>16600</v>
      </c>
      <c r="V11" s="2">
        <v>0</v>
      </c>
      <c r="W11" s="2">
        <v>1400</v>
      </c>
      <c r="X11" s="2">
        <v>16600</v>
      </c>
      <c r="Y11" s="2">
        <v>1400</v>
      </c>
      <c r="Z11" s="2">
        <v>18000</v>
      </c>
      <c r="AA11" s="2">
        <v>0</v>
      </c>
      <c r="AB11" s="2">
        <v>16600</v>
      </c>
      <c r="AC11" s="2">
        <v>0</v>
      </c>
      <c r="AD11" s="2">
        <v>1400</v>
      </c>
      <c r="AE11" s="2">
        <v>16600</v>
      </c>
      <c r="AF11" s="2">
        <v>1400</v>
      </c>
      <c r="AG11" s="2">
        <v>18000</v>
      </c>
      <c r="AH11" s="2">
        <v>0</v>
      </c>
      <c r="AI11" s="2">
        <v>16102</v>
      </c>
      <c r="AJ11" s="2">
        <v>0</v>
      </c>
      <c r="AK11" s="2">
        <v>1260</v>
      </c>
      <c r="AL11" s="2">
        <v>16102</v>
      </c>
      <c r="AM11" s="2">
        <v>1260</v>
      </c>
      <c r="AN11" s="2">
        <v>18000</v>
      </c>
      <c r="AO11" s="4" t="s">
        <v>55</v>
      </c>
      <c r="AP11" s="4" t="s">
        <v>55</v>
      </c>
      <c r="AQ11" s="4" t="s">
        <v>55</v>
      </c>
      <c r="AR11" s="4" t="s">
        <v>55</v>
      </c>
      <c r="AS11" s="2">
        <v>10417</v>
      </c>
      <c r="AT11" s="2">
        <v>0</v>
      </c>
      <c r="AU11" s="2">
        <v>10417</v>
      </c>
    </row>
    <row r="12" spans="1:47">
      <c r="A12" s="4" t="s">
        <v>46</v>
      </c>
      <c r="B12" s="4" t="s">
        <v>47</v>
      </c>
      <c r="C12" s="4" t="s">
        <v>48</v>
      </c>
      <c r="D12" s="4" t="s">
        <v>62</v>
      </c>
      <c r="E12" s="4" t="s">
        <v>49</v>
      </c>
      <c r="F12" s="4" t="s">
        <v>50</v>
      </c>
      <c r="G12" s="4" t="s">
        <v>63</v>
      </c>
      <c r="H12" s="4" t="s">
        <v>64</v>
      </c>
      <c r="I12" s="4" t="s">
        <v>51</v>
      </c>
      <c r="J12" s="4" t="s">
        <v>65</v>
      </c>
      <c r="K12" s="4" t="s">
        <v>70</v>
      </c>
      <c r="L12" s="4" t="s">
        <v>71</v>
      </c>
      <c r="M12" s="4" t="s">
        <v>72</v>
      </c>
      <c r="N12" s="4" t="s">
        <v>52</v>
      </c>
      <c r="O12" s="4" t="s">
        <v>52</v>
      </c>
      <c r="P12" s="4" t="s">
        <v>52</v>
      </c>
      <c r="Q12" s="4" t="s">
        <v>73</v>
      </c>
      <c r="R12" s="4" t="s">
        <v>53</v>
      </c>
      <c r="S12" s="4" t="s">
        <v>59</v>
      </c>
      <c r="T12" s="2">
        <v>2200</v>
      </c>
      <c r="U12" s="2">
        <v>12700</v>
      </c>
      <c r="V12" s="2">
        <v>0</v>
      </c>
      <c r="W12" s="2">
        <v>26300</v>
      </c>
      <c r="X12" s="2">
        <v>14900</v>
      </c>
      <c r="Y12" s="2">
        <v>26300</v>
      </c>
      <c r="Z12" s="2">
        <v>41200</v>
      </c>
      <c r="AA12" s="2">
        <v>2640</v>
      </c>
      <c r="AB12" s="2">
        <v>12700</v>
      </c>
      <c r="AC12" s="2">
        <v>0</v>
      </c>
      <c r="AD12" s="2">
        <v>26300</v>
      </c>
      <c r="AE12" s="2">
        <v>15340</v>
      </c>
      <c r="AF12" s="2">
        <v>26300</v>
      </c>
      <c r="AG12" s="2">
        <v>41640</v>
      </c>
      <c r="AH12" s="2">
        <v>2376</v>
      </c>
      <c r="AI12" s="2">
        <v>12319</v>
      </c>
      <c r="AJ12" s="2">
        <v>0</v>
      </c>
      <c r="AK12" s="2">
        <v>23670</v>
      </c>
      <c r="AL12" s="2">
        <v>14695</v>
      </c>
      <c r="AM12" s="2">
        <v>23670</v>
      </c>
      <c r="AN12" s="2">
        <v>41200</v>
      </c>
      <c r="AO12" s="4" t="s">
        <v>55</v>
      </c>
      <c r="AP12" s="4" t="s">
        <v>55</v>
      </c>
      <c r="AQ12" s="4" t="s">
        <v>55</v>
      </c>
      <c r="AR12" s="4" t="s">
        <v>55</v>
      </c>
      <c r="AS12" s="2">
        <v>23019</v>
      </c>
      <c r="AT12" s="2">
        <v>0</v>
      </c>
      <c r="AU12" s="2">
        <v>23019</v>
      </c>
    </row>
    <row r="13" spans="1:47">
      <c r="A13" s="4" t="s">
        <v>46</v>
      </c>
      <c r="B13" s="4" t="s">
        <v>47</v>
      </c>
      <c r="C13" s="4" t="s">
        <v>48</v>
      </c>
      <c r="D13" s="4" t="s">
        <v>62</v>
      </c>
      <c r="E13" s="4" t="s">
        <v>49</v>
      </c>
      <c r="F13" s="4" t="s">
        <v>50</v>
      </c>
      <c r="G13" s="4" t="s">
        <v>63</v>
      </c>
      <c r="H13" s="4" t="s">
        <v>64</v>
      </c>
      <c r="I13" s="4" t="s">
        <v>51</v>
      </c>
      <c r="J13" s="4" t="s">
        <v>65</v>
      </c>
      <c r="K13" s="4" t="s">
        <v>70</v>
      </c>
      <c r="L13" s="4" t="s">
        <v>71</v>
      </c>
      <c r="M13" s="4" t="s">
        <v>72</v>
      </c>
      <c r="N13" s="4" t="s">
        <v>52</v>
      </c>
      <c r="O13" s="4" t="s">
        <v>52</v>
      </c>
      <c r="P13" s="4" t="s">
        <v>52</v>
      </c>
      <c r="Q13" s="4" t="s">
        <v>73</v>
      </c>
      <c r="R13" s="4" t="s">
        <v>53</v>
      </c>
      <c r="S13" s="4" t="s">
        <v>60</v>
      </c>
      <c r="T13" s="2">
        <v>23100</v>
      </c>
      <c r="U13" s="2">
        <v>5700</v>
      </c>
      <c r="V13" s="2">
        <v>0</v>
      </c>
      <c r="W13" s="2">
        <v>11200</v>
      </c>
      <c r="X13" s="2">
        <v>28800</v>
      </c>
      <c r="Y13" s="2">
        <v>11200</v>
      </c>
      <c r="Z13" s="2">
        <v>40000</v>
      </c>
      <c r="AA13" s="2">
        <v>27720</v>
      </c>
      <c r="AB13" s="2">
        <v>5700</v>
      </c>
      <c r="AC13" s="2">
        <v>0</v>
      </c>
      <c r="AD13" s="2">
        <v>11200</v>
      </c>
      <c r="AE13" s="2">
        <v>33420</v>
      </c>
      <c r="AF13" s="2">
        <v>11200</v>
      </c>
      <c r="AG13" s="2">
        <v>44620</v>
      </c>
      <c r="AH13" s="2">
        <v>24948</v>
      </c>
      <c r="AI13" s="2">
        <v>5529</v>
      </c>
      <c r="AJ13" s="2">
        <v>0</v>
      </c>
      <c r="AK13" s="2">
        <v>10080</v>
      </c>
      <c r="AL13" s="2">
        <v>30477</v>
      </c>
      <c r="AM13" s="2">
        <v>10080</v>
      </c>
      <c r="AN13" s="2">
        <v>40000</v>
      </c>
      <c r="AO13" s="4" t="s">
        <v>55</v>
      </c>
      <c r="AP13" s="4" t="s">
        <v>55</v>
      </c>
      <c r="AQ13" s="4" t="s">
        <v>55</v>
      </c>
      <c r="AR13" s="4" t="s">
        <v>55</v>
      </c>
      <c r="AS13" s="2">
        <v>24334</v>
      </c>
      <c r="AT13" s="2">
        <v>0</v>
      </c>
      <c r="AU13" s="2">
        <v>24334</v>
      </c>
    </row>
    <row r="14" spans="1:47">
      <c r="A14" s="4" t="s">
        <v>46</v>
      </c>
      <c r="B14" s="4" t="s">
        <v>47</v>
      </c>
      <c r="C14" s="4" t="s">
        <v>48</v>
      </c>
      <c r="D14" s="4" t="s">
        <v>62</v>
      </c>
      <c r="E14" s="4" t="s">
        <v>49</v>
      </c>
      <c r="F14" s="4" t="s">
        <v>50</v>
      </c>
      <c r="G14" s="4" t="s">
        <v>63</v>
      </c>
      <c r="H14" s="4" t="s">
        <v>64</v>
      </c>
      <c r="I14" s="4" t="s">
        <v>51</v>
      </c>
      <c r="J14" s="4" t="s">
        <v>65</v>
      </c>
      <c r="K14" s="4" t="s">
        <v>70</v>
      </c>
      <c r="L14" s="4" t="s">
        <v>71</v>
      </c>
      <c r="M14" s="4" t="s">
        <v>72</v>
      </c>
      <c r="N14" s="4" t="s">
        <v>52</v>
      </c>
      <c r="O14" s="4" t="s">
        <v>52</v>
      </c>
      <c r="P14" s="4" t="s">
        <v>52</v>
      </c>
      <c r="Q14" s="4" t="s">
        <v>73</v>
      </c>
      <c r="R14" s="4" t="s">
        <v>53</v>
      </c>
      <c r="S14" s="4" t="s">
        <v>60</v>
      </c>
      <c r="T14" s="2">
        <v>9000</v>
      </c>
      <c r="U14" s="2">
        <v>9000</v>
      </c>
      <c r="V14" s="2">
        <v>0</v>
      </c>
      <c r="W14" s="2">
        <v>0</v>
      </c>
      <c r="X14" s="2">
        <v>18000</v>
      </c>
      <c r="Y14" s="2">
        <v>0</v>
      </c>
      <c r="Z14" s="2">
        <v>18000</v>
      </c>
      <c r="AA14" s="2">
        <v>10800</v>
      </c>
      <c r="AB14" s="2">
        <v>9000</v>
      </c>
      <c r="AC14" s="2">
        <v>0</v>
      </c>
      <c r="AD14" s="2">
        <v>0</v>
      </c>
      <c r="AE14" s="2">
        <v>19800</v>
      </c>
      <c r="AF14" s="2">
        <v>0</v>
      </c>
      <c r="AG14" s="2">
        <v>19800</v>
      </c>
      <c r="AH14" s="2">
        <v>9720</v>
      </c>
      <c r="AI14" s="2">
        <v>8730</v>
      </c>
      <c r="AJ14" s="2">
        <v>0</v>
      </c>
      <c r="AK14" s="2">
        <v>0</v>
      </c>
      <c r="AL14" s="2">
        <v>18450</v>
      </c>
      <c r="AM14" s="2">
        <v>0</v>
      </c>
      <c r="AN14" s="2">
        <v>18000</v>
      </c>
      <c r="AO14" s="4" t="s">
        <v>55</v>
      </c>
      <c r="AP14" s="4" t="s">
        <v>55</v>
      </c>
      <c r="AQ14" s="4" t="s">
        <v>55</v>
      </c>
      <c r="AR14" s="4" t="s">
        <v>55</v>
      </c>
      <c r="AS14" s="2">
        <v>11070</v>
      </c>
      <c r="AT14" s="2">
        <v>0</v>
      </c>
      <c r="AU14" s="2">
        <v>11070</v>
      </c>
    </row>
    <row r="15" spans="1:47">
      <c r="AU15" s="6">
        <f>SUM(AU2:AU14)</f>
        <v>2127275</v>
      </c>
    </row>
    <row r="17" spans="1:4">
      <c r="A17" s="7" t="s">
        <v>102</v>
      </c>
      <c r="B17" s="8"/>
      <c r="C17" s="8"/>
      <c r="D17" s="9"/>
    </row>
    <row r="18" spans="1:4">
      <c r="A18" s="10" t="s">
        <v>103</v>
      </c>
      <c r="B18" s="10" t="s">
        <v>104</v>
      </c>
      <c r="C18" s="10" t="s">
        <v>105</v>
      </c>
      <c r="D18" s="10" t="s">
        <v>106</v>
      </c>
    </row>
    <row r="19" spans="1:4">
      <c r="A19" s="11">
        <v>201910</v>
      </c>
      <c r="B19" s="12">
        <v>100000000</v>
      </c>
      <c r="C19" s="13">
        <v>15070</v>
      </c>
      <c r="D19" s="14">
        <v>99984930</v>
      </c>
    </row>
    <row r="20" spans="1:4">
      <c r="A20" s="11">
        <v>201911</v>
      </c>
      <c r="B20" s="12">
        <v>100000000</v>
      </c>
      <c r="C20" s="15">
        <v>146479031</v>
      </c>
      <c r="D20" s="14">
        <v>53505899</v>
      </c>
    </row>
    <row r="21" spans="1:4">
      <c r="A21" s="11">
        <v>201912</v>
      </c>
      <c r="B21" s="12"/>
      <c r="C21" s="12">
        <v>39056831</v>
      </c>
      <c r="D21" s="14">
        <v>14449068</v>
      </c>
    </row>
    <row r="22" spans="1:4">
      <c r="A22" s="11">
        <v>202001</v>
      </c>
      <c r="B22" s="12">
        <v>100000000</v>
      </c>
      <c r="C22" s="12">
        <v>23647656</v>
      </c>
      <c r="D22" s="14">
        <v>90801412</v>
      </c>
    </row>
    <row r="23" spans="1:4">
      <c r="A23" s="11">
        <v>202002</v>
      </c>
      <c r="B23" s="12"/>
      <c r="C23" s="12">
        <v>21109952</v>
      </c>
      <c r="D23" s="14">
        <v>69691460</v>
      </c>
    </row>
    <row r="24" spans="1:4">
      <c r="A24" s="11">
        <v>202003</v>
      </c>
      <c r="B24" s="12"/>
      <c r="C24" s="12">
        <v>21756214</v>
      </c>
      <c r="D24" s="14">
        <v>47935246</v>
      </c>
    </row>
    <row r="25" spans="1:4">
      <c r="A25" s="11">
        <v>202004</v>
      </c>
      <c r="B25" s="12"/>
      <c r="C25" s="12">
        <v>24261551</v>
      </c>
      <c r="D25" s="14">
        <v>23673695</v>
      </c>
    </row>
    <row r="26" spans="1:4">
      <c r="A26" s="11">
        <v>202005</v>
      </c>
      <c r="B26" s="12">
        <v>100000000</v>
      </c>
      <c r="C26" s="14">
        <v>23103063</v>
      </c>
      <c r="D26" s="14">
        <v>100570632</v>
      </c>
    </row>
    <row r="27" spans="1:4">
      <c r="A27" s="11">
        <v>202006</v>
      </c>
      <c r="B27" s="16"/>
      <c r="C27" s="14">
        <v>8596724</v>
      </c>
      <c r="D27" s="14">
        <v>91973908</v>
      </c>
    </row>
    <row r="28" spans="1:4">
      <c r="A28" s="11">
        <v>202007</v>
      </c>
      <c r="B28" s="17"/>
      <c r="C28" s="14">
        <v>13651567</v>
      </c>
      <c r="D28" s="14">
        <v>78322341</v>
      </c>
    </row>
    <row r="29" spans="1:4">
      <c r="A29" s="11">
        <v>202008</v>
      </c>
      <c r="B29" s="17"/>
      <c r="C29" s="14">
        <v>18343073</v>
      </c>
      <c r="D29" s="14">
        <v>59979268</v>
      </c>
    </row>
    <row r="30" spans="1:4">
      <c r="A30" s="11">
        <v>202009</v>
      </c>
      <c r="B30" s="17"/>
      <c r="C30" s="14">
        <v>14450305</v>
      </c>
      <c r="D30" s="14">
        <v>45528963</v>
      </c>
    </row>
    <row r="31" spans="1:4">
      <c r="A31" s="11">
        <v>202010</v>
      </c>
      <c r="B31" s="17"/>
      <c r="C31" s="14">
        <v>12527006</v>
      </c>
      <c r="D31" s="14">
        <f>D30-C31</f>
        <v>33001957</v>
      </c>
    </row>
    <row r="32" spans="1:4">
      <c r="A32" s="11">
        <v>202011</v>
      </c>
      <c r="B32" s="17"/>
      <c r="C32" s="14">
        <v>12821778</v>
      </c>
      <c r="D32" s="14">
        <f>D31-C32</f>
        <v>20180179</v>
      </c>
    </row>
    <row r="33" spans="1:4">
      <c r="A33" s="11">
        <v>202012</v>
      </c>
      <c r="B33" s="17"/>
      <c r="C33" s="14">
        <v>15223282</v>
      </c>
      <c r="D33" s="14">
        <f>D32-C33</f>
        <v>4956897</v>
      </c>
    </row>
    <row r="34" spans="1:4">
      <c r="A34" s="11">
        <v>202101</v>
      </c>
      <c r="B34" s="12">
        <v>50000000</v>
      </c>
      <c r="C34" s="14">
        <v>17914270</v>
      </c>
      <c r="D34" s="14">
        <f>D33-C34+B34</f>
        <v>37042627</v>
      </c>
    </row>
    <row r="35" spans="1:4">
      <c r="A35" s="11">
        <v>202102</v>
      </c>
      <c r="B35" s="12"/>
      <c r="C35" s="14">
        <v>10971546</v>
      </c>
      <c r="D35" s="14">
        <f>D34-C35</f>
        <v>26071081</v>
      </c>
    </row>
    <row r="36" spans="1:4">
      <c r="A36" s="11">
        <v>202103</v>
      </c>
      <c r="B36" s="12"/>
      <c r="C36" s="14">
        <v>6609889</v>
      </c>
      <c r="D36" s="14">
        <f>D35-C36</f>
        <v>19461192</v>
      </c>
    </row>
    <row r="37" spans="1:4">
      <c r="A37" s="11">
        <v>202104</v>
      </c>
      <c r="B37" s="12"/>
      <c r="C37" s="14">
        <v>9397257</v>
      </c>
      <c r="D37" s="14">
        <f>D36-C37</f>
        <v>10063935</v>
      </c>
    </row>
    <row r="38" spans="1:4">
      <c r="A38" s="11">
        <v>202105</v>
      </c>
      <c r="B38" s="12">
        <v>50000000</v>
      </c>
      <c r="C38" s="14">
        <v>9786615</v>
      </c>
      <c r="D38" s="14">
        <f t="shared" ref="D38:D44" si="0">D37+B38-C38</f>
        <v>50277320</v>
      </c>
    </row>
    <row r="39" spans="1:4">
      <c r="A39" s="11">
        <v>202106</v>
      </c>
      <c r="B39" s="12"/>
      <c r="C39" s="14">
        <v>7451661</v>
      </c>
      <c r="D39" s="14">
        <f t="shared" si="0"/>
        <v>42825659</v>
      </c>
    </row>
    <row r="40" spans="1:4">
      <c r="A40" s="11">
        <v>202107</v>
      </c>
      <c r="B40" s="12"/>
      <c r="C40" s="14">
        <v>5117057</v>
      </c>
      <c r="D40" s="14">
        <f t="shared" si="0"/>
        <v>37708602</v>
      </c>
    </row>
    <row r="41" spans="1:4">
      <c r="A41" s="11">
        <v>202108</v>
      </c>
      <c r="B41" s="12"/>
      <c r="C41" s="14">
        <v>5697726</v>
      </c>
      <c r="D41" s="14">
        <f t="shared" si="0"/>
        <v>32010876</v>
      </c>
    </row>
    <row r="42" spans="1:4">
      <c r="A42" s="11">
        <v>202109</v>
      </c>
      <c r="B42" s="12"/>
      <c r="C42" s="14">
        <v>7919559</v>
      </c>
      <c r="D42" s="14">
        <f t="shared" si="0"/>
        <v>24091317</v>
      </c>
    </row>
    <row r="43" spans="1:4">
      <c r="A43" s="11">
        <v>202110</v>
      </c>
      <c r="B43" s="12"/>
      <c r="C43" s="14">
        <v>5921272</v>
      </c>
      <c r="D43" s="14">
        <f t="shared" si="0"/>
        <v>18170045</v>
      </c>
    </row>
    <row r="44" spans="1:4">
      <c r="A44" s="18" t="s">
        <v>107</v>
      </c>
      <c r="B44" s="17"/>
      <c r="C44" s="14">
        <v>10692025</v>
      </c>
      <c r="D44" s="14">
        <f t="shared" si="0"/>
        <v>7478020</v>
      </c>
    </row>
    <row r="45" spans="1:4">
      <c r="A45" s="11">
        <v>202111</v>
      </c>
      <c r="B45" s="12">
        <v>50000000</v>
      </c>
      <c r="C45" s="14">
        <v>4749362</v>
      </c>
      <c r="D45" s="14">
        <f>D44-C45+B45</f>
        <v>52728658</v>
      </c>
    </row>
    <row r="46" spans="1:4">
      <c r="A46" s="18" t="s">
        <v>108</v>
      </c>
      <c r="B46" s="17"/>
      <c r="C46" s="14">
        <v>1882176</v>
      </c>
      <c r="D46" s="14">
        <f t="shared" ref="D46:D53" si="1">D45-C46</f>
        <v>50846482</v>
      </c>
    </row>
    <row r="47" spans="1:4">
      <c r="A47" s="11">
        <v>202112</v>
      </c>
      <c r="B47" s="17"/>
      <c r="C47" s="14">
        <v>4278025</v>
      </c>
      <c r="D47" s="14">
        <f t="shared" si="1"/>
        <v>46568457</v>
      </c>
    </row>
    <row r="48" spans="1:4">
      <c r="A48" s="11" t="s">
        <v>109</v>
      </c>
      <c r="B48" s="17"/>
      <c r="C48" s="14">
        <v>1862306</v>
      </c>
      <c r="D48" s="14">
        <f t="shared" si="1"/>
        <v>44706151</v>
      </c>
    </row>
    <row r="49" spans="1:4">
      <c r="A49" s="11">
        <v>202201</v>
      </c>
      <c r="B49" s="17"/>
      <c r="C49" s="14">
        <v>3517155</v>
      </c>
      <c r="D49" s="14">
        <f t="shared" si="1"/>
        <v>41188996</v>
      </c>
    </row>
    <row r="50" spans="1:4">
      <c r="A50" s="11" t="s">
        <v>110</v>
      </c>
      <c r="B50" s="17"/>
      <c r="C50" s="14">
        <v>4017673</v>
      </c>
      <c r="D50" s="14">
        <f t="shared" si="1"/>
        <v>37171323</v>
      </c>
    </row>
    <row r="51" spans="1:4">
      <c r="A51" s="11">
        <v>202202</v>
      </c>
      <c r="B51" s="17"/>
      <c r="C51" s="19">
        <v>2302285</v>
      </c>
      <c r="D51" s="14">
        <f t="shared" si="1"/>
        <v>34869038</v>
      </c>
    </row>
    <row r="52" spans="1:4">
      <c r="A52" s="11">
        <v>202203</v>
      </c>
      <c r="B52" s="17"/>
      <c r="C52" s="19">
        <v>2654263</v>
      </c>
      <c r="D52" s="14">
        <f t="shared" si="1"/>
        <v>32214775</v>
      </c>
    </row>
    <row r="53" spans="1:4">
      <c r="A53" s="11">
        <v>202204</v>
      </c>
      <c r="B53" s="17"/>
      <c r="C53" s="20">
        <v>4176252</v>
      </c>
      <c r="D53" s="14">
        <f t="shared" si="1"/>
        <v>28038523</v>
      </c>
    </row>
    <row r="54" spans="1:4">
      <c r="A54" s="11">
        <v>202205</v>
      </c>
      <c r="B54" s="17"/>
      <c r="C54" s="20">
        <v>3489356</v>
      </c>
      <c r="D54" s="14">
        <f>D53-C54</f>
        <v>24549167</v>
      </c>
    </row>
    <row r="55" spans="1:4">
      <c r="A55" s="11">
        <v>202206</v>
      </c>
      <c r="B55" s="17"/>
      <c r="C55" s="14">
        <f>AU15</f>
        <v>2127275</v>
      </c>
      <c r="D55" s="14">
        <f>D54-C55</f>
        <v>22421892</v>
      </c>
    </row>
    <row r="56" spans="1:4" s="4" customFormat="1">
      <c r="A56" s="11"/>
      <c r="B56" s="17"/>
      <c r="C56" s="14"/>
      <c r="D56" s="14"/>
    </row>
    <row r="57" spans="1:4">
      <c r="A57" s="21" t="s">
        <v>111</v>
      </c>
      <c r="B57" s="22">
        <f>SUM(B19:B55)</f>
        <v>550000000</v>
      </c>
      <c r="C57" s="22">
        <f>SUM(C19:C55)</f>
        <v>527578108</v>
      </c>
      <c r="D57" s="22"/>
    </row>
    <row r="58" spans="1:4">
      <c r="A58" s="4"/>
      <c r="B58" s="4"/>
      <c r="C58" s="4"/>
      <c r="D58" s="4"/>
    </row>
    <row r="59" spans="1:4">
      <c r="A59" s="23" t="s">
        <v>112</v>
      </c>
      <c r="B59" s="4"/>
      <c r="C59" s="4"/>
      <c r="D59" s="4"/>
    </row>
    <row r="60" spans="1:4">
      <c r="A60" s="23" t="s">
        <v>113</v>
      </c>
      <c r="B60" s="4"/>
      <c r="C60" s="4"/>
      <c r="D60" s="4"/>
    </row>
    <row r="61" spans="1:4">
      <c r="A61" s="23" t="s">
        <v>114</v>
      </c>
      <c r="B61" s="4"/>
      <c r="C61" s="4"/>
      <c r="D61" s="4"/>
    </row>
    <row r="62" spans="1:4">
      <c r="A62" s="24" t="s">
        <v>115</v>
      </c>
      <c r="B62" s="25"/>
      <c r="C62" s="25"/>
      <c r="D62" s="26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U30"/>
  <sheetViews>
    <sheetView topLeftCell="A7" workbookViewId="0">
      <selection activeCell="C23" sqref="C23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8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1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2.796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19921875" bestFit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>
      <c r="A2" s="4" t="s">
        <v>46</v>
      </c>
      <c r="B2" s="4" t="s">
        <v>47</v>
      </c>
      <c r="C2" s="28" t="s">
        <v>48</v>
      </c>
      <c r="D2" s="28" t="s">
        <v>62</v>
      </c>
      <c r="E2" s="4" t="s">
        <v>49</v>
      </c>
      <c r="F2" s="4" t="s">
        <v>50</v>
      </c>
      <c r="G2" s="4" t="s">
        <v>74</v>
      </c>
      <c r="H2" s="4" t="s">
        <v>75</v>
      </c>
      <c r="I2" s="4" t="s">
        <v>51</v>
      </c>
      <c r="J2" s="4" t="s">
        <v>65</v>
      </c>
      <c r="K2" s="4" t="s">
        <v>76</v>
      </c>
      <c r="L2" s="4" t="s">
        <v>61</v>
      </c>
      <c r="M2" s="4" t="s">
        <v>77</v>
      </c>
      <c r="N2" s="4" t="s">
        <v>52</v>
      </c>
      <c r="O2" s="4" t="s">
        <v>52</v>
      </c>
      <c r="P2" s="4" t="s">
        <v>52</v>
      </c>
      <c r="Q2" s="4" t="s">
        <v>78</v>
      </c>
      <c r="R2" s="4" t="s">
        <v>53</v>
      </c>
      <c r="S2" s="4" t="s">
        <v>54</v>
      </c>
      <c r="T2" s="2">
        <v>96900</v>
      </c>
      <c r="U2" s="2">
        <v>170240</v>
      </c>
      <c r="V2" s="2">
        <v>15600</v>
      </c>
      <c r="W2" s="2">
        <v>105660</v>
      </c>
      <c r="X2" s="2">
        <v>282740</v>
      </c>
      <c r="Y2" s="2">
        <v>105660</v>
      </c>
      <c r="Z2" s="2">
        <v>388400</v>
      </c>
      <c r="AA2" s="2">
        <v>116280</v>
      </c>
      <c r="AB2" s="2">
        <v>170240</v>
      </c>
      <c r="AC2" s="2">
        <v>18500</v>
      </c>
      <c r="AD2" s="2">
        <v>105660</v>
      </c>
      <c r="AE2" s="2">
        <v>305020</v>
      </c>
      <c r="AF2" s="2">
        <v>105660</v>
      </c>
      <c r="AG2" s="2">
        <v>410680</v>
      </c>
      <c r="AH2" s="2">
        <v>104652</v>
      </c>
      <c r="AI2" s="2">
        <v>165132.79999999999</v>
      </c>
      <c r="AJ2" s="2">
        <v>12950</v>
      </c>
      <c r="AK2" s="2">
        <v>95094</v>
      </c>
      <c r="AL2" s="2">
        <v>282734.8</v>
      </c>
      <c r="AM2" s="2">
        <v>95094</v>
      </c>
      <c r="AN2" s="2">
        <v>388400</v>
      </c>
      <c r="AO2" s="4" t="s">
        <v>55</v>
      </c>
      <c r="AP2" s="4" t="s">
        <v>55</v>
      </c>
      <c r="AQ2" s="4" t="s">
        <v>55</v>
      </c>
      <c r="AR2" s="4" t="s">
        <v>55</v>
      </c>
      <c r="AS2" s="2">
        <v>226697</v>
      </c>
      <c r="AT2" s="2">
        <v>0</v>
      </c>
      <c r="AU2" s="2">
        <v>226697</v>
      </c>
    </row>
    <row r="3" spans="1:47">
      <c r="A3" s="4" t="s">
        <v>46</v>
      </c>
      <c r="B3" s="4" t="s">
        <v>47</v>
      </c>
      <c r="C3" s="28" t="s">
        <v>48</v>
      </c>
      <c r="D3" s="28" t="s">
        <v>62</v>
      </c>
      <c r="E3" s="4" t="s">
        <v>49</v>
      </c>
      <c r="F3" s="4" t="s">
        <v>50</v>
      </c>
      <c r="G3" s="4" t="s">
        <v>74</v>
      </c>
      <c r="H3" s="4" t="s">
        <v>75</v>
      </c>
      <c r="I3" s="4" t="s">
        <v>51</v>
      </c>
      <c r="J3" s="4" t="s">
        <v>65</v>
      </c>
      <c r="K3" s="4" t="s">
        <v>76</v>
      </c>
      <c r="L3" s="4" t="s">
        <v>61</v>
      </c>
      <c r="M3" s="4" t="s">
        <v>77</v>
      </c>
      <c r="N3" s="4" t="s">
        <v>52</v>
      </c>
      <c r="O3" s="4" t="s">
        <v>52</v>
      </c>
      <c r="P3" s="4" t="s">
        <v>52</v>
      </c>
      <c r="Q3" s="4" t="s">
        <v>78</v>
      </c>
      <c r="R3" s="4" t="s">
        <v>53</v>
      </c>
      <c r="S3" s="4" t="s">
        <v>56</v>
      </c>
      <c r="T3" s="2">
        <v>122000</v>
      </c>
      <c r="U3" s="2">
        <v>259300</v>
      </c>
      <c r="V3" s="2">
        <v>21100</v>
      </c>
      <c r="W3" s="2">
        <v>53600</v>
      </c>
      <c r="X3" s="2">
        <v>402400</v>
      </c>
      <c r="Y3" s="2">
        <v>53600</v>
      </c>
      <c r="Z3" s="2">
        <v>456000</v>
      </c>
      <c r="AA3" s="2">
        <v>146400</v>
      </c>
      <c r="AB3" s="2">
        <v>259300</v>
      </c>
      <c r="AC3" s="2">
        <v>24630</v>
      </c>
      <c r="AD3" s="2">
        <v>53600</v>
      </c>
      <c r="AE3" s="2">
        <v>430330</v>
      </c>
      <c r="AF3" s="2">
        <v>53600</v>
      </c>
      <c r="AG3" s="2">
        <v>483930</v>
      </c>
      <c r="AH3" s="2">
        <v>131760</v>
      </c>
      <c r="AI3" s="2">
        <v>251521</v>
      </c>
      <c r="AJ3" s="2">
        <v>17241</v>
      </c>
      <c r="AK3" s="2">
        <v>48240</v>
      </c>
      <c r="AL3" s="2">
        <v>400522</v>
      </c>
      <c r="AM3" s="2">
        <v>48240</v>
      </c>
      <c r="AN3" s="2">
        <v>456000</v>
      </c>
      <c r="AO3" s="4" t="s">
        <v>55</v>
      </c>
      <c r="AP3" s="4" t="s">
        <v>55</v>
      </c>
      <c r="AQ3" s="4" t="s">
        <v>55</v>
      </c>
      <c r="AR3" s="4" t="s">
        <v>55</v>
      </c>
      <c r="AS3" s="2">
        <v>269258</v>
      </c>
      <c r="AT3" s="2">
        <v>0</v>
      </c>
      <c r="AU3" s="2">
        <v>269258</v>
      </c>
    </row>
    <row r="4" spans="1:47">
      <c r="A4" s="4" t="s">
        <v>46</v>
      </c>
      <c r="B4" s="4" t="s">
        <v>47</v>
      </c>
      <c r="C4" s="28" t="s">
        <v>48</v>
      </c>
      <c r="D4" s="28" t="s">
        <v>62</v>
      </c>
      <c r="E4" s="4" t="s">
        <v>49</v>
      </c>
      <c r="F4" s="4" t="s">
        <v>50</v>
      </c>
      <c r="G4" s="4" t="s">
        <v>74</v>
      </c>
      <c r="H4" s="4" t="s">
        <v>75</v>
      </c>
      <c r="I4" s="4" t="s">
        <v>51</v>
      </c>
      <c r="J4" s="4" t="s">
        <v>65</v>
      </c>
      <c r="K4" s="4" t="s">
        <v>76</v>
      </c>
      <c r="L4" s="4" t="s">
        <v>61</v>
      </c>
      <c r="M4" s="4" t="s">
        <v>77</v>
      </c>
      <c r="N4" s="4" t="s">
        <v>52</v>
      </c>
      <c r="O4" s="4" t="s">
        <v>52</v>
      </c>
      <c r="P4" s="4" t="s">
        <v>52</v>
      </c>
      <c r="Q4" s="4" t="s">
        <v>78</v>
      </c>
      <c r="R4" s="4" t="s">
        <v>53</v>
      </c>
      <c r="S4" s="4" t="s">
        <v>56</v>
      </c>
      <c r="T4" s="2">
        <v>21600</v>
      </c>
      <c r="U4" s="2">
        <v>85800</v>
      </c>
      <c r="V4" s="2">
        <v>32400</v>
      </c>
      <c r="W4" s="2">
        <v>33800</v>
      </c>
      <c r="X4" s="2">
        <v>139800</v>
      </c>
      <c r="Y4" s="2">
        <v>33800</v>
      </c>
      <c r="Z4" s="2">
        <v>173600</v>
      </c>
      <c r="AA4" s="2">
        <v>25920</v>
      </c>
      <c r="AB4" s="2">
        <v>85800</v>
      </c>
      <c r="AC4" s="2">
        <v>38860</v>
      </c>
      <c r="AD4" s="2">
        <v>33800</v>
      </c>
      <c r="AE4" s="2">
        <v>150580</v>
      </c>
      <c r="AF4" s="2">
        <v>33800</v>
      </c>
      <c r="AG4" s="2">
        <v>184380</v>
      </c>
      <c r="AH4" s="2">
        <v>23328</v>
      </c>
      <c r="AI4" s="2">
        <v>83226</v>
      </c>
      <c r="AJ4" s="2">
        <v>27202</v>
      </c>
      <c r="AK4" s="2">
        <v>30420</v>
      </c>
      <c r="AL4" s="2">
        <v>133756</v>
      </c>
      <c r="AM4" s="2">
        <v>30420</v>
      </c>
      <c r="AN4" s="2">
        <v>173600</v>
      </c>
      <c r="AO4" s="4" t="s">
        <v>55</v>
      </c>
      <c r="AP4" s="4" t="s">
        <v>55</v>
      </c>
      <c r="AQ4" s="4" t="s">
        <v>55</v>
      </c>
      <c r="AR4" s="4" t="s">
        <v>55</v>
      </c>
      <c r="AS4" s="2">
        <v>98506</v>
      </c>
      <c r="AT4" s="2">
        <v>0</v>
      </c>
      <c r="AU4" s="2">
        <v>98506</v>
      </c>
    </row>
    <row r="5" spans="1:47">
      <c r="A5" s="4" t="s">
        <v>46</v>
      </c>
      <c r="B5" s="4" t="s">
        <v>47</v>
      </c>
      <c r="C5" s="28" t="s">
        <v>48</v>
      </c>
      <c r="D5" s="28" t="s">
        <v>62</v>
      </c>
      <c r="E5" s="4" t="s">
        <v>49</v>
      </c>
      <c r="F5" s="4" t="s">
        <v>50</v>
      </c>
      <c r="G5" s="4" t="s">
        <v>74</v>
      </c>
      <c r="H5" s="4" t="s">
        <v>75</v>
      </c>
      <c r="I5" s="4" t="s">
        <v>51</v>
      </c>
      <c r="J5" s="4" t="s">
        <v>65</v>
      </c>
      <c r="K5" s="4" t="s">
        <v>76</v>
      </c>
      <c r="L5" s="4" t="s">
        <v>61</v>
      </c>
      <c r="M5" s="4" t="s">
        <v>77</v>
      </c>
      <c r="N5" s="4" t="s">
        <v>52</v>
      </c>
      <c r="O5" s="4" t="s">
        <v>52</v>
      </c>
      <c r="P5" s="4" t="s">
        <v>52</v>
      </c>
      <c r="Q5" s="4" t="s">
        <v>78</v>
      </c>
      <c r="R5" s="4" t="s">
        <v>53</v>
      </c>
      <c r="S5" s="4" t="s">
        <v>56</v>
      </c>
      <c r="T5" s="2">
        <v>173470</v>
      </c>
      <c r="U5" s="2">
        <v>245900</v>
      </c>
      <c r="V5" s="2">
        <v>18000</v>
      </c>
      <c r="W5" s="2">
        <v>12630</v>
      </c>
      <c r="X5" s="2">
        <v>437370</v>
      </c>
      <c r="Y5" s="2">
        <v>12630</v>
      </c>
      <c r="Z5" s="2">
        <v>450000</v>
      </c>
      <c r="AA5" s="2">
        <v>208164</v>
      </c>
      <c r="AB5" s="2">
        <v>245900</v>
      </c>
      <c r="AC5" s="2">
        <v>21600</v>
      </c>
      <c r="AD5" s="2">
        <v>12630</v>
      </c>
      <c r="AE5" s="2">
        <v>475664</v>
      </c>
      <c r="AF5" s="2">
        <v>12630</v>
      </c>
      <c r="AG5" s="2">
        <v>488294</v>
      </c>
      <c r="AH5" s="2">
        <v>187347.6</v>
      </c>
      <c r="AI5" s="2">
        <v>238523</v>
      </c>
      <c r="AJ5" s="2">
        <v>15120</v>
      </c>
      <c r="AK5" s="2">
        <v>11367</v>
      </c>
      <c r="AL5" s="2">
        <v>440990.6</v>
      </c>
      <c r="AM5" s="2">
        <v>11367</v>
      </c>
      <c r="AN5" s="2">
        <v>450000</v>
      </c>
      <c r="AO5" s="4" t="s">
        <v>55</v>
      </c>
      <c r="AP5" s="4" t="s">
        <v>55</v>
      </c>
      <c r="AQ5" s="4" t="s">
        <v>55</v>
      </c>
      <c r="AR5" s="4" t="s">
        <v>55</v>
      </c>
      <c r="AS5" s="2">
        <v>271415</v>
      </c>
      <c r="AT5" s="2">
        <v>0</v>
      </c>
      <c r="AU5" s="2">
        <v>271415</v>
      </c>
    </row>
    <row r="6" spans="1:47">
      <c r="A6" s="4" t="s">
        <v>46</v>
      </c>
      <c r="B6" s="4" t="s">
        <v>47</v>
      </c>
      <c r="C6" s="28" t="s">
        <v>48</v>
      </c>
      <c r="D6" s="28" t="s">
        <v>62</v>
      </c>
      <c r="E6" s="4" t="s">
        <v>49</v>
      </c>
      <c r="F6" s="4" t="s">
        <v>50</v>
      </c>
      <c r="G6" s="4" t="s">
        <v>74</v>
      </c>
      <c r="H6" s="4" t="s">
        <v>75</v>
      </c>
      <c r="I6" s="4" t="s">
        <v>51</v>
      </c>
      <c r="J6" s="4" t="s">
        <v>65</v>
      </c>
      <c r="K6" s="4" t="s">
        <v>76</v>
      </c>
      <c r="L6" s="4" t="s">
        <v>61</v>
      </c>
      <c r="M6" s="4" t="s">
        <v>77</v>
      </c>
      <c r="N6" s="4" t="s">
        <v>52</v>
      </c>
      <c r="O6" s="4" t="s">
        <v>52</v>
      </c>
      <c r="P6" s="4" t="s">
        <v>52</v>
      </c>
      <c r="Q6" s="4" t="s">
        <v>78</v>
      </c>
      <c r="R6" s="4" t="s">
        <v>53</v>
      </c>
      <c r="S6" s="4" t="s">
        <v>59</v>
      </c>
      <c r="T6" s="2">
        <v>2169400</v>
      </c>
      <c r="U6" s="2">
        <v>3901690</v>
      </c>
      <c r="V6" s="2">
        <v>525770</v>
      </c>
      <c r="W6" s="2">
        <v>4083140</v>
      </c>
      <c r="X6" s="2">
        <v>6596860</v>
      </c>
      <c r="Y6" s="2">
        <v>4083140</v>
      </c>
      <c r="Z6" s="2">
        <v>10680000</v>
      </c>
      <c r="AA6" s="2">
        <v>2603280</v>
      </c>
      <c r="AB6" s="2">
        <v>3901690</v>
      </c>
      <c r="AC6" s="2">
        <v>621810</v>
      </c>
      <c r="AD6" s="2">
        <v>4083140</v>
      </c>
      <c r="AE6" s="2">
        <v>7126780</v>
      </c>
      <c r="AF6" s="2">
        <v>4083140</v>
      </c>
      <c r="AG6" s="2">
        <v>11209920</v>
      </c>
      <c r="AH6" s="2">
        <v>2342952</v>
      </c>
      <c r="AI6" s="2">
        <v>3784639.3</v>
      </c>
      <c r="AJ6" s="2">
        <v>435267</v>
      </c>
      <c r="AK6" s="2">
        <v>3674826</v>
      </c>
      <c r="AL6" s="2">
        <v>6562858.2999999998</v>
      </c>
      <c r="AM6" s="2">
        <v>3674826</v>
      </c>
      <c r="AN6" s="2">
        <v>10680000</v>
      </c>
      <c r="AO6" s="4" t="s">
        <v>55</v>
      </c>
      <c r="AP6" s="4" t="s">
        <v>55</v>
      </c>
      <c r="AQ6" s="4" t="s">
        <v>55</v>
      </c>
      <c r="AR6" s="4" t="s">
        <v>55</v>
      </c>
      <c r="AS6" s="2">
        <v>6142611</v>
      </c>
      <c r="AT6" s="2">
        <v>0</v>
      </c>
      <c r="AU6" s="2">
        <v>6142611</v>
      </c>
    </row>
    <row r="7" spans="1:47">
      <c r="A7" s="4" t="s">
        <v>46</v>
      </c>
      <c r="B7" s="4" t="s">
        <v>47</v>
      </c>
      <c r="C7" s="28" t="s">
        <v>48</v>
      </c>
      <c r="D7" s="28" t="s">
        <v>62</v>
      </c>
      <c r="E7" s="4" t="s">
        <v>49</v>
      </c>
      <c r="F7" s="4" t="s">
        <v>50</v>
      </c>
      <c r="G7" s="4" t="s">
        <v>74</v>
      </c>
      <c r="H7" s="4" t="s">
        <v>75</v>
      </c>
      <c r="I7" s="4" t="s">
        <v>51</v>
      </c>
      <c r="J7" s="4" t="s">
        <v>65</v>
      </c>
      <c r="K7" s="4" t="s">
        <v>76</v>
      </c>
      <c r="L7" s="4" t="s">
        <v>61</v>
      </c>
      <c r="M7" s="4" t="s">
        <v>77</v>
      </c>
      <c r="N7" s="4" t="s">
        <v>52</v>
      </c>
      <c r="O7" s="4" t="s">
        <v>52</v>
      </c>
      <c r="P7" s="4" t="s">
        <v>52</v>
      </c>
      <c r="Q7" s="4" t="s">
        <v>78</v>
      </c>
      <c r="R7" s="4" t="s">
        <v>53</v>
      </c>
      <c r="S7" s="4" t="s">
        <v>60</v>
      </c>
      <c r="T7" s="2">
        <v>2154850</v>
      </c>
      <c r="U7" s="2">
        <v>4540320</v>
      </c>
      <c r="V7" s="2">
        <v>327440</v>
      </c>
      <c r="W7" s="2">
        <v>1486190</v>
      </c>
      <c r="X7" s="2">
        <v>7022610</v>
      </c>
      <c r="Y7" s="2">
        <v>1486190</v>
      </c>
      <c r="Z7" s="2">
        <v>8508800</v>
      </c>
      <c r="AA7" s="2">
        <v>2585820</v>
      </c>
      <c r="AB7" s="2">
        <v>4540320</v>
      </c>
      <c r="AC7" s="2">
        <v>387715</v>
      </c>
      <c r="AD7" s="2">
        <v>1486190</v>
      </c>
      <c r="AE7" s="2">
        <v>7513855</v>
      </c>
      <c r="AF7" s="2">
        <v>1486190</v>
      </c>
      <c r="AG7" s="2">
        <v>9000045</v>
      </c>
      <c r="AH7" s="2">
        <v>2327238</v>
      </c>
      <c r="AI7" s="2">
        <v>4404110.4000000004</v>
      </c>
      <c r="AJ7" s="2">
        <v>271400.5</v>
      </c>
      <c r="AK7" s="2">
        <v>1337571</v>
      </c>
      <c r="AL7" s="2">
        <v>7002748.9000000004</v>
      </c>
      <c r="AM7" s="2">
        <v>1337571</v>
      </c>
      <c r="AN7" s="2">
        <v>8508800</v>
      </c>
      <c r="AO7" s="4" t="s">
        <v>55</v>
      </c>
      <c r="AP7" s="4" t="s">
        <v>55</v>
      </c>
      <c r="AQ7" s="4" t="s">
        <v>55</v>
      </c>
      <c r="AR7" s="4" t="s">
        <v>55</v>
      </c>
      <c r="AS7" s="2">
        <v>5004192</v>
      </c>
      <c r="AT7" s="2">
        <v>0</v>
      </c>
      <c r="AU7" s="2">
        <v>5004192</v>
      </c>
    </row>
    <row r="8" spans="1:47">
      <c r="A8" s="4" t="s">
        <v>46</v>
      </c>
      <c r="B8" s="4" t="s">
        <v>47</v>
      </c>
      <c r="C8" s="28" t="s">
        <v>48</v>
      </c>
      <c r="D8" s="28" t="s">
        <v>62</v>
      </c>
      <c r="E8" s="4" t="s">
        <v>49</v>
      </c>
      <c r="F8" s="4" t="s">
        <v>50</v>
      </c>
      <c r="G8" s="4" t="s">
        <v>74</v>
      </c>
      <c r="H8" s="4" t="s">
        <v>75</v>
      </c>
      <c r="I8" s="4" t="s">
        <v>51</v>
      </c>
      <c r="J8" s="4" t="s">
        <v>65</v>
      </c>
      <c r="K8" s="4" t="s">
        <v>76</v>
      </c>
      <c r="L8" s="4" t="s">
        <v>61</v>
      </c>
      <c r="M8" s="4" t="s">
        <v>77</v>
      </c>
      <c r="N8" s="4" t="s">
        <v>52</v>
      </c>
      <c r="O8" s="4" t="s">
        <v>52</v>
      </c>
      <c r="P8" s="4" t="s">
        <v>52</v>
      </c>
      <c r="Q8" s="4" t="s">
        <v>78</v>
      </c>
      <c r="R8" s="4" t="s">
        <v>53</v>
      </c>
      <c r="S8" s="4" t="s">
        <v>60</v>
      </c>
      <c r="T8" s="2">
        <v>1036690</v>
      </c>
      <c r="U8" s="2">
        <v>1439820</v>
      </c>
      <c r="V8" s="2">
        <v>209600</v>
      </c>
      <c r="W8" s="2">
        <v>219690</v>
      </c>
      <c r="X8" s="2">
        <v>2686110</v>
      </c>
      <c r="Y8" s="2">
        <v>219690</v>
      </c>
      <c r="Z8" s="2">
        <v>2905800</v>
      </c>
      <c r="AA8" s="2">
        <v>1244028</v>
      </c>
      <c r="AB8" s="2">
        <v>1439820</v>
      </c>
      <c r="AC8" s="2">
        <v>248850</v>
      </c>
      <c r="AD8" s="2">
        <v>219690</v>
      </c>
      <c r="AE8" s="2">
        <v>2932698</v>
      </c>
      <c r="AF8" s="2">
        <v>219690</v>
      </c>
      <c r="AG8" s="2">
        <v>3152388</v>
      </c>
      <c r="AH8" s="2">
        <v>1119625.2</v>
      </c>
      <c r="AI8" s="2">
        <v>1396625.4</v>
      </c>
      <c r="AJ8" s="2">
        <v>174195</v>
      </c>
      <c r="AK8" s="2">
        <v>197721</v>
      </c>
      <c r="AL8" s="2">
        <v>2690445.6</v>
      </c>
      <c r="AM8" s="2">
        <v>197721</v>
      </c>
      <c r="AN8" s="2">
        <v>2905800</v>
      </c>
      <c r="AO8" s="4" t="s">
        <v>55</v>
      </c>
      <c r="AP8" s="4" t="s">
        <v>55</v>
      </c>
      <c r="AQ8" s="4" t="s">
        <v>55</v>
      </c>
      <c r="AR8" s="4" t="s">
        <v>55</v>
      </c>
      <c r="AS8" s="2">
        <v>1732900</v>
      </c>
      <c r="AT8" s="2">
        <v>0</v>
      </c>
      <c r="AU8" s="2">
        <v>1732900</v>
      </c>
    </row>
    <row r="9" spans="1:47">
      <c r="A9" s="4" t="s">
        <v>46</v>
      </c>
      <c r="B9" s="4" t="s">
        <v>47</v>
      </c>
      <c r="C9" s="28" t="s">
        <v>48</v>
      </c>
      <c r="D9" s="28" t="s">
        <v>62</v>
      </c>
      <c r="E9" s="4" t="s">
        <v>49</v>
      </c>
      <c r="F9" s="4" t="s">
        <v>50</v>
      </c>
      <c r="G9" s="4" t="s">
        <v>74</v>
      </c>
      <c r="H9" s="4" t="s">
        <v>75</v>
      </c>
      <c r="I9" s="4" t="s">
        <v>51</v>
      </c>
      <c r="J9" s="4" t="s">
        <v>65</v>
      </c>
      <c r="K9" s="4" t="s">
        <v>76</v>
      </c>
      <c r="L9" s="4" t="s">
        <v>61</v>
      </c>
      <c r="M9" s="4" t="s">
        <v>77</v>
      </c>
      <c r="N9" s="4" t="s">
        <v>52</v>
      </c>
      <c r="O9" s="4" t="s">
        <v>52</v>
      </c>
      <c r="P9" s="4" t="s">
        <v>52</v>
      </c>
      <c r="Q9" s="4" t="s">
        <v>78</v>
      </c>
      <c r="R9" s="4" t="s">
        <v>53</v>
      </c>
      <c r="S9" s="4" t="s">
        <v>60</v>
      </c>
      <c r="T9" s="2">
        <v>483310</v>
      </c>
      <c r="U9" s="2">
        <v>765170</v>
      </c>
      <c r="V9" s="2">
        <v>81500</v>
      </c>
      <c r="W9" s="2">
        <v>126220</v>
      </c>
      <c r="X9" s="2">
        <v>1329980</v>
      </c>
      <c r="Y9" s="2">
        <v>126220</v>
      </c>
      <c r="Z9" s="2">
        <v>1456200</v>
      </c>
      <c r="AA9" s="2">
        <v>579972</v>
      </c>
      <c r="AB9" s="2">
        <v>765170</v>
      </c>
      <c r="AC9" s="2">
        <v>96920</v>
      </c>
      <c r="AD9" s="2">
        <v>126220</v>
      </c>
      <c r="AE9" s="2">
        <v>1442062</v>
      </c>
      <c r="AF9" s="2">
        <v>126220</v>
      </c>
      <c r="AG9" s="2">
        <v>1568282</v>
      </c>
      <c r="AH9" s="2">
        <v>521974.8</v>
      </c>
      <c r="AI9" s="2">
        <v>742214.9</v>
      </c>
      <c r="AJ9" s="2">
        <v>67844</v>
      </c>
      <c r="AK9" s="2">
        <v>113598</v>
      </c>
      <c r="AL9" s="2">
        <v>1332033.7</v>
      </c>
      <c r="AM9" s="2">
        <v>113598</v>
      </c>
      <c r="AN9" s="2">
        <v>1456200</v>
      </c>
      <c r="AO9" s="4" t="s">
        <v>55</v>
      </c>
      <c r="AP9" s="4" t="s">
        <v>55</v>
      </c>
      <c r="AQ9" s="4" t="s">
        <v>55</v>
      </c>
      <c r="AR9" s="4" t="s">
        <v>55</v>
      </c>
      <c r="AS9" s="2">
        <v>867379</v>
      </c>
      <c r="AT9" s="2">
        <v>0</v>
      </c>
      <c r="AU9" s="2">
        <v>867379</v>
      </c>
    </row>
    <row r="10" spans="1:47">
      <c r="AU10" s="6">
        <f>SUM(AU2:AU9)</f>
        <v>14612958</v>
      </c>
    </row>
    <row r="12" spans="1:47" s="4" customFormat="1">
      <c r="A12" s="7" t="s">
        <v>116</v>
      </c>
      <c r="B12" s="8"/>
      <c r="C12" s="8"/>
      <c r="D12" s="9"/>
    </row>
    <row r="13" spans="1:47" s="4" customFormat="1">
      <c r="A13" s="10" t="s">
        <v>103</v>
      </c>
      <c r="B13" s="10" t="s">
        <v>104</v>
      </c>
      <c r="C13" s="10" t="s">
        <v>117</v>
      </c>
      <c r="D13" s="10" t="s">
        <v>106</v>
      </c>
    </row>
    <row r="14" spans="1:47" s="4" customFormat="1">
      <c r="A14" s="11">
        <v>202109</v>
      </c>
      <c r="B14" s="12">
        <v>50000000</v>
      </c>
      <c r="C14" s="13">
        <v>83595</v>
      </c>
      <c r="D14" s="14">
        <f>B14-C14</f>
        <v>49916405</v>
      </c>
    </row>
    <row r="15" spans="1:47" s="4" customFormat="1">
      <c r="A15" s="11">
        <v>202110</v>
      </c>
      <c r="B15" s="12"/>
      <c r="C15" s="15">
        <v>46964380</v>
      </c>
      <c r="D15" s="14">
        <f>D14-C15</f>
        <v>2952025</v>
      </c>
    </row>
    <row r="16" spans="1:47" s="4" customFormat="1">
      <c r="A16" s="11">
        <v>202111</v>
      </c>
      <c r="B16" s="12">
        <v>50000000</v>
      </c>
      <c r="C16" s="12">
        <v>12173136</v>
      </c>
      <c r="D16" s="14">
        <f>D15+B16-C16</f>
        <v>40778889</v>
      </c>
    </row>
    <row r="17" spans="1:4" s="4" customFormat="1">
      <c r="A17" s="11">
        <v>202112</v>
      </c>
      <c r="B17" s="12"/>
      <c r="C17" s="12">
        <v>16953709</v>
      </c>
      <c r="D17" s="14">
        <f>D16+B17-C17</f>
        <v>23825180</v>
      </c>
    </row>
    <row r="18" spans="1:4" s="4" customFormat="1">
      <c r="A18" s="11">
        <v>202201</v>
      </c>
      <c r="B18" s="12"/>
      <c r="C18" s="12">
        <v>15233547</v>
      </c>
      <c r="D18" s="14">
        <f>D17-C18</f>
        <v>8591633</v>
      </c>
    </row>
    <row r="19" spans="1:4" s="4" customFormat="1">
      <c r="A19" s="11">
        <v>202202</v>
      </c>
      <c r="B19" s="12">
        <v>50000000</v>
      </c>
      <c r="C19" s="27">
        <v>12280571</v>
      </c>
      <c r="D19" s="14">
        <f>D18-C19+B19</f>
        <v>46311062</v>
      </c>
    </row>
    <row r="20" spans="1:4" s="4" customFormat="1">
      <c r="A20" s="11">
        <v>202203</v>
      </c>
      <c r="B20" s="12"/>
      <c r="C20" s="12">
        <v>22760893</v>
      </c>
      <c r="D20" s="14">
        <f>D19-C20+B20</f>
        <v>23550169</v>
      </c>
    </row>
    <row r="21" spans="1:4" s="4" customFormat="1">
      <c r="A21" s="11">
        <v>202204</v>
      </c>
      <c r="B21" s="12">
        <v>50000000</v>
      </c>
      <c r="C21" s="19">
        <v>16301202</v>
      </c>
      <c r="D21" s="14">
        <f>D20-C21+B21</f>
        <v>57248967</v>
      </c>
    </row>
    <row r="22" spans="1:4" s="4" customFormat="1">
      <c r="A22" s="11">
        <v>202205</v>
      </c>
      <c r="B22" s="12"/>
      <c r="C22" s="19">
        <v>13436396</v>
      </c>
      <c r="D22" s="14">
        <f>D21-C22+B22</f>
        <v>43812571</v>
      </c>
    </row>
    <row r="23" spans="1:4" s="4" customFormat="1">
      <c r="A23" s="11">
        <v>202206</v>
      </c>
      <c r="B23" s="12"/>
      <c r="C23" s="14">
        <f>AU10</f>
        <v>14612958</v>
      </c>
      <c r="D23" s="14">
        <f>D22-C23+B23</f>
        <v>29199613</v>
      </c>
    </row>
    <row r="24" spans="1:4" s="4" customFormat="1">
      <c r="A24" s="11"/>
      <c r="B24" s="17"/>
      <c r="C24" s="14"/>
      <c r="D24" s="14"/>
    </row>
    <row r="25" spans="1:4" s="4" customFormat="1">
      <c r="A25" s="21" t="s">
        <v>111</v>
      </c>
      <c r="B25" s="22">
        <f>SUM(B14:B24)</f>
        <v>200000000</v>
      </c>
      <c r="C25" s="22">
        <f>SUM(C14:C24)</f>
        <v>170800387</v>
      </c>
      <c r="D25" s="22"/>
    </row>
    <row r="26" spans="1:4" s="4" customFormat="1"/>
    <row r="27" spans="1:4" s="4" customFormat="1">
      <c r="A27" s="23" t="s">
        <v>118</v>
      </c>
    </row>
    <row r="28" spans="1:4" s="4" customFormat="1">
      <c r="A28" s="23" t="s">
        <v>119</v>
      </c>
    </row>
    <row r="29" spans="1:4" s="4" customFormat="1">
      <c r="A29" s="23" t="s">
        <v>120</v>
      </c>
    </row>
    <row r="30" spans="1:4">
      <c r="A30" s="23" t="s">
        <v>121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U24"/>
  <sheetViews>
    <sheetView workbookViewId="0">
      <selection activeCell="A13" sqref="A13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9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8.89843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>
      <c r="A2" s="4" t="s">
        <v>46</v>
      </c>
      <c r="B2" s="4" t="s">
        <v>47</v>
      </c>
      <c r="C2" s="4" t="s">
        <v>48</v>
      </c>
      <c r="D2" s="4" t="s">
        <v>62</v>
      </c>
      <c r="E2" s="4" t="s">
        <v>49</v>
      </c>
      <c r="F2" s="4" t="s">
        <v>50</v>
      </c>
      <c r="G2" s="4" t="s">
        <v>85</v>
      </c>
      <c r="H2" s="4" t="s">
        <v>86</v>
      </c>
      <c r="I2" s="4" t="s">
        <v>51</v>
      </c>
      <c r="J2" s="4" t="s">
        <v>65</v>
      </c>
      <c r="K2" s="4" t="s">
        <v>87</v>
      </c>
      <c r="L2" s="4" t="s">
        <v>57</v>
      </c>
      <c r="M2" s="4" t="s">
        <v>88</v>
      </c>
      <c r="N2" s="4" t="s">
        <v>52</v>
      </c>
      <c r="O2" s="4" t="s">
        <v>52</v>
      </c>
      <c r="P2" s="4" t="s">
        <v>52</v>
      </c>
      <c r="Q2" s="4" t="s">
        <v>89</v>
      </c>
      <c r="R2" s="4" t="s">
        <v>53</v>
      </c>
      <c r="S2" s="4" t="s">
        <v>54</v>
      </c>
      <c r="T2" s="2">
        <v>4800</v>
      </c>
      <c r="U2" s="2">
        <v>21060</v>
      </c>
      <c r="V2" s="2">
        <v>4000</v>
      </c>
      <c r="W2" s="2">
        <v>39340</v>
      </c>
      <c r="X2" s="2">
        <v>29860</v>
      </c>
      <c r="Y2" s="2">
        <v>39340</v>
      </c>
      <c r="Z2" s="2">
        <v>69200</v>
      </c>
      <c r="AA2" s="2">
        <v>5760</v>
      </c>
      <c r="AB2" s="2">
        <v>21060</v>
      </c>
      <c r="AC2" s="2">
        <v>4800</v>
      </c>
      <c r="AD2" s="2">
        <v>39340</v>
      </c>
      <c r="AE2" s="2">
        <v>31620</v>
      </c>
      <c r="AF2" s="2">
        <v>39340</v>
      </c>
      <c r="AG2" s="2">
        <v>70960</v>
      </c>
      <c r="AH2" s="2">
        <v>5184</v>
      </c>
      <c r="AI2" s="2">
        <v>20428.2</v>
      </c>
      <c r="AJ2" s="2">
        <v>3360</v>
      </c>
      <c r="AK2" s="2">
        <v>35406</v>
      </c>
      <c r="AL2" s="2">
        <v>28972.2</v>
      </c>
      <c r="AM2" s="2">
        <v>35406</v>
      </c>
      <c r="AN2" s="2">
        <v>69200</v>
      </c>
      <c r="AO2" s="4" t="s">
        <v>55</v>
      </c>
      <c r="AP2" s="4" t="s">
        <v>55</v>
      </c>
      <c r="AQ2" s="4" t="s">
        <v>55</v>
      </c>
      <c r="AR2" s="4" t="s">
        <v>55</v>
      </c>
      <c r="AS2" s="2">
        <v>38627</v>
      </c>
      <c r="AT2" s="2">
        <v>0</v>
      </c>
      <c r="AU2" s="2">
        <v>38627</v>
      </c>
    </row>
    <row r="3" spans="1:47">
      <c r="A3" s="4" t="s">
        <v>46</v>
      </c>
      <c r="B3" s="4" t="s">
        <v>47</v>
      </c>
      <c r="C3" s="4" t="s">
        <v>48</v>
      </c>
      <c r="D3" s="4" t="s">
        <v>62</v>
      </c>
      <c r="E3" s="4" t="s">
        <v>49</v>
      </c>
      <c r="F3" s="4" t="s">
        <v>50</v>
      </c>
      <c r="G3" s="4" t="s">
        <v>85</v>
      </c>
      <c r="H3" s="4" t="s">
        <v>86</v>
      </c>
      <c r="I3" s="4" t="s">
        <v>51</v>
      </c>
      <c r="J3" s="4" t="s">
        <v>65</v>
      </c>
      <c r="K3" s="4" t="s">
        <v>87</v>
      </c>
      <c r="L3" s="4" t="s">
        <v>57</v>
      </c>
      <c r="M3" s="4" t="s">
        <v>88</v>
      </c>
      <c r="N3" s="4" t="s">
        <v>52</v>
      </c>
      <c r="O3" s="4" t="s">
        <v>52</v>
      </c>
      <c r="P3" s="4" t="s">
        <v>52</v>
      </c>
      <c r="Q3" s="4" t="s">
        <v>89</v>
      </c>
      <c r="R3" s="4" t="s">
        <v>53</v>
      </c>
      <c r="S3" s="4" t="s">
        <v>56</v>
      </c>
      <c r="T3" s="2">
        <v>7200</v>
      </c>
      <c r="U3" s="2">
        <v>29700</v>
      </c>
      <c r="V3" s="2">
        <v>7200</v>
      </c>
      <c r="W3" s="2">
        <v>2700</v>
      </c>
      <c r="X3" s="2">
        <v>44100</v>
      </c>
      <c r="Y3" s="2">
        <v>2700</v>
      </c>
      <c r="Z3" s="2">
        <v>46800</v>
      </c>
      <c r="AA3" s="2">
        <v>8640</v>
      </c>
      <c r="AB3" s="2">
        <v>29700</v>
      </c>
      <c r="AC3" s="2">
        <v>8640</v>
      </c>
      <c r="AD3" s="2">
        <v>2700</v>
      </c>
      <c r="AE3" s="2">
        <v>46980</v>
      </c>
      <c r="AF3" s="2">
        <v>2700</v>
      </c>
      <c r="AG3" s="2">
        <v>49680</v>
      </c>
      <c r="AH3" s="2">
        <v>7776</v>
      </c>
      <c r="AI3" s="2">
        <v>28809</v>
      </c>
      <c r="AJ3" s="2">
        <v>6048</v>
      </c>
      <c r="AK3" s="2">
        <v>2430</v>
      </c>
      <c r="AL3" s="2">
        <v>42633</v>
      </c>
      <c r="AM3" s="2">
        <v>2430</v>
      </c>
      <c r="AN3" s="2">
        <v>46800</v>
      </c>
      <c r="AO3" s="4" t="s">
        <v>55</v>
      </c>
      <c r="AP3" s="4" t="s">
        <v>55</v>
      </c>
      <c r="AQ3" s="4" t="s">
        <v>55</v>
      </c>
      <c r="AR3" s="4" t="s">
        <v>55</v>
      </c>
      <c r="AS3" s="2">
        <v>27038</v>
      </c>
      <c r="AT3" s="2">
        <v>0</v>
      </c>
      <c r="AU3" s="2">
        <v>27038</v>
      </c>
    </row>
    <row r="4" spans="1:47">
      <c r="A4" s="4" t="s">
        <v>46</v>
      </c>
      <c r="B4" s="4" t="s">
        <v>47</v>
      </c>
      <c r="C4" s="4" t="s">
        <v>48</v>
      </c>
      <c r="D4" s="4" t="s">
        <v>62</v>
      </c>
      <c r="E4" s="4" t="s">
        <v>49</v>
      </c>
      <c r="F4" s="4" t="s">
        <v>50</v>
      </c>
      <c r="G4" s="4" t="s">
        <v>85</v>
      </c>
      <c r="H4" s="4" t="s">
        <v>86</v>
      </c>
      <c r="I4" s="4" t="s">
        <v>51</v>
      </c>
      <c r="J4" s="4" t="s">
        <v>65</v>
      </c>
      <c r="K4" s="4" t="s">
        <v>87</v>
      </c>
      <c r="L4" s="4" t="s">
        <v>57</v>
      </c>
      <c r="M4" s="4" t="s">
        <v>88</v>
      </c>
      <c r="N4" s="4" t="s">
        <v>52</v>
      </c>
      <c r="O4" s="4" t="s">
        <v>52</v>
      </c>
      <c r="P4" s="4" t="s">
        <v>52</v>
      </c>
      <c r="Q4" s="4" t="s">
        <v>89</v>
      </c>
      <c r="R4" s="4" t="s">
        <v>53</v>
      </c>
      <c r="S4" s="4" t="s">
        <v>56</v>
      </c>
      <c r="T4" s="2">
        <v>700</v>
      </c>
      <c r="U4" s="2">
        <v>18600</v>
      </c>
      <c r="V4" s="2">
        <v>0</v>
      </c>
      <c r="W4" s="2">
        <v>2300</v>
      </c>
      <c r="X4" s="2">
        <v>19300</v>
      </c>
      <c r="Y4" s="2">
        <v>2300</v>
      </c>
      <c r="Z4" s="2">
        <v>21600</v>
      </c>
      <c r="AA4" s="2">
        <v>840</v>
      </c>
      <c r="AB4" s="2">
        <v>18600</v>
      </c>
      <c r="AC4" s="2">
        <v>0</v>
      </c>
      <c r="AD4" s="2">
        <v>2300</v>
      </c>
      <c r="AE4" s="2">
        <v>19440</v>
      </c>
      <c r="AF4" s="2">
        <v>2300</v>
      </c>
      <c r="AG4" s="2">
        <v>21740</v>
      </c>
      <c r="AH4" s="2">
        <v>756</v>
      </c>
      <c r="AI4" s="2">
        <v>18042</v>
      </c>
      <c r="AJ4" s="2">
        <v>0</v>
      </c>
      <c r="AK4" s="2">
        <v>2070</v>
      </c>
      <c r="AL4" s="2">
        <v>18798</v>
      </c>
      <c r="AM4" s="2">
        <v>2070</v>
      </c>
      <c r="AN4" s="2">
        <v>21600</v>
      </c>
      <c r="AO4" s="4" t="s">
        <v>55</v>
      </c>
      <c r="AP4" s="4" t="s">
        <v>55</v>
      </c>
      <c r="AQ4" s="4" t="s">
        <v>55</v>
      </c>
      <c r="AR4" s="4" t="s">
        <v>55</v>
      </c>
      <c r="AS4" s="2">
        <v>12521</v>
      </c>
      <c r="AT4" s="2">
        <v>0</v>
      </c>
      <c r="AU4" s="2">
        <v>12521</v>
      </c>
    </row>
    <row r="5" spans="1:47">
      <c r="A5" s="4" t="s">
        <v>46</v>
      </c>
      <c r="B5" s="4" t="s">
        <v>47</v>
      </c>
      <c r="C5" s="4" t="s">
        <v>48</v>
      </c>
      <c r="D5" s="4" t="s">
        <v>62</v>
      </c>
      <c r="E5" s="4" t="s">
        <v>49</v>
      </c>
      <c r="F5" s="4" t="s">
        <v>50</v>
      </c>
      <c r="G5" s="4" t="s">
        <v>85</v>
      </c>
      <c r="H5" s="4" t="s">
        <v>86</v>
      </c>
      <c r="I5" s="4" t="s">
        <v>51</v>
      </c>
      <c r="J5" s="4" t="s">
        <v>65</v>
      </c>
      <c r="K5" s="4" t="s">
        <v>87</v>
      </c>
      <c r="L5" s="4" t="s">
        <v>57</v>
      </c>
      <c r="M5" s="4" t="s">
        <v>88</v>
      </c>
      <c r="N5" s="4" t="s">
        <v>52</v>
      </c>
      <c r="O5" s="4" t="s">
        <v>52</v>
      </c>
      <c r="P5" s="4" t="s">
        <v>52</v>
      </c>
      <c r="Q5" s="4" t="s">
        <v>89</v>
      </c>
      <c r="R5" s="4" t="s">
        <v>53</v>
      </c>
      <c r="S5" s="4" t="s">
        <v>59</v>
      </c>
      <c r="T5" s="2">
        <v>128670</v>
      </c>
      <c r="U5" s="2">
        <v>293970</v>
      </c>
      <c r="V5" s="2">
        <v>35760</v>
      </c>
      <c r="W5" s="2">
        <v>194600</v>
      </c>
      <c r="X5" s="2">
        <v>458400</v>
      </c>
      <c r="Y5" s="2">
        <v>194600</v>
      </c>
      <c r="Z5" s="2">
        <v>653000</v>
      </c>
      <c r="AA5" s="2">
        <v>154404</v>
      </c>
      <c r="AB5" s="2">
        <v>293970</v>
      </c>
      <c r="AC5" s="2">
        <v>42748</v>
      </c>
      <c r="AD5" s="2">
        <v>194600</v>
      </c>
      <c r="AE5" s="2">
        <v>491122</v>
      </c>
      <c r="AF5" s="2">
        <v>194600</v>
      </c>
      <c r="AG5" s="2">
        <v>685722</v>
      </c>
      <c r="AH5" s="2">
        <v>138963.6</v>
      </c>
      <c r="AI5" s="2">
        <v>285150.90000000002</v>
      </c>
      <c r="AJ5" s="2">
        <v>29923.599999999999</v>
      </c>
      <c r="AK5" s="2">
        <v>175140</v>
      </c>
      <c r="AL5" s="2">
        <v>454038.1</v>
      </c>
      <c r="AM5" s="2">
        <v>175140</v>
      </c>
      <c r="AN5" s="2">
        <v>653000</v>
      </c>
      <c r="AO5" s="4" t="s">
        <v>55</v>
      </c>
      <c r="AP5" s="4" t="s">
        <v>55</v>
      </c>
      <c r="AQ5" s="4" t="s">
        <v>55</v>
      </c>
      <c r="AR5" s="4" t="s">
        <v>55</v>
      </c>
      <c r="AS5" s="2">
        <v>377507</v>
      </c>
      <c r="AT5" s="2">
        <v>0</v>
      </c>
      <c r="AU5" s="2">
        <v>377507</v>
      </c>
    </row>
    <row r="6" spans="1:47">
      <c r="A6" s="4" t="s">
        <v>46</v>
      </c>
      <c r="B6" s="4" t="s">
        <v>47</v>
      </c>
      <c r="C6" s="4" t="s">
        <v>48</v>
      </c>
      <c r="D6" s="4" t="s">
        <v>62</v>
      </c>
      <c r="E6" s="4" t="s">
        <v>49</v>
      </c>
      <c r="F6" s="4" t="s">
        <v>50</v>
      </c>
      <c r="G6" s="4" t="s">
        <v>85</v>
      </c>
      <c r="H6" s="4" t="s">
        <v>86</v>
      </c>
      <c r="I6" s="4" t="s">
        <v>51</v>
      </c>
      <c r="J6" s="4" t="s">
        <v>65</v>
      </c>
      <c r="K6" s="4" t="s">
        <v>87</v>
      </c>
      <c r="L6" s="4" t="s">
        <v>57</v>
      </c>
      <c r="M6" s="4" t="s">
        <v>88</v>
      </c>
      <c r="N6" s="4" t="s">
        <v>52</v>
      </c>
      <c r="O6" s="4" t="s">
        <v>52</v>
      </c>
      <c r="P6" s="4" t="s">
        <v>52</v>
      </c>
      <c r="Q6" s="4" t="s">
        <v>89</v>
      </c>
      <c r="R6" s="4" t="s">
        <v>53</v>
      </c>
      <c r="S6" s="4" t="s">
        <v>60</v>
      </c>
      <c r="T6" s="2">
        <v>56270</v>
      </c>
      <c r="U6" s="2">
        <v>292470</v>
      </c>
      <c r="V6" s="2">
        <v>30600</v>
      </c>
      <c r="W6" s="2">
        <v>74660</v>
      </c>
      <c r="X6" s="2">
        <v>379340</v>
      </c>
      <c r="Y6" s="2">
        <v>74660</v>
      </c>
      <c r="Z6" s="2">
        <v>454000</v>
      </c>
      <c r="AA6" s="2">
        <v>67524</v>
      </c>
      <c r="AB6" s="2">
        <v>292470</v>
      </c>
      <c r="AC6" s="2">
        <v>36720</v>
      </c>
      <c r="AD6" s="2">
        <v>74660</v>
      </c>
      <c r="AE6" s="2">
        <v>396714</v>
      </c>
      <c r="AF6" s="2">
        <v>74660</v>
      </c>
      <c r="AG6" s="2">
        <v>471374</v>
      </c>
      <c r="AH6" s="2">
        <v>60771.6</v>
      </c>
      <c r="AI6" s="2">
        <v>283695.90000000002</v>
      </c>
      <c r="AJ6" s="2">
        <v>25704</v>
      </c>
      <c r="AK6" s="2">
        <v>67194</v>
      </c>
      <c r="AL6" s="2">
        <v>370171.5</v>
      </c>
      <c r="AM6" s="2">
        <v>67194</v>
      </c>
      <c r="AN6" s="2">
        <v>454000</v>
      </c>
      <c r="AO6" s="4" t="s">
        <v>55</v>
      </c>
      <c r="AP6" s="4" t="s">
        <v>55</v>
      </c>
      <c r="AQ6" s="4" t="s">
        <v>55</v>
      </c>
      <c r="AR6" s="4" t="s">
        <v>55</v>
      </c>
      <c r="AS6" s="2">
        <v>262419</v>
      </c>
      <c r="AT6" s="2">
        <v>0</v>
      </c>
      <c r="AU6" s="2">
        <v>262419</v>
      </c>
    </row>
    <row r="7" spans="1:47">
      <c r="A7" s="4" t="s">
        <v>46</v>
      </c>
      <c r="B7" s="4" t="s">
        <v>47</v>
      </c>
      <c r="C7" s="4" t="s">
        <v>48</v>
      </c>
      <c r="D7" s="4" t="s">
        <v>62</v>
      </c>
      <c r="E7" s="4" t="s">
        <v>49</v>
      </c>
      <c r="F7" s="4" t="s">
        <v>50</v>
      </c>
      <c r="G7" s="4" t="s">
        <v>85</v>
      </c>
      <c r="H7" s="4" t="s">
        <v>86</v>
      </c>
      <c r="I7" s="4" t="s">
        <v>51</v>
      </c>
      <c r="J7" s="4" t="s">
        <v>65</v>
      </c>
      <c r="K7" s="4" t="s">
        <v>87</v>
      </c>
      <c r="L7" s="4" t="s">
        <v>57</v>
      </c>
      <c r="M7" s="4" t="s">
        <v>88</v>
      </c>
      <c r="N7" s="4" t="s">
        <v>52</v>
      </c>
      <c r="O7" s="4" t="s">
        <v>52</v>
      </c>
      <c r="P7" s="4" t="s">
        <v>52</v>
      </c>
      <c r="Q7" s="4" t="s">
        <v>89</v>
      </c>
      <c r="R7" s="4" t="s">
        <v>53</v>
      </c>
      <c r="S7" s="4" t="s">
        <v>60</v>
      </c>
      <c r="T7" s="2">
        <v>30950</v>
      </c>
      <c r="U7" s="2">
        <v>28650</v>
      </c>
      <c r="V7" s="2">
        <v>0</v>
      </c>
      <c r="W7" s="2">
        <v>9000</v>
      </c>
      <c r="X7" s="2">
        <v>59600</v>
      </c>
      <c r="Y7" s="2">
        <v>9000</v>
      </c>
      <c r="Z7" s="2">
        <v>68600</v>
      </c>
      <c r="AA7" s="2">
        <v>37140</v>
      </c>
      <c r="AB7" s="2">
        <v>28650</v>
      </c>
      <c r="AC7" s="2">
        <v>0</v>
      </c>
      <c r="AD7" s="2">
        <v>9000</v>
      </c>
      <c r="AE7" s="2">
        <v>65790</v>
      </c>
      <c r="AF7" s="2">
        <v>9000</v>
      </c>
      <c r="AG7" s="2">
        <v>74790</v>
      </c>
      <c r="AH7" s="2">
        <v>33426</v>
      </c>
      <c r="AI7" s="2">
        <v>27790.5</v>
      </c>
      <c r="AJ7" s="2">
        <v>0</v>
      </c>
      <c r="AK7" s="2">
        <v>8100</v>
      </c>
      <c r="AL7" s="2">
        <v>61216.5</v>
      </c>
      <c r="AM7" s="2">
        <v>8100</v>
      </c>
      <c r="AN7" s="2">
        <v>68600</v>
      </c>
      <c r="AO7" s="4" t="s">
        <v>55</v>
      </c>
      <c r="AP7" s="4" t="s">
        <v>55</v>
      </c>
      <c r="AQ7" s="4" t="s">
        <v>55</v>
      </c>
      <c r="AR7" s="4" t="s">
        <v>55</v>
      </c>
      <c r="AS7" s="2">
        <v>41590</v>
      </c>
      <c r="AT7" s="2">
        <v>0</v>
      </c>
      <c r="AU7" s="2">
        <v>41590</v>
      </c>
    </row>
    <row r="8" spans="1:47">
      <c r="A8" s="4" t="s">
        <v>46</v>
      </c>
      <c r="B8" s="4" t="s">
        <v>47</v>
      </c>
      <c r="C8" s="4" t="s">
        <v>48</v>
      </c>
      <c r="D8" s="4" t="s">
        <v>62</v>
      </c>
      <c r="E8" s="4" t="s">
        <v>49</v>
      </c>
      <c r="F8" s="4" t="s">
        <v>50</v>
      </c>
      <c r="G8" s="4" t="s">
        <v>85</v>
      </c>
      <c r="H8" s="4" t="s">
        <v>86</v>
      </c>
      <c r="I8" s="4" t="s">
        <v>51</v>
      </c>
      <c r="J8" s="4" t="s">
        <v>65</v>
      </c>
      <c r="K8" s="4" t="s">
        <v>87</v>
      </c>
      <c r="L8" s="4" t="s">
        <v>57</v>
      </c>
      <c r="M8" s="4" t="s">
        <v>88</v>
      </c>
      <c r="N8" s="4" t="s">
        <v>52</v>
      </c>
      <c r="O8" s="4" t="s">
        <v>52</v>
      </c>
      <c r="P8" s="4" t="s">
        <v>52</v>
      </c>
      <c r="Q8" s="4" t="s">
        <v>89</v>
      </c>
      <c r="R8" s="4" t="s">
        <v>53</v>
      </c>
      <c r="S8" s="4" t="s">
        <v>60</v>
      </c>
      <c r="T8" s="2">
        <v>9000</v>
      </c>
      <c r="U8" s="2">
        <v>27000</v>
      </c>
      <c r="V8" s="2">
        <v>0</v>
      </c>
      <c r="W8" s="2">
        <v>0</v>
      </c>
      <c r="X8" s="2">
        <v>36000</v>
      </c>
      <c r="Y8" s="2">
        <v>0</v>
      </c>
      <c r="Z8" s="2">
        <v>36000</v>
      </c>
      <c r="AA8" s="2">
        <v>10800</v>
      </c>
      <c r="AB8" s="2">
        <v>27000</v>
      </c>
      <c r="AC8" s="2">
        <v>0</v>
      </c>
      <c r="AD8" s="2">
        <v>0</v>
      </c>
      <c r="AE8" s="2">
        <v>37800</v>
      </c>
      <c r="AF8" s="2">
        <v>0</v>
      </c>
      <c r="AG8" s="2">
        <v>37800</v>
      </c>
      <c r="AH8" s="2">
        <v>9720</v>
      </c>
      <c r="AI8" s="2">
        <v>26190</v>
      </c>
      <c r="AJ8" s="2">
        <v>0</v>
      </c>
      <c r="AK8" s="2">
        <v>0</v>
      </c>
      <c r="AL8" s="2">
        <v>35910</v>
      </c>
      <c r="AM8" s="2">
        <v>0</v>
      </c>
      <c r="AN8" s="2">
        <v>36000</v>
      </c>
      <c r="AO8" s="4" t="s">
        <v>55</v>
      </c>
      <c r="AP8" s="4" t="s">
        <v>55</v>
      </c>
      <c r="AQ8" s="4" t="s">
        <v>55</v>
      </c>
      <c r="AR8" s="4" t="s">
        <v>55</v>
      </c>
      <c r="AS8" s="2">
        <v>21546</v>
      </c>
      <c r="AT8" s="2">
        <v>0</v>
      </c>
      <c r="AU8" s="2">
        <v>21546</v>
      </c>
    </row>
    <row r="9" spans="1:47">
      <c r="AU9" s="6">
        <f>SUM(AU2:AU8)</f>
        <v>781248</v>
      </c>
    </row>
    <row r="11" spans="1:47" s="4" customFormat="1">
      <c r="A11" s="7" t="s">
        <v>122</v>
      </c>
      <c r="B11" s="8"/>
      <c r="C11" s="8"/>
      <c r="D11" s="9"/>
    </row>
    <row r="12" spans="1:47" s="4" customFormat="1">
      <c r="A12" s="10" t="s">
        <v>123</v>
      </c>
      <c r="B12" s="10" t="s">
        <v>104</v>
      </c>
      <c r="C12" s="10" t="s">
        <v>117</v>
      </c>
      <c r="D12" s="10" t="s">
        <v>124</v>
      </c>
    </row>
    <row r="13" spans="1:47" s="4" customFormat="1">
      <c r="A13" s="11">
        <v>202204</v>
      </c>
      <c r="B13" s="12">
        <v>60000000</v>
      </c>
      <c r="C13" s="29">
        <v>9290139</v>
      </c>
      <c r="D13" s="14">
        <f>B13-C13</f>
        <v>50709861</v>
      </c>
    </row>
    <row r="14" spans="1:47" s="4" customFormat="1">
      <c r="A14" s="11">
        <v>202205</v>
      </c>
      <c r="B14" s="12"/>
      <c r="C14" s="30">
        <v>1592754</v>
      </c>
      <c r="D14" s="14">
        <f>D13-C14</f>
        <v>49117107</v>
      </c>
    </row>
    <row r="15" spans="1:47" s="4" customFormat="1">
      <c r="A15" s="11">
        <v>202206</v>
      </c>
      <c r="B15" s="12"/>
      <c r="C15" s="12">
        <f>AU9</f>
        <v>781248</v>
      </c>
      <c r="D15" s="14">
        <f>D14-C15</f>
        <v>48335859</v>
      </c>
    </row>
    <row r="16" spans="1:47" s="4" customFormat="1">
      <c r="A16" s="11"/>
      <c r="B16" s="12"/>
      <c r="C16" s="12"/>
      <c r="D16" s="14"/>
    </row>
    <row r="17" spans="1:4" s="4" customFormat="1">
      <c r="A17" s="11"/>
      <c r="B17" s="12"/>
      <c r="C17" s="12"/>
      <c r="D17" s="14"/>
    </row>
    <row r="18" spans="1:4" s="4" customFormat="1">
      <c r="A18" s="11"/>
      <c r="B18" s="12"/>
      <c r="C18" s="27"/>
      <c r="D18" s="14"/>
    </row>
    <row r="19" spans="1:4" s="4" customFormat="1">
      <c r="A19" s="11"/>
      <c r="B19" s="12"/>
      <c r="C19" s="12"/>
      <c r="D19" s="14"/>
    </row>
    <row r="20" spans="1:4" s="4" customFormat="1">
      <c r="A20" s="11"/>
      <c r="B20" s="12"/>
      <c r="C20" s="14"/>
      <c r="D20" s="14"/>
    </row>
    <row r="21" spans="1:4" s="4" customFormat="1">
      <c r="A21" s="11"/>
      <c r="B21" s="12"/>
      <c r="C21" s="14"/>
      <c r="D21" s="14"/>
    </row>
    <row r="22" spans="1:4" s="4" customFormat="1">
      <c r="A22" s="11"/>
      <c r="B22" s="12"/>
      <c r="C22" s="14"/>
      <c r="D22" s="14"/>
    </row>
    <row r="23" spans="1:4" s="4" customFormat="1">
      <c r="A23" s="11"/>
      <c r="B23" s="17"/>
      <c r="C23" s="14"/>
      <c r="D23" s="14"/>
    </row>
    <row r="24" spans="1:4" s="4" customFormat="1">
      <c r="A24" s="21" t="s">
        <v>125</v>
      </c>
      <c r="B24" s="22">
        <f>SUM(B13:B23)</f>
        <v>60000000</v>
      </c>
      <c r="C24" s="22">
        <f>SUM(C13:C23)</f>
        <v>11664141</v>
      </c>
      <c r="D24" s="2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U17"/>
  <sheetViews>
    <sheetView workbookViewId="0">
      <selection activeCell="E13" sqref="E13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47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9.0976562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>
      <c r="A2" s="4" t="s">
        <v>46</v>
      </c>
      <c r="B2" s="4" t="s">
        <v>47</v>
      </c>
      <c r="C2" s="4" t="s">
        <v>48</v>
      </c>
      <c r="D2" s="4" t="s">
        <v>62</v>
      </c>
      <c r="E2" s="4" t="s">
        <v>49</v>
      </c>
      <c r="F2" s="4" t="s">
        <v>50</v>
      </c>
      <c r="G2" s="4" t="s">
        <v>90</v>
      </c>
      <c r="H2" s="4" t="s">
        <v>127</v>
      </c>
      <c r="I2" s="4" t="s">
        <v>51</v>
      </c>
      <c r="J2" s="4" t="s">
        <v>65</v>
      </c>
      <c r="K2" s="4" t="s">
        <v>92</v>
      </c>
      <c r="L2" s="4" t="s">
        <v>58</v>
      </c>
      <c r="M2" s="4" t="s">
        <v>93</v>
      </c>
      <c r="N2" s="4" t="s">
        <v>52</v>
      </c>
      <c r="O2" s="4" t="s">
        <v>52</v>
      </c>
      <c r="P2" s="4" t="s">
        <v>52</v>
      </c>
      <c r="Q2" s="4" t="s">
        <v>94</v>
      </c>
      <c r="R2" s="4" t="s">
        <v>95</v>
      </c>
      <c r="S2" s="4" t="s">
        <v>54</v>
      </c>
      <c r="T2" s="2">
        <v>65500</v>
      </c>
      <c r="U2" s="2">
        <v>66300</v>
      </c>
      <c r="V2" s="2">
        <v>9500</v>
      </c>
      <c r="W2" s="2">
        <v>5100</v>
      </c>
      <c r="X2" s="2">
        <v>141300</v>
      </c>
      <c r="Y2" s="2">
        <v>5100</v>
      </c>
      <c r="Z2" s="2">
        <v>146400</v>
      </c>
      <c r="AA2" s="2">
        <v>78600</v>
      </c>
      <c r="AB2" s="2">
        <v>66300</v>
      </c>
      <c r="AC2" s="2">
        <v>11400</v>
      </c>
      <c r="AD2" s="2">
        <v>5100</v>
      </c>
      <c r="AE2" s="2">
        <v>156300</v>
      </c>
      <c r="AF2" s="2">
        <v>5100</v>
      </c>
      <c r="AG2" s="2">
        <v>161400</v>
      </c>
      <c r="AH2" s="2">
        <v>70740</v>
      </c>
      <c r="AI2" s="2">
        <v>64311</v>
      </c>
      <c r="AJ2" s="2">
        <v>7980</v>
      </c>
      <c r="AK2" s="2">
        <v>4590</v>
      </c>
      <c r="AL2" s="2">
        <v>143031</v>
      </c>
      <c r="AM2" s="2">
        <v>4590</v>
      </c>
      <c r="AN2" s="2">
        <v>146400</v>
      </c>
      <c r="AO2" s="4" t="s">
        <v>55</v>
      </c>
      <c r="AP2" s="4" t="s">
        <v>55</v>
      </c>
      <c r="AQ2" s="4" t="s">
        <v>55</v>
      </c>
      <c r="AR2" s="4" t="s">
        <v>55</v>
      </c>
      <c r="AS2" s="2">
        <v>88573</v>
      </c>
      <c r="AT2" s="2">
        <v>0</v>
      </c>
      <c r="AU2" s="2">
        <v>88573</v>
      </c>
    </row>
    <row r="3" spans="1:47">
      <c r="A3" s="4" t="s">
        <v>46</v>
      </c>
      <c r="B3" s="4" t="s">
        <v>47</v>
      </c>
      <c r="C3" s="4" t="s">
        <v>48</v>
      </c>
      <c r="D3" s="4" t="s">
        <v>62</v>
      </c>
      <c r="E3" s="4" t="s">
        <v>49</v>
      </c>
      <c r="F3" s="4" t="s">
        <v>50</v>
      </c>
      <c r="G3" s="4" t="s">
        <v>90</v>
      </c>
      <c r="H3" s="4" t="s">
        <v>128</v>
      </c>
      <c r="I3" s="4" t="s">
        <v>51</v>
      </c>
      <c r="J3" s="4" t="s">
        <v>65</v>
      </c>
      <c r="K3" s="4" t="s">
        <v>92</v>
      </c>
      <c r="L3" s="4" t="s">
        <v>58</v>
      </c>
      <c r="M3" s="4" t="s">
        <v>93</v>
      </c>
      <c r="N3" s="4" t="s">
        <v>52</v>
      </c>
      <c r="O3" s="4" t="s">
        <v>52</v>
      </c>
      <c r="P3" s="4" t="s">
        <v>52</v>
      </c>
      <c r="Q3" s="4" t="s">
        <v>94</v>
      </c>
      <c r="R3" s="4" t="s">
        <v>95</v>
      </c>
      <c r="S3" s="4" t="s">
        <v>56</v>
      </c>
      <c r="T3" s="2">
        <v>110700</v>
      </c>
      <c r="U3" s="2">
        <v>175700</v>
      </c>
      <c r="V3" s="2">
        <v>14400</v>
      </c>
      <c r="W3" s="2">
        <v>12800</v>
      </c>
      <c r="X3" s="2">
        <v>300800</v>
      </c>
      <c r="Y3" s="2">
        <v>12800</v>
      </c>
      <c r="Z3" s="2">
        <v>313600</v>
      </c>
      <c r="AA3" s="2">
        <v>132840</v>
      </c>
      <c r="AB3" s="2">
        <v>175700</v>
      </c>
      <c r="AC3" s="2">
        <v>17280</v>
      </c>
      <c r="AD3" s="2">
        <v>12800</v>
      </c>
      <c r="AE3" s="2">
        <v>325820</v>
      </c>
      <c r="AF3" s="2">
        <v>12800</v>
      </c>
      <c r="AG3" s="2">
        <v>338620</v>
      </c>
      <c r="AH3" s="2">
        <v>119556</v>
      </c>
      <c r="AI3" s="2">
        <v>170429</v>
      </c>
      <c r="AJ3" s="2">
        <v>12096</v>
      </c>
      <c r="AK3" s="2">
        <v>11520</v>
      </c>
      <c r="AL3" s="2">
        <v>302081</v>
      </c>
      <c r="AM3" s="2">
        <v>11520</v>
      </c>
      <c r="AN3" s="2">
        <v>313600</v>
      </c>
      <c r="AO3" s="4" t="s">
        <v>55</v>
      </c>
      <c r="AP3" s="4" t="s">
        <v>55</v>
      </c>
      <c r="AQ3" s="4" t="s">
        <v>55</v>
      </c>
      <c r="AR3" s="4" t="s">
        <v>55</v>
      </c>
      <c r="AS3" s="2">
        <v>188161</v>
      </c>
      <c r="AT3" s="2">
        <v>0</v>
      </c>
      <c r="AU3" s="2">
        <v>188161</v>
      </c>
    </row>
    <row r="4" spans="1:47">
      <c r="A4" s="4" t="s">
        <v>46</v>
      </c>
      <c r="B4" s="4" t="s">
        <v>47</v>
      </c>
      <c r="C4" s="4" t="s">
        <v>48</v>
      </c>
      <c r="D4" s="4" t="s">
        <v>62</v>
      </c>
      <c r="E4" s="4" t="s">
        <v>49</v>
      </c>
      <c r="F4" s="4" t="s">
        <v>50</v>
      </c>
      <c r="G4" s="4" t="s">
        <v>90</v>
      </c>
      <c r="H4" s="4" t="s">
        <v>128</v>
      </c>
      <c r="I4" s="4" t="s">
        <v>51</v>
      </c>
      <c r="J4" s="4" t="s">
        <v>65</v>
      </c>
      <c r="K4" s="4" t="s">
        <v>92</v>
      </c>
      <c r="L4" s="4" t="s">
        <v>58</v>
      </c>
      <c r="M4" s="4" t="s">
        <v>93</v>
      </c>
      <c r="N4" s="4" t="s">
        <v>52</v>
      </c>
      <c r="O4" s="4" t="s">
        <v>52</v>
      </c>
      <c r="P4" s="4" t="s">
        <v>52</v>
      </c>
      <c r="Q4" s="4" t="s">
        <v>94</v>
      </c>
      <c r="R4" s="4" t="s">
        <v>95</v>
      </c>
      <c r="S4" s="4" t="s">
        <v>56</v>
      </c>
      <c r="T4" s="2">
        <v>50000</v>
      </c>
      <c r="U4" s="2">
        <v>113400</v>
      </c>
      <c r="V4" s="2">
        <v>14300</v>
      </c>
      <c r="W4" s="2">
        <v>2300</v>
      </c>
      <c r="X4" s="2">
        <v>177700</v>
      </c>
      <c r="Y4" s="2">
        <v>2300</v>
      </c>
      <c r="Z4" s="2">
        <v>180000</v>
      </c>
      <c r="AA4" s="2">
        <v>60000</v>
      </c>
      <c r="AB4" s="2">
        <v>113400</v>
      </c>
      <c r="AC4" s="2">
        <v>17160</v>
      </c>
      <c r="AD4" s="2">
        <v>2300</v>
      </c>
      <c r="AE4" s="2">
        <v>190560</v>
      </c>
      <c r="AF4" s="2">
        <v>2300</v>
      </c>
      <c r="AG4" s="2">
        <v>192860</v>
      </c>
      <c r="AH4" s="2">
        <v>54000</v>
      </c>
      <c r="AI4" s="2">
        <v>109998</v>
      </c>
      <c r="AJ4" s="2">
        <v>12012</v>
      </c>
      <c r="AK4" s="2">
        <v>2070</v>
      </c>
      <c r="AL4" s="2">
        <v>176010</v>
      </c>
      <c r="AM4" s="2">
        <v>2070</v>
      </c>
      <c r="AN4" s="2">
        <v>180000</v>
      </c>
      <c r="AO4" s="4" t="s">
        <v>55</v>
      </c>
      <c r="AP4" s="4" t="s">
        <v>55</v>
      </c>
      <c r="AQ4" s="4" t="s">
        <v>55</v>
      </c>
      <c r="AR4" s="4" t="s">
        <v>55</v>
      </c>
      <c r="AS4" s="2">
        <v>106848</v>
      </c>
      <c r="AT4" s="2">
        <v>0</v>
      </c>
      <c r="AU4" s="2">
        <v>106848</v>
      </c>
    </row>
    <row r="5" spans="1:47">
      <c r="A5" s="4" t="s">
        <v>46</v>
      </c>
      <c r="B5" s="4" t="s">
        <v>47</v>
      </c>
      <c r="C5" s="4" t="s">
        <v>48</v>
      </c>
      <c r="D5" s="4" t="s">
        <v>62</v>
      </c>
      <c r="E5" s="4" t="s">
        <v>49</v>
      </c>
      <c r="F5" s="4" t="s">
        <v>50</v>
      </c>
      <c r="G5" s="4" t="s">
        <v>90</v>
      </c>
      <c r="H5" s="4" t="s">
        <v>128</v>
      </c>
      <c r="I5" s="4" t="s">
        <v>51</v>
      </c>
      <c r="J5" s="4" t="s">
        <v>65</v>
      </c>
      <c r="K5" s="4" t="s">
        <v>92</v>
      </c>
      <c r="L5" s="4" t="s">
        <v>58</v>
      </c>
      <c r="M5" s="4" t="s">
        <v>93</v>
      </c>
      <c r="N5" s="4" t="s">
        <v>52</v>
      </c>
      <c r="O5" s="4" t="s">
        <v>52</v>
      </c>
      <c r="P5" s="4" t="s">
        <v>52</v>
      </c>
      <c r="Q5" s="4" t="s">
        <v>94</v>
      </c>
      <c r="R5" s="4" t="s">
        <v>95</v>
      </c>
      <c r="S5" s="4" t="s">
        <v>56</v>
      </c>
      <c r="T5" s="2">
        <v>62400</v>
      </c>
      <c r="U5" s="2">
        <v>55000</v>
      </c>
      <c r="V5" s="2">
        <v>10700</v>
      </c>
      <c r="W5" s="2">
        <v>1500</v>
      </c>
      <c r="X5" s="2">
        <v>128100</v>
      </c>
      <c r="Y5" s="2">
        <v>1500</v>
      </c>
      <c r="Z5" s="2">
        <v>129600</v>
      </c>
      <c r="AA5" s="2">
        <v>74880</v>
      </c>
      <c r="AB5" s="2">
        <v>55000</v>
      </c>
      <c r="AC5" s="2">
        <v>12840</v>
      </c>
      <c r="AD5" s="2">
        <v>1500</v>
      </c>
      <c r="AE5" s="2">
        <v>142720</v>
      </c>
      <c r="AF5" s="2">
        <v>1500</v>
      </c>
      <c r="AG5" s="2">
        <v>144220</v>
      </c>
      <c r="AH5" s="2">
        <v>67392</v>
      </c>
      <c r="AI5" s="2">
        <v>53350</v>
      </c>
      <c r="AJ5" s="2">
        <v>8988</v>
      </c>
      <c r="AK5" s="2">
        <v>1350</v>
      </c>
      <c r="AL5" s="2">
        <v>129730</v>
      </c>
      <c r="AM5" s="2">
        <v>1350</v>
      </c>
      <c r="AN5" s="2">
        <v>129600</v>
      </c>
      <c r="AO5" s="4" t="s">
        <v>55</v>
      </c>
      <c r="AP5" s="4" t="s">
        <v>55</v>
      </c>
      <c r="AQ5" s="4" t="s">
        <v>55</v>
      </c>
      <c r="AR5" s="4" t="s">
        <v>55</v>
      </c>
      <c r="AS5" s="2">
        <v>78648</v>
      </c>
      <c r="AT5" s="2">
        <v>0</v>
      </c>
      <c r="AU5" s="2">
        <v>78648</v>
      </c>
    </row>
    <row r="6" spans="1:47">
      <c r="A6" s="4" t="s">
        <v>46</v>
      </c>
      <c r="B6" s="4" t="s">
        <v>47</v>
      </c>
      <c r="C6" s="4" t="s">
        <v>48</v>
      </c>
      <c r="D6" s="4" t="s">
        <v>62</v>
      </c>
      <c r="E6" s="4" t="s">
        <v>49</v>
      </c>
      <c r="F6" s="4" t="s">
        <v>50</v>
      </c>
      <c r="G6" s="4" t="s">
        <v>90</v>
      </c>
      <c r="H6" s="4" t="s">
        <v>128</v>
      </c>
      <c r="I6" s="4" t="s">
        <v>51</v>
      </c>
      <c r="J6" s="4" t="s">
        <v>65</v>
      </c>
      <c r="K6" s="4" t="s">
        <v>92</v>
      </c>
      <c r="L6" s="4" t="s">
        <v>58</v>
      </c>
      <c r="M6" s="4" t="s">
        <v>93</v>
      </c>
      <c r="N6" s="4" t="s">
        <v>52</v>
      </c>
      <c r="O6" s="4" t="s">
        <v>52</v>
      </c>
      <c r="P6" s="4" t="s">
        <v>52</v>
      </c>
      <c r="Q6" s="4" t="s">
        <v>94</v>
      </c>
      <c r="R6" s="4" t="s">
        <v>95</v>
      </c>
      <c r="S6" s="4" t="s">
        <v>59</v>
      </c>
      <c r="T6" s="2">
        <v>1612180</v>
      </c>
      <c r="U6" s="2">
        <v>1489760</v>
      </c>
      <c r="V6" s="2">
        <v>257460</v>
      </c>
      <c r="W6" s="2">
        <v>655400</v>
      </c>
      <c r="X6" s="2">
        <v>3359400</v>
      </c>
      <c r="Y6" s="2">
        <v>655400</v>
      </c>
      <c r="Z6" s="2">
        <v>4014800</v>
      </c>
      <c r="AA6" s="2">
        <v>1934616</v>
      </c>
      <c r="AB6" s="2">
        <v>1489760</v>
      </c>
      <c r="AC6" s="2">
        <v>308592</v>
      </c>
      <c r="AD6" s="2">
        <v>655400</v>
      </c>
      <c r="AE6" s="2">
        <v>3732968</v>
      </c>
      <c r="AF6" s="2">
        <v>655400</v>
      </c>
      <c r="AG6" s="2">
        <v>4388368</v>
      </c>
      <c r="AH6" s="2">
        <v>1741154.4</v>
      </c>
      <c r="AI6" s="2">
        <v>1445067.2</v>
      </c>
      <c r="AJ6" s="2">
        <v>216014.4</v>
      </c>
      <c r="AK6" s="2">
        <v>589860</v>
      </c>
      <c r="AL6" s="2">
        <v>3402236</v>
      </c>
      <c r="AM6" s="2">
        <v>589860</v>
      </c>
      <c r="AN6" s="2">
        <v>4014800</v>
      </c>
      <c r="AO6" s="4" t="s">
        <v>55</v>
      </c>
      <c r="AP6" s="4" t="s">
        <v>55</v>
      </c>
      <c r="AQ6" s="4" t="s">
        <v>55</v>
      </c>
      <c r="AR6" s="4" t="s">
        <v>55</v>
      </c>
      <c r="AS6" s="2">
        <v>2395258</v>
      </c>
      <c r="AT6" s="2">
        <v>0</v>
      </c>
      <c r="AU6" s="2">
        <v>2395258</v>
      </c>
    </row>
    <row r="7" spans="1:47">
      <c r="A7" s="4" t="s">
        <v>46</v>
      </c>
      <c r="B7" s="4" t="s">
        <v>47</v>
      </c>
      <c r="C7" s="4" t="s">
        <v>48</v>
      </c>
      <c r="D7" s="4" t="s">
        <v>62</v>
      </c>
      <c r="E7" s="4" t="s">
        <v>49</v>
      </c>
      <c r="F7" s="4" t="s">
        <v>50</v>
      </c>
      <c r="G7" s="4" t="s">
        <v>90</v>
      </c>
      <c r="H7" s="4" t="s">
        <v>128</v>
      </c>
      <c r="I7" s="4" t="s">
        <v>51</v>
      </c>
      <c r="J7" s="4" t="s">
        <v>65</v>
      </c>
      <c r="K7" s="4" t="s">
        <v>92</v>
      </c>
      <c r="L7" s="4" t="s">
        <v>58</v>
      </c>
      <c r="M7" s="4" t="s">
        <v>93</v>
      </c>
      <c r="N7" s="4" t="s">
        <v>52</v>
      </c>
      <c r="O7" s="4" t="s">
        <v>52</v>
      </c>
      <c r="P7" s="4" t="s">
        <v>52</v>
      </c>
      <c r="Q7" s="4" t="s">
        <v>94</v>
      </c>
      <c r="R7" s="4" t="s">
        <v>95</v>
      </c>
      <c r="S7" s="4" t="s">
        <v>60</v>
      </c>
      <c r="T7" s="2">
        <v>2248890</v>
      </c>
      <c r="U7" s="2">
        <v>2712240</v>
      </c>
      <c r="V7" s="2">
        <v>319140</v>
      </c>
      <c r="W7" s="2">
        <v>376530</v>
      </c>
      <c r="X7" s="2">
        <v>5280270</v>
      </c>
      <c r="Y7" s="2">
        <v>376530</v>
      </c>
      <c r="Z7" s="2">
        <v>5656800</v>
      </c>
      <c r="AA7" s="2">
        <v>2698668</v>
      </c>
      <c r="AB7" s="2">
        <v>2712240</v>
      </c>
      <c r="AC7" s="2">
        <v>382588</v>
      </c>
      <c r="AD7" s="2">
        <v>376530</v>
      </c>
      <c r="AE7" s="2">
        <v>5793496</v>
      </c>
      <c r="AF7" s="2">
        <v>376530</v>
      </c>
      <c r="AG7" s="2">
        <v>6170026</v>
      </c>
      <c r="AH7" s="2">
        <v>2428801.2000000002</v>
      </c>
      <c r="AI7" s="2">
        <v>2630872.7999999998</v>
      </c>
      <c r="AJ7" s="2">
        <v>267811.59999999998</v>
      </c>
      <c r="AK7" s="2">
        <v>338877</v>
      </c>
      <c r="AL7" s="2">
        <v>5327485.5999999996</v>
      </c>
      <c r="AM7" s="2">
        <v>338877</v>
      </c>
      <c r="AN7" s="2">
        <v>5656800</v>
      </c>
      <c r="AO7" s="4" t="s">
        <v>55</v>
      </c>
      <c r="AP7" s="4" t="s">
        <v>55</v>
      </c>
      <c r="AQ7" s="4" t="s">
        <v>55</v>
      </c>
      <c r="AR7" s="4" t="s">
        <v>55</v>
      </c>
      <c r="AS7" s="2">
        <v>3399818</v>
      </c>
      <c r="AT7" s="2">
        <v>0</v>
      </c>
      <c r="AU7" s="2">
        <v>3399818</v>
      </c>
    </row>
    <row r="8" spans="1:47">
      <c r="A8" s="4" t="s">
        <v>46</v>
      </c>
      <c r="B8" s="4" t="s">
        <v>47</v>
      </c>
      <c r="C8" s="4" t="s">
        <v>48</v>
      </c>
      <c r="D8" s="4" t="s">
        <v>62</v>
      </c>
      <c r="E8" s="4" t="s">
        <v>49</v>
      </c>
      <c r="F8" s="4" t="s">
        <v>50</v>
      </c>
      <c r="G8" s="4" t="s">
        <v>90</v>
      </c>
      <c r="H8" s="4" t="s">
        <v>128</v>
      </c>
      <c r="I8" s="4" t="s">
        <v>51</v>
      </c>
      <c r="J8" s="4" t="s">
        <v>65</v>
      </c>
      <c r="K8" s="4" t="s">
        <v>92</v>
      </c>
      <c r="L8" s="4" t="s">
        <v>58</v>
      </c>
      <c r="M8" s="4" t="s">
        <v>93</v>
      </c>
      <c r="N8" s="4" t="s">
        <v>52</v>
      </c>
      <c r="O8" s="4" t="s">
        <v>52</v>
      </c>
      <c r="P8" s="4" t="s">
        <v>52</v>
      </c>
      <c r="Q8" s="4" t="s">
        <v>94</v>
      </c>
      <c r="R8" s="4" t="s">
        <v>95</v>
      </c>
      <c r="S8" s="4" t="s">
        <v>60</v>
      </c>
      <c r="T8" s="2">
        <v>288650</v>
      </c>
      <c r="U8" s="2">
        <v>625190</v>
      </c>
      <c r="V8" s="2">
        <v>77100</v>
      </c>
      <c r="W8" s="2">
        <v>63260</v>
      </c>
      <c r="X8" s="2">
        <v>990940</v>
      </c>
      <c r="Y8" s="2">
        <v>63260</v>
      </c>
      <c r="Z8" s="2">
        <v>1054200</v>
      </c>
      <c r="AA8" s="2">
        <v>346380</v>
      </c>
      <c r="AB8" s="2">
        <v>625190</v>
      </c>
      <c r="AC8" s="2">
        <v>92520</v>
      </c>
      <c r="AD8" s="2">
        <v>63260</v>
      </c>
      <c r="AE8" s="2">
        <v>1064090</v>
      </c>
      <c r="AF8" s="2">
        <v>63260</v>
      </c>
      <c r="AG8" s="2">
        <v>1127350</v>
      </c>
      <c r="AH8" s="2">
        <v>311742</v>
      </c>
      <c r="AI8" s="2">
        <v>606434.30000000005</v>
      </c>
      <c r="AJ8" s="2">
        <v>64764</v>
      </c>
      <c r="AK8" s="2">
        <v>56934</v>
      </c>
      <c r="AL8" s="2">
        <v>982940.3</v>
      </c>
      <c r="AM8" s="2">
        <v>56934</v>
      </c>
      <c r="AN8" s="2">
        <v>1054200</v>
      </c>
      <c r="AO8" s="4" t="s">
        <v>55</v>
      </c>
      <c r="AP8" s="4" t="s">
        <v>55</v>
      </c>
      <c r="AQ8" s="4" t="s">
        <v>55</v>
      </c>
      <c r="AR8" s="4" t="s">
        <v>55</v>
      </c>
      <c r="AS8" s="2">
        <v>623924</v>
      </c>
      <c r="AT8" s="2">
        <v>0</v>
      </c>
      <c r="AU8" s="2">
        <v>623924</v>
      </c>
    </row>
    <row r="9" spans="1:47">
      <c r="A9" s="4" t="s">
        <v>46</v>
      </c>
      <c r="B9" s="4" t="s">
        <v>47</v>
      </c>
      <c r="C9" s="4" t="s">
        <v>48</v>
      </c>
      <c r="D9" s="4" t="s">
        <v>62</v>
      </c>
      <c r="E9" s="4" t="s">
        <v>49</v>
      </c>
      <c r="F9" s="4" t="s">
        <v>50</v>
      </c>
      <c r="G9" s="4" t="s">
        <v>90</v>
      </c>
      <c r="H9" s="4" t="s">
        <v>128</v>
      </c>
      <c r="I9" s="4" t="s">
        <v>51</v>
      </c>
      <c r="J9" s="4" t="s">
        <v>65</v>
      </c>
      <c r="K9" s="4" t="s">
        <v>92</v>
      </c>
      <c r="L9" s="4" t="s">
        <v>58</v>
      </c>
      <c r="M9" s="4" t="s">
        <v>93</v>
      </c>
      <c r="N9" s="4" t="s">
        <v>52</v>
      </c>
      <c r="O9" s="4" t="s">
        <v>52</v>
      </c>
      <c r="P9" s="4" t="s">
        <v>52</v>
      </c>
      <c r="Q9" s="4" t="s">
        <v>94</v>
      </c>
      <c r="R9" s="4" t="s">
        <v>95</v>
      </c>
      <c r="S9" s="4" t="s">
        <v>60</v>
      </c>
      <c r="T9" s="2">
        <v>106600</v>
      </c>
      <c r="U9" s="2">
        <v>155200</v>
      </c>
      <c r="V9" s="2">
        <v>16000</v>
      </c>
      <c r="W9" s="2">
        <v>9600</v>
      </c>
      <c r="X9" s="2">
        <v>277800</v>
      </c>
      <c r="Y9" s="2">
        <v>9600</v>
      </c>
      <c r="Z9" s="2">
        <v>287400</v>
      </c>
      <c r="AA9" s="2">
        <v>127920</v>
      </c>
      <c r="AB9" s="2">
        <v>155200</v>
      </c>
      <c r="AC9" s="2">
        <v>18670</v>
      </c>
      <c r="AD9" s="2">
        <v>9600</v>
      </c>
      <c r="AE9" s="2">
        <v>301790</v>
      </c>
      <c r="AF9" s="2">
        <v>9600</v>
      </c>
      <c r="AG9" s="2">
        <v>311390</v>
      </c>
      <c r="AH9" s="2">
        <v>115128</v>
      </c>
      <c r="AI9" s="2">
        <v>150544</v>
      </c>
      <c r="AJ9" s="2">
        <v>13069</v>
      </c>
      <c r="AK9" s="2">
        <v>8640</v>
      </c>
      <c r="AL9" s="2">
        <v>278741</v>
      </c>
      <c r="AM9" s="2">
        <v>8640</v>
      </c>
      <c r="AN9" s="2">
        <v>287400</v>
      </c>
      <c r="AO9" s="4" t="s">
        <v>55</v>
      </c>
      <c r="AP9" s="4" t="s">
        <v>55</v>
      </c>
      <c r="AQ9" s="4" t="s">
        <v>55</v>
      </c>
      <c r="AR9" s="4" t="s">
        <v>55</v>
      </c>
      <c r="AS9" s="2">
        <v>172428</v>
      </c>
      <c r="AT9" s="2">
        <v>0</v>
      </c>
      <c r="AU9" s="2">
        <v>172428</v>
      </c>
    </row>
    <row r="10" spans="1:47">
      <c r="AU10" s="6">
        <f>SUM(AU2:AU9)</f>
        <v>7053658</v>
      </c>
    </row>
    <row r="12" spans="1:47">
      <c r="A12" s="7" t="s">
        <v>126</v>
      </c>
      <c r="B12" s="8"/>
      <c r="C12" s="8"/>
      <c r="D12" s="9"/>
    </row>
    <row r="13" spans="1:47">
      <c r="A13" s="10" t="s">
        <v>123</v>
      </c>
      <c r="B13" s="10" t="s">
        <v>104</v>
      </c>
      <c r="C13" s="10" t="s">
        <v>117</v>
      </c>
      <c r="D13" s="10" t="s">
        <v>124</v>
      </c>
    </row>
    <row r="14" spans="1:47">
      <c r="A14" s="11">
        <v>202206</v>
      </c>
      <c r="B14" s="12">
        <v>40000000</v>
      </c>
      <c r="C14" s="31">
        <f>AU10</f>
        <v>7053658</v>
      </c>
      <c r="D14" s="12">
        <f>B14-C14</f>
        <v>32946342</v>
      </c>
    </row>
    <row r="15" spans="1:47">
      <c r="A15" s="11"/>
      <c r="B15" s="17"/>
      <c r="D15" s="12"/>
    </row>
    <row r="16" spans="1:47">
      <c r="A16" s="17"/>
      <c r="B16" s="17"/>
      <c r="C16" s="17"/>
      <c r="D16" s="17"/>
    </row>
    <row r="17" spans="1:4">
      <c r="A17" s="11" t="s">
        <v>129</v>
      </c>
      <c r="B17" s="14">
        <f>SUM(B14:B16)</f>
        <v>40000000</v>
      </c>
      <c r="C17" s="14">
        <f>SUM(C14:C16)</f>
        <v>7053658</v>
      </c>
      <c r="D17" s="1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U16"/>
  <sheetViews>
    <sheetView workbookViewId="0">
      <selection activeCell="B25" sqref="B25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4.89843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3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21.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>
      <c r="A2" s="4" t="s">
        <v>46</v>
      </c>
      <c r="B2" s="4" t="s">
        <v>47</v>
      </c>
      <c r="C2" s="4" t="s">
        <v>48</v>
      </c>
      <c r="D2" s="4" t="s">
        <v>62</v>
      </c>
      <c r="E2" s="4" t="s">
        <v>49</v>
      </c>
      <c r="F2" s="4" t="s">
        <v>50</v>
      </c>
      <c r="G2" s="4" t="s">
        <v>96</v>
      </c>
      <c r="H2" s="4" t="s">
        <v>130</v>
      </c>
      <c r="I2" s="4" t="s">
        <v>51</v>
      </c>
      <c r="J2" s="4" t="s">
        <v>65</v>
      </c>
      <c r="K2" s="4" t="s">
        <v>98</v>
      </c>
      <c r="L2" s="4" t="s">
        <v>99</v>
      </c>
      <c r="M2" s="4" t="s">
        <v>100</v>
      </c>
      <c r="N2" s="4" t="s">
        <v>52</v>
      </c>
      <c r="O2" s="4" t="s">
        <v>52</v>
      </c>
      <c r="P2" s="4" t="s">
        <v>52</v>
      </c>
      <c r="Q2" s="4" t="s">
        <v>101</v>
      </c>
      <c r="R2" s="4" t="s">
        <v>53</v>
      </c>
      <c r="S2" s="4" t="s">
        <v>54</v>
      </c>
      <c r="T2" s="2">
        <v>4000</v>
      </c>
      <c r="U2" s="2">
        <v>17840</v>
      </c>
      <c r="V2" s="2">
        <v>400</v>
      </c>
      <c r="W2" s="2">
        <v>24160</v>
      </c>
      <c r="X2" s="2">
        <v>22240</v>
      </c>
      <c r="Y2" s="2">
        <v>24160</v>
      </c>
      <c r="Z2" s="2">
        <v>46400</v>
      </c>
      <c r="AA2" s="2">
        <v>4800</v>
      </c>
      <c r="AB2" s="2">
        <v>17840</v>
      </c>
      <c r="AC2" s="2">
        <v>440</v>
      </c>
      <c r="AD2" s="2">
        <v>24160</v>
      </c>
      <c r="AE2" s="2">
        <v>23080</v>
      </c>
      <c r="AF2" s="2">
        <v>24160</v>
      </c>
      <c r="AG2" s="2">
        <v>47240</v>
      </c>
      <c r="AH2" s="2">
        <v>4320</v>
      </c>
      <c r="AI2" s="2">
        <v>17304.8</v>
      </c>
      <c r="AJ2" s="2">
        <v>308</v>
      </c>
      <c r="AK2" s="2">
        <v>21744</v>
      </c>
      <c r="AL2" s="2">
        <v>21932.799999999999</v>
      </c>
      <c r="AM2" s="2">
        <v>21744</v>
      </c>
      <c r="AN2" s="2">
        <v>46400</v>
      </c>
      <c r="AO2" s="4" t="s">
        <v>55</v>
      </c>
      <c r="AP2" s="4" t="s">
        <v>55</v>
      </c>
      <c r="AQ2" s="4" t="s">
        <v>55</v>
      </c>
      <c r="AR2" s="4" t="s">
        <v>55</v>
      </c>
      <c r="AS2" s="2">
        <v>26206</v>
      </c>
      <c r="AT2" s="2">
        <v>0</v>
      </c>
      <c r="AU2" s="2">
        <v>26206</v>
      </c>
    </row>
    <row r="3" spans="1:47">
      <c r="A3" s="4" t="s">
        <v>46</v>
      </c>
      <c r="B3" s="4" t="s">
        <v>47</v>
      </c>
      <c r="C3" s="4" t="s">
        <v>48</v>
      </c>
      <c r="D3" s="4" t="s">
        <v>62</v>
      </c>
      <c r="E3" s="4" t="s">
        <v>49</v>
      </c>
      <c r="F3" s="4" t="s">
        <v>50</v>
      </c>
      <c r="G3" s="4" t="s">
        <v>96</v>
      </c>
      <c r="H3" s="4" t="s">
        <v>130</v>
      </c>
      <c r="I3" s="4" t="s">
        <v>51</v>
      </c>
      <c r="J3" s="4" t="s">
        <v>65</v>
      </c>
      <c r="K3" s="4" t="s">
        <v>98</v>
      </c>
      <c r="L3" s="4" t="s">
        <v>99</v>
      </c>
      <c r="M3" s="4" t="s">
        <v>100</v>
      </c>
      <c r="N3" s="4" t="s">
        <v>52</v>
      </c>
      <c r="O3" s="4" t="s">
        <v>52</v>
      </c>
      <c r="P3" s="4" t="s">
        <v>52</v>
      </c>
      <c r="Q3" s="4" t="s">
        <v>101</v>
      </c>
      <c r="R3" s="4" t="s">
        <v>53</v>
      </c>
      <c r="S3" s="4" t="s">
        <v>56</v>
      </c>
      <c r="T3" s="2">
        <v>4800</v>
      </c>
      <c r="U3" s="2">
        <v>32200</v>
      </c>
      <c r="V3" s="2">
        <v>3600</v>
      </c>
      <c r="W3" s="2">
        <v>17000</v>
      </c>
      <c r="X3" s="2">
        <v>40600</v>
      </c>
      <c r="Y3" s="2">
        <v>17000</v>
      </c>
      <c r="Z3" s="2">
        <v>57600</v>
      </c>
      <c r="AA3" s="2">
        <v>5760</v>
      </c>
      <c r="AB3" s="2">
        <v>32200</v>
      </c>
      <c r="AC3" s="2">
        <v>4320</v>
      </c>
      <c r="AD3" s="2">
        <v>17000</v>
      </c>
      <c r="AE3" s="2">
        <v>42280</v>
      </c>
      <c r="AF3" s="2">
        <v>17000</v>
      </c>
      <c r="AG3" s="2">
        <v>59280</v>
      </c>
      <c r="AH3" s="2">
        <v>5184</v>
      </c>
      <c r="AI3" s="2">
        <v>31234</v>
      </c>
      <c r="AJ3" s="2">
        <v>3024</v>
      </c>
      <c r="AK3" s="2">
        <v>15300</v>
      </c>
      <c r="AL3" s="2">
        <v>39442</v>
      </c>
      <c r="AM3" s="2">
        <v>15300</v>
      </c>
      <c r="AN3" s="2">
        <v>57600</v>
      </c>
      <c r="AO3" s="4" t="s">
        <v>55</v>
      </c>
      <c r="AP3" s="4" t="s">
        <v>55</v>
      </c>
      <c r="AQ3" s="4" t="s">
        <v>55</v>
      </c>
      <c r="AR3" s="4" t="s">
        <v>55</v>
      </c>
      <c r="AS3" s="2">
        <v>32844</v>
      </c>
      <c r="AT3" s="2">
        <v>0</v>
      </c>
      <c r="AU3" s="2">
        <v>32844</v>
      </c>
    </row>
    <row r="4" spans="1:47">
      <c r="A4" s="4" t="s">
        <v>46</v>
      </c>
      <c r="B4" s="4" t="s">
        <v>47</v>
      </c>
      <c r="C4" s="4" t="s">
        <v>48</v>
      </c>
      <c r="D4" s="4" t="s">
        <v>62</v>
      </c>
      <c r="E4" s="4" t="s">
        <v>49</v>
      </c>
      <c r="F4" s="4" t="s">
        <v>50</v>
      </c>
      <c r="G4" s="4" t="s">
        <v>96</v>
      </c>
      <c r="H4" s="4" t="s">
        <v>130</v>
      </c>
      <c r="I4" s="4" t="s">
        <v>51</v>
      </c>
      <c r="J4" s="4" t="s">
        <v>65</v>
      </c>
      <c r="K4" s="4" t="s">
        <v>98</v>
      </c>
      <c r="L4" s="4" t="s">
        <v>99</v>
      </c>
      <c r="M4" s="4" t="s">
        <v>100</v>
      </c>
      <c r="N4" s="4" t="s">
        <v>52</v>
      </c>
      <c r="O4" s="4" t="s">
        <v>52</v>
      </c>
      <c r="P4" s="4" t="s">
        <v>52</v>
      </c>
      <c r="Q4" s="4" t="s">
        <v>101</v>
      </c>
      <c r="R4" s="4" t="s">
        <v>53</v>
      </c>
      <c r="S4" s="4" t="s">
        <v>56</v>
      </c>
      <c r="T4" s="2">
        <v>10000</v>
      </c>
      <c r="U4" s="2">
        <v>31300</v>
      </c>
      <c r="V4" s="2">
        <v>0</v>
      </c>
      <c r="W4" s="2">
        <v>23500</v>
      </c>
      <c r="X4" s="2">
        <v>41300</v>
      </c>
      <c r="Y4" s="2">
        <v>23500</v>
      </c>
      <c r="Z4" s="2">
        <v>64800</v>
      </c>
      <c r="AA4" s="2">
        <v>12000</v>
      </c>
      <c r="AB4" s="2">
        <v>31300</v>
      </c>
      <c r="AC4" s="2">
        <v>0</v>
      </c>
      <c r="AD4" s="2">
        <v>23500</v>
      </c>
      <c r="AE4" s="2">
        <v>43300</v>
      </c>
      <c r="AF4" s="2">
        <v>23500</v>
      </c>
      <c r="AG4" s="2">
        <v>66800</v>
      </c>
      <c r="AH4" s="2">
        <v>10800</v>
      </c>
      <c r="AI4" s="2">
        <v>30361</v>
      </c>
      <c r="AJ4" s="2">
        <v>0</v>
      </c>
      <c r="AK4" s="2">
        <v>21150</v>
      </c>
      <c r="AL4" s="2">
        <v>41161</v>
      </c>
      <c r="AM4" s="2">
        <v>21150</v>
      </c>
      <c r="AN4" s="2">
        <v>64800</v>
      </c>
      <c r="AO4" s="4" t="s">
        <v>55</v>
      </c>
      <c r="AP4" s="4" t="s">
        <v>55</v>
      </c>
      <c r="AQ4" s="4" t="s">
        <v>55</v>
      </c>
      <c r="AR4" s="4" t="s">
        <v>55</v>
      </c>
      <c r="AS4" s="2">
        <v>37387</v>
      </c>
      <c r="AT4" s="2">
        <v>0</v>
      </c>
      <c r="AU4" s="2">
        <v>37387</v>
      </c>
    </row>
    <row r="5" spans="1:47">
      <c r="A5" s="4" t="s">
        <v>46</v>
      </c>
      <c r="B5" s="4" t="s">
        <v>47</v>
      </c>
      <c r="C5" s="4" t="s">
        <v>48</v>
      </c>
      <c r="D5" s="4" t="s">
        <v>62</v>
      </c>
      <c r="E5" s="4" t="s">
        <v>49</v>
      </c>
      <c r="F5" s="4" t="s">
        <v>50</v>
      </c>
      <c r="G5" s="4" t="s">
        <v>96</v>
      </c>
      <c r="H5" s="4" t="s">
        <v>131</v>
      </c>
      <c r="I5" s="4" t="s">
        <v>51</v>
      </c>
      <c r="J5" s="4" t="s">
        <v>65</v>
      </c>
      <c r="K5" s="4" t="s">
        <v>98</v>
      </c>
      <c r="L5" s="4" t="s">
        <v>99</v>
      </c>
      <c r="M5" s="4" t="s">
        <v>100</v>
      </c>
      <c r="N5" s="4" t="s">
        <v>52</v>
      </c>
      <c r="O5" s="4" t="s">
        <v>52</v>
      </c>
      <c r="P5" s="4" t="s">
        <v>52</v>
      </c>
      <c r="Q5" s="4" t="s">
        <v>101</v>
      </c>
      <c r="R5" s="4" t="s">
        <v>53</v>
      </c>
      <c r="S5" s="4" t="s">
        <v>59</v>
      </c>
      <c r="T5" s="2">
        <v>175690</v>
      </c>
      <c r="U5" s="2">
        <v>164160</v>
      </c>
      <c r="V5" s="2">
        <v>32540</v>
      </c>
      <c r="W5" s="2">
        <v>366610</v>
      </c>
      <c r="X5" s="2">
        <v>372390</v>
      </c>
      <c r="Y5" s="2">
        <v>366610</v>
      </c>
      <c r="Z5" s="2">
        <v>739000</v>
      </c>
      <c r="AA5" s="2">
        <v>210828</v>
      </c>
      <c r="AB5" s="2">
        <v>164160</v>
      </c>
      <c r="AC5" s="2">
        <v>38368</v>
      </c>
      <c r="AD5" s="2">
        <v>366610</v>
      </c>
      <c r="AE5" s="2">
        <v>413356</v>
      </c>
      <c r="AF5" s="2">
        <v>366610</v>
      </c>
      <c r="AG5" s="2">
        <v>779966</v>
      </c>
      <c r="AH5" s="2">
        <v>189745.2</v>
      </c>
      <c r="AI5" s="2">
        <v>159235.20000000001</v>
      </c>
      <c r="AJ5" s="2">
        <v>26857.599999999999</v>
      </c>
      <c r="AK5" s="2">
        <v>329949</v>
      </c>
      <c r="AL5" s="2">
        <v>375838</v>
      </c>
      <c r="AM5" s="2">
        <v>329949</v>
      </c>
      <c r="AN5" s="2">
        <v>739000</v>
      </c>
      <c r="AO5" s="4" t="s">
        <v>55</v>
      </c>
      <c r="AP5" s="4" t="s">
        <v>55</v>
      </c>
      <c r="AQ5" s="4" t="s">
        <v>55</v>
      </c>
      <c r="AR5" s="4" t="s">
        <v>55</v>
      </c>
      <c r="AS5" s="2">
        <v>423472</v>
      </c>
      <c r="AT5" s="2">
        <v>0</v>
      </c>
      <c r="AU5" s="2">
        <v>423472</v>
      </c>
    </row>
    <row r="6" spans="1:47">
      <c r="A6" s="4" t="s">
        <v>46</v>
      </c>
      <c r="B6" s="4" t="s">
        <v>47</v>
      </c>
      <c r="C6" s="4" t="s">
        <v>48</v>
      </c>
      <c r="D6" s="4" t="s">
        <v>62</v>
      </c>
      <c r="E6" s="4" t="s">
        <v>49</v>
      </c>
      <c r="F6" s="4" t="s">
        <v>50</v>
      </c>
      <c r="G6" s="4" t="s">
        <v>96</v>
      </c>
      <c r="H6" s="4" t="s">
        <v>130</v>
      </c>
      <c r="I6" s="4" t="s">
        <v>51</v>
      </c>
      <c r="J6" s="4" t="s">
        <v>65</v>
      </c>
      <c r="K6" s="4" t="s">
        <v>98</v>
      </c>
      <c r="L6" s="4" t="s">
        <v>99</v>
      </c>
      <c r="M6" s="4" t="s">
        <v>100</v>
      </c>
      <c r="N6" s="4" t="s">
        <v>52</v>
      </c>
      <c r="O6" s="4" t="s">
        <v>52</v>
      </c>
      <c r="P6" s="4" t="s">
        <v>52</v>
      </c>
      <c r="Q6" s="4" t="s">
        <v>101</v>
      </c>
      <c r="R6" s="4" t="s">
        <v>53</v>
      </c>
      <c r="S6" s="4" t="s">
        <v>60</v>
      </c>
      <c r="T6" s="2">
        <v>154620</v>
      </c>
      <c r="U6" s="2">
        <v>242140</v>
      </c>
      <c r="V6" s="2">
        <v>28870</v>
      </c>
      <c r="W6" s="2">
        <v>148970</v>
      </c>
      <c r="X6" s="2">
        <v>425630</v>
      </c>
      <c r="Y6" s="2">
        <v>148970</v>
      </c>
      <c r="Z6" s="2">
        <v>574600</v>
      </c>
      <c r="AA6" s="2">
        <v>185544</v>
      </c>
      <c r="AB6" s="2">
        <v>242140</v>
      </c>
      <c r="AC6" s="2">
        <v>33924</v>
      </c>
      <c r="AD6" s="2">
        <v>148970</v>
      </c>
      <c r="AE6" s="2">
        <v>461608</v>
      </c>
      <c r="AF6" s="2">
        <v>148970</v>
      </c>
      <c r="AG6" s="2">
        <v>610578</v>
      </c>
      <c r="AH6" s="2">
        <v>166989.6</v>
      </c>
      <c r="AI6" s="2">
        <v>234875.8</v>
      </c>
      <c r="AJ6" s="2">
        <v>23746.799999999999</v>
      </c>
      <c r="AK6" s="2">
        <v>134073</v>
      </c>
      <c r="AL6" s="2">
        <v>425612.2</v>
      </c>
      <c r="AM6" s="2">
        <v>134073</v>
      </c>
      <c r="AN6" s="2">
        <v>574600</v>
      </c>
      <c r="AO6" s="4" t="s">
        <v>55</v>
      </c>
      <c r="AP6" s="4" t="s">
        <v>55</v>
      </c>
      <c r="AQ6" s="4" t="s">
        <v>55</v>
      </c>
      <c r="AR6" s="4" t="s">
        <v>55</v>
      </c>
      <c r="AS6" s="2">
        <v>335811</v>
      </c>
      <c r="AT6" s="2">
        <v>0</v>
      </c>
      <c r="AU6" s="2">
        <v>335811</v>
      </c>
    </row>
    <row r="7" spans="1:47">
      <c r="A7" s="4" t="s">
        <v>46</v>
      </c>
      <c r="B7" s="4" t="s">
        <v>47</v>
      </c>
      <c r="C7" s="4" t="s">
        <v>48</v>
      </c>
      <c r="D7" s="4" t="s">
        <v>62</v>
      </c>
      <c r="E7" s="4" t="s">
        <v>49</v>
      </c>
      <c r="F7" s="4" t="s">
        <v>50</v>
      </c>
      <c r="G7" s="4" t="s">
        <v>96</v>
      </c>
      <c r="H7" s="4" t="s">
        <v>130</v>
      </c>
      <c r="I7" s="4" t="s">
        <v>51</v>
      </c>
      <c r="J7" s="4" t="s">
        <v>65</v>
      </c>
      <c r="K7" s="4" t="s">
        <v>98</v>
      </c>
      <c r="L7" s="4" t="s">
        <v>99</v>
      </c>
      <c r="M7" s="4" t="s">
        <v>100</v>
      </c>
      <c r="N7" s="4" t="s">
        <v>52</v>
      </c>
      <c r="O7" s="4" t="s">
        <v>52</v>
      </c>
      <c r="P7" s="4" t="s">
        <v>52</v>
      </c>
      <c r="Q7" s="4" t="s">
        <v>101</v>
      </c>
      <c r="R7" s="4" t="s">
        <v>53</v>
      </c>
      <c r="S7" s="4" t="s">
        <v>60</v>
      </c>
      <c r="T7" s="2">
        <v>39100</v>
      </c>
      <c r="U7" s="2">
        <v>39400</v>
      </c>
      <c r="V7" s="2">
        <v>7200</v>
      </c>
      <c r="W7" s="2">
        <v>15100</v>
      </c>
      <c r="X7" s="2">
        <v>85700</v>
      </c>
      <c r="Y7" s="2">
        <v>15100</v>
      </c>
      <c r="Z7" s="2">
        <v>100800</v>
      </c>
      <c r="AA7" s="2">
        <v>46920</v>
      </c>
      <c r="AB7" s="2">
        <v>39400</v>
      </c>
      <c r="AC7" s="2">
        <v>8640</v>
      </c>
      <c r="AD7" s="2">
        <v>15100</v>
      </c>
      <c r="AE7" s="2">
        <v>94960</v>
      </c>
      <c r="AF7" s="2">
        <v>15100</v>
      </c>
      <c r="AG7" s="2">
        <v>110060</v>
      </c>
      <c r="AH7" s="2">
        <v>42228</v>
      </c>
      <c r="AI7" s="2">
        <v>38218</v>
      </c>
      <c r="AJ7" s="2">
        <v>6048</v>
      </c>
      <c r="AK7" s="2">
        <v>13590</v>
      </c>
      <c r="AL7" s="2">
        <v>86494</v>
      </c>
      <c r="AM7" s="2">
        <v>13590</v>
      </c>
      <c r="AN7" s="2">
        <v>100800</v>
      </c>
      <c r="AO7" s="4" t="s">
        <v>55</v>
      </c>
      <c r="AP7" s="4" t="s">
        <v>55</v>
      </c>
      <c r="AQ7" s="4" t="s">
        <v>55</v>
      </c>
      <c r="AR7" s="4" t="s">
        <v>55</v>
      </c>
      <c r="AS7" s="2">
        <v>60051</v>
      </c>
      <c r="AT7" s="2">
        <v>0</v>
      </c>
      <c r="AU7" s="2">
        <v>60051</v>
      </c>
    </row>
    <row r="8" spans="1:47">
      <c r="A8" s="4" t="s">
        <v>46</v>
      </c>
      <c r="B8" s="4" t="s">
        <v>47</v>
      </c>
      <c r="C8" s="4" t="s">
        <v>48</v>
      </c>
      <c r="D8" s="4" t="s">
        <v>62</v>
      </c>
      <c r="E8" s="4" t="s">
        <v>49</v>
      </c>
      <c r="F8" s="4" t="s">
        <v>50</v>
      </c>
      <c r="G8" s="4" t="s">
        <v>96</v>
      </c>
      <c r="H8" s="4" t="s">
        <v>130</v>
      </c>
      <c r="I8" s="4" t="s">
        <v>51</v>
      </c>
      <c r="J8" s="4" t="s">
        <v>65</v>
      </c>
      <c r="K8" s="4" t="s">
        <v>98</v>
      </c>
      <c r="L8" s="4" t="s">
        <v>99</v>
      </c>
      <c r="M8" s="4" t="s">
        <v>100</v>
      </c>
      <c r="N8" s="4" t="s">
        <v>52</v>
      </c>
      <c r="O8" s="4" t="s">
        <v>52</v>
      </c>
      <c r="P8" s="4" t="s">
        <v>52</v>
      </c>
      <c r="Q8" s="4" t="s">
        <v>101</v>
      </c>
      <c r="R8" s="4" t="s">
        <v>53</v>
      </c>
      <c r="S8" s="4" t="s">
        <v>60</v>
      </c>
      <c r="T8" s="2">
        <v>5400</v>
      </c>
      <c r="U8" s="2">
        <v>3700</v>
      </c>
      <c r="V8" s="2">
        <v>1700</v>
      </c>
      <c r="W8" s="2">
        <v>10800</v>
      </c>
      <c r="X8" s="2">
        <v>10800</v>
      </c>
      <c r="Y8" s="2">
        <v>10800</v>
      </c>
      <c r="Z8" s="2">
        <v>21600</v>
      </c>
      <c r="AA8" s="2">
        <v>6480</v>
      </c>
      <c r="AB8" s="2">
        <v>3700</v>
      </c>
      <c r="AC8" s="2">
        <v>1870</v>
      </c>
      <c r="AD8" s="2">
        <v>10800</v>
      </c>
      <c r="AE8" s="2">
        <v>12050</v>
      </c>
      <c r="AF8" s="2">
        <v>10800</v>
      </c>
      <c r="AG8" s="2">
        <v>22850</v>
      </c>
      <c r="AH8" s="2">
        <v>5832</v>
      </c>
      <c r="AI8" s="2">
        <v>3589</v>
      </c>
      <c r="AJ8" s="2">
        <v>1309</v>
      </c>
      <c r="AK8" s="2">
        <v>9720</v>
      </c>
      <c r="AL8" s="2">
        <v>10730</v>
      </c>
      <c r="AM8" s="2">
        <v>9720</v>
      </c>
      <c r="AN8" s="2">
        <v>21600</v>
      </c>
      <c r="AO8" s="4" t="s">
        <v>55</v>
      </c>
      <c r="AP8" s="4" t="s">
        <v>55</v>
      </c>
      <c r="AQ8" s="4" t="s">
        <v>55</v>
      </c>
      <c r="AR8" s="4" t="s">
        <v>55</v>
      </c>
      <c r="AS8" s="2">
        <v>12269</v>
      </c>
      <c r="AT8" s="2">
        <v>0</v>
      </c>
      <c r="AU8" s="2">
        <v>12269</v>
      </c>
    </row>
    <row r="9" spans="1:47">
      <c r="AU9" s="6">
        <f>SUM(AU2:AU8)</f>
        <v>928040</v>
      </c>
    </row>
    <row r="11" spans="1:47">
      <c r="A11" s="7" t="s">
        <v>132</v>
      </c>
      <c r="B11" s="8"/>
      <c r="C11" s="8"/>
      <c r="D11" s="9"/>
    </row>
    <row r="12" spans="1:47">
      <c r="A12" s="10" t="s">
        <v>123</v>
      </c>
      <c r="B12" s="10" t="s">
        <v>104</v>
      </c>
      <c r="C12" s="10" t="s">
        <v>117</v>
      </c>
      <c r="D12" s="10" t="s">
        <v>124</v>
      </c>
    </row>
    <row r="13" spans="1:47">
      <c r="A13" s="11">
        <v>202206</v>
      </c>
      <c r="B13" s="12">
        <v>20000000</v>
      </c>
      <c r="C13" s="12">
        <f>AU9</f>
        <v>928040</v>
      </c>
      <c r="D13" s="12">
        <f>B13-C13</f>
        <v>19071960</v>
      </c>
    </row>
    <row r="14" spans="1:47">
      <c r="A14" s="11"/>
      <c r="B14" s="17"/>
      <c r="D14" s="14"/>
    </row>
    <row r="15" spans="1:47">
      <c r="A15" s="17"/>
      <c r="B15" s="17"/>
      <c r="C15" s="17"/>
      <c r="D15" s="17"/>
    </row>
    <row r="16" spans="1:47">
      <c r="A16" s="21" t="s">
        <v>111</v>
      </c>
      <c r="B16" s="22">
        <f>SUM(B13:B15)</f>
        <v>20000000</v>
      </c>
      <c r="C16" s="22">
        <f>SUM(C13:C15)</f>
        <v>928040</v>
      </c>
      <c r="D16" s="2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U16"/>
  <sheetViews>
    <sheetView workbookViewId="0">
      <selection activeCell="B5" sqref="B5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5.1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4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7.19921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10.19921875" bestFit="1" customWidth="1"/>
    <col min="22" max="22" width="9.1992187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8" width="10.19921875" bestFit="1" customWidth="1"/>
    <col min="29" max="29" width="9.1992187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10.19921875" bestFit="1" customWidth="1"/>
    <col min="46" max="46" width="5" bestFit="1" customWidth="1"/>
    <col min="47" max="47" width="10.19921875" bestFit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</row>
    <row r="2" spans="1:47">
      <c r="A2" s="4" t="s">
        <v>46</v>
      </c>
      <c r="B2" s="4" t="s">
        <v>47</v>
      </c>
      <c r="C2" s="4" t="s">
        <v>48</v>
      </c>
      <c r="D2" s="4" t="s">
        <v>62</v>
      </c>
      <c r="E2" s="4" t="s">
        <v>49</v>
      </c>
      <c r="F2" s="4" t="s">
        <v>50</v>
      </c>
      <c r="G2" s="4" t="s">
        <v>79</v>
      </c>
      <c r="H2" s="4" t="s">
        <v>80</v>
      </c>
      <c r="I2" s="4" t="s">
        <v>51</v>
      </c>
      <c r="J2" s="4" t="s">
        <v>65</v>
      </c>
      <c r="K2" s="4" t="s">
        <v>81</v>
      </c>
      <c r="L2" s="4" t="s">
        <v>82</v>
      </c>
      <c r="M2" s="4" t="s">
        <v>83</v>
      </c>
      <c r="N2" s="4" t="s">
        <v>52</v>
      </c>
      <c r="O2" s="4" t="s">
        <v>52</v>
      </c>
      <c r="P2" s="4" t="s">
        <v>52</v>
      </c>
      <c r="Q2" s="4" t="s">
        <v>84</v>
      </c>
      <c r="R2" s="4" t="s">
        <v>53</v>
      </c>
      <c r="S2" s="4" t="s">
        <v>54</v>
      </c>
      <c r="T2" s="2">
        <v>386000</v>
      </c>
      <c r="U2" s="2">
        <v>1038820</v>
      </c>
      <c r="V2" s="2">
        <v>145840</v>
      </c>
      <c r="W2" s="2">
        <v>175840</v>
      </c>
      <c r="X2" s="2">
        <v>1570660</v>
      </c>
      <c r="Y2" s="2">
        <v>175840</v>
      </c>
      <c r="Z2" s="2">
        <v>1746500</v>
      </c>
      <c r="AA2" s="2">
        <v>463200</v>
      </c>
      <c r="AB2" s="2">
        <v>1038820</v>
      </c>
      <c r="AC2" s="2">
        <v>174278</v>
      </c>
      <c r="AD2" s="2">
        <v>175840</v>
      </c>
      <c r="AE2" s="2">
        <v>1676298</v>
      </c>
      <c r="AF2" s="2">
        <v>175840</v>
      </c>
      <c r="AG2" s="2">
        <v>1852138</v>
      </c>
      <c r="AH2" s="2">
        <v>416880</v>
      </c>
      <c r="AI2" s="2">
        <v>1007655.4</v>
      </c>
      <c r="AJ2" s="2">
        <v>121994.6</v>
      </c>
      <c r="AK2" s="2">
        <v>158256</v>
      </c>
      <c r="AL2" s="2">
        <v>1546530</v>
      </c>
      <c r="AM2" s="2">
        <v>158256</v>
      </c>
      <c r="AN2" s="2">
        <v>1746500</v>
      </c>
      <c r="AO2" s="4" t="s">
        <v>55</v>
      </c>
      <c r="AP2" s="4" t="s">
        <v>55</v>
      </c>
      <c r="AQ2" s="4" t="s">
        <v>55</v>
      </c>
      <c r="AR2" s="4" t="s">
        <v>55</v>
      </c>
      <c r="AS2" s="2">
        <v>1022872</v>
      </c>
      <c r="AT2" s="2">
        <v>0</v>
      </c>
      <c r="AU2" s="2">
        <v>1022872</v>
      </c>
    </row>
    <row r="3" spans="1:47">
      <c r="A3" s="4" t="s">
        <v>46</v>
      </c>
      <c r="B3" s="4" t="s">
        <v>47</v>
      </c>
      <c r="C3" s="4" t="s">
        <v>48</v>
      </c>
      <c r="D3" s="4" t="s">
        <v>62</v>
      </c>
      <c r="E3" s="4" t="s">
        <v>49</v>
      </c>
      <c r="F3" s="4" t="s">
        <v>50</v>
      </c>
      <c r="G3" s="4" t="s">
        <v>79</v>
      </c>
      <c r="H3" s="4" t="s">
        <v>80</v>
      </c>
      <c r="I3" s="4" t="s">
        <v>51</v>
      </c>
      <c r="J3" s="4" t="s">
        <v>65</v>
      </c>
      <c r="K3" s="4" t="s">
        <v>81</v>
      </c>
      <c r="L3" s="4" t="s">
        <v>82</v>
      </c>
      <c r="M3" s="4" t="s">
        <v>83</v>
      </c>
      <c r="N3" s="4" t="s">
        <v>52</v>
      </c>
      <c r="O3" s="4" t="s">
        <v>52</v>
      </c>
      <c r="P3" s="4" t="s">
        <v>52</v>
      </c>
      <c r="Q3" s="4" t="s">
        <v>84</v>
      </c>
      <c r="R3" s="4" t="s">
        <v>53</v>
      </c>
      <c r="S3" s="4" t="s">
        <v>56</v>
      </c>
      <c r="T3" s="2">
        <v>732880</v>
      </c>
      <c r="U3" s="2">
        <v>3118840</v>
      </c>
      <c r="V3" s="2">
        <v>201600</v>
      </c>
      <c r="W3" s="2">
        <v>291180</v>
      </c>
      <c r="X3" s="2">
        <v>4053320</v>
      </c>
      <c r="Y3" s="2">
        <v>291180</v>
      </c>
      <c r="Z3" s="2">
        <v>4344500</v>
      </c>
      <c r="AA3" s="2">
        <v>879456</v>
      </c>
      <c r="AB3" s="2">
        <v>3118840</v>
      </c>
      <c r="AC3" s="2">
        <v>241920</v>
      </c>
      <c r="AD3" s="2">
        <v>291180</v>
      </c>
      <c r="AE3" s="2">
        <v>4240216</v>
      </c>
      <c r="AF3" s="2">
        <v>291180</v>
      </c>
      <c r="AG3" s="2">
        <v>4531396</v>
      </c>
      <c r="AH3" s="2">
        <v>791510.4</v>
      </c>
      <c r="AI3" s="2">
        <v>3025274.8</v>
      </c>
      <c r="AJ3" s="2">
        <v>169344</v>
      </c>
      <c r="AK3" s="2">
        <v>262062</v>
      </c>
      <c r="AL3" s="2">
        <v>3986129.2</v>
      </c>
      <c r="AM3" s="2">
        <v>262062</v>
      </c>
      <c r="AN3" s="2">
        <v>4344500</v>
      </c>
      <c r="AO3" s="4" t="s">
        <v>55</v>
      </c>
      <c r="AP3" s="4" t="s">
        <v>55</v>
      </c>
      <c r="AQ3" s="4" t="s">
        <v>55</v>
      </c>
      <c r="AR3" s="4" t="s">
        <v>55</v>
      </c>
      <c r="AS3" s="2">
        <v>2548914</v>
      </c>
      <c r="AT3" s="2">
        <v>0</v>
      </c>
      <c r="AU3" s="2">
        <v>2548914</v>
      </c>
    </row>
    <row r="4" spans="1:47">
      <c r="A4" s="4" t="s">
        <v>46</v>
      </c>
      <c r="B4" s="4" t="s">
        <v>47</v>
      </c>
      <c r="C4" s="4" t="s">
        <v>48</v>
      </c>
      <c r="D4" s="4" t="s">
        <v>62</v>
      </c>
      <c r="E4" s="4" t="s">
        <v>49</v>
      </c>
      <c r="F4" s="4" t="s">
        <v>50</v>
      </c>
      <c r="G4" s="4" t="s">
        <v>79</v>
      </c>
      <c r="H4" s="4" t="s">
        <v>80</v>
      </c>
      <c r="I4" s="4" t="s">
        <v>51</v>
      </c>
      <c r="J4" s="4" t="s">
        <v>65</v>
      </c>
      <c r="K4" s="4" t="s">
        <v>81</v>
      </c>
      <c r="L4" s="4" t="s">
        <v>82</v>
      </c>
      <c r="M4" s="4" t="s">
        <v>83</v>
      </c>
      <c r="N4" s="4" t="s">
        <v>52</v>
      </c>
      <c r="O4" s="4" t="s">
        <v>52</v>
      </c>
      <c r="P4" s="4" t="s">
        <v>52</v>
      </c>
      <c r="Q4" s="4" t="s">
        <v>84</v>
      </c>
      <c r="R4" s="4" t="s">
        <v>53</v>
      </c>
      <c r="S4" s="4" t="s">
        <v>56</v>
      </c>
      <c r="T4" s="2">
        <v>268590</v>
      </c>
      <c r="U4" s="2">
        <v>1392250</v>
      </c>
      <c r="V4" s="2">
        <v>65910</v>
      </c>
      <c r="W4" s="2">
        <v>87250</v>
      </c>
      <c r="X4" s="2">
        <v>1726750</v>
      </c>
      <c r="Y4" s="2">
        <v>87250</v>
      </c>
      <c r="Z4" s="2">
        <v>1814000</v>
      </c>
      <c r="AA4" s="2">
        <v>322308</v>
      </c>
      <c r="AB4" s="2">
        <v>1392250</v>
      </c>
      <c r="AC4" s="2">
        <v>79092</v>
      </c>
      <c r="AD4" s="2">
        <v>87250</v>
      </c>
      <c r="AE4" s="2">
        <v>1793650</v>
      </c>
      <c r="AF4" s="2">
        <v>87250</v>
      </c>
      <c r="AG4" s="2">
        <v>1880900</v>
      </c>
      <c r="AH4" s="2">
        <v>290077.2</v>
      </c>
      <c r="AI4" s="2">
        <v>1350482.5</v>
      </c>
      <c r="AJ4" s="2">
        <v>55364.4</v>
      </c>
      <c r="AK4" s="2">
        <v>78525</v>
      </c>
      <c r="AL4" s="2">
        <v>1695924.1</v>
      </c>
      <c r="AM4" s="2">
        <v>78525</v>
      </c>
      <c r="AN4" s="2">
        <v>1814000</v>
      </c>
      <c r="AO4" s="4" t="s">
        <v>55</v>
      </c>
      <c r="AP4" s="4" t="s">
        <v>55</v>
      </c>
      <c r="AQ4" s="4" t="s">
        <v>55</v>
      </c>
      <c r="AR4" s="4" t="s">
        <v>55</v>
      </c>
      <c r="AS4" s="2">
        <v>1064670</v>
      </c>
      <c r="AT4" s="2">
        <v>0</v>
      </c>
      <c r="AU4" s="2">
        <v>1064670</v>
      </c>
    </row>
    <row r="5" spans="1:47">
      <c r="A5" s="4" t="s">
        <v>46</v>
      </c>
      <c r="B5" s="4" t="s">
        <v>47</v>
      </c>
      <c r="C5" s="4" t="s">
        <v>48</v>
      </c>
      <c r="D5" s="4" t="s">
        <v>62</v>
      </c>
      <c r="E5" s="4" t="s">
        <v>49</v>
      </c>
      <c r="F5" s="4" t="s">
        <v>50</v>
      </c>
      <c r="G5" s="4" t="s">
        <v>79</v>
      </c>
      <c r="H5" s="4" t="s">
        <v>80</v>
      </c>
      <c r="I5" s="4" t="s">
        <v>51</v>
      </c>
      <c r="J5" s="4" t="s">
        <v>65</v>
      </c>
      <c r="K5" s="4" t="s">
        <v>81</v>
      </c>
      <c r="L5" s="4" t="s">
        <v>82</v>
      </c>
      <c r="M5" s="4" t="s">
        <v>83</v>
      </c>
      <c r="N5" s="4" t="s">
        <v>52</v>
      </c>
      <c r="O5" s="4" t="s">
        <v>52</v>
      </c>
      <c r="P5" s="4" t="s">
        <v>52</v>
      </c>
      <c r="Q5" s="4" t="s">
        <v>84</v>
      </c>
      <c r="R5" s="4" t="s">
        <v>53</v>
      </c>
      <c r="S5" s="4" t="s">
        <v>56</v>
      </c>
      <c r="T5" s="2">
        <v>212600</v>
      </c>
      <c r="U5" s="2">
        <v>523500</v>
      </c>
      <c r="V5" s="2">
        <v>13500</v>
      </c>
      <c r="W5" s="2">
        <v>34900</v>
      </c>
      <c r="X5" s="2">
        <v>749600</v>
      </c>
      <c r="Y5" s="2">
        <v>34900</v>
      </c>
      <c r="Z5" s="2">
        <v>784500</v>
      </c>
      <c r="AA5" s="2">
        <v>255120</v>
      </c>
      <c r="AB5" s="2">
        <v>523500</v>
      </c>
      <c r="AC5" s="2">
        <v>16200</v>
      </c>
      <c r="AD5" s="2">
        <v>34900</v>
      </c>
      <c r="AE5" s="2">
        <v>794820</v>
      </c>
      <c r="AF5" s="2">
        <v>34900</v>
      </c>
      <c r="AG5" s="2">
        <v>829720</v>
      </c>
      <c r="AH5" s="2">
        <v>229608</v>
      </c>
      <c r="AI5" s="2">
        <v>507795</v>
      </c>
      <c r="AJ5" s="2">
        <v>11340</v>
      </c>
      <c r="AK5" s="2">
        <v>31410</v>
      </c>
      <c r="AL5" s="2">
        <v>748743</v>
      </c>
      <c r="AM5" s="2">
        <v>31410</v>
      </c>
      <c r="AN5" s="2">
        <v>784500</v>
      </c>
      <c r="AO5" s="4" t="s">
        <v>55</v>
      </c>
      <c r="AP5" s="4" t="s">
        <v>55</v>
      </c>
      <c r="AQ5" s="4" t="s">
        <v>55</v>
      </c>
      <c r="AR5" s="4" t="s">
        <v>55</v>
      </c>
      <c r="AS5" s="2">
        <v>468092</v>
      </c>
      <c r="AT5" s="2">
        <v>0</v>
      </c>
      <c r="AU5" s="2">
        <v>468092</v>
      </c>
    </row>
    <row r="6" spans="1:47">
      <c r="A6" s="4" t="s">
        <v>46</v>
      </c>
      <c r="B6" s="4" t="s">
        <v>47</v>
      </c>
      <c r="C6" s="4" t="s">
        <v>48</v>
      </c>
      <c r="D6" s="4" t="s">
        <v>62</v>
      </c>
      <c r="E6" s="4" t="s">
        <v>49</v>
      </c>
      <c r="F6" s="4" t="s">
        <v>50</v>
      </c>
      <c r="G6" s="4" t="s">
        <v>79</v>
      </c>
      <c r="H6" s="4" t="s">
        <v>80</v>
      </c>
      <c r="I6" s="4" t="s">
        <v>51</v>
      </c>
      <c r="J6" s="4" t="s">
        <v>65</v>
      </c>
      <c r="K6" s="4" t="s">
        <v>81</v>
      </c>
      <c r="L6" s="4" t="s">
        <v>82</v>
      </c>
      <c r="M6" s="4" t="s">
        <v>83</v>
      </c>
      <c r="N6" s="4" t="s">
        <v>52</v>
      </c>
      <c r="O6" s="4" t="s">
        <v>52</v>
      </c>
      <c r="P6" s="4" t="s">
        <v>52</v>
      </c>
      <c r="Q6" s="4" t="s">
        <v>84</v>
      </c>
      <c r="R6" s="4" t="s">
        <v>53</v>
      </c>
      <c r="S6" s="4" t="s">
        <v>59</v>
      </c>
      <c r="T6" s="2">
        <v>7377540</v>
      </c>
      <c r="U6" s="2">
        <v>10566870</v>
      </c>
      <c r="V6" s="2">
        <v>2624820</v>
      </c>
      <c r="W6" s="2">
        <v>7250970</v>
      </c>
      <c r="X6" s="2">
        <v>20569230</v>
      </c>
      <c r="Y6" s="2">
        <v>7250970</v>
      </c>
      <c r="Z6" s="2">
        <v>27820200</v>
      </c>
      <c r="AA6" s="2">
        <v>8853048</v>
      </c>
      <c r="AB6" s="2">
        <v>10566870</v>
      </c>
      <c r="AC6" s="2">
        <v>3143134</v>
      </c>
      <c r="AD6" s="2">
        <v>7250970</v>
      </c>
      <c r="AE6" s="2">
        <v>22563052</v>
      </c>
      <c r="AF6" s="2">
        <v>7250970</v>
      </c>
      <c r="AG6" s="2">
        <v>29814022</v>
      </c>
      <c r="AH6" s="2">
        <v>7967743.2000000002</v>
      </c>
      <c r="AI6" s="2">
        <v>10249863.9</v>
      </c>
      <c r="AJ6" s="2">
        <v>2200193.7999999998</v>
      </c>
      <c r="AK6" s="2">
        <v>6525873</v>
      </c>
      <c r="AL6" s="2">
        <v>20417800.899999999</v>
      </c>
      <c r="AM6" s="2">
        <v>6525873</v>
      </c>
      <c r="AN6" s="2">
        <v>27820200</v>
      </c>
      <c r="AO6" s="4" t="s">
        <v>55</v>
      </c>
      <c r="AP6" s="4" t="s">
        <v>55</v>
      </c>
      <c r="AQ6" s="4" t="s">
        <v>55</v>
      </c>
      <c r="AR6" s="4" t="s">
        <v>55</v>
      </c>
      <c r="AS6" s="2">
        <v>16166204</v>
      </c>
      <c r="AT6" s="2">
        <v>0</v>
      </c>
      <c r="AU6" s="2">
        <v>16166204</v>
      </c>
    </row>
    <row r="7" spans="1:47">
      <c r="A7" s="4" t="s">
        <v>46</v>
      </c>
      <c r="B7" s="4" t="s">
        <v>47</v>
      </c>
      <c r="C7" s="4" t="s">
        <v>48</v>
      </c>
      <c r="D7" s="4" t="s">
        <v>62</v>
      </c>
      <c r="E7" s="4" t="s">
        <v>49</v>
      </c>
      <c r="F7" s="4" t="s">
        <v>50</v>
      </c>
      <c r="G7" s="4" t="s">
        <v>79</v>
      </c>
      <c r="H7" s="4" t="s">
        <v>80</v>
      </c>
      <c r="I7" s="4" t="s">
        <v>51</v>
      </c>
      <c r="J7" s="4" t="s">
        <v>65</v>
      </c>
      <c r="K7" s="4" t="s">
        <v>81</v>
      </c>
      <c r="L7" s="4" t="s">
        <v>82</v>
      </c>
      <c r="M7" s="4" t="s">
        <v>83</v>
      </c>
      <c r="N7" s="4" t="s">
        <v>52</v>
      </c>
      <c r="O7" s="4" t="s">
        <v>52</v>
      </c>
      <c r="P7" s="4" t="s">
        <v>52</v>
      </c>
      <c r="Q7" s="4" t="s">
        <v>84</v>
      </c>
      <c r="R7" s="4" t="s">
        <v>53</v>
      </c>
      <c r="S7" s="4" t="s">
        <v>60</v>
      </c>
      <c r="T7" s="2">
        <v>8472870</v>
      </c>
      <c r="U7" s="2">
        <v>19433910</v>
      </c>
      <c r="V7" s="2">
        <v>2514180</v>
      </c>
      <c r="W7" s="2">
        <v>3482240</v>
      </c>
      <c r="X7" s="2">
        <v>30420960</v>
      </c>
      <c r="Y7" s="2">
        <v>3482240</v>
      </c>
      <c r="Z7" s="2">
        <v>33903200</v>
      </c>
      <c r="AA7" s="2">
        <v>10167444</v>
      </c>
      <c r="AB7" s="2">
        <v>19433910</v>
      </c>
      <c r="AC7" s="2">
        <v>3008070</v>
      </c>
      <c r="AD7" s="2">
        <v>3482240</v>
      </c>
      <c r="AE7" s="2">
        <v>32609424</v>
      </c>
      <c r="AF7" s="2">
        <v>3482240</v>
      </c>
      <c r="AG7" s="2">
        <v>36091664</v>
      </c>
      <c r="AH7" s="2">
        <v>9150699.5999999996</v>
      </c>
      <c r="AI7" s="2">
        <v>18850892.699999999</v>
      </c>
      <c r="AJ7" s="2">
        <v>2105649</v>
      </c>
      <c r="AK7" s="2">
        <v>3134016</v>
      </c>
      <c r="AL7" s="2">
        <v>30107241.300000001</v>
      </c>
      <c r="AM7" s="2">
        <v>3134016</v>
      </c>
      <c r="AN7" s="2">
        <v>33903200</v>
      </c>
      <c r="AO7" s="4" t="s">
        <v>55</v>
      </c>
      <c r="AP7" s="4" t="s">
        <v>55</v>
      </c>
      <c r="AQ7" s="4" t="s">
        <v>55</v>
      </c>
      <c r="AR7" s="4" t="s">
        <v>55</v>
      </c>
      <c r="AS7" s="2">
        <v>19944755</v>
      </c>
      <c r="AT7" s="2">
        <v>0</v>
      </c>
      <c r="AU7" s="2">
        <v>19944755</v>
      </c>
    </row>
    <row r="8" spans="1:47">
      <c r="A8" s="4" t="s">
        <v>46</v>
      </c>
      <c r="B8" s="4" t="s">
        <v>47</v>
      </c>
      <c r="C8" s="4" t="s">
        <v>48</v>
      </c>
      <c r="D8" s="4" t="s">
        <v>62</v>
      </c>
      <c r="E8" s="4" t="s">
        <v>49</v>
      </c>
      <c r="F8" s="4" t="s">
        <v>50</v>
      </c>
      <c r="G8" s="4" t="s">
        <v>79</v>
      </c>
      <c r="H8" s="4" t="s">
        <v>133</v>
      </c>
      <c r="I8" s="4" t="s">
        <v>51</v>
      </c>
      <c r="J8" s="4" t="s">
        <v>65</v>
      </c>
      <c r="K8" s="4" t="s">
        <v>81</v>
      </c>
      <c r="L8" s="4" t="s">
        <v>82</v>
      </c>
      <c r="M8" s="4" t="s">
        <v>83</v>
      </c>
      <c r="N8" s="4" t="s">
        <v>52</v>
      </c>
      <c r="O8" s="4" t="s">
        <v>52</v>
      </c>
      <c r="P8" s="4" t="s">
        <v>52</v>
      </c>
      <c r="Q8" s="4" t="s">
        <v>84</v>
      </c>
      <c r="R8" s="4" t="s">
        <v>53</v>
      </c>
      <c r="S8" s="4" t="s">
        <v>60</v>
      </c>
      <c r="T8" s="2">
        <v>1053130</v>
      </c>
      <c r="U8" s="2">
        <v>3387460</v>
      </c>
      <c r="V8" s="2">
        <v>347500</v>
      </c>
      <c r="W8" s="2">
        <v>350110</v>
      </c>
      <c r="X8" s="2">
        <v>4788090</v>
      </c>
      <c r="Y8" s="2">
        <v>350110</v>
      </c>
      <c r="Z8" s="2">
        <v>5138200</v>
      </c>
      <c r="AA8" s="2">
        <v>1263756</v>
      </c>
      <c r="AB8" s="2">
        <v>3387460</v>
      </c>
      <c r="AC8" s="2">
        <v>415124</v>
      </c>
      <c r="AD8" s="2">
        <v>350110</v>
      </c>
      <c r="AE8" s="2">
        <v>5066340</v>
      </c>
      <c r="AF8" s="2">
        <v>350110</v>
      </c>
      <c r="AG8" s="2">
        <v>5416450</v>
      </c>
      <c r="AH8" s="2">
        <v>1137380.3999999999</v>
      </c>
      <c r="AI8" s="2">
        <v>3285836.2</v>
      </c>
      <c r="AJ8" s="2">
        <v>290586.8</v>
      </c>
      <c r="AK8" s="2">
        <v>315099</v>
      </c>
      <c r="AL8" s="2">
        <v>4713803.4000000004</v>
      </c>
      <c r="AM8" s="2">
        <v>315099</v>
      </c>
      <c r="AN8" s="2">
        <v>5138200</v>
      </c>
      <c r="AO8" s="4" t="s">
        <v>55</v>
      </c>
      <c r="AP8" s="4" t="s">
        <v>55</v>
      </c>
      <c r="AQ8" s="4" t="s">
        <v>55</v>
      </c>
      <c r="AR8" s="4" t="s">
        <v>55</v>
      </c>
      <c r="AS8" s="2">
        <v>3017341</v>
      </c>
      <c r="AT8" s="2">
        <v>0</v>
      </c>
      <c r="AU8" s="2">
        <v>3017341</v>
      </c>
    </row>
    <row r="9" spans="1:47">
      <c r="A9" s="4" t="s">
        <v>46</v>
      </c>
      <c r="B9" s="4" t="s">
        <v>47</v>
      </c>
      <c r="C9" s="4" t="s">
        <v>48</v>
      </c>
      <c r="D9" s="4" t="s">
        <v>62</v>
      </c>
      <c r="E9" s="4" t="s">
        <v>49</v>
      </c>
      <c r="F9" s="4" t="s">
        <v>50</v>
      </c>
      <c r="G9" s="4" t="s">
        <v>79</v>
      </c>
      <c r="H9" s="4" t="s">
        <v>80</v>
      </c>
      <c r="I9" s="4" t="s">
        <v>51</v>
      </c>
      <c r="J9" s="4" t="s">
        <v>65</v>
      </c>
      <c r="K9" s="4" t="s">
        <v>81</v>
      </c>
      <c r="L9" s="4" t="s">
        <v>82</v>
      </c>
      <c r="M9" s="4" t="s">
        <v>83</v>
      </c>
      <c r="N9" s="4" t="s">
        <v>52</v>
      </c>
      <c r="O9" s="4" t="s">
        <v>52</v>
      </c>
      <c r="P9" s="4" t="s">
        <v>52</v>
      </c>
      <c r="Q9" s="4" t="s">
        <v>84</v>
      </c>
      <c r="R9" s="4" t="s">
        <v>53</v>
      </c>
      <c r="S9" s="4" t="s">
        <v>60</v>
      </c>
      <c r="T9" s="2">
        <v>281800</v>
      </c>
      <c r="U9" s="2">
        <v>744120</v>
      </c>
      <c r="V9" s="2">
        <v>84620</v>
      </c>
      <c r="W9" s="2">
        <v>97860</v>
      </c>
      <c r="X9" s="2">
        <v>1110540</v>
      </c>
      <c r="Y9" s="2">
        <v>97860</v>
      </c>
      <c r="Z9" s="2">
        <v>1208400</v>
      </c>
      <c r="AA9" s="2">
        <v>338160</v>
      </c>
      <c r="AB9" s="2">
        <v>744120</v>
      </c>
      <c r="AC9" s="2">
        <v>101370</v>
      </c>
      <c r="AD9" s="2">
        <v>97860</v>
      </c>
      <c r="AE9" s="2">
        <v>1183650</v>
      </c>
      <c r="AF9" s="2">
        <v>97860</v>
      </c>
      <c r="AG9" s="2">
        <v>1281510</v>
      </c>
      <c r="AH9" s="2">
        <v>304344</v>
      </c>
      <c r="AI9" s="2">
        <v>721796.4</v>
      </c>
      <c r="AJ9" s="2">
        <v>70959</v>
      </c>
      <c r="AK9" s="2">
        <v>88074</v>
      </c>
      <c r="AL9" s="2">
        <v>1097099.3999999999</v>
      </c>
      <c r="AM9" s="2">
        <v>88074</v>
      </c>
      <c r="AN9" s="2">
        <v>1208400</v>
      </c>
      <c r="AO9" s="4" t="s">
        <v>55</v>
      </c>
      <c r="AP9" s="4" t="s">
        <v>55</v>
      </c>
      <c r="AQ9" s="4" t="s">
        <v>55</v>
      </c>
      <c r="AR9" s="4" t="s">
        <v>55</v>
      </c>
      <c r="AS9" s="2">
        <v>711103</v>
      </c>
      <c r="AT9" s="2">
        <v>0</v>
      </c>
      <c r="AU9" s="2">
        <v>711103</v>
      </c>
    </row>
    <row r="10" spans="1:47">
      <c r="AU10" s="6">
        <f>SUM(AU2:AU9)</f>
        <v>44943951</v>
      </c>
    </row>
    <row r="12" spans="1:47">
      <c r="A12" s="7" t="s">
        <v>134</v>
      </c>
      <c r="B12" s="8"/>
      <c r="C12" s="8"/>
      <c r="D12" s="9"/>
    </row>
    <row r="13" spans="1:47">
      <c r="A13" s="10" t="s">
        <v>123</v>
      </c>
      <c r="B13" s="10" t="s">
        <v>104</v>
      </c>
      <c r="C13" s="10" t="s">
        <v>117</v>
      </c>
      <c r="D13" s="10" t="s">
        <v>124</v>
      </c>
    </row>
    <row r="14" spans="1:47">
      <c r="A14" s="11">
        <v>202206</v>
      </c>
      <c r="B14" s="12">
        <v>50000000</v>
      </c>
      <c r="C14" s="12">
        <f>AU10</f>
        <v>44943951</v>
      </c>
      <c r="D14" s="12">
        <f>B14-C14</f>
        <v>5056049</v>
      </c>
    </row>
    <row r="15" spans="1:47">
      <c r="A15" s="17"/>
      <c r="B15" s="17"/>
      <c r="C15" s="17"/>
      <c r="D15" s="17"/>
    </row>
    <row r="16" spans="1:47">
      <c r="A16" s="21" t="s">
        <v>135</v>
      </c>
      <c r="B16" s="22">
        <f>SUM(B14:B15)</f>
        <v>50000000</v>
      </c>
      <c r="C16" s="22">
        <f>SUM(C14:C15)</f>
        <v>44943951</v>
      </c>
      <c r="D16" s="3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6</vt:i4>
      </vt:variant>
    </vt:vector>
  </HeadingPairs>
  <TitlesOfParts>
    <vt:vector size="13" baseType="lpstr">
      <vt:lpstr>합계(6)</vt:lpstr>
      <vt:lpstr>컨헤라_마딸,옹주</vt:lpstr>
      <vt:lpstr>컨헤라_회귀</vt:lpstr>
      <vt:lpstr>구디스튜디오_간신이 나라를 살림</vt:lpstr>
      <vt:lpstr>구디스튜디오_기사가문</vt:lpstr>
      <vt:lpstr>스토리위즈_새파랗게 어린</vt:lpstr>
      <vt:lpstr>스토리위즈_황녀, 미친 꽃으로 피어나다</vt:lpstr>
      <vt:lpstr>'구디스튜디오_간신이 나라를 살림'!Extract</vt:lpstr>
      <vt:lpstr>구디스튜디오_기사가문!Extract</vt:lpstr>
      <vt:lpstr>'스토리위즈_새파랗게 어린'!Extract</vt:lpstr>
      <vt:lpstr>'스토리위즈_황녀, 미친 꽃으로 피어나다'!Extract</vt:lpstr>
      <vt:lpstr>'컨헤라_마딸,옹주'!Extract</vt:lpstr>
      <vt:lpstr>컨헤라_회귀!Extract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2022-07-07T11:07:15Z</dcterms:modified>
</cp:coreProperties>
</file>