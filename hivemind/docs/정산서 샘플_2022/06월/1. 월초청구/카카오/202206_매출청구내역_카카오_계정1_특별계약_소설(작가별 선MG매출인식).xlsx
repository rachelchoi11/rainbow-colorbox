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카카오페이지\"/>
    </mc:Choice>
  </mc:AlternateContent>
  <bookViews>
    <workbookView xWindow="0" yWindow="0" windowWidth="23040" windowHeight="9300"/>
  </bookViews>
  <sheets>
    <sheet name="합계(6)" sheetId="1" r:id="rId1"/>
    <sheet name="청빙" sheetId="2" r:id="rId2"/>
    <sheet name="김광수" sheetId="3" r:id="rId3"/>
    <sheet name="김정연" sheetId="5" r:id="rId4"/>
    <sheet name="김운담" sheetId="6" r:id="rId5"/>
    <sheet name="틴타" sheetId="7" r:id="rId6"/>
    <sheet name="프레인" sheetId="8" r:id="rId7"/>
    <sheet name="아이리스" sheetId="9" r:id="rId8"/>
    <sheet name="몸서리" sheetId="4" r:id="rId9"/>
    <sheet name="은지유" sheetId="10" r:id="rId10"/>
    <sheet name="룽다" sheetId="11" r:id="rId11"/>
  </sheets>
  <definedNames>
    <definedName name="_xlnm._FilterDatabase" localSheetId="0" hidden="1">'합계(6)'!$A$1:$AU$83</definedName>
    <definedName name="_xlnm.Extract" localSheetId="2">김광수!$A$1:$AU$1</definedName>
    <definedName name="_xlnm.Extract" localSheetId="4">김운담!$A$1:$AU$1</definedName>
    <definedName name="_xlnm.Extract" localSheetId="3">김정연!$A$1:$AU$1</definedName>
    <definedName name="_xlnm.Extract" localSheetId="10">룽다!$A$1:$AU$1</definedName>
    <definedName name="_xlnm.Extract" localSheetId="8">몸서리!$A$1:$AU$1</definedName>
    <definedName name="_xlnm.Extract" localSheetId="7">아이리스!$A$1:$AU$1</definedName>
    <definedName name="_xlnm.Extract" localSheetId="9">은지유!$A$1:$AU$1</definedName>
    <definedName name="_xlnm.Extract" localSheetId="1">청빙!$A$1:$AU$1</definedName>
    <definedName name="_xlnm.Extract" localSheetId="5">틴타!$A$1:$AU$1</definedName>
    <definedName name="_xlnm.Extract" localSheetId="6">프레인!$A$1:$AU$1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C12" i="11" l="1"/>
  <c r="B12" i="11"/>
  <c r="AU6" i="11"/>
  <c r="C10" i="11" s="1"/>
  <c r="D10" i="11" s="1"/>
  <c r="D10" i="10"/>
  <c r="C12" i="10"/>
  <c r="B12" i="10"/>
  <c r="AU6" i="10"/>
  <c r="C10" i="10" s="1"/>
  <c r="C15" i="7"/>
  <c r="B15" i="8"/>
  <c r="C15" i="8"/>
  <c r="C18" i="9"/>
  <c r="B19" i="4"/>
  <c r="C19" i="4"/>
  <c r="AU6" i="4"/>
  <c r="C18" i="4" s="1"/>
  <c r="D18" i="4" s="1"/>
  <c r="D11" i="4"/>
  <c r="D12" i="4" s="1"/>
  <c r="D13" i="4" s="1"/>
  <c r="D14" i="4" s="1"/>
  <c r="D15" i="4" s="1"/>
  <c r="D16" i="4" s="1"/>
  <c r="D10" i="4"/>
  <c r="B18" i="9"/>
  <c r="D16" i="9"/>
  <c r="D15" i="9"/>
  <c r="D14" i="9"/>
  <c r="AU10" i="9"/>
  <c r="C16" i="9" s="1"/>
  <c r="D13" i="8"/>
  <c r="C13" i="8"/>
  <c r="AU6" i="8"/>
  <c r="D10" i="8"/>
  <c r="D11" i="8" s="1"/>
  <c r="D13" i="7"/>
  <c r="C13" i="7"/>
  <c r="B15" i="7"/>
  <c r="D10" i="7"/>
  <c r="D11" i="7" s="1"/>
  <c r="AU6" i="7"/>
  <c r="C15" i="6"/>
  <c r="D12" i="6"/>
  <c r="C12" i="6"/>
  <c r="B15" i="6"/>
  <c r="D10" i="6"/>
  <c r="AU6" i="6"/>
  <c r="D12" i="5"/>
  <c r="C12" i="5"/>
  <c r="AU3" i="5"/>
  <c r="B14" i="5"/>
  <c r="C14" i="5"/>
  <c r="D7" i="5"/>
  <c r="D8" i="5" s="1"/>
  <c r="D9" i="5" s="1"/>
  <c r="D10" i="5" s="1"/>
  <c r="B96" i="3"/>
  <c r="C96" i="3"/>
  <c r="D95" i="3"/>
  <c r="C95" i="3"/>
  <c r="D76" i="3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AU39" i="3"/>
  <c r="D17" i="4" l="1"/>
  <c r="D12" i="8"/>
  <c r="D12" i="7"/>
  <c r="D11" i="6"/>
  <c r="D11" i="5"/>
  <c r="D94" i="3"/>
  <c r="D48" i="2" l="1"/>
  <c r="AU14" i="2"/>
  <c r="C48" i="2" s="1"/>
  <c r="C49" i="2" s="1"/>
  <c r="B49" i="2"/>
  <c r="D38" i="2"/>
  <c r="D39" i="2" s="1"/>
  <c r="D40" i="2" s="1"/>
  <c r="D41" i="2" s="1"/>
  <c r="D42" i="2" s="1"/>
  <c r="D43" i="2" s="1"/>
  <c r="D44" i="2" s="1"/>
  <c r="D45" i="2" s="1"/>
  <c r="D46" i="2" s="1"/>
  <c r="D37" i="2"/>
  <c r="D47" i="2" l="1"/>
</calcChain>
</file>

<file path=xl/comments1.xml><?xml version="1.0" encoding="utf-8"?>
<comments xmlns="http://schemas.openxmlformats.org/spreadsheetml/2006/main">
  <authors>
    <author>jihui</author>
  </authors>
  <commentList>
    <comment ref="C43" authorId="0" shapeId="0">
      <text>
        <r>
          <rPr>
            <b/>
            <sz val="9"/>
            <color indexed="81"/>
            <rFont val="Tahoma"/>
            <family val="2"/>
          </rPr>
          <t>21.12 2000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분할인식</t>
        </r>
        <r>
          <rPr>
            <b/>
            <sz val="9"/>
            <color indexed="81"/>
            <rFont val="Tahoma"/>
            <family val="2"/>
          </rPr>
          <t>/ 186,332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분할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>
  <authors>
    <author>정승민(웹소설사업팀)</author>
    <author>jihui</author>
    <author>storywiz</author>
  </authors>
  <commentList>
    <comment ref="B68" authorId="0" shapeId="0">
      <text>
        <r>
          <rPr>
            <b/>
            <sz val="9"/>
            <color indexed="81"/>
            <rFont val="돋움"/>
            <family val="3"/>
            <charset val="129"/>
          </rPr>
          <t>계약체결일</t>
        </r>
        <r>
          <rPr>
            <b/>
            <sz val="9"/>
            <color indexed="81"/>
            <rFont val="Tahoma"/>
            <family val="2"/>
          </rPr>
          <t>: 200403</t>
        </r>
      </text>
    </comment>
    <comment ref="B71" authorId="1" shapeId="0">
      <text>
        <r>
          <rPr>
            <b/>
            <sz val="9"/>
            <color indexed="81"/>
            <rFont val="Tahoma"/>
            <family val="2"/>
          </rPr>
          <t>20.06.30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74" authorId="1" shapeId="0">
      <text>
        <r>
          <rPr>
            <b/>
            <sz val="9"/>
            <color indexed="81"/>
            <rFont val="Tahoma"/>
            <family val="2"/>
          </rPr>
          <t>2020.09.20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76" authorId="1" shapeId="0">
      <text>
        <r>
          <rPr>
            <b/>
            <sz val="9"/>
            <color indexed="81"/>
            <rFont val="Tahoma"/>
            <family val="2"/>
          </rPr>
          <t>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(11.30)
</t>
        </r>
      </text>
    </comment>
    <comment ref="A79" authorId="1" shapeId="0">
      <text>
        <r>
          <rPr>
            <b/>
            <sz val="9"/>
            <color indexed="81"/>
            <rFont val="돋움"/>
            <family val="3"/>
            <charset val="129"/>
          </rPr>
          <t>일시인식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분할인식으로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당월매출</t>
        </r>
        <r>
          <rPr>
            <b/>
            <sz val="9"/>
            <color indexed="81"/>
            <rFont val="Tahoma"/>
            <family val="2"/>
          </rPr>
          <t xml:space="preserve"> 11,866,625-7,191,910(18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잔여</t>
        </r>
        <r>
          <rPr>
            <b/>
            <sz val="9"/>
            <color indexed="81"/>
            <rFont val="Tahoma"/>
            <family val="2"/>
          </rPr>
          <t xml:space="preserve"> MG)=4,674,715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</text>
    </comment>
    <comment ref="B79" authorId="1" shapeId="0">
      <text>
        <r>
          <rPr>
            <b/>
            <sz val="9"/>
            <color indexed="81"/>
            <rFont val="Tahoma"/>
            <family val="2"/>
          </rPr>
          <t>19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83" authorId="1" shapeId="0">
      <text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85" authorId="1" shapeId="0">
      <text>
        <r>
          <rPr>
            <b/>
            <sz val="9"/>
            <color indexed="81"/>
            <rFont val="Tahoma"/>
            <family val="2"/>
          </rPr>
          <t>21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(08.25)</t>
        </r>
      </text>
    </comment>
    <comment ref="B87" authorId="1" shapeId="0">
      <text>
        <r>
          <rPr>
            <b/>
            <sz val="9"/>
            <color indexed="81"/>
            <rFont val="Tahoma"/>
            <family val="2"/>
          </rPr>
          <t>22,23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(10.12/10.25)</t>
        </r>
      </text>
    </comment>
    <comment ref="B88" authorId="1" shapeId="0">
      <text>
        <r>
          <rPr>
            <b/>
            <sz val="9"/>
            <color indexed="81"/>
            <rFont val="Tahoma"/>
            <family val="2"/>
          </rPr>
          <t>11.23_24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90" authorId="1" shapeId="0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91" authorId="1" shapeId="0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2.15</t>
        </r>
      </text>
    </comment>
    <comment ref="B93" authorId="2" shapeId="0">
      <text>
        <r>
          <rPr>
            <b/>
            <sz val="9"/>
            <color indexed="81"/>
            <rFont val="Tahoma"/>
            <family val="2"/>
          </rPr>
          <t>27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4.4</t>
        </r>
      </text>
    </comment>
    <comment ref="B94" authorId="2" shapeId="0">
      <text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5.20</t>
        </r>
      </text>
    </comment>
  </commentList>
</comments>
</file>

<file path=xl/comments3.xml><?xml version="1.0" encoding="utf-8"?>
<comments xmlns="http://schemas.openxmlformats.org/spreadsheetml/2006/main">
  <authors>
    <author>storywiz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태랑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누적액</t>
        </r>
      </text>
    </comment>
  </commentList>
</comments>
</file>

<file path=xl/comments4.xml><?xml version="1.0" encoding="utf-8"?>
<comments xmlns="http://schemas.openxmlformats.org/spreadsheetml/2006/main">
  <authors>
    <author>storywiz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태랑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누적금액</t>
        </r>
      </text>
    </comment>
  </commentList>
</comments>
</file>

<file path=xl/sharedStrings.xml><?xml version="1.0" encoding="utf-8"?>
<sst xmlns="http://schemas.openxmlformats.org/spreadsheetml/2006/main" count="4352" uniqueCount="213">
  <si>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</si>
  <si>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</si>
  <si>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</si>
  <si>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</si>
  <si>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</si>
  <si>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</si>
  <si>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</si>
  <si>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</si>
  <si>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</si>
  <si>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</si>
  <si>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</si>
  <si>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</si>
  <si>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</si>
  <si>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</si>
  <si>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</si>
  <si>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</si>
  <si>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</si>
  <si>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</si>
  <si>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</si>
  <si>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</si>
  <si>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</si>
  <si>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</si>
  <si>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</si>
  <si>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</si>
  <si>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</si>
  <si>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</si>
  <si>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</si>
  <si>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</si>
  <si>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</si>
  <si>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</si>
  <si>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</si>
  <si>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</si>
  <si>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</si>
  <si>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</si>
  <si>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</si>
  <si>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</si>
  <si>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</si>
  <si>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</si>
  <si>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</si>
  <si>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</si>
  <si>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</si>
  <si>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</si>
  <si>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</si>
  <si>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</si>
  <si>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</si>
  <si>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</si>
  <si>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</si>
  <si>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</si>
  <si>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</si>
  <si>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스토리위즈</t>
  </si>
  <si>
    <t>카카오페이지 선투자 계약</t>
  </si>
  <si>
    <t>N</t>
  </si>
  <si>
    <t>1941</t>
  </si>
  <si>
    <t>스토리위즈_청빙 작가</t>
  </si>
  <si>
    <t>면세</t>
  </si>
  <si>
    <t>소설</t>
  </si>
  <si>
    <t>51936303</t>
  </si>
  <si>
    <t>호접몽전</t>
  </si>
  <si>
    <t>2019-01-18</t>
  </si>
  <si>
    <t/>
  </si>
  <si>
    <t>청빙</t>
  </si>
  <si>
    <t>유</t>
  </si>
  <si>
    <t>단일 이용권</t>
  </si>
  <si>
    <t>60</t>
  </si>
  <si>
    <t>시리즈 이용권 패키지</t>
  </si>
  <si>
    <t>54212515</t>
  </si>
  <si>
    <t>라스트 서바이버 : 진화로 살아남아라!</t>
  </si>
  <si>
    <t>2020-01-03</t>
  </si>
  <si>
    <t>56380069</t>
  </si>
  <si>
    <t>문답무용 - 삼국지 유비의 모사가 되었다</t>
  </si>
  <si>
    <t>2021-03-09</t>
  </si>
  <si>
    <t>56976917</t>
  </si>
  <si>
    <t>라스트 서바이버 : 진화로 살아남아라! [단행본]</t>
  </si>
  <si>
    <t>2021-05-11</t>
  </si>
  <si>
    <t>2021-02-04</t>
  </si>
  <si>
    <t>단일 대여 이용권</t>
  </si>
  <si>
    <t>시리즈 대여 이용권 패키지</t>
  </si>
  <si>
    <t>1943</t>
  </si>
  <si>
    <t>스토리위즈_김광수 작가</t>
  </si>
  <si>
    <t>46750620</t>
  </si>
  <si>
    <t>마계대공 연대기</t>
  </si>
  <si>
    <t>2014-07-03</t>
  </si>
  <si>
    <t>김광수</t>
  </si>
  <si>
    <t>46805146</t>
  </si>
  <si>
    <t>마스터K</t>
  </si>
  <si>
    <t>2014-07-30</t>
  </si>
  <si>
    <t>46855943</t>
  </si>
  <si>
    <t>아르테온</t>
  </si>
  <si>
    <t>2014-08-28</t>
  </si>
  <si>
    <t>46911703</t>
  </si>
  <si>
    <t>21세기 대마법사</t>
  </si>
  <si>
    <t>2014-09-26</t>
  </si>
  <si>
    <t>47226086</t>
  </si>
  <si>
    <t>화산지애</t>
  </si>
  <si>
    <t>2015-03-10</t>
  </si>
  <si>
    <t>48362175</t>
  </si>
  <si>
    <t>영웅</t>
  </si>
  <si>
    <t>2016-03-13</t>
  </si>
  <si>
    <t>50827118</t>
  </si>
  <si>
    <t>회귀의 전설</t>
  </si>
  <si>
    <t>2018-02-09</t>
  </si>
  <si>
    <t>55423371</t>
  </si>
  <si>
    <t>포르트무스</t>
  </si>
  <si>
    <t>2020-08-04</t>
  </si>
  <si>
    <t>55879886</t>
  </si>
  <si>
    <t>회귀의 전설 [단행본]</t>
  </si>
  <si>
    <t>2020-10-26</t>
  </si>
  <si>
    <t>56499021</t>
  </si>
  <si>
    <t>21세기 대마법사 [단행본]</t>
  </si>
  <si>
    <t>2021-03-04</t>
  </si>
  <si>
    <t>56499157</t>
  </si>
  <si>
    <t>화산지애 [단행본]</t>
  </si>
  <si>
    <t>56499756</t>
  </si>
  <si>
    <t>영웅 [단행본][개정판]</t>
  </si>
  <si>
    <t>56529116</t>
  </si>
  <si>
    <t>마계대공 연대기 [단행본]</t>
  </si>
  <si>
    <t>56529166</t>
  </si>
  <si>
    <t>마스터K [단행본]</t>
  </si>
  <si>
    <t>56540396</t>
  </si>
  <si>
    <t>프리 나이트 [단행본]</t>
  </si>
  <si>
    <t>56540480</t>
  </si>
  <si>
    <t>바람의 기사, 아르테온 [단행본]</t>
  </si>
  <si>
    <t>2021-03-08</t>
  </si>
  <si>
    <t>2995</t>
  </si>
  <si>
    <t>스토리위즈_몸서리 작가</t>
  </si>
  <si>
    <t>58140713</t>
  </si>
  <si>
    <t>혼자서는 못 해요</t>
  </si>
  <si>
    <t>2021-10-27</t>
  </si>
  <si>
    <t>몸서리</t>
  </si>
  <si>
    <t>3167</t>
  </si>
  <si>
    <t>스토리위즈_김정연 작가</t>
  </si>
  <si>
    <t>58620838</t>
  </si>
  <si>
    <t>세자마마의 은밀한 취향</t>
  </si>
  <si>
    <t>2022-01-15</t>
  </si>
  <si>
    <t>김정연</t>
  </si>
  <si>
    <t>3516</t>
  </si>
  <si>
    <t>스토리위즈_김운담 작가</t>
  </si>
  <si>
    <t>59239608</t>
  </si>
  <si>
    <t>그 팀플 게임의 엔딩을 보는 방법</t>
  </si>
  <si>
    <t>2022-04-27</t>
  </si>
  <si>
    <t>김운담</t>
  </si>
  <si>
    <t>3587</t>
  </si>
  <si>
    <t>스토리위즈_틴타 작가(천사의 아이 웹소설 포함)</t>
  </si>
  <si>
    <t>52589363</t>
  </si>
  <si>
    <t>천사의 아이</t>
  </si>
  <si>
    <t>2019-03-22</t>
  </si>
  <si>
    <t>2019-09-14</t>
  </si>
  <si>
    <t>틴타</t>
  </si>
  <si>
    <t>3588</t>
  </si>
  <si>
    <t>스토리위즈_프레인 작가(웹소설 포함)</t>
  </si>
  <si>
    <t>52749480</t>
  </si>
  <si>
    <t>멸망한 세계로부터</t>
  </si>
  <si>
    <t>2019-04-19</t>
  </si>
  <si>
    <t>2020-05-12</t>
  </si>
  <si>
    <t>프레인</t>
  </si>
  <si>
    <t>3590</t>
  </si>
  <si>
    <t>스토리위즈_아이리스 작가</t>
  </si>
  <si>
    <t>54367334</t>
  </si>
  <si>
    <t>내 남편의 열렬한 구애</t>
  </si>
  <si>
    <t>2020-02-07</t>
  </si>
  <si>
    <t>아이리스</t>
  </si>
  <si>
    <t>59204258</t>
  </si>
  <si>
    <t>지극히 신사적인</t>
  </si>
  <si>
    <t>2022-04-14</t>
  </si>
  <si>
    <t>3683</t>
  </si>
  <si>
    <t>스토리위즈_은지유 작가</t>
  </si>
  <si>
    <t>59552810</t>
  </si>
  <si>
    <t>홍 비서에게서 살아남는 법</t>
  </si>
  <si>
    <t>2022-06-13</t>
  </si>
  <si>
    <t>은지유</t>
  </si>
  <si>
    <t>3688</t>
  </si>
  <si>
    <t>스토리위즈_룽다 작가</t>
  </si>
  <si>
    <t>59547520</t>
  </si>
  <si>
    <t>[BL] 새파랗게 어린</t>
  </si>
  <si>
    <t>2022-06-10</t>
  </si>
  <si>
    <t>룽다</t>
  </si>
  <si>
    <t>ㅇ MG차감 내역</t>
    <phoneticPr fontId="1" type="noConversion"/>
  </si>
  <si>
    <t>유통년월</t>
    <phoneticPr fontId="1" type="noConversion"/>
  </si>
  <si>
    <t xml:space="preserve">선MG </t>
    <phoneticPr fontId="5" type="noConversion"/>
  </si>
  <si>
    <t xml:space="preserve">KT 매출 </t>
    <phoneticPr fontId="5" type="noConversion"/>
  </si>
  <si>
    <t>MG 잔여</t>
    <phoneticPr fontId="5" type="noConversion"/>
  </si>
  <si>
    <t>합계</t>
    <phoneticPr fontId="1" type="noConversion"/>
  </si>
  <si>
    <t>ㅇ MG차감 내역</t>
    <phoneticPr fontId="1" type="noConversion"/>
  </si>
  <si>
    <t>유통년월</t>
    <phoneticPr fontId="1" type="noConversion"/>
  </si>
  <si>
    <t xml:space="preserve">선MG </t>
    <phoneticPr fontId="5" type="noConversion"/>
  </si>
  <si>
    <t xml:space="preserve">KT 매출 </t>
    <phoneticPr fontId="5" type="noConversion"/>
  </si>
  <si>
    <t>MG 잔여</t>
    <phoneticPr fontId="5" type="noConversion"/>
  </si>
  <si>
    <t>`</t>
    <phoneticPr fontId="1" type="noConversion"/>
  </si>
  <si>
    <t>합계</t>
    <phoneticPr fontId="1" type="noConversion"/>
  </si>
  <si>
    <t>ㅇ MG차감 내역</t>
    <phoneticPr fontId="1" type="noConversion"/>
  </si>
  <si>
    <t>유통년월</t>
    <phoneticPr fontId="1" type="noConversion"/>
  </si>
  <si>
    <t xml:space="preserve">선MG </t>
    <phoneticPr fontId="5" type="noConversion"/>
  </si>
  <si>
    <t xml:space="preserve">KT 매출 </t>
    <phoneticPr fontId="5" type="noConversion"/>
  </si>
  <si>
    <t>MG 잔여</t>
    <phoneticPr fontId="5" type="noConversion"/>
  </si>
  <si>
    <t>합계</t>
    <phoneticPr fontId="1" type="noConversion"/>
  </si>
  <si>
    <t>MG 잔여</t>
    <phoneticPr fontId="5" type="noConversion"/>
  </si>
  <si>
    <t>ㅇ MG차감 내역</t>
    <phoneticPr fontId="1" type="noConversion"/>
  </si>
  <si>
    <t>유통년월</t>
    <phoneticPr fontId="1" type="noConversion"/>
  </si>
  <si>
    <t xml:space="preserve">선MG </t>
    <phoneticPr fontId="5" type="noConversion"/>
  </si>
  <si>
    <t xml:space="preserve">KT 매출 </t>
    <phoneticPr fontId="5" type="noConversion"/>
  </si>
  <si>
    <t>MG 잔여</t>
    <phoneticPr fontId="5" type="noConversion"/>
  </si>
  <si>
    <t>태랑</t>
    <phoneticPr fontId="1" type="noConversion"/>
  </si>
  <si>
    <t>합계</t>
    <phoneticPr fontId="1" type="noConversion"/>
  </si>
  <si>
    <t xml:space="preserve">선MG </t>
    <phoneticPr fontId="5" type="noConversion"/>
  </si>
  <si>
    <t xml:space="preserve">KT 매출 </t>
    <phoneticPr fontId="5" type="noConversion"/>
  </si>
  <si>
    <t>MG 잔여</t>
    <phoneticPr fontId="5" type="noConversion"/>
  </si>
  <si>
    <t>태랑</t>
    <phoneticPr fontId="1" type="noConversion"/>
  </si>
  <si>
    <t xml:space="preserve">KT 매출 </t>
    <phoneticPr fontId="5" type="noConversion"/>
  </si>
  <si>
    <t>MG 잔여</t>
    <phoneticPr fontId="5" type="noConversion"/>
  </si>
  <si>
    <t>합계</t>
    <phoneticPr fontId="1" type="noConversion"/>
  </si>
  <si>
    <t xml:space="preserve">SW 매출 </t>
    <phoneticPr fontId="5" type="noConversion"/>
  </si>
  <si>
    <t>MG 잔여</t>
    <phoneticPr fontId="5" type="noConversion"/>
  </si>
  <si>
    <t>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</si>
</sst>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</font>
    <font>
      <b/>
      <sz val="11"/>
      <color indexed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000000"/>
      <name val="맑은 고딕"/>
      <family val="2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3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0" fontId="4" fillId="0" borderId="0" xfId="2" applyFont="1" applyAlignment="1">
      <alignment vertical="center"/>
    </xf>
    <xf numFmtId="0" fontId="3" fillId="0" borderId="0" xfId="2" applyAlignment="1">
      <alignment vertical="center"/>
    </xf>
    <xf numFmtId="0" fontId="2" fillId="0" borderId="0" xfId="3">
      <alignment vertical="center"/>
    </xf>
    <xf numFmtId="0" fontId="4" fillId="4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41" fontId="0" fillId="0" borderId="1" xfId="1" applyFont="1" applyBorder="1" applyAlignment="1">
      <alignment vertical="center"/>
    </xf>
    <xf numFmtId="41" fontId="0" fillId="0" borderId="1" xfId="0" applyNumberFormat="1" applyBorder="1">
      <alignment vertical="center"/>
    </xf>
    <xf numFmtId="3" fontId="0" fillId="0" borderId="1" xfId="0" applyNumberFormat="1" applyBorder="1" applyAlignment="1">
      <alignment vertical="center"/>
    </xf>
    <xf numFmtId="41" fontId="0" fillId="0" borderId="1" xfId="0" applyNumberForma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3" fontId="6" fillId="0" borderId="1" xfId="0" applyNumberFormat="1" applyFont="1" applyFill="1" applyBorder="1" applyAlignment="1">
      <alignment vertical="center"/>
    </xf>
    <xf numFmtId="41" fontId="7" fillId="0" borderId="1" xfId="0" applyNumberFormat="1" applyFont="1" applyBorder="1" applyAlignment="1">
      <alignment horizontal="center" vertical="center"/>
    </xf>
    <xf numFmtId="3" fontId="0" fillId="3" borderId="0" xfId="0" applyNumberFormat="1" applyFill="1">
      <alignment vertical="center"/>
    </xf>
    <xf numFmtId="0" fontId="0" fillId="0" borderId="1" xfId="0" applyBorder="1">
      <alignment vertical="center"/>
    </xf>
    <xf numFmtId="41" fontId="0" fillId="0" borderId="0" xfId="0" applyNumberFormat="1">
      <alignment vertical="center"/>
    </xf>
    <xf numFmtId="41" fontId="0" fillId="0" borderId="0" xfId="1" applyFont="1">
      <alignment vertical="center"/>
    </xf>
    <xf numFmtId="41" fontId="0" fillId="0" borderId="2" xfId="1" applyFont="1" applyBorder="1">
      <alignment vertical="center"/>
    </xf>
    <xf numFmtId="41" fontId="6" fillId="0" borderId="2" xfId="1" applyFont="1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41" fontId="7" fillId="0" borderId="1" xfId="0" applyNumberFormat="1" applyFont="1" applyBorder="1">
      <alignment vertical="center"/>
    </xf>
    <xf numFmtId="41" fontId="6" fillId="0" borderId="1" xfId="1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41" fontId="10" fillId="0" borderId="1" xfId="1" applyFont="1" applyFill="1" applyBorder="1">
      <alignment vertical="center"/>
    </xf>
    <xf numFmtId="3" fontId="0" fillId="0" borderId="1" xfId="0" applyNumberFormat="1" applyBorder="1">
      <alignment vertical="center"/>
    </xf>
    <xf numFmtId="41" fontId="0" fillId="0" borderId="3" xfId="1" applyFont="1" applyBorder="1" applyAlignment="1">
      <alignment horizontal="center" vertical="center"/>
    </xf>
    <xf numFmtId="3" fontId="6" fillId="0" borderId="1" xfId="0" applyNumberFormat="1" applyFont="1" applyFill="1" applyBorder="1">
      <alignment vertical="center"/>
    </xf>
    <xf numFmtId="0" fontId="0" fillId="0" borderId="4" xfId="0" applyFill="1" applyBorder="1" applyAlignment="1">
      <alignment horizontal="center" vertical="center"/>
    </xf>
    <xf numFmtId="3" fontId="10" fillId="0" borderId="1" xfId="0" applyNumberFormat="1" applyFont="1" applyFill="1" applyBorder="1">
      <alignment vertical="center"/>
    </xf>
    <xf numFmtId="41" fontId="11" fillId="0" borderId="1" xfId="0" applyNumberFormat="1" applyFont="1" applyBorder="1">
      <alignment vertical="center"/>
    </xf>
    <xf numFmtId="0" fontId="7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3" xfId="2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83"/>
  <sheetViews>
    <sheetView tabSelected="1" workbookViewId="0">
      <selection activeCell="K5" sqref="K5"/>
    </sheetView>
  </sheetViews>
  <sheetFormatPr defaultRowHeight="17.399999999999999" x14ac:dyDescent="0.4"/>
  <cols>
    <col min="1" max="1" width="6" bestFit="1" customWidth="1"/>
    <col min="2" max="2" width="11.3984375" bestFit="1" customWidth="1"/>
    <col min="3" max="3" width="12.59765625" bestFit="1" customWidth="1"/>
    <col min="4" max="4" width="10.796875" bestFit="1" customWidth="1"/>
    <col min="5" max="5" width="14.19921875" bestFit="1" customWidth="1"/>
    <col min="6" max="6" width="9.796875" bestFit="1" customWidth="1"/>
    <col min="7" max="7" width="6.3984375" bestFit="1" customWidth="1"/>
    <col min="8" max="8" width="28.59765625" customWidth="1"/>
    <col min="9" max="9" width="4.8984375" bestFit="1" customWidth="1"/>
    <col min="10" max="10" width="6.5" bestFit="1" customWidth="1"/>
    <col min="11" max="11" width="10.296875" bestFit="1" customWidth="1"/>
    <col min="12" max="12" width="49.8984375" bestFit="1" customWidth="1"/>
    <col min="13" max="14" width="11.59765625" bestFit="1" customWidth="1"/>
    <col min="15" max="15" width="19.5" bestFit="1" customWidth="1"/>
    <col min="16" max="16" width="4.19921875" bestFit="1" customWidth="1"/>
    <col min="17" max="17" width="13.69921875" bestFit="1" customWidth="1"/>
    <col min="18" max="18" width="9.3984375" bestFit="1" customWidth="1"/>
    <col min="19" max="19" width="14.796875" bestFit="1" customWidth="1"/>
    <col min="20" max="20" width="10.19921875" bestFit="1" customWidth="1"/>
    <col min="21" max="21" width="11.296875" bestFit="1" customWidth="1"/>
    <col min="22" max="22" width="10.19921875" bestFit="1" customWidth="1"/>
    <col min="23" max="23" width="10.296875" bestFit="1" customWidth="1"/>
    <col min="24" max="24" width="11.3984375" bestFit="1" customWidth="1"/>
    <col min="25" max="25" width="10.296875" bestFit="1" customWidth="1"/>
    <col min="26" max="26" width="11.3984375" bestFit="1" customWidth="1"/>
    <col min="27" max="28" width="11.296875" bestFit="1" customWidth="1"/>
    <col min="29" max="29" width="10.19921875" bestFit="1" customWidth="1"/>
    <col min="30" max="30" width="10.296875" bestFit="1" customWidth="1"/>
    <col min="31" max="31" width="11.3984375" bestFit="1" customWidth="1"/>
    <col min="32" max="32" width="10.296875" bestFit="1" customWidth="1"/>
    <col min="33" max="33" width="11.3984375" bestFit="1" customWidth="1"/>
    <col min="34" max="34" width="10.296875" bestFit="1" customWidth="1"/>
    <col min="35" max="35" width="11.296875" bestFit="1" customWidth="1"/>
    <col min="36" max="36" width="10.19921875" bestFit="1" customWidth="1"/>
    <col min="37" max="37" width="10.8984375" bestFit="1" customWidth="1"/>
    <col min="38" max="38" width="11.3984375" bestFit="1" customWidth="1"/>
    <col min="39" max="39" width="10.296875" bestFit="1" customWidth="1"/>
    <col min="40" max="40" width="11.3984375" bestFit="1" customWidth="1"/>
    <col min="41" max="41" width="13.5" bestFit="1" customWidth="1"/>
    <col min="42" max="42" width="12.296875" bestFit="1" customWidth="1"/>
    <col min="43" max="43" width="11" bestFit="1" customWidth="1"/>
    <col min="44" max="44" width="13.5" bestFit="1" customWidth="1"/>
    <col min="45" max="45" width="11.296875" bestFit="1" customWidth="1"/>
    <col min="46" max="46" width="3.09765625" bestFit="1" customWidth="1"/>
    <col min="47" max="47" width="11.296875" bestFit="1" customWidth="1"/>
  </cols>
  <sheetData>
    <row r="1" spans="1:4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25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5" t="s">
        <v>45</v>
      </c>
    </row>
    <row r="2" spans="1:47" x14ac:dyDescent="0.4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59</v>
      </c>
      <c r="P2" t="s">
        <v>59</v>
      </c>
      <c r="Q2" t="s">
        <v>60</v>
      </c>
      <c r="R2" t="s">
        <v>61</v>
      </c>
      <c r="S2" t="s">
        <v>62</v>
      </c>
      <c r="T2" s="2">
        <v>1080</v>
      </c>
      <c r="U2" s="2">
        <v>10420</v>
      </c>
      <c r="V2" s="2">
        <v>2300</v>
      </c>
      <c r="W2" s="2">
        <v>64100</v>
      </c>
      <c r="X2" s="2">
        <v>13800</v>
      </c>
      <c r="Y2" s="2">
        <v>64100</v>
      </c>
      <c r="Z2" s="2">
        <v>77900</v>
      </c>
      <c r="AA2" s="2">
        <v>1296</v>
      </c>
      <c r="AB2" s="2">
        <v>10420</v>
      </c>
      <c r="AC2" s="2">
        <v>2760</v>
      </c>
      <c r="AD2" s="2">
        <v>64100</v>
      </c>
      <c r="AE2" s="2">
        <v>14476</v>
      </c>
      <c r="AF2" s="2">
        <v>64100</v>
      </c>
      <c r="AG2" s="2">
        <v>78576</v>
      </c>
      <c r="AH2" s="2">
        <v>1166.4000000000001</v>
      </c>
      <c r="AI2" s="2">
        <v>10107.4</v>
      </c>
      <c r="AJ2" s="2">
        <v>1932</v>
      </c>
      <c r="AK2" s="2">
        <v>57690</v>
      </c>
      <c r="AL2" s="2">
        <v>13205.8</v>
      </c>
      <c r="AM2" s="2">
        <v>57690</v>
      </c>
      <c r="AN2" s="2">
        <v>70895.8</v>
      </c>
      <c r="AO2" t="s">
        <v>63</v>
      </c>
      <c r="AP2" t="s">
        <v>63</v>
      </c>
      <c r="AQ2" t="s">
        <v>63</v>
      </c>
      <c r="AR2" t="s">
        <v>63</v>
      </c>
      <c r="AS2" s="2">
        <v>42537</v>
      </c>
      <c r="AT2" s="2">
        <v>0</v>
      </c>
      <c r="AU2" s="2">
        <v>42537</v>
      </c>
    </row>
    <row r="3" spans="1:47" x14ac:dyDescent="0.4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59</v>
      </c>
      <c r="P3" t="s">
        <v>59</v>
      </c>
      <c r="Q3" t="s">
        <v>60</v>
      </c>
      <c r="R3" t="s">
        <v>61</v>
      </c>
      <c r="S3" t="s">
        <v>64</v>
      </c>
      <c r="T3" s="2">
        <v>7200</v>
      </c>
      <c r="U3" s="2">
        <v>7660</v>
      </c>
      <c r="V3" s="2">
        <v>0</v>
      </c>
      <c r="W3" s="2">
        <v>25740</v>
      </c>
      <c r="X3" s="2">
        <v>14860</v>
      </c>
      <c r="Y3" s="2">
        <v>25740</v>
      </c>
      <c r="Z3" s="2">
        <v>40600</v>
      </c>
      <c r="AA3" s="2">
        <v>8640</v>
      </c>
      <c r="AB3" s="2">
        <v>7660</v>
      </c>
      <c r="AC3" s="2">
        <v>0</v>
      </c>
      <c r="AD3" s="2">
        <v>25740</v>
      </c>
      <c r="AE3" s="2">
        <v>16300</v>
      </c>
      <c r="AF3" s="2">
        <v>25740</v>
      </c>
      <c r="AG3" s="2">
        <v>42040</v>
      </c>
      <c r="AH3" s="2">
        <v>7776</v>
      </c>
      <c r="AI3" s="2">
        <v>7430.2</v>
      </c>
      <c r="AJ3" s="2">
        <v>0</v>
      </c>
      <c r="AK3" s="2">
        <v>23166</v>
      </c>
      <c r="AL3" s="2">
        <v>15206.2</v>
      </c>
      <c r="AM3" s="2">
        <v>23166</v>
      </c>
      <c r="AN3" s="2">
        <v>38372.199999999997</v>
      </c>
      <c r="AO3" t="s">
        <v>63</v>
      </c>
      <c r="AP3" t="s">
        <v>63</v>
      </c>
      <c r="AQ3" t="s">
        <v>63</v>
      </c>
      <c r="AR3" t="s">
        <v>63</v>
      </c>
      <c r="AS3" s="2">
        <v>23024</v>
      </c>
      <c r="AT3" s="2">
        <v>0</v>
      </c>
      <c r="AU3" s="2">
        <v>23024</v>
      </c>
    </row>
    <row r="4" spans="1:47" x14ac:dyDescent="0.4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59</v>
      </c>
      <c r="P4" t="s">
        <v>59</v>
      </c>
      <c r="Q4" t="s">
        <v>60</v>
      </c>
      <c r="R4" t="s">
        <v>61</v>
      </c>
      <c r="S4" t="s">
        <v>64</v>
      </c>
      <c r="T4" s="2">
        <v>2000</v>
      </c>
      <c r="U4" s="2">
        <v>9400</v>
      </c>
      <c r="V4" s="2">
        <v>5900</v>
      </c>
      <c r="W4" s="2">
        <v>9200</v>
      </c>
      <c r="X4" s="2">
        <v>17300</v>
      </c>
      <c r="Y4" s="2">
        <v>9200</v>
      </c>
      <c r="Z4" s="2">
        <v>26500</v>
      </c>
      <c r="AA4" s="2">
        <v>2400</v>
      </c>
      <c r="AB4" s="2">
        <v>9400</v>
      </c>
      <c r="AC4" s="2">
        <v>7080</v>
      </c>
      <c r="AD4" s="2">
        <v>9200</v>
      </c>
      <c r="AE4" s="2">
        <v>18880</v>
      </c>
      <c r="AF4" s="2">
        <v>9200</v>
      </c>
      <c r="AG4" s="2">
        <v>28080</v>
      </c>
      <c r="AH4" s="2">
        <v>2160</v>
      </c>
      <c r="AI4" s="2">
        <v>9118</v>
      </c>
      <c r="AJ4" s="2">
        <v>4956</v>
      </c>
      <c r="AK4" s="2">
        <v>8280</v>
      </c>
      <c r="AL4" s="2">
        <v>16234</v>
      </c>
      <c r="AM4" s="2">
        <v>8280</v>
      </c>
      <c r="AN4" s="2">
        <v>24514</v>
      </c>
      <c r="AO4" t="s">
        <v>63</v>
      </c>
      <c r="AP4" t="s">
        <v>63</v>
      </c>
      <c r="AQ4" t="s">
        <v>63</v>
      </c>
      <c r="AR4" t="s">
        <v>63</v>
      </c>
      <c r="AS4" s="2">
        <v>14709</v>
      </c>
      <c r="AT4" s="2">
        <v>0</v>
      </c>
      <c r="AU4" s="2">
        <v>14709</v>
      </c>
    </row>
    <row r="5" spans="1:47" x14ac:dyDescent="0.4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59</v>
      </c>
      <c r="P5" t="s">
        <v>59</v>
      </c>
      <c r="Q5" t="s">
        <v>60</v>
      </c>
      <c r="R5" t="s">
        <v>61</v>
      </c>
      <c r="S5" t="s">
        <v>64</v>
      </c>
      <c r="T5" s="2">
        <v>18000</v>
      </c>
      <c r="U5" s="2">
        <v>18000</v>
      </c>
      <c r="V5" s="2">
        <v>0</v>
      </c>
      <c r="W5" s="2">
        <v>0</v>
      </c>
      <c r="X5" s="2">
        <v>36000</v>
      </c>
      <c r="Y5" s="2">
        <v>0</v>
      </c>
      <c r="Z5" s="2">
        <v>36000</v>
      </c>
      <c r="AA5" s="2">
        <v>21600</v>
      </c>
      <c r="AB5" s="2">
        <v>18000</v>
      </c>
      <c r="AC5" s="2">
        <v>0</v>
      </c>
      <c r="AD5" s="2">
        <v>0</v>
      </c>
      <c r="AE5" s="2">
        <v>39600</v>
      </c>
      <c r="AF5" s="2">
        <v>0</v>
      </c>
      <c r="AG5" s="2">
        <v>39600</v>
      </c>
      <c r="AH5" s="2">
        <v>19440</v>
      </c>
      <c r="AI5" s="2">
        <v>17460</v>
      </c>
      <c r="AJ5" s="2">
        <v>0</v>
      </c>
      <c r="AK5" s="2">
        <v>0</v>
      </c>
      <c r="AL5" s="2">
        <v>36900</v>
      </c>
      <c r="AM5" s="2">
        <v>0</v>
      </c>
      <c r="AN5" s="2">
        <v>36900</v>
      </c>
      <c r="AO5" t="s">
        <v>63</v>
      </c>
      <c r="AP5" t="s">
        <v>63</v>
      </c>
      <c r="AQ5" t="s">
        <v>63</v>
      </c>
      <c r="AR5" t="s">
        <v>63</v>
      </c>
      <c r="AS5" s="2">
        <v>22140</v>
      </c>
      <c r="AT5" s="2">
        <v>0</v>
      </c>
      <c r="AU5" s="2">
        <v>22140</v>
      </c>
    </row>
    <row r="6" spans="1:47" x14ac:dyDescent="0.4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65</v>
      </c>
      <c r="L6" t="s">
        <v>66</v>
      </c>
      <c r="M6" t="s">
        <v>67</v>
      </c>
      <c r="N6" t="s">
        <v>59</v>
      </c>
      <c r="O6" t="s">
        <v>59</v>
      </c>
      <c r="P6" t="s">
        <v>59</v>
      </c>
      <c r="Q6" t="s">
        <v>60</v>
      </c>
      <c r="R6" t="s">
        <v>61</v>
      </c>
      <c r="S6" t="s">
        <v>62</v>
      </c>
      <c r="T6" s="2">
        <v>20380</v>
      </c>
      <c r="U6" s="2">
        <v>5900</v>
      </c>
      <c r="V6" s="2">
        <v>0</v>
      </c>
      <c r="W6" s="2">
        <v>26520</v>
      </c>
      <c r="X6" s="2">
        <v>26280</v>
      </c>
      <c r="Y6" s="2">
        <v>26520</v>
      </c>
      <c r="Z6" s="2">
        <v>52800</v>
      </c>
      <c r="AA6" s="2">
        <v>24456</v>
      </c>
      <c r="AB6" s="2">
        <v>5900</v>
      </c>
      <c r="AC6" s="2">
        <v>0</v>
      </c>
      <c r="AD6" s="2">
        <v>26520</v>
      </c>
      <c r="AE6" s="2">
        <v>30356</v>
      </c>
      <c r="AF6" s="2">
        <v>26520</v>
      </c>
      <c r="AG6" s="2">
        <v>56876</v>
      </c>
      <c r="AH6" s="2">
        <v>22010.400000000001</v>
      </c>
      <c r="AI6" s="2">
        <v>5723</v>
      </c>
      <c r="AJ6" s="2">
        <v>0</v>
      </c>
      <c r="AK6" s="2">
        <v>23868</v>
      </c>
      <c r="AL6" s="2">
        <v>27733.4</v>
      </c>
      <c r="AM6" s="2">
        <v>23868</v>
      </c>
      <c r="AN6" s="2">
        <v>51601.4</v>
      </c>
      <c r="AO6" t="s">
        <v>63</v>
      </c>
      <c r="AP6" t="s">
        <v>63</v>
      </c>
      <c r="AQ6" t="s">
        <v>63</v>
      </c>
      <c r="AR6" t="s">
        <v>63</v>
      </c>
      <c r="AS6" s="2">
        <v>30961</v>
      </c>
      <c r="AT6" s="2">
        <v>0</v>
      </c>
      <c r="AU6" s="2">
        <v>30961</v>
      </c>
    </row>
    <row r="7" spans="1:47" x14ac:dyDescent="0.4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65</v>
      </c>
      <c r="L7" t="s">
        <v>66</v>
      </c>
      <c r="M7" t="s">
        <v>67</v>
      </c>
      <c r="N7" t="s">
        <v>59</v>
      </c>
      <c r="O7" t="s">
        <v>59</v>
      </c>
      <c r="P7" t="s">
        <v>59</v>
      </c>
      <c r="Q7" t="s">
        <v>60</v>
      </c>
      <c r="R7" t="s">
        <v>61</v>
      </c>
      <c r="S7" t="s">
        <v>64</v>
      </c>
      <c r="T7" s="2">
        <v>2400</v>
      </c>
      <c r="U7" s="2">
        <v>9000</v>
      </c>
      <c r="V7" s="2">
        <v>0</v>
      </c>
      <c r="W7" s="2">
        <v>9200</v>
      </c>
      <c r="X7" s="2">
        <v>11400</v>
      </c>
      <c r="Y7" s="2">
        <v>9200</v>
      </c>
      <c r="Z7" s="2">
        <v>20600</v>
      </c>
      <c r="AA7" s="2">
        <v>2880</v>
      </c>
      <c r="AB7" s="2">
        <v>9000</v>
      </c>
      <c r="AC7" s="2">
        <v>0</v>
      </c>
      <c r="AD7" s="2">
        <v>9200</v>
      </c>
      <c r="AE7" s="2">
        <v>11880</v>
      </c>
      <c r="AF7" s="2">
        <v>9200</v>
      </c>
      <c r="AG7" s="2">
        <v>21080</v>
      </c>
      <c r="AH7" s="2">
        <v>2592</v>
      </c>
      <c r="AI7" s="2">
        <v>8730</v>
      </c>
      <c r="AJ7" s="2">
        <v>0</v>
      </c>
      <c r="AK7" s="2">
        <v>8280</v>
      </c>
      <c r="AL7" s="2">
        <v>11322</v>
      </c>
      <c r="AM7" s="2">
        <v>8280</v>
      </c>
      <c r="AN7" s="2">
        <v>19602</v>
      </c>
      <c r="AO7" t="s">
        <v>63</v>
      </c>
      <c r="AP7" t="s">
        <v>63</v>
      </c>
      <c r="AQ7" t="s">
        <v>63</v>
      </c>
      <c r="AR7" t="s">
        <v>63</v>
      </c>
      <c r="AS7" s="2">
        <v>11761</v>
      </c>
      <c r="AT7" s="2">
        <v>0</v>
      </c>
      <c r="AU7" s="2">
        <v>11761</v>
      </c>
    </row>
    <row r="8" spans="1:47" x14ac:dyDescent="0.4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65</v>
      </c>
      <c r="L8" t="s">
        <v>66</v>
      </c>
      <c r="M8" t="s">
        <v>67</v>
      </c>
      <c r="N8" t="s">
        <v>59</v>
      </c>
      <c r="O8" t="s">
        <v>59</v>
      </c>
      <c r="P8" t="s">
        <v>59</v>
      </c>
      <c r="Q8" t="s">
        <v>60</v>
      </c>
      <c r="R8" t="s">
        <v>61</v>
      </c>
      <c r="S8" t="s">
        <v>64</v>
      </c>
      <c r="T8" s="2">
        <v>0</v>
      </c>
      <c r="U8" s="2">
        <v>17400</v>
      </c>
      <c r="V8" s="2">
        <v>-2000</v>
      </c>
      <c r="W8" s="2">
        <v>1000</v>
      </c>
      <c r="X8" s="2">
        <v>15400</v>
      </c>
      <c r="Y8" s="2">
        <v>1000</v>
      </c>
      <c r="Z8" s="2">
        <v>16400</v>
      </c>
      <c r="AA8" s="2">
        <v>0</v>
      </c>
      <c r="AB8" s="2">
        <v>17400</v>
      </c>
      <c r="AC8" s="2">
        <v>-2400</v>
      </c>
      <c r="AD8" s="2">
        <v>1000</v>
      </c>
      <c r="AE8" s="2">
        <v>15000</v>
      </c>
      <c r="AF8" s="2">
        <v>1000</v>
      </c>
      <c r="AG8" s="2">
        <v>16000</v>
      </c>
      <c r="AH8" s="2">
        <v>0</v>
      </c>
      <c r="AI8" s="2">
        <v>16878</v>
      </c>
      <c r="AJ8" s="2">
        <v>-1680</v>
      </c>
      <c r="AK8" s="2">
        <v>900</v>
      </c>
      <c r="AL8" s="2">
        <v>15198</v>
      </c>
      <c r="AM8" s="2">
        <v>900</v>
      </c>
      <c r="AN8" s="2">
        <v>16098</v>
      </c>
      <c r="AO8" t="s">
        <v>63</v>
      </c>
      <c r="AP8" t="s">
        <v>63</v>
      </c>
      <c r="AQ8" t="s">
        <v>63</v>
      </c>
      <c r="AR8" t="s">
        <v>63</v>
      </c>
      <c r="AS8" s="2">
        <v>9659</v>
      </c>
      <c r="AT8" s="2">
        <v>0</v>
      </c>
      <c r="AU8" s="2">
        <v>9659</v>
      </c>
    </row>
    <row r="9" spans="1:47" x14ac:dyDescent="0.4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65</v>
      </c>
      <c r="L9" t="s">
        <v>66</v>
      </c>
      <c r="M9" t="s">
        <v>67</v>
      </c>
      <c r="N9" t="s">
        <v>59</v>
      </c>
      <c r="O9" t="s">
        <v>59</v>
      </c>
      <c r="P9" t="s">
        <v>59</v>
      </c>
      <c r="Q9" t="s">
        <v>60</v>
      </c>
      <c r="R9" t="s">
        <v>61</v>
      </c>
      <c r="S9" t="s">
        <v>64</v>
      </c>
      <c r="T9" s="2">
        <v>0</v>
      </c>
      <c r="U9" s="2">
        <v>-15000</v>
      </c>
      <c r="V9" s="2">
        <v>0</v>
      </c>
      <c r="W9" s="2">
        <v>0</v>
      </c>
      <c r="X9" s="2">
        <v>-15000</v>
      </c>
      <c r="Y9" s="2">
        <v>0</v>
      </c>
      <c r="Z9" s="2">
        <v>-15000</v>
      </c>
      <c r="AA9" s="2">
        <v>0</v>
      </c>
      <c r="AB9" s="2">
        <v>-15000</v>
      </c>
      <c r="AC9" s="2">
        <v>0</v>
      </c>
      <c r="AD9" s="2">
        <v>0</v>
      </c>
      <c r="AE9" s="2">
        <v>-15000</v>
      </c>
      <c r="AF9" s="2">
        <v>0</v>
      </c>
      <c r="AG9" s="2">
        <v>-15000</v>
      </c>
      <c r="AH9" s="2">
        <v>0</v>
      </c>
      <c r="AI9" s="2">
        <v>-14550</v>
      </c>
      <c r="AJ9" s="2">
        <v>0</v>
      </c>
      <c r="AK9" s="2">
        <v>0</v>
      </c>
      <c r="AL9" s="2">
        <v>-14550</v>
      </c>
      <c r="AM9" s="2">
        <v>0</v>
      </c>
      <c r="AN9" s="2">
        <v>-14550</v>
      </c>
      <c r="AO9" t="s">
        <v>63</v>
      </c>
      <c r="AP9" t="s">
        <v>63</v>
      </c>
      <c r="AQ9" t="s">
        <v>63</v>
      </c>
      <c r="AR9" t="s">
        <v>63</v>
      </c>
      <c r="AS9" s="2">
        <v>-8730</v>
      </c>
      <c r="AT9" s="2">
        <v>0</v>
      </c>
      <c r="AU9" s="2">
        <v>-8730</v>
      </c>
    </row>
    <row r="10" spans="1:47" x14ac:dyDescent="0.4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68</v>
      </c>
      <c r="L10" t="s">
        <v>69</v>
      </c>
      <c r="M10" t="s">
        <v>70</v>
      </c>
      <c r="N10" t="s">
        <v>59</v>
      </c>
      <c r="O10" t="s">
        <v>59</v>
      </c>
      <c r="P10" t="s">
        <v>59</v>
      </c>
      <c r="Q10" t="s">
        <v>60</v>
      </c>
      <c r="R10" t="s">
        <v>61</v>
      </c>
      <c r="S10" t="s">
        <v>62</v>
      </c>
      <c r="T10" s="2">
        <v>2100</v>
      </c>
      <c r="U10" s="2">
        <v>2700</v>
      </c>
      <c r="V10" s="2">
        <v>0</v>
      </c>
      <c r="W10" s="2">
        <v>5800</v>
      </c>
      <c r="X10" s="2">
        <v>4800</v>
      </c>
      <c r="Y10" s="2">
        <v>5800</v>
      </c>
      <c r="Z10" s="2">
        <v>10600</v>
      </c>
      <c r="AA10" s="2">
        <v>2520</v>
      </c>
      <c r="AB10" s="2">
        <v>2700</v>
      </c>
      <c r="AC10" s="2">
        <v>0</v>
      </c>
      <c r="AD10" s="2">
        <v>5800</v>
      </c>
      <c r="AE10" s="2">
        <v>5220</v>
      </c>
      <c r="AF10" s="2">
        <v>5800</v>
      </c>
      <c r="AG10" s="2">
        <v>11020</v>
      </c>
      <c r="AH10" s="2">
        <v>2268</v>
      </c>
      <c r="AI10" s="2">
        <v>2619</v>
      </c>
      <c r="AJ10" s="2">
        <v>0</v>
      </c>
      <c r="AK10" s="2">
        <v>5220</v>
      </c>
      <c r="AL10" s="2">
        <v>4887</v>
      </c>
      <c r="AM10" s="2">
        <v>5220</v>
      </c>
      <c r="AN10" s="2">
        <v>10107</v>
      </c>
      <c r="AO10" t="s">
        <v>63</v>
      </c>
      <c r="AP10" t="s">
        <v>63</v>
      </c>
      <c r="AQ10" t="s">
        <v>63</v>
      </c>
      <c r="AR10" t="s">
        <v>63</v>
      </c>
      <c r="AS10" s="2">
        <v>6064</v>
      </c>
      <c r="AT10" s="2">
        <v>0</v>
      </c>
      <c r="AU10" s="2">
        <v>6064</v>
      </c>
    </row>
    <row r="11" spans="1:47" x14ac:dyDescent="0.4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68</v>
      </c>
      <c r="L11" t="s">
        <v>69</v>
      </c>
      <c r="M11" t="s">
        <v>70</v>
      </c>
      <c r="N11" t="s">
        <v>59</v>
      </c>
      <c r="O11" t="s">
        <v>59</v>
      </c>
      <c r="P11" t="s">
        <v>59</v>
      </c>
      <c r="Q11" t="s">
        <v>60</v>
      </c>
      <c r="R11" t="s">
        <v>61</v>
      </c>
      <c r="S11" t="s">
        <v>64</v>
      </c>
      <c r="T11" s="2">
        <v>19200</v>
      </c>
      <c r="U11" s="2">
        <v>0</v>
      </c>
      <c r="V11" s="2">
        <v>0</v>
      </c>
      <c r="W11" s="2">
        <v>0</v>
      </c>
      <c r="X11" s="2">
        <v>19200</v>
      </c>
      <c r="Y11" s="2">
        <v>0</v>
      </c>
      <c r="Z11" s="2">
        <v>19200</v>
      </c>
      <c r="AA11" s="2">
        <v>23040</v>
      </c>
      <c r="AB11" s="2">
        <v>0</v>
      </c>
      <c r="AC11" s="2">
        <v>0</v>
      </c>
      <c r="AD11" s="2">
        <v>0</v>
      </c>
      <c r="AE11" s="2">
        <v>23040</v>
      </c>
      <c r="AF11" s="2">
        <v>0</v>
      </c>
      <c r="AG11" s="2">
        <v>23040</v>
      </c>
      <c r="AH11" s="2">
        <v>20736</v>
      </c>
      <c r="AI11" s="2">
        <v>0</v>
      </c>
      <c r="AJ11" s="2">
        <v>0</v>
      </c>
      <c r="AK11" s="2">
        <v>0</v>
      </c>
      <c r="AL11" s="2">
        <v>20736</v>
      </c>
      <c r="AM11" s="2">
        <v>0</v>
      </c>
      <c r="AN11" s="2">
        <v>20736</v>
      </c>
      <c r="AO11" t="s">
        <v>63</v>
      </c>
      <c r="AP11" t="s">
        <v>63</v>
      </c>
      <c r="AQ11" t="s">
        <v>63</v>
      </c>
      <c r="AR11" t="s">
        <v>63</v>
      </c>
      <c r="AS11" s="2">
        <v>12442</v>
      </c>
      <c r="AT11" s="2">
        <v>0</v>
      </c>
      <c r="AU11" s="2">
        <v>12442</v>
      </c>
    </row>
    <row r="12" spans="1:47" x14ac:dyDescent="0.4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68</v>
      </c>
      <c r="L12" t="s">
        <v>69</v>
      </c>
      <c r="M12" t="s">
        <v>70</v>
      </c>
      <c r="N12" t="s">
        <v>59</v>
      </c>
      <c r="O12" t="s">
        <v>59</v>
      </c>
      <c r="P12" t="s">
        <v>59</v>
      </c>
      <c r="Q12" t="s">
        <v>60</v>
      </c>
      <c r="R12" t="s">
        <v>61</v>
      </c>
      <c r="S12" t="s">
        <v>64</v>
      </c>
      <c r="T12" s="2">
        <v>0</v>
      </c>
      <c r="U12" s="2">
        <v>18400</v>
      </c>
      <c r="V12" s="2">
        <v>0</v>
      </c>
      <c r="W12" s="2">
        <v>0</v>
      </c>
      <c r="X12" s="2">
        <v>18400</v>
      </c>
      <c r="Y12" s="2">
        <v>0</v>
      </c>
      <c r="Z12" s="2">
        <v>18400</v>
      </c>
      <c r="AA12" s="2">
        <v>0</v>
      </c>
      <c r="AB12" s="2">
        <v>18400</v>
      </c>
      <c r="AC12" s="2">
        <v>0</v>
      </c>
      <c r="AD12" s="2">
        <v>0</v>
      </c>
      <c r="AE12" s="2">
        <v>18400</v>
      </c>
      <c r="AF12" s="2">
        <v>0</v>
      </c>
      <c r="AG12" s="2">
        <v>18400</v>
      </c>
      <c r="AH12" s="2">
        <v>0</v>
      </c>
      <c r="AI12" s="2">
        <v>17848</v>
      </c>
      <c r="AJ12" s="2">
        <v>0</v>
      </c>
      <c r="AK12" s="2">
        <v>0</v>
      </c>
      <c r="AL12" s="2">
        <v>17848</v>
      </c>
      <c r="AM12" s="2">
        <v>0</v>
      </c>
      <c r="AN12" s="2">
        <v>17848</v>
      </c>
      <c r="AO12" t="s">
        <v>63</v>
      </c>
      <c r="AP12" t="s">
        <v>63</v>
      </c>
      <c r="AQ12" t="s">
        <v>63</v>
      </c>
      <c r="AR12" t="s">
        <v>63</v>
      </c>
      <c r="AS12" s="2">
        <v>10709</v>
      </c>
      <c r="AT12" s="2">
        <v>0</v>
      </c>
      <c r="AU12" s="2">
        <v>10709</v>
      </c>
    </row>
    <row r="13" spans="1:47" x14ac:dyDescent="0.4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t="s">
        <v>54</v>
      </c>
      <c r="J13" t="s">
        <v>55</v>
      </c>
      <c r="K13" t="s">
        <v>71</v>
      </c>
      <c r="L13" t="s">
        <v>72</v>
      </c>
      <c r="M13" t="s">
        <v>73</v>
      </c>
      <c r="N13" t="s">
        <v>59</v>
      </c>
      <c r="O13" t="s">
        <v>59</v>
      </c>
      <c r="P13" t="s">
        <v>59</v>
      </c>
      <c r="Q13" t="s">
        <v>60</v>
      </c>
      <c r="R13" t="s">
        <v>61</v>
      </c>
      <c r="S13" t="s">
        <v>62</v>
      </c>
      <c r="T13" s="2">
        <v>0</v>
      </c>
      <c r="U13" s="2">
        <v>25600</v>
      </c>
      <c r="V13" s="2">
        <v>0</v>
      </c>
      <c r="W13" s="2">
        <v>0</v>
      </c>
      <c r="X13" s="2">
        <v>25600</v>
      </c>
      <c r="Y13" s="2">
        <v>0</v>
      </c>
      <c r="Z13" s="2">
        <v>25600</v>
      </c>
      <c r="AA13" s="2">
        <v>0</v>
      </c>
      <c r="AB13" s="2">
        <v>25600</v>
      </c>
      <c r="AC13" s="2">
        <v>0</v>
      </c>
      <c r="AD13" s="2">
        <v>0</v>
      </c>
      <c r="AE13" s="2">
        <v>25600</v>
      </c>
      <c r="AF13" s="2">
        <v>0</v>
      </c>
      <c r="AG13" s="2">
        <v>25600</v>
      </c>
      <c r="AH13" s="2">
        <v>0</v>
      </c>
      <c r="AI13" s="2">
        <v>24832</v>
      </c>
      <c r="AJ13" s="2">
        <v>0</v>
      </c>
      <c r="AK13" s="2">
        <v>0</v>
      </c>
      <c r="AL13" s="2">
        <v>24832</v>
      </c>
      <c r="AM13" s="2">
        <v>0</v>
      </c>
      <c r="AN13" s="2">
        <v>24832</v>
      </c>
      <c r="AO13" t="s">
        <v>63</v>
      </c>
      <c r="AP13" t="s">
        <v>63</v>
      </c>
      <c r="AQ13" t="s">
        <v>63</v>
      </c>
      <c r="AR13" t="s">
        <v>63</v>
      </c>
      <c r="AS13" s="2">
        <v>14899</v>
      </c>
      <c r="AT13" s="2">
        <v>0</v>
      </c>
      <c r="AU13" s="2">
        <v>14899</v>
      </c>
    </row>
    <row r="14" spans="1:47" x14ac:dyDescent="0.4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 t="s">
        <v>77</v>
      </c>
      <c r="H14" t="s">
        <v>78</v>
      </c>
      <c r="I14" t="s">
        <v>54</v>
      </c>
      <c r="J14" t="s">
        <v>55</v>
      </c>
      <c r="K14" t="s">
        <v>79</v>
      </c>
      <c r="L14" t="s">
        <v>80</v>
      </c>
      <c r="M14" t="s">
        <v>81</v>
      </c>
      <c r="N14" t="s">
        <v>59</v>
      </c>
      <c r="O14" t="s">
        <v>59</v>
      </c>
      <c r="P14" t="s">
        <v>59</v>
      </c>
      <c r="Q14" t="s">
        <v>82</v>
      </c>
      <c r="R14" t="s">
        <v>61</v>
      </c>
      <c r="S14" t="s">
        <v>62</v>
      </c>
      <c r="T14" s="2">
        <v>2900</v>
      </c>
      <c r="U14" s="2">
        <v>200</v>
      </c>
      <c r="V14" s="2">
        <v>0</v>
      </c>
      <c r="W14" s="2">
        <v>30300</v>
      </c>
      <c r="X14" s="2">
        <v>3100</v>
      </c>
      <c r="Y14" s="2">
        <v>30300</v>
      </c>
      <c r="Z14" s="2">
        <v>33400</v>
      </c>
      <c r="AA14" s="2">
        <v>3480</v>
      </c>
      <c r="AB14" s="2">
        <v>200</v>
      </c>
      <c r="AC14" s="2">
        <v>0</v>
      </c>
      <c r="AD14" s="2">
        <v>30300</v>
      </c>
      <c r="AE14" s="2">
        <v>3680</v>
      </c>
      <c r="AF14" s="2">
        <v>30300</v>
      </c>
      <c r="AG14" s="2">
        <v>33980</v>
      </c>
      <c r="AH14" s="2">
        <v>3132</v>
      </c>
      <c r="AI14" s="2">
        <v>194</v>
      </c>
      <c r="AJ14" s="2">
        <v>0</v>
      </c>
      <c r="AK14" s="2">
        <v>27270</v>
      </c>
      <c r="AL14" s="2">
        <v>3326</v>
      </c>
      <c r="AM14" s="2">
        <v>27270</v>
      </c>
      <c r="AN14" s="2">
        <v>30596</v>
      </c>
      <c r="AO14" t="s">
        <v>63</v>
      </c>
      <c r="AP14" t="s">
        <v>63</v>
      </c>
      <c r="AQ14" t="s">
        <v>63</v>
      </c>
      <c r="AR14" t="s">
        <v>63</v>
      </c>
      <c r="AS14" s="2">
        <v>18357</v>
      </c>
      <c r="AT14" s="2">
        <v>0</v>
      </c>
      <c r="AU14" s="2">
        <v>18357</v>
      </c>
    </row>
    <row r="15" spans="1:47" x14ac:dyDescent="0.4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77</v>
      </c>
      <c r="H15" t="s">
        <v>78</v>
      </c>
      <c r="I15" t="s">
        <v>54</v>
      </c>
      <c r="J15" t="s">
        <v>55</v>
      </c>
      <c r="K15" t="s">
        <v>79</v>
      </c>
      <c r="L15" t="s">
        <v>80</v>
      </c>
      <c r="M15" t="s">
        <v>81</v>
      </c>
      <c r="N15" t="s">
        <v>59</v>
      </c>
      <c r="O15" t="s">
        <v>59</v>
      </c>
      <c r="P15" t="s">
        <v>59</v>
      </c>
      <c r="Q15" t="s">
        <v>82</v>
      </c>
      <c r="R15" t="s">
        <v>61</v>
      </c>
      <c r="S15" t="s">
        <v>64</v>
      </c>
      <c r="T15" s="2">
        <v>9000</v>
      </c>
      <c r="U15" s="2">
        <v>0</v>
      </c>
      <c r="V15" s="2">
        <v>0</v>
      </c>
      <c r="W15" s="2">
        <v>9000</v>
      </c>
      <c r="X15" s="2">
        <v>9000</v>
      </c>
      <c r="Y15" s="2">
        <v>9000</v>
      </c>
      <c r="Z15" s="2">
        <v>18000</v>
      </c>
      <c r="AA15" s="2">
        <v>10800</v>
      </c>
      <c r="AB15" s="2">
        <v>0</v>
      </c>
      <c r="AC15" s="2">
        <v>0</v>
      </c>
      <c r="AD15" s="2">
        <v>9000</v>
      </c>
      <c r="AE15" s="2">
        <v>10800</v>
      </c>
      <c r="AF15" s="2">
        <v>9000</v>
      </c>
      <c r="AG15" s="2">
        <v>19800</v>
      </c>
      <c r="AH15" s="2">
        <v>9720</v>
      </c>
      <c r="AI15" s="2">
        <v>0</v>
      </c>
      <c r="AJ15" s="2">
        <v>0</v>
      </c>
      <c r="AK15" s="2">
        <v>8100</v>
      </c>
      <c r="AL15" s="2">
        <v>9720</v>
      </c>
      <c r="AM15" s="2">
        <v>8100</v>
      </c>
      <c r="AN15" s="2">
        <v>17820</v>
      </c>
      <c r="AO15" t="s">
        <v>63</v>
      </c>
      <c r="AP15" t="s">
        <v>63</v>
      </c>
      <c r="AQ15" t="s">
        <v>63</v>
      </c>
      <c r="AR15" t="s">
        <v>63</v>
      </c>
      <c r="AS15" s="2">
        <v>10692</v>
      </c>
      <c r="AT15" s="2">
        <v>0</v>
      </c>
      <c r="AU15" s="2">
        <v>10692</v>
      </c>
    </row>
    <row r="16" spans="1:47" x14ac:dyDescent="0.4">
      <c r="A16" t="s">
        <v>46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77</v>
      </c>
      <c r="H16" t="s">
        <v>78</v>
      </c>
      <c r="I16" t="s">
        <v>54</v>
      </c>
      <c r="J16" t="s">
        <v>55</v>
      </c>
      <c r="K16" t="s">
        <v>79</v>
      </c>
      <c r="L16" t="s">
        <v>80</v>
      </c>
      <c r="M16" t="s">
        <v>81</v>
      </c>
      <c r="N16" t="s">
        <v>59</v>
      </c>
      <c r="O16" t="s">
        <v>59</v>
      </c>
      <c r="P16" t="s">
        <v>59</v>
      </c>
      <c r="Q16" t="s">
        <v>82</v>
      </c>
      <c r="R16" t="s">
        <v>61</v>
      </c>
      <c r="S16" t="s">
        <v>64</v>
      </c>
      <c r="T16" s="2">
        <v>0</v>
      </c>
      <c r="U16" s="2">
        <v>54000</v>
      </c>
      <c r="V16" s="2">
        <v>0</v>
      </c>
      <c r="W16" s="2">
        <v>0</v>
      </c>
      <c r="X16" s="2">
        <v>54000</v>
      </c>
      <c r="Y16" s="2">
        <v>0</v>
      </c>
      <c r="Z16" s="2">
        <v>54000</v>
      </c>
      <c r="AA16" s="2">
        <v>0</v>
      </c>
      <c r="AB16" s="2">
        <v>54000</v>
      </c>
      <c r="AC16" s="2">
        <v>0</v>
      </c>
      <c r="AD16" s="2">
        <v>0</v>
      </c>
      <c r="AE16" s="2">
        <v>54000</v>
      </c>
      <c r="AF16" s="2">
        <v>0</v>
      </c>
      <c r="AG16" s="2">
        <v>54000</v>
      </c>
      <c r="AH16" s="2">
        <v>0</v>
      </c>
      <c r="AI16" s="2">
        <v>52380</v>
      </c>
      <c r="AJ16" s="2">
        <v>0</v>
      </c>
      <c r="AK16" s="2">
        <v>0</v>
      </c>
      <c r="AL16" s="2">
        <v>52380</v>
      </c>
      <c r="AM16" s="2">
        <v>0</v>
      </c>
      <c r="AN16" s="2">
        <v>52380</v>
      </c>
      <c r="AO16" t="s">
        <v>63</v>
      </c>
      <c r="AP16" t="s">
        <v>63</v>
      </c>
      <c r="AQ16" t="s">
        <v>63</v>
      </c>
      <c r="AR16" t="s">
        <v>63</v>
      </c>
      <c r="AS16" s="2">
        <v>31428</v>
      </c>
      <c r="AT16" s="2">
        <v>0</v>
      </c>
      <c r="AU16" s="2">
        <v>31428</v>
      </c>
    </row>
    <row r="17" spans="1:47" x14ac:dyDescent="0.4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 t="s">
        <v>77</v>
      </c>
      <c r="H17" t="s">
        <v>78</v>
      </c>
      <c r="I17" t="s">
        <v>54</v>
      </c>
      <c r="J17" t="s">
        <v>55</v>
      </c>
      <c r="K17" t="s">
        <v>83</v>
      </c>
      <c r="L17" t="s">
        <v>84</v>
      </c>
      <c r="M17" t="s">
        <v>85</v>
      </c>
      <c r="N17" t="s">
        <v>59</v>
      </c>
      <c r="O17" t="s">
        <v>59</v>
      </c>
      <c r="P17" t="s">
        <v>59</v>
      </c>
      <c r="Q17" t="s">
        <v>82</v>
      </c>
      <c r="R17" t="s">
        <v>61</v>
      </c>
      <c r="S17" t="s">
        <v>62</v>
      </c>
      <c r="T17" s="2">
        <v>0</v>
      </c>
      <c r="U17" s="2">
        <v>1900</v>
      </c>
      <c r="V17" s="2">
        <v>100</v>
      </c>
      <c r="W17" s="2">
        <v>9200</v>
      </c>
      <c r="X17" s="2">
        <v>2000</v>
      </c>
      <c r="Y17" s="2">
        <v>9200</v>
      </c>
      <c r="Z17" s="2">
        <v>11200</v>
      </c>
      <c r="AA17" s="2">
        <v>0</v>
      </c>
      <c r="AB17" s="2">
        <v>1900</v>
      </c>
      <c r="AC17" s="2">
        <v>110</v>
      </c>
      <c r="AD17" s="2">
        <v>9200</v>
      </c>
      <c r="AE17" s="2">
        <v>2010</v>
      </c>
      <c r="AF17" s="2">
        <v>9200</v>
      </c>
      <c r="AG17" s="2">
        <v>11210</v>
      </c>
      <c r="AH17" s="2">
        <v>0</v>
      </c>
      <c r="AI17" s="2">
        <v>1843</v>
      </c>
      <c r="AJ17" s="2">
        <v>77</v>
      </c>
      <c r="AK17" s="2">
        <v>8280</v>
      </c>
      <c r="AL17" s="2">
        <v>1920</v>
      </c>
      <c r="AM17" s="2">
        <v>8280</v>
      </c>
      <c r="AN17" s="2">
        <v>10200</v>
      </c>
      <c r="AO17" t="s">
        <v>63</v>
      </c>
      <c r="AP17" t="s">
        <v>63</v>
      </c>
      <c r="AQ17" t="s">
        <v>63</v>
      </c>
      <c r="AR17" t="s">
        <v>63</v>
      </c>
      <c r="AS17" s="2">
        <v>6120</v>
      </c>
      <c r="AT17" s="2">
        <v>0</v>
      </c>
      <c r="AU17" s="2">
        <v>6120</v>
      </c>
    </row>
    <row r="18" spans="1:47" x14ac:dyDescent="0.4">
      <c r="A18" t="s">
        <v>46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 t="s">
        <v>77</v>
      </c>
      <c r="H18" t="s">
        <v>78</v>
      </c>
      <c r="I18" t="s">
        <v>54</v>
      </c>
      <c r="J18" t="s">
        <v>55</v>
      </c>
      <c r="K18" t="s">
        <v>83</v>
      </c>
      <c r="L18" t="s">
        <v>84</v>
      </c>
      <c r="M18" t="s">
        <v>85</v>
      </c>
      <c r="N18" t="s">
        <v>59</v>
      </c>
      <c r="O18" t="s">
        <v>59</v>
      </c>
      <c r="P18" t="s">
        <v>59</v>
      </c>
      <c r="Q18" t="s">
        <v>82</v>
      </c>
      <c r="R18" t="s">
        <v>61</v>
      </c>
      <c r="S18" t="s">
        <v>64</v>
      </c>
      <c r="T18" s="2">
        <v>0</v>
      </c>
      <c r="U18" s="2">
        <v>32900</v>
      </c>
      <c r="V18" s="2">
        <v>0</v>
      </c>
      <c r="W18" s="2">
        <v>6700</v>
      </c>
      <c r="X18" s="2">
        <v>32900</v>
      </c>
      <c r="Y18" s="2">
        <v>6700</v>
      </c>
      <c r="Z18" s="2">
        <v>39600</v>
      </c>
      <c r="AA18" s="2">
        <v>0</v>
      </c>
      <c r="AB18" s="2">
        <v>32900</v>
      </c>
      <c r="AC18" s="2">
        <v>0</v>
      </c>
      <c r="AD18" s="2">
        <v>6700</v>
      </c>
      <c r="AE18" s="2">
        <v>32900</v>
      </c>
      <c r="AF18" s="2">
        <v>6700</v>
      </c>
      <c r="AG18" s="2">
        <v>39600</v>
      </c>
      <c r="AH18" s="2">
        <v>0</v>
      </c>
      <c r="AI18" s="2">
        <v>31913</v>
      </c>
      <c r="AJ18" s="2">
        <v>0</v>
      </c>
      <c r="AK18" s="2">
        <v>6030</v>
      </c>
      <c r="AL18" s="2">
        <v>31913</v>
      </c>
      <c r="AM18" s="2">
        <v>6030</v>
      </c>
      <c r="AN18" s="2">
        <v>37943</v>
      </c>
      <c r="AO18" t="s">
        <v>63</v>
      </c>
      <c r="AP18" t="s">
        <v>63</v>
      </c>
      <c r="AQ18" t="s">
        <v>63</v>
      </c>
      <c r="AR18" t="s">
        <v>63</v>
      </c>
      <c r="AS18" s="2">
        <v>22766</v>
      </c>
      <c r="AT18" s="2">
        <v>0</v>
      </c>
      <c r="AU18" s="2">
        <v>22766</v>
      </c>
    </row>
    <row r="19" spans="1:47" x14ac:dyDescent="0.4">
      <c r="A19" t="s">
        <v>46</v>
      </c>
      <c r="B19" t="s">
        <v>47</v>
      </c>
      <c r="C19" t="s">
        <v>48</v>
      </c>
      <c r="D19" t="s">
        <v>49</v>
      </c>
      <c r="E19" t="s">
        <v>50</v>
      </c>
      <c r="F19" t="s">
        <v>51</v>
      </c>
      <c r="G19" t="s">
        <v>77</v>
      </c>
      <c r="H19" t="s">
        <v>78</v>
      </c>
      <c r="I19" t="s">
        <v>54</v>
      </c>
      <c r="J19" t="s">
        <v>55</v>
      </c>
      <c r="K19" t="s">
        <v>83</v>
      </c>
      <c r="L19" t="s">
        <v>84</v>
      </c>
      <c r="M19" t="s">
        <v>85</v>
      </c>
      <c r="N19" t="s">
        <v>59</v>
      </c>
      <c r="O19" t="s">
        <v>59</v>
      </c>
      <c r="P19" t="s">
        <v>59</v>
      </c>
      <c r="Q19" t="s">
        <v>82</v>
      </c>
      <c r="R19" t="s">
        <v>61</v>
      </c>
      <c r="S19" t="s">
        <v>64</v>
      </c>
      <c r="T19" s="2">
        <v>0</v>
      </c>
      <c r="U19" s="2">
        <v>27000</v>
      </c>
      <c r="V19" s="2">
        <v>0</v>
      </c>
      <c r="W19" s="2">
        <v>0</v>
      </c>
      <c r="X19" s="2">
        <v>27000</v>
      </c>
      <c r="Y19" s="2">
        <v>0</v>
      </c>
      <c r="Z19" s="2">
        <v>27000</v>
      </c>
      <c r="AA19" s="2">
        <v>0</v>
      </c>
      <c r="AB19" s="2">
        <v>27000</v>
      </c>
      <c r="AC19" s="2">
        <v>0</v>
      </c>
      <c r="AD19" s="2">
        <v>0</v>
      </c>
      <c r="AE19" s="2">
        <v>27000</v>
      </c>
      <c r="AF19" s="2">
        <v>0</v>
      </c>
      <c r="AG19" s="2">
        <v>27000</v>
      </c>
      <c r="AH19" s="2">
        <v>0</v>
      </c>
      <c r="AI19" s="2">
        <v>26190</v>
      </c>
      <c r="AJ19" s="2">
        <v>0</v>
      </c>
      <c r="AK19" s="2">
        <v>0</v>
      </c>
      <c r="AL19" s="2">
        <v>26190</v>
      </c>
      <c r="AM19" s="2">
        <v>0</v>
      </c>
      <c r="AN19" s="2">
        <v>26190</v>
      </c>
      <c r="AO19" t="s">
        <v>63</v>
      </c>
      <c r="AP19" t="s">
        <v>63</v>
      </c>
      <c r="AQ19" t="s">
        <v>63</v>
      </c>
      <c r="AR19" t="s">
        <v>63</v>
      </c>
      <c r="AS19" s="2">
        <v>15714</v>
      </c>
      <c r="AT19" s="2">
        <v>0</v>
      </c>
      <c r="AU19" s="2">
        <v>15714</v>
      </c>
    </row>
    <row r="20" spans="1:47" x14ac:dyDescent="0.4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F20" t="s">
        <v>51</v>
      </c>
      <c r="G20" t="s">
        <v>77</v>
      </c>
      <c r="H20" t="s">
        <v>78</v>
      </c>
      <c r="I20" t="s">
        <v>54</v>
      </c>
      <c r="J20" t="s">
        <v>55</v>
      </c>
      <c r="K20" t="s">
        <v>86</v>
      </c>
      <c r="L20" t="s">
        <v>87</v>
      </c>
      <c r="M20" t="s">
        <v>88</v>
      </c>
      <c r="N20" t="s">
        <v>59</v>
      </c>
      <c r="O20" t="s">
        <v>59</v>
      </c>
      <c r="P20" t="s">
        <v>59</v>
      </c>
      <c r="Q20" t="s">
        <v>82</v>
      </c>
      <c r="R20" t="s">
        <v>61</v>
      </c>
      <c r="S20" t="s">
        <v>62</v>
      </c>
      <c r="T20" s="2">
        <v>0</v>
      </c>
      <c r="U20" s="2">
        <v>0</v>
      </c>
      <c r="V20" s="2">
        <v>0</v>
      </c>
      <c r="W20" s="2">
        <v>100</v>
      </c>
      <c r="X20" s="2">
        <v>0</v>
      </c>
      <c r="Y20" s="2">
        <v>100</v>
      </c>
      <c r="Z20" s="2">
        <v>100</v>
      </c>
      <c r="AA20" s="2">
        <v>0</v>
      </c>
      <c r="AB20" s="2">
        <v>0</v>
      </c>
      <c r="AC20" s="2">
        <v>0</v>
      </c>
      <c r="AD20" s="2">
        <v>100</v>
      </c>
      <c r="AE20" s="2">
        <v>0</v>
      </c>
      <c r="AF20" s="2">
        <v>100</v>
      </c>
      <c r="AG20" s="2">
        <v>100</v>
      </c>
      <c r="AH20" s="2">
        <v>0</v>
      </c>
      <c r="AI20" s="2">
        <v>0</v>
      </c>
      <c r="AJ20" s="2">
        <v>0</v>
      </c>
      <c r="AK20" s="2">
        <v>90</v>
      </c>
      <c r="AL20" s="2">
        <v>0</v>
      </c>
      <c r="AM20" s="2">
        <v>90</v>
      </c>
      <c r="AN20" s="2">
        <v>90</v>
      </c>
      <c r="AO20" t="s">
        <v>63</v>
      </c>
      <c r="AP20" t="s">
        <v>63</v>
      </c>
      <c r="AQ20" t="s">
        <v>63</v>
      </c>
      <c r="AR20" t="s">
        <v>63</v>
      </c>
      <c r="AS20" s="2">
        <v>54</v>
      </c>
      <c r="AT20" s="2">
        <v>0</v>
      </c>
      <c r="AU20" s="2">
        <v>54</v>
      </c>
    </row>
    <row r="21" spans="1:47" x14ac:dyDescent="0.4">
      <c r="A21" t="s">
        <v>46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 t="s">
        <v>77</v>
      </c>
      <c r="H21" t="s">
        <v>78</v>
      </c>
      <c r="I21" t="s">
        <v>54</v>
      </c>
      <c r="J21" t="s">
        <v>55</v>
      </c>
      <c r="K21" t="s">
        <v>89</v>
      </c>
      <c r="L21" t="s">
        <v>90</v>
      </c>
      <c r="M21" t="s">
        <v>91</v>
      </c>
      <c r="N21" t="s">
        <v>59</v>
      </c>
      <c r="O21" t="s">
        <v>59</v>
      </c>
      <c r="P21" t="s">
        <v>59</v>
      </c>
      <c r="Q21" t="s">
        <v>82</v>
      </c>
      <c r="R21" t="s">
        <v>61</v>
      </c>
      <c r="S21" t="s">
        <v>62</v>
      </c>
      <c r="T21" s="2">
        <v>6200</v>
      </c>
      <c r="U21" s="2">
        <v>31640</v>
      </c>
      <c r="V21" s="2">
        <v>1900</v>
      </c>
      <c r="W21" s="2">
        <v>35560</v>
      </c>
      <c r="X21" s="2">
        <v>39740</v>
      </c>
      <c r="Y21" s="2">
        <v>35560</v>
      </c>
      <c r="Z21" s="2">
        <v>75300</v>
      </c>
      <c r="AA21" s="2">
        <v>7440</v>
      </c>
      <c r="AB21" s="2">
        <v>31640</v>
      </c>
      <c r="AC21" s="2">
        <v>2210</v>
      </c>
      <c r="AD21" s="2">
        <v>35560</v>
      </c>
      <c r="AE21" s="2">
        <v>41290</v>
      </c>
      <c r="AF21" s="2">
        <v>35560</v>
      </c>
      <c r="AG21" s="2">
        <v>76850</v>
      </c>
      <c r="AH21" s="2">
        <v>6696</v>
      </c>
      <c r="AI21" s="2">
        <v>30690.799999999999</v>
      </c>
      <c r="AJ21" s="2">
        <v>1547</v>
      </c>
      <c r="AK21" s="2">
        <v>32004</v>
      </c>
      <c r="AL21" s="2">
        <v>38933.800000000003</v>
      </c>
      <c r="AM21" s="2">
        <v>32004</v>
      </c>
      <c r="AN21" s="2">
        <v>70937.8</v>
      </c>
      <c r="AO21" t="s">
        <v>63</v>
      </c>
      <c r="AP21" t="s">
        <v>63</v>
      </c>
      <c r="AQ21" t="s">
        <v>63</v>
      </c>
      <c r="AR21" t="s">
        <v>63</v>
      </c>
      <c r="AS21" s="2">
        <v>42562</v>
      </c>
      <c r="AT21" s="2">
        <v>0</v>
      </c>
      <c r="AU21" s="2">
        <v>42562</v>
      </c>
    </row>
    <row r="22" spans="1:47" x14ac:dyDescent="0.4">
      <c r="A22" t="s">
        <v>46</v>
      </c>
      <c r="B22" t="s">
        <v>47</v>
      </c>
      <c r="C22" t="s">
        <v>48</v>
      </c>
      <c r="D22" t="s">
        <v>49</v>
      </c>
      <c r="E22" t="s">
        <v>50</v>
      </c>
      <c r="F22" t="s">
        <v>51</v>
      </c>
      <c r="G22" t="s">
        <v>77</v>
      </c>
      <c r="H22" t="s">
        <v>78</v>
      </c>
      <c r="I22" t="s">
        <v>54</v>
      </c>
      <c r="J22" t="s">
        <v>55</v>
      </c>
      <c r="K22" t="s">
        <v>89</v>
      </c>
      <c r="L22" t="s">
        <v>90</v>
      </c>
      <c r="M22" t="s">
        <v>91</v>
      </c>
      <c r="N22" t="s">
        <v>59</v>
      </c>
      <c r="O22" t="s">
        <v>59</v>
      </c>
      <c r="P22" t="s">
        <v>59</v>
      </c>
      <c r="Q22" t="s">
        <v>82</v>
      </c>
      <c r="R22" t="s">
        <v>61</v>
      </c>
      <c r="S22" t="s">
        <v>64</v>
      </c>
      <c r="T22" s="2">
        <v>91800</v>
      </c>
      <c r="U22" s="2">
        <v>113900</v>
      </c>
      <c r="V22" s="2">
        <v>3200</v>
      </c>
      <c r="W22" s="2">
        <v>20200</v>
      </c>
      <c r="X22" s="2">
        <v>208900</v>
      </c>
      <c r="Y22" s="2">
        <v>20200</v>
      </c>
      <c r="Z22" s="2">
        <v>229100</v>
      </c>
      <c r="AA22" s="2">
        <v>110160</v>
      </c>
      <c r="AB22" s="2">
        <v>113900</v>
      </c>
      <c r="AC22" s="2">
        <v>3700</v>
      </c>
      <c r="AD22" s="2">
        <v>20200</v>
      </c>
      <c r="AE22" s="2">
        <v>227760</v>
      </c>
      <c r="AF22" s="2">
        <v>20200</v>
      </c>
      <c r="AG22" s="2">
        <v>247960</v>
      </c>
      <c r="AH22" s="2">
        <v>99144</v>
      </c>
      <c r="AI22" s="2">
        <v>110483</v>
      </c>
      <c r="AJ22" s="2">
        <v>2590</v>
      </c>
      <c r="AK22" s="2">
        <v>18180</v>
      </c>
      <c r="AL22" s="2">
        <v>212217</v>
      </c>
      <c r="AM22" s="2">
        <v>18180</v>
      </c>
      <c r="AN22" s="2">
        <v>230397</v>
      </c>
      <c r="AO22" t="s">
        <v>63</v>
      </c>
      <c r="AP22" t="s">
        <v>63</v>
      </c>
      <c r="AQ22" t="s">
        <v>63</v>
      </c>
      <c r="AR22" t="s">
        <v>63</v>
      </c>
      <c r="AS22" s="2">
        <v>138238</v>
      </c>
      <c r="AT22" s="2">
        <v>0</v>
      </c>
      <c r="AU22" s="2">
        <v>138238</v>
      </c>
    </row>
    <row r="23" spans="1:47" x14ac:dyDescent="0.4">
      <c r="A23" t="s">
        <v>46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 t="s">
        <v>77</v>
      </c>
      <c r="H23" t="s">
        <v>78</v>
      </c>
      <c r="I23" t="s">
        <v>54</v>
      </c>
      <c r="J23" t="s">
        <v>55</v>
      </c>
      <c r="K23" t="s">
        <v>89</v>
      </c>
      <c r="L23" t="s">
        <v>90</v>
      </c>
      <c r="M23" t="s">
        <v>91</v>
      </c>
      <c r="N23" t="s">
        <v>59</v>
      </c>
      <c r="O23" t="s">
        <v>59</v>
      </c>
      <c r="P23" t="s">
        <v>59</v>
      </c>
      <c r="Q23" t="s">
        <v>82</v>
      </c>
      <c r="R23" t="s">
        <v>61</v>
      </c>
      <c r="S23" t="s">
        <v>64</v>
      </c>
      <c r="T23" s="2">
        <v>27000</v>
      </c>
      <c r="U23" s="2">
        <v>95400</v>
      </c>
      <c r="V23" s="2">
        <v>43000</v>
      </c>
      <c r="W23" s="2">
        <v>30800</v>
      </c>
      <c r="X23" s="2">
        <v>165400</v>
      </c>
      <c r="Y23" s="2">
        <v>30800</v>
      </c>
      <c r="Z23" s="2">
        <v>196200</v>
      </c>
      <c r="AA23" s="2">
        <v>32400</v>
      </c>
      <c r="AB23" s="2">
        <v>95400</v>
      </c>
      <c r="AC23" s="2">
        <v>50320</v>
      </c>
      <c r="AD23" s="2">
        <v>30800</v>
      </c>
      <c r="AE23" s="2">
        <v>178120</v>
      </c>
      <c r="AF23" s="2">
        <v>30800</v>
      </c>
      <c r="AG23" s="2">
        <v>208920</v>
      </c>
      <c r="AH23" s="2">
        <v>29160</v>
      </c>
      <c r="AI23" s="2">
        <v>92538</v>
      </c>
      <c r="AJ23" s="2">
        <v>35224</v>
      </c>
      <c r="AK23" s="2">
        <v>27720</v>
      </c>
      <c r="AL23" s="2">
        <v>156922</v>
      </c>
      <c r="AM23" s="2">
        <v>27720</v>
      </c>
      <c r="AN23" s="2">
        <v>184642</v>
      </c>
      <c r="AO23" t="s">
        <v>63</v>
      </c>
      <c r="AP23" t="s">
        <v>63</v>
      </c>
      <c r="AQ23" t="s">
        <v>63</v>
      </c>
      <c r="AR23" t="s">
        <v>63</v>
      </c>
      <c r="AS23" s="2">
        <v>110785</v>
      </c>
      <c r="AT23" s="2">
        <v>0</v>
      </c>
      <c r="AU23" s="2">
        <v>110785</v>
      </c>
    </row>
    <row r="24" spans="1:47" x14ac:dyDescent="0.4">
      <c r="A24" t="s">
        <v>46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 t="s">
        <v>77</v>
      </c>
      <c r="H24" t="s">
        <v>78</v>
      </c>
      <c r="I24" t="s">
        <v>54</v>
      </c>
      <c r="J24" t="s">
        <v>55</v>
      </c>
      <c r="K24" t="s">
        <v>89</v>
      </c>
      <c r="L24" t="s">
        <v>90</v>
      </c>
      <c r="M24" t="s">
        <v>91</v>
      </c>
      <c r="N24" t="s">
        <v>59</v>
      </c>
      <c r="O24" t="s">
        <v>59</v>
      </c>
      <c r="P24" t="s">
        <v>59</v>
      </c>
      <c r="Q24" t="s">
        <v>82</v>
      </c>
      <c r="R24" t="s">
        <v>61</v>
      </c>
      <c r="S24" t="s">
        <v>64</v>
      </c>
      <c r="T24" s="2">
        <v>0</v>
      </c>
      <c r="U24" s="2">
        <v>81000</v>
      </c>
      <c r="V24" s="2">
        <v>0</v>
      </c>
      <c r="W24" s="2">
        <v>0</v>
      </c>
      <c r="X24" s="2">
        <v>81000</v>
      </c>
      <c r="Y24" s="2">
        <v>0</v>
      </c>
      <c r="Z24" s="2">
        <v>81000</v>
      </c>
      <c r="AA24" s="2">
        <v>0</v>
      </c>
      <c r="AB24" s="2">
        <v>81000</v>
      </c>
      <c r="AC24" s="2">
        <v>0</v>
      </c>
      <c r="AD24" s="2">
        <v>0</v>
      </c>
      <c r="AE24" s="2">
        <v>81000</v>
      </c>
      <c r="AF24" s="2">
        <v>0</v>
      </c>
      <c r="AG24" s="2">
        <v>81000</v>
      </c>
      <c r="AH24" s="2">
        <v>0</v>
      </c>
      <c r="AI24" s="2">
        <v>78570</v>
      </c>
      <c r="AJ24" s="2">
        <v>0</v>
      </c>
      <c r="AK24" s="2">
        <v>0</v>
      </c>
      <c r="AL24" s="2">
        <v>78570</v>
      </c>
      <c r="AM24" s="2">
        <v>0</v>
      </c>
      <c r="AN24" s="2">
        <v>78570</v>
      </c>
      <c r="AO24" t="s">
        <v>63</v>
      </c>
      <c r="AP24" t="s">
        <v>63</v>
      </c>
      <c r="AQ24" t="s">
        <v>63</v>
      </c>
      <c r="AR24" t="s">
        <v>63</v>
      </c>
      <c r="AS24" s="2">
        <v>47142</v>
      </c>
      <c r="AT24" s="2">
        <v>0</v>
      </c>
      <c r="AU24" s="2">
        <v>47142</v>
      </c>
    </row>
    <row r="25" spans="1:47" x14ac:dyDescent="0.4">
      <c r="A25" t="s">
        <v>46</v>
      </c>
      <c r="B25" t="s">
        <v>47</v>
      </c>
      <c r="C25" t="s">
        <v>48</v>
      </c>
      <c r="D25" t="s">
        <v>49</v>
      </c>
      <c r="E25" t="s">
        <v>50</v>
      </c>
      <c r="F25" t="s">
        <v>51</v>
      </c>
      <c r="G25" t="s">
        <v>77</v>
      </c>
      <c r="H25" t="s">
        <v>78</v>
      </c>
      <c r="I25" t="s">
        <v>54</v>
      </c>
      <c r="J25" t="s">
        <v>55</v>
      </c>
      <c r="K25" t="s">
        <v>92</v>
      </c>
      <c r="L25" t="s">
        <v>93</v>
      </c>
      <c r="M25" t="s">
        <v>94</v>
      </c>
      <c r="N25" t="s">
        <v>59</v>
      </c>
      <c r="O25" t="s">
        <v>59</v>
      </c>
      <c r="P25" t="s">
        <v>59</v>
      </c>
      <c r="Q25" t="s">
        <v>82</v>
      </c>
      <c r="R25" t="s">
        <v>61</v>
      </c>
      <c r="S25" t="s">
        <v>62</v>
      </c>
      <c r="T25" s="2">
        <v>0</v>
      </c>
      <c r="U25" s="2">
        <v>100</v>
      </c>
      <c r="V25" s="2">
        <v>0</v>
      </c>
      <c r="W25" s="2">
        <v>6600</v>
      </c>
      <c r="X25" s="2">
        <v>100</v>
      </c>
      <c r="Y25" s="2">
        <v>6600</v>
      </c>
      <c r="Z25" s="2">
        <v>6700</v>
      </c>
      <c r="AA25" s="2">
        <v>0</v>
      </c>
      <c r="AB25" s="2">
        <v>100</v>
      </c>
      <c r="AC25" s="2">
        <v>0</v>
      </c>
      <c r="AD25" s="2">
        <v>6600</v>
      </c>
      <c r="AE25" s="2">
        <v>100</v>
      </c>
      <c r="AF25" s="2">
        <v>6600</v>
      </c>
      <c r="AG25" s="2">
        <v>6700</v>
      </c>
      <c r="AH25" s="2">
        <v>0</v>
      </c>
      <c r="AI25" s="2">
        <v>97</v>
      </c>
      <c r="AJ25" s="2">
        <v>0</v>
      </c>
      <c r="AK25" s="2">
        <v>5940</v>
      </c>
      <c r="AL25" s="2">
        <v>97</v>
      </c>
      <c r="AM25" s="2">
        <v>5940</v>
      </c>
      <c r="AN25" s="2">
        <v>6037</v>
      </c>
      <c r="AO25" t="s">
        <v>63</v>
      </c>
      <c r="AP25" t="s">
        <v>63</v>
      </c>
      <c r="AQ25" t="s">
        <v>63</v>
      </c>
      <c r="AR25" t="s">
        <v>63</v>
      </c>
      <c r="AS25" s="2">
        <v>3622</v>
      </c>
      <c r="AT25" s="2">
        <v>0</v>
      </c>
      <c r="AU25" s="2">
        <v>3622</v>
      </c>
    </row>
    <row r="26" spans="1:47" x14ac:dyDescent="0.4">
      <c r="A26" t="s">
        <v>46</v>
      </c>
      <c r="B26" t="s">
        <v>47</v>
      </c>
      <c r="C26" t="s">
        <v>48</v>
      </c>
      <c r="D26" t="s">
        <v>49</v>
      </c>
      <c r="E26" t="s">
        <v>50</v>
      </c>
      <c r="F26" t="s">
        <v>51</v>
      </c>
      <c r="G26" t="s">
        <v>77</v>
      </c>
      <c r="H26" t="s">
        <v>78</v>
      </c>
      <c r="I26" t="s">
        <v>54</v>
      </c>
      <c r="J26" t="s">
        <v>55</v>
      </c>
      <c r="K26" t="s">
        <v>92</v>
      </c>
      <c r="L26" t="s">
        <v>93</v>
      </c>
      <c r="M26" t="s">
        <v>94</v>
      </c>
      <c r="N26" t="s">
        <v>59</v>
      </c>
      <c r="O26" t="s">
        <v>59</v>
      </c>
      <c r="P26" t="s">
        <v>59</v>
      </c>
      <c r="Q26" t="s">
        <v>82</v>
      </c>
      <c r="R26" t="s">
        <v>61</v>
      </c>
      <c r="S26" t="s">
        <v>64</v>
      </c>
      <c r="T26" s="2">
        <v>0</v>
      </c>
      <c r="U26" s="2">
        <v>0</v>
      </c>
      <c r="V26" s="2">
        <v>0</v>
      </c>
      <c r="W26" s="2">
        <v>1800</v>
      </c>
      <c r="X26" s="2">
        <v>0</v>
      </c>
      <c r="Y26" s="2">
        <v>1800</v>
      </c>
      <c r="Z26" s="2">
        <v>1800</v>
      </c>
      <c r="AA26" s="2">
        <v>0</v>
      </c>
      <c r="AB26" s="2">
        <v>0</v>
      </c>
      <c r="AC26" s="2">
        <v>0</v>
      </c>
      <c r="AD26" s="2">
        <v>1800</v>
      </c>
      <c r="AE26" s="2">
        <v>0</v>
      </c>
      <c r="AF26" s="2">
        <v>1800</v>
      </c>
      <c r="AG26" s="2">
        <v>1800</v>
      </c>
      <c r="AH26" s="2">
        <v>0</v>
      </c>
      <c r="AI26" s="2">
        <v>0</v>
      </c>
      <c r="AJ26" s="2">
        <v>0</v>
      </c>
      <c r="AK26" s="2">
        <v>1620</v>
      </c>
      <c r="AL26" s="2">
        <v>0</v>
      </c>
      <c r="AM26" s="2">
        <v>1620</v>
      </c>
      <c r="AN26" s="2">
        <v>1620</v>
      </c>
      <c r="AO26" t="s">
        <v>63</v>
      </c>
      <c r="AP26" t="s">
        <v>63</v>
      </c>
      <c r="AQ26" t="s">
        <v>63</v>
      </c>
      <c r="AR26" t="s">
        <v>63</v>
      </c>
      <c r="AS26" s="2">
        <v>972</v>
      </c>
      <c r="AT26" s="2">
        <v>0</v>
      </c>
      <c r="AU26" s="2">
        <v>972</v>
      </c>
    </row>
    <row r="27" spans="1:47" x14ac:dyDescent="0.4">
      <c r="A27" t="s">
        <v>46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 t="s">
        <v>77</v>
      </c>
      <c r="H27" t="s">
        <v>78</v>
      </c>
      <c r="I27" t="s">
        <v>54</v>
      </c>
      <c r="J27" t="s">
        <v>55</v>
      </c>
      <c r="K27" t="s">
        <v>92</v>
      </c>
      <c r="L27" t="s">
        <v>93</v>
      </c>
      <c r="M27" t="s">
        <v>94</v>
      </c>
      <c r="N27" t="s">
        <v>59</v>
      </c>
      <c r="O27" t="s">
        <v>59</v>
      </c>
      <c r="P27" t="s">
        <v>59</v>
      </c>
      <c r="Q27" t="s">
        <v>82</v>
      </c>
      <c r="R27" t="s">
        <v>61</v>
      </c>
      <c r="S27" t="s">
        <v>64</v>
      </c>
      <c r="T27" s="2">
        <v>0</v>
      </c>
      <c r="U27" s="2">
        <v>0</v>
      </c>
      <c r="V27" s="2">
        <v>0</v>
      </c>
      <c r="W27" s="2">
        <v>9000</v>
      </c>
      <c r="X27" s="2">
        <v>0</v>
      </c>
      <c r="Y27" s="2">
        <v>9000</v>
      </c>
      <c r="Z27" s="2">
        <v>9000</v>
      </c>
      <c r="AA27" s="2">
        <v>0</v>
      </c>
      <c r="AB27" s="2">
        <v>0</v>
      </c>
      <c r="AC27" s="2">
        <v>0</v>
      </c>
      <c r="AD27" s="2">
        <v>9000</v>
      </c>
      <c r="AE27" s="2">
        <v>0</v>
      </c>
      <c r="AF27" s="2">
        <v>9000</v>
      </c>
      <c r="AG27" s="2">
        <v>9000</v>
      </c>
      <c r="AH27" s="2">
        <v>0</v>
      </c>
      <c r="AI27" s="2">
        <v>0</v>
      </c>
      <c r="AJ27" s="2">
        <v>0</v>
      </c>
      <c r="AK27" s="2">
        <v>8100</v>
      </c>
      <c r="AL27" s="2">
        <v>0</v>
      </c>
      <c r="AM27" s="2">
        <v>8100</v>
      </c>
      <c r="AN27" s="2">
        <v>8100</v>
      </c>
      <c r="AO27" t="s">
        <v>63</v>
      </c>
      <c r="AP27" t="s">
        <v>63</v>
      </c>
      <c r="AQ27" t="s">
        <v>63</v>
      </c>
      <c r="AR27" t="s">
        <v>63</v>
      </c>
      <c r="AS27" s="2">
        <v>4860</v>
      </c>
      <c r="AT27" s="2">
        <v>0</v>
      </c>
      <c r="AU27" s="2">
        <v>4860</v>
      </c>
    </row>
    <row r="28" spans="1:47" x14ac:dyDescent="0.4">
      <c r="A28" t="s">
        <v>46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 t="s">
        <v>77</v>
      </c>
      <c r="H28" t="s">
        <v>78</v>
      </c>
      <c r="I28" t="s">
        <v>54</v>
      </c>
      <c r="J28" t="s">
        <v>55</v>
      </c>
      <c r="K28" t="s">
        <v>95</v>
      </c>
      <c r="L28" t="s">
        <v>96</v>
      </c>
      <c r="M28" t="s">
        <v>97</v>
      </c>
      <c r="N28" t="s">
        <v>59</v>
      </c>
      <c r="O28" t="s">
        <v>59</v>
      </c>
      <c r="P28" t="s">
        <v>59</v>
      </c>
      <c r="Q28" t="s">
        <v>82</v>
      </c>
      <c r="R28" t="s">
        <v>61</v>
      </c>
      <c r="S28" t="s">
        <v>62</v>
      </c>
      <c r="T28" s="2">
        <v>0</v>
      </c>
      <c r="U28" s="2">
        <v>3200</v>
      </c>
      <c r="V28" s="2">
        <v>0</v>
      </c>
      <c r="W28" s="2">
        <v>1700</v>
      </c>
      <c r="X28" s="2">
        <v>3200</v>
      </c>
      <c r="Y28" s="2">
        <v>1700</v>
      </c>
      <c r="Z28" s="2">
        <v>4900</v>
      </c>
      <c r="AA28" s="2">
        <v>0</v>
      </c>
      <c r="AB28" s="2">
        <v>3200</v>
      </c>
      <c r="AC28" s="2">
        <v>0</v>
      </c>
      <c r="AD28" s="2">
        <v>1700</v>
      </c>
      <c r="AE28" s="2">
        <v>3200</v>
      </c>
      <c r="AF28" s="2">
        <v>1700</v>
      </c>
      <c r="AG28" s="2">
        <v>4900</v>
      </c>
      <c r="AH28" s="2">
        <v>0</v>
      </c>
      <c r="AI28" s="2">
        <v>3104</v>
      </c>
      <c r="AJ28" s="2">
        <v>0</v>
      </c>
      <c r="AK28" s="2">
        <v>1530</v>
      </c>
      <c r="AL28" s="2">
        <v>3104</v>
      </c>
      <c r="AM28" s="2">
        <v>1530</v>
      </c>
      <c r="AN28" s="2">
        <v>4634</v>
      </c>
      <c r="AO28" t="s">
        <v>63</v>
      </c>
      <c r="AP28" t="s">
        <v>63</v>
      </c>
      <c r="AQ28" t="s">
        <v>63</v>
      </c>
      <c r="AR28" t="s">
        <v>63</v>
      </c>
      <c r="AS28" s="2">
        <v>2780</v>
      </c>
      <c r="AT28" s="2">
        <v>0</v>
      </c>
      <c r="AU28" s="2">
        <v>2780</v>
      </c>
    </row>
    <row r="29" spans="1:47" x14ac:dyDescent="0.4">
      <c r="A29" t="s">
        <v>46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 t="s">
        <v>77</v>
      </c>
      <c r="H29" t="s">
        <v>78</v>
      </c>
      <c r="I29" t="s">
        <v>54</v>
      </c>
      <c r="J29" t="s">
        <v>55</v>
      </c>
      <c r="K29" t="s">
        <v>95</v>
      </c>
      <c r="L29" t="s">
        <v>96</v>
      </c>
      <c r="M29" t="s">
        <v>97</v>
      </c>
      <c r="N29" t="s">
        <v>59</v>
      </c>
      <c r="O29" t="s">
        <v>59</v>
      </c>
      <c r="P29" t="s">
        <v>59</v>
      </c>
      <c r="Q29" t="s">
        <v>82</v>
      </c>
      <c r="R29" t="s">
        <v>61</v>
      </c>
      <c r="S29" t="s">
        <v>64</v>
      </c>
      <c r="T29" s="2">
        <v>0</v>
      </c>
      <c r="U29" s="2">
        <v>8200</v>
      </c>
      <c r="V29" s="2">
        <v>0</v>
      </c>
      <c r="W29" s="2">
        <v>1000</v>
      </c>
      <c r="X29" s="2">
        <v>8200</v>
      </c>
      <c r="Y29" s="2">
        <v>1000</v>
      </c>
      <c r="Z29" s="2">
        <v>9200</v>
      </c>
      <c r="AA29" s="2">
        <v>0</v>
      </c>
      <c r="AB29" s="2">
        <v>8200</v>
      </c>
      <c r="AC29" s="2">
        <v>0</v>
      </c>
      <c r="AD29" s="2">
        <v>1000</v>
      </c>
      <c r="AE29" s="2">
        <v>8200</v>
      </c>
      <c r="AF29" s="2">
        <v>1000</v>
      </c>
      <c r="AG29" s="2">
        <v>9200</v>
      </c>
      <c r="AH29" s="2">
        <v>0</v>
      </c>
      <c r="AI29" s="2">
        <v>7954</v>
      </c>
      <c r="AJ29" s="2">
        <v>0</v>
      </c>
      <c r="AK29" s="2">
        <v>900</v>
      </c>
      <c r="AL29" s="2">
        <v>7954</v>
      </c>
      <c r="AM29" s="2">
        <v>900</v>
      </c>
      <c r="AN29" s="2">
        <v>8854</v>
      </c>
      <c r="AO29" t="s">
        <v>63</v>
      </c>
      <c r="AP29" t="s">
        <v>63</v>
      </c>
      <c r="AQ29" t="s">
        <v>63</v>
      </c>
      <c r="AR29" t="s">
        <v>63</v>
      </c>
      <c r="AS29" s="2">
        <v>5312</v>
      </c>
      <c r="AT29" s="2">
        <v>0</v>
      </c>
      <c r="AU29" s="2">
        <v>5312</v>
      </c>
    </row>
    <row r="30" spans="1:47" x14ac:dyDescent="0.4">
      <c r="A30" t="s">
        <v>46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 t="s">
        <v>77</v>
      </c>
      <c r="H30" t="s">
        <v>78</v>
      </c>
      <c r="I30" t="s">
        <v>54</v>
      </c>
      <c r="J30" t="s">
        <v>55</v>
      </c>
      <c r="K30" t="s">
        <v>98</v>
      </c>
      <c r="L30" t="s">
        <v>99</v>
      </c>
      <c r="M30" t="s">
        <v>100</v>
      </c>
      <c r="N30" t="s">
        <v>59</v>
      </c>
      <c r="O30" t="s">
        <v>59</v>
      </c>
      <c r="P30" t="s">
        <v>59</v>
      </c>
      <c r="Q30" t="s">
        <v>82</v>
      </c>
      <c r="R30" t="s">
        <v>61</v>
      </c>
      <c r="S30" t="s">
        <v>62</v>
      </c>
      <c r="T30" s="2">
        <v>816980</v>
      </c>
      <c r="U30" s="2">
        <v>1180180</v>
      </c>
      <c r="V30" s="2">
        <v>110560</v>
      </c>
      <c r="W30" s="2">
        <v>4514780</v>
      </c>
      <c r="X30" s="2">
        <v>2107720</v>
      </c>
      <c r="Y30" s="2">
        <v>4514780</v>
      </c>
      <c r="Z30" s="2">
        <v>6622500</v>
      </c>
      <c r="AA30" s="2">
        <v>980376</v>
      </c>
      <c r="AB30" s="2">
        <v>1180180</v>
      </c>
      <c r="AC30" s="2">
        <v>130852</v>
      </c>
      <c r="AD30" s="2">
        <v>4514780</v>
      </c>
      <c r="AE30" s="2">
        <v>2291408</v>
      </c>
      <c r="AF30" s="2">
        <v>4514780</v>
      </c>
      <c r="AG30" s="2">
        <v>6806188</v>
      </c>
      <c r="AH30" s="2">
        <v>882338.4</v>
      </c>
      <c r="AI30" s="2">
        <v>1144774.6000000001</v>
      </c>
      <c r="AJ30" s="2">
        <v>91596.4</v>
      </c>
      <c r="AK30" s="2">
        <v>4063302</v>
      </c>
      <c r="AL30" s="2">
        <v>2118709.4</v>
      </c>
      <c r="AM30" s="2">
        <v>4063302</v>
      </c>
      <c r="AN30" s="2">
        <v>6182011.4000000004</v>
      </c>
      <c r="AO30" t="s">
        <v>63</v>
      </c>
      <c r="AP30" t="s">
        <v>63</v>
      </c>
      <c r="AQ30" t="s">
        <v>63</v>
      </c>
      <c r="AR30" t="s">
        <v>63</v>
      </c>
      <c r="AS30" s="2">
        <v>3709207</v>
      </c>
      <c r="AT30" s="2">
        <v>0</v>
      </c>
      <c r="AU30" s="2">
        <v>3709207</v>
      </c>
    </row>
    <row r="31" spans="1:47" x14ac:dyDescent="0.4">
      <c r="A31" t="s">
        <v>46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 t="s">
        <v>77</v>
      </c>
      <c r="H31" t="s">
        <v>78</v>
      </c>
      <c r="I31" t="s">
        <v>54</v>
      </c>
      <c r="J31" t="s">
        <v>55</v>
      </c>
      <c r="K31" t="s">
        <v>98</v>
      </c>
      <c r="L31" t="s">
        <v>99</v>
      </c>
      <c r="M31" t="s">
        <v>100</v>
      </c>
      <c r="N31" t="s">
        <v>59</v>
      </c>
      <c r="O31" t="s">
        <v>59</v>
      </c>
      <c r="P31" t="s">
        <v>59</v>
      </c>
      <c r="Q31" t="s">
        <v>82</v>
      </c>
      <c r="R31" t="s">
        <v>61</v>
      </c>
      <c r="S31" t="s">
        <v>64</v>
      </c>
      <c r="T31" s="2">
        <v>1475959</v>
      </c>
      <c r="U31" s="2">
        <v>3831751</v>
      </c>
      <c r="V31" s="2">
        <v>248710</v>
      </c>
      <c r="W31" s="2">
        <v>1830480</v>
      </c>
      <c r="X31" s="2">
        <v>5556420</v>
      </c>
      <c r="Y31" s="2">
        <v>1830480</v>
      </c>
      <c r="Z31" s="2">
        <v>7386900</v>
      </c>
      <c r="AA31" s="2">
        <v>1771151</v>
      </c>
      <c r="AB31" s="2">
        <v>3831751</v>
      </c>
      <c r="AC31" s="2">
        <v>294707</v>
      </c>
      <c r="AD31" s="2">
        <v>1830480</v>
      </c>
      <c r="AE31" s="2">
        <v>5897609</v>
      </c>
      <c r="AF31" s="2">
        <v>1830480</v>
      </c>
      <c r="AG31" s="2">
        <v>7728089</v>
      </c>
      <c r="AH31" s="2">
        <v>1594035.9</v>
      </c>
      <c r="AI31" s="2">
        <v>3716798.47</v>
      </c>
      <c r="AJ31" s="2">
        <v>206294.9</v>
      </c>
      <c r="AK31" s="2">
        <v>1647432</v>
      </c>
      <c r="AL31" s="2">
        <v>5517129.2699999996</v>
      </c>
      <c r="AM31" s="2">
        <v>1647432</v>
      </c>
      <c r="AN31" s="2">
        <v>7164561.2699999996</v>
      </c>
      <c r="AO31" t="s">
        <v>63</v>
      </c>
      <c r="AP31" t="s">
        <v>63</v>
      </c>
      <c r="AQ31" t="s">
        <v>63</v>
      </c>
      <c r="AR31" t="s">
        <v>63</v>
      </c>
      <c r="AS31" s="2">
        <v>4298737</v>
      </c>
      <c r="AT31" s="2">
        <v>0</v>
      </c>
      <c r="AU31" s="2">
        <v>4298737</v>
      </c>
    </row>
    <row r="32" spans="1:47" x14ac:dyDescent="0.4">
      <c r="A32" t="s">
        <v>46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 t="s">
        <v>77</v>
      </c>
      <c r="H32" t="s">
        <v>78</v>
      </c>
      <c r="I32" t="s">
        <v>54</v>
      </c>
      <c r="J32" t="s">
        <v>55</v>
      </c>
      <c r="K32" t="s">
        <v>98</v>
      </c>
      <c r="L32" t="s">
        <v>99</v>
      </c>
      <c r="M32" t="s">
        <v>100</v>
      </c>
      <c r="N32" t="s">
        <v>59</v>
      </c>
      <c r="O32" t="s">
        <v>59</v>
      </c>
      <c r="P32" t="s">
        <v>59</v>
      </c>
      <c r="Q32" t="s">
        <v>82</v>
      </c>
      <c r="R32" t="s">
        <v>61</v>
      </c>
      <c r="S32" t="s">
        <v>64</v>
      </c>
      <c r="T32" s="2">
        <v>1587150</v>
      </c>
      <c r="U32" s="2">
        <v>3628050</v>
      </c>
      <c r="V32" s="2">
        <v>239430</v>
      </c>
      <c r="W32" s="2">
        <v>1325670</v>
      </c>
      <c r="X32" s="2">
        <v>5454630</v>
      </c>
      <c r="Y32" s="2">
        <v>1325670</v>
      </c>
      <c r="Z32" s="2">
        <v>6780300</v>
      </c>
      <c r="AA32" s="2">
        <v>1904580</v>
      </c>
      <c r="AB32" s="2">
        <v>3628050</v>
      </c>
      <c r="AC32" s="2">
        <v>285581</v>
      </c>
      <c r="AD32" s="2">
        <v>1325670</v>
      </c>
      <c r="AE32" s="2">
        <v>5818211</v>
      </c>
      <c r="AF32" s="2">
        <v>1325670</v>
      </c>
      <c r="AG32" s="2">
        <v>7143881</v>
      </c>
      <c r="AH32" s="2">
        <v>1714122</v>
      </c>
      <c r="AI32" s="2">
        <v>3519208.5</v>
      </c>
      <c r="AJ32" s="2">
        <v>199906.7</v>
      </c>
      <c r="AK32" s="2">
        <v>1193103</v>
      </c>
      <c r="AL32" s="2">
        <v>5433237.2000000002</v>
      </c>
      <c r="AM32" s="2">
        <v>1193103</v>
      </c>
      <c r="AN32" s="2">
        <v>6626340.2000000002</v>
      </c>
      <c r="AO32" t="s">
        <v>63</v>
      </c>
      <c r="AP32" t="s">
        <v>63</v>
      </c>
      <c r="AQ32" t="s">
        <v>63</v>
      </c>
      <c r="AR32" t="s">
        <v>63</v>
      </c>
      <c r="AS32" s="2">
        <v>3975804</v>
      </c>
      <c r="AT32" s="2">
        <v>0</v>
      </c>
      <c r="AU32" s="2">
        <v>3975804</v>
      </c>
    </row>
    <row r="33" spans="1:47" x14ac:dyDescent="0.4">
      <c r="A33" t="s">
        <v>46</v>
      </c>
      <c r="B33" t="s">
        <v>47</v>
      </c>
      <c r="C33" t="s">
        <v>48</v>
      </c>
      <c r="D33" t="s">
        <v>49</v>
      </c>
      <c r="E33" t="s">
        <v>50</v>
      </c>
      <c r="F33" t="s">
        <v>51</v>
      </c>
      <c r="G33" t="s">
        <v>77</v>
      </c>
      <c r="H33" t="s">
        <v>78</v>
      </c>
      <c r="I33" t="s">
        <v>54</v>
      </c>
      <c r="J33" t="s">
        <v>55</v>
      </c>
      <c r="K33" t="s">
        <v>98</v>
      </c>
      <c r="L33" t="s">
        <v>99</v>
      </c>
      <c r="M33" t="s">
        <v>100</v>
      </c>
      <c r="N33" t="s">
        <v>59</v>
      </c>
      <c r="O33" t="s">
        <v>59</v>
      </c>
      <c r="P33" t="s">
        <v>59</v>
      </c>
      <c r="Q33" t="s">
        <v>82</v>
      </c>
      <c r="R33" t="s">
        <v>61</v>
      </c>
      <c r="S33" t="s">
        <v>64</v>
      </c>
      <c r="T33" s="2">
        <v>3996410</v>
      </c>
      <c r="U33" s="2">
        <v>7395110</v>
      </c>
      <c r="V33" s="2">
        <v>1140840</v>
      </c>
      <c r="W33" s="2">
        <v>1428840</v>
      </c>
      <c r="X33" s="2">
        <v>12532360</v>
      </c>
      <c r="Y33" s="2">
        <v>1428840</v>
      </c>
      <c r="Z33" s="2">
        <v>13961200</v>
      </c>
      <c r="AA33" s="2">
        <v>4795692</v>
      </c>
      <c r="AB33" s="2">
        <v>7395110</v>
      </c>
      <c r="AC33" s="2">
        <v>1364856</v>
      </c>
      <c r="AD33" s="2">
        <v>1428840</v>
      </c>
      <c r="AE33" s="2">
        <v>13555658</v>
      </c>
      <c r="AF33" s="2">
        <v>1428840</v>
      </c>
      <c r="AG33" s="2">
        <v>14984498</v>
      </c>
      <c r="AH33" s="2">
        <v>4316122.8</v>
      </c>
      <c r="AI33" s="2">
        <v>7173256.7000000002</v>
      </c>
      <c r="AJ33" s="2">
        <v>955399.2</v>
      </c>
      <c r="AK33" s="2">
        <v>1285956</v>
      </c>
      <c r="AL33" s="2">
        <v>12444778.699999999</v>
      </c>
      <c r="AM33" s="2">
        <v>1285956</v>
      </c>
      <c r="AN33" s="2">
        <v>13730734.699999999</v>
      </c>
      <c r="AO33" t="s">
        <v>63</v>
      </c>
      <c r="AP33" t="s">
        <v>63</v>
      </c>
      <c r="AQ33" t="s">
        <v>63</v>
      </c>
      <c r="AR33" t="s">
        <v>63</v>
      </c>
      <c r="AS33" s="2">
        <v>8238442</v>
      </c>
      <c r="AT33" s="2">
        <v>0</v>
      </c>
      <c r="AU33" s="2">
        <v>8238442</v>
      </c>
    </row>
    <row r="34" spans="1:47" x14ac:dyDescent="0.4">
      <c r="A34" t="s">
        <v>46</v>
      </c>
      <c r="B34" t="s">
        <v>47</v>
      </c>
      <c r="C34" t="s">
        <v>48</v>
      </c>
      <c r="D34" t="s">
        <v>49</v>
      </c>
      <c r="E34" t="s">
        <v>50</v>
      </c>
      <c r="F34" t="s">
        <v>51</v>
      </c>
      <c r="G34" t="s">
        <v>77</v>
      </c>
      <c r="H34" t="s">
        <v>78</v>
      </c>
      <c r="I34" t="s">
        <v>54</v>
      </c>
      <c r="J34" t="s">
        <v>55</v>
      </c>
      <c r="K34" t="s">
        <v>101</v>
      </c>
      <c r="L34" t="s">
        <v>102</v>
      </c>
      <c r="M34" t="s">
        <v>103</v>
      </c>
      <c r="N34" t="s">
        <v>59</v>
      </c>
      <c r="O34" t="s">
        <v>59</v>
      </c>
      <c r="P34" t="s">
        <v>59</v>
      </c>
      <c r="Q34" t="s">
        <v>82</v>
      </c>
      <c r="R34" t="s">
        <v>61</v>
      </c>
      <c r="S34" t="s">
        <v>62</v>
      </c>
      <c r="T34" s="2">
        <v>100</v>
      </c>
      <c r="U34" s="2">
        <v>0</v>
      </c>
      <c r="V34" s="2">
        <v>0</v>
      </c>
      <c r="W34" s="2">
        <v>1200</v>
      </c>
      <c r="X34" s="2">
        <v>100</v>
      </c>
      <c r="Y34" s="2">
        <v>1200</v>
      </c>
      <c r="Z34" s="2">
        <v>1300</v>
      </c>
      <c r="AA34" s="2">
        <v>120</v>
      </c>
      <c r="AB34" s="2">
        <v>0</v>
      </c>
      <c r="AC34" s="2">
        <v>0</v>
      </c>
      <c r="AD34" s="2">
        <v>1200</v>
      </c>
      <c r="AE34" s="2">
        <v>120</v>
      </c>
      <c r="AF34" s="2">
        <v>1200</v>
      </c>
      <c r="AG34" s="2">
        <v>1320</v>
      </c>
      <c r="AH34" s="2">
        <v>108</v>
      </c>
      <c r="AI34" s="2">
        <v>0</v>
      </c>
      <c r="AJ34" s="2">
        <v>0</v>
      </c>
      <c r="AK34" s="2">
        <v>1080</v>
      </c>
      <c r="AL34" s="2">
        <v>108</v>
      </c>
      <c r="AM34" s="2">
        <v>1080</v>
      </c>
      <c r="AN34" s="2">
        <v>1188</v>
      </c>
      <c r="AO34" t="s">
        <v>63</v>
      </c>
      <c r="AP34" t="s">
        <v>63</v>
      </c>
      <c r="AQ34" t="s">
        <v>63</v>
      </c>
      <c r="AR34" t="s">
        <v>63</v>
      </c>
      <c r="AS34" s="2">
        <v>713</v>
      </c>
      <c r="AT34" s="2">
        <v>0</v>
      </c>
      <c r="AU34" s="2">
        <v>713</v>
      </c>
    </row>
    <row r="35" spans="1:47" x14ac:dyDescent="0.4">
      <c r="A35" t="s">
        <v>46</v>
      </c>
      <c r="B35" t="s">
        <v>47</v>
      </c>
      <c r="C35" t="s">
        <v>48</v>
      </c>
      <c r="D35" t="s">
        <v>49</v>
      </c>
      <c r="E35" t="s">
        <v>50</v>
      </c>
      <c r="F35" t="s">
        <v>51</v>
      </c>
      <c r="G35" t="s">
        <v>77</v>
      </c>
      <c r="H35" t="s">
        <v>78</v>
      </c>
      <c r="I35" t="s">
        <v>54</v>
      </c>
      <c r="J35" t="s">
        <v>55</v>
      </c>
      <c r="K35" t="s">
        <v>104</v>
      </c>
      <c r="L35" t="s">
        <v>105</v>
      </c>
      <c r="M35" t="s">
        <v>106</v>
      </c>
      <c r="N35" t="s">
        <v>59</v>
      </c>
      <c r="O35" t="s">
        <v>59</v>
      </c>
      <c r="P35" t="s">
        <v>59</v>
      </c>
      <c r="Q35" t="s">
        <v>82</v>
      </c>
      <c r="R35" t="s">
        <v>61</v>
      </c>
      <c r="S35" t="s">
        <v>62</v>
      </c>
      <c r="T35" s="2">
        <v>374570</v>
      </c>
      <c r="U35" s="2">
        <v>780860</v>
      </c>
      <c r="V35" s="2">
        <v>221000</v>
      </c>
      <c r="W35" s="2">
        <v>111570</v>
      </c>
      <c r="X35" s="2">
        <v>1376430</v>
      </c>
      <c r="Y35" s="2">
        <v>111570</v>
      </c>
      <c r="Z35" s="2">
        <v>1488000</v>
      </c>
      <c r="AA35" s="2">
        <v>449484</v>
      </c>
      <c r="AB35" s="2">
        <v>780860</v>
      </c>
      <c r="AC35" s="2">
        <v>262904</v>
      </c>
      <c r="AD35" s="2">
        <v>111570</v>
      </c>
      <c r="AE35" s="2">
        <v>1493248</v>
      </c>
      <c r="AF35" s="2">
        <v>111570</v>
      </c>
      <c r="AG35" s="2">
        <v>1604818</v>
      </c>
      <c r="AH35" s="2">
        <v>404535.6</v>
      </c>
      <c r="AI35" s="2">
        <v>757434.2</v>
      </c>
      <c r="AJ35" s="2">
        <v>184032.8</v>
      </c>
      <c r="AK35" s="2">
        <v>100413</v>
      </c>
      <c r="AL35" s="2">
        <v>1346002.6</v>
      </c>
      <c r="AM35" s="2">
        <v>100413</v>
      </c>
      <c r="AN35" s="2">
        <v>1446415.6</v>
      </c>
      <c r="AO35" t="s">
        <v>63</v>
      </c>
      <c r="AP35" t="s">
        <v>63</v>
      </c>
      <c r="AQ35" t="s">
        <v>63</v>
      </c>
      <c r="AR35" t="s">
        <v>63</v>
      </c>
      <c r="AS35" s="2">
        <v>867850</v>
      </c>
      <c r="AT35" s="2">
        <v>0</v>
      </c>
      <c r="AU35" s="2">
        <v>867850</v>
      </c>
    </row>
    <row r="36" spans="1:47" x14ac:dyDescent="0.4">
      <c r="A36" t="s">
        <v>46</v>
      </c>
      <c r="B36" t="s">
        <v>47</v>
      </c>
      <c r="C36" t="s">
        <v>48</v>
      </c>
      <c r="D36" t="s">
        <v>49</v>
      </c>
      <c r="E36" t="s">
        <v>50</v>
      </c>
      <c r="F36" t="s">
        <v>51</v>
      </c>
      <c r="G36" t="s">
        <v>77</v>
      </c>
      <c r="H36" t="s">
        <v>78</v>
      </c>
      <c r="I36" t="s">
        <v>54</v>
      </c>
      <c r="J36" t="s">
        <v>55</v>
      </c>
      <c r="K36" t="s">
        <v>104</v>
      </c>
      <c r="L36" t="s">
        <v>105</v>
      </c>
      <c r="M36" t="s">
        <v>106</v>
      </c>
      <c r="N36" t="s">
        <v>59</v>
      </c>
      <c r="O36" t="s">
        <v>59</v>
      </c>
      <c r="P36" t="s">
        <v>59</v>
      </c>
      <c r="Q36" t="s">
        <v>82</v>
      </c>
      <c r="R36" t="s">
        <v>61</v>
      </c>
      <c r="S36" t="s">
        <v>64</v>
      </c>
      <c r="T36" s="2">
        <v>0</v>
      </c>
      <c r="U36" s="2">
        <v>67200</v>
      </c>
      <c r="V36" s="2">
        <v>134400</v>
      </c>
      <c r="W36" s="2">
        <v>0</v>
      </c>
      <c r="X36" s="2">
        <v>201600</v>
      </c>
      <c r="Y36" s="2">
        <v>0</v>
      </c>
      <c r="Z36" s="2">
        <v>201600</v>
      </c>
      <c r="AA36" s="2">
        <v>0</v>
      </c>
      <c r="AB36" s="2">
        <v>67200</v>
      </c>
      <c r="AC36" s="2">
        <v>161280</v>
      </c>
      <c r="AD36" s="2">
        <v>0</v>
      </c>
      <c r="AE36" s="2">
        <v>228480</v>
      </c>
      <c r="AF36" s="2">
        <v>0</v>
      </c>
      <c r="AG36" s="2">
        <v>228480</v>
      </c>
      <c r="AH36" s="2">
        <v>0</v>
      </c>
      <c r="AI36" s="2">
        <v>65184</v>
      </c>
      <c r="AJ36" s="2">
        <v>112896</v>
      </c>
      <c r="AK36" s="2">
        <v>0</v>
      </c>
      <c r="AL36" s="2">
        <v>178080</v>
      </c>
      <c r="AM36" s="2">
        <v>0</v>
      </c>
      <c r="AN36" s="2">
        <v>178080</v>
      </c>
      <c r="AO36" t="s">
        <v>63</v>
      </c>
      <c r="AP36" t="s">
        <v>63</v>
      </c>
      <c r="AQ36" t="s">
        <v>63</v>
      </c>
      <c r="AR36" t="s">
        <v>63</v>
      </c>
      <c r="AS36" s="2">
        <v>106848</v>
      </c>
      <c r="AT36" s="2">
        <v>0</v>
      </c>
      <c r="AU36" s="2">
        <v>106848</v>
      </c>
    </row>
    <row r="37" spans="1:47" x14ac:dyDescent="0.4">
      <c r="A37" t="s">
        <v>46</v>
      </c>
      <c r="B37" t="s">
        <v>47</v>
      </c>
      <c r="C37" t="s">
        <v>48</v>
      </c>
      <c r="D37" t="s">
        <v>49</v>
      </c>
      <c r="E37" t="s">
        <v>50</v>
      </c>
      <c r="F37" t="s">
        <v>51</v>
      </c>
      <c r="G37" t="s">
        <v>77</v>
      </c>
      <c r="H37" t="s">
        <v>78</v>
      </c>
      <c r="I37" t="s">
        <v>54</v>
      </c>
      <c r="J37" t="s">
        <v>55</v>
      </c>
      <c r="K37" t="s">
        <v>107</v>
      </c>
      <c r="L37" t="s">
        <v>108</v>
      </c>
      <c r="M37" t="s">
        <v>109</v>
      </c>
      <c r="N37" t="s">
        <v>59</v>
      </c>
      <c r="O37" t="s">
        <v>59</v>
      </c>
      <c r="P37" t="s">
        <v>59</v>
      </c>
      <c r="Q37" t="s">
        <v>82</v>
      </c>
      <c r="R37" t="s">
        <v>61</v>
      </c>
      <c r="S37" t="s">
        <v>62</v>
      </c>
      <c r="T37" s="2">
        <v>0</v>
      </c>
      <c r="U37" s="2">
        <v>0</v>
      </c>
      <c r="V37" s="2">
        <v>0</v>
      </c>
      <c r="W37" s="2">
        <v>3200</v>
      </c>
      <c r="X37" s="2">
        <v>0</v>
      </c>
      <c r="Y37" s="2">
        <v>3200</v>
      </c>
      <c r="Z37" s="2">
        <v>3200</v>
      </c>
      <c r="AA37" s="2">
        <v>0</v>
      </c>
      <c r="AB37" s="2">
        <v>0</v>
      </c>
      <c r="AC37" s="2">
        <v>0</v>
      </c>
      <c r="AD37" s="2">
        <v>3200</v>
      </c>
      <c r="AE37" s="2">
        <v>0</v>
      </c>
      <c r="AF37" s="2">
        <v>3200</v>
      </c>
      <c r="AG37" s="2">
        <v>3200</v>
      </c>
      <c r="AH37" s="2">
        <v>0</v>
      </c>
      <c r="AI37" s="2">
        <v>0</v>
      </c>
      <c r="AJ37" s="2">
        <v>0</v>
      </c>
      <c r="AK37" s="2">
        <v>2880</v>
      </c>
      <c r="AL37" s="2">
        <v>0</v>
      </c>
      <c r="AM37" s="2">
        <v>2880</v>
      </c>
      <c r="AN37" s="2">
        <v>2880</v>
      </c>
      <c r="AO37" t="s">
        <v>63</v>
      </c>
      <c r="AP37" t="s">
        <v>63</v>
      </c>
      <c r="AQ37" t="s">
        <v>63</v>
      </c>
      <c r="AR37" t="s">
        <v>63</v>
      </c>
      <c r="AS37" s="2">
        <v>1728</v>
      </c>
      <c r="AT37" s="2">
        <v>0</v>
      </c>
      <c r="AU37" s="2">
        <v>1728</v>
      </c>
    </row>
    <row r="38" spans="1:47" x14ac:dyDescent="0.4">
      <c r="A38" t="s">
        <v>46</v>
      </c>
      <c r="B38" t="s">
        <v>47</v>
      </c>
      <c r="C38" t="s">
        <v>48</v>
      </c>
      <c r="D38" t="s">
        <v>49</v>
      </c>
      <c r="E38" t="s">
        <v>50</v>
      </c>
      <c r="F38" t="s">
        <v>51</v>
      </c>
      <c r="G38" t="s">
        <v>77</v>
      </c>
      <c r="H38" t="s">
        <v>78</v>
      </c>
      <c r="I38" t="s">
        <v>54</v>
      </c>
      <c r="J38" t="s">
        <v>55</v>
      </c>
      <c r="K38" t="s">
        <v>107</v>
      </c>
      <c r="L38" t="s">
        <v>108</v>
      </c>
      <c r="M38" t="s">
        <v>109</v>
      </c>
      <c r="N38" t="s">
        <v>59</v>
      </c>
      <c r="O38" t="s">
        <v>59</v>
      </c>
      <c r="P38" t="s">
        <v>59</v>
      </c>
      <c r="Q38" t="s">
        <v>82</v>
      </c>
      <c r="R38" t="s">
        <v>61</v>
      </c>
      <c r="S38" t="s">
        <v>75</v>
      </c>
      <c r="T38" s="2">
        <v>13100</v>
      </c>
      <c r="U38" s="2">
        <v>15080</v>
      </c>
      <c r="V38" s="2">
        <v>0</v>
      </c>
      <c r="W38" s="2">
        <v>33020</v>
      </c>
      <c r="X38" s="2">
        <v>28180</v>
      </c>
      <c r="Y38" s="2">
        <v>33020</v>
      </c>
      <c r="Z38" s="2">
        <v>61200</v>
      </c>
      <c r="AA38" s="2">
        <v>15720</v>
      </c>
      <c r="AB38" s="2">
        <v>15080</v>
      </c>
      <c r="AC38" s="2">
        <v>0</v>
      </c>
      <c r="AD38" s="2">
        <v>33020</v>
      </c>
      <c r="AE38" s="2">
        <v>30800</v>
      </c>
      <c r="AF38" s="2">
        <v>33020</v>
      </c>
      <c r="AG38" s="2">
        <v>63820</v>
      </c>
      <c r="AH38" s="2">
        <v>14148</v>
      </c>
      <c r="AI38" s="2">
        <v>14627.6</v>
      </c>
      <c r="AJ38" s="2">
        <v>0</v>
      </c>
      <c r="AK38" s="2">
        <v>29718</v>
      </c>
      <c r="AL38" s="2">
        <v>28775.599999999999</v>
      </c>
      <c r="AM38" s="2">
        <v>29718</v>
      </c>
      <c r="AN38" s="2">
        <v>58493.599999999999</v>
      </c>
      <c r="AO38" t="s">
        <v>63</v>
      </c>
      <c r="AP38" t="s">
        <v>63</v>
      </c>
      <c r="AQ38" t="s">
        <v>63</v>
      </c>
      <c r="AR38" t="s">
        <v>63</v>
      </c>
      <c r="AS38" s="2">
        <v>35097</v>
      </c>
      <c r="AT38" s="2">
        <v>0</v>
      </c>
      <c r="AU38" s="2">
        <v>35097</v>
      </c>
    </row>
    <row r="39" spans="1:47" x14ac:dyDescent="0.4">
      <c r="A39" t="s">
        <v>46</v>
      </c>
      <c r="B39" t="s">
        <v>47</v>
      </c>
      <c r="C39" t="s">
        <v>48</v>
      </c>
      <c r="D39" t="s">
        <v>49</v>
      </c>
      <c r="E39" t="s">
        <v>50</v>
      </c>
      <c r="F39" t="s">
        <v>51</v>
      </c>
      <c r="G39" t="s">
        <v>77</v>
      </c>
      <c r="H39" t="s">
        <v>78</v>
      </c>
      <c r="I39" t="s">
        <v>54</v>
      </c>
      <c r="J39" t="s">
        <v>55</v>
      </c>
      <c r="K39" t="s">
        <v>107</v>
      </c>
      <c r="L39" t="s">
        <v>108</v>
      </c>
      <c r="M39" t="s">
        <v>109</v>
      </c>
      <c r="N39" t="s">
        <v>59</v>
      </c>
      <c r="O39" t="s">
        <v>59</v>
      </c>
      <c r="P39" t="s">
        <v>59</v>
      </c>
      <c r="Q39" t="s">
        <v>82</v>
      </c>
      <c r="R39" t="s">
        <v>61</v>
      </c>
      <c r="S39" t="s">
        <v>76</v>
      </c>
      <c r="T39" s="2">
        <v>15300</v>
      </c>
      <c r="U39" s="2">
        <v>12600</v>
      </c>
      <c r="V39" s="2">
        <v>18000</v>
      </c>
      <c r="W39" s="2">
        <v>0</v>
      </c>
      <c r="X39" s="2">
        <v>45900</v>
      </c>
      <c r="Y39" s="2">
        <v>0</v>
      </c>
      <c r="Z39" s="2">
        <v>45900</v>
      </c>
      <c r="AA39" s="2">
        <v>18360</v>
      </c>
      <c r="AB39" s="2">
        <v>12600</v>
      </c>
      <c r="AC39" s="2">
        <v>21020</v>
      </c>
      <c r="AD39" s="2">
        <v>0</v>
      </c>
      <c r="AE39" s="2">
        <v>51980</v>
      </c>
      <c r="AF39" s="2">
        <v>0</v>
      </c>
      <c r="AG39" s="2">
        <v>51980</v>
      </c>
      <c r="AH39" s="2">
        <v>16524</v>
      </c>
      <c r="AI39" s="2">
        <v>12222</v>
      </c>
      <c r="AJ39" s="2">
        <v>14714</v>
      </c>
      <c r="AK39" s="2">
        <v>0</v>
      </c>
      <c r="AL39" s="2">
        <v>43460</v>
      </c>
      <c r="AM39" s="2">
        <v>0</v>
      </c>
      <c r="AN39" s="2">
        <v>43460</v>
      </c>
      <c r="AO39" t="s">
        <v>63</v>
      </c>
      <c r="AP39" t="s">
        <v>63</v>
      </c>
      <c r="AQ39" t="s">
        <v>63</v>
      </c>
      <c r="AR39" t="s">
        <v>63</v>
      </c>
      <c r="AS39" s="2">
        <v>26075</v>
      </c>
      <c r="AT39" s="2">
        <v>0</v>
      </c>
      <c r="AU39" s="2">
        <v>26075</v>
      </c>
    </row>
    <row r="40" spans="1:47" x14ac:dyDescent="0.4">
      <c r="A40" t="s">
        <v>46</v>
      </c>
      <c r="B40" t="s">
        <v>47</v>
      </c>
      <c r="C40" t="s">
        <v>48</v>
      </c>
      <c r="D40" t="s">
        <v>49</v>
      </c>
      <c r="E40" t="s">
        <v>50</v>
      </c>
      <c r="F40" t="s">
        <v>51</v>
      </c>
      <c r="G40" t="s">
        <v>77</v>
      </c>
      <c r="H40" t="s">
        <v>78</v>
      </c>
      <c r="I40" t="s">
        <v>54</v>
      </c>
      <c r="J40" t="s">
        <v>55</v>
      </c>
      <c r="K40" t="s">
        <v>110</v>
      </c>
      <c r="L40" t="s">
        <v>111</v>
      </c>
      <c r="M40" t="s">
        <v>74</v>
      </c>
      <c r="N40" t="s">
        <v>59</v>
      </c>
      <c r="O40" t="s">
        <v>59</v>
      </c>
      <c r="P40" t="s">
        <v>59</v>
      </c>
      <c r="Q40" t="s">
        <v>82</v>
      </c>
      <c r="R40" t="s">
        <v>61</v>
      </c>
      <c r="S40" t="s">
        <v>64</v>
      </c>
      <c r="T40" s="2">
        <v>0</v>
      </c>
      <c r="U40" s="2">
        <v>25600</v>
      </c>
      <c r="V40" s="2">
        <v>0</v>
      </c>
      <c r="W40" s="2">
        <v>0</v>
      </c>
      <c r="X40" s="2">
        <v>25600</v>
      </c>
      <c r="Y40" s="2">
        <v>0</v>
      </c>
      <c r="Z40" s="2">
        <v>25600</v>
      </c>
      <c r="AA40" s="2">
        <v>0</v>
      </c>
      <c r="AB40" s="2">
        <v>25600</v>
      </c>
      <c r="AC40" s="2">
        <v>0</v>
      </c>
      <c r="AD40" s="2">
        <v>0</v>
      </c>
      <c r="AE40" s="2">
        <v>25600</v>
      </c>
      <c r="AF40" s="2">
        <v>0</v>
      </c>
      <c r="AG40" s="2">
        <v>25600</v>
      </c>
      <c r="AH40" s="2">
        <v>0</v>
      </c>
      <c r="AI40" s="2">
        <v>24832</v>
      </c>
      <c r="AJ40" s="2">
        <v>0</v>
      </c>
      <c r="AK40" s="2">
        <v>0</v>
      </c>
      <c r="AL40" s="2">
        <v>24832</v>
      </c>
      <c r="AM40" s="2">
        <v>0</v>
      </c>
      <c r="AN40" s="2">
        <v>24832</v>
      </c>
      <c r="AO40" t="s">
        <v>63</v>
      </c>
      <c r="AP40" t="s">
        <v>63</v>
      </c>
      <c r="AQ40" t="s">
        <v>63</v>
      </c>
      <c r="AR40" t="s">
        <v>63</v>
      </c>
      <c r="AS40" s="2">
        <v>14899</v>
      </c>
      <c r="AT40" s="2">
        <v>0</v>
      </c>
      <c r="AU40" s="2">
        <v>14899</v>
      </c>
    </row>
    <row r="41" spans="1:47" x14ac:dyDescent="0.4">
      <c r="A41" t="s">
        <v>46</v>
      </c>
      <c r="B41" t="s">
        <v>47</v>
      </c>
      <c r="C41" t="s">
        <v>48</v>
      </c>
      <c r="D41" t="s">
        <v>49</v>
      </c>
      <c r="E41" t="s">
        <v>50</v>
      </c>
      <c r="F41" t="s">
        <v>51</v>
      </c>
      <c r="G41" t="s">
        <v>77</v>
      </c>
      <c r="H41" t="s">
        <v>78</v>
      </c>
      <c r="I41" t="s">
        <v>54</v>
      </c>
      <c r="J41" t="s">
        <v>55</v>
      </c>
      <c r="K41" t="s">
        <v>110</v>
      </c>
      <c r="L41" t="s">
        <v>111</v>
      </c>
      <c r="M41" t="s">
        <v>74</v>
      </c>
      <c r="N41" t="s">
        <v>59</v>
      </c>
      <c r="O41" t="s">
        <v>59</v>
      </c>
      <c r="P41" t="s">
        <v>59</v>
      </c>
      <c r="Q41" t="s">
        <v>82</v>
      </c>
      <c r="R41" t="s">
        <v>61</v>
      </c>
      <c r="S41" t="s">
        <v>75</v>
      </c>
      <c r="T41" s="2">
        <v>0</v>
      </c>
      <c r="U41" s="2">
        <v>6100</v>
      </c>
      <c r="V41" s="2">
        <v>0</v>
      </c>
      <c r="W41" s="2">
        <v>2000</v>
      </c>
      <c r="X41" s="2">
        <v>6100</v>
      </c>
      <c r="Y41" s="2">
        <v>2000</v>
      </c>
      <c r="Z41" s="2">
        <v>8100</v>
      </c>
      <c r="AA41" s="2">
        <v>0</v>
      </c>
      <c r="AB41" s="2">
        <v>6100</v>
      </c>
      <c r="AC41" s="2">
        <v>0</v>
      </c>
      <c r="AD41" s="2">
        <v>2000</v>
      </c>
      <c r="AE41" s="2">
        <v>6100</v>
      </c>
      <c r="AF41" s="2">
        <v>2000</v>
      </c>
      <c r="AG41" s="2">
        <v>8100</v>
      </c>
      <c r="AH41" s="2">
        <v>0</v>
      </c>
      <c r="AI41" s="2">
        <v>5917</v>
      </c>
      <c r="AJ41" s="2">
        <v>0</v>
      </c>
      <c r="AK41" s="2">
        <v>1800</v>
      </c>
      <c r="AL41" s="2">
        <v>5917</v>
      </c>
      <c r="AM41" s="2">
        <v>1800</v>
      </c>
      <c r="AN41" s="2">
        <v>7717</v>
      </c>
      <c r="AO41" t="s">
        <v>63</v>
      </c>
      <c r="AP41" t="s">
        <v>63</v>
      </c>
      <c r="AQ41" t="s">
        <v>63</v>
      </c>
      <c r="AR41" t="s">
        <v>63</v>
      </c>
      <c r="AS41" s="2">
        <v>4630</v>
      </c>
      <c r="AT41" s="2">
        <v>0</v>
      </c>
      <c r="AU41" s="2">
        <v>4630</v>
      </c>
    </row>
    <row r="42" spans="1:47" x14ac:dyDescent="0.4">
      <c r="A42" t="s">
        <v>46</v>
      </c>
      <c r="B42" t="s">
        <v>47</v>
      </c>
      <c r="C42" t="s">
        <v>48</v>
      </c>
      <c r="D42" t="s">
        <v>49</v>
      </c>
      <c r="E42" t="s">
        <v>50</v>
      </c>
      <c r="F42" t="s">
        <v>51</v>
      </c>
      <c r="G42" t="s">
        <v>77</v>
      </c>
      <c r="H42" t="s">
        <v>78</v>
      </c>
      <c r="I42" t="s">
        <v>54</v>
      </c>
      <c r="J42" t="s">
        <v>55</v>
      </c>
      <c r="K42" t="s">
        <v>112</v>
      </c>
      <c r="L42" t="s">
        <v>113</v>
      </c>
      <c r="M42" t="s">
        <v>74</v>
      </c>
      <c r="N42" t="s">
        <v>59</v>
      </c>
      <c r="O42" t="s">
        <v>59</v>
      </c>
      <c r="P42" t="s">
        <v>59</v>
      </c>
      <c r="Q42" t="s">
        <v>82</v>
      </c>
      <c r="R42" t="s">
        <v>61</v>
      </c>
      <c r="S42" t="s">
        <v>62</v>
      </c>
      <c r="T42" s="2">
        <v>25600</v>
      </c>
      <c r="U42" s="2">
        <v>16000</v>
      </c>
      <c r="V42" s="2">
        <v>0</v>
      </c>
      <c r="W42" s="2">
        <v>0</v>
      </c>
      <c r="X42" s="2">
        <v>41600</v>
      </c>
      <c r="Y42" s="2">
        <v>0</v>
      </c>
      <c r="Z42" s="2">
        <v>41600</v>
      </c>
      <c r="AA42" s="2">
        <v>30720</v>
      </c>
      <c r="AB42" s="2">
        <v>16000</v>
      </c>
      <c r="AC42" s="2">
        <v>0</v>
      </c>
      <c r="AD42" s="2">
        <v>0</v>
      </c>
      <c r="AE42" s="2">
        <v>46720</v>
      </c>
      <c r="AF42" s="2">
        <v>0</v>
      </c>
      <c r="AG42" s="2">
        <v>46720</v>
      </c>
      <c r="AH42" s="2">
        <v>27648</v>
      </c>
      <c r="AI42" s="2">
        <v>15520</v>
      </c>
      <c r="AJ42" s="2">
        <v>0</v>
      </c>
      <c r="AK42" s="2">
        <v>0</v>
      </c>
      <c r="AL42" s="2">
        <v>43168</v>
      </c>
      <c r="AM42" s="2">
        <v>0</v>
      </c>
      <c r="AN42" s="2">
        <v>43168</v>
      </c>
      <c r="AO42" t="s">
        <v>63</v>
      </c>
      <c r="AP42" t="s">
        <v>63</v>
      </c>
      <c r="AQ42" t="s">
        <v>63</v>
      </c>
      <c r="AR42" t="s">
        <v>63</v>
      </c>
      <c r="AS42" s="2">
        <v>25901</v>
      </c>
      <c r="AT42" s="2">
        <v>0</v>
      </c>
      <c r="AU42" s="2">
        <v>25901</v>
      </c>
    </row>
    <row r="43" spans="1:47" x14ac:dyDescent="0.4">
      <c r="A43" t="s">
        <v>46</v>
      </c>
      <c r="B43" t="s">
        <v>47</v>
      </c>
      <c r="C43" t="s">
        <v>48</v>
      </c>
      <c r="D43" t="s">
        <v>49</v>
      </c>
      <c r="E43" t="s">
        <v>50</v>
      </c>
      <c r="F43" t="s">
        <v>51</v>
      </c>
      <c r="G43" t="s">
        <v>77</v>
      </c>
      <c r="H43" t="s">
        <v>78</v>
      </c>
      <c r="I43" t="s">
        <v>54</v>
      </c>
      <c r="J43" t="s">
        <v>55</v>
      </c>
      <c r="K43" t="s">
        <v>114</v>
      </c>
      <c r="L43" t="s">
        <v>115</v>
      </c>
      <c r="M43" t="s">
        <v>109</v>
      </c>
      <c r="N43" t="s">
        <v>59</v>
      </c>
      <c r="O43" t="s">
        <v>59</v>
      </c>
      <c r="P43" t="s">
        <v>59</v>
      </c>
      <c r="Q43" t="s">
        <v>82</v>
      </c>
      <c r="R43" t="s">
        <v>61</v>
      </c>
      <c r="S43" t="s">
        <v>62</v>
      </c>
      <c r="T43" s="2">
        <v>0</v>
      </c>
      <c r="U43" s="2">
        <v>85400</v>
      </c>
      <c r="V43" s="2">
        <v>0</v>
      </c>
      <c r="W43" s="2">
        <v>4200</v>
      </c>
      <c r="X43" s="2">
        <v>85400</v>
      </c>
      <c r="Y43" s="2">
        <v>4200</v>
      </c>
      <c r="Z43" s="2">
        <v>89600</v>
      </c>
      <c r="AA43" s="2">
        <v>0</v>
      </c>
      <c r="AB43" s="2">
        <v>85400</v>
      </c>
      <c r="AC43" s="2">
        <v>0</v>
      </c>
      <c r="AD43" s="2">
        <v>4200</v>
      </c>
      <c r="AE43" s="2">
        <v>85400</v>
      </c>
      <c r="AF43" s="2">
        <v>4200</v>
      </c>
      <c r="AG43" s="2">
        <v>89600</v>
      </c>
      <c r="AH43" s="2">
        <v>0</v>
      </c>
      <c r="AI43" s="2">
        <v>82838</v>
      </c>
      <c r="AJ43" s="2">
        <v>0</v>
      </c>
      <c r="AK43" s="2">
        <v>3780</v>
      </c>
      <c r="AL43" s="2">
        <v>82838</v>
      </c>
      <c r="AM43" s="2">
        <v>3780</v>
      </c>
      <c r="AN43" s="2">
        <v>86618</v>
      </c>
      <c r="AO43" t="s">
        <v>63</v>
      </c>
      <c r="AP43" t="s">
        <v>63</v>
      </c>
      <c r="AQ43" t="s">
        <v>63</v>
      </c>
      <c r="AR43" t="s">
        <v>63</v>
      </c>
      <c r="AS43" s="2">
        <v>51971</v>
      </c>
      <c r="AT43" s="2">
        <v>0</v>
      </c>
      <c r="AU43" s="2">
        <v>51971</v>
      </c>
    </row>
    <row r="44" spans="1:47" x14ac:dyDescent="0.4">
      <c r="A44" t="s">
        <v>46</v>
      </c>
      <c r="B44" t="s">
        <v>47</v>
      </c>
      <c r="C44" t="s">
        <v>48</v>
      </c>
      <c r="D44" t="s">
        <v>49</v>
      </c>
      <c r="E44" t="s">
        <v>50</v>
      </c>
      <c r="F44" t="s">
        <v>51</v>
      </c>
      <c r="G44" t="s">
        <v>77</v>
      </c>
      <c r="H44" t="s">
        <v>78</v>
      </c>
      <c r="I44" t="s">
        <v>54</v>
      </c>
      <c r="J44" t="s">
        <v>55</v>
      </c>
      <c r="K44" t="s">
        <v>114</v>
      </c>
      <c r="L44" t="s">
        <v>115</v>
      </c>
      <c r="M44" t="s">
        <v>109</v>
      </c>
      <c r="N44" t="s">
        <v>59</v>
      </c>
      <c r="O44" t="s">
        <v>59</v>
      </c>
      <c r="P44" t="s">
        <v>59</v>
      </c>
      <c r="Q44" t="s">
        <v>82</v>
      </c>
      <c r="R44" t="s">
        <v>61</v>
      </c>
      <c r="S44" t="s">
        <v>75</v>
      </c>
      <c r="T44" s="2">
        <v>38800</v>
      </c>
      <c r="U44" s="2">
        <v>52660</v>
      </c>
      <c r="V44" s="2">
        <v>13500</v>
      </c>
      <c r="W44" s="2">
        <v>8440</v>
      </c>
      <c r="X44" s="2">
        <v>104960</v>
      </c>
      <c r="Y44" s="2">
        <v>8440</v>
      </c>
      <c r="Z44" s="2">
        <v>113400</v>
      </c>
      <c r="AA44" s="2">
        <v>46560</v>
      </c>
      <c r="AB44" s="2">
        <v>52660</v>
      </c>
      <c r="AC44" s="2">
        <v>16110</v>
      </c>
      <c r="AD44" s="2">
        <v>8440</v>
      </c>
      <c r="AE44" s="2">
        <v>115330</v>
      </c>
      <c r="AF44" s="2">
        <v>8440</v>
      </c>
      <c r="AG44" s="2">
        <v>123770</v>
      </c>
      <c r="AH44" s="2">
        <v>41904</v>
      </c>
      <c r="AI44" s="2">
        <v>51080.2</v>
      </c>
      <c r="AJ44" s="2">
        <v>11277</v>
      </c>
      <c r="AK44" s="2">
        <v>7596</v>
      </c>
      <c r="AL44" s="2">
        <v>104261.2</v>
      </c>
      <c r="AM44" s="2">
        <v>7596</v>
      </c>
      <c r="AN44" s="2">
        <v>111857.2</v>
      </c>
      <c r="AO44" t="s">
        <v>63</v>
      </c>
      <c r="AP44" t="s">
        <v>63</v>
      </c>
      <c r="AQ44" t="s">
        <v>63</v>
      </c>
      <c r="AR44" t="s">
        <v>63</v>
      </c>
      <c r="AS44" s="2">
        <v>67114</v>
      </c>
      <c r="AT44" s="2">
        <v>0</v>
      </c>
      <c r="AU44" s="2">
        <v>67114</v>
      </c>
    </row>
    <row r="45" spans="1:47" x14ac:dyDescent="0.4">
      <c r="A45" t="s">
        <v>46</v>
      </c>
      <c r="B45" t="s">
        <v>47</v>
      </c>
      <c r="C45" t="s">
        <v>48</v>
      </c>
      <c r="D45" t="s">
        <v>49</v>
      </c>
      <c r="E45" t="s">
        <v>50</v>
      </c>
      <c r="F45" t="s">
        <v>51</v>
      </c>
      <c r="G45" t="s">
        <v>77</v>
      </c>
      <c r="H45" t="s">
        <v>78</v>
      </c>
      <c r="I45" t="s">
        <v>54</v>
      </c>
      <c r="J45" t="s">
        <v>55</v>
      </c>
      <c r="K45" t="s">
        <v>116</v>
      </c>
      <c r="L45" t="s">
        <v>117</v>
      </c>
      <c r="M45" t="s">
        <v>109</v>
      </c>
      <c r="N45" t="s">
        <v>59</v>
      </c>
      <c r="O45" t="s">
        <v>59</v>
      </c>
      <c r="P45" t="s">
        <v>59</v>
      </c>
      <c r="Q45" t="s">
        <v>82</v>
      </c>
      <c r="R45" t="s">
        <v>61</v>
      </c>
      <c r="S45" t="s">
        <v>75</v>
      </c>
      <c r="T45" s="2">
        <v>6000</v>
      </c>
      <c r="U45" s="2">
        <v>14300</v>
      </c>
      <c r="V45" s="2">
        <v>0</v>
      </c>
      <c r="W45" s="2">
        <v>13900</v>
      </c>
      <c r="X45" s="2">
        <v>20300</v>
      </c>
      <c r="Y45" s="2">
        <v>13900</v>
      </c>
      <c r="Z45" s="2">
        <v>34200</v>
      </c>
      <c r="AA45" s="2">
        <v>7200</v>
      </c>
      <c r="AB45" s="2">
        <v>14300</v>
      </c>
      <c r="AC45" s="2">
        <v>0</v>
      </c>
      <c r="AD45" s="2">
        <v>13900</v>
      </c>
      <c r="AE45" s="2">
        <v>21500</v>
      </c>
      <c r="AF45" s="2">
        <v>13900</v>
      </c>
      <c r="AG45" s="2">
        <v>35400</v>
      </c>
      <c r="AH45" s="2">
        <v>6480</v>
      </c>
      <c r="AI45" s="2">
        <v>13871</v>
      </c>
      <c r="AJ45" s="2">
        <v>0</v>
      </c>
      <c r="AK45" s="2">
        <v>12510</v>
      </c>
      <c r="AL45" s="2">
        <v>20351</v>
      </c>
      <c r="AM45" s="2">
        <v>12510</v>
      </c>
      <c r="AN45" s="2">
        <v>32861</v>
      </c>
      <c r="AO45" t="s">
        <v>63</v>
      </c>
      <c r="AP45" t="s">
        <v>63</v>
      </c>
      <c r="AQ45" t="s">
        <v>63</v>
      </c>
      <c r="AR45" t="s">
        <v>63</v>
      </c>
      <c r="AS45" s="2">
        <v>19717</v>
      </c>
      <c r="AT45" s="2">
        <v>0</v>
      </c>
      <c r="AU45" s="2">
        <v>19717</v>
      </c>
    </row>
    <row r="46" spans="1:47" x14ac:dyDescent="0.4">
      <c r="A46" t="s">
        <v>46</v>
      </c>
      <c r="B46" t="s">
        <v>47</v>
      </c>
      <c r="C46" t="s">
        <v>48</v>
      </c>
      <c r="D46" t="s">
        <v>49</v>
      </c>
      <c r="E46" t="s">
        <v>50</v>
      </c>
      <c r="F46" t="s">
        <v>51</v>
      </c>
      <c r="G46" t="s">
        <v>77</v>
      </c>
      <c r="H46" t="s">
        <v>78</v>
      </c>
      <c r="I46" t="s">
        <v>54</v>
      </c>
      <c r="J46" t="s">
        <v>55</v>
      </c>
      <c r="K46" t="s">
        <v>118</v>
      </c>
      <c r="L46" t="s">
        <v>119</v>
      </c>
      <c r="M46" t="s">
        <v>109</v>
      </c>
      <c r="N46" t="s">
        <v>59</v>
      </c>
      <c r="O46" t="s">
        <v>59</v>
      </c>
      <c r="P46" t="s">
        <v>59</v>
      </c>
      <c r="Q46" t="s">
        <v>82</v>
      </c>
      <c r="R46" t="s">
        <v>61</v>
      </c>
      <c r="S46" t="s">
        <v>62</v>
      </c>
      <c r="T46" s="2">
        <v>7600</v>
      </c>
      <c r="U46" s="2">
        <v>17400</v>
      </c>
      <c r="V46" s="2">
        <v>0</v>
      </c>
      <c r="W46" s="2">
        <v>19800</v>
      </c>
      <c r="X46" s="2">
        <v>25000</v>
      </c>
      <c r="Y46" s="2">
        <v>19800</v>
      </c>
      <c r="Z46" s="2">
        <v>44800</v>
      </c>
      <c r="AA46" s="2">
        <v>9120</v>
      </c>
      <c r="AB46" s="2">
        <v>17400</v>
      </c>
      <c r="AC46" s="2">
        <v>0</v>
      </c>
      <c r="AD46" s="2">
        <v>19800</v>
      </c>
      <c r="AE46" s="2">
        <v>26520</v>
      </c>
      <c r="AF46" s="2">
        <v>19800</v>
      </c>
      <c r="AG46" s="2">
        <v>46320</v>
      </c>
      <c r="AH46" s="2">
        <v>8208</v>
      </c>
      <c r="AI46" s="2">
        <v>16878</v>
      </c>
      <c r="AJ46" s="2">
        <v>0</v>
      </c>
      <c r="AK46" s="2">
        <v>17820</v>
      </c>
      <c r="AL46" s="2">
        <v>25086</v>
      </c>
      <c r="AM46" s="2">
        <v>17820</v>
      </c>
      <c r="AN46" s="2">
        <v>42906</v>
      </c>
      <c r="AO46" t="s">
        <v>63</v>
      </c>
      <c r="AP46" t="s">
        <v>63</v>
      </c>
      <c r="AQ46" t="s">
        <v>63</v>
      </c>
      <c r="AR46" t="s">
        <v>63</v>
      </c>
      <c r="AS46" s="2">
        <v>25744</v>
      </c>
      <c r="AT46" s="2">
        <v>0</v>
      </c>
      <c r="AU46" s="2">
        <v>25744</v>
      </c>
    </row>
    <row r="47" spans="1:47" x14ac:dyDescent="0.4">
      <c r="A47" t="s">
        <v>46</v>
      </c>
      <c r="B47" t="s">
        <v>47</v>
      </c>
      <c r="C47" t="s">
        <v>48</v>
      </c>
      <c r="D47" t="s">
        <v>49</v>
      </c>
      <c r="E47" t="s">
        <v>50</v>
      </c>
      <c r="F47" t="s">
        <v>51</v>
      </c>
      <c r="G47" t="s">
        <v>77</v>
      </c>
      <c r="H47" t="s">
        <v>78</v>
      </c>
      <c r="I47" t="s">
        <v>54</v>
      </c>
      <c r="J47" t="s">
        <v>55</v>
      </c>
      <c r="K47" t="s">
        <v>118</v>
      </c>
      <c r="L47" t="s">
        <v>119</v>
      </c>
      <c r="M47" t="s">
        <v>109</v>
      </c>
      <c r="N47" t="s">
        <v>59</v>
      </c>
      <c r="O47" t="s">
        <v>59</v>
      </c>
      <c r="P47" t="s">
        <v>59</v>
      </c>
      <c r="Q47" t="s">
        <v>82</v>
      </c>
      <c r="R47" t="s">
        <v>61</v>
      </c>
      <c r="S47" t="s">
        <v>75</v>
      </c>
      <c r="T47" s="2">
        <v>9700</v>
      </c>
      <c r="U47" s="2">
        <v>12700</v>
      </c>
      <c r="V47" s="2">
        <v>0</v>
      </c>
      <c r="W47" s="2">
        <v>100</v>
      </c>
      <c r="X47" s="2">
        <v>22400</v>
      </c>
      <c r="Y47" s="2">
        <v>100</v>
      </c>
      <c r="Z47" s="2">
        <v>22500</v>
      </c>
      <c r="AA47" s="2">
        <v>11640</v>
      </c>
      <c r="AB47" s="2">
        <v>12700</v>
      </c>
      <c r="AC47" s="2">
        <v>0</v>
      </c>
      <c r="AD47" s="2">
        <v>100</v>
      </c>
      <c r="AE47" s="2">
        <v>24340</v>
      </c>
      <c r="AF47" s="2">
        <v>100</v>
      </c>
      <c r="AG47" s="2">
        <v>24440</v>
      </c>
      <c r="AH47" s="2">
        <v>10476</v>
      </c>
      <c r="AI47" s="2">
        <v>12319</v>
      </c>
      <c r="AJ47" s="2">
        <v>0</v>
      </c>
      <c r="AK47" s="2">
        <v>90</v>
      </c>
      <c r="AL47" s="2">
        <v>22795</v>
      </c>
      <c r="AM47" s="2">
        <v>90</v>
      </c>
      <c r="AN47" s="2">
        <v>22885</v>
      </c>
      <c r="AO47" t="s">
        <v>63</v>
      </c>
      <c r="AP47" t="s">
        <v>63</v>
      </c>
      <c r="AQ47" t="s">
        <v>63</v>
      </c>
      <c r="AR47" t="s">
        <v>63</v>
      </c>
      <c r="AS47" s="2">
        <v>13731</v>
      </c>
      <c r="AT47" s="2">
        <v>0</v>
      </c>
      <c r="AU47" s="2">
        <v>13731</v>
      </c>
    </row>
    <row r="48" spans="1:47" x14ac:dyDescent="0.4">
      <c r="A48" t="s">
        <v>46</v>
      </c>
      <c r="B48" t="s">
        <v>47</v>
      </c>
      <c r="C48" t="s">
        <v>48</v>
      </c>
      <c r="D48" t="s">
        <v>49</v>
      </c>
      <c r="E48" t="s">
        <v>50</v>
      </c>
      <c r="F48" t="s">
        <v>51</v>
      </c>
      <c r="G48" t="s">
        <v>77</v>
      </c>
      <c r="H48" t="s">
        <v>78</v>
      </c>
      <c r="I48" t="s">
        <v>54</v>
      </c>
      <c r="J48" t="s">
        <v>55</v>
      </c>
      <c r="K48" t="s">
        <v>118</v>
      </c>
      <c r="L48" t="s">
        <v>119</v>
      </c>
      <c r="M48" t="s">
        <v>109</v>
      </c>
      <c r="N48" t="s">
        <v>59</v>
      </c>
      <c r="O48" t="s">
        <v>59</v>
      </c>
      <c r="P48" t="s">
        <v>59</v>
      </c>
      <c r="Q48" t="s">
        <v>82</v>
      </c>
      <c r="R48" t="s">
        <v>61</v>
      </c>
      <c r="S48" t="s">
        <v>76</v>
      </c>
      <c r="T48" s="2">
        <v>500</v>
      </c>
      <c r="U48" s="2">
        <v>7600</v>
      </c>
      <c r="V48" s="2">
        <v>0</v>
      </c>
      <c r="W48" s="2">
        <v>0</v>
      </c>
      <c r="X48" s="2">
        <v>8100</v>
      </c>
      <c r="Y48" s="2">
        <v>0</v>
      </c>
      <c r="Z48" s="2">
        <v>8100</v>
      </c>
      <c r="AA48" s="2">
        <v>600</v>
      </c>
      <c r="AB48" s="2">
        <v>7600</v>
      </c>
      <c r="AC48" s="2">
        <v>0</v>
      </c>
      <c r="AD48" s="2">
        <v>0</v>
      </c>
      <c r="AE48" s="2">
        <v>8200</v>
      </c>
      <c r="AF48" s="2">
        <v>0</v>
      </c>
      <c r="AG48" s="2">
        <v>8200</v>
      </c>
      <c r="AH48" s="2">
        <v>540</v>
      </c>
      <c r="AI48" s="2">
        <v>7372</v>
      </c>
      <c r="AJ48" s="2">
        <v>0</v>
      </c>
      <c r="AK48" s="2">
        <v>0</v>
      </c>
      <c r="AL48" s="2">
        <v>7912</v>
      </c>
      <c r="AM48" s="2">
        <v>0</v>
      </c>
      <c r="AN48" s="2">
        <v>7912</v>
      </c>
      <c r="AO48" t="s">
        <v>63</v>
      </c>
      <c r="AP48" t="s">
        <v>63</v>
      </c>
      <c r="AQ48" t="s">
        <v>63</v>
      </c>
      <c r="AR48" t="s">
        <v>63</v>
      </c>
      <c r="AS48" s="2">
        <v>4747</v>
      </c>
      <c r="AT48" s="2">
        <v>0</v>
      </c>
      <c r="AU48" s="2">
        <v>4747</v>
      </c>
    </row>
    <row r="49" spans="1:47" x14ac:dyDescent="0.4">
      <c r="A49" t="s">
        <v>46</v>
      </c>
      <c r="B49" t="s">
        <v>47</v>
      </c>
      <c r="C49" t="s">
        <v>48</v>
      </c>
      <c r="D49" t="s">
        <v>49</v>
      </c>
      <c r="E49" t="s">
        <v>50</v>
      </c>
      <c r="F49" t="s">
        <v>51</v>
      </c>
      <c r="G49" t="s">
        <v>77</v>
      </c>
      <c r="H49" t="s">
        <v>78</v>
      </c>
      <c r="I49" t="s">
        <v>54</v>
      </c>
      <c r="J49" t="s">
        <v>55</v>
      </c>
      <c r="K49" t="s">
        <v>120</v>
      </c>
      <c r="L49" t="s">
        <v>121</v>
      </c>
      <c r="M49" t="s">
        <v>122</v>
      </c>
      <c r="N49" t="s">
        <v>59</v>
      </c>
      <c r="O49" t="s">
        <v>59</v>
      </c>
      <c r="P49" t="s">
        <v>59</v>
      </c>
      <c r="Q49" t="s">
        <v>82</v>
      </c>
      <c r="R49" t="s">
        <v>61</v>
      </c>
      <c r="S49" t="s">
        <v>62</v>
      </c>
      <c r="T49" s="2">
        <v>31000</v>
      </c>
      <c r="U49" s="2">
        <v>1000</v>
      </c>
      <c r="V49" s="2">
        <v>0</v>
      </c>
      <c r="W49" s="2">
        <v>0</v>
      </c>
      <c r="X49" s="2">
        <v>32000</v>
      </c>
      <c r="Y49" s="2">
        <v>0</v>
      </c>
      <c r="Z49" s="2">
        <v>32000</v>
      </c>
      <c r="AA49" s="2">
        <v>37200</v>
      </c>
      <c r="AB49" s="2">
        <v>1000</v>
      </c>
      <c r="AC49" s="2">
        <v>0</v>
      </c>
      <c r="AD49" s="2">
        <v>0</v>
      </c>
      <c r="AE49" s="2">
        <v>38200</v>
      </c>
      <c r="AF49" s="2">
        <v>0</v>
      </c>
      <c r="AG49" s="2">
        <v>38200</v>
      </c>
      <c r="AH49" s="2">
        <v>33480</v>
      </c>
      <c r="AI49" s="2">
        <v>970</v>
      </c>
      <c r="AJ49" s="2">
        <v>0</v>
      </c>
      <c r="AK49" s="2">
        <v>0</v>
      </c>
      <c r="AL49" s="2">
        <v>34450</v>
      </c>
      <c r="AM49" s="2">
        <v>0</v>
      </c>
      <c r="AN49" s="2">
        <v>34450</v>
      </c>
      <c r="AO49" t="s">
        <v>63</v>
      </c>
      <c r="AP49" t="s">
        <v>63</v>
      </c>
      <c r="AQ49" t="s">
        <v>63</v>
      </c>
      <c r="AR49" t="s">
        <v>63</v>
      </c>
      <c r="AS49" s="2">
        <v>20670</v>
      </c>
      <c r="AT49" s="2">
        <v>0</v>
      </c>
      <c r="AU49" s="2">
        <v>20670</v>
      </c>
    </row>
    <row r="50" spans="1:47" x14ac:dyDescent="0.4">
      <c r="A50" t="s">
        <v>46</v>
      </c>
      <c r="B50" t="s">
        <v>47</v>
      </c>
      <c r="C50" t="s">
        <v>48</v>
      </c>
      <c r="D50" t="s">
        <v>49</v>
      </c>
      <c r="E50" t="s">
        <v>50</v>
      </c>
      <c r="F50" t="s">
        <v>51</v>
      </c>
      <c r="G50" t="s">
        <v>77</v>
      </c>
      <c r="H50" t="s">
        <v>78</v>
      </c>
      <c r="I50" t="s">
        <v>54</v>
      </c>
      <c r="J50" t="s">
        <v>55</v>
      </c>
      <c r="K50" t="s">
        <v>120</v>
      </c>
      <c r="L50" t="s">
        <v>121</v>
      </c>
      <c r="M50" t="s">
        <v>122</v>
      </c>
      <c r="N50" t="s">
        <v>59</v>
      </c>
      <c r="O50" t="s">
        <v>59</v>
      </c>
      <c r="P50" t="s">
        <v>59</v>
      </c>
      <c r="Q50" t="s">
        <v>82</v>
      </c>
      <c r="R50" t="s">
        <v>61</v>
      </c>
      <c r="S50" t="s">
        <v>75</v>
      </c>
      <c r="T50" s="2">
        <v>900</v>
      </c>
      <c r="U50" s="2">
        <v>5400</v>
      </c>
      <c r="V50" s="2">
        <v>0</v>
      </c>
      <c r="W50" s="2">
        <v>0</v>
      </c>
      <c r="X50" s="2">
        <v>6300</v>
      </c>
      <c r="Y50" s="2">
        <v>0</v>
      </c>
      <c r="Z50" s="2">
        <v>6300</v>
      </c>
      <c r="AA50" s="2">
        <v>1080</v>
      </c>
      <c r="AB50" s="2">
        <v>5400</v>
      </c>
      <c r="AC50" s="2">
        <v>0</v>
      </c>
      <c r="AD50" s="2">
        <v>0</v>
      </c>
      <c r="AE50" s="2">
        <v>6480</v>
      </c>
      <c r="AF50" s="2">
        <v>0</v>
      </c>
      <c r="AG50" s="2">
        <v>6480</v>
      </c>
      <c r="AH50" s="2">
        <v>972</v>
      </c>
      <c r="AI50" s="2">
        <v>5238</v>
      </c>
      <c r="AJ50" s="2">
        <v>0</v>
      </c>
      <c r="AK50" s="2">
        <v>0</v>
      </c>
      <c r="AL50" s="2">
        <v>6210</v>
      </c>
      <c r="AM50" s="2">
        <v>0</v>
      </c>
      <c r="AN50" s="2">
        <v>6210</v>
      </c>
      <c r="AO50" t="s">
        <v>63</v>
      </c>
      <c r="AP50" t="s">
        <v>63</v>
      </c>
      <c r="AQ50" t="s">
        <v>63</v>
      </c>
      <c r="AR50" t="s">
        <v>63</v>
      </c>
      <c r="AS50" s="2">
        <v>3726</v>
      </c>
      <c r="AT50" s="2">
        <v>0</v>
      </c>
      <c r="AU50" s="2">
        <v>3726</v>
      </c>
    </row>
    <row r="51" spans="1:47" x14ac:dyDescent="0.4">
      <c r="A51" t="s">
        <v>46</v>
      </c>
      <c r="B51" t="s">
        <v>47</v>
      </c>
      <c r="C51" t="s">
        <v>48</v>
      </c>
      <c r="D51" t="s">
        <v>49</v>
      </c>
      <c r="E51" t="s">
        <v>50</v>
      </c>
      <c r="F51" t="s">
        <v>51</v>
      </c>
      <c r="G51" t="s">
        <v>123</v>
      </c>
      <c r="H51" t="s">
        <v>124</v>
      </c>
      <c r="I51" t="s">
        <v>54</v>
      </c>
      <c r="J51" t="s">
        <v>55</v>
      </c>
      <c r="K51" t="s">
        <v>125</v>
      </c>
      <c r="L51" t="s">
        <v>126</v>
      </c>
      <c r="M51" t="s">
        <v>127</v>
      </c>
      <c r="N51" t="s">
        <v>59</v>
      </c>
      <c r="O51" t="s">
        <v>59</v>
      </c>
      <c r="P51" t="s">
        <v>59</v>
      </c>
      <c r="Q51" t="s">
        <v>128</v>
      </c>
      <c r="R51" t="s">
        <v>61</v>
      </c>
      <c r="S51" t="s">
        <v>62</v>
      </c>
      <c r="T51" s="2">
        <v>31770</v>
      </c>
      <c r="U51" s="2">
        <v>45710</v>
      </c>
      <c r="V51" s="2">
        <v>5200</v>
      </c>
      <c r="W51" s="2">
        <v>78820</v>
      </c>
      <c r="X51" s="2">
        <v>82680</v>
      </c>
      <c r="Y51" s="2">
        <v>78820</v>
      </c>
      <c r="Z51" s="2">
        <v>161500</v>
      </c>
      <c r="AA51" s="2">
        <v>38124</v>
      </c>
      <c r="AB51" s="2">
        <v>45710</v>
      </c>
      <c r="AC51" s="2">
        <v>6240</v>
      </c>
      <c r="AD51" s="2">
        <v>78820</v>
      </c>
      <c r="AE51" s="2">
        <v>90074</v>
      </c>
      <c r="AF51" s="2">
        <v>78820</v>
      </c>
      <c r="AG51" s="2">
        <v>168894</v>
      </c>
      <c r="AH51" s="2">
        <v>34311.599999999999</v>
      </c>
      <c r="AI51" s="2">
        <v>44338.7</v>
      </c>
      <c r="AJ51" s="2">
        <v>4368</v>
      </c>
      <c r="AK51" s="2">
        <v>70938</v>
      </c>
      <c r="AL51" s="2">
        <v>83018.3</v>
      </c>
      <c r="AM51" s="2">
        <v>70938</v>
      </c>
      <c r="AN51" s="2">
        <v>153956.29999999999</v>
      </c>
      <c r="AO51" t="s">
        <v>63</v>
      </c>
      <c r="AP51" t="s">
        <v>63</v>
      </c>
      <c r="AQ51" t="s">
        <v>63</v>
      </c>
      <c r="AR51" t="s">
        <v>63</v>
      </c>
      <c r="AS51" s="2">
        <v>92374</v>
      </c>
      <c r="AT51" s="2">
        <v>0</v>
      </c>
      <c r="AU51" s="2">
        <v>92374</v>
      </c>
    </row>
    <row r="52" spans="1:47" x14ac:dyDescent="0.4">
      <c r="A52" t="s">
        <v>46</v>
      </c>
      <c r="B52" t="s">
        <v>47</v>
      </c>
      <c r="C52" t="s">
        <v>48</v>
      </c>
      <c r="D52" t="s">
        <v>49</v>
      </c>
      <c r="E52" t="s">
        <v>50</v>
      </c>
      <c r="F52" t="s">
        <v>51</v>
      </c>
      <c r="G52" t="s">
        <v>123</v>
      </c>
      <c r="H52" t="s">
        <v>124</v>
      </c>
      <c r="I52" t="s">
        <v>54</v>
      </c>
      <c r="J52" t="s">
        <v>55</v>
      </c>
      <c r="K52" t="s">
        <v>125</v>
      </c>
      <c r="L52" t="s">
        <v>126</v>
      </c>
      <c r="M52" t="s">
        <v>127</v>
      </c>
      <c r="N52" t="s">
        <v>59</v>
      </c>
      <c r="O52" t="s">
        <v>59</v>
      </c>
      <c r="P52" t="s">
        <v>59</v>
      </c>
      <c r="Q52" t="s">
        <v>128</v>
      </c>
      <c r="R52" t="s">
        <v>61</v>
      </c>
      <c r="S52" t="s">
        <v>64</v>
      </c>
      <c r="T52" s="2">
        <v>13260</v>
      </c>
      <c r="U52" s="2">
        <v>39200</v>
      </c>
      <c r="V52" s="2">
        <v>1900</v>
      </c>
      <c r="W52" s="2">
        <v>18940</v>
      </c>
      <c r="X52" s="2">
        <v>54360</v>
      </c>
      <c r="Y52" s="2">
        <v>18940</v>
      </c>
      <c r="Z52" s="2">
        <v>73300</v>
      </c>
      <c r="AA52" s="2">
        <v>15912</v>
      </c>
      <c r="AB52" s="2">
        <v>39200</v>
      </c>
      <c r="AC52" s="2">
        <v>2280</v>
      </c>
      <c r="AD52" s="2">
        <v>18940</v>
      </c>
      <c r="AE52" s="2">
        <v>57392</v>
      </c>
      <c r="AF52" s="2">
        <v>18940</v>
      </c>
      <c r="AG52" s="2">
        <v>76332</v>
      </c>
      <c r="AH52" s="2">
        <v>14320.8</v>
      </c>
      <c r="AI52" s="2">
        <v>38024</v>
      </c>
      <c r="AJ52" s="2">
        <v>1596</v>
      </c>
      <c r="AK52" s="2">
        <v>17046</v>
      </c>
      <c r="AL52" s="2">
        <v>53940.800000000003</v>
      </c>
      <c r="AM52" s="2">
        <v>17046</v>
      </c>
      <c r="AN52" s="2">
        <v>70986.8</v>
      </c>
      <c r="AO52" t="s">
        <v>63</v>
      </c>
      <c r="AP52" t="s">
        <v>63</v>
      </c>
      <c r="AQ52" t="s">
        <v>63</v>
      </c>
      <c r="AR52" t="s">
        <v>63</v>
      </c>
      <c r="AS52" s="2">
        <v>42592</v>
      </c>
      <c r="AT52" s="2">
        <v>0</v>
      </c>
      <c r="AU52" s="2">
        <v>42592</v>
      </c>
    </row>
    <row r="53" spans="1:47" x14ac:dyDescent="0.4">
      <c r="A53" t="s">
        <v>46</v>
      </c>
      <c r="B53" t="s">
        <v>47</v>
      </c>
      <c r="C53" t="s">
        <v>48</v>
      </c>
      <c r="D53" t="s">
        <v>49</v>
      </c>
      <c r="E53" t="s">
        <v>50</v>
      </c>
      <c r="F53" t="s">
        <v>51</v>
      </c>
      <c r="G53" t="s">
        <v>123</v>
      </c>
      <c r="H53" t="s">
        <v>124</v>
      </c>
      <c r="I53" t="s">
        <v>54</v>
      </c>
      <c r="J53" t="s">
        <v>55</v>
      </c>
      <c r="K53" t="s">
        <v>125</v>
      </c>
      <c r="L53" t="s">
        <v>126</v>
      </c>
      <c r="M53" t="s">
        <v>127</v>
      </c>
      <c r="N53" t="s">
        <v>59</v>
      </c>
      <c r="O53" t="s">
        <v>59</v>
      </c>
      <c r="P53" t="s">
        <v>59</v>
      </c>
      <c r="Q53" t="s">
        <v>128</v>
      </c>
      <c r="R53" t="s">
        <v>61</v>
      </c>
      <c r="S53" t="s">
        <v>64</v>
      </c>
      <c r="T53" s="2">
        <v>4600</v>
      </c>
      <c r="U53" s="2">
        <v>5400</v>
      </c>
      <c r="V53" s="2">
        <v>0</v>
      </c>
      <c r="W53" s="2">
        <v>3800</v>
      </c>
      <c r="X53" s="2">
        <v>10000</v>
      </c>
      <c r="Y53" s="2">
        <v>3800</v>
      </c>
      <c r="Z53" s="2">
        <v>13800</v>
      </c>
      <c r="AA53" s="2">
        <v>5520</v>
      </c>
      <c r="AB53" s="2">
        <v>5400</v>
      </c>
      <c r="AC53" s="2">
        <v>0</v>
      </c>
      <c r="AD53" s="2">
        <v>3800</v>
      </c>
      <c r="AE53" s="2">
        <v>10920</v>
      </c>
      <c r="AF53" s="2">
        <v>3800</v>
      </c>
      <c r="AG53" s="2">
        <v>14720</v>
      </c>
      <c r="AH53" s="2">
        <v>4968</v>
      </c>
      <c r="AI53" s="2">
        <v>5238</v>
      </c>
      <c r="AJ53" s="2">
        <v>0</v>
      </c>
      <c r="AK53" s="2">
        <v>3420</v>
      </c>
      <c r="AL53" s="2">
        <v>10206</v>
      </c>
      <c r="AM53" s="2">
        <v>3420</v>
      </c>
      <c r="AN53" s="2">
        <v>13626</v>
      </c>
      <c r="AO53" t="s">
        <v>63</v>
      </c>
      <c r="AP53" t="s">
        <v>63</v>
      </c>
      <c r="AQ53" t="s">
        <v>63</v>
      </c>
      <c r="AR53" t="s">
        <v>63</v>
      </c>
      <c r="AS53" s="2">
        <v>8176</v>
      </c>
      <c r="AT53" s="2">
        <v>0</v>
      </c>
      <c r="AU53" s="2">
        <v>8176</v>
      </c>
    </row>
    <row r="54" spans="1:47" x14ac:dyDescent="0.4">
      <c r="A54" t="s">
        <v>46</v>
      </c>
      <c r="B54" t="s">
        <v>47</v>
      </c>
      <c r="C54" t="s">
        <v>48</v>
      </c>
      <c r="D54" t="s">
        <v>49</v>
      </c>
      <c r="E54" t="s">
        <v>50</v>
      </c>
      <c r="F54" t="s">
        <v>51</v>
      </c>
      <c r="G54" t="s">
        <v>123</v>
      </c>
      <c r="H54" t="s">
        <v>124</v>
      </c>
      <c r="I54" t="s">
        <v>54</v>
      </c>
      <c r="J54" t="s">
        <v>55</v>
      </c>
      <c r="K54" t="s">
        <v>125</v>
      </c>
      <c r="L54" t="s">
        <v>126</v>
      </c>
      <c r="M54" t="s">
        <v>127</v>
      </c>
      <c r="N54" t="s">
        <v>59</v>
      </c>
      <c r="O54" t="s">
        <v>59</v>
      </c>
      <c r="P54" t="s">
        <v>59</v>
      </c>
      <c r="Q54" t="s">
        <v>128</v>
      </c>
      <c r="R54" t="s">
        <v>61</v>
      </c>
      <c r="S54" t="s">
        <v>64</v>
      </c>
      <c r="T54" s="2">
        <v>14400</v>
      </c>
      <c r="U54" s="2">
        <v>14400</v>
      </c>
      <c r="V54" s="2">
        <v>0</v>
      </c>
      <c r="W54" s="2">
        <v>0</v>
      </c>
      <c r="X54" s="2">
        <v>28800</v>
      </c>
      <c r="Y54" s="2">
        <v>0</v>
      </c>
      <c r="Z54" s="2">
        <v>28800</v>
      </c>
      <c r="AA54" s="2">
        <v>17280</v>
      </c>
      <c r="AB54" s="2">
        <v>14400</v>
      </c>
      <c r="AC54" s="2">
        <v>0</v>
      </c>
      <c r="AD54" s="2">
        <v>0</v>
      </c>
      <c r="AE54" s="2">
        <v>31680</v>
      </c>
      <c r="AF54" s="2">
        <v>0</v>
      </c>
      <c r="AG54" s="2">
        <v>31680</v>
      </c>
      <c r="AH54" s="2">
        <v>15552</v>
      </c>
      <c r="AI54" s="2">
        <v>13968</v>
      </c>
      <c r="AJ54" s="2">
        <v>0</v>
      </c>
      <c r="AK54" s="2">
        <v>0</v>
      </c>
      <c r="AL54" s="2">
        <v>29520</v>
      </c>
      <c r="AM54" s="2">
        <v>0</v>
      </c>
      <c r="AN54" s="2">
        <v>29520</v>
      </c>
      <c r="AO54" t="s">
        <v>63</v>
      </c>
      <c r="AP54" t="s">
        <v>63</v>
      </c>
      <c r="AQ54" t="s">
        <v>63</v>
      </c>
      <c r="AR54" t="s">
        <v>63</v>
      </c>
      <c r="AS54" s="2">
        <v>17712</v>
      </c>
      <c r="AT54" s="2">
        <v>0</v>
      </c>
      <c r="AU54" s="2">
        <v>17712</v>
      </c>
    </row>
    <row r="55" spans="1:47" x14ac:dyDescent="0.4">
      <c r="A55" t="s">
        <v>46</v>
      </c>
      <c r="B55" t="s">
        <v>47</v>
      </c>
      <c r="C55" t="s">
        <v>48</v>
      </c>
      <c r="D55" t="s">
        <v>49</v>
      </c>
      <c r="E55" t="s">
        <v>50</v>
      </c>
      <c r="F55" t="s">
        <v>51</v>
      </c>
      <c r="G55" t="s">
        <v>129</v>
      </c>
      <c r="H55" t="s">
        <v>130</v>
      </c>
      <c r="I55" t="s">
        <v>54</v>
      </c>
      <c r="J55" t="s">
        <v>55</v>
      </c>
      <c r="K55" t="s">
        <v>131</v>
      </c>
      <c r="L55" t="s">
        <v>132</v>
      </c>
      <c r="M55" t="s">
        <v>133</v>
      </c>
      <c r="N55" t="s">
        <v>59</v>
      </c>
      <c r="O55" t="s">
        <v>59</v>
      </c>
      <c r="P55" t="s">
        <v>59</v>
      </c>
      <c r="Q55" t="s">
        <v>134</v>
      </c>
      <c r="R55" t="s">
        <v>61</v>
      </c>
      <c r="S55" t="s">
        <v>62</v>
      </c>
      <c r="T55" s="2">
        <v>108950</v>
      </c>
      <c r="U55" s="2">
        <v>243730</v>
      </c>
      <c r="V55" s="2">
        <v>21340</v>
      </c>
      <c r="W55" s="2">
        <v>340480</v>
      </c>
      <c r="X55" s="2">
        <v>374020</v>
      </c>
      <c r="Y55" s="2">
        <v>340480</v>
      </c>
      <c r="Z55" s="2">
        <v>714500</v>
      </c>
      <c r="AA55" s="2">
        <v>130740</v>
      </c>
      <c r="AB55" s="2">
        <v>243730</v>
      </c>
      <c r="AC55" s="2">
        <v>24627</v>
      </c>
      <c r="AD55" s="2">
        <v>340480</v>
      </c>
      <c r="AE55" s="2">
        <v>399097</v>
      </c>
      <c r="AF55" s="2">
        <v>340480</v>
      </c>
      <c r="AG55" s="2">
        <v>739577</v>
      </c>
      <c r="AH55" s="2">
        <v>117666</v>
      </c>
      <c r="AI55" s="2">
        <v>236418.1</v>
      </c>
      <c r="AJ55" s="2">
        <v>17238.900000000001</v>
      </c>
      <c r="AK55" s="2">
        <v>306432</v>
      </c>
      <c r="AL55" s="2">
        <v>371323</v>
      </c>
      <c r="AM55" s="2">
        <v>306432</v>
      </c>
      <c r="AN55" s="2">
        <v>677755</v>
      </c>
      <c r="AO55" t="s">
        <v>63</v>
      </c>
      <c r="AP55" t="s">
        <v>63</v>
      </c>
      <c r="AQ55" t="s">
        <v>63</v>
      </c>
      <c r="AR55" t="s">
        <v>63</v>
      </c>
      <c r="AS55" s="2">
        <v>406653</v>
      </c>
      <c r="AT55" s="2">
        <v>0</v>
      </c>
      <c r="AU55" s="2">
        <v>406653</v>
      </c>
    </row>
    <row r="56" spans="1:47" x14ac:dyDescent="0.4">
      <c r="A56" t="s">
        <v>46</v>
      </c>
      <c r="B56" t="s">
        <v>47</v>
      </c>
      <c r="C56" t="s">
        <v>48</v>
      </c>
      <c r="D56" t="s">
        <v>49</v>
      </c>
      <c r="E56" t="s">
        <v>50</v>
      </c>
      <c r="F56" t="s">
        <v>51</v>
      </c>
      <c r="G56" t="s">
        <v>135</v>
      </c>
      <c r="H56" t="s">
        <v>136</v>
      </c>
      <c r="I56" t="s">
        <v>54</v>
      </c>
      <c r="J56" t="s">
        <v>55</v>
      </c>
      <c r="K56" t="s">
        <v>137</v>
      </c>
      <c r="L56" t="s">
        <v>138</v>
      </c>
      <c r="M56" t="s">
        <v>139</v>
      </c>
      <c r="N56" t="s">
        <v>59</v>
      </c>
      <c r="O56" t="s">
        <v>59</v>
      </c>
      <c r="P56" t="s">
        <v>59</v>
      </c>
      <c r="Q56" t="s">
        <v>140</v>
      </c>
      <c r="R56" t="s">
        <v>61</v>
      </c>
      <c r="S56" t="s">
        <v>62</v>
      </c>
      <c r="T56" s="2">
        <v>6800</v>
      </c>
      <c r="U56" s="2">
        <v>75280</v>
      </c>
      <c r="V56" s="2">
        <v>1800</v>
      </c>
      <c r="W56" s="2">
        <v>192920</v>
      </c>
      <c r="X56" s="2">
        <v>83880</v>
      </c>
      <c r="Y56" s="2">
        <v>192920</v>
      </c>
      <c r="Z56" s="2">
        <v>276800</v>
      </c>
      <c r="AA56" s="2">
        <v>8160</v>
      </c>
      <c r="AB56" s="2">
        <v>75280</v>
      </c>
      <c r="AC56" s="2">
        <v>2160</v>
      </c>
      <c r="AD56" s="2">
        <v>192920</v>
      </c>
      <c r="AE56" s="2">
        <v>85600</v>
      </c>
      <c r="AF56" s="2">
        <v>192920</v>
      </c>
      <c r="AG56" s="2">
        <v>278520</v>
      </c>
      <c r="AH56" s="2">
        <v>7344</v>
      </c>
      <c r="AI56" s="2">
        <v>73021.600000000006</v>
      </c>
      <c r="AJ56" s="2">
        <v>1512</v>
      </c>
      <c r="AK56" s="2">
        <v>173628</v>
      </c>
      <c r="AL56" s="2">
        <v>81877.600000000006</v>
      </c>
      <c r="AM56" s="2">
        <v>173628</v>
      </c>
      <c r="AN56" s="2">
        <v>255505.6</v>
      </c>
      <c r="AO56" t="s">
        <v>63</v>
      </c>
      <c r="AP56" t="s">
        <v>63</v>
      </c>
      <c r="AQ56" t="s">
        <v>63</v>
      </c>
      <c r="AR56" t="s">
        <v>63</v>
      </c>
      <c r="AS56" s="2">
        <v>153303</v>
      </c>
      <c r="AT56" s="2">
        <v>0</v>
      </c>
      <c r="AU56" s="2">
        <v>153303</v>
      </c>
    </row>
    <row r="57" spans="1:47" x14ac:dyDescent="0.4">
      <c r="A57" t="s">
        <v>46</v>
      </c>
      <c r="B57" t="s">
        <v>47</v>
      </c>
      <c r="C57" t="s">
        <v>48</v>
      </c>
      <c r="D57" t="s">
        <v>49</v>
      </c>
      <c r="E57" t="s">
        <v>50</v>
      </c>
      <c r="F57" t="s">
        <v>51</v>
      </c>
      <c r="G57" t="s">
        <v>135</v>
      </c>
      <c r="H57" t="s">
        <v>136</v>
      </c>
      <c r="I57" t="s">
        <v>54</v>
      </c>
      <c r="J57" t="s">
        <v>55</v>
      </c>
      <c r="K57" t="s">
        <v>137</v>
      </c>
      <c r="L57" t="s">
        <v>138</v>
      </c>
      <c r="M57" t="s">
        <v>139</v>
      </c>
      <c r="N57" t="s">
        <v>59</v>
      </c>
      <c r="O57" t="s">
        <v>59</v>
      </c>
      <c r="P57" t="s">
        <v>59</v>
      </c>
      <c r="Q57" t="s">
        <v>140</v>
      </c>
      <c r="R57" t="s">
        <v>61</v>
      </c>
      <c r="S57" t="s">
        <v>64</v>
      </c>
      <c r="T57" s="2">
        <v>7600</v>
      </c>
      <c r="U57" s="2">
        <v>108460</v>
      </c>
      <c r="V57" s="2">
        <v>10800</v>
      </c>
      <c r="W57" s="2">
        <v>62640</v>
      </c>
      <c r="X57" s="2">
        <v>126860</v>
      </c>
      <c r="Y57" s="2">
        <v>62640</v>
      </c>
      <c r="Z57" s="2">
        <v>189500</v>
      </c>
      <c r="AA57" s="2">
        <v>9120</v>
      </c>
      <c r="AB57" s="2">
        <v>108460</v>
      </c>
      <c r="AC57" s="2">
        <v>12580</v>
      </c>
      <c r="AD57" s="2">
        <v>62640</v>
      </c>
      <c r="AE57" s="2">
        <v>130160</v>
      </c>
      <c r="AF57" s="2">
        <v>62640</v>
      </c>
      <c r="AG57" s="2">
        <v>192800</v>
      </c>
      <c r="AH57" s="2">
        <v>8208</v>
      </c>
      <c r="AI57" s="2">
        <v>105206.2</v>
      </c>
      <c r="AJ57" s="2">
        <v>8806</v>
      </c>
      <c r="AK57" s="2">
        <v>56376</v>
      </c>
      <c r="AL57" s="2">
        <v>122220.2</v>
      </c>
      <c r="AM57" s="2">
        <v>56376</v>
      </c>
      <c r="AN57" s="2">
        <v>178596.2</v>
      </c>
      <c r="AO57" t="s">
        <v>63</v>
      </c>
      <c r="AP57" t="s">
        <v>63</v>
      </c>
      <c r="AQ57" t="s">
        <v>63</v>
      </c>
      <c r="AR57" t="s">
        <v>63</v>
      </c>
      <c r="AS57" s="2">
        <v>107159</v>
      </c>
      <c r="AT57" s="2">
        <v>0</v>
      </c>
      <c r="AU57" s="2">
        <v>107159</v>
      </c>
    </row>
    <row r="58" spans="1:47" x14ac:dyDescent="0.4">
      <c r="A58" t="s">
        <v>46</v>
      </c>
      <c r="B58" t="s">
        <v>47</v>
      </c>
      <c r="C58" t="s">
        <v>48</v>
      </c>
      <c r="D58" t="s">
        <v>49</v>
      </c>
      <c r="E58" t="s">
        <v>50</v>
      </c>
      <c r="F58" t="s">
        <v>51</v>
      </c>
      <c r="G58" t="s">
        <v>135</v>
      </c>
      <c r="H58" t="s">
        <v>136</v>
      </c>
      <c r="I58" t="s">
        <v>54</v>
      </c>
      <c r="J58" t="s">
        <v>55</v>
      </c>
      <c r="K58" t="s">
        <v>137</v>
      </c>
      <c r="L58" t="s">
        <v>138</v>
      </c>
      <c r="M58" t="s">
        <v>139</v>
      </c>
      <c r="N58" t="s">
        <v>59</v>
      </c>
      <c r="O58" t="s">
        <v>59</v>
      </c>
      <c r="P58" t="s">
        <v>59</v>
      </c>
      <c r="Q58" t="s">
        <v>140</v>
      </c>
      <c r="R58" t="s">
        <v>61</v>
      </c>
      <c r="S58" t="s">
        <v>64</v>
      </c>
      <c r="T58" s="2">
        <v>3700</v>
      </c>
      <c r="U58" s="2">
        <v>39900</v>
      </c>
      <c r="V58" s="2">
        <v>16700</v>
      </c>
      <c r="W58" s="2">
        <v>15400</v>
      </c>
      <c r="X58" s="2">
        <v>60300</v>
      </c>
      <c r="Y58" s="2">
        <v>15400</v>
      </c>
      <c r="Z58" s="2">
        <v>75700</v>
      </c>
      <c r="AA58" s="2">
        <v>4440</v>
      </c>
      <c r="AB58" s="2">
        <v>39900</v>
      </c>
      <c r="AC58" s="2">
        <v>19400</v>
      </c>
      <c r="AD58" s="2">
        <v>15400</v>
      </c>
      <c r="AE58" s="2">
        <v>63740</v>
      </c>
      <c r="AF58" s="2">
        <v>15400</v>
      </c>
      <c r="AG58" s="2">
        <v>79140</v>
      </c>
      <c r="AH58" s="2">
        <v>3996</v>
      </c>
      <c r="AI58" s="2">
        <v>38703</v>
      </c>
      <c r="AJ58" s="2">
        <v>13580</v>
      </c>
      <c r="AK58" s="2">
        <v>13860</v>
      </c>
      <c r="AL58" s="2">
        <v>56279</v>
      </c>
      <c r="AM58" s="2">
        <v>13860</v>
      </c>
      <c r="AN58" s="2">
        <v>70139</v>
      </c>
      <c r="AO58" t="s">
        <v>63</v>
      </c>
      <c r="AP58" t="s">
        <v>63</v>
      </c>
      <c r="AQ58" t="s">
        <v>63</v>
      </c>
      <c r="AR58" t="s">
        <v>63</v>
      </c>
      <c r="AS58" s="2">
        <v>42084</v>
      </c>
      <c r="AT58" s="2">
        <v>0</v>
      </c>
      <c r="AU58" s="2">
        <v>42084</v>
      </c>
    </row>
    <row r="59" spans="1:47" x14ac:dyDescent="0.4">
      <c r="A59" t="s">
        <v>46</v>
      </c>
      <c r="B59" t="s">
        <v>47</v>
      </c>
      <c r="C59" t="s">
        <v>48</v>
      </c>
      <c r="D59" t="s">
        <v>49</v>
      </c>
      <c r="E59" t="s">
        <v>50</v>
      </c>
      <c r="F59" t="s">
        <v>51</v>
      </c>
      <c r="G59" t="s">
        <v>135</v>
      </c>
      <c r="H59" t="s">
        <v>136</v>
      </c>
      <c r="I59" t="s">
        <v>54</v>
      </c>
      <c r="J59" t="s">
        <v>55</v>
      </c>
      <c r="K59" t="s">
        <v>137</v>
      </c>
      <c r="L59" t="s">
        <v>138</v>
      </c>
      <c r="M59" t="s">
        <v>139</v>
      </c>
      <c r="N59" t="s">
        <v>59</v>
      </c>
      <c r="O59" t="s">
        <v>59</v>
      </c>
      <c r="P59" t="s">
        <v>59</v>
      </c>
      <c r="Q59" t="s">
        <v>140</v>
      </c>
      <c r="R59" t="s">
        <v>61</v>
      </c>
      <c r="S59" t="s">
        <v>64</v>
      </c>
      <c r="T59" s="2">
        <v>19000</v>
      </c>
      <c r="U59" s="2">
        <v>72300</v>
      </c>
      <c r="V59" s="2">
        <v>5000</v>
      </c>
      <c r="W59" s="2">
        <v>24100</v>
      </c>
      <c r="X59" s="2">
        <v>96300</v>
      </c>
      <c r="Y59" s="2">
        <v>24100</v>
      </c>
      <c r="Z59" s="2">
        <v>120400</v>
      </c>
      <c r="AA59" s="2">
        <v>22800</v>
      </c>
      <c r="AB59" s="2">
        <v>72300</v>
      </c>
      <c r="AC59" s="2">
        <v>5500</v>
      </c>
      <c r="AD59" s="2">
        <v>24100</v>
      </c>
      <c r="AE59" s="2">
        <v>100600</v>
      </c>
      <c r="AF59" s="2">
        <v>24100</v>
      </c>
      <c r="AG59" s="2">
        <v>124700</v>
      </c>
      <c r="AH59" s="2">
        <v>20520</v>
      </c>
      <c r="AI59" s="2">
        <v>70131</v>
      </c>
      <c r="AJ59" s="2">
        <v>3850</v>
      </c>
      <c r="AK59" s="2">
        <v>21690</v>
      </c>
      <c r="AL59" s="2">
        <v>94501</v>
      </c>
      <c r="AM59" s="2">
        <v>21690</v>
      </c>
      <c r="AN59" s="2">
        <v>116191</v>
      </c>
      <c r="AO59" t="s">
        <v>63</v>
      </c>
      <c r="AP59" t="s">
        <v>63</v>
      </c>
      <c r="AQ59" t="s">
        <v>63</v>
      </c>
      <c r="AR59" t="s">
        <v>63</v>
      </c>
      <c r="AS59" s="2">
        <v>69715</v>
      </c>
      <c r="AT59" s="2">
        <v>0</v>
      </c>
      <c r="AU59" s="2">
        <v>69715</v>
      </c>
    </row>
    <row r="60" spans="1:47" x14ac:dyDescent="0.4">
      <c r="A60" t="s">
        <v>46</v>
      </c>
      <c r="B60" t="s">
        <v>47</v>
      </c>
      <c r="C60" t="s">
        <v>48</v>
      </c>
      <c r="D60" t="s">
        <v>49</v>
      </c>
      <c r="E60" t="s">
        <v>50</v>
      </c>
      <c r="F60" t="s">
        <v>51</v>
      </c>
      <c r="G60" t="s">
        <v>141</v>
      </c>
      <c r="H60" t="s">
        <v>142</v>
      </c>
      <c r="I60" t="s">
        <v>54</v>
      </c>
      <c r="J60" t="s">
        <v>55</v>
      </c>
      <c r="K60" t="s">
        <v>143</v>
      </c>
      <c r="L60" t="s">
        <v>144</v>
      </c>
      <c r="M60" t="s">
        <v>145</v>
      </c>
      <c r="N60" t="s">
        <v>146</v>
      </c>
      <c r="O60" t="s">
        <v>59</v>
      </c>
      <c r="P60" t="s">
        <v>59</v>
      </c>
      <c r="Q60" t="s">
        <v>147</v>
      </c>
      <c r="R60" t="s">
        <v>61</v>
      </c>
      <c r="S60" t="s">
        <v>62</v>
      </c>
      <c r="T60" s="2">
        <v>0</v>
      </c>
      <c r="U60" s="2">
        <v>600</v>
      </c>
      <c r="V60" s="2">
        <v>0</v>
      </c>
      <c r="W60" s="2">
        <v>10100</v>
      </c>
      <c r="X60" s="2">
        <v>600</v>
      </c>
      <c r="Y60" s="2">
        <v>10100</v>
      </c>
      <c r="Z60" s="2">
        <v>10700</v>
      </c>
      <c r="AA60" s="2">
        <v>0</v>
      </c>
      <c r="AB60" s="2">
        <v>600</v>
      </c>
      <c r="AC60" s="2">
        <v>0</v>
      </c>
      <c r="AD60" s="2">
        <v>10100</v>
      </c>
      <c r="AE60" s="2">
        <v>600</v>
      </c>
      <c r="AF60" s="2">
        <v>10100</v>
      </c>
      <c r="AG60" s="2">
        <v>10700</v>
      </c>
      <c r="AH60" s="2">
        <v>0</v>
      </c>
      <c r="AI60" s="2">
        <v>582</v>
      </c>
      <c r="AJ60" s="2">
        <v>0</v>
      </c>
      <c r="AK60" s="2">
        <v>9090</v>
      </c>
      <c r="AL60" s="2">
        <v>582</v>
      </c>
      <c r="AM60" s="2">
        <v>9090</v>
      </c>
      <c r="AN60" s="2">
        <v>9672</v>
      </c>
      <c r="AO60" t="s">
        <v>63</v>
      </c>
      <c r="AP60" t="s">
        <v>63</v>
      </c>
      <c r="AQ60" t="s">
        <v>63</v>
      </c>
      <c r="AR60" t="s">
        <v>63</v>
      </c>
      <c r="AS60" s="2">
        <v>5803</v>
      </c>
      <c r="AT60" s="2">
        <v>0</v>
      </c>
      <c r="AU60" s="2">
        <v>5803</v>
      </c>
    </row>
    <row r="61" spans="1:47" x14ac:dyDescent="0.4">
      <c r="A61" t="s">
        <v>46</v>
      </c>
      <c r="B61" t="s">
        <v>47</v>
      </c>
      <c r="C61" t="s">
        <v>48</v>
      </c>
      <c r="D61" t="s">
        <v>49</v>
      </c>
      <c r="E61" t="s">
        <v>50</v>
      </c>
      <c r="F61" t="s">
        <v>51</v>
      </c>
      <c r="G61" t="s">
        <v>141</v>
      </c>
      <c r="H61" t="s">
        <v>142</v>
      </c>
      <c r="I61" t="s">
        <v>54</v>
      </c>
      <c r="J61" t="s">
        <v>55</v>
      </c>
      <c r="K61" t="s">
        <v>143</v>
      </c>
      <c r="L61" t="s">
        <v>144</v>
      </c>
      <c r="M61" t="s">
        <v>145</v>
      </c>
      <c r="N61" t="s">
        <v>146</v>
      </c>
      <c r="O61" t="s">
        <v>59</v>
      </c>
      <c r="P61" t="s">
        <v>59</v>
      </c>
      <c r="Q61" t="s">
        <v>147</v>
      </c>
      <c r="R61" t="s">
        <v>61</v>
      </c>
      <c r="S61" t="s">
        <v>64</v>
      </c>
      <c r="T61" s="2">
        <v>2400</v>
      </c>
      <c r="U61" s="2">
        <v>1400</v>
      </c>
      <c r="V61" s="2">
        <v>0</v>
      </c>
      <c r="W61" s="2">
        <v>2400</v>
      </c>
      <c r="X61" s="2">
        <v>3800</v>
      </c>
      <c r="Y61" s="2">
        <v>2400</v>
      </c>
      <c r="Z61" s="2">
        <v>6200</v>
      </c>
      <c r="AA61" s="2">
        <v>2880</v>
      </c>
      <c r="AB61" s="2">
        <v>1400</v>
      </c>
      <c r="AC61" s="2">
        <v>0</v>
      </c>
      <c r="AD61" s="2">
        <v>2400</v>
      </c>
      <c r="AE61" s="2">
        <v>4280</v>
      </c>
      <c r="AF61" s="2">
        <v>2400</v>
      </c>
      <c r="AG61" s="2">
        <v>6680</v>
      </c>
      <c r="AH61" s="2">
        <v>2592</v>
      </c>
      <c r="AI61" s="2">
        <v>1358</v>
      </c>
      <c r="AJ61" s="2">
        <v>0</v>
      </c>
      <c r="AK61" s="2">
        <v>2160</v>
      </c>
      <c r="AL61" s="2">
        <v>3950</v>
      </c>
      <c r="AM61" s="2">
        <v>2160</v>
      </c>
      <c r="AN61" s="2">
        <v>6110</v>
      </c>
      <c r="AO61" t="s">
        <v>63</v>
      </c>
      <c r="AP61" t="s">
        <v>63</v>
      </c>
      <c r="AQ61" t="s">
        <v>63</v>
      </c>
      <c r="AR61" t="s">
        <v>63</v>
      </c>
      <c r="AS61" s="2">
        <v>3666</v>
      </c>
      <c r="AT61" s="2">
        <v>0</v>
      </c>
      <c r="AU61" s="2">
        <v>3666</v>
      </c>
    </row>
    <row r="62" spans="1:47" x14ac:dyDescent="0.4">
      <c r="A62" t="s">
        <v>46</v>
      </c>
      <c r="B62" t="s">
        <v>47</v>
      </c>
      <c r="C62" t="s">
        <v>48</v>
      </c>
      <c r="D62" t="s">
        <v>49</v>
      </c>
      <c r="E62" t="s">
        <v>50</v>
      </c>
      <c r="F62" t="s">
        <v>51</v>
      </c>
      <c r="G62" t="s">
        <v>141</v>
      </c>
      <c r="H62" t="s">
        <v>142</v>
      </c>
      <c r="I62" t="s">
        <v>54</v>
      </c>
      <c r="J62" t="s">
        <v>55</v>
      </c>
      <c r="K62" t="s">
        <v>143</v>
      </c>
      <c r="L62" t="s">
        <v>144</v>
      </c>
      <c r="M62" t="s">
        <v>145</v>
      </c>
      <c r="N62" t="s">
        <v>146</v>
      </c>
      <c r="O62" t="s">
        <v>59</v>
      </c>
      <c r="P62" t="s">
        <v>59</v>
      </c>
      <c r="Q62" t="s">
        <v>147</v>
      </c>
      <c r="R62" t="s">
        <v>61</v>
      </c>
      <c r="S62" t="s">
        <v>64</v>
      </c>
      <c r="T62" s="2">
        <v>4600</v>
      </c>
      <c r="U62" s="2">
        <v>-8300</v>
      </c>
      <c r="V62" s="2">
        <v>0</v>
      </c>
      <c r="W62" s="2">
        <v>0</v>
      </c>
      <c r="X62" s="2">
        <v>-3700</v>
      </c>
      <c r="Y62" s="2">
        <v>0</v>
      </c>
      <c r="Z62" s="2">
        <v>-3700</v>
      </c>
      <c r="AA62" s="2">
        <v>5520</v>
      </c>
      <c r="AB62" s="2">
        <v>-8300</v>
      </c>
      <c r="AC62" s="2">
        <v>0</v>
      </c>
      <c r="AD62" s="2">
        <v>0</v>
      </c>
      <c r="AE62" s="2">
        <v>-2780</v>
      </c>
      <c r="AF62" s="2">
        <v>0</v>
      </c>
      <c r="AG62" s="2">
        <v>-2780</v>
      </c>
      <c r="AH62" s="2">
        <v>4968</v>
      </c>
      <c r="AI62" s="2">
        <v>-8051</v>
      </c>
      <c r="AJ62" s="2">
        <v>0</v>
      </c>
      <c r="AK62" s="2">
        <v>0</v>
      </c>
      <c r="AL62" s="2">
        <v>-3083</v>
      </c>
      <c r="AM62" s="2">
        <v>0</v>
      </c>
      <c r="AN62" s="2">
        <v>-3083</v>
      </c>
      <c r="AO62" t="s">
        <v>63</v>
      </c>
      <c r="AP62" t="s">
        <v>63</v>
      </c>
      <c r="AQ62" t="s">
        <v>63</v>
      </c>
      <c r="AR62" t="s">
        <v>63</v>
      </c>
      <c r="AS62" s="2">
        <v>-1850</v>
      </c>
      <c r="AT62" s="2">
        <v>0</v>
      </c>
      <c r="AU62" s="2">
        <v>-1850</v>
      </c>
    </row>
    <row r="63" spans="1:47" x14ac:dyDescent="0.4">
      <c r="A63" t="s">
        <v>46</v>
      </c>
      <c r="B63" t="s">
        <v>47</v>
      </c>
      <c r="C63" t="s">
        <v>48</v>
      </c>
      <c r="D63" t="s">
        <v>49</v>
      </c>
      <c r="E63" t="s">
        <v>50</v>
      </c>
      <c r="F63" t="s">
        <v>51</v>
      </c>
      <c r="G63" t="s">
        <v>141</v>
      </c>
      <c r="H63" t="s">
        <v>142</v>
      </c>
      <c r="I63" t="s">
        <v>54</v>
      </c>
      <c r="J63" t="s">
        <v>55</v>
      </c>
      <c r="K63" t="s">
        <v>143</v>
      </c>
      <c r="L63" t="s">
        <v>144</v>
      </c>
      <c r="M63" t="s">
        <v>145</v>
      </c>
      <c r="N63" t="s">
        <v>146</v>
      </c>
      <c r="O63" t="s">
        <v>59</v>
      </c>
      <c r="P63" t="s">
        <v>59</v>
      </c>
      <c r="Q63" t="s">
        <v>147</v>
      </c>
      <c r="R63" t="s">
        <v>61</v>
      </c>
      <c r="S63" t="s">
        <v>64</v>
      </c>
      <c r="T63" s="2">
        <v>18000</v>
      </c>
      <c r="U63" s="2">
        <v>9000</v>
      </c>
      <c r="V63" s="2">
        <v>0</v>
      </c>
      <c r="W63" s="2">
        <v>0</v>
      </c>
      <c r="X63" s="2">
        <v>27000</v>
      </c>
      <c r="Y63" s="2">
        <v>0</v>
      </c>
      <c r="Z63" s="2">
        <v>27000</v>
      </c>
      <c r="AA63" s="2">
        <v>21600</v>
      </c>
      <c r="AB63" s="2">
        <v>9000</v>
      </c>
      <c r="AC63" s="2">
        <v>0</v>
      </c>
      <c r="AD63" s="2">
        <v>0</v>
      </c>
      <c r="AE63" s="2">
        <v>30600</v>
      </c>
      <c r="AF63" s="2">
        <v>0</v>
      </c>
      <c r="AG63" s="2">
        <v>30600</v>
      </c>
      <c r="AH63" s="2">
        <v>19440</v>
      </c>
      <c r="AI63" s="2">
        <v>8730</v>
      </c>
      <c r="AJ63" s="2">
        <v>0</v>
      </c>
      <c r="AK63" s="2">
        <v>0</v>
      </c>
      <c r="AL63" s="2">
        <v>28170</v>
      </c>
      <c r="AM63" s="2">
        <v>0</v>
      </c>
      <c r="AN63" s="2">
        <v>28170</v>
      </c>
      <c r="AO63" t="s">
        <v>63</v>
      </c>
      <c r="AP63" t="s">
        <v>63</v>
      </c>
      <c r="AQ63" t="s">
        <v>63</v>
      </c>
      <c r="AR63" t="s">
        <v>63</v>
      </c>
      <c r="AS63" s="2">
        <v>16902</v>
      </c>
      <c r="AT63" s="2">
        <v>0</v>
      </c>
      <c r="AU63" s="2">
        <v>16902</v>
      </c>
    </row>
    <row r="64" spans="1:47" x14ac:dyDescent="0.4">
      <c r="A64" t="s">
        <v>46</v>
      </c>
      <c r="B64" t="s">
        <v>47</v>
      </c>
      <c r="C64" t="s">
        <v>48</v>
      </c>
      <c r="D64" t="s">
        <v>49</v>
      </c>
      <c r="E64" t="s">
        <v>50</v>
      </c>
      <c r="F64" t="s">
        <v>51</v>
      </c>
      <c r="G64" t="s">
        <v>148</v>
      </c>
      <c r="H64" t="s">
        <v>149</v>
      </c>
      <c r="I64" t="s">
        <v>54</v>
      </c>
      <c r="J64" t="s">
        <v>55</v>
      </c>
      <c r="K64" t="s">
        <v>150</v>
      </c>
      <c r="L64" t="s">
        <v>151</v>
      </c>
      <c r="M64" t="s">
        <v>152</v>
      </c>
      <c r="N64" t="s">
        <v>153</v>
      </c>
      <c r="O64" t="s">
        <v>59</v>
      </c>
      <c r="P64" t="s">
        <v>59</v>
      </c>
      <c r="Q64" t="s">
        <v>154</v>
      </c>
      <c r="R64" t="s">
        <v>61</v>
      </c>
      <c r="S64" t="s">
        <v>62</v>
      </c>
      <c r="T64" s="2">
        <v>200</v>
      </c>
      <c r="U64" s="2">
        <v>2200</v>
      </c>
      <c r="V64" s="2">
        <v>1500</v>
      </c>
      <c r="W64" s="2">
        <v>2300</v>
      </c>
      <c r="X64" s="2">
        <v>3900</v>
      </c>
      <c r="Y64" s="2">
        <v>2300</v>
      </c>
      <c r="Z64" s="2">
        <v>6200</v>
      </c>
      <c r="AA64" s="2">
        <v>240</v>
      </c>
      <c r="AB64" s="2">
        <v>2200</v>
      </c>
      <c r="AC64" s="2">
        <v>1800</v>
      </c>
      <c r="AD64" s="2">
        <v>2300</v>
      </c>
      <c r="AE64" s="2">
        <v>4240</v>
      </c>
      <c r="AF64" s="2">
        <v>2300</v>
      </c>
      <c r="AG64" s="2">
        <v>6540</v>
      </c>
      <c r="AH64" s="2">
        <v>216</v>
      </c>
      <c r="AI64" s="2">
        <v>2134</v>
      </c>
      <c r="AJ64" s="2">
        <v>1260</v>
      </c>
      <c r="AK64" s="2">
        <v>2070</v>
      </c>
      <c r="AL64" s="2">
        <v>3610</v>
      </c>
      <c r="AM64" s="2">
        <v>2070</v>
      </c>
      <c r="AN64" s="2">
        <v>5680</v>
      </c>
      <c r="AO64" t="s">
        <v>63</v>
      </c>
      <c r="AP64" t="s">
        <v>63</v>
      </c>
      <c r="AQ64" t="s">
        <v>63</v>
      </c>
      <c r="AR64" t="s">
        <v>63</v>
      </c>
      <c r="AS64" s="2">
        <v>3408</v>
      </c>
      <c r="AT64" s="2">
        <v>0</v>
      </c>
      <c r="AU64" s="2">
        <v>3408</v>
      </c>
    </row>
    <row r="65" spans="1:47" x14ac:dyDescent="0.4">
      <c r="A65" t="s">
        <v>46</v>
      </c>
      <c r="B65" t="s">
        <v>47</v>
      </c>
      <c r="C65" t="s">
        <v>48</v>
      </c>
      <c r="D65" t="s">
        <v>49</v>
      </c>
      <c r="E65" t="s">
        <v>50</v>
      </c>
      <c r="F65" t="s">
        <v>51</v>
      </c>
      <c r="G65" t="s">
        <v>148</v>
      </c>
      <c r="H65" t="s">
        <v>149</v>
      </c>
      <c r="I65" t="s">
        <v>54</v>
      </c>
      <c r="J65" t="s">
        <v>55</v>
      </c>
      <c r="K65" t="s">
        <v>150</v>
      </c>
      <c r="L65" t="s">
        <v>151</v>
      </c>
      <c r="M65" t="s">
        <v>152</v>
      </c>
      <c r="N65" t="s">
        <v>153</v>
      </c>
      <c r="O65" t="s">
        <v>59</v>
      </c>
      <c r="P65" t="s">
        <v>59</v>
      </c>
      <c r="Q65" t="s">
        <v>154</v>
      </c>
      <c r="R65" t="s">
        <v>61</v>
      </c>
      <c r="S65" t="s">
        <v>64</v>
      </c>
      <c r="T65" s="2">
        <v>4500</v>
      </c>
      <c r="U65" s="2">
        <v>10300</v>
      </c>
      <c r="V65" s="2">
        <v>0</v>
      </c>
      <c r="W65" s="2">
        <v>0</v>
      </c>
      <c r="X65" s="2">
        <v>14800</v>
      </c>
      <c r="Y65" s="2">
        <v>0</v>
      </c>
      <c r="Z65" s="2">
        <v>14800</v>
      </c>
      <c r="AA65" s="2">
        <v>5400</v>
      </c>
      <c r="AB65" s="2">
        <v>10300</v>
      </c>
      <c r="AC65" s="2">
        <v>0</v>
      </c>
      <c r="AD65" s="2">
        <v>0</v>
      </c>
      <c r="AE65" s="2">
        <v>15700</v>
      </c>
      <c r="AF65" s="2">
        <v>0</v>
      </c>
      <c r="AG65" s="2">
        <v>15700</v>
      </c>
      <c r="AH65" s="2">
        <v>4860</v>
      </c>
      <c r="AI65" s="2">
        <v>9991</v>
      </c>
      <c r="AJ65" s="2">
        <v>0</v>
      </c>
      <c r="AK65" s="2">
        <v>0</v>
      </c>
      <c r="AL65" s="2">
        <v>14851</v>
      </c>
      <c r="AM65" s="2">
        <v>0</v>
      </c>
      <c r="AN65" s="2">
        <v>14851</v>
      </c>
      <c r="AO65" t="s">
        <v>63</v>
      </c>
      <c r="AP65" t="s">
        <v>63</v>
      </c>
      <c r="AQ65" t="s">
        <v>63</v>
      </c>
      <c r="AR65" t="s">
        <v>63</v>
      </c>
      <c r="AS65" s="2">
        <v>8911</v>
      </c>
      <c r="AT65" s="2">
        <v>0</v>
      </c>
      <c r="AU65" s="2">
        <v>8911</v>
      </c>
    </row>
    <row r="66" spans="1:47" x14ac:dyDescent="0.4">
      <c r="A66" t="s">
        <v>46</v>
      </c>
      <c r="B66" t="s">
        <v>47</v>
      </c>
      <c r="C66" t="s">
        <v>48</v>
      </c>
      <c r="D66" t="s">
        <v>49</v>
      </c>
      <c r="E66" t="s">
        <v>50</v>
      </c>
      <c r="F66" t="s">
        <v>51</v>
      </c>
      <c r="G66" t="s">
        <v>148</v>
      </c>
      <c r="H66" t="s">
        <v>149</v>
      </c>
      <c r="I66" t="s">
        <v>54</v>
      </c>
      <c r="J66" t="s">
        <v>55</v>
      </c>
      <c r="K66" t="s">
        <v>150</v>
      </c>
      <c r="L66" t="s">
        <v>151</v>
      </c>
      <c r="M66" t="s">
        <v>152</v>
      </c>
      <c r="N66" t="s">
        <v>153</v>
      </c>
      <c r="O66" t="s">
        <v>59</v>
      </c>
      <c r="P66" t="s">
        <v>59</v>
      </c>
      <c r="Q66" t="s">
        <v>154</v>
      </c>
      <c r="R66" t="s">
        <v>61</v>
      </c>
      <c r="S66" t="s">
        <v>64</v>
      </c>
      <c r="T66" s="2">
        <v>0</v>
      </c>
      <c r="U66" s="2">
        <v>9000</v>
      </c>
      <c r="V66" s="2">
        <v>0</v>
      </c>
      <c r="W66" s="2">
        <v>0</v>
      </c>
      <c r="X66" s="2">
        <v>9000</v>
      </c>
      <c r="Y66" s="2">
        <v>0</v>
      </c>
      <c r="Z66" s="2">
        <v>9000</v>
      </c>
      <c r="AA66" s="2">
        <v>0</v>
      </c>
      <c r="AB66" s="2">
        <v>9000</v>
      </c>
      <c r="AC66" s="2">
        <v>0</v>
      </c>
      <c r="AD66" s="2">
        <v>0</v>
      </c>
      <c r="AE66" s="2">
        <v>9000</v>
      </c>
      <c r="AF66" s="2">
        <v>0</v>
      </c>
      <c r="AG66" s="2">
        <v>9000</v>
      </c>
      <c r="AH66" s="2">
        <v>0</v>
      </c>
      <c r="AI66" s="2">
        <v>8730</v>
      </c>
      <c r="AJ66" s="2">
        <v>0</v>
      </c>
      <c r="AK66" s="2">
        <v>0</v>
      </c>
      <c r="AL66" s="2">
        <v>8730</v>
      </c>
      <c r="AM66" s="2">
        <v>0</v>
      </c>
      <c r="AN66" s="2">
        <v>8730</v>
      </c>
      <c r="AO66" t="s">
        <v>63</v>
      </c>
      <c r="AP66" t="s">
        <v>63</v>
      </c>
      <c r="AQ66" t="s">
        <v>63</v>
      </c>
      <c r="AR66" t="s">
        <v>63</v>
      </c>
      <c r="AS66" s="2">
        <v>5238</v>
      </c>
      <c r="AT66" s="2">
        <v>0</v>
      </c>
      <c r="AU66" s="2">
        <v>5238</v>
      </c>
    </row>
    <row r="67" spans="1:47" x14ac:dyDescent="0.4">
      <c r="A67" t="s">
        <v>46</v>
      </c>
      <c r="B67" t="s">
        <v>47</v>
      </c>
      <c r="C67" t="s">
        <v>48</v>
      </c>
      <c r="D67" t="s">
        <v>49</v>
      </c>
      <c r="E67" t="s">
        <v>50</v>
      </c>
      <c r="F67" t="s">
        <v>51</v>
      </c>
      <c r="G67" t="s">
        <v>148</v>
      </c>
      <c r="H67" t="s">
        <v>149</v>
      </c>
      <c r="I67" t="s">
        <v>54</v>
      </c>
      <c r="J67" t="s">
        <v>55</v>
      </c>
      <c r="K67" t="s">
        <v>150</v>
      </c>
      <c r="L67" t="s">
        <v>151</v>
      </c>
      <c r="M67" t="s">
        <v>152</v>
      </c>
      <c r="N67" t="s">
        <v>153</v>
      </c>
      <c r="O67" t="s">
        <v>59</v>
      </c>
      <c r="P67" t="s">
        <v>59</v>
      </c>
      <c r="Q67" t="s">
        <v>154</v>
      </c>
      <c r="R67" t="s">
        <v>61</v>
      </c>
      <c r="S67" t="s">
        <v>64</v>
      </c>
      <c r="T67" s="2">
        <v>0</v>
      </c>
      <c r="U67" s="2">
        <v>3500</v>
      </c>
      <c r="V67" s="2">
        <v>0</v>
      </c>
      <c r="W67" s="2">
        <v>10000</v>
      </c>
      <c r="X67" s="2">
        <v>3500</v>
      </c>
      <c r="Y67" s="2">
        <v>10000</v>
      </c>
      <c r="Z67" s="2">
        <v>13500</v>
      </c>
      <c r="AA67" s="2">
        <v>0</v>
      </c>
      <c r="AB67" s="2">
        <v>3500</v>
      </c>
      <c r="AC67" s="2">
        <v>0</v>
      </c>
      <c r="AD67" s="2">
        <v>10000</v>
      </c>
      <c r="AE67" s="2">
        <v>3500</v>
      </c>
      <c r="AF67" s="2">
        <v>10000</v>
      </c>
      <c r="AG67" s="2">
        <v>13500</v>
      </c>
      <c r="AH67" s="2">
        <v>0</v>
      </c>
      <c r="AI67" s="2">
        <v>3395</v>
      </c>
      <c r="AJ67" s="2">
        <v>0</v>
      </c>
      <c r="AK67" s="2">
        <v>9000</v>
      </c>
      <c r="AL67" s="2">
        <v>3395</v>
      </c>
      <c r="AM67" s="2">
        <v>9000</v>
      </c>
      <c r="AN67" s="2">
        <v>12395</v>
      </c>
      <c r="AO67" t="s">
        <v>63</v>
      </c>
      <c r="AP67" t="s">
        <v>63</v>
      </c>
      <c r="AQ67" t="s">
        <v>63</v>
      </c>
      <c r="AR67" t="s">
        <v>63</v>
      </c>
      <c r="AS67" s="2">
        <v>7437</v>
      </c>
      <c r="AT67" s="2">
        <v>0</v>
      </c>
      <c r="AU67" s="2">
        <v>7437</v>
      </c>
    </row>
    <row r="68" spans="1:47" x14ac:dyDescent="0.4">
      <c r="A68" t="s">
        <v>46</v>
      </c>
      <c r="B68" t="s">
        <v>47</v>
      </c>
      <c r="C68" t="s">
        <v>48</v>
      </c>
      <c r="D68" t="s">
        <v>49</v>
      </c>
      <c r="E68" t="s">
        <v>50</v>
      </c>
      <c r="F68" t="s">
        <v>51</v>
      </c>
      <c r="G68" t="s">
        <v>155</v>
      </c>
      <c r="H68" t="s">
        <v>156</v>
      </c>
      <c r="I68" t="s">
        <v>54</v>
      </c>
      <c r="J68" t="s">
        <v>55</v>
      </c>
      <c r="K68" t="s">
        <v>157</v>
      </c>
      <c r="L68" t="s">
        <v>158</v>
      </c>
      <c r="M68" t="s">
        <v>159</v>
      </c>
      <c r="N68" t="s">
        <v>59</v>
      </c>
      <c r="O68" t="s">
        <v>59</v>
      </c>
      <c r="P68" t="s">
        <v>59</v>
      </c>
      <c r="Q68" t="s">
        <v>160</v>
      </c>
      <c r="R68" t="s">
        <v>61</v>
      </c>
      <c r="S68" t="s">
        <v>62</v>
      </c>
      <c r="T68" s="2">
        <v>4600</v>
      </c>
      <c r="U68" s="2">
        <v>7600</v>
      </c>
      <c r="V68" s="2">
        <v>230</v>
      </c>
      <c r="W68" s="2">
        <v>3170</v>
      </c>
      <c r="X68" s="2">
        <v>12430</v>
      </c>
      <c r="Y68" s="2">
        <v>3170</v>
      </c>
      <c r="Z68" s="2">
        <v>15600</v>
      </c>
      <c r="AA68" s="2">
        <v>5520</v>
      </c>
      <c r="AB68" s="2">
        <v>7600</v>
      </c>
      <c r="AC68" s="2">
        <v>276</v>
      </c>
      <c r="AD68" s="2">
        <v>3170</v>
      </c>
      <c r="AE68" s="2">
        <v>13396</v>
      </c>
      <c r="AF68" s="2">
        <v>3170</v>
      </c>
      <c r="AG68" s="2">
        <v>16566</v>
      </c>
      <c r="AH68" s="2">
        <v>4968</v>
      </c>
      <c r="AI68" s="2">
        <v>7372</v>
      </c>
      <c r="AJ68" s="2">
        <v>193.2</v>
      </c>
      <c r="AK68" s="2">
        <v>2853</v>
      </c>
      <c r="AL68" s="2">
        <v>12533.2</v>
      </c>
      <c r="AM68" s="2">
        <v>2853</v>
      </c>
      <c r="AN68" s="2">
        <v>15386.2</v>
      </c>
      <c r="AO68" t="s">
        <v>63</v>
      </c>
      <c r="AP68" t="s">
        <v>63</v>
      </c>
      <c r="AQ68" t="s">
        <v>63</v>
      </c>
      <c r="AR68" t="s">
        <v>63</v>
      </c>
      <c r="AS68" s="2">
        <v>9232</v>
      </c>
      <c r="AT68" s="2">
        <v>0</v>
      </c>
      <c r="AU68" s="2">
        <v>9232</v>
      </c>
    </row>
    <row r="69" spans="1:47" x14ac:dyDescent="0.4">
      <c r="A69" t="s">
        <v>46</v>
      </c>
      <c r="B69" t="s">
        <v>47</v>
      </c>
      <c r="C69" t="s">
        <v>48</v>
      </c>
      <c r="D69" t="s">
        <v>49</v>
      </c>
      <c r="E69" t="s">
        <v>50</v>
      </c>
      <c r="F69" t="s">
        <v>51</v>
      </c>
      <c r="G69" t="s">
        <v>155</v>
      </c>
      <c r="H69" t="s">
        <v>156</v>
      </c>
      <c r="I69" t="s">
        <v>54</v>
      </c>
      <c r="J69" t="s">
        <v>55</v>
      </c>
      <c r="K69" t="s">
        <v>157</v>
      </c>
      <c r="L69" t="s">
        <v>158</v>
      </c>
      <c r="M69" t="s">
        <v>159</v>
      </c>
      <c r="N69" t="s">
        <v>59</v>
      </c>
      <c r="O69" t="s">
        <v>59</v>
      </c>
      <c r="P69" t="s">
        <v>59</v>
      </c>
      <c r="Q69" t="s">
        <v>160</v>
      </c>
      <c r="R69" t="s">
        <v>61</v>
      </c>
      <c r="S69" t="s">
        <v>64</v>
      </c>
      <c r="T69" s="2">
        <v>900</v>
      </c>
      <c r="U69" s="2">
        <v>2300</v>
      </c>
      <c r="V69" s="2">
        <v>0</v>
      </c>
      <c r="W69" s="2">
        <v>3600</v>
      </c>
      <c r="X69" s="2">
        <v>3200</v>
      </c>
      <c r="Y69" s="2">
        <v>3600</v>
      </c>
      <c r="Z69" s="2">
        <v>6800</v>
      </c>
      <c r="AA69" s="2">
        <v>1080</v>
      </c>
      <c r="AB69" s="2">
        <v>2300</v>
      </c>
      <c r="AC69" s="2">
        <v>0</v>
      </c>
      <c r="AD69" s="2">
        <v>3600</v>
      </c>
      <c r="AE69" s="2">
        <v>3380</v>
      </c>
      <c r="AF69" s="2">
        <v>3600</v>
      </c>
      <c r="AG69" s="2">
        <v>6980</v>
      </c>
      <c r="AH69" s="2">
        <v>972</v>
      </c>
      <c r="AI69" s="2">
        <v>2231</v>
      </c>
      <c r="AJ69" s="2">
        <v>0</v>
      </c>
      <c r="AK69" s="2">
        <v>3240</v>
      </c>
      <c r="AL69" s="2">
        <v>3203</v>
      </c>
      <c r="AM69" s="2">
        <v>3240</v>
      </c>
      <c r="AN69" s="2">
        <v>6443</v>
      </c>
      <c r="AO69" t="s">
        <v>63</v>
      </c>
      <c r="AP69" t="s">
        <v>63</v>
      </c>
      <c r="AQ69" t="s">
        <v>63</v>
      </c>
      <c r="AR69" t="s">
        <v>63</v>
      </c>
      <c r="AS69" s="2">
        <v>3866</v>
      </c>
      <c r="AT69" s="2">
        <v>0</v>
      </c>
      <c r="AU69" s="2">
        <v>3866</v>
      </c>
    </row>
    <row r="70" spans="1:47" x14ac:dyDescent="0.4">
      <c r="A70" t="s">
        <v>46</v>
      </c>
      <c r="B70" t="s">
        <v>47</v>
      </c>
      <c r="C70" t="s">
        <v>48</v>
      </c>
      <c r="D70" t="s">
        <v>49</v>
      </c>
      <c r="E70" t="s">
        <v>50</v>
      </c>
      <c r="F70" t="s">
        <v>51</v>
      </c>
      <c r="G70" t="s">
        <v>155</v>
      </c>
      <c r="H70" t="s">
        <v>156</v>
      </c>
      <c r="I70" t="s">
        <v>54</v>
      </c>
      <c r="J70" t="s">
        <v>55</v>
      </c>
      <c r="K70" t="s">
        <v>157</v>
      </c>
      <c r="L70" t="s">
        <v>158</v>
      </c>
      <c r="M70" t="s">
        <v>159</v>
      </c>
      <c r="N70" t="s">
        <v>59</v>
      </c>
      <c r="O70" t="s">
        <v>59</v>
      </c>
      <c r="P70" t="s">
        <v>59</v>
      </c>
      <c r="Q70" t="s">
        <v>160</v>
      </c>
      <c r="R70" t="s">
        <v>61</v>
      </c>
      <c r="S70" t="s">
        <v>64</v>
      </c>
      <c r="T70" s="2">
        <v>5400</v>
      </c>
      <c r="U70" s="2">
        <v>2900</v>
      </c>
      <c r="V70" s="2">
        <v>0</v>
      </c>
      <c r="W70" s="2">
        <v>1000</v>
      </c>
      <c r="X70" s="2">
        <v>8300</v>
      </c>
      <c r="Y70" s="2">
        <v>1000</v>
      </c>
      <c r="Z70" s="2">
        <v>9300</v>
      </c>
      <c r="AA70" s="2">
        <v>6480</v>
      </c>
      <c r="AB70" s="2">
        <v>2900</v>
      </c>
      <c r="AC70" s="2">
        <v>0</v>
      </c>
      <c r="AD70" s="2">
        <v>1000</v>
      </c>
      <c r="AE70" s="2">
        <v>9380</v>
      </c>
      <c r="AF70" s="2">
        <v>1000</v>
      </c>
      <c r="AG70" s="2">
        <v>10380</v>
      </c>
      <c r="AH70" s="2">
        <v>5832</v>
      </c>
      <c r="AI70" s="2">
        <v>2813</v>
      </c>
      <c r="AJ70" s="2">
        <v>0</v>
      </c>
      <c r="AK70" s="2">
        <v>900</v>
      </c>
      <c r="AL70" s="2">
        <v>8645</v>
      </c>
      <c r="AM70" s="2">
        <v>900</v>
      </c>
      <c r="AN70" s="2">
        <v>9545</v>
      </c>
      <c r="AO70" t="s">
        <v>63</v>
      </c>
      <c r="AP70" t="s">
        <v>63</v>
      </c>
      <c r="AQ70" t="s">
        <v>63</v>
      </c>
      <c r="AR70" t="s">
        <v>63</v>
      </c>
      <c r="AS70" s="2">
        <v>5727</v>
      </c>
      <c r="AT70" s="2">
        <v>0</v>
      </c>
      <c r="AU70" s="2">
        <v>5727</v>
      </c>
    </row>
    <row r="71" spans="1:47" x14ac:dyDescent="0.4">
      <c r="A71" t="s">
        <v>46</v>
      </c>
      <c r="B71" t="s">
        <v>47</v>
      </c>
      <c r="C71" t="s">
        <v>48</v>
      </c>
      <c r="D71" t="s">
        <v>49</v>
      </c>
      <c r="E71" t="s">
        <v>50</v>
      </c>
      <c r="F71" t="s">
        <v>51</v>
      </c>
      <c r="G71" t="s">
        <v>155</v>
      </c>
      <c r="H71" t="s">
        <v>156</v>
      </c>
      <c r="I71" t="s">
        <v>54</v>
      </c>
      <c r="J71" t="s">
        <v>55</v>
      </c>
      <c r="K71" t="s">
        <v>157</v>
      </c>
      <c r="L71" t="s">
        <v>158</v>
      </c>
      <c r="M71" t="s">
        <v>159</v>
      </c>
      <c r="N71" t="s">
        <v>59</v>
      </c>
      <c r="O71" t="s">
        <v>59</v>
      </c>
      <c r="P71" t="s">
        <v>59</v>
      </c>
      <c r="Q71" t="s">
        <v>160</v>
      </c>
      <c r="R71" t="s">
        <v>61</v>
      </c>
      <c r="S71" t="s">
        <v>64</v>
      </c>
      <c r="T71" s="2">
        <v>0</v>
      </c>
      <c r="U71" s="2">
        <v>9000</v>
      </c>
      <c r="V71" s="2">
        <v>0</v>
      </c>
      <c r="W71" s="2">
        <v>0</v>
      </c>
      <c r="X71" s="2">
        <v>9000</v>
      </c>
      <c r="Y71" s="2">
        <v>0</v>
      </c>
      <c r="Z71" s="2">
        <v>9000</v>
      </c>
      <c r="AA71" s="2">
        <v>0</v>
      </c>
      <c r="AB71" s="2">
        <v>9000</v>
      </c>
      <c r="AC71" s="2">
        <v>0</v>
      </c>
      <c r="AD71" s="2">
        <v>0</v>
      </c>
      <c r="AE71" s="2">
        <v>9000</v>
      </c>
      <c r="AF71" s="2">
        <v>0</v>
      </c>
      <c r="AG71" s="2">
        <v>9000</v>
      </c>
      <c r="AH71" s="2">
        <v>0</v>
      </c>
      <c r="AI71" s="2">
        <v>8730</v>
      </c>
      <c r="AJ71" s="2">
        <v>0</v>
      </c>
      <c r="AK71" s="2">
        <v>0</v>
      </c>
      <c r="AL71" s="2">
        <v>8730</v>
      </c>
      <c r="AM71" s="2">
        <v>0</v>
      </c>
      <c r="AN71" s="2">
        <v>8730</v>
      </c>
      <c r="AO71" t="s">
        <v>63</v>
      </c>
      <c r="AP71" t="s">
        <v>63</v>
      </c>
      <c r="AQ71" t="s">
        <v>63</v>
      </c>
      <c r="AR71" t="s">
        <v>63</v>
      </c>
      <c r="AS71" s="2">
        <v>5238</v>
      </c>
      <c r="AT71" s="2">
        <v>0</v>
      </c>
      <c r="AU71" s="2">
        <v>5238</v>
      </c>
    </row>
    <row r="72" spans="1:47" x14ac:dyDescent="0.4">
      <c r="A72" t="s">
        <v>46</v>
      </c>
      <c r="B72" t="s">
        <v>47</v>
      </c>
      <c r="C72" t="s">
        <v>48</v>
      </c>
      <c r="D72" t="s">
        <v>49</v>
      </c>
      <c r="E72" t="s">
        <v>50</v>
      </c>
      <c r="F72" t="s">
        <v>51</v>
      </c>
      <c r="G72" t="s">
        <v>155</v>
      </c>
      <c r="H72" t="s">
        <v>156</v>
      </c>
      <c r="I72" t="s">
        <v>54</v>
      </c>
      <c r="J72" t="s">
        <v>55</v>
      </c>
      <c r="K72" t="s">
        <v>161</v>
      </c>
      <c r="L72" t="s">
        <v>162</v>
      </c>
      <c r="M72" t="s">
        <v>163</v>
      </c>
      <c r="N72" t="s">
        <v>59</v>
      </c>
      <c r="O72" t="s">
        <v>59</v>
      </c>
      <c r="P72" t="s">
        <v>59</v>
      </c>
      <c r="Q72" t="s">
        <v>160</v>
      </c>
      <c r="R72" t="s">
        <v>61</v>
      </c>
      <c r="S72" t="s">
        <v>62</v>
      </c>
      <c r="T72" s="2">
        <v>170190</v>
      </c>
      <c r="U72" s="2">
        <v>276110</v>
      </c>
      <c r="V72" s="2">
        <v>18900</v>
      </c>
      <c r="W72" s="2">
        <v>482700</v>
      </c>
      <c r="X72" s="2">
        <v>465200</v>
      </c>
      <c r="Y72" s="2">
        <v>482700</v>
      </c>
      <c r="Z72" s="2">
        <v>947900</v>
      </c>
      <c r="AA72" s="2">
        <v>204228</v>
      </c>
      <c r="AB72" s="2">
        <v>276110</v>
      </c>
      <c r="AC72" s="2">
        <v>22260</v>
      </c>
      <c r="AD72" s="2">
        <v>482700</v>
      </c>
      <c r="AE72" s="2">
        <v>502598</v>
      </c>
      <c r="AF72" s="2">
        <v>482700</v>
      </c>
      <c r="AG72" s="2">
        <v>985298</v>
      </c>
      <c r="AH72" s="2">
        <v>183805.2</v>
      </c>
      <c r="AI72" s="2">
        <v>267826.7</v>
      </c>
      <c r="AJ72" s="2">
        <v>15582</v>
      </c>
      <c r="AK72" s="2">
        <v>434430</v>
      </c>
      <c r="AL72" s="2">
        <v>467213.9</v>
      </c>
      <c r="AM72" s="2">
        <v>434430</v>
      </c>
      <c r="AN72" s="2">
        <v>901643.9</v>
      </c>
      <c r="AO72" t="s">
        <v>63</v>
      </c>
      <c r="AP72" t="s">
        <v>63</v>
      </c>
      <c r="AQ72" t="s">
        <v>63</v>
      </c>
      <c r="AR72" t="s">
        <v>63</v>
      </c>
      <c r="AS72" s="2">
        <v>540986</v>
      </c>
      <c r="AT72" s="2">
        <v>0</v>
      </c>
      <c r="AU72" s="2">
        <v>540986</v>
      </c>
    </row>
    <row r="73" spans="1:47" x14ac:dyDescent="0.4">
      <c r="A73" t="s">
        <v>46</v>
      </c>
      <c r="B73" t="s">
        <v>47</v>
      </c>
      <c r="C73" t="s">
        <v>48</v>
      </c>
      <c r="D73" t="s">
        <v>49</v>
      </c>
      <c r="E73" t="s">
        <v>50</v>
      </c>
      <c r="F73" t="s">
        <v>51</v>
      </c>
      <c r="G73" t="s">
        <v>155</v>
      </c>
      <c r="H73" t="s">
        <v>156</v>
      </c>
      <c r="I73" t="s">
        <v>54</v>
      </c>
      <c r="J73" t="s">
        <v>55</v>
      </c>
      <c r="K73" t="s">
        <v>161</v>
      </c>
      <c r="L73" t="s">
        <v>162</v>
      </c>
      <c r="M73" t="s">
        <v>163</v>
      </c>
      <c r="N73" t="s">
        <v>59</v>
      </c>
      <c r="O73" t="s">
        <v>59</v>
      </c>
      <c r="P73" t="s">
        <v>59</v>
      </c>
      <c r="Q73" t="s">
        <v>160</v>
      </c>
      <c r="R73" t="s">
        <v>61</v>
      </c>
      <c r="S73" t="s">
        <v>64</v>
      </c>
      <c r="T73" s="2">
        <v>84880</v>
      </c>
      <c r="U73" s="2">
        <v>150380</v>
      </c>
      <c r="V73" s="2">
        <v>5900</v>
      </c>
      <c r="W73" s="2">
        <v>94140</v>
      </c>
      <c r="X73" s="2">
        <v>241160</v>
      </c>
      <c r="Y73" s="2">
        <v>94140</v>
      </c>
      <c r="Z73" s="2">
        <v>335300</v>
      </c>
      <c r="AA73" s="2">
        <v>101856</v>
      </c>
      <c r="AB73" s="2">
        <v>150380</v>
      </c>
      <c r="AC73" s="2">
        <v>7060</v>
      </c>
      <c r="AD73" s="2">
        <v>94140</v>
      </c>
      <c r="AE73" s="2">
        <v>259296</v>
      </c>
      <c r="AF73" s="2">
        <v>94140</v>
      </c>
      <c r="AG73" s="2">
        <v>353436</v>
      </c>
      <c r="AH73" s="2">
        <v>91670.399999999994</v>
      </c>
      <c r="AI73" s="2">
        <v>145868.6</v>
      </c>
      <c r="AJ73" s="2">
        <v>4942</v>
      </c>
      <c r="AK73" s="2">
        <v>84726</v>
      </c>
      <c r="AL73" s="2">
        <v>242481</v>
      </c>
      <c r="AM73" s="2">
        <v>84726</v>
      </c>
      <c r="AN73" s="2">
        <v>327207</v>
      </c>
      <c r="AO73" t="s">
        <v>63</v>
      </c>
      <c r="AP73" t="s">
        <v>63</v>
      </c>
      <c r="AQ73" t="s">
        <v>63</v>
      </c>
      <c r="AR73" t="s">
        <v>63</v>
      </c>
      <c r="AS73" s="2">
        <v>196324</v>
      </c>
      <c r="AT73" s="2">
        <v>0</v>
      </c>
      <c r="AU73" s="2">
        <v>196324</v>
      </c>
    </row>
    <row r="74" spans="1:47" x14ac:dyDescent="0.4">
      <c r="A74" t="s">
        <v>46</v>
      </c>
      <c r="B74" t="s">
        <v>47</v>
      </c>
      <c r="C74" t="s">
        <v>48</v>
      </c>
      <c r="D74" t="s">
        <v>49</v>
      </c>
      <c r="E74" t="s">
        <v>50</v>
      </c>
      <c r="F74" t="s">
        <v>51</v>
      </c>
      <c r="G74" t="s">
        <v>155</v>
      </c>
      <c r="H74" t="s">
        <v>156</v>
      </c>
      <c r="I74" t="s">
        <v>54</v>
      </c>
      <c r="J74" t="s">
        <v>55</v>
      </c>
      <c r="K74" t="s">
        <v>161</v>
      </c>
      <c r="L74" t="s">
        <v>162</v>
      </c>
      <c r="M74" t="s">
        <v>163</v>
      </c>
      <c r="N74" t="s">
        <v>59</v>
      </c>
      <c r="O74" t="s">
        <v>59</v>
      </c>
      <c r="P74" t="s">
        <v>59</v>
      </c>
      <c r="Q74" t="s">
        <v>160</v>
      </c>
      <c r="R74" t="s">
        <v>61</v>
      </c>
      <c r="S74" t="s">
        <v>64</v>
      </c>
      <c r="T74" s="2">
        <v>60440</v>
      </c>
      <c r="U74" s="2">
        <v>58980</v>
      </c>
      <c r="V74" s="2">
        <v>5400</v>
      </c>
      <c r="W74" s="2">
        <v>48180</v>
      </c>
      <c r="X74" s="2">
        <v>124820</v>
      </c>
      <c r="Y74" s="2">
        <v>48180</v>
      </c>
      <c r="Z74" s="2">
        <v>173000</v>
      </c>
      <c r="AA74" s="2">
        <v>72528</v>
      </c>
      <c r="AB74" s="2">
        <v>58980</v>
      </c>
      <c r="AC74" s="2">
        <v>6210</v>
      </c>
      <c r="AD74" s="2">
        <v>48180</v>
      </c>
      <c r="AE74" s="2">
        <v>137718</v>
      </c>
      <c r="AF74" s="2">
        <v>48180</v>
      </c>
      <c r="AG74" s="2">
        <v>185898</v>
      </c>
      <c r="AH74" s="2">
        <v>65275.199999999997</v>
      </c>
      <c r="AI74" s="2">
        <v>57210.6</v>
      </c>
      <c r="AJ74" s="2">
        <v>4347</v>
      </c>
      <c r="AK74" s="2">
        <v>43362</v>
      </c>
      <c r="AL74" s="2">
        <v>126832.8</v>
      </c>
      <c r="AM74" s="2">
        <v>43362</v>
      </c>
      <c r="AN74" s="2">
        <v>170194.8</v>
      </c>
      <c r="AO74" t="s">
        <v>63</v>
      </c>
      <c r="AP74" t="s">
        <v>63</v>
      </c>
      <c r="AQ74" t="s">
        <v>63</v>
      </c>
      <c r="AR74" t="s">
        <v>63</v>
      </c>
      <c r="AS74" s="2">
        <v>102116</v>
      </c>
      <c r="AT74" s="2">
        <v>0</v>
      </c>
      <c r="AU74" s="2">
        <v>102116</v>
      </c>
    </row>
    <row r="75" spans="1:47" x14ac:dyDescent="0.4">
      <c r="A75" t="s">
        <v>46</v>
      </c>
      <c r="B75" t="s">
        <v>47</v>
      </c>
      <c r="C75" t="s">
        <v>48</v>
      </c>
      <c r="D75" t="s">
        <v>49</v>
      </c>
      <c r="E75" t="s">
        <v>50</v>
      </c>
      <c r="F75" t="s">
        <v>51</v>
      </c>
      <c r="G75" t="s">
        <v>155</v>
      </c>
      <c r="H75" t="s">
        <v>156</v>
      </c>
      <c r="I75" t="s">
        <v>54</v>
      </c>
      <c r="J75" t="s">
        <v>55</v>
      </c>
      <c r="K75" t="s">
        <v>161</v>
      </c>
      <c r="L75" t="s">
        <v>162</v>
      </c>
      <c r="M75" t="s">
        <v>163</v>
      </c>
      <c r="N75" t="s">
        <v>59</v>
      </c>
      <c r="O75" t="s">
        <v>59</v>
      </c>
      <c r="P75" t="s">
        <v>59</v>
      </c>
      <c r="Q75" t="s">
        <v>160</v>
      </c>
      <c r="R75" t="s">
        <v>61</v>
      </c>
      <c r="S75" t="s">
        <v>64</v>
      </c>
      <c r="T75" s="2">
        <v>112900</v>
      </c>
      <c r="U75" s="2">
        <v>112780</v>
      </c>
      <c r="V75" s="2">
        <v>7200</v>
      </c>
      <c r="W75" s="2">
        <v>33120</v>
      </c>
      <c r="X75" s="2">
        <v>232880</v>
      </c>
      <c r="Y75" s="2">
        <v>33120</v>
      </c>
      <c r="Z75" s="2">
        <v>266000</v>
      </c>
      <c r="AA75" s="2">
        <v>135480</v>
      </c>
      <c r="AB75" s="2">
        <v>112780</v>
      </c>
      <c r="AC75" s="2">
        <v>8620</v>
      </c>
      <c r="AD75" s="2">
        <v>33120</v>
      </c>
      <c r="AE75" s="2">
        <v>256880</v>
      </c>
      <c r="AF75" s="2">
        <v>33120</v>
      </c>
      <c r="AG75" s="2">
        <v>290000</v>
      </c>
      <c r="AH75" s="2">
        <v>121932</v>
      </c>
      <c r="AI75" s="2">
        <v>109396.6</v>
      </c>
      <c r="AJ75" s="2">
        <v>6034</v>
      </c>
      <c r="AK75" s="2">
        <v>29808</v>
      </c>
      <c r="AL75" s="2">
        <v>237362.6</v>
      </c>
      <c r="AM75" s="2">
        <v>29808</v>
      </c>
      <c r="AN75" s="2">
        <v>267170.59999999998</v>
      </c>
      <c r="AO75" t="s">
        <v>63</v>
      </c>
      <c r="AP75" t="s">
        <v>63</v>
      </c>
      <c r="AQ75" t="s">
        <v>63</v>
      </c>
      <c r="AR75" t="s">
        <v>63</v>
      </c>
      <c r="AS75" s="2">
        <v>160302</v>
      </c>
      <c r="AT75" s="2">
        <v>0</v>
      </c>
      <c r="AU75" s="2">
        <v>160302</v>
      </c>
    </row>
    <row r="76" spans="1:47" x14ac:dyDescent="0.4">
      <c r="A76" t="s">
        <v>46</v>
      </c>
      <c r="B76" t="s">
        <v>47</v>
      </c>
      <c r="C76" t="s">
        <v>48</v>
      </c>
      <c r="D76" t="s">
        <v>49</v>
      </c>
      <c r="E76" t="s">
        <v>50</v>
      </c>
      <c r="F76" t="s">
        <v>51</v>
      </c>
      <c r="G76" t="s">
        <v>164</v>
      </c>
      <c r="H76" t="s">
        <v>165</v>
      </c>
      <c r="I76" t="s">
        <v>54</v>
      </c>
      <c r="J76" t="s">
        <v>55</v>
      </c>
      <c r="K76" t="s">
        <v>166</v>
      </c>
      <c r="L76" t="s">
        <v>167</v>
      </c>
      <c r="M76" t="s">
        <v>168</v>
      </c>
      <c r="N76" t="s">
        <v>59</v>
      </c>
      <c r="O76" t="s">
        <v>59</v>
      </c>
      <c r="P76" t="s">
        <v>59</v>
      </c>
      <c r="Q76" t="s">
        <v>169</v>
      </c>
      <c r="R76" t="s">
        <v>61</v>
      </c>
      <c r="S76" t="s">
        <v>62</v>
      </c>
      <c r="T76" s="2">
        <v>1170500</v>
      </c>
      <c r="U76" s="2">
        <v>1353660</v>
      </c>
      <c r="V76" s="2">
        <v>107000</v>
      </c>
      <c r="W76" s="2">
        <v>3596640</v>
      </c>
      <c r="X76" s="2">
        <v>2631160</v>
      </c>
      <c r="Y76" s="2">
        <v>3596640</v>
      </c>
      <c r="Z76" s="2">
        <v>6227800</v>
      </c>
      <c r="AA76" s="2">
        <v>1404600</v>
      </c>
      <c r="AB76" s="2">
        <v>1353660</v>
      </c>
      <c r="AC76" s="2">
        <v>127213</v>
      </c>
      <c r="AD76" s="2">
        <v>3596640</v>
      </c>
      <c r="AE76" s="2">
        <v>2885473</v>
      </c>
      <c r="AF76" s="2">
        <v>3596640</v>
      </c>
      <c r="AG76" s="2">
        <v>6482113</v>
      </c>
      <c r="AH76" s="2">
        <v>1264140</v>
      </c>
      <c r="AI76" s="2">
        <v>1313050.2</v>
      </c>
      <c r="AJ76" s="2">
        <v>89049.1</v>
      </c>
      <c r="AK76" s="2">
        <v>3236976</v>
      </c>
      <c r="AL76" s="2">
        <v>2666239.2999999998</v>
      </c>
      <c r="AM76" s="2">
        <v>3236976</v>
      </c>
      <c r="AN76" s="2">
        <v>5903215.2999999998</v>
      </c>
      <c r="AO76" t="s">
        <v>63</v>
      </c>
      <c r="AP76" t="s">
        <v>63</v>
      </c>
      <c r="AQ76" t="s">
        <v>63</v>
      </c>
      <c r="AR76" t="s">
        <v>63</v>
      </c>
      <c r="AS76" s="2">
        <v>3541929</v>
      </c>
      <c r="AT76" s="2">
        <v>0</v>
      </c>
      <c r="AU76" s="2">
        <v>3541929</v>
      </c>
    </row>
    <row r="77" spans="1:47" x14ac:dyDescent="0.4">
      <c r="A77" t="s">
        <v>46</v>
      </c>
      <c r="B77" t="s">
        <v>47</v>
      </c>
      <c r="C77" t="s">
        <v>48</v>
      </c>
      <c r="D77" t="s">
        <v>49</v>
      </c>
      <c r="E77" t="s">
        <v>50</v>
      </c>
      <c r="F77" t="s">
        <v>51</v>
      </c>
      <c r="G77" t="s">
        <v>164</v>
      </c>
      <c r="H77" t="s">
        <v>165</v>
      </c>
      <c r="I77" t="s">
        <v>54</v>
      </c>
      <c r="J77" t="s">
        <v>55</v>
      </c>
      <c r="K77" t="s">
        <v>166</v>
      </c>
      <c r="L77" t="s">
        <v>167</v>
      </c>
      <c r="M77" t="s">
        <v>168</v>
      </c>
      <c r="N77" t="s">
        <v>59</v>
      </c>
      <c r="O77" t="s">
        <v>59</v>
      </c>
      <c r="P77" t="s">
        <v>59</v>
      </c>
      <c r="Q77" t="s">
        <v>169</v>
      </c>
      <c r="R77" t="s">
        <v>61</v>
      </c>
      <c r="S77" t="s">
        <v>64</v>
      </c>
      <c r="T77" s="2">
        <v>1020540</v>
      </c>
      <c r="U77" s="2">
        <v>1774410</v>
      </c>
      <c r="V77" s="2">
        <v>130500</v>
      </c>
      <c r="W77" s="2">
        <v>758850</v>
      </c>
      <c r="X77" s="2">
        <v>2925450</v>
      </c>
      <c r="Y77" s="2">
        <v>758850</v>
      </c>
      <c r="Z77" s="2">
        <v>3684300</v>
      </c>
      <c r="AA77" s="2">
        <v>1224648</v>
      </c>
      <c r="AB77" s="2">
        <v>1774410</v>
      </c>
      <c r="AC77" s="2">
        <v>155264</v>
      </c>
      <c r="AD77" s="2">
        <v>758850</v>
      </c>
      <c r="AE77" s="2">
        <v>3154322</v>
      </c>
      <c r="AF77" s="2">
        <v>758850</v>
      </c>
      <c r="AG77" s="2">
        <v>3913172</v>
      </c>
      <c r="AH77" s="2">
        <v>1102183.2</v>
      </c>
      <c r="AI77" s="2">
        <v>1721177.7</v>
      </c>
      <c r="AJ77" s="2">
        <v>108684.8</v>
      </c>
      <c r="AK77" s="2">
        <v>682965</v>
      </c>
      <c r="AL77" s="2">
        <v>2932045.7</v>
      </c>
      <c r="AM77" s="2">
        <v>682965</v>
      </c>
      <c r="AN77" s="2">
        <v>3615010.7</v>
      </c>
      <c r="AO77" t="s">
        <v>63</v>
      </c>
      <c r="AP77" t="s">
        <v>63</v>
      </c>
      <c r="AQ77" t="s">
        <v>63</v>
      </c>
      <c r="AR77" t="s">
        <v>63</v>
      </c>
      <c r="AS77" s="2">
        <v>2169007</v>
      </c>
      <c r="AT77" s="2">
        <v>0</v>
      </c>
      <c r="AU77" s="2">
        <v>2169007</v>
      </c>
    </row>
    <row r="78" spans="1:47" x14ac:dyDescent="0.4">
      <c r="A78" t="s">
        <v>46</v>
      </c>
      <c r="B78" t="s">
        <v>47</v>
      </c>
      <c r="C78" t="s">
        <v>48</v>
      </c>
      <c r="D78" t="s">
        <v>49</v>
      </c>
      <c r="E78" t="s">
        <v>50</v>
      </c>
      <c r="F78" t="s">
        <v>51</v>
      </c>
      <c r="G78" t="s">
        <v>164</v>
      </c>
      <c r="H78" t="s">
        <v>165</v>
      </c>
      <c r="I78" t="s">
        <v>54</v>
      </c>
      <c r="J78" t="s">
        <v>55</v>
      </c>
      <c r="K78" t="s">
        <v>166</v>
      </c>
      <c r="L78" t="s">
        <v>167</v>
      </c>
      <c r="M78" t="s">
        <v>168</v>
      </c>
      <c r="N78" t="s">
        <v>59</v>
      </c>
      <c r="O78" t="s">
        <v>59</v>
      </c>
      <c r="P78" t="s">
        <v>59</v>
      </c>
      <c r="Q78" t="s">
        <v>169</v>
      </c>
      <c r="R78" t="s">
        <v>61</v>
      </c>
      <c r="S78" t="s">
        <v>64</v>
      </c>
      <c r="T78" s="2">
        <v>574920</v>
      </c>
      <c r="U78" s="2">
        <v>1020640</v>
      </c>
      <c r="V78" s="2">
        <v>40600</v>
      </c>
      <c r="W78" s="2">
        <v>368140</v>
      </c>
      <c r="X78" s="2">
        <v>1636160</v>
      </c>
      <c r="Y78" s="2">
        <v>368140</v>
      </c>
      <c r="Z78" s="2">
        <v>2004300</v>
      </c>
      <c r="AA78" s="2">
        <v>689904</v>
      </c>
      <c r="AB78" s="2">
        <v>1020640</v>
      </c>
      <c r="AC78" s="2">
        <v>48360</v>
      </c>
      <c r="AD78" s="2">
        <v>368140</v>
      </c>
      <c r="AE78" s="2">
        <v>1758904</v>
      </c>
      <c r="AF78" s="2">
        <v>368140</v>
      </c>
      <c r="AG78" s="2">
        <v>2127044</v>
      </c>
      <c r="AH78" s="2">
        <v>620913.6</v>
      </c>
      <c r="AI78" s="2">
        <v>990020.8</v>
      </c>
      <c r="AJ78" s="2">
        <v>33852</v>
      </c>
      <c r="AK78" s="2">
        <v>331326</v>
      </c>
      <c r="AL78" s="2">
        <v>1644786.4</v>
      </c>
      <c r="AM78" s="2">
        <v>331326</v>
      </c>
      <c r="AN78" s="2">
        <v>1976112.4</v>
      </c>
      <c r="AO78" t="s">
        <v>63</v>
      </c>
      <c r="AP78" t="s">
        <v>63</v>
      </c>
      <c r="AQ78" t="s">
        <v>63</v>
      </c>
      <c r="AR78" t="s">
        <v>63</v>
      </c>
      <c r="AS78" s="2">
        <v>1185667</v>
      </c>
      <c r="AT78" s="2">
        <v>0</v>
      </c>
      <c r="AU78" s="2">
        <v>1185667</v>
      </c>
    </row>
    <row r="79" spans="1:47" x14ac:dyDescent="0.4">
      <c r="A79" t="s">
        <v>46</v>
      </c>
      <c r="B79" t="s">
        <v>47</v>
      </c>
      <c r="C79" t="s">
        <v>48</v>
      </c>
      <c r="D79" t="s">
        <v>49</v>
      </c>
      <c r="E79" t="s">
        <v>50</v>
      </c>
      <c r="F79" t="s">
        <v>51</v>
      </c>
      <c r="G79" t="s">
        <v>164</v>
      </c>
      <c r="H79" t="s">
        <v>165</v>
      </c>
      <c r="I79" t="s">
        <v>54</v>
      </c>
      <c r="J79" t="s">
        <v>55</v>
      </c>
      <c r="K79" t="s">
        <v>166</v>
      </c>
      <c r="L79" t="s">
        <v>167</v>
      </c>
      <c r="M79" t="s">
        <v>168</v>
      </c>
      <c r="N79" t="s">
        <v>59</v>
      </c>
      <c r="O79" t="s">
        <v>59</v>
      </c>
      <c r="P79" t="s">
        <v>59</v>
      </c>
      <c r="Q79" t="s">
        <v>169</v>
      </c>
      <c r="R79" t="s">
        <v>61</v>
      </c>
      <c r="S79" t="s">
        <v>64</v>
      </c>
      <c r="T79" s="2">
        <v>653310</v>
      </c>
      <c r="U79" s="2">
        <v>954810</v>
      </c>
      <c r="V79" s="2">
        <v>83680</v>
      </c>
      <c r="W79" s="2">
        <v>224100</v>
      </c>
      <c r="X79" s="2">
        <v>1691800</v>
      </c>
      <c r="Y79" s="2">
        <v>224100</v>
      </c>
      <c r="Z79" s="2">
        <v>1915900</v>
      </c>
      <c r="AA79" s="2">
        <v>783972</v>
      </c>
      <c r="AB79" s="2">
        <v>954810</v>
      </c>
      <c r="AC79" s="2">
        <v>97756</v>
      </c>
      <c r="AD79" s="2">
        <v>224100</v>
      </c>
      <c r="AE79" s="2">
        <v>1836538</v>
      </c>
      <c r="AF79" s="2">
        <v>224100</v>
      </c>
      <c r="AG79" s="2">
        <v>2060638</v>
      </c>
      <c r="AH79" s="2">
        <v>705574.8</v>
      </c>
      <c r="AI79" s="2">
        <v>926165.7</v>
      </c>
      <c r="AJ79" s="2">
        <v>68429.2</v>
      </c>
      <c r="AK79" s="2">
        <v>201690</v>
      </c>
      <c r="AL79" s="2">
        <v>1700169.7</v>
      </c>
      <c r="AM79" s="2">
        <v>201690</v>
      </c>
      <c r="AN79" s="2">
        <v>1901859.7</v>
      </c>
      <c r="AO79" t="s">
        <v>63</v>
      </c>
      <c r="AP79" t="s">
        <v>63</v>
      </c>
      <c r="AQ79" t="s">
        <v>63</v>
      </c>
      <c r="AR79" t="s">
        <v>63</v>
      </c>
      <c r="AS79" s="2">
        <v>1141116</v>
      </c>
      <c r="AT79" s="2">
        <v>0</v>
      </c>
      <c r="AU79" s="2">
        <v>1141116</v>
      </c>
    </row>
    <row r="80" spans="1:47" x14ac:dyDescent="0.4">
      <c r="A80" t="s">
        <v>46</v>
      </c>
      <c r="B80" t="s">
        <v>47</v>
      </c>
      <c r="C80" t="s">
        <v>48</v>
      </c>
      <c r="D80" t="s">
        <v>49</v>
      </c>
      <c r="E80" t="s">
        <v>50</v>
      </c>
      <c r="F80" t="s">
        <v>51</v>
      </c>
      <c r="G80" t="s">
        <v>170</v>
      </c>
      <c r="H80" t="s">
        <v>171</v>
      </c>
      <c r="I80" t="s">
        <v>54</v>
      </c>
      <c r="J80" t="s">
        <v>55</v>
      </c>
      <c r="K80" t="s">
        <v>172</v>
      </c>
      <c r="L80" t="s">
        <v>173</v>
      </c>
      <c r="M80" t="s">
        <v>174</v>
      </c>
      <c r="N80" t="s">
        <v>59</v>
      </c>
      <c r="O80" t="s">
        <v>59</v>
      </c>
      <c r="P80" t="s">
        <v>59</v>
      </c>
      <c r="Q80" t="s">
        <v>175</v>
      </c>
      <c r="R80" t="s">
        <v>61</v>
      </c>
      <c r="S80" t="s">
        <v>62</v>
      </c>
      <c r="T80" s="2">
        <v>178400</v>
      </c>
      <c r="U80" s="2">
        <v>254870</v>
      </c>
      <c r="V80" s="2">
        <v>58990</v>
      </c>
      <c r="W80" s="2">
        <v>708240</v>
      </c>
      <c r="X80" s="2">
        <v>492260</v>
      </c>
      <c r="Y80" s="2">
        <v>708240</v>
      </c>
      <c r="Z80" s="2">
        <v>1200500</v>
      </c>
      <c r="AA80" s="2">
        <v>214080</v>
      </c>
      <c r="AB80" s="2">
        <v>254870</v>
      </c>
      <c r="AC80" s="2">
        <v>70594</v>
      </c>
      <c r="AD80" s="2">
        <v>708240</v>
      </c>
      <c r="AE80" s="2">
        <v>539544</v>
      </c>
      <c r="AF80" s="2">
        <v>708240</v>
      </c>
      <c r="AG80" s="2">
        <v>1247784</v>
      </c>
      <c r="AH80" s="2">
        <v>192672</v>
      </c>
      <c r="AI80" s="2">
        <v>247223.9</v>
      </c>
      <c r="AJ80" s="2">
        <v>49415.8</v>
      </c>
      <c r="AK80" s="2">
        <v>637416</v>
      </c>
      <c r="AL80" s="2">
        <v>489311.7</v>
      </c>
      <c r="AM80" s="2">
        <v>637416</v>
      </c>
      <c r="AN80" s="2">
        <v>1126727.7</v>
      </c>
      <c r="AO80" t="s">
        <v>63</v>
      </c>
      <c r="AP80" t="s">
        <v>63</v>
      </c>
      <c r="AQ80" t="s">
        <v>63</v>
      </c>
      <c r="AR80" t="s">
        <v>63</v>
      </c>
      <c r="AS80" s="2">
        <v>676036</v>
      </c>
      <c r="AT80" s="2">
        <v>0</v>
      </c>
      <c r="AU80" s="2">
        <v>676036</v>
      </c>
    </row>
    <row r="81" spans="1:47" x14ac:dyDescent="0.4">
      <c r="A81" t="s">
        <v>46</v>
      </c>
      <c r="B81" t="s">
        <v>47</v>
      </c>
      <c r="C81" t="s">
        <v>48</v>
      </c>
      <c r="D81" t="s">
        <v>49</v>
      </c>
      <c r="E81" t="s">
        <v>50</v>
      </c>
      <c r="F81" t="s">
        <v>51</v>
      </c>
      <c r="G81" t="s">
        <v>170</v>
      </c>
      <c r="H81" t="s">
        <v>171</v>
      </c>
      <c r="I81" t="s">
        <v>54</v>
      </c>
      <c r="J81" t="s">
        <v>55</v>
      </c>
      <c r="K81" t="s">
        <v>172</v>
      </c>
      <c r="L81" t="s">
        <v>173</v>
      </c>
      <c r="M81" t="s">
        <v>174</v>
      </c>
      <c r="N81" t="s">
        <v>59</v>
      </c>
      <c r="O81" t="s">
        <v>59</v>
      </c>
      <c r="P81" t="s">
        <v>59</v>
      </c>
      <c r="Q81" t="s">
        <v>175</v>
      </c>
      <c r="R81" t="s">
        <v>61</v>
      </c>
      <c r="S81" t="s">
        <v>64</v>
      </c>
      <c r="T81" s="2">
        <v>90160</v>
      </c>
      <c r="U81" s="2">
        <v>400540</v>
      </c>
      <c r="V81" s="2">
        <v>44880</v>
      </c>
      <c r="W81" s="2">
        <v>264020</v>
      </c>
      <c r="X81" s="2">
        <v>535580</v>
      </c>
      <c r="Y81" s="2">
        <v>264020</v>
      </c>
      <c r="Z81" s="2">
        <v>799600</v>
      </c>
      <c r="AA81" s="2">
        <v>108192</v>
      </c>
      <c r="AB81" s="2">
        <v>400540</v>
      </c>
      <c r="AC81" s="2">
        <v>53296</v>
      </c>
      <c r="AD81" s="2">
        <v>264020</v>
      </c>
      <c r="AE81" s="2">
        <v>562028</v>
      </c>
      <c r="AF81" s="2">
        <v>264020</v>
      </c>
      <c r="AG81" s="2">
        <v>826048</v>
      </c>
      <c r="AH81" s="2">
        <v>97372.800000000003</v>
      </c>
      <c r="AI81" s="2">
        <v>388523.8</v>
      </c>
      <c r="AJ81" s="2">
        <v>37307.199999999997</v>
      </c>
      <c r="AK81" s="2">
        <v>237618</v>
      </c>
      <c r="AL81" s="2">
        <v>523203.8</v>
      </c>
      <c r="AM81" s="2">
        <v>237618</v>
      </c>
      <c r="AN81" s="2">
        <v>760821.8</v>
      </c>
      <c r="AO81" t="s">
        <v>63</v>
      </c>
      <c r="AP81" t="s">
        <v>63</v>
      </c>
      <c r="AQ81" t="s">
        <v>63</v>
      </c>
      <c r="AR81" t="s">
        <v>63</v>
      </c>
      <c r="AS81" s="2">
        <v>456493</v>
      </c>
      <c r="AT81" s="2">
        <v>0</v>
      </c>
      <c r="AU81" s="2">
        <v>456493</v>
      </c>
    </row>
    <row r="82" spans="1:47" x14ac:dyDescent="0.4">
      <c r="A82" t="s">
        <v>46</v>
      </c>
      <c r="B82" t="s">
        <v>47</v>
      </c>
      <c r="C82" t="s">
        <v>48</v>
      </c>
      <c r="D82" t="s">
        <v>49</v>
      </c>
      <c r="E82" t="s">
        <v>50</v>
      </c>
      <c r="F82" t="s">
        <v>51</v>
      </c>
      <c r="G82" t="s">
        <v>170</v>
      </c>
      <c r="H82" t="s">
        <v>171</v>
      </c>
      <c r="I82" t="s">
        <v>54</v>
      </c>
      <c r="J82" t="s">
        <v>55</v>
      </c>
      <c r="K82" t="s">
        <v>172</v>
      </c>
      <c r="L82" t="s">
        <v>173</v>
      </c>
      <c r="M82" t="s">
        <v>174</v>
      </c>
      <c r="N82" t="s">
        <v>59</v>
      </c>
      <c r="O82" t="s">
        <v>59</v>
      </c>
      <c r="P82" t="s">
        <v>59</v>
      </c>
      <c r="Q82" t="s">
        <v>175</v>
      </c>
      <c r="R82" t="s">
        <v>61</v>
      </c>
      <c r="S82" t="s">
        <v>64</v>
      </c>
      <c r="T82" s="2">
        <v>113770</v>
      </c>
      <c r="U82" s="2">
        <v>253670</v>
      </c>
      <c r="V82" s="2">
        <v>25900</v>
      </c>
      <c r="W82" s="2">
        <v>120960</v>
      </c>
      <c r="X82" s="2">
        <v>393340</v>
      </c>
      <c r="Y82" s="2">
        <v>120960</v>
      </c>
      <c r="Z82" s="2">
        <v>514300</v>
      </c>
      <c r="AA82" s="2">
        <v>136524</v>
      </c>
      <c r="AB82" s="2">
        <v>253670</v>
      </c>
      <c r="AC82" s="2">
        <v>31080</v>
      </c>
      <c r="AD82" s="2">
        <v>120960</v>
      </c>
      <c r="AE82" s="2">
        <v>421274</v>
      </c>
      <c r="AF82" s="2">
        <v>120960</v>
      </c>
      <c r="AG82" s="2">
        <v>542234</v>
      </c>
      <c r="AH82" s="2">
        <v>122871.6</v>
      </c>
      <c r="AI82" s="2">
        <v>246059.9</v>
      </c>
      <c r="AJ82" s="2">
        <v>21756</v>
      </c>
      <c r="AK82" s="2">
        <v>108864</v>
      </c>
      <c r="AL82" s="2">
        <v>390687.5</v>
      </c>
      <c r="AM82" s="2">
        <v>108864</v>
      </c>
      <c r="AN82" s="2">
        <v>499551.5</v>
      </c>
      <c r="AO82" t="s">
        <v>63</v>
      </c>
      <c r="AP82" t="s">
        <v>63</v>
      </c>
      <c r="AQ82" t="s">
        <v>63</v>
      </c>
      <c r="AR82" t="s">
        <v>63</v>
      </c>
      <c r="AS82" s="2">
        <v>299731</v>
      </c>
      <c r="AT82" s="2">
        <v>0</v>
      </c>
      <c r="AU82" s="2">
        <v>299731</v>
      </c>
    </row>
    <row r="83" spans="1:47" x14ac:dyDescent="0.4">
      <c r="A83" t="s">
        <v>46</v>
      </c>
      <c r="B83" t="s">
        <v>47</v>
      </c>
      <c r="C83" t="s">
        <v>48</v>
      </c>
      <c r="D83" t="s">
        <v>49</v>
      </c>
      <c r="E83" t="s">
        <v>50</v>
      </c>
      <c r="F83" t="s">
        <v>51</v>
      </c>
      <c r="G83" t="s">
        <v>170</v>
      </c>
      <c r="H83" t="s">
        <v>171</v>
      </c>
      <c r="I83" t="s">
        <v>54</v>
      </c>
      <c r="J83" t="s">
        <v>55</v>
      </c>
      <c r="K83" t="s">
        <v>172</v>
      </c>
      <c r="L83" t="s">
        <v>173</v>
      </c>
      <c r="M83" t="s">
        <v>174</v>
      </c>
      <c r="N83" t="s">
        <v>59</v>
      </c>
      <c r="O83" t="s">
        <v>59</v>
      </c>
      <c r="P83" t="s">
        <v>59</v>
      </c>
      <c r="Q83" t="s">
        <v>175</v>
      </c>
      <c r="R83" t="s">
        <v>61</v>
      </c>
      <c r="S83" t="s">
        <v>64</v>
      </c>
      <c r="T83" s="2">
        <v>75750</v>
      </c>
      <c r="U83" s="2">
        <v>263100</v>
      </c>
      <c r="V83" s="2">
        <v>33300</v>
      </c>
      <c r="W83" s="2">
        <v>85450</v>
      </c>
      <c r="X83" s="2">
        <v>372150</v>
      </c>
      <c r="Y83" s="2">
        <v>85450</v>
      </c>
      <c r="Z83" s="2">
        <v>457600</v>
      </c>
      <c r="AA83" s="2">
        <v>90900</v>
      </c>
      <c r="AB83" s="2">
        <v>263100</v>
      </c>
      <c r="AC83" s="2">
        <v>38730</v>
      </c>
      <c r="AD83" s="2">
        <v>85450</v>
      </c>
      <c r="AE83" s="2">
        <v>392730</v>
      </c>
      <c r="AF83" s="2">
        <v>85450</v>
      </c>
      <c r="AG83" s="2">
        <v>478180</v>
      </c>
      <c r="AH83" s="2">
        <v>81810</v>
      </c>
      <c r="AI83" s="2">
        <v>255207</v>
      </c>
      <c r="AJ83" s="2">
        <v>27111</v>
      </c>
      <c r="AK83" s="2">
        <v>76905</v>
      </c>
      <c r="AL83" s="2">
        <v>364128</v>
      </c>
      <c r="AM83" s="2">
        <v>76905</v>
      </c>
      <c r="AN83" s="2">
        <v>441033</v>
      </c>
      <c r="AO83" t="s">
        <v>63</v>
      </c>
      <c r="AP83" t="s">
        <v>63</v>
      </c>
      <c r="AQ83" t="s">
        <v>63</v>
      </c>
      <c r="AR83" t="s">
        <v>63</v>
      </c>
      <c r="AS83" s="2">
        <v>264620</v>
      </c>
      <c r="AT83" s="2">
        <v>0</v>
      </c>
      <c r="AU83" s="2">
        <v>264620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U49"/>
  <sheetViews>
    <sheetView workbookViewId="0">
      <selection activeCell="E20" sqref="E20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19.796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41.1992187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25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5" t="s">
        <v>45</v>
      </c>
    </row>
    <row r="2" spans="1:47" x14ac:dyDescent="0.4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4" t="s">
        <v>53</v>
      </c>
      <c r="I2" s="4" t="s">
        <v>54</v>
      </c>
      <c r="J2" s="4" t="s">
        <v>55</v>
      </c>
      <c r="K2" s="4" t="s">
        <v>56</v>
      </c>
      <c r="L2" s="4" t="s">
        <v>57</v>
      </c>
      <c r="M2" s="4" t="s">
        <v>58</v>
      </c>
      <c r="N2" s="4" t="s">
        <v>59</v>
      </c>
      <c r="O2" s="4" t="s">
        <v>59</v>
      </c>
      <c r="P2" s="4" t="s">
        <v>59</v>
      </c>
      <c r="Q2" s="4" t="s">
        <v>60</v>
      </c>
      <c r="R2" s="4" t="s">
        <v>61</v>
      </c>
      <c r="S2" s="4" t="s">
        <v>62</v>
      </c>
      <c r="T2" s="2">
        <v>1080</v>
      </c>
      <c r="U2" s="2">
        <v>10420</v>
      </c>
      <c r="V2" s="2">
        <v>2300</v>
      </c>
      <c r="W2" s="2">
        <v>64100</v>
      </c>
      <c r="X2" s="2">
        <v>13800</v>
      </c>
      <c r="Y2" s="2">
        <v>64100</v>
      </c>
      <c r="Z2" s="2">
        <v>77900</v>
      </c>
      <c r="AA2" s="2">
        <v>1296</v>
      </c>
      <c r="AB2" s="2">
        <v>10420</v>
      </c>
      <c r="AC2" s="2">
        <v>2760</v>
      </c>
      <c r="AD2" s="2">
        <v>64100</v>
      </c>
      <c r="AE2" s="2">
        <v>14476</v>
      </c>
      <c r="AF2" s="2">
        <v>64100</v>
      </c>
      <c r="AG2" s="2">
        <v>78576</v>
      </c>
      <c r="AH2" s="2">
        <v>1166.4000000000001</v>
      </c>
      <c r="AI2" s="2">
        <v>10107.4</v>
      </c>
      <c r="AJ2" s="2">
        <v>1932</v>
      </c>
      <c r="AK2" s="2">
        <v>57690</v>
      </c>
      <c r="AL2" s="2">
        <v>13205.8</v>
      </c>
      <c r="AM2" s="2">
        <v>57690</v>
      </c>
      <c r="AN2" s="2">
        <v>77900</v>
      </c>
      <c r="AO2" s="4" t="s">
        <v>63</v>
      </c>
      <c r="AP2" s="4" t="s">
        <v>63</v>
      </c>
      <c r="AQ2" s="4" t="s">
        <v>63</v>
      </c>
      <c r="AR2" s="4" t="s">
        <v>63</v>
      </c>
      <c r="AS2" s="2">
        <v>42537</v>
      </c>
      <c r="AT2" s="2">
        <v>0</v>
      </c>
      <c r="AU2" s="2">
        <v>42537</v>
      </c>
    </row>
    <row r="3" spans="1:47" x14ac:dyDescent="0.4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54</v>
      </c>
      <c r="J3" s="4" t="s">
        <v>55</v>
      </c>
      <c r="K3" s="4" t="s">
        <v>56</v>
      </c>
      <c r="L3" s="4" t="s">
        <v>57</v>
      </c>
      <c r="M3" s="4" t="s">
        <v>58</v>
      </c>
      <c r="N3" s="4" t="s">
        <v>59</v>
      </c>
      <c r="O3" s="4" t="s">
        <v>59</v>
      </c>
      <c r="P3" s="4" t="s">
        <v>59</v>
      </c>
      <c r="Q3" s="4" t="s">
        <v>60</v>
      </c>
      <c r="R3" s="4" t="s">
        <v>61</v>
      </c>
      <c r="S3" s="4" t="s">
        <v>64</v>
      </c>
      <c r="T3" s="2">
        <v>7200</v>
      </c>
      <c r="U3" s="2">
        <v>7660</v>
      </c>
      <c r="V3" s="2">
        <v>0</v>
      </c>
      <c r="W3" s="2">
        <v>25740</v>
      </c>
      <c r="X3" s="2">
        <v>14860</v>
      </c>
      <c r="Y3" s="2">
        <v>25740</v>
      </c>
      <c r="Z3" s="2">
        <v>40600</v>
      </c>
      <c r="AA3" s="2">
        <v>8640</v>
      </c>
      <c r="AB3" s="2">
        <v>7660</v>
      </c>
      <c r="AC3" s="2">
        <v>0</v>
      </c>
      <c r="AD3" s="2">
        <v>25740</v>
      </c>
      <c r="AE3" s="2">
        <v>16300</v>
      </c>
      <c r="AF3" s="2">
        <v>25740</v>
      </c>
      <c r="AG3" s="2">
        <v>42040</v>
      </c>
      <c r="AH3" s="2">
        <v>7776</v>
      </c>
      <c r="AI3" s="2">
        <v>7430.2</v>
      </c>
      <c r="AJ3" s="2">
        <v>0</v>
      </c>
      <c r="AK3" s="2">
        <v>23166</v>
      </c>
      <c r="AL3" s="2">
        <v>15206.2</v>
      </c>
      <c r="AM3" s="2">
        <v>23166</v>
      </c>
      <c r="AN3" s="2">
        <v>40600</v>
      </c>
      <c r="AO3" s="4" t="s">
        <v>63</v>
      </c>
      <c r="AP3" s="4" t="s">
        <v>63</v>
      </c>
      <c r="AQ3" s="4" t="s">
        <v>63</v>
      </c>
      <c r="AR3" s="4" t="s">
        <v>63</v>
      </c>
      <c r="AS3" s="2">
        <v>23024</v>
      </c>
      <c r="AT3" s="2">
        <v>0</v>
      </c>
      <c r="AU3" s="2">
        <v>23024</v>
      </c>
    </row>
    <row r="4" spans="1:47" x14ac:dyDescent="0.4">
      <c r="A4" s="4" t="s">
        <v>46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 t="s">
        <v>56</v>
      </c>
      <c r="L4" s="4" t="s">
        <v>57</v>
      </c>
      <c r="M4" s="4" t="s">
        <v>58</v>
      </c>
      <c r="N4" s="4" t="s">
        <v>59</v>
      </c>
      <c r="O4" s="4" t="s">
        <v>59</v>
      </c>
      <c r="P4" s="4" t="s">
        <v>59</v>
      </c>
      <c r="Q4" s="4" t="s">
        <v>60</v>
      </c>
      <c r="R4" s="4" t="s">
        <v>61</v>
      </c>
      <c r="S4" s="4" t="s">
        <v>64</v>
      </c>
      <c r="T4" s="2">
        <v>2000</v>
      </c>
      <c r="U4" s="2">
        <v>9400</v>
      </c>
      <c r="V4" s="2">
        <v>5900</v>
      </c>
      <c r="W4" s="2">
        <v>9200</v>
      </c>
      <c r="X4" s="2">
        <v>17300</v>
      </c>
      <c r="Y4" s="2">
        <v>9200</v>
      </c>
      <c r="Z4" s="2">
        <v>26500</v>
      </c>
      <c r="AA4" s="2">
        <v>2400</v>
      </c>
      <c r="AB4" s="2">
        <v>9400</v>
      </c>
      <c r="AC4" s="2">
        <v>7080</v>
      </c>
      <c r="AD4" s="2">
        <v>9200</v>
      </c>
      <c r="AE4" s="2">
        <v>18880</v>
      </c>
      <c r="AF4" s="2">
        <v>9200</v>
      </c>
      <c r="AG4" s="2">
        <v>28080</v>
      </c>
      <c r="AH4" s="2">
        <v>2160</v>
      </c>
      <c r="AI4" s="2">
        <v>9118</v>
      </c>
      <c r="AJ4" s="2">
        <v>4956</v>
      </c>
      <c r="AK4" s="2">
        <v>8280</v>
      </c>
      <c r="AL4" s="2">
        <v>16234</v>
      </c>
      <c r="AM4" s="2">
        <v>8280</v>
      </c>
      <c r="AN4" s="2">
        <v>26500</v>
      </c>
      <c r="AO4" s="4" t="s">
        <v>63</v>
      </c>
      <c r="AP4" s="4" t="s">
        <v>63</v>
      </c>
      <c r="AQ4" s="4" t="s">
        <v>63</v>
      </c>
      <c r="AR4" s="4" t="s">
        <v>63</v>
      </c>
      <c r="AS4" s="2">
        <v>14709</v>
      </c>
      <c r="AT4" s="2">
        <v>0</v>
      </c>
      <c r="AU4" s="2">
        <v>14709</v>
      </c>
    </row>
    <row r="5" spans="1:47" x14ac:dyDescent="0.4">
      <c r="A5" s="4" t="s">
        <v>46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53</v>
      </c>
      <c r="I5" s="4" t="s">
        <v>54</v>
      </c>
      <c r="J5" s="4" t="s">
        <v>55</v>
      </c>
      <c r="K5" s="4" t="s">
        <v>56</v>
      </c>
      <c r="L5" s="4" t="s">
        <v>57</v>
      </c>
      <c r="M5" s="4" t="s">
        <v>58</v>
      </c>
      <c r="N5" s="4" t="s">
        <v>59</v>
      </c>
      <c r="O5" s="4" t="s">
        <v>59</v>
      </c>
      <c r="P5" s="4" t="s">
        <v>59</v>
      </c>
      <c r="Q5" s="4" t="s">
        <v>60</v>
      </c>
      <c r="R5" s="4" t="s">
        <v>61</v>
      </c>
      <c r="S5" s="4" t="s">
        <v>64</v>
      </c>
      <c r="T5" s="2">
        <v>18000</v>
      </c>
      <c r="U5" s="2">
        <v>18000</v>
      </c>
      <c r="V5" s="2">
        <v>0</v>
      </c>
      <c r="W5" s="2">
        <v>0</v>
      </c>
      <c r="X5" s="2">
        <v>36000</v>
      </c>
      <c r="Y5" s="2">
        <v>0</v>
      </c>
      <c r="Z5" s="2">
        <v>36000</v>
      </c>
      <c r="AA5" s="2">
        <v>21600</v>
      </c>
      <c r="AB5" s="2">
        <v>18000</v>
      </c>
      <c r="AC5" s="2">
        <v>0</v>
      </c>
      <c r="AD5" s="2">
        <v>0</v>
      </c>
      <c r="AE5" s="2">
        <v>39600</v>
      </c>
      <c r="AF5" s="2">
        <v>0</v>
      </c>
      <c r="AG5" s="2">
        <v>39600</v>
      </c>
      <c r="AH5" s="2">
        <v>19440</v>
      </c>
      <c r="AI5" s="2">
        <v>17460</v>
      </c>
      <c r="AJ5" s="2">
        <v>0</v>
      </c>
      <c r="AK5" s="2">
        <v>0</v>
      </c>
      <c r="AL5" s="2">
        <v>36900</v>
      </c>
      <c r="AM5" s="2">
        <v>0</v>
      </c>
      <c r="AN5" s="2">
        <v>36000</v>
      </c>
      <c r="AO5" s="4" t="s">
        <v>63</v>
      </c>
      <c r="AP5" s="4" t="s">
        <v>63</v>
      </c>
      <c r="AQ5" s="4" t="s">
        <v>63</v>
      </c>
      <c r="AR5" s="4" t="s">
        <v>63</v>
      </c>
      <c r="AS5" s="2">
        <v>22140</v>
      </c>
      <c r="AT5" s="2">
        <v>0</v>
      </c>
      <c r="AU5" s="2">
        <v>22140</v>
      </c>
    </row>
    <row r="6" spans="1:47" x14ac:dyDescent="0.4">
      <c r="A6" s="4" t="s">
        <v>46</v>
      </c>
      <c r="B6" s="4" t="s">
        <v>47</v>
      </c>
      <c r="C6" s="4" t="s">
        <v>48</v>
      </c>
      <c r="D6" s="4" t="s">
        <v>49</v>
      </c>
      <c r="E6" s="4" t="s">
        <v>50</v>
      </c>
      <c r="F6" s="4" t="s">
        <v>51</v>
      </c>
      <c r="G6" s="4" t="s">
        <v>52</v>
      </c>
      <c r="H6" s="4" t="s">
        <v>53</v>
      </c>
      <c r="I6" s="4" t="s">
        <v>54</v>
      </c>
      <c r="J6" s="4" t="s">
        <v>55</v>
      </c>
      <c r="K6" s="4" t="s">
        <v>65</v>
      </c>
      <c r="L6" s="4" t="s">
        <v>66</v>
      </c>
      <c r="M6" s="4" t="s">
        <v>67</v>
      </c>
      <c r="N6" s="4" t="s">
        <v>59</v>
      </c>
      <c r="O6" s="4" t="s">
        <v>59</v>
      </c>
      <c r="P6" s="4" t="s">
        <v>59</v>
      </c>
      <c r="Q6" s="4" t="s">
        <v>60</v>
      </c>
      <c r="R6" s="4" t="s">
        <v>61</v>
      </c>
      <c r="S6" s="4" t="s">
        <v>62</v>
      </c>
      <c r="T6" s="2">
        <v>20380</v>
      </c>
      <c r="U6" s="2">
        <v>5900</v>
      </c>
      <c r="V6" s="2">
        <v>0</v>
      </c>
      <c r="W6" s="2">
        <v>26520</v>
      </c>
      <c r="X6" s="2">
        <v>26280</v>
      </c>
      <c r="Y6" s="2">
        <v>26520</v>
      </c>
      <c r="Z6" s="2">
        <v>52800</v>
      </c>
      <c r="AA6" s="2">
        <v>24456</v>
      </c>
      <c r="AB6" s="2">
        <v>5900</v>
      </c>
      <c r="AC6" s="2">
        <v>0</v>
      </c>
      <c r="AD6" s="2">
        <v>26520</v>
      </c>
      <c r="AE6" s="2">
        <v>30356</v>
      </c>
      <c r="AF6" s="2">
        <v>26520</v>
      </c>
      <c r="AG6" s="2">
        <v>56876</v>
      </c>
      <c r="AH6" s="2">
        <v>22010.400000000001</v>
      </c>
      <c r="AI6" s="2">
        <v>5723</v>
      </c>
      <c r="AJ6" s="2">
        <v>0</v>
      </c>
      <c r="AK6" s="2">
        <v>23868</v>
      </c>
      <c r="AL6" s="2">
        <v>27733.4</v>
      </c>
      <c r="AM6" s="2">
        <v>23868</v>
      </c>
      <c r="AN6" s="2">
        <v>52800</v>
      </c>
      <c r="AO6" s="4" t="s">
        <v>63</v>
      </c>
      <c r="AP6" s="4" t="s">
        <v>63</v>
      </c>
      <c r="AQ6" s="4" t="s">
        <v>63</v>
      </c>
      <c r="AR6" s="4" t="s">
        <v>63</v>
      </c>
      <c r="AS6" s="2">
        <v>30961</v>
      </c>
      <c r="AT6" s="2">
        <v>0</v>
      </c>
      <c r="AU6" s="2">
        <v>30961</v>
      </c>
    </row>
    <row r="7" spans="1:47" x14ac:dyDescent="0.4">
      <c r="A7" s="4" t="s">
        <v>46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55</v>
      </c>
      <c r="K7" s="4" t="s">
        <v>65</v>
      </c>
      <c r="L7" s="4" t="s">
        <v>66</v>
      </c>
      <c r="M7" s="4" t="s">
        <v>67</v>
      </c>
      <c r="N7" s="4" t="s">
        <v>59</v>
      </c>
      <c r="O7" s="4" t="s">
        <v>59</v>
      </c>
      <c r="P7" s="4" t="s">
        <v>59</v>
      </c>
      <c r="Q7" s="4" t="s">
        <v>60</v>
      </c>
      <c r="R7" s="4" t="s">
        <v>61</v>
      </c>
      <c r="S7" s="4" t="s">
        <v>64</v>
      </c>
      <c r="T7" s="2">
        <v>2400</v>
      </c>
      <c r="U7" s="2">
        <v>9000</v>
      </c>
      <c r="V7" s="2">
        <v>0</v>
      </c>
      <c r="W7" s="2">
        <v>9200</v>
      </c>
      <c r="X7" s="2">
        <v>11400</v>
      </c>
      <c r="Y7" s="2">
        <v>9200</v>
      </c>
      <c r="Z7" s="2">
        <v>20600</v>
      </c>
      <c r="AA7" s="2">
        <v>2880</v>
      </c>
      <c r="AB7" s="2">
        <v>9000</v>
      </c>
      <c r="AC7" s="2">
        <v>0</v>
      </c>
      <c r="AD7" s="2">
        <v>9200</v>
      </c>
      <c r="AE7" s="2">
        <v>11880</v>
      </c>
      <c r="AF7" s="2">
        <v>9200</v>
      </c>
      <c r="AG7" s="2">
        <v>21080</v>
      </c>
      <c r="AH7" s="2">
        <v>2592</v>
      </c>
      <c r="AI7" s="2">
        <v>8730</v>
      </c>
      <c r="AJ7" s="2">
        <v>0</v>
      </c>
      <c r="AK7" s="2">
        <v>8280</v>
      </c>
      <c r="AL7" s="2">
        <v>11322</v>
      </c>
      <c r="AM7" s="2">
        <v>8280</v>
      </c>
      <c r="AN7" s="2">
        <v>20600</v>
      </c>
      <c r="AO7" s="4" t="s">
        <v>63</v>
      </c>
      <c r="AP7" s="4" t="s">
        <v>63</v>
      </c>
      <c r="AQ7" s="4" t="s">
        <v>63</v>
      </c>
      <c r="AR7" s="4" t="s">
        <v>63</v>
      </c>
      <c r="AS7" s="2">
        <v>11761</v>
      </c>
      <c r="AT7" s="2">
        <v>0</v>
      </c>
      <c r="AU7" s="2">
        <v>11761</v>
      </c>
    </row>
    <row r="8" spans="1:47" x14ac:dyDescent="0.4">
      <c r="A8" s="4" t="s">
        <v>46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52</v>
      </c>
      <c r="H8" s="4" t="s">
        <v>53</v>
      </c>
      <c r="I8" s="4" t="s">
        <v>54</v>
      </c>
      <c r="J8" s="4" t="s">
        <v>55</v>
      </c>
      <c r="K8" s="4" t="s">
        <v>65</v>
      </c>
      <c r="L8" s="4" t="s">
        <v>66</v>
      </c>
      <c r="M8" s="4" t="s">
        <v>67</v>
      </c>
      <c r="N8" s="4" t="s">
        <v>59</v>
      </c>
      <c r="O8" s="4" t="s">
        <v>59</v>
      </c>
      <c r="P8" s="4" t="s">
        <v>59</v>
      </c>
      <c r="Q8" s="4" t="s">
        <v>60</v>
      </c>
      <c r="R8" s="4" t="s">
        <v>61</v>
      </c>
      <c r="S8" s="4" t="s">
        <v>64</v>
      </c>
      <c r="T8" s="2">
        <v>0</v>
      </c>
      <c r="U8" s="2">
        <v>17400</v>
      </c>
      <c r="V8" s="2">
        <v>-2000</v>
      </c>
      <c r="W8" s="2">
        <v>1000</v>
      </c>
      <c r="X8" s="2">
        <v>15400</v>
      </c>
      <c r="Y8" s="2">
        <v>1000</v>
      </c>
      <c r="Z8" s="2">
        <v>16400</v>
      </c>
      <c r="AA8" s="2">
        <v>0</v>
      </c>
      <c r="AB8" s="2">
        <v>17400</v>
      </c>
      <c r="AC8" s="2">
        <v>-2400</v>
      </c>
      <c r="AD8" s="2">
        <v>1000</v>
      </c>
      <c r="AE8" s="2">
        <v>15000</v>
      </c>
      <c r="AF8" s="2">
        <v>1000</v>
      </c>
      <c r="AG8" s="2">
        <v>16000</v>
      </c>
      <c r="AH8" s="2">
        <v>0</v>
      </c>
      <c r="AI8" s="2">
        <v>16878</v>
      </c>
      <c r="AJ8" s="2">
        <v>-1680</v>
      </c>
      <c r="AK8" s="2">
        <v>900</v>
      </c>
      <c r="AL8" s="2">
        <v>15198</v>
      </c>
      <c r="AM8" s="2">
        <v>900</v>
      </c>
      <c r="AN8" s="2">
        <v>16400</v>
      </c>
      <c r="AO8" s="4" t="s">
        <v>63</v>
      </c>
      <c r="AP8" s="4" t="s">
        <v>63</v>
      </c>
      <c r="AQ8" s="4" t="s">
        <v>63</v>
      </c>
      <c r="AR8" s="4" t="s">
        <v>63</v>
      </c>
      <c r="AS8" s="2">
        <v>9659</v>
      </c>
      <c r="AT8" s="2">
        <v>0</v>
      </c>
      <c r="AU8" s="2">
        <v>9659</v>
      </c>
    </row>
    <row r="9" spans="1:47" x14ac:dyDescent="0.4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65</v>
      </c>
      <c r="L9" s="4" t="s">
        <v>66</v>
      </c>
      <c r="M9" s="4" t="s">
        <v>67</v>
      </c>
      <c r="N9" s="4" t="s">
        <v>59</v>
      </c>
      <c r="O9" s="4" t="s">
        <v>59</v>
      </c>
      <c r="P9" s="4" t="s">
        <v>59</v>
      </c>
      <c r="Q9" s="4" t="s">
        <v>60</v>
      </c>
      <c r="R9" s="4" t="s">
        <v>61</v>
      </c>
      <c r="S9" s="4" t="s">
        <v>64</v>
      </c>
      <c r="T9" s="2">
        <v>0</v>
      </c>
      <c r="U9" s="2">
        <v>-15000</v>
      </c>
      <c r="V9" s="2">
        <v>0</v>
      </c>
      <c r="W9" s="2">
        <v>0</v>
      </c>
      <c r="X9" s="2">
        <v>-15000</v>
      </c>
      <c r="Y9" s="2">
        <v>0</v>
      </c>
      <c r="Z9" s="2">
        <v>-15000</v>
      </c>
      <c r="AA9" s="2">
        <v>0</v>
      </c>
      <c r="AB9" s="2">
        <v>-15000</v>
      </c>
      <c r="AC9" s="2">
        <v>0</v>
      </c>
      <c r="AD9" s="2">
        <v>0</v>
      </c>
      <c r="AE9" s="2">
        <v>-15000</v>
      </c>
      <c r="AF9" s="2">
        <v>0</v>
      </c>
      <c r="AG9" s="2">
        <v>-15000</v>
      </c>
      <c r="AH9" s="2">
        <v>0</v>
      </c>
      <c r="AI9" s="2">
        <v>-14550</v>
      </c>
      <c r="AJ9" s="2">
        <v>0</v>
      </c>
      <c r="AK9" s="2">
        <v>0</v>
      </c>
      <c r="AL9" s="2">
        <v>-14550</v>
      </c>
      <c r="AM9" s="2">
        <v>0</v>
      </c>
      <c r="AN9" s="2">
        <v>-15000</v>
      </c>
      <c r="AO9" s="4" t="s">
        <v>63</v>
      </c>
      <c r="AP9" s="4" t="s">
        <v>63</v>
      </c>
      <c r="AQ9" s="4" t="s">
        <v>63</v>
      </c>
      <c r="AR9" s="4" t="s">
        <v>63</v>
      </c>
      <c r="AS9" s="2">
        <v>-8730</v>
      </c>
      <c r="AT9" s="2">
        <v>0</v>
      </c>
      <c r="AU9" s="2">
        <v>-8730</v>
      </c>
    </row>
    <row r="10" spans="1:47" x14ac:dyDescent="0.4">
      <c r="A10" s="4" t="s">
        <v>46</v>
      </c>
      <c r="B10" s="4" t="s">
        <v>47</v>
      </c>
      <c r="C10" s="4" t="s">
        <v>48</v>
      </c>
      <c r="D10" s="4" t="s">
        <v>49</v>
      </c>
      <c r="E10" s="4" t="s">
        <v>50</v>
      </c>
      <c r="F10" s="4" t="s">
        <v>51</v>
      </c>
      <c r="G10" s="4" t="s">
        <v>52</v>
      </c>
      <c r="H10" s="4" t="s">
        <v>53</v>
      </c>
      <c r="I10" s="4" t="s">
        <v>54</v>
      </c>
      <c r="J10" s="4" t="s">
        <v>55</v>
      </c>
      <c r="K10" s="4" t="s">
        <v>68</v>
      </c>
      <c r="L10" s="4" t="s">
        <v>69</v>
      </c>
      <c r="M10" s="4" t="s">
        <v>70</v>
      </c>
      <c r="N10" s="4" t="s">
        <v>59</v>
      </c>
      <c r="O10" s="4" t="s">
        <v>59</v>
      </c>
      <c r="P10" s="4" t="s">
        <v>59</v>
      </c>
      <c r="Q10" s="4" t="s">
        <v>60</v>
      </c>
      <c r="R10" s="4" t="s">
        <v>61</v>
      </c>
      <c r="S10" s="4" t="s">
        <v>62</v>
      </c>
      <c r="T10" s="2">
        <v>2100</v>
      </c>
      <c r="U10" s="2">
        <v>2700</v>
      </c>
      <c r="V10" s="2">
        <v>0</v>
      </c>
      <c r="W10" s="2">
        <v>5800</v>
      </c>
      <c r="X10" s="2">
        <v>4800</v>
      </c>
      <c r="Y10" s="2">
        <v>5800</v>
      </c>
      <c r="Z10" s="2">
        <v>10600</v>
      </c>
      <c r="AA10" s="2">
        <v>2520</v>
      </c>
      <c r="AB10" s="2">
        <v>2700</v>
      </c>
      <c r="AC10" s="2">
        <v>0</v>
      </c>
      <c r="AD10" s="2">
        <v>5800</v>
      </c>
      <c r="AE10" s="2">
        <v>5220</v>
      </c>
      <c r="AF10" s="2">
        <v>5800</v>
      </c>
      <c r="AG10" s="2">
        <v>11020</v>
      </c>
      <c r="AH10" s="2">
        <v>2268</v>
      </c>
      <c r="AI10" s="2">
        <v>2619</v>
      </c>
      <c r="AJ10" s="2">
        <v>0</v>
      </c>
      <c r="AK10" s="2">
        <v>5220</v>
      </c>
      <c r="AL10" s="2">
        <v>4887</v>
      </c>
      <c r="AM10" s="2">
        <v>5220</v>
      </c>
      <c r="AN10" s="2">
        <v>10600</v>
      </c>
      <c r="AO10" s="4" t="s">
        <v>63</v>
      </c>
      <c r="AP10" s="4" t="s">
        <v>63</v>
      </c>
      <c r="AQ10" s="4" t="s">
        <v>63</v>
      </c>
      <c r="AR10" s="4" t="s">
        <v>63</v>
      </c>
      <c r="AS10" s="2">
        <v>6064</v>
      </c>
      <c r="AT10" s="2">
        <v>0</v>
      </c>
      <c r="AU10" s="2">
        <v>6064</v>
      </c>
    </row>
    <row r="11" spans="1:47" x14ac:dyDescent="0.4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51</v>
      </c>
      <c r="G11" s="4" t="s">
        <v>52</v>
      </c>
      <c r="H11" s="4" t="s">
        <v>53</v>
      </c>
      <c r="I11" s="4" t="s">
        <v>54</v>
      </c>
      <c r="J11" s="4" t="s">
        <v>55</v>
      </c>
      <c r="K11" s="4" t="s">
        <v>68</v>
      </c>
      <c r="L11" s="4" t="s">
        <v>69</v>
      </c>
      <c r="M11" s="4" t="s">
        <v>70</v>
      </c>
      <c r="N11" s="4" t="s">
        <v>59</v>
      </c>
      <c r="O11" s="4" t="s">
        <v>59</v>
      </c>
      <c r="P11" s="4" t="s">
        <v>59</v>
      </c>
      <c r="Q11" s="4" t="s">
        <v>60</v>
      </c>
      <c r="R11" s="4" t="s">
        <v>61</v>
      </c>
      <c r="S11" s="4" t="s">
        <v>64</v>
      </c>
      <c r="T11" s="2">
        <v>19200</v>
      </c>
      <c r="U11" s="2">
        <v>0</v>
      </c>
      <c r="V11" s="2">
        <v>0</v>
      </c>
      <c r="W11" s="2">
        <v>0</v>
      </c>
      <c r="X11" s="2">
        <v>19200</v>
      </c>
      <c r="Y11" s="2">
        <v>0</v>
      </c>
      <c r="Z11" s="2">
        <v>19200</v>
      </c>
      <c r="AA11" s="2">
        <v>23040</v>
      </c>
      <c r="AB11" s="2">
        <v>0</v>
      </c>
      <c r="AC11" s="2">
        <v>0</v>
      </c>
      <c r="AD11" s="2">
        <v>0</v>
      </c>
      <c r="AE11" s="2">
        <v>23040</v>
      </c>
      <c r="AF11" s="2">
        <v>0</v>
      </c>
      <c r="AG11" s="2">
        <v>23040</v>
      </c>
      <c r="AH11" s="2">
        <v>20736</v>
      </c>
      <c r="AI11" s="2">
        <v>0</v>
      </c>
      <c r="AJ11" s="2">
        <v>0</v>
      </c>
      <c r="AK11" s="2">
        <v>0</v>
      </c>
      <c r="AL11" s="2">
        <v>20736</v>
      </c>
      <c r="AM11" s="2">
        <v>0</v>
      </c>
      <c r="AN11" s="2">
        <v>19200</v>
      </c>
      <c r="AO11" s="4" t="s">
        <v>63</v>
      </c>
      <c r="AP11" s="4" t="s">
        <v>63</v>
      </c>
      <c r="AQ11" s="4" t="s">
        <v>63</v>
      </c>
      <c r="AR11" s="4" t="s">
        <v>63</v>
      </c>
      <c r="AS11" s="2">
        <v>12442</v>
      </c>
      <c r="AT11" s="2">
        <v>0</v>
      </c>
      <c r="AU11" s="2">
        <v>12442</v>
      </c>
    </row>
    <row r="12" spans="1:47" x14ac:dyDescent="0.4">
      <c r="A12" s="4" t="s">
        <v>46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51</v>
      </c>
      <c r="G12" s="4" t="s">
        <v>52</v>
      </c>
      <c r="H12" s="4" t="s">
        <v>53</v>
      </c>
      <c r="I12" s="4" t="s">
        <v>54</v>
      </c>
      <c r="J12" s="4" t="s">
        <v>55</v>
      </c>
      <c r="K12" s="4" t="s">
        <v>68</v>
      </c>
      <c r="L12" s="4" t="s">
        <v>69</v>
      </c>
      <c r="M12" s="4" t="s">
        <v>70</v>
      </c>
      <c r="N12" s="4" t="s">
        <v>59</v>
      </c>
      <c r="O12" s="4" t="s">
        <v>59</v>
      </c>
      <c r="P12" s="4" t="s">
        <v>59</v>
      </c>
      <c r="Q12" s="4" t="s">
        <v>60</v>
      </c>
      <c r="R12" s="4" t="s">
        <v>61</v>
      </c>
      <c r="S12" s="4" t="s">
        <v>64</v>
      </c>
      <c r="T12" s="2">
        <v>0</v>
      </c>
      <c r="U12" s="2">
        <v>18400</v>
      </c>
      <c r="V12" s="2">
        <v>0</v>
      </c>
      <c r="W12" s="2">
        <v>0</v>
      </c>
      <c r="X12" s="2">
        <v>18400</v>
      </c>
      <c r="Y12" s="2">
        <v>0</v>
      </c>
      <c r="Z12" s="2">
        <v>18400</v>
      </c>
      <c r="AA12" s="2">
        <v>0</v>
      </c>
      <c r="AB12" s="2">
        <v>18400</v>
      </c>
      <c r="AC12" s="2">
        <v>0</v>
      </c>
      <c r="AD12" s="2">
        <v>0</v>
      </c>
      <c r="AE12" s="2">
        <v>18400</v>
      </c>
      <c r="AF12" s="2">
        <v>0</v>
      </c>
      <c r="AG12" s="2">
        <v>18400</v>
      </c>
      <c r="AH12" s="2">
        <v>0</v>
      </c>
      <c r="AI12" s="2">
        <v>17848</v>
      </c>
      <c r="AJ12" s="2">
        <v>0</v>
      </c>
      <c r="AK12" s="2">
        <v>0</v>
      </c>
      <c r="AL12" s="2">
        <v>17848</v>
      </c>
      <c r="AM12" s="2">
        <v>0</v>
      </c>
      <c r="AN12" s="2">
        <v>18400</v>
      </c>
      <c r="AO12" s="4" t="s">
        <v>63</v>
      </c>
      <c r="AP12" s="4" t="s">
        <v>63</v>
      </c>
      <c r="AQ12" s="4" t="s">
        <v>63</v>
      </c>
      <c r="AR12" s="4" t="s">
        <v>63</v>
      </c>
      <c r="AS12" s="2">
        <v>10709</v>
      </c>
      <c r="AT12" s="2">
        <v>0</v>
      </c>
      <c r="AU12" s="2">
        <v>10709</v>
      </c>
    </row>
    <row r="13" spans="1:47" x14ac:dyDescent="0.4">
      <c r="A13" s="4" t="s">
        <v>46</v>
      </c>
      <c r="B13" s="4" t="s">
        <v>47</v>
      </c>
      <c r="C13" s="4" t="s">
        <v>48</v>
      </c>
      <c r="D13" s="4" t="s">
        <v>49</v>
      </c>
      <c r="E13" s="4" t="s">
        <v>50</v>
      </c>
      <c r="F13" s="4" t="s">
        <v>51</v>
      </c>
      <c r="G13" s="4" t="s">
        <v>52</v>
      </c>
      <c r="H13" s="4" t="s">
        <v>53</v>
      </c>
      <c r="I13" s="4" t="s">
        <v>54</v>
      </c>
      <c r="J13" s="4" t="s">
        <v>55</v>
      </c>
      <c r="K13" s="4" t="s">
        <v>71</v>
      </c>
      <c r="L13" s="4" t="s">
        <v>72</v>
      </c>
      <c r="M13" s="4" t="s">
        <v>73</v>
      </c>
      <c r="N13" s="4" t="s">
        <v>59</v>
      </c>
      <c r="O13" s="4" t="s">
        <v>59</v>
      </c>
      <c r="P13" s="4" t="s">
        <v>59</v>
      </c>
      <c r="Q13" s="4" t="s">
        <v>60</v>
      </c>
      <c r="R13" s="4" t="s">
        <v>61</v>
      </c>
      <c r="S13" s="4" t="s">
        <v>62</v>
      </c>
      <c r="T13" s="2">
        <v>0</v>
      </c>
      <c r="U13" s="2">
        <v>25600</v>
      </c>
      <c r="V13" s="2">
        <v>0</v>
      </c>
      <c r="W13" s="2">
        <v>0</v>
      </c>
      <c r="X13" s="2">
        <v>25600</v>
      </c>
      <c r="Y13" s="2">
        <v>0</v>
      </c>
      <c r="Z13" s="2">
        <v>25600</v>
      </c>
      <c r="AA13" s="2">
        <v>0</v>
      </c>
      <c r="AB13" s="2">
        <v>25600</v>
      </c>
      <c r="AC13" s="2">
        <v>0</v>
      </c>
      <c r="AD13" s="2">
        <v>0</v>
      </c>
      <c r="AE13" s="2">
        <v>25600</v>
      </c>
      <c r="AF13" s="2">
        <v>0</v>
      </c>
      <c r="AG13" s="2">
        <v>25600</v>
      </c>
      <c r="AH13" s="2">
        <v>0</v>
      </c>
      <c r="AI13" s="2">
        <v>24832</v>
      </c>
      <c r="AJ13" s="2">
        <v>0</v>
      </c>
      <c r="AK13" s="2">
        <v>0</v>
      </c>
      <c r="AL13" s="2">
        <v>24832</v>
      </c>
      <c r="AM13" s="2">
        <v>0</v>
      </c>
      <c r="AN13" s="2">
        <v>25600</v>
      </c>
      <c r="AO13" s="4" t="s">
        <v>63</v>
      </c>
      <c r="AP13" s="4" t="s">
        <v>63</v>
      </c>
      <c r="AQ13" s="4" t="s">
        <v>63</v>
      </c>
      <c r="AR13" s="4" t="s">
        <v>63</v>
      </c>
      <c r="AS13" s="2">
        <v>14899</v>
      </c>
      <c r="AT13" s="2">
        <v>0</v>
      </c>
      <c r="AU13" s="2">
        <v>14899</v>
      </c>
    </row>
    <row r="14" spans="1:47" x14ac:dyDescent="0.4">
      <c r="AU14" s="19">
        <f>SUM(AU2:AU13)</f>
        <v>190175</v>
      </c>
    </row>
    <row r="16" spans="1:47" s="4" customFormat="1" x14ac:dyDescent="0.4">
      <c r="A16" s="6" t="s">
        <v>176</v>
      </c>
      <c r="B16" s="7"/>
      <c r="C16" s="7"/>
      <c r="D16" s="8"/>
    </row>
    <row r="17" spans="1:4" s="4" customFormat="1" x14ac:dyDescent="0.4">
      <c r="A17" s="9" t="s">
        <v>177</v>
      </c>
      <c r="B17" s="9" t="s">
        <v>178</v>
      </c>
      <c r="C17" s="9" t="s">
        <v>179</v>
      </c>
      <c r="D17" s="9" t="s">
        <v>180</v>
      </c>
    </row>
    <row r="18" spans="1:4" s="4" customFormat="1" x14ac:dyDescent="0.4">
      <c r="A18" s="10">
        <v>201912</v>
      </c>
      <c r="B18" s="11">
        <v>50000000</v>
      </c>
      <c r="C18" s="12">
        <v>616705</v>
      </c>
      <c r="D18" s="13">
        <v>49383295</v>
      </c>
    </row>
    <row r="19" spans="1:4" s="4" customFormat="1" x14ac:dyDescent="0.4">
      <c r="A19" s="10">
        <v>202001</v>
      </c>
      <c r="B19" s="11"/>
      <c r="C19" s="12">
        <v>702488</v>
      </c>
      <c r="D19" s="13">
        <v>48680807</v>
      </c>
    </row>
    <row r="20" spans="1:4" s="4" customFormat="1" x14ac:dyDescent="0.4">
      <c r="A20" s="10">
        <v>202002</v>
      </c>
      <c r="B20" s="11"/>
      <c r="C20" s="12">
        <v>631686</v>
      </c>
      <c r="D20" s="13">
        <v>48049121</v>
      </c>
    </row>
    <row r="21" spans="1:4" s="4" customFormat="1" x14ac:dyDescent="0.4">
      <c r="A21" s="10">
        <v>202003</v>
      </c>
      <c r="B21" s="11"/>
      <c r="C21" s="12">
        <v>569830</v>
      </c>
      <c r="D21" s="13">
        <v>47479291</v>
      </c>
    </row>
    <row r="22" spans="1:4" s="4" customFormat="1" x14ac:dyDescent="0.4">
      <c r="A22" s="10">
        <v>202004</v>
      </c>
      <c r="B22" s="11"/>
      <c r="C22" s="12">
        <v>19193902</v>
      </c>
      <c r="D22" s="13">
        <v>28285389</v>
      </c>
    </row>
    <row r="23" spans="1:4" s="4" customFormat="1" x14ac:dyDescent="0.4">
      <c r="A23" s="10">
        <v>202005</v>
      </c>
      <c r="B23" s="11"/>
      <c r="C23" s="12">
        <v>5406095</v>
      </c>
      <c r="D23" s="13">
        <v>22879294</v>
      </c>
    </row>
    <row r="24" spans="1:4" s="4" customFormat="1" x14ac:dyDescent="0.4">
      <c r="A24" s="10">
        <v>202006</v>
      </c>
      <c r="B24" s="11"/>
      <c r="C24" s="12">
        <v>2614141</v>
      </c>
      <c r="D24" s="13">
        <v>20265153</v>
      </c>
    </row>
    <row r="25" spans="1:4" s="4" customFormat="1" x14ac:dyDescent="0.4">
      <c r="A25" s="10">
        <v>202007</v>
      </c>
      <c r="B25" s="11"/>
      <c r="C25" s="12">
        <v>3800817</v>
      </c>
      <c r="D25" s="13">
        <v>16464336</v>
      </c>
    </row>
    <row r="26" spans="1:4" s="4" customFormat="1" x14ac:dyDescent="0.4">
      <c r="A26" s="10">
        <v>202008</v>
      </c>
      <c r="B26" s="10"/>
      <c r="C26" s="14">
        <v>2432478</v>
      </c>
      <c r="D26" s="15">
        <v>14031858</v>
      </c>
    </row>
    <row r="27" spans="1:4" s="4" customFormat="1" x14ac:dyDescent="0.4">
      <c r="A27" s="10">
        <v>202009</v>
      </c>
      <c r="B27" s="10"/>
      <c r="C27" s="14">
        <v>1712223</v>
      </c>
      <c r="D27" s="15">
        <v>12319635</v>
      </c>
    </row>
    <row r="28" spans="1:4" s="4" customFormat="1" x14ac:dyDescent="0.4">
      <c r="A28" s="10">
        <v>202010</v>
      </c>
      <c r="B28" s="10"/>
      <c r="C28" s="14">
        <v>4755890</v>
      </c>
      <c r="D28" s="15">
        <v>7563745</v>
      </c>
    </row>
    <row r="29" spans="1:4" s="4" customFormat="1" x14ac:dyDescent="0.4">
      <c r="A29" s="10">
        <v>202011</v>
      </c>
      <c r="B29" s="10"/>
      <c r="C29" s="14">
        <v>1758007</v>
      </c>
      <c r="D29" s="15">
        <v>5805738</v>
      </c>
    </row>
    <row r="30" spans="1:4" s="4" customFormat="1" x14ac:dyDescent="0.4">
      <c r="A30" s="10">
        <v>202012</v>
      </c>
      <c r="B30" s="10"/>
      <c r="C30" s="14">
        <v>562936</v>
      </c>
      <c r="D30" s="15">
        <v>5242802</v>
      </c>
    </row>
    <row r="31" spans="1:4" s="4" customFormat="1" x14ac:dyDescent="0.4">
      <c r="A31" s="10">
        <v>202101</v>
      </c>
      <c r="B31" s="10"/>
      <c r="C31" s="14">
        <v>529072</v>
      </c>
      <c r="D31" s="15">
        <v>4713730</v>
      </c>
    </row>
    <row r="32" spans="1:4" s="4" customFormat="1" x14ac:dyDescent="0.4">
      <c r="A32" s="10">
        <v>202102</v>
      </c>
      <c r="B32" s="10"/>
      <c r="C32" s="14">
        <v>474507</v>
      </c>
      <c r="D32" s="15">
        <v>4239223</v>
      </c>
    </row>
    <row r="33" spans="1:4" s="4" customFormat="1" x14ac:dyDescent="0.4">
      <c r="A33" s="10">
        <v>202103</v>
      </c>
      <c r="B33" s="10"/>
      <c r="C33" s="14">
        <v>784410</v>
      </c>
      <c r="D33" s="15">
        <v>3454813</v>
      </c>
    </row>
    <row r="34" spans="1:4" s="4" customFormat="1" x14ac:dyDescent="0.4">
      <c r="A34" s="10">
        <v>202104</v>
      </c>
      <c r="B34" s="10"/>
      <c r="C34" s="14">
        <v>679371</v>
      </c>
      <c r="D34" s="15">
        <v>2775442</v>
      </c>
    </row>
    <row r="35" spans="1:4" s="4" customFormat="1" x14ac:dyDescent="0.4">
      <c r="A35" s="10">
        <v>202105</v>
      </c>
      <c r="B35" s="10"/>
      <c r="C35" s="14">
        <v>488373</v>
      </c>
      <c r="D35" s="15">
        <v>2287069</v>
      </c>
    </row>
    <row r="36" spans="1:4" s="4" customFormat="1" x14ac:dyDescent="0.4">
      <c r="A36" s="10">
        <v>202106</v>
      </c>
      <c r="B36" s="10"/>
      <c r="C36" s="14">
        <v>442222</v>
      </c>
      <c r="D36" s="15">
        <v>1844847</v>
      </c>
    </row>
    <row r="37" spans="1:4" s="4" customFormat="1" x14ac:dyDescent="0.4">
      <c r="A37" s="10">
        <v>202107</v>
      </c>
      <c r="B37" s="10"/>
      <c r="C37" s="14">
        <v>321530</v>
      </c>
      <c r="D37" s="15">
        <f>D36-C37</f>
        <v>1523317</v>
      </c>
    </row>
    <row r="38" spans="1:4" s="4" customFormat="1" x14ac:dyDescent="0.4">
      <c r="A38" s="10">
        <v>202108</v>
      </c>
      <c r="B38" s="10"/>
      <c r="C38" s="14">
        <v>300806</v>
      </c>
      <c r="D38" s="15">
        <f>D37-C38</f>
        <v>1222511</v>
      </c>
    </row>
    <row r="39" spans="1:4" s="4" customFormat="1" x14ac:dyDescent="0.4">
      <c r="A39" s="10">
        <v>202109</v>
      </c>
      <c r="B39" s="10"/>
      <c r="C39" s="14">
        <v>188639</v>
      </c>
      <c r="D39" s="15">
        <f>D38-C39</f>
        <v>1033872</v>
      </c>
    </row>
    <row r="40" spans="1:4" s="4" customFormat="1" x14ac:dyDescent="0.4">
      <c r="A40" s="10">
        <v>202110</v>
      </c>
      <c r="B40" s="10"/>
      <c r="C40" s="14">
        <v>325666</v>
      </c>
      <c r="D40" s="15">
        <f>D39-C40</f>
        <v>708206</v>
      </c>
    </row>
    <row r="41" spans="1:4" s="4" customFormat="1" x14ac:dyDescent="0.4">
      <c r="A41" s="10">
        <v>202111</v>
      </c>
      <c r="B41" s="10"/>
      <c r="C41" s="14">
        <v>295037</v>
      </c>
      <c r="D41" s="15">
        <f>D40-C41</f>
        <v>413169</v>
      </c>
    </row>
    <row r="42" spans="1:4" s="4" customFormat="1" x14ac:dyDescent="0.4">
      <c r="A42" s="10">
        <v>202112</v>
      </c>
      <c r="B42" s="16">
        <v>20000000</v>
      </c>
      <c r="C42" s="14">
        <v>353299</v>
      </c>
      <c r="D42" s="15">
        <f>D41-C42+B42</f>
        <v>20059870</v>
      </c>
    </row>
    <row r="43" spans="1:4" s="4" customFormat="1" x14ac:dyDescent="0.4">
      <c r="A43" s="10">
        <v>202201</v>
      </c>
      <c r="B43" s="16"/>
      <c r="C43" s="14">
        <v>246202</v>
      </c>
      <c r="D43" s="15">
        <f t="shared" ref="D43:D48" si="0">D42-C43</f>
        <v>19813668</v>
      </c>
    </row>
    <row r="44" spans="1:4" s="4" customFormat="1" x14ac:dyDescent="0.4">
      <c r="A44" s="10">
        <v>202202</v>
      </c>
      <c r="B44" s="16"/>
      <c r="C44" s="17">
        <v>173976</v>
      </c>
      <c r="D44" s="15">
        <f t="shared" si="0"/>
        <v>19639692</v>
      </c>
    </row>
    <row r="45" spans="1:4" s="4" customFormat="1" x14ac:dyDescent="0.4">
      <c r="A45" s="10">
        <v>202203</v>
      </c>
      <c r="B45" s="16"/>
      <c r="C45" s="17">
        <v>279606</v>
      </c>
      <c r="D45" s="15">
        <f t="shared" si="0"/>
        <v>19360086</v>
      </c>
    </row>
    <row r="46" spans="1:4" s="4" customFormat="1" x14ac:dyDescent="0.4">
      <c r="A46" s="10">
        <v>202204</v>
      </c>
      <c r="B46" s="10"/>
      <c r="C46" s="17">
        <v>259655</v>
      </c>
      <c r="D46" s="15">
        <f t="shared" si="0"/>
        <v>19100431</v>
      </c>
    </row>
    <row r="47" spans="1:4" s="4" customFormat="1" x14ac:dyDescent="0.4">
      <c r="A47" s="10">
        <v>202205</v>
      </c>
      <c r="B47" s="10"/>
      <c r="C47" s="17">
        <v>257213</v>
      </c>
      <c r="D47" s="15">
        <f t="shared" si="0"/>
        <v>18843218</v>
      </c>
    </row>
    <row r="48" spans="1:4" s="4" customFormat="1" x14ac:dyDescent="0.4">
      <c r="A48" s="10">
        <v>202206</v>
      </c>
      <c r="B48" s="10"/>
      <c r="C48" s="17">
        <f>AU14</f>
        <v>190175</v>
      </c>
      <c r="D48" s="15">
        <f t="shared" si="0"/>
        <v>18653043</v>
      </c>
    </row>
    <row r="49" spans="1:4" s="4" customFormat="1" x14ac:dyDescent="0.4">
      <c r="A49" s="10" t="s">
        <v>181</v>
      </c>
      <c r="B49" s="18">
        <f>SUM(B18:B48)</f>
        <v>70000000</v>
      </c>
      <c r="C49" s="18">
        <f>SUM(C18:C48)</f>
        <v>51346957</v>
      </c>
      <c r="D49" s="10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U96"/>
  <sheetViews>
    <sheetView workbookViewId="0">
      <selection activeCell="D12" sqref="D12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4.6992187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7.5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24.09765625" bestFit="1" customWidth="1"/>
    <col min="20" max="20" width="9.69921875" bestFit="1" customWidth="1"/>
    <col min="21" max="21" width="9.3984375" bestFit="1" customWidth="1"/>
    <col min="22" max="22" width="9.1992187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9.1992187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9.19921875" bestFit="1" customWidth="1"/>
    <col min="46" max="46" width="5" bestFit="1" customWidth="1"/>
    <col min="47" max="47" width="10.19921875" bestFit="1" customWidth="1"/>
  </cols>
  <sheetData>
    <row r="1" spans="1:47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25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5" t="s">
        <v>45</v>
      </c>
    </row>
    <row r="2" spans="1:47" x14ac:dyDescent="0.4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77</v>
      </c>
      <c r="H2" s="4" t="s">
        <v>78</v>
      </c>
      <c r="I2" s="4" t="s">
        <v>54</v>
      </c>
      <c r="J2" s="4" t="s">
        <v>55</v>
      </c>
      <c r="K2" s="4" t="s">
        <v>79</v>
      </c>
      <c r="L2" s="4" t="s">
        <v>80</v>
      </c>
      <c r="M2" s="4" t="s">
        <v>81</v>
      </c>
      <c r="N2" s="4" t="s">
        <v>59</v>
      </c>
      <c r="O2" s="4" t="s">
        <v>59</v>
      </c>
      <c r="P2" s="4" t="s">
        <v>59</v>
      </c>
      <c r="Q2" s="4" t="s">
        <v>82</v>
      </c>
      <c r="R2" s="4" t="s">
        <v>61</v>
      </c>
      <c r="S2" s="4" t="s">
        <v>62</v>
      </c>
      <c r="T2" s="2">
        <v>2900</v>
      </c>
      <c r="U2" s="2">
        <v>200</v>
      </c>
      <c r="V2" s="2">
        <v>0</v>
      </c>
      <c r="W2" s="2">
        <v>30300</v>
      </c>
      <c r="X2" s="2">
        <v>3100</v>
      </c>
      <c r="Y2" s="2">
        <v>30300</v>
      </c>
      <c r="Z2" s="2">
        <v>33400</v>
      </c>
      <c r="AA2" s="2">
        <v>3480</v>
      </c>
      <c r="AB2" s="2">
        <v>200</v>
      </c>
      <c r="AC2" s="2">
        <v>0</v>
      </c>
      <c r="AD2" s="2">
        <v>30300</v>
      </c>
      <c r="AE2" s="2">
        <v>3680</v>
      </c>
      <c r="AF2" s="2">
        <v>30300</v>
      </c>
      <c r="AG2" s="2">
        <v>33980</v>
      </c>
      <c r="AH2" s="2">
        <v>3132</v>
      </c>
      <c r="AI2" s="2">
        <v>194</v>
      </c>
      <c r="AJ2" s="2">
        <v>0</v>
      </c>
      <c r="AK2" s="2">
        <v>27270</v>
      </c>
      <c r="AL2" s="2">
        <v>3326</v>
      </c>
      <c r="AM2" s="2">
        <v>27270</v>
      </c>
      <c r="AN2" s="2">
        <v>33400</v>
      </c>
      <c r="AO2" s="4" t="s">
        <v>63</v>
      </c>
      <c r="AP2" s="4" t="s">
        <v>63</v>
      </c>
      <c r="AQ2" s="4" t="s">
        <v>63</v>
      </c>
      <c r="AR2" s="4" t="s">
        <v>63</v>
      </c>
      <c r="AS2" s="2">
        <v>18357</v>
      </c>
      <c r="AT2" s="2">
        <v>0</v>
      </c>
      <c r="AU2" s="2">
        <v>18357</v>
      </c>
    </row>
    <row r="3" spans="1:47" x14ac:dyDescent="0.4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77</v>
      </c>
      <c r="H3" s="4" t="s">
        <v>78</v>
      </c>
      <c r="I3" s="4" t="s">
        <v>54</v>
      </c>
      <c r="J3" s="4" t="s">
        <v>55</v>
      </c>
      <c r="K3" s="4" t="s">
        <v>79</v>
      </c>
      <c r="L3" s="4" t="s">
        <v>80</v>
      </c>
      <c r="M3" s="4" t="s">
        <v>81</v>
      </c>
      <c r="N3" s="4" t="s">
        <v>59</v>
      </c>
      <c r="O3" s="4" t="s">
        <v>59</v>
      </c>
      <c r="P3" s="4" t="s">
        <v>59</v>
      </c>
      <c r="Q3" s="4" t="s">
        <v>82</v>
      </c>
      <c r="R3" s="4" t="s">
        <v>61</v>
      </c>
      <c r="S3" s="4" t="s">
        <v>64</v>
      </c>
      <c r="T3" s="2">
        <v>9000</v>
      </c>
      <c r="U3" s="2">
        <v>0</v>
      </c>
      <c r="V3" s="2">
        <v>0</v>
      </c>
      <c r="W3" s="2">
        <v>9000</v>
      </c>
      <c r="X3" s="2">
        <v>9000</v>
      </c>
      <c r="Y3" s="2">
        <v>9000</v>
      </c>
      <c r="Z3" s="2">
        <v>18000</v>
      </c>
      <c r="AA3" s="2">
        <v>10800</v>
      </c>
      <c r="AB3" s="2">
        <v>0</v>
      </c>
      <c r="AC3" s="2">
        <v>0</v>
      </c>
      <c r="AD3" s="2">
        <v>9000</v>
      </c>
      <c r="AE3" s="2">
        <v>10800</v>
      </c>
      <c r="AF3" s="2">
        <v>9000</v>
      </c>
      <c r="AG3" s="2">
        <v>19800</v>
      </c>
      <c r="AH3" s="2">
        <v>9720</v>
      </c>
      <c r="AI3" s="2">
        <v>0</v>
      </c>
      <c r="AJ3" s="2">
        <v>0</v>
      </c>
      <c r="AK3" s="2">
        <v>8100</v>
      </c>
      <c r="AL3" s="2">
        <v>9720</v>
      </c>
      <c r="AM3" s="2">
        <v>8100</v>
      </c>
      <c r="AN3" s="2">
        <v>18000</v>
      </c>
      <c r="AO3" s="4" t="s">
        <v>63</v>
      </c>
      <c r="AP3" s="4" t="s">
        <v>63</v>
      </c>
      <c r="AQ3" s="4" t="s">
        <v>63</v>
      </c>
      <c r="AR3" s="4" t="s">
        <v>63</v>
      </c>
      <c r="AS3" s="2">
        <v>10692</v>
      </c>
      <c r="AT3" s="2">
        <v>0</v>
      </c>
      <c r="AU3" s="2">
        <v>10692</v>
      </c>
    </row>
    <row r="4" spans="1:47" x14ac:dyDescent="0.4">
      <c r="A4" s="4" t="s">
        <v>46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77</v>
      </c>
      <c r="H4" s="4" t="s">
        <v>78</v>
      </c>
      <c r="I4" s="4" t="s">
        <v>54</v>
      </c>
      <c r="J4" s="4" t="s">
        <v>55</v>
      </c>
      <c r="K4" s="4" t="s">
        <v>79</v>
      </c>
      <c r="L4" s="4" t="s">
        <v>80</v>
      </c>
      <c r="M4" s="4" t="s">
        <v>81</v>
      </c>
      <c r="N4" s="4" t="s">
        <v>59</v>
      </c>
      <c r="O4" s="4" t="s">
        <v>59</v>
      </c>
      <c r="P4" s="4" t="s">
        <v>59</v>
      </c>
      <c r="Q4" s="4" t="s">
        <v>82</v>
      </c>
      <c r="R4" s="4" t="s">
        <v>61</v>
      </c>
      <c r="S4" s="4" t="s">
        <v>64</v>
      </c>
      <c r="T4" s="2">
        <v>0</v>
      </c>
      <c r="U4" s="2">
        <v>54000</v>
      </c>
      <c r="V4" s="2">
        <v>0</v>
      </c>
      <c r="W4" s="2">
        <v>0</v>
      </c>
      <c r="X4" s="2">
        <v>54000</v>
      </c>
      <c r="Y4" s="2">
        <v>0</v>
      </c>
      <c r="Z4" s="2">
        <v>54000</v>
      </c>
      <c r="AA4" s="2">
        <v>0</v>
      </c>
      <c r="AB4" s="2">
        <v>54000</v>
      </c>
      <c r="AC4" s="2">
        <v>0</v>
      </c>
      <c r="AD4" s="2">
        <v>0</v>
      </c>
      <c r="AE4" s="2">
        <v>54000</v>
      </c>
      <c r="AF4" s="2">
        <v>0</v>
      </c>
      <c r="AG4" s="2">
        <v>54000</v>
      </c>
      <c r="AH4" s="2">
        <v>0</v>
      </c>
      <c r="AI4" s="2">
        <v>52380</v>
      </c>
      <c r="AJ4" s="2">
        <v>0</v>
      </c>
      <c r="AK4" s="2">
        <v>0</v>
      </c>
      <c r="AL4" s="2">
        <v>52380</v>
      </c>
      <c r="AM4" s="2">
        <v>0</v>
      </c>
      <c r="AN4" s="2">
        <v>54000</v>
      </c>
      <c r="AO4" s="4" t="s">
        <v>63</v>
      </c>
      <c r="AP4" s="4" t="s">
        <v>63</v>
      </c>
      <c r="AQ4" s="4" t="s">
        <v>63</v>
      </c>
      <c r="AR4" s="4" t="s">
        <v>63</v>
      </c>
      <c r="AS4" s="2">
        <v>31428</v>
      </c>
      <c r="AT4" s="2">
        <v>0</v>
      </c>
      <c r="AU4" s="2">
        <v>31428</v>
      </c>
    </row>
    <row r="5" spans="1:47" x14ac:dyDescent="0.4">
      <c r="A5" s="4" t="s">
        <v>46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77</v>
      </c>
      <c r="H5" s="4" t="s">
        <v>78</v>
      </c>
      <c r="I5" s="4" t="s">
        <v>54</v>
      </c>
      <c r="J5" s="4" t="s">
        <v>55</v>
      </c>
      <c r="K5" s="4" t="s">
        <v>83</v>
      </c>
      <c r="L5" s="4" t="s">
        <v>84</v>
      </c>
      <c r="M5" s="4" t="s">
        <v>85</v>
      </c>
      <c r="N5" s="4" t="s">
        <v>59</v>
      </c>
      <c r="O5" s="4" t="s">
        <v>59</v>
      </c>
      <c r="P5" s="4" t="s">
        <v>59</v>
      </c>
      <c r="Q5" s="4" t="s">
        <v>82</v>
      </c>
      <c r="R5" s="4" t="s">
        <v>61</v>
      </c>
      <c r="S5" s="4" t="s">
        <v>62</v>
      </c>
      <c r="T5" s="2">
        <v>0</v>
      </c>
      <c r="U5" s="2">
        <v>1900</v>
      </c>
      <c r="V5" s="2">
        <v>100</v>
      </c>
      <c r="W5" s="2">
        <v>9200</v>
      </c>
      <c r="X5" s="2">
        <v>2000</v>
      </c>
      <c r="Y5" s="2">
        <v>9200</v>
      </c>
      <c r="Z5" s="2">
        <v>11200</v>
      </c>
      <c r="AA5" s="2">
        <v>0</v>
      </c>
      <c r="AB5" s="2">
        <v>1900</v>
      </c>
      <c r="AC5" s="2">
        <v>110</v>
      </c>
      <c r="AD5" s="2">
        <v>9200</v>
      </c>
      <c r="AE5" s="2">
        <v>2010</v>
      </c>
      <c r="AF5" s="2">
        <v>9200</v>
      </c>
      <c r="AG5" s="2">
        <v>11210</v>
      </c>
      <c r="AH5" s="2">
        <v>0</v>
      </c>
      <c r="AI5" s="2">
        <v>1843</v>
      </c>
      <c r="AJ5" s="2">
        <v>77</v>
      </c>
      <c r="AK5" s="2">
        <v>8280</v>
      </c>
      <c r="AL5" s="2">
        <v>1920</v>
      </c>
      <c r="AM5" s="2">
        <v>8280</v>
      </c>
      <c r="AN5" s="2">
        <v>11200</v>
      </c>
      <c r="AO5" s="4" t="s">
        <v>63</v>
      </c>
      <c r="AP5" s="4" t="s">
        <v>63</v>
      </c>
      <c r="AQ5" s="4" t="s">
        <v>63</v>
      </c>
      <c r="AR5" s="4" t="s">
        <v>63</v>
      </c>
      <c r="AS5" s="2">
        <v>6120</v>
      </c>
      <c r="AT5" s="2">
        <v>0</v>
      </c>
      <c r="AU5" s="2">
        <v>6120</v>
      </c>
    </row>
    <row r="6" spans="1:47" x14ac:dyDescent="0.4">
      <c r="A6" s="4" t="s">
        <v>46</v>
      </c>
      <c r="B6" s="4" t="s">
        <v>47</v>
      </c>
      <c r="C6" s="4" t="s">
        <v>48</v>
      </c>
      <c r="D6" s="4" t="s">
        <v>49</v>
      </c>
      <c r="E6" s="4" t="s">
        <v>50</v>
      </c>
      <c r="F6" s="4" t="s">
        <v>51</v>
      </c>
      <c r="G6" s="4" t="s">
        <v>77</v>
      </c>
      <c r="H6" s="4" t="s">
        <v>78</v>
      </c>
      <c r="I6" s="4" t="s">
        <v>54</v>
      </c>
      <c r="J6" s="4" t="s">
        <v>55</v>
      </c>
      <c r="K6" s="4" t="s">
        <v>83</v>
      </c>
      <c r="L6" s="4" t="s">
        <v>84</v>
      </c>
      <c r="M6" s="4" t="s">
        <v>85</v>
      </c>
      <c r="N6" s="4" t="s">
        <v>59</v>
      </c>
      <c r="O6" s="4" t="s">
        <v>59</v>
      </c>
      <c r="P6" s="4" t="s">
        <v>59</v>
      </c>
      <c r="Q6" s="4" t="s">
        <v>82</v>
      </c>
      <c r="R6" s="4" t="s">
        <v>61</v>
      </c>
      <c r="S6" s="4" t="s">
        <v>64</v>
      </c>
      <c r="T6" s="2">
        <v>0</v>
      </c>
      <c r="U6" s="2">
        <v>32900</v>
      </c>
      <c r="V6" s="2">
        <v>0</v>
      </c>
      <c r="W6" s="2">
        <v>6700</v>
      </c>
      <c r="X6" s="2">
        <v>32900</v>
      </c>
      <c r="Y6" s="2">
        <v>6700</v>
      </c>
      <c r="Z6" s="2">
        <v>39600</v>
      </c>
      <c r="AA6" s="2">
        <v>0</v>
      </c>
      <c r="AB6" s="2">
        <v>32900</v>
      </c>
      <c r="AC6" s="2">
        <v>0</v>
      </c>
      <c r="AD6" s="2">
        <v>6700</v>
      </c>
      <c r="AE6" s="2">
        <v>32900</v>
      </c>
      <c r="AF6" s="2">
        <v>6700</v>
      </c>
      <c r="AG6" s="2">
        <v>39600</v>
      </c>
      <c r="AH6" s="2">
        <v>0</v>
      </c>
      <c r="AI6" s="2">
        <v>31913</v>
      </c>
      <c r="AJ6" s="2">
        <v>0</v>
      </c>
      <c r="AK6" s="2">
        <v>6030</v>
      </c>
      <c r="AL6" s="2">
        <v>31913</v>
      </c>
      <c r="AM6" s="2">
        <v>6030</v>
      </c>
      <c r="AN6" s="2">
        <v>39600</v>
      </c>
      <c r="AO6" s="4" t="s">
        <v>63</v>
      </c>
      <c r="AP6" s="4" t="s">
        <v>63</v>
      </c>
      <c r="AQ6" s="4" t="s">
        <v>63</v>
      </c>
      <c r="AR6" s="4" t="s">
        <v>63</v>
      </c>
      <c r="AS6" s="2">
        <v>22766</v>
      </c>
      <c r="AT6" s="2">
        <v>0</v>
      </c>
      <c r="AU6" s="2">
        <v>22766</v>
      </c>
    </row>
    <row r="7" spans="1:47" x14ac:dyDescent="0.4">
      <c r="A7" s="4" t="s">
        <v>46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77</v>
      </c>
      <c r="H7" s="4" t="s">
        <v>78</v>
      </c>
      <c r="I7" s="4" t="s">
        <v>54</v>
      </c>
      <c r="J7" s="4" t="s">
        <v>55</v>
      </c>
      <c r="K7" s="4" t="s">
        <v>83</v>
      </c>
      <c r="L7" s="4" t="s">
        <v>84</v>
      </c>
      <c r="M7" s="4" t="s">
        <v>85</v>
      </c>
      <c r="N7" s="4" t="s">
        <v>59</v>
      </c>
      <c r="O7" s="4" t="s">
        <v>59</v>
      </c>
      <c r="P7" s="4" t="s">
        <v>59</v>
      </c>
      <c r="Q7" s="4" t="s">
        <v>82</v>
      </c>
      <c r="R7" s="4" t="s">
        <v>61</v>
      </c>
      <c r="S7" s="4" t="s">
        <v>64</v>
      </c>
      <c r="T7" s="2">
        <v>0</v>
      </c>
      <c r="U7" s="2">
        <v>27000</v>
      </c>
      <c r="V7" s="2">
        <v>0</v>
      </c>
      <c r="W7" s="2">
        <v>0</v>
      </c>
      <c r="X7" s="2">
        <v>27000</v>
      </c>
      <c r="Y7" s="2">
        <v>0</v>
      </c>
      <c r="Z7" s="2">
        <v>27000</v>
      </c>
      <c r="AA7" s="2">
        <v>0</v>
      </c>
      <c r="AB7" s="2">
        <v>27000</v>
      </c>
      <c r="AC7" s="2">
        <v>0</v>
      </c>
      <c r="AD7" s="2">
        <v>0</v>
      </c>
      <c r="AE7" s="2">
        <v>27000</v>
      </c>
      <c r="AF7" s="2">
        <v>0</v>
      </c>
      <c r="AG7" s="2">
        <v>27000</v>
      </c>
      <c r="AH7" s="2">
        <v>0</v>
      </c>
      <c r="AI7" s="2">
        <v>26190</v>
      </c>
      <c r="AJ7" s="2">
        <v>0</v>
      </c>
      <c r="AK7" s="2">
        <v>0</v>
      </c>
      <c r="AL7" s="2">
        <v>26190</v>
      </c>
      <c r="AM7" s="2">
        <v>0</v>
      </c>
      <c r="AN7" s="2">
        <v>27000</v>
      </c>
      <c r="AO7" s="4" t="s">
        <v>63</v>
      </c>
      <c r="AP7" s="4" t="s">
        <v>63</v>
      </c>
      <c r="AQ7" s="4" t="s">
        <v>63</v>
      </c>
      <c r="AR7" s="4" t="s">
        <v>63</v>
      </c>
      <c r="AS7" s="2">
        <v>15714</v>
      </c>
      <c r="AT7" s="2">
        <v>0</v>
      </c>
      <c r="AU7" s="2">
        <v>15714</v>
      </c>
    </row>
    <row r="8" spans="1:47" x14ac:dyDescent="0.4">
      <c r="A8" s="4" t="s">
        <v>46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77</v>
      </c>
      <c r="H8" s="4" t="s">
        <v>78</v>
      </c>
      <c r="I8" s="4" t="s">
        <v>54</v>
      </c>
      <c r="J8" s="4" t="s">
        <v>55</v>
      </c>
      <c r="K8" s="4" t="s">
        <v>86</v>
      </c>
      <c r="L8" s="4" t="s">
        <v>87</v>
      </c>
      <c r="M8" s="4" t="s">
        <v>88</v>
      </c>
      <c r="N8" s="4" t="s">
        <v>59</v>
      </c>
      <c r="O8" s="4" t="s">
        <v>59</v>
      </c>
      <c r="P8" s="4" t="s">
        <v>59</v>
      </c>
      <c r="Q8" s="4" t="s">
        <v>82</v>
      </c>
      <c r="R8" s="4" t="s">
        <v>61</v>
      </c>
      <c r="S8" s="4" t="s">
        <v>62</v>
      </c>
      <c r="T8" s="2">
        <v>0</v>
      </c>
      <c r="U8" s="2">
        <v>0</v>
      </c>
      <c r="V8" s="2">
        <v>0</v>
      </c>
      <c r="W8" s="2">
        <v>100</v>
      </c>
      <c r="X8" s="2">
        <v>0</v>
      </c>
      <c r="Y8" s="2">
        <v>100</v>
      </c>
      <c r="Z8" s="2">
        <v>100</v>
      </c>
      <c r="AA8" s="2">
        <v>0</v>
      </c>
      <c r="AB8" s="2">
        <v>0</v>
      </c>
      <c r="AC8" s="2">
        <v>0</v>
      </c>
      <c r="AD8" s="2">
        <v>100</v>
      </c>
      <c r="AE8" s="2">
        <v>0</v>
      </c>
      <c r="AF8" s="2">
        <v>100</v>
      </c>
      <c r="AG8" s="2">
        <v>100</v>
      </c>
      <c r="AH8" s="2">
        <v>0</v>
      </c>
      <c r="AI8" s="2">
        <v>0</v>
      </c>
      <c r="AJ8" s="2">
        <v>0</v>
      </c>
      <c r="AK8" s="2">
        <v>90</v>
      </c>
      <c r="AL8" s="2">
        <v>0</v>
      </c>
      <c r="AM8" s="2">
        <v>90</v>
      </c>
      <c r="AN8" s="2">
        <v>100</v>
      </c>
      <c r="AO8" s="4" t="s">
        <v>63</v>
      </c>
      <c r="AP8" s="4" t="s">
        <v>63</v>
      </c>
      <c r="AQ8" s="4" t="s">
        <v>63</v>
      </c>
      <c r="AR8" s="4" t="s">
        <v>63</v>
      </c>
      <c r="AS8" s="2">
        <v>54</v>
      </c>
      <c r="AT8" s="2">
        <v>0</v>
      </c>
      <c r="AU8" s="2">
        <v>54</v>
      </c>
    </row>
    <row r="9" spans="1:47" x14ac:dyDescent="0.4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77</v>
      </c>
      <c r="H9" s="4" t="s">
        <v>78</v>
      </c>
      <c r="I9" s="4" t="s">
        <v>54</v>
      </c>
      <c r="J9" s="4" t="s">
        <v>55</v>
      </c>
      <c r="K9" s="4" t="s">
        <v>89</v>
      </c>
      <c r="L9" s="4" t="s">
        <v>90</v>
      </c>
      <c r="M9" s="4" t="s">
        <v>91</v>
      </c>
      <c r="N9" s="4" t="s">
        <v>59</v>
      </c>
      <c r="O9" s="4" t="s">
        <v>59</v>
      </c>
      <c r="P9" s="4" t="s">
        <v>59</v>
      </c>
      <c r="Q9" s="4" t="s">
        <v>82</v>
      </c>
      <c r="R9" s="4" t="s">
        <v>61</v>
      </c>
      <c r="S9" s="4" t="s">
        <v>62</v>
      </c>
      <c r="T9" s="2">
        <v>6200</v>
      </c>
      <c r="U9" s="2">
        <v>31640</v>
      </c>
      <c r="V9" s="2">
        <v>1900</v>
      </c>
      <c r="W9" s="2">
        <v>35560</v>
      </c>
      <c r="X9" s="2">
        <v>39740</v>
      </c>
      <c r="Y9" s="2">
        <v>35560</v>
      </c>
      <c r="Z9" s="2">
        <v>75300</v>
      </c>
      <c r="AA9" s="2">
        <v>7440</v>
      </c>
      <c r="AB9" s="2">
        <v>31640</v>
      </c>
      <c r="AC9" s="2">
        <v>2210</v>
      </c>
      <c r="AD9" s="2">
        <v>35560</v>
      </c>
      <c r="AE9" s="2">
        <v>41290</v>
      </c>
      <c r="AF9" s="2">
        <v>35560</v>
      </c>
      <c r="AG9" s="2">
        <v>76850</v>
      </c>
      <c r="AH9" s="2">
        <v>6696</v>
      </c>
      <c r="AI9" s="2">
        <v>30690.799999999999</v>
      </c>
      <c r="AJ9" s="2">
        <v>1547</v>
      </c>
      <c r="AK9" s="2">
        <v>32004</v>
      </c>
      <c r="AL9" s="2">
        <v>38933.800000000003</v>
      </c>
      <c r="AM9" s="2">
        <v>32004</v>
      </c>
      <c r="AN9" s="2">
        <v>75300</v>
      </c>
      <c r="AO9" s="4" t="s">
        <v>63</v>
      </c>
      <c r="AP9" s="4" t="s">
        <v>63</v>
      </c>
      <c r="AQ9" s="4" t="s">
        <v>63</v>
      </c>
      <c r="AR9" s="4" t="s">
        <v>63</v>
      </c>
      <c r="AS9" s="2">
        <v>42562</v>
      </c>
      <c r="AT9" s="2">
        <v>0</v>
      </c>
      <c r="AU9" s="2">
        <v>42562</v>
      </c>
    </row>
    <row r="10" spans="1:47" x14ac:dyDescent="0.4">
      <c r="A10" s="4" t="s">
        <v>46</v>
      </c>
      <c r="B10" s="4" t="s">
        <v>47</v>
      </c>
      <c r="C10" s="4" t="s">
        <v>48</v>
      </c>
      <c r="D10" s="4" t="s">
        <v>49</v>
      </c>
      <c r="E10" s="4" t="s">
        <v>50</v>
      </c>
      <c r="F10" s="4" t="s">
        <v>51</v>
      </c>
      <c r="G10" s="4" t="s">
        <v>77</v>
      </c>
      <c r="H10" s="4" t="s">
        <v>78</v>
      </c>
      <c r="I10" s="4" t="s">
        <v>54</v>
      </c>
      <c r="J10" s="4" t="s">
        <v>55</v>
      </c>
      <c r="K10" s="4" t="s">
        <v>89</v>
      </c>
      <c r="L10" s="4" t="s">
        <v>90</v>
      </c>
      <c r="M10" s="4" t="s">
        <v>91</v>
      </c>
      <c r="N10" s="4" t="s">
        <v>59</v>
      </c>
      <c r="O10" s="4" t="s">
        <v>59</v>
      </c>
      <c r="P10" s="4" t="s">
        <v>59</v>
      </c>
      <c r="Q10" s="4" t="s">
        <v>82</v>
      </c>
      <c r="R10" s="4" t="s">
        <v>61</v>
      </c>
      <c r="S10" s="4" t="s">
        <v>64</v>
      </c>
      <c r="T10" s="2">
        <v>91800</v>
      </c>
      <c r="U10" s="2">
        <v>113900</v>
      </c>
      <c r="V10" s="2">
        <v>3200</v>
      </c>
      <c r="W10" s="2">
        <v>20200</v>
      </c>
      <c r="X10" s="2">
        <v>208900</v>
      </c>
      <c r="Y10" s="2">
        <v>20200</v>
      </c>
      <c r="Z10" s="2">
        <v>229100</v>
      </c>
      <c r="AA10" s="2">
        <v>110160</v>
      </c>
      <c r="AB10" s="2">
        <v>113900</v>
      </c>
      <c r="AC10" s="2">
        <v>3700</v>
      </c>
      <c r="AD10" s="2">
        <v>20200</v>
      </c>
      <c r="AE10" s="2">
        <v>227760</v>
      </c>
      <c r="AF10" s="2">
        <v>20200</v>
      </c>
      <c r="AG10" s="2">
        <v>247960</v>
      </c>
      <c r="AH10" s="2">
        <v>99144</v>
      </c>
      <c r="AI10" s="2">
        <v>110483</v>
      </c>
      <c r="AJ10" s="2">
        <v>2590</v>
      </c>
      <c r="AK10" s="2">
        <v>18180</v>
      </c>
      <c r="AL10" s="2">
        <v>212217</v>
      </c>
      <c r="AM10" s="2">
        <v>18180</v>
      </c>
      <c r="AN10" s="2">
        <v>229100</v>
      </c>
      <c r="AO10" s="4" t="s">
        <v>63</v>
      </c>
      <c r="AP10" s="4" t="s">
        <v>63</v>
      </c>
      <c r="AQ10" s="4" t="s">
        <v>63</v>
      </c>
      <c r="AR10" s="4" t="s">
        <v>63</v>
      </c>
      <c r="AS10" s="2">
        <v>138238</v>
      </c>
      <c r="AT10" s="2">
        <v>0</v>
      </c>
      <c r="AU10" s="2">
        <v>138238</v>
      </c>
    </row>
    <row r="11" spans="1:47" x14ac:dyDescent="0.4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51</v>
      </c>
      <c r="G11" s="4" t="s">
        <v>77</v>
      </c>
      <c r="H11" s="4" t="s">
        <v>78</v>
      </c>
      <c r="I11" s="4" t="s">
        <v>54</v>
      </c>
      <c r="J11" s="4" t="s">
        <v>55</v>
      </c>
      <c r="K11" s="4" t="s">
        <v>89</v>
      </c>
      <c r="L11" s="4" t="s">
        <v>90</v>
      </c>
      <c r="M11" s="4" t="s">
        <v>91</v>
      </c>
      <c r="N11" s="4" t="s">
        <v>59</v>
      </c>
      <c r="O11" s="4" t="s">
        <v>59</v>
      </c>
      <c r="P11" s="4" t="s">
        <v>59</v>
      </c>
      <c r="Q11" s="4" t="s">
        <v>82</v>
      </c>
      <c r="R11" s="4" t="s">
        <v>61</v>
      </c>
      <c r="S11" s="4" t="s">
        <v>64</v>
      </c>
      <c r="T11" s="2">
        <v>27000</v>
      </c>
      <c r="U11" s="2">
        <v>95400</v>
      </c>
      <c r="V11" s="2">
        <v>43000</v>
      </c>
      <c r="W11" s="2">
        <v>30800</v>
      </c>
      <c r="X11" s="2">
        <v>165400</v>
      </c>
      <c r="Y11" s="2">
        <v>30800</v>
      </c>
      <c r="Z11" s="2">
        <v>196200</v>
      </c>
      <c r="AA11" s="2">
        <v>32400</v>
      </c>
      <c r="AB11" s="2">
        <v>95400</v>
      </c>
      <c r="AC11" s="2">
        <v>50320</v>
      </c>
      <c r="AD11" s="2">
        <v>30800</v>
      </c>
      <c r="AE11" s="2">
        <v>178120</v>
      </c>
      <c r="AF11" s="2">
        <v>30800</v>
      </c>
      <c r="AG11" s="2">
        <v>208920</v>
      </c>
      <c r="AH11" s="2">
        <v>29160</v>
      </c>
      <c r="AI11" s="2">
        <v>92538</v>
      </c>
      <c r="AJ11" s="2">
        <v>35224</v>
      </c>
      <c r="AK11" s="2">
        <v>27720</v>
      </c>
      <c r="AL11" s="2">
        <v>156922</v>
      </c>
      <c r="AM11" s="2">
        <v>27720</v>
      </c>
      <c r="AN11" s="2">
        <v>196200</v>
      </c>
      <c r="AO11" s="4" t="s">
        <v>63</v>
      </c>
      <c r="AP11" s="4" t="s">
        <v>63</v>
      </c>
      <c r="AQ11" s="4" t="s">
        <v>63</v>
      </c>
      <c r="AR11" s="4" t="s">
        <v>63</v>
      </c>
      <c r="AS11" s="2">
        <v>110785</v>
      </c>
      <c r="AT11" s="2">
        <v>0</v>
      </c>
      <c r="AU11" s="2">
        <v>110785</v>
      </c>
    </row>
    <row r="12" spans="1:47" x14ac:dyDescent="0.4">
      <c r="A12" s="4" t="s">
        <v>46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51</v>
      </c>
      <c r="G12" s="4" t="s">
        <v>77</v>
      </c>
      <c r="H12" s="4" t="s">
        <v>78</v>
      </c>
      <c r="I12" s="4" t="s">
        <v>54</v>
      </c>
      <c r="J12" s="4" t="s">
        <v>55</v>
      </c>
      <c r="K12" s="4" t="s">
        <v>89</v>
      </c>
      <c r="L12" s="4" t="s">
        <v>90</v>
      </c>
      <c r="M12" s="4" t="s">
        <v>91</v>
      </c>
      <c r="N12" s="4" t="s">
        <v>59</v>
      </c>
      <c r="O12" s="4" t="s">
        <v>59</v>
      </c>
      <c r="P12" s="4" t="s">
        <v>59</v>
      </c>
      <c r="Q12" s="4" t="s">
        <v>82</v>
      </c>
      <c r="R12" s="4" t="s">
        <v>61</v>
      </c>
      <c r="S12" s="4" t="s">
        <v>64</v>
      </c>
      <c r="T12" s="2">
        <v>0</v>
      </c>
      <c r="U12" s="2">
        <v>81000</v>
      </c>
      <c r="V12" s="2">
        <v>0</v>
      </c>
      <c r="W12" s="2">
        <v>0</v>
      </c>
      <c r="X12" s="2">
        <v>81000</v>
      </c>
      <c r="Y12" s="2">
        <v>0</v>
      </c>
      <c r="Z12" s="2">
        <v>81000</v>
      </c>
      <c r="AA12" s="2">
        <v>0</v>
      </c>
      <c r="AB12" s="2">
        <v>81000</v>
      </c>
      <c r="AC12" s="2">
        <v>0</v>
      </c>
      <c r="AD12" s="2">
        <v>0</v>
      </c>
      <c r="AE12" s="2">
        <v>81000</v>
      </c>
      <c r="AF12" s="2">
        <v>0</v>
      </c>
      <c r="AG12" s="2">
        <v>81000</v>
      </c>
      <c r="AH12" s="2">
        <v>0</v>
      </c>
      <c r="AI12" s="2">
        <v>78570</v>
      </c>
      <c r="AJ12" s="2">
        <v>0</v>
      </c>
      <c r="AK12" s="2">
        <v>0</v>
      </c>
      <c r="AL12" s="2">
        <v>78570</v>
      </c>
      <c r="AM12" s="2">
        <v>0</v>
      </c>
      <c r="AN12" s="2">
        <v>81000</v>
      </c>
      <c r="AO12" s="4" t="s">
        <v>63</v>
      </c>
      <c r="AP12" s="4" t="s">
        <v>63</v>
      </c>
      <c r="AQ12" s="4" t="s">
        <v>63</v>
      </c>
      <c r="AR12" s="4" t="s">
        <v>63</v>
      </c>
      <c r="AS12" s="2">
        <v>47142</v>
      </c>
      <c r="AT12" s="2">
        <v>0</v>
      </c>
      <c r="AU12" s="2">
        <v>47142</v>
      </c>
    </row>
    <row r="13" spans="1:47" x14ac:dyDescent="0.4">
      <c r="A13" s="4" t="s">
        <v>46</v>
      </c>
      <c r="B13" s="4" t="s">
        <v>47</v>
      </c>
      <c r="C13" s="4" t="s">
        <v>48</v>
      </c>
      <c r="D13" s="4" t="s">
        <v>49</v>
      </c>
      <c r="E13" s="4" t="s">
        <v>50</v>
      </c>
      <c r="F13" s="4" t="s">
        <v>51</v>
      </c>
      <c r="G13" s="4" t="s">
        <v>77</v>
      </c>
      <c r="H13" s="4" t="s">
        <v>78</v>
      </c>
      <c r="I13" s="4" t="s">
        <v>54</v>
      </c>
      <c r="J13" s="4" t="s">
        <v>55</v>
      </c>
      <c r="K13" s="4" t="s">
        <v>92</v>
      </c>
      <c r="L13" s="4" t="s">
        <v>93</v>
      </c>
      <c r="M13" s="4" t="s">
        <v>94</v>
      </c>
      <c r="N13" s="4" t="s">
        <v>59</v>
      </c>
      <c r="O13" s="4" t="s">
        <v>59</v>
      </c>
      <c r="P13" s="4" t="s">
        <v>59</v>
      </c>
      <c r="Q13" s="4" t="s">
        <v>82</v>
      </c>
      <c r="R13" s="4" t="s">
        <v>61</v>
      </c>
      <c r="S13" s="4" t="s">
        <v>62</v>
      </c>
      <c r="T13" s="2">
        <v>0</v>
      </c>
      <c r="U13" s="2">
        <v>100</v>
      </c>
      <c r="V13" s="2">
        <v>0</v>
      </c>
      <c r="W13" s="2">
        <v>6600</v>
      </c>
      <c r="X13" s="2">
        <v>100</v>
      </c>
      <c r="Y13" s="2">
        <v>6600</v>
      </c>
      <c r="Z13" s="2">
        <v>6700</v>
      </c>
      <c r="AA13" s="2">
        <v>0</v>
      </c>
      <c r="AB13" s="2">
        <v>100</v>
      </c>
      <c r="AC13" s="2">
        <v>0</v>
      </c>
      <c r="AD13" s="2">
        <v>6600</v>
      </c>
      <c r="AE13" s="2">
        <v>100</v>
      </c>
      <c r="AF13" s="2">
        <v>6600</v>
      </c>
      <c r="AG13" s="2">
        <v>6700</v>
      </c>
      <c r="AH13" s="2">
        <v>0</v>
      </c>
      <c r="AI13" s="2">
        <v>97</v>
      </c>
      <c r="AJ13" s="2">
        <v>0</v>
      </c>
      <c r="AK13" s="2">
        <v>5940</v>
      </c>
      <c r="AL13" s="2">
        <v>97</v>
      </c>
      <c r="AM13" s="2">
        <v>5940</v>
      </c>
      <c r="AN13" s="2">
        <v>6700</v>
      </c>
      <c r="AO13" s="4" t="s">
        <v>63</v>
      </c>
      <c r="AP13" s="4" t="s">
        <v>63</v>
      </c>
      <c r="AQ13" s="4" t="s">
        <v>63</v>
      </c>
      <c r="AR13" s="4" t="s">
        <v>63</v>
      </c>
      <c r="AS13" s="2">
        <v>3622</v>
      </c>
      <c r="AT13" s="2">
        <v>0</v>
      </c>
      <c r="AU13" s="2">
        <v>3622</v>
      </c>
    </row>
    <row r="14" spans="1:47" x14ac:dyDescent="0.4">
      <c r="A14" s="4" t="s">
        <v>46</v>
      </c>
      <c r="B14" s="4" t="s">
        <v>47</v>
      </c>
      <c r="C14" s="4" t="s">
        <v>48</v>
      </c>
      <c r="D14" s="4" t="s">
        <v>49</v>
      </c>
      <c r="E14" s="4" t="s">
        <v>50</v>
      </c>
      <c r="F14" s="4" t="s">
        <v>51</v>
      </c>
      <c r="G14" s="4" t="s">
        <v>77</v>
      </c>
      <c r="H14" s="4" t="s">
        <v>78</v>
      </c>
      <c r="I14" s="4" t="s">
        <v>54</v>
      </c>
      <c r="J14" s="4" t="s">
        <v>55</v>
      </c>
      <c r="K14" s="4" t="s">
        <v>92</v>
      </c>
      <c r="L14" s="4" t="s">
        <v>93</v>
      </c>
      <c r="M14" s="4" t="s">
        <v>94</v>
      </c>
      <c r="N14" s="4" t="s">
        <v>59</v>
      </c>
      <c r="O14" s="4" t="s">
        <v>59</v>
      </c>
      <c r="P14" s="4" t="s">
        <v>59</v>
      </c>
      <c r="Q14" s="4" t="s">
        <v>82</v>
      </c>
      <c r="R14" s="4" t="s">
        <v>61</v>
      </c>
      <c r="S14" s="4" t="s">
        <v>64</v>
      </c>
      <c r="T14" s="2">
        <v>0</v>
      </c>
      <c r="U14" s="2">
        <v>0</v>
      </c>
      <c r="V14" s="2">
        <v>0</v>
      </c>
      <c r="W14" s="2">
        <v>1800</v>
      </c>
      <c r="X14" s="2">
        <v>0</v>
      </c>
      <c r="Y14" s="2">
        <v>1800</v>
      </c>
      <c r="Z14" s="2">
        <v>1800</v>
      </c>
      <c r="AA14" s="2">
        <v>0</v>
      </c>
      <c r="AB14" s="2">
        <v>0</v>
      </c>
      <c r="AC14" s="2">
        <v>0</v>
      </c>
      <c r="AD14" s="2">
        <v>1800</v>
      </c>
      <c r="AE14" s="2">
        <v>0</v>
      </c>
      <c r="AF14" s="2">
        <v>1800</v>
      </c>
      <c r="AG14" s="2">
        <v>1800</v>
      </c>
      <c r="AH14" s="2">
        <v>0</v>
      </c>
      <c r="AI14" s="2">
        <v>0</v>
      </c>
      <c r="AJ14" s="2">
        <v>0</v>
      </c>
      <c r="AK14" s="2">
        <v>1620</v>
      </c>
      <c r="AL14" s="2">
        <v>0</v>
      </c>
      <c r="AM14" s="2">
        <v>1620</v>
      </c>
      <c r="AN14" s="2">
        <v>1800</v>
      </c>
      <c r="AO14" s="4" t="s">
        <v>63</v>
      </c>
      <c r="AP14" s="4" t="s">
        <v>63</v>
      </c>
      <c r="AQ14" s="4" t="s">
        <v>63</v>
      </c>
      <c r="AR14" s="4" t="s">
        <v>63</v>
      </c>
      <c r="AS14" s="2">
        <v>972</v>
      </c>
      <c r="AT14" s="2">
        <v>0</v>
      </c>
      <c r="AU14" s="2">
        <v>972</v>
      </c>
    </row>
    <row r="15" spans="1:47" x14ac:dyDescent="0.4">
      <c r="A15" s="4" t="s">
        <v>46</v>
      </c>
      <c r="B15" s="4" t="s">
        <v>47</v>
      </c>
      <c r="C15" s="4" t="s">
        <v>48</v>
      </c>
      <c r="D15" s="4" t="s">
        <v>49</v>
      </c>
      <c r="E15" s="4" t="s">
        <v>50</v>
      </c>
      <c r="F15" s="4" t="s">
        <v>51</v>
      </c>
      <c r="G15" s="4" t="s">
        <v>77</v>
      </c>
      <c r="H15" s="4" t="s">
        <v>78</v>
      </c>
      <c r="I15" s="4" t="s">
        <v>54</v>
      </c>
      <c r="J15" s="4" t="s">
        <v>55</v>
      </c>
      <c r="K15" s="4" t="s">
        <v>92</v>
      </c>
      <c r="L15" s="4" t="s">
        <v>93</v>
      </c>
      <c r="M15" s="4" t="s">
        <v>94</v>
      </c>
      <c r="N15" s="4" t="s">
        <v>59</v>
      </c>
      <c r="O15" s="4" t="s">
        <v>59</v>
      </c>
      <c r="P15" s="4" t="s">
        <v>59</v>
      </c>
      <c r="Q15" s="4" t="s">
        <v>82</v>
      </c>
      <c r="R15" s="4" t="s">
        <v>61</v>
      </c>
      <c r="S15" s="4" t="s">
        <v>64</v>
      </c>
      <c r="T15" s="2">
        <v>0</v>
      </c>
      <c r="U15" s="2">
        <v>0</v>
      </c>
      <c r="V15" s="2">
        <v>0</v>
      </c>
      <c r="W15" s="2">
        <v>9000</v>
      </c>
      <c r="X15" s="2">
        <v>0</v>
      </c>
      <c r="Y15" s="2">
        <v>9000</v>
      </c>
      <c r="Z15" s="2">
        <v>9000</v>
      </c>
      <c r="AA15" s="2">
        <v>0</v>
      </c>
      <c r="AB15" s="2">
        <v>0</v>
      </c>
      <c r="AC15" s="2">
        <v>0</v>
      </c>
      <c r="AD15" s="2">
        <v>9000</v>
      </c>
      <c r="AE15" s="2">
        <v>0</v>
      </c>
      <c r="AF15" s="2">
        <v>9000</v>
      </c>
      <c r="AG15" s="2">
        <v>9000</v>
      </c>
      <c r="AH15" s="2">
        <v>0</v>
      </c>
      <c r="AI15" s="2">
        <v>0</v>
      </c>
      <c r="AJ15" s="2">
        <v>0</v>
      </c>
      <c r="AK15" s="2">
        <v>8100</v>
      </c>
      <c r="AL15" s="2">
        <v>0</v>
      </c>
      <c r="AM15" s="2">
        <v>8100</v>
      </c>
      <c r="AN15" s="2">
        <v>9000</v>
      </c>
      <c r="AO15" s="4" t="s">
        <v>63</v>
      </c>
      <c r="AP15" s="4" t="s">
        <v>63</v>
      </c>
      <c r="AQ15" s="4" t="s">
        <v>63</v>
      </c>
      <c r="AR15" s="4" t="s">
        <v>63</v>
      </c>
      <c r="AS15" s="2">
        <v>4860</v>
      </c>
      <c r="AT15" s="2">
        <v>0</v>
      </c>
      <c r="AU15" s="2">
        <v>4860</v>
      </c>
    </row>
    <row r="16" spans="1:47" x14ac:dyDescent="0.4">
      <c r="A16" s="4" t="s">
        <v>46</v>
      </c>
      <c r="B16" s="4" t="s">
        <v>47</v>
      </c>
      <c r="C16" s="4" t="s">
        <v>48</v>
      </c>
      <c r="D16" s="4" t="s">
        <v>49</v>
      </c>
      <c r="E16" s="4" t="s">
        <v>50</v>
      </c>
      <c r="F16" s="4" t="s">
        <v>51</v>
      </c>
      <c r="G16" s="4" t="s">
        <v>77</v>
      </c>
      <c r="H16" s="4" t="s">
        <v>78</v>
      </c>
      <c r="I16" s="4" t="s">
        <v>54</v>
      </c>
      <c r="J16" s="4" t="s">
        <v>55</v>
      </c>
      <c r="K16" s="4" t="s">
        <v>95</v>
      </c>
      <c r="L16" s="4" t="s">
        <v>96</v>
      </c>
      <c r="M16" s="4" t="s">
        <v>97</v>
      </c>
      <c r="N16" s="4" t="s">
        <v>59</v>
      </c>
      <c r="O16" s="4" t="s">
        <v>59</v>
      </c>
      <c r="P16" s="4" t="s">
        <v>59</v>
      </c>
      <c r="Q16" s="4" t="s">
        <v>82</v>
      </c>
      <c r="R16" s="4" t="s">
        <v>61</v>
      </c>
      <c r="S16" s="4" t="s">
        <v>62</v>
      </c>
      <c r="T16" s="2">
        <v>0</v>
      </c>
      <c r="U16" s="2">
        <v>3200</v>
      </c>
      <c r="V16" s="2">
        <v>0</v>
      </c>
      <c r="W16" s="2">
        <v>1700</v>
      </c>
      <c r="X16" s="2">
        <v>3200</v>
      </c>
      <c r="Y16" s="2">
        <v>1700</v>
      </c>
      <c r="Z16" s="2">
        <v>4900</v>
      </c>
      <c r="AA16" s="2">
        <v>0</v>
      </c>
      <c r="AB16" s="2">
        <v>3200</v>
      </c>
      <c r="AC16" s="2">
        <v>0</v>
      </c>
      <c r="AD16" s="2">
        <v>1700</v>
      </c>
      <c r="AE16" s="2">
        <v>3200</v>
      </c>
      <c r="AF16" s="2">
        <v>1700</v>
      </c>
      <c r="AG16" s="2">
        <v>4900</v>
      </c>
      <c r="AH16" s="2">
        <v>0</v>
      </c>
      <c r="AI16" s="2">
        <v>3104</v>
      </c>
      <c r="AJ16" s="2">
        <v>0</v>
      </c>
      <c r="AK16" s="2">
        <v>1530</v>
      </c>
      <c r="AL16" s="2">
        <v>3104</v>
      </c>
      <c r="AM16" s="2">
        <v>1530</v>
      </c>
      <c r="AN16" s="2">
        <v>4900</v>
      </c>
      <c r="AO16" s="4" t="s">
        <v>63</v>
      </c>
      <c r="AP16" s="4" t="s">
        <v>63</v>
      </c>
      <c r="AQ16" s="4" t="s">
        <v>63</v>
      </c>
      <c r="AR16" s="4" t="s">
        <v>63</v>
      </c>
      <c r="AS16" s="2">
        <v>2780</v>
      </c>
      <c r="AT16" s="2">
        <v>0</v>
      </c>
      <c r="AU16" s="2">
        <v>2780</v>
      </c>
    </row>
    <row r="17" spans="1:47" x14ac:dyDescent="0.4">
      <c r="A17" s="4" t="s">
        <v>46</v>
      </c>
      <c r="B17" s="4" t="s">
        <v>47</v>
      </c>
      <c r="C17" s="4" t="s">
        <v>48</v>
      </c>
      <c r="D17" s="4" t="s">
        <v>49</v>
      </c>
      <c r="E17" s="4" t="s">
        <v>50</v>
      </c>
      <c r="F17" s="4" t="s">
        <v>51</v>
      </c>
      <c r="G17" s="4" t="s">
        <v>77</v>
      </c>
      <c r="H17" s="4" t="s">
        <v>78</v>
      </c>
      <c r="I17" s="4" t="s">
        <v>54</v>
      </c>
      <c r="J17" s="4" t="s">
        <v>55</v>
      </c>
      <c r="K17" s="4" t="s">
        <v>95</v>
      </c>
      <c r="L17" s="4" t="s">
        <v>96</v>
      </c>
      <c r="M17" s="4" t="s">
        <v>97</v>
      </c>
      <c r="N17" s="4" t="s">
        <v>59</v>
      </c>
      <c r="O17" s="4" t="s">
        <v>59</v>
      </c>
      <c r="P17" s="4" t="s">
        <v>59</v>
      </c>
      <c r="Q17" s="4" t="s">
        <v>82</v>
      </c>
      <c r="R17" s="4" t="s">
        <v>61</v>
      </c>
      <c r="S17" s="4" t="s">
        <v>64</v>
      </c>
      <c r="T17" s="2">
        <v>0</v>
      </c>
      <c r="U17" s="2">
        <v>8200</v>
      </c>
      <c r="V17" s="2">
        <v>0</v>
      </c>
      <c r="W17" s="2">
        <v>1000</v>
      </c>
      <c r="X17" s="2">
        <v>8200</v>
      </c>
      <c r="Y17" s="2">
        <v>1000</v>
      </c>
      <c r="Z17" s="2">
        <v>9200</v>
      </c>
      <c r="AA17" s="2">
        <v>0</v>
      </c>
      <c r="AB17" s="2">
        <v>8200</v>
      </c>
      <c r="AC17" s="2">
        <v>0</v>
      </c>
      <c r="AD17" s="2">
        <v>1000</v>
      </c>
      <c r="AE17" s="2">
        <v>8200</v>
      </c>
      <c r="AF17" s="2">
        <v>1000</v>
      </c>
      <c r="AG17" s="2">
        <v>9200</v>
      </c>
      <c r="AH17" s="2">
        <v>0</v>
      </c>
      <c r="AI17" s="2">
        <v>7954</v>
      </c>
      <c r="AJ17" s="2">
        <v>0</v>
      </c>
      <c r="AK17" s="2">
        <v>900</v>
      </c>
      <c r="AL17" s="2">
        <v>7954</v>
      </c>
      <c r="AM17" s="2">
        <v>900</v>
      </c>
      <c r="AN17" s="2">
        <v>9200</v>
      </c>
      <c r="AO17" s="4" t="s">
        <v>63</v>
      </c>
      <c r="AP17" s="4" t="s">
        <v>63</v>
      </c>
      <c r="AQ17" s="4" t="s">
        <v>63</v>
      </c>
      <c r="AR17" s="4" t="s">
        <v>63</v>
      </c>
      <c r="AS17" s="2">
        <v>5312</v>
      </c>
      <c r="AT17" s="2">
        <v>0</v>
      </c>
      <c r="AU17" s="2">
        <v>5312</v>
      </c>
    </row>
    <row r="18" spans="1:47" x14ac:dyDescent="0.4">
      <c r="A18" s="4" t="s">
        <v>46</v>
      </c>
      <c r="B18" s="4" t="s">
        <v>47</v>
      </c>
      <c r="C18" s="4" t="s">
        <v>48</v>
      </c>
      <c r="D18" s="4" t="s">
        <v>49</v>
      </c>
      <c r="E18" s="4" t="s">
        <v>50</v>
      </c>
      <c r="F18" s="4" t="s">
        <v>51</v>
      </c>
      <c r="G18" s="4" t="s">
        <v>77</v>
      </c>
      <c r="H18" s="4" t="s">
        <v>78</v>
      </c>
      <c r="I18" s="4" t="s">
        <v>54</v>
      </c>
      <c r="J18" s="4" t="s">
        <v>55</v>
      </c>
      <c r="K18" s="4" t="s">
        <v>98</v>
      </c>
      <c r="L18" s="4" t="s">
        <v>99</v>
      </c>
      <c r="M18" s="4" t="s">
        <v>100</v>
      </c>
      <c r="N18" s="4" t="s">
        <v>59</v>
      </c>
      <c r="O18" s="4" t="s">
        <v>59</v>
      </c>
      <c r="P18" s="4" t="s">
        <v>59</v>
      </c>
      <c r="Q18" s="4" t="s">
        <v>82</v>
      </c>
      <c r="R18" s="4" t="s">
        <v>61</v>
      </c>
      <c r="S18" s="4" t="s">
        <v>62</v>
      </c>
      <c r="T18" s="2">
        <v>816980</v>
      </c>
      <c r="U18" s="2">
        <v>1180180</v>
      </c>
      <c r="V18" s="2">
        <v>110560</v>
      </c>
      <c r="W18" s="2">
        <v>4514780</v>
      </c>
      <c r="X18" s="2">
        <v>2107720</v>
      </c>
      <c r="Y18" s="2">
        <v>4514780</v>
      </c>
      <c r="Z18" s="2">
        <v>6622500</v>
      </c>
      <c r="AA18" s="2">
        <v>980376</v>
      </c>
      <c r="AB18" s="2">
        <v>1180180</v>
      </c>
      <c r="AC18" s="2">
        <v>130852</v>
      </c>
      <c r="AD18" s="2">
        <v>4514780</v>
      </c>
      <c r="AE18" s="2">
        <v>2291408</v>
      </c>
      <c r="AF18" s="2">
        <v>4514780</v>
      </c>
      <c r="AG18" s="2">
        <v>6806188</v>
      </c>
      <c r="AH18" s="2">
        <v>882338.4</v>
      </c>
      <c r="AI18" s="2">
        <v>1144774.6000000001</v>
      </c>
      <c r="AJ18" s="2">
        <v>91596.4</v>
      </c>
      <c r="AK18" s="2">
        <v>4063302</v>
      </c>
      <c r="AL18" s="2">
        <v>2118709.4</v>
      </c>
      <c r="AM18" s="2">
        <v>4063302</v>
      </c>
      <c r="AN18" s="2">
        <v>6622500</v>
      </c>
      <c r="AO18" s="4" t="s">
        <v>63</v>
      </c>
      <c r="AP18" s="4" t="s">
        <v>63</v>
      </c>
      <c r="AQ18" s="4" t="s">
        <v>63</v>
      </c>
      <c r="AR18" s="4" t="s">
        <v>63</v>
      </c>
      <c r="AS18" s="2">
        <v>3709207</v>
      </c>
      <c r="AT18" s="2">
        <v>0</v>
      </c>
      <c r="AU18" s="2">
        <v>3709207</v>
      </c>
    </row>
    <row r="19" spans="1:47" x14ac:dyDescent="0.4">
      <c r="A19" s="4" t="s">
        <v>46</v>
      </c>
      <c r="B19" s="4" t="s">
        <v>47</v>
      </c>
      <c r="C19" s="4" t="s">
        <v>48</v>
      </c>
      <c r="D19" s="4" t="s">
        <v>49</v>
      </c>
      <c r="E19" s="4" t="s">
        <v>50</v>
      </c>
      <c r="F19" s="4" t="s">
        <v>51</v>
      </c>
      <c r="G19" s="4" t="s">
        <v>77</v>
      </c>
      <c r="H19" s="4" t="s">
        <v>78</v>
      </c>
      <c r="I19" s="4" t="s">
        <v>54</v>
      </c>
      <c r="J19" s="4" t="s">
        <v>55</v>
      </c>
      <c r="K19" s="4" t="s">
        <v>98</v>
      </c>
      <c r="L19" s="4" t="s">
        <v>99</v>
      </c>
      <c r="M19" s="4" t="s">
        <v>100</v>
      </c>
      <c r="N19" s="4" t="s">
        <v>59</v>
      </c>
      <c r="O19" s="4" t="s">
        <v>59</v>
      </c>
      <c r="P19" s="4" t="s">
        <v>59</v>
      </c>
      <c r="Q19" s="4" t="s">
        <v>82</v>
      </c>
      <c r="R19" s="4" t="s">
        <v>61</v>
      </c>
      <c r="S19" s="4" t="s">
        <v>64</v>
      </c>
      <c r="T19" s="2">
        <v>1475959</v>
      </c>
      <c r="U19" s="2">
        <v>3831751</v>
      </c>
      <c r="V19" s="2">
        <v>248710</v>
      </c>
      <c r="W19" s="2">
        <v>1830480</v>
      </c>
      <c r="X19" s="2">
        <v>5556420</v>
      </c>
      <c r="Y19" s="2">
        <v>1830480</v>
      </c>
      <c r="Z19" s="2">
        <v>7386900</v>
      </c>
      <c r="AA19" s="2">
        <v>1771151</v>
      </c>
      <c r="AB19" s="2">
        <v>3831751</v>
      </c>
      <c r="AC19" s="2">
        <v>294707</v>
      </c>
      <c r="AD19" s="2">
        <v>1830480</v>
      </c>
      <c r="AE19" s="2">
        <v>5897609</v>
      </c>
      <c r="AF19" s="2">
        <v>1830480</v>
      </c>
      <c r="AG19" s="2">
        <v>7728089</v>
      </c>
      <c r="AH19" s="2">
        <v>1594035.9</v>
      </c>
      <c r="AI19" s="2">
        <v>3716798.47</v>
      </c>
      <c r="AJ19" s="2">
        <v>206294.9</v>
      </c>
      <c r="AK19" s="2">
        <v>1647432</v>
      </c>
      <c r="AL19" s="2">
        <v>5517129.2699999996</v>
      </c>
      <c r="AM19" s="2">
        <v>1647432</v>
      </c>
      <c r="AN19" s="2">
        <v>7386900</v>
      </c>
      <c r="AO19" s="4" t="s">
        <v>63</v>
      </c>
      <c r="AP19" s="4" t="s">
        <v>63</v>
      </c>
      <c r="AQ19" s="4" t="s">
        <v>63</v>
      </c>
      <c r="AR19" s="4" t="s">
        <v>63</v>
      </c>
      <c r="AS19" s="2">
        <v>4298737</v>
      </c>
      <c r="AT19" s="2">
        <v>0</v>
      </c>
      <c r="AU19" s="2">
        <v>4298737</v>
      </c>
    </row>
    <row r="20" spans="1:47" x14ac:dyDescent="0.4">
      <c r="A20" s="4" t="s">
        <v>46</v>
      </c>
      <c r="B20" s="4" t="s">
        <v>47</v>
      </c>
      <c r="C20" s="4" t="s">
        <v>48</v>
      </c>
      <c r="D20" s="4" t="s">
        <v>49</v>
      </c>
      <c r="E20" s="4" t="s">
        <v>50</v>
      </c>
      <c r="F20" s="4" t="s">
        <v>51</v>
      </c>
      <c r="G20" s="4" t="s">
        <v>77</v>
      </c>
      <c r="H20" s="4" t="s">
        <v>78</v>
      </c>
      <c r="I20" s="4" t="s">
        <v>54</v>
      </c>
      <c r="J20" s="4" t="s">
        <v>55</v>
      </c>
      <c r="K20" s="4" t="s">
        <v>98</v>
      </c>
      <c r="L20" s="4" t="s">
        <v>99</v>
      </c>
      <c r="M20" s="4" t="s">
        <v>100</v>
      </c>
      <c r="N20" s="4" t="s">
        <v>59</v>
      </c>
      <c r="O20" s="4" t="s">
        <v>59</v>
      </c>
      <c r="P20" s="4" t="s">
        <v>59</v>
      </c>
      <c r="Q20" s="4" t="s">
        <v>82</v>
      </c>
      <c r="R20" s="4" t="s">
        <v>61</v>
      </c>
      <c r="S20" s="4" t="s">
        <v>64</v>
      </c>
      <c r="T20" s="2">
        <v>1587150</v>
      </c>
      <c r="U20" s="2">
        <v>3628050</v>
      </c>
      <c r="V20" s="2">
        <v>239430</v>
      </c>
      <c r="W20" s="2">
        <v>1325670</v>
      </c>
      <c r="X20" s="2">
        <v>5454630</v>
      </c>
      <c r="Y20" s="2">
        <v>1325670</v>
      </c>
      <c r="Z20" s="2">
        <v>6780300</v>
      </c>
      <c r="AA20" s="2">
        <v>1904580</v>
      </c>
      <c r="AB20" s="2">
        <v>3628050</v>
      </c>
      <c r="AC20" s="2">
        <v>285581</v>
      </c>
      <c r="AD20" s="2">
        <v>1325670</v>
      </c>
      <c r="AE20" s="2">
        <v>5818211</v>
      </c>
      <c r="AF20" s="2">
        <v>1325670</v>
      </c>
      <c r="AG20" s="2">
        <v>7143881</v>
      </c>
      <c r="AH20" s="2">
        <v>1714122</v>
      </c>
      <c r="AI20" s="2">
        <v>3519208.5</v>
      </c>
      <c r="AJ20" s="2">
        <v>199906.7</v>
      </c>
      <c r="AK20" s="2">
        <v>1193103</v>
      </c>
      <c r="AL20" s="2">
        <v>5433237.2000000002</v>
      </c>
      <c r="AM20" s="2">
        <v>1193103</v>
      </c>
      <c r="AN20" s="2">
        <v>6780300</v>
      </c>
      <c r="AO20" s="4" t="s">
        <v>63</v>
      </c>
      <c r="AP20" s="4" t="s">
        <v>63</v>
      </c>
      <c r="AQ20" s="4" t="s">
        <v>63</v>
      </c>
      <c r="AR20" s="4" t="s">
        <v>63</v>
      </c>
      <c r="AS20" s="2">
        <v>3975804</v>
      </c>
      <c r="AT20" s="2">
        <v>0</v>
      </c>
      <c r="AU20" s="2">
        <v>3975804</v>
      </c>
    </row>
    <row r="21" spans="1:47" x14ac:dyDescent="0.4">
      <c r="A21" s="4" t="s">
        <v>46</v>
      </c>
      <c r="B21" s="4" t="s">
        <v>47</v>
      </c>
      <c r="C21" s="4" t="s">
        <v>48</v>
      </c>
      <c r="D21" s="4" t="s">
        <v>49</v>
      </c>
      <c r="E21" s="4" t="s">
        <v>50</v>
      </c>
      <c r="F21" s="4" t="s">
        <v>51</v>
      </c>
      <c r="G21" s="4" t="s">
        <v>77</v>
      </c>
      <c r="H21" s="4" t="s">
        <v>78</v>
      </c>
      <c r="I21" s="4" t="s">
        <v>54</v>
      </c>
      <c r="J21" s="4" t="s">
        <v>55</v>
      </c>
      <c r="K21" s="4" t="s">
        <v>98</v>
      </c>
      <c r="L21" s="4" t="s">
        <v>99</v>
      </c>
      <c r="M21" s="4" t="s">
        <v>100</v>
      </c>
      <c r="N21" s="4" t="s">
        <v>59</v>
      </c>
      <c r="O21" s="4" t="s">
        <v>59</v>
      </c>
      <c r="P21" s="4" t="s">
        <v>59</v>
      </c>
      <c r="Q21" s="4" t="s">
        <v>82</v>
      </c>
      <c r="R21" s="4" t="s">
        <v>61</v>
      </c>
      <c r="S21" s="4" t="s">
        <v>64</v>
      </c>
      <c r="T21" s="2">
        <v>3996410</v>
      </c>
      <c r="U21" s="2">
        <v>7395110</v>
      </c>
      <c r="V21" s="2">
        <v>1140840</v>
      </c>
      <c r="W21" s="2">
        <v>1428840</v>
      </c>
      <c r="X21" s="2">
        <v>12532360</v>
      </c>
      <c r="Y21" s="2">
        <v>1428840</v>
      </c>
      <c r="Z21" s="2">
        <v>13961200</v>
      </c>
      <c r="AA21" s="2">
        <v>4795692</v>
      </c>
      <c r="AB21" s="2">
        <v>7395110</v>
      </c>
      <c r="AC21" s="2">
        <v>1364856</v>
      </c>
      <c r="AD21" s="2">
        <v>1428840</v>
      </c>
      <c r="AE21" s="2">
        <v>13555658</v>
      </c>
      <c r="AF21" s="2">
        <v>1428840</v>
      </c>
      <c r="AG21" s="2">
        <v>14984498</v>
      </c>
      <c r="AH21" s="2">
        <v>4316122.8</v>
      </c>
      <c r="AI21" s="2">
        <v>7173256.7000000002</v>
      </c>
      <c r="AJ21" s="2">
        <v>955399.2</v>
      </c>
      <c r="AK21" s="2">
        <v>1285956</v>
      </c>
      <c r="AL21" s="2">
        <v>12444778.699999999</v>
      </c>
      <c r="AM21" s="2">
        <v>1285956</v>
      </c>
      <c r="AN21" s="2">
        <v>13961200</v>
      </c>
      <c r="AO21" s="4" t="s">
        <v>63</v>
      </c>
      <c r="AP21" s="4" t="s">
        <v>63</v>
      </c>
      <c r="AQ21" s="4" t="s">
        <v>63</v>
      </c>
      <c r="AR21" s="4" t="s">
        <v>63</v>
      </c>
      <c r="AS21" s="2">
        <v>8238442</v>
      </c>
      <c r="AT21" s="2">
        <v>0</v>
      </c>
      <c r="AU21" s="2">
        <v>8238442</v>
      </c>
    </row>
    <row r="22" spans="1:47" x14ac:dyDescent="0.4">
      <c r="A22" s="4" t="s">
        <v>46</v>
      </c>
      <c r="B22" s="4" t="s">
        <v>47</v>
      </c>
      <c r="C22" s="4" t="s">
        <v>48</v>
      </c>
      <c r="D22" s="4" t="s">
        <v>49</v>
      </c>
      <c r="E22" s="4" t="s">
        <v>50</v>
      </c>
      <c r="F22" s="4" t="s">
        <v>51</v>
      </c>
      <c r="G22" s="4" t="s">
        <v>77</v>
      </c>
      <c r="H22" s="4" t="s">
        <v>78</v>
      </c>
      <c r="I22" s="4" t="s">
        <v>54</v>
      </c>
      <c r="J22" s="4" t="s">
        <v>55</v>
      </c>
      <c r="K22" s="4" t="s">
        <v>101</v>
      </c>
      <c r="L22" s="4" t="s">
        <v>102</v>
      </c>
      <c r="M22" s="4" t="s">
        <v>103</v>
      </c>
      <c r="N22" s="4" t="s">
        <v>59</v>
      </c>
      <c r="O22" s="4" t="s">
        <v>59</v>
      </c>
      <c r="P22" s="4" t="s">
        <v>59</v>
      </c>
      <c r="Q22" s="4" t="s">
        <v>82</v>
      </c>
      <c r="R22" s="4" t="s">
        <v>61</v>
      </c>
      <c r="S22" s="4" t="s">
        <v>62</v>
      </c>
      <c r="T22" s="2">
        <v>100</v>
      </c>
      <c r="U22" s="2">
        <v>0</v>
      </c>
      <c r="V22" s="2">
        <v>0</v>
      </c>
      <c r="W22" s="2">
        <v>1200</v>
      </c>
      <c r="X22" s="2">
        <v>100</v>
      </c>
      <c r="Y22" s="2">
        <v>1200</v>
      </c>
      <c r="Z22" s="2">
        <v>1300</v>
      </c>
      <c r="AA22" s="2">
        <v>120</v>
      </c>
      <c r="AB22" s="2">
        <v>0</v>
      </c>
      <c r="AC22" s="2">
        <v>0</v>
      </c>
      <c r="AD22" s="2">
        <v>1200</v>
      </c>
      <c r="AE22" s="2">
        <v>120</v>
      </c>
      <c r="AF22" s="2">
        <v>1200</v>
      </c>
      <c r="AG22" s="2">
        <v>1320</v>
      </c>
      <c r="AH22" s="2">
        <v>108</v>
      </c>
      <c r="AI22" s="2">
        <v>0</v>
      </c>
      <c r="AJ22" s="2">
        <v>0</v>
      </c>
      <c r="AK22" s="2">
        <v>1080</v>
      </c>
      <c r="AL22" s="2">
        <v>108</v>
      </c>
      <c r="AM22" s="2">
        <v>1080</v>
      </c>
      <c r="AN22" s="2">
        <v>1300</v>
      </c>
      <c r="AO22" s="4" t="s">
        <v>63</v>
      </c>
      <c r="AP22" s="4" t="s">
        <v>63</v>
      </c>
      <c r="AQ22" s="4" t="s">
        <v>63</v>
      </c>
      <c r="AR22" s="4" t="s">
        <v>63</v>
      </c>
      <c r="AS22" s="2">
        <v>713</v>
      </c>
      <c r="AT22" s="2">
        <v>0</v>
      </c>
      <c r="AU22" s="2">
        <v>713</v>
      </c>
    </row>
    <row r="23" spans="1:47" x14ac:dyDescent="0.4">
      <c r="A23" s="4" t="s">
        <v>46</v>
      </c>
      <c r="B23" s="4" t="s">
        <v>47</v>
      </c>
      <c r="C23" s="4" t="s">
        <v>48</v>
      </c>
      <c r="D23" s="4" t="s">
        <v>49</v>
      </c>
      <c r="E23" s="4" t="s">
        <v>50</v>
      </c>
      <c r="F23" s="4" t="s">
        <v>51</v>
      </c>
      <c r="G23" s="4" t="s">
        <v>77</v>
      </c>
      <c r="H23" s="4" t="s">
        <v>78</v>
      </c>
      <c r="I23" s="4" t="s">
        <v>54</v>
      </c>
      <c r="J23" s="4" t="s">
        <v>55</v>
      </c>
      <c r="K23" s="4" t="s">
        <v>104</v>
      </c>
      <c r="L23" s="4" t="s">
        <v>105</v>
      </c>
      <c r="M23" s="4" t="s">
        <v>106</v>
      </c>
      <c r="N23" s="4" t="s">
        <v>59</v>
      </c>
      <c r="O23" s="4" t="s">
        <v>59</v>
      </c>
      <c r="P23" s="4" t="s">
        <v>59</v>
      </c>
      <c r="Q23" s="4" t="s">
        <v>82</v>
      </c>
      <c r="R23" s="4" t="s">
        <v>61</v>
      </c>
      <c r="S23" s="4" t="s">
        <v>62</v>
      </c>
      <c r="T23" s="2">
        <v>374570</v>
      </c>
      <c r="U23" s="2">
        <v>780860</v>
      </c>
      <c r="V23" s="2">
        <v>221000</v>
      </c>
      <c r="W23" s="2">
        <v>111570</v>
      </c>
      <c r="X23" s="2">
        <v>1376430</v>
      </c>
      <c r="Y23" s="2">
        <v>111570</v>
      </c>
      <c r="Z23" s="2">
        <v>1488000</v>
      </c>
      <c r="AA23" s="2">
        <v>449484</v>
      </c>
      <c r="AB23" s="2">
        <v>780860</v>
      </c>
      <c r="AC23" s="2">
        <v>262904</v>
      </c>
      <c r="AD23" s="2">
        <v>111570</v>
      </c>
      <c r="AE23" s="2">
        <v>1493248</v>
      </c>
      <c r="AF23" s="2">
        <v>111570</v>
      </c>
      <c r="AG23" s="2">
        <v>1604818</v>
      </c>
      <c r="AH23" s="2">
        <v>404535.6</v>
      </c>
      <c r="AI23" s="2">
        <v>757434.2</v>
      </c>
      <c r="AJ23" s="2">
        <v>184032.8</v>
      </c>
      <c r="AK23" s="2">
        <v>100413</v>
      </c>
      <c r="AL23" s="2">
        <v>1346002.6</v>
      </c>
      <c r="AM23" s="2">
        <v>100413</v>
      </c>
      <c r="AN23" s="2">
        <v>1488000</v>
      </c>
      <c r="AO23" s="4" t="s">
        <v>63</v>
      </c>
      <c r="AP23" s="4" t="s">
        <v>63</v>
      </c>
      <c r="AQ23" s="4" t="s">
        <v>63</v>
      </c>
      <c r="AR23" s="4" t="s">
        <v>63</v>
      </c>
      <c r="AS23" s="2">
        <v>867850</v>
      </c>
      <c r="AT23" s="2">
        <v>0</v>
      </c>
      <c r="AU23" s="2">
        <v>867850</v>
      </c>
    </row>
    <row r="24" spans="1:47" x14ac:dyDescent="0.4">
      <c r="A24" s="4" t="s">
        <v>46</v>
      </c>
      <c r="B24" s="4" t="s">
        <v>47</v>
      </c>
      <c r="C24" s="4" t="s">
        <v>48</v>
      </c>
      <c r="D24" s="4" t="s">
        <v>49</v>
      </c>
      <c r="E24" s="4" t="s">
        <v>50</v>
      </c>
      <c r="F24" s="4" t="s">
        <v>51</v>
      </c>
      <c r="G24" s="4" t="s">
        <v>77</v>
      </c>
      <c r="H24" s="4" t="s">
        <v>78</v>
      </c>
      <c r="I24" s="4" t="s">
        <v>54</v>
      </c>
      <c r="J24" s="4" t="s">
        <v>55</v>
      </c>
      <c r="K24" s="4" t="s">
        <v>104</v>
      </c>
      <c r="L24" s="4" t="s">
        <v>105</v>
      </c>
      <c r="M24" s="4" t="s">
        <v>106</v>
      </c>
      <c r="N24" s="4" t="s">
        <v>59</v>
      </c>
      <c r="O24" s="4" t="s">
        <v>59</v>
      </c>
      <c r="P24" s="4" t="s">
        <v>59</v>
      </c>
      <c r="Q24" s="4" t="s">
        <v>82</v>
      </c>
      <c r="R24" s="4" t="s">
        <v>61</v>
      </c>
      <c r="S24" s="4" t="s">
        <v>64</v>
      </c>
      <c r="T24" s="2">
        <v>0</v>
      </c>
      <c r="U24" s="2">
        <v>67200</v>
      </c>
      <c r="V24" s="2">
        <v>134400</v>
      </c>
      <c r="W24" s="2">
        <v>0</v>
      </c>
      <c r="X24" s="2">
        <v>201600</v>
      </c>
      <c r="Y24" s="2">
        <v>0</v>
      </c>
      <c r="Z24" s="2">
        <v>201600</v>
      </c>
      <c r="AA24" s="2">
        <v>0</v>
      </c>
      <c r="AB24" s="2">
        <v>67200</v>
      </c>
      <c r="AC24" s="2">
        <v>161280</v>
      </c>
      <c r="AD24" s="2">
        <v>0</v>
      </c>
      <c r="AE24" s="2">
        <v>228480</v>
      </c>
      <c r="AF24" s="2">
        <v>0</v>
      </c>
      <c r="AG24" s="2">
        <v>228480</v>
      </c>
      <c r="AH24" s="2">
        <v>0</v>
      </c>
      <c r="AI24" s="2">
        <v>65184</v>
      </c>
      <c r="AJ24" s="2">
        <v>112896</v>
      </c>
      <c r="AK24" s="2">
        <v>0</v>
      </c>
      <c r="AL24" s="2">
        <v>178080</v>
      </c>
      <c r="AM24" s="2">
        <v>0</v>
      </c>
      <c r="AN24" s="2">
        <v>201600</v>
      </c>
      <c r="AO24" s="4" t="s">
        <v>63</v>
      </c>
      <c r="AP24" s="4" t="s">
        <v>63</v>
      </c>
      <c r="AQ24" s="4" t="s">
        <v>63</v>
      </c>
      <c r="AR24" s="4" t="s">
        <v>63</v>
      </c>
      <c r="AS24" s="2">
        <v>106848</v>
      </c>
      <c r="AT24" s="2">
        <v>0</v>
      </c>
      <c r="AU24" s="2">
        <v>106848</v>
      </c>
    </row>
    <row r="25" spans="1:47" x14ac:dyDescent="0.4">
      <c r="A25" s="4" t="s">
        <v>46</v>
      </c>
      <c r="B25" s="4" t="s">
        <v>47</v>
      </c>
      <c r="C25" s="4" t="s">
        <v>48</v>
      </c>
      <c r="D25" s="4" t="s">
        <v>49</v>
      </c>
      <c r="E25" s="4" t="s">
        <v>50</v>
      </c>
      <c r="F25" s="4" t="s">
        <v>51</v>
      </c>
      <c r="G25" s="4" t="s">
        <v>77</v>
      </c>
      <c r="H25" s="4" t="s">
        <v>78</v>
      </c>
      <c r="I25" s="4" t="s">
        <v>54</v>
      </c>
      <c r="J25" s="4" t="s">
        <v>55</v>
      </c>
      <c r="K25" s="4" t="s">
        <v>107</v>
      </c>
      <c r="L25" s="4" t="s">
        <v>108</v>
      </c>
      <c r="M25" s="4" t="s">
        <v>109</v>
      </c>
      <c r="N25" s="4" t="s">
        <v>59</v>
      </c>
      <c r="O25" s="4" t="s">
        <v>59</v>
      </c>
      <c r="P25" s="4" t="s">
        <v>59</v>
      </c>
      <c r="Q25" s="4" t="s">
        <v>82</v>
      </c>
      <c r="R25" s="4" t="s">
        <v>61</v>
      </c>
      <c r="S25" s="4" t="s">
        <v>62</v>
      </c>
      <c r="T25" s="2">
        <v>0</v>
      </c>
      <c r="U25" s="2">
        <v>0</v>
      </c>
      <c r="V25" s="2">
        <v>0</v>
      </c>
      <c r="W25" s="2">
        <v>3200</v>
      </c>
      <c r="X25" s="2">
        <v>0</v>
      </c>
      <c r="Y25" s="2">
        <v>3200</v>
      </c>
      <c r="Z25" s="2">
        <v>3200</v>
      </c>
      <c r="AA25" s="2">
        <v>0</v>
      </c>
      <c r="AB25" s="2">
        <v>0</v>
      </c>
      <c r="AC25" s="2">
        <v>0</v>
      </c>
      <c r="AD25" s="2">
        <v>3200</v>
      </c>
      <c r="AE25" s="2">
        <v>0</v>
      </c>
      <c r="AF25" s="2">
        <v>3200</v>
      </c>
      <c r="AG25" s="2">
        <v>3200</v>
      </c>
      <c r="AH25" s="2">
        <v>0</v>
      </c>
      <c r="AI25" s="2">
        <v>0</v>
      </c>
      <c r="AJ25" s="2">
        <v>0</v>
      </c>
      <c r="AK25" s="2">
        <v>2880</v>
      </c>
      <c r="AL25" s="2">
        <v>0</v>
      </c>
      <c r="AM25" s="2">
        <v>2880</v>
      </c>
      <c r="AN25" s="2">
        <v>3200</v>
      </c>
      <c r="AO25" s="4" t="s">
        <v>63</v>
      </c>
      <c r="AP25" s="4" t="s">
        <v>63</v>
      </c>
      <c r="AQ25" s="4" t="s">
        <v>63</v>
      </c>
      <c r="AR25" s="4" t="s">
        <v>63</v>
      </c>
      <c r="AS25" s="2">
        <v>1728</v>
      </c>
      <c r="AT25" s="2">
        <v>0</v>
      </c>
      <c r="AU25" s="2">
        <v>1728</v>
      </c>
    </row>
    <row r="26" spans="1:47" x14ac:dyDescent="0.4">
      <c r="A26" s="4" t="s">
        <v>46</v>
      </c>
      <c r="B26" s="4" t="s">
        <v>47</v>
      </c>
      <c r="C26" s="4" t="s">
        <v>48</v>
      </c>
      <c r="D26" s="4" t="s">
        <v>49</v>
      </c>
      <c r="E26" s="4" t="s">
        <v>50</v>
      </c>
      <c r="F26" s="4" t="s">
        <v>51</v>
      </c>
      <c r="G26" s="4" t="s">
        <v>77</v>
      </c>
      <c r="H26" s="4" t="s">
        <v>78</v>
      </c>
      <c r="I26" s="4" t="s">
        <v>54</v>
      </c>
      <c r="J26" s="4" t="s">
        <v>55</v>
      </c>
      <c r="K26" s="4" t="s">
        <v>107</v>
      </c>
      <c r="L26" s="4" t="s">
        <v>108</v>
      </c>
      <c r="M26" s="4" t="s">
        <v>109</v>
      </c>
      <c r="N26" s="4" t="s">
        <v>59</v>
      </c>
      <c r="O26" s="4" t="s">
        <v>59</v>
      </c>
      <c r="P26" s="4" t="s">
        <v>59</v>
      </c>
      <c r="Q26" s="4" t="s">
        <v>82</v>
      </c>
      <c r="R26" s="4" t="s">
        <v>61</v>
      </c>
      <c r="S26" s="4" t="s">
        <v>75</v>
      </c>
      <c r="T26" s="2">
        <v>13100</v>
      </c>
      <c r="U26" s="2">
        <v>15080</v>
      </c>
      <c r="V26" s="2">
        <v>0</v>
      </c>
      <c r="W26" s="2">
        <v>33020</v>
      </c>
      <c r="X26" s="2">
        <v>28180</v>
      </c>
      <c r="Y26" s="2">
        <v>33020</v>
      </c>
      <c r="Z26" s="2">
        <v>61200</v>
      </c>
      <c r="AA26" s="2">
        <v>15720</v>
      </c>
      <c r="AB26" s="2">
        <v>15080</v>
      </c>
      <c r="AC26" s="2">
        <v>0</v>
      </c>
      <c r="AD26" s="2">
        <v>33020</v>
      </c>
      <c r="AE26" s="2">
        <v>30800</v>
      </c>
      <c r="AF26" s="2">
        <v>33020</v>
      </c>
      <c r="AG26" s="2">
        <v>63820</v>
      </c>
      <c r="AH26" s="2">
        <v>14148</v>
      </c>
      <c r="AI26" s="2">
        <v>14627.6</v>
      </c>
      <c r="AJ26" s="2">
        <v>0</v>
      </c>
      <c r="AK26" s="2">
        <v>29718</v>
      </c>
      <c r="AL26" s="2">
        <v>28775.599999999999</v>
      </c>
      <c r="AM26" s="2">
        <v>29718</v>
      </c>
      <c r="AN26" s="2">
        <v>61200</v>
      </c>
      <c r="AO26" s="4" t="s">
        <v>63</v>
      </c>
      <c r="AP26" s="4" t="s">
        <v>63</v>
      </c>
      <c r="AQ26" s="4" t="s">
        <v>63</v>
      </c>
      <c r="AR26" s="4" t="s">
        <v>63</v>
      </c>
      <c r="AS26" s="2">
        <v>35097</v>
      </c>
      <c r="AT26" s="2">
        <v>0</v>
      </c>
      <c r="AU26" s="2">
        <v>35097</v>
      </c>
    </row>
    <row r="27" spans="1:47" x14ac:dyDescent="0.4">
      <c r="A27" s="4" t="s">
        <v>46</v>
      </c>
      <c r="B27" s="4" t="s">
        <v>47</v>
      </c>
      <c r="C27" s="4" t="s">
        <v>48</v>
      </c>
      <c r="D27" s="4" t="s">
        <v>49</v>
      </c>
      <c r="E27" s="4" t="s">
        <v>50</v>
      </c>
      <c r="F27" s="4" t="s">
        <v>51</v>
      </c>
      <c r="G27" s="4" t="s">
        <v>77</v>
      </c>
      <c r="H27" s="4" t="s">
        <v>78</v>
      </c>
      <c r="I27" s="4" t="s">
        <v>54</v>
      </c>
      <c r="J27" s="4" t="s">
        <v>55</v>
      </c>
      <c r="K27" s="4" t="s">
        <v>107</v>
      </c>
      <c r="L27" s="4" t="s">
        <v>108</v>
      </c>
      <c r="M27" s="4" t="s">
        <v>109</v>
      </c>
      <c r="N27" s="4" t="s">
        <v>59</v>
      </c>
      <c r="O27" s="4" t="s">
        <v>59</v>
      </c>
      <c r="P27" s="4" t="s">
        <v>59</v>
      </c>
      <c r="Q27" s="4" t="s">
        <v>82</v>
      </c>
      <c r="R27" s="4" t="s">
        <v>61</v>
      </c>
      <c r="S27" s="4" t="s">
        <v>76</v>
      </c>
      <c r="T27" s="2">
        <v>15300</v>
      </c>
      <c r="U27" s="2">
        <v>12600</v>
      </c>
      <c r="V27" s="2">
        <v>18000</v>
      </c>
      <c r="W27" s="2">
        <v>0</v>
      </c>
      <c r="X27" s="2">
        <v>45900</v>
      </c>
      <c r="Y27" s="2">
        <v>0</v>
      </c>
      <c r="Z27" s="2">
        <v>45900</v>
      </c>
      <c r="AA27" s="2">
        <v>18360</v>
      </c>
      <c r="AB27" s="2">
        <v>12600</v>
      </c>
      <c r="AC27" s="2">
        <v>21020</v>
      </c>
      <c r="AD27" s="2">
        <v>0</v>
      </c>
      <c r="AE27" s="2">
        <v>51980</v>
      </c>
      <c r="AF27" s="2">
        <v>0</v>
      </c>
      <c r="AG27" s="2">
        <v>51980</v>
      </c>
      <c r="AH27" s="2">
        <v>16524</v>
      </c>
      <c r="AI27" s="2">
        <v>12222</v>
      </c>
      <c r="AJ27" s="2">
        <v>14714</v>
      </c>
      <c r="AK27" s="2">
        <v>0</v>
      </c>
      <c r="AL27" s="2">
        <v>43460</v>
      </c>
      <c r="AM27" s="2">
        <v>0</v>
      </c>
      <c r="AN27" s="2">
        <v>45900</v>
      </c>
      <c r="AO27" s="4" t="s">
        <v>63</v>
      </c>
      <c r="AP27" s="4" t="s">
        <v>63</v>
      </c>
      <c r="AQ27" s="4" t="s">
        <v>63</v>
      </c>
      <c r="AR27" s="4" t="s">
        <v>63</v>
      </c>
      <c r="AS27" s="2">
        <v>26075</v>
      </c>
      <c r="AT27" s="2">
        <v>0</v>
      </c>
      <c r="AU27" s="2">
        <v>26075</v>
      </c>
    </row>
    <row r="28" spans="1:47" x14ac:dyDescent="0.4">
      <c r="A28" s="4" t="s">
        <v>46</v>
      </c>
      <c r="B28" s="4" t="s">
        <v>47</v>
      </c>
      <c r="C28" s="4" t="s">
        <v>48</v>
      </c>
      <c r="D28" s="4" t="s">
        <v>49</v>
      </c>
      <c r="E28" s="4" t="s">
        <v>50</v>
      </c>
      <c r="F28" s="4" t="s">
        <v>51</v>
      </c>
      <c r="G28" s="4" t="s">
        <v>77</v>
      </c>
      <c r="H28" s="4" t="s">
        <v>78</v>
      </c>
      <c r="I28" s="4" t="s">
        <v>54</v>
      </c>
      <c r="J28" s="4" t="s">
        <v>55</v>
      </c>
      <c r="K28" s="4" t="s">
        <v>110</v>
      </c>
      <c r="L28" s="4" t="s">
        <v>111</v>
      </c>
      <c r="M28" s="4" t="s">
        <v>74</v>
      </c>
      <c r="N28" s="4" t="s">
        <v>59</v>
      </c>
      <c r="O28" s="4" t="s">
        <v>59</v>
      </c>
      <c r="P28" s="4" t="s">
        <v>59</v>
      </c>
      <c r="Q28" s="4" t="s">
        <v>82</v>
      </c>
      <c r="R28" s="4" t="s">
        <v>61</v>
      </c>
      <c r="S28" s="4" t="s">
        <v>64</v>
      </c>
      <c r="T28" s="2">
        <v>0</v>
      </c>
      <c r="U28" s="2">
        <v>25600</v>
      </c>
      <c r="V28" s="2">
        <v>0</v>
      </c>
      <c r="W28" s="2">
        <v>0</v>
      </c>
      <c r="X28" s="2">
        <v>25600</v>
      </c>
      <c r="Y28" s="2">
        <v>0</v>
      </c>
      <c r="Z28" s="2">
        <v>25600</v>
      </c>
      <c r="AA28" s="2">
        <v>0</v>
      </c>
      <c r="AB28" s="2">
        <v>25600</v>
      </c>
      <c r="AC28" s="2">
        <v>0</v>
      </c>
      <c r="AD28" s="2">
        <v>0</v>
      </c>
      <c r="AE28" s="2">
        <v>25600</v>
      </c>
      <c r="AF28" s="2">
        <v>0</v>
      </c>
      <c r="AG28" s="2">
        <v>25600</v>
      </c>
      <c r="AH28" s="2">
        <v>0</v>
      </c>
      <c r="AI28" s="2">
        <v>24832</v>
      </c>
      <c r="AJ28" s="2">
        <v>0</v>
      </c>
      <c r="AK28" s="2">
        <v>0</v>
      </c>
      <c r="AL28" s="2">
        <v>24832</v>
      </c>
      <c r="AM28" s="2">
        <v>0</v>
      </c>
      <c r="AN28" s="2">
        <v>25600</v>
      </c>
      <c r="AO28" s="4" t="s">
        <v>63</v>
      </c>
      <c r="AP28" s="4" t="s">
        <v>63</v>
      </c>
      <c r="AQ28" s="4" t="s">
        <v>63</v>
      </c>
      <c r="AR28" s="4" t="s">
        <v>63</v>
      </c>
      <c r="AS28" s="2">
        <v>14899</v>
      </c>
      <c r="AT28" s="2">
        <v>0</v>
      </c>
      <c r="AU28" s="2">
        <v>14899</v>
      </c>
    </row>
    <row r="29" spans="1:47" x14ac:dyDescent="0.4">
      <c r="A29" s="4" t="s">
        <v>46</v>
      </c>
      <c r="B29" s="4" t="s">
        <v>47</v>
      </c>
      <c r="C29" s="4" t="s">
        <v>48</v>
      </c>
      <c r="D29" s="4" t="s">
        <v>49</v>
      </c>
      <c r="E29" s="4" t="s">
        <v>50</v>
      </c>
      <c r="F29" s="4" t="s">
        <v>51</v>
      </c>
      <c r="G29" s="4" t="s">
        <v>77</v>
      </c>
      <c r="H29" s="4" t="s">
        <v>78</v>
      </c>
      <c r="I29" s="4" t="s">
        <v>54</v>
      </c>
      <c r="J29" s="4" t="s">
        <v>55</v>
      </c>
      <c r="K29" s="4" t="s">
        <v>110</v>
      </c>
      <c r="L29" s="4" t="s">
        <v>111</v>
      </c>
      <c r="M29" s="4" t="s">
        <v>74</v>
      </c>
      <c r="N29" s="4" t="s">
        <v>59</v>
      </c>
      <c r="O29" s="4" t="s">
        <v>59</v>
      </c>
      <c r="P29" s="4" t="s">
        <v>59</v>
      </c>
      <c r="Q29" s="4" t="s">
        <v>82</v>
      </c>
      <c r="R29" s="4" t="s">
        <v>61</v>
      </c>
      <c r="S29" s="4" t="s">
        <v>75</v>
      </c>
      <c r="T29" s="2">
        <v>0</v>
      </c>
      <c r="U29" s="2">
        <v>6100</v>
      </c>
      <c r="V29" s="2">
        <v>0</v>
      </c>
      <c r="W29" s="2">
        <v>2000</v>
      </c>
      <c r="X29" s="2">
        <v>6100</v>
      </c>
      <c r="Y29" s="2">
        <v>2000</v>
      </c>
      <c r="Z29" s="2">
        <v>8100</v>
      </c>
      <c r="AA29" s="2">
        <v>0</v>
      </c>
      <c r="AB29" s="2">
        <v>6100</v>
      </c>
      <c r="AC29" s="2">
        <v>0</v>
      </c>
      <c r="AD29" s="2">
        <v>2000</v>
      </c>
      <c r="AE29" s="2">
        <v>6100</v>
      </c>
      <c r="AF29" s="2">
        <v>2000</v>
      </c>
      <c r="AG29" s="2">
        <v>8100</v>
      </c>
      <c r="AH29" s="2">
        <v>0</v>
      </c>
      <c r="AI29" s="2">
        <v>5917</v>
      </c>
      <c r="AJ29" s="2">
        <v>0</v>
      </c>
      <c r="AK29" s="2">
        <v>1800</v>
      </c>
      <c r="AL29" s="2">
        <v>5917</v>
      </c>
      <c r="AM29" s="2">
        <v>1800</v>
      </c>
      <c r="AN29" s="2">
        <v>8100</v>
      </c>
      <c r="AO29" s="4" t="s">
        <v>63</v>
      </c>
      <c r="AP29" s="4" t="s">
        <v>63</v>
      </c>
      <c r="AQ29" s="4" t="s">
        <v>63</v>
      </c>
      <c r="AR29" s="4" t="s">
        <v>63</v>
      </c>
      <c r="AS29" s="2">
        <v>4630</v>
      </c>
      <c r="AT29" s="2">
        <v>0</v>
      </c>
      <c r="AU29" s="2">
        <v>4630</v>
      </c>
    </row>
    <row r="30" spans="1:47" x14ac:dyDescent="0.4">
      <c r="A30" s="4" t="s">
        <v>46</v>
      </c>
      <c r="B30" s="4" t="s">
        <v>47</v>
      </c>
      <c r="C30" s="4" t="s">
        <v>48</v>
      </c>
      <c r="D30" s="4" t="s">
        <v>49</v>
      </c>
      <c r="E30" s="4" t="s">
        <v>50</v>
      </c>
      <c r="F30" s="4" t="s">
        <v>51</v>
      </c>
      <c r="G30" s="4" t="s">
        <v>77</v>
      </c>
      <c r="H30" s="4" t="s">
        <v>78</v>
      </c>
      <c r="I30" s="4" t="s">
        <v>54</v>
      </c>
      <c r="J30" s="4" t="s">
        <v>55</v>
      </c>
      <c r="K30" s="4" t="s">
        <v>112</v>
      </c>
      <c r="L30" s="4" t="s">
        <v>113</v>
      </c>
      <c r="M30" s="4" t="s">
        <v>74</v>
      </c>
      <c r="N30" s="4" t="s">
        <v>59</v>
      </c>
      <c r="O30" s="4" t="s">
        <v>59</v>
      </c>
      <c r="P30" s="4" t="s">
        <v>59</v>
      </c>
      <c r="Q30" s="4" t="s">
        <v>82</v>
      </c>
      <c r="R30" s="4" t="s">
        <v>61</v>
      </c>
      <c r="S30" s="4" t="s">
        <v>62</v>
      </c>
      <c r="T30" s="2">
        <v>25600</v>
      </c>
      <c r="U30" s="2">
        <v>16000</v>
      </c>
      <c r="V30" s="2">
        <v>0</v>
      </c>
      <c r="W30" s="2">
        <v>0</v>
      </c>
      <c r="X30" s="2">
        <v>41600</v>
      </c>
      <c r="Y30" s="2">
        <v>0</v>
      </c>
      <c r="Z30" s="2">
        <v>41600</v>
      </c>
      <c r="AA30" s="2">
        <v>30720</v>
      </c>
      <c r="AB30" s="2">
        <v>16000</v>
      </c>
      <c r="AC30" s="2">
        <v>0</v>
      </c>
      <c r="AD30" s="2">
        <v>0</v>
      </c>
      <c r="AE30" s="2">
        <v>46720</v>
      </c>
      <c r="AF30" s="2">
        <v>0</v>
      </c>
      <c r="AG30" s="2">
        <v>46720</v>
      </c>
      <c r="AH30" s="2">
        <v>27648</v>
      </c>
      <c r="AI30" s="2">
        <v>15520</v>
      </c>
      <c r="AJ30" s="2">
        <v>0</v>
      </c>
      <c r="AK30" s="2">
        <v>0</v>
      </c>
      <c r="AL30" s="2">
        <v>43168</v>
      </c>
      <c r="AM30" s="2">
        <v>0</v>
      </c>
      <c r="AN30" s="2">
        <v>41600</v>
      </c>
      <c r="AO30" s="4" t="s">
        <v>63</v>
      </c>
      <c r="AP30" s="4" t="s">
        <v>63</v>
      </c>
      <c r="AQ30" s="4" t="s">
        <v>63</v>
      </c>
      <c r="AR30" s="4" t="s">
        <v>63</v>
      </c>
      <c r="AS30" s="2">
        <v>25901</v>
      </c>
      <c r="AT30" s="2">
        <v>0</v>
      </c>
      <c r="AU30" s="2">
        <v>25901</v>
      </c>
    </row>
    <row r="31" spans="1:47" x14ac:dyDescent="0.4">
      <c r="A31" s="4" t="s">
        <v>46</v>
      </c>
      <c r="B31" s="4" t="s">
        <v>47</v>
      </c>
      <c r="C31" s="4" t="s">
        <v>48</v>
      </c>
      <c r="D31" s="4" t="s">
        <v>49</v>
      </c>
      <c r="E31" s="4" t="s">
        <v>50</v>
      </c>
      <c r="F31" s="4" t="s">
        <v>51</v>
      </c>
      <c r="G31" s="4" t="s">
        <v>77</v>
      </c>
      <c r="H31" s="4" t="s">
        <v>78</v>
      </c>
      <c r="I31" s="4" t="s">
        <v>54</v>
      </c>
      <c r="J31" s="4" t="s">
        <v>55</v>
      </c>
      <c r="K31" s="4" t="s">
        <v>114</v>
      </c>
      <c r="L31" s="4" t="s">
        <v>115</v>
      </c>
      <c r="M31" s="4" t="s">
        <v>109</v>
      </c>
      <c r="N31" s="4" t="s">
        <v>59</v>
      </c>
      <c r="O31" s="4" t="s">
        <v>59</v>
      </c>
      <c r="P31" s="4" t="s">
        <v>59</v>
      </c>
      <c r="Q31" s="4" t="s">
        <v>82</v>
      </c>
      <c r="R31" s="4" t="s">
        <v>61</v>
      </c>
      <c r="S31" s="4" t="s">
        <v>62</v>
      </c>
      <c r="T31" s="2">
        <v>0</v>
      </c>
      <c r="U31" s="2">
        <v>85400</v>
      </c>
      <c r="V31" s="2">
        <v>0</v>
      </c>
      <c r="W31" s="2">
        <v>4200</v>
      </c>
      <c r="X31" s="2">
        <v>85400</v>
      </c>
      <c r="Y31" s="2">
        <v>4200</v>
      </c>
      <c r="Z31" s="2">
        <v>89600</v>
      </c>
      <c r="AA31" s="2">
        <v>0</v>
      </c>
      <c r="AB31" s="2">
        <v>85400</v>
      </c>
      <c r="AC31" s="2">
        <v>0</v>
      </c>
      <c r="AD31" s="2">
        <v>4200</v>
      </c>
      <c r="AE31" s="2">
        <v>85400</v>
      </c>
      <c r="AF31" s="2">
        <v>4200</v>
      </c>
      <c r="AG31" s="2">
        <v>89600</v>
      </c>
      <c r="AH31" s="2">
        <v>0</v>
      </c>
      <c r="AI31" s="2">
        <v>82838</v>
      </c>
      <c r="AJ31" s="2">
        <v>0</v>
      </c>
      <c r="AK31" s="2">
        <v>3780</v>
      </c>
      <c r="AL31" s="2">
        <v>82838</v>
      </c>
      <c r="AM31" s="2">
        <v>3780</v>
      </c>
      <c r="AN31" s="2">
        <v>89600</v>
      </c>
      <c r="AO31" s="4" t="s">
        <v>63</v>
      </c>
      <c r="AP31" s="4" t="s">
        <v>63</v>
      </c>
      <c r="AQ31" s="4" t="s">
        <v>63</v>
      </c>
      <c r="AR31" s="4" t="s">
        <v>63</v>
      </c>
      <c r="AS31" s="2">
        <v>51971</v>
      </c>
      <c r="AT31" s="2">
        <v>0</v>
      </c>
      <c r="AU31" s="2">
        <v>51971</v>
      </c>
    </row>
    <row r="32" spans="1:47" x14ac:dyDescent="0.4">
      <c r="A32" s="4" t="s">
        <v>46</v>
      </c>
      <c r="B32" s="4" t="s">
        <v>47</v>
      </c>
      <c r="C32" s="4" t="s">
        <v>48</v>
      </c>
      <c r="D32" s="4" t="s">
        <v>49</v>
      </c>
      <c r="E32" s="4" t="s">
        <v>50</v>
      </c>
      <c r="F32" s="4" t="s">
        <v>51</v>
      </c>
      <c r="G32" s="4" t="s">
        <v>77</v>
      </c>
      <c r="H32" s="4" t="s">
        <v>78</v>
      </c>
      <c r="I32" s="4" t="s">
        <v>54</v>
      </c>
      <c r="J32" s="4" t="s">
        <v>55</v>
      </c>
      <c r="K32" s="4" t="s">
        <v>114</v>
      </c>
      <c r="L32" s="4" t="s">
        <v>115</v>
      </c>
      <c r="M32" s="4" t="s">
        <v>109</v>
      </c>
      <c r="N32" s="4" t="s">
        <v>59</v>
      </c>
      <c r="O32" s="4" t="s">
        <v>59</v>
      </c>
      <c r="P32" s="4" t="s">
        <v>59</v>
      </c>
      <c r="Q32" s="4" t="s">
        <v>82</v>
      </c>
      <c r="R32" s="4" t="s">
        <v>61</v>
      </c>
      <c r="S32" s="4" t="s">
        <v>75</v>
      </c>
      <c r="T32" s="2">
        <v>38800</v>
      </c>
      <c r="U32" s="2">
        <v>52660</v>
      </c>
      <c r="V32" s="2">
        <v>13500</v>
      </c>
      <c r="W32" s="2">
        <v>8440</v>
      </c>
      <c r="X32" s="2">
        <v>104960</v>
      </c>
      <c r="Y32" s="2">
        <v>8440</v>
      </c>
      <c r="Z32" s="2">
        <v>113400</v>
      </c>
      <c r="AA32" s="2">
        <v>46560</v>
      </c>
      <c r="AB32" s="2">
        <v>52660</v>
      </c>
      <c r="AC32" s="2">
        <v>16110</v>
      </c>
      <c r="AD32" s="2">
        <v>8440</v>
      </c>
      <c r="AE32" s="2">
        <v>115330</v>
      </c>
      <c r="AF32" s="2">
        <v>8440</v>
      </c>
      <c r="AG32" s="2">
        <v>123770</v>
      </c>
      <c r="AH32" s="2">
        <v>41904</v>
      </c>
      <c r="AI32" s="2">
        <v>51080.2</v>
      </c>
      <c r="AJ32" s="2">
        <v>11277</v>
      </c>
      <c r="AK32" s="2">
        <v>7596</v>
      </c>
      <c r="AL32" s="2">
        <v>104261.2</v>
      </c>
      <c r="AM32" s="2">
        <v>7596</v>
      </c>
      <c r="AN32" s="2">
        <v>113400</v>
      </c>
      <c r="AO32" s="4" t="s">
        <v>63</v>
      </c>
      <c r="AP32" s="4" t="s">
        <v>63</v>
      </c>
      <c r="AQ32" s="4" t="s">
        <v>63</v>
      </c>
      <c r="AR32" s="4" t="s">
        <v>63</v>
      </c>
      <c r="AS32" s="2">
        <v>67114</v>
      </c>
      <c r="AT32" s="2">
        <v>0</v>
      </c>
      <c r="AU32" s="2">
        <v>67114</v>
      </c>
    </row>
    <row r="33" spans="1:47" x14ac:dyDescent="0.4">
      <c r="A33" s="4" t="s">
        <v>46</v>
      </c>
      <c r="B33" s="4" t="s">
        <v>47</v>
      </c>
      <c r="C33" s="4" t="s">
        <v>48</v>
      </c>
      <c r="D33" s="4" t="s">
        <v>49</v>
      </c>
      <c r="E33" s="4" t="s">
        <v>50</v>
      </c>
      <c r="F33" s="4" t="s">
        <v>51</v>
      </c>
      <c r="G33" s="4" t="s">
        <v>77</v>
      </c>
      <c r="H33" s="4" t="s">
        <v>78</v>
      </c>
      <c r="I33" s="4" t="s">
        <v>54</v>
      </c>
      <c r="J33" s="4" t="s">
        <v>55</v>
      </c>
      <c r="K33" s="4" t="s">
        <v>116</v>
      </c>
      <c r="L33" s="4" t="s">
        <v>117</v>
      </c>
      <c r="M33" s="4" t="s">
        <v>109</v>
      </c>
      <c r="N33" s="4" t="s">
        <v>59</v>
      </c>
      <c r="O33" s="4" t="s">
        <v>59</v>
      </c>
      <c r="P33" s="4" t="s">
        <v>59</v>
      </c>
      <c r="Q33" s="4" t="s">
        <v>82</v>
      </c>
      <c r="R33" s="4" t="s">
        <v>61</v>
      </c>
      <c r="S33" s="4" t="s">
        <v>75</v>
      </c>
      <c r="T33" s="2">
        <v>6000</v>
      </c>
      <c r="U33" s="2">
        <v>14300</v>
      </c>
      <c r="V33" s="2">
        <v>0</v>
      </c>
      <c r="W33" s="2">
        <v>13900</v>
      </c>
      <c r="X33" s="2">
        <v>20300</v>
      </c>
      <c r="Y33" s="2">
        <v>13900</v>
      </c>
      <c r="Z33" s="2">
        <v>34200</v>
      </c>
      <c r="AA33" s="2">
        <v>7200</v>
      </c>
      <c r="AB33" s="2">
        <v>14300</v>
      </c>
      <c r="AC33" s="2">
        <v>0</v>
      </c>
      <c r="AD33" s="2">
        <v>13900</v>
      </c>
      <c r="AE33" s="2">
        <v>21500</v>
      </c>
      <c r="AF33" s="2">
        <v>13900</v>
      </c>
      <c r="AG33" s="2">
        <v>35400</v>
      </c>
      <c r="AH33" s="2">
        <v>6480</v>
      </c>
      <c r="AI33" s="2">
        <v>13871</v>
      </c>
      <c r="AJ33" s="2">
        <v>0</v>
      </c>
      <c r="AK33" s="2">
        <v>12510</v>
      </c>
      <c r="AL33" s="2">
        <v>20351</v>
      </c>
      <c r="AM33" s="2">
        <v>12510</v>
      </c>
      <c r="AN33" s="2">
        <v>34200</v>
      </c>
      <c r="AO33" s="4" t="s">
        <v>63</v>
      </c>
      <c r="AP33" s="4" t="s">
        <v>63</v>
      </c>
      <c r="AQ33" s="4" t="s">
        <v>63</v>
      </c>
      <c r="AR33" s="4" t="s">
        <v>63</v>
      </c>
      <c r="AS33" s="2">
        <v>19717</v>
      </c>
      <c r="AT33" s="2">
        <v>0</v>
      </c>
      <c r="AU33" s="2">
        <v>19717</v>
      </c>
    </row>
    <row r="34" spans="1:47" x14ac:dyDescent="0.4">
      <c r="A34" s="4" t="s">
        <v>46</v>
      </c>
      <c r="B34" s="4" t="s">
        <v>47</v>
      </c>
      <c r="C34" s="4" t="s">
        <v>48</v>
      </c>
      <c r="D34" s="4" t="s">
        <v>49</v>
      </c>
      <c r="E34" s="4" t="s">
        <v>50</v>
      </c>
      <c r="F34" s="4" t="s">
        <v>51</v>
      </c>
      <c r="G34" s="4" t="s">
        <v>77</v>
      </c>
      <c r="H34" s="4" t="s">
        <v>78</v>
      </c>
      <c r="I34" s="4" t="s">
        <v>54</v>
      </c>
      <c r="J34" s="4" t="s">
        <v>55</v>
      </c>
      <c r="K34" s="4" t="s">
        <v>118</v>
      </c>
      <c r="L34" s="4" t="s">
        <v>119</v>
      </c>
      <c r="M34" s="4" t="s">
        <v>109</v>
      </c>
      <c r="N34" s="4" t="s">
        <v>59</v>
      </c>
      <c r="O34" s="4" t="s">
        <v>59</v>
      </c>
      <c r="P34" s="4" t="s">
        <v>59</v>
      </c>
      <c r="Q34" s="4" t="s">
        <v>82</v>
      </c>
      <c r="R34" s="4" t="s">
        <v>61</v>
      </c>
      <c r="S34" s="4" t="s">
        <v>62</v>
      </c>
      <c r="T34" s="2">
        <v>7600</v>
      </c>
      <c r="U34" s="2">
        <v>17400</v>
      </c>
      <c r="V34" s="2">
        <v>0</v>
      </c>
      <c r="W34" s="2">
        <v>19800</v>
      </c>
      <c r="X34" s="2">
        <v>25000</v>
      </c>
      <c r="Y34" s="2">
        <v>19800</v>
      </c>
      <c r="Z34" s="2">
        <v>44800</v>
      </c>
      <c r="AA34" s="2">
        <v>9120</v>
      </c>
      <c r="AB34" s="2">
        <v>17400</v>
      </c>
      <c r="AC34" s="2">
        <v>0</v>
      </c>
      <c r="AD34" s="2">
        <v>19800</v>
      </c>
      <c r="AE34" s="2">
        <v>26520</v>
      </c>
      <c r="AF34" s="2">
        <v>19800</v>
      </c>
      <c r="AG34" s="2">
        <v>46320</v>
      </c>
      <c r="AH34" s="2">
        <v>8208</v>
      </c>
      <c r="AI34" s="2">
        <v>16878</v>
      </c>
      <c r="AJ34" s="2">
        <v>0</v>
      </c>
      <c r="AK34" s="2">
        <v>17820</v>
      </c>
      <c r="AL34" s="2">
        <v>25086</v>
      </c>
      <c r="AM34" s="2">
        <v>17820</v>
      </c>
      <c r="AN34" s="2">
        <v>44800</v>
      </c>
      <c r="AO34" s="4" t="s">
        <v>63</v>
      </c>
      <c r="AP34" s="4" t="s">
        <v>63</v>
      </c>
      <c r="AQ34" s="4" t="s">
        <v>63</v>
      </c>
      <c r="AR34" s="4" t="s">
        <v>63</v>
      </c>
      <c r="AS34" s="2">
        <v>25744</v>
      </c>
      <c r="AT34" s="2">
        <v>0</v>
      </c>
      <c r="AU34" s="2">
        <v>25744</v>
      </c>
    </row>
    <row r="35" spans="1:47" x14ac:dyDescent="0.4">
      <c r="A35" s="4" t="s">
        <v>46</v>
      </c>
      <c r="B35" s="4" t="s">
        <v>47</v>
      </c>
      <c r="C35" s="4" t="s">
        <v>48</v>
      </c>
      <c r="D35" s="4" t="s">
        <v>49</v>
      </c>
      <c r="E35" s="4" t="s">
        <v>50</v>
      </c>
      <c r="F35" s="4" t="s">
        <v>51</v>
      </c>
      <c r="G35" s="4" t="s">
        <v>77</v>
      </c>
      <c r="H35" s="4" t="s">
        <v>78</v>
      </c>
      <c r="I35" s="4" t="s">
        <v>54</v>
      </c>
      <c r="J35" s="4" t="s">
        <v>55</v>
      </c>
      <c r="K35" s="4" t="s">
        <v>118</v>
      </c>
      <c r="L35" s="4" t="s">
        <v>119</v>
      </c>
      <c r="M35" s="4" t="s">
        <v>109</v>
      </c>
      <c r="N35" s="4" t="s">
        <v>59</v>
      </c>
      <c r="O35" s="4" t="s">
        <v>59</v>
      </c>
      <c r="P35" s="4" t="s">
        <v>59</v>
      </c>
      <c r="Q35" s="4" t="s">
        <v>82</v>
      </c>
      <c r="R35" s="4" t="s">
        <v>61</v>
      </c>
      <c r="S35" s="4" t="s">
        <v>75</v>
      </c>
      <c r="T35" s="2">
        <v>9700</v>
      </c>
      <c r="U35" s="2">
        <v>12700</v>
      </c>
      <c r="V35" s="2">
        <v>0</v>
      </c>
      <c r="W35" s="2">
        <v>100</v>
      </c>
      <c r="X35" s="2">
        <v>22400</v>
      </c>
      <c r="Y35" s="2">
        <v>100</v>
      </c>
      <c r="Z35" s="2">
        <v>22500</v>
      </c>
      <c r="AA35" s="2">
        <v>11640</v>
      </c>
      <c r="AB35" s="2">
        <v>12700</v>
      </c>
      <c r="AC35" s="2">
        <v>0</v>
      </c>
      <c r="AD35" s="2">
        <v>100</v>
      </c>
      <c r="AE35" s="2">
        <v>24340</v>
      </c>
      <c r="AF35" s="2">
        <v>100</v>
      </c>
      <c r="AG35" s="2">
        <v>24440</v>
      </c>
      <c r="AH35" s="2">
        <v>10476</v>
      </c>
      <c r="AI35" s="2">
        <v>12319</v>
      </c>
      <c r="AJ35" s="2">
        <v>0</v>
      </c>
      <c r="AK35" s="2">
        <v>90</v>
      </c>
      <c r="AL35" s="2">
        <v>22795</v>
      </c>
      <c r="AM35" s="2">
        <v>90</v>
      </c>
      <c r="AN35" s="2">
        <v>22500</v>
      </c>
      <c r="AO35" s="4" t="s">
        <v>63</v>
      </c>
      <c r="AP35" s="4" t="s">
        <v>63</v>
      </c>
      <c r="AQ35" s="4" t="s">
        <v>63</v>
      </c>
      <c r="AR35" s="4" t="s">
        <v>63</v>
      </c>
      <c r="AS35" s="2">
        <v>13731</v>
      </c>
      <c r="AT35" s="2">
        <v>0</v>
      </c>
      <c r="AU35" s="2">
        <v>13731</v>
      </c>
    </row>
    <row r="36" spans="1:47" x14ac:dyDescent="0.4">
      <c r="A36" s="4" t="s">
        <v>46</v>
      </c>
      <c r="B36" s="4" t="s">
        <v>47</v>
      </c>
      <c r="C36" s="4" t="s">
        <v>48</v>
      </c>
      <c r="D36" s="4" t="s">
        <v>49</v>
      </c>
      <c r="E36" s="4" t="s">
        <v>50</v>
      </c>
      <c r="F36" s="4" t="s">
        <v>51</v>
      </c>
      <c r="G36" s="4" t="s">
        <v>77</v>
      </c>
      <c r="H36" s="4" t="s">
        <v>78</v>
      </c>
      <c r="I36" s="4" t="s">
        <v>54</v>
      </c>
      <c r="J36" s="4" t="s">
        <v>55</v>
      </c>
      <c r="K36" s="4" t="s">
        <v>118</v>
      </c>
      <c r="L36" s="4" t="s">
        <v>119</v>
      </c>
      <c r="M36" s="4" t="s">
        <v>109</v>
      </c>
      <c r="N36" s="4" t="s">
        <v>59</v>
      </c>
      <c r="O36" s="4" t="s">
        <v>59</v>
      </c>
      <c r="P36" s="4" t="s">
        <v>59</v>
      </c>
      <c r="Q36" s="4" t="s">
        <v>82</v>
      </c>
      <c r="R36" s="4" t="s">
        <v>61</v>
      </c>
      <c r="S36" s="4" t="s">
        <v>76</v>
      </c>
      <c r="T36" s="2">
        <v>500</v>
      </c>
      <c r="U36" s="2">
        <v>7600</v>
      </c>
      <c r="V36" s="2">
        <v>0</v>
      </c>
      <c r="W36" s="2">
        <v>0</v>
      </c>
      <c r="X36" s="2">
        <v>8100</v>
      </c>
      <c r="Y36" s="2">
        <v>0</v>
      </c>
      <c r="Z36" s="2">
        <v>8100</v>
      </c>
      <c r="AA36" s="2">
        <v>600</v>
      </c>
      <c r="AB36" s="2">
        <v>7600</v>
      </c>
      <c r="AC36" s="2">
        <v>0</v>
      </c>
      <c r="AD36" s="2">
        <v>0</v>
      </c>
      <c r="AE36" s="2">
        <v>8200</v>
      </c>
      <c r="AF36" s="2">
        <v>0</v>
      </c>
      <c r="AG36" s="2">
        <v>8200</v>
      </c>
      <c r="AH36" s="2">
        <v>540</v>
      </c>
      <c r="AI36" s="2">
        <v>7372</v>
      </c>
      <c r="AJ36" s="2">
        <v>0</v>
      </c>
      <c r="AK36" s="2">
        <v>0</v>
      </c>
      <c r="AL36" s="2">
        <v>7912</v>
      </c>
      <c r="AM36" s="2">
        <v>0</v>
      </c>
      <c r="AN36" s="2">
        <v>8100</v>
      </c>
      <c r="AO36" s="4" t="s">
        <v>63</v>
      </c>
      <c r="AP36" s="4" t="s">
        <v>63</v>
      </c>
      <c r="AQ36" s="4" t="s">
        <v>63</v>
      </c>
      <c r="AR36" s="4" t="s">
        <v>63</v>
      </c>
      <c r="AS36" s="2">
        <v>4747</v>
      </c>
      <c r="AT36" s="2">
        <v>0</v>
      </c>
      <c r="AU36" s="2">
        <v>4747</v>
      </c>
    </row>
    <row r="37" spans="1:47" x14ac:dyDescent="0.4">
      <c r="A37" s="4" t="s">
        <v>46</v>
      </c>
      <c r="B37" s="4" t="s">
        <v>47</v>
      </c>
      <c r="C37" s="4" t="s">
        <v>48</v>
      </c>
      <c r="D37" s="4" t="s">
        <v>49</v>
      </c>
      <c r="E37" s="4" t="s">
        <v>50</v>
      </c>
      <c r="F37" s="4" t="s">
        <v>51</v>
      </c>
      <c r="G37" s="4" t="s">
        <v>77</v>
      </c>
      <c r="H37" s="4" t="s">
        <v>78</v>
      </c>
      <c r="I37" s="4" t="s">
        <v>54</v>
      </c>
      <c r="J37" s="4" t="s">
        <v>55</v>
      </c>
      <c r="K37" s="4" t="s">
        <v>120</v>
      </c>
      <c r="L37" s="4" t="s">
        <v>121</v>
      </c>
      <c r="M37" s="4" t="s">
        <v>122</v>
      </c>
      <c r="N37" s="4" t="s">
        <v>59</v>
      </c>
      <c r="O37" s="4" t="s">
        <v>59</v>
      </c>
      <c r="P37" s="4" t="s">
        <v>59</v>
      </c>
      <c r="Q37" s="4" t="s">
        <v>82</v>
      </c>
      <c r="R37" s="4" t="s">
        <v>61</v>
      </c>
      <c r="S37" s="4" t="s">
        <v>62</v>
      </c>
      <c r="T37" s="2">
        <v>31000</v>
      </c>
      <c r="U37" s="2">
        <v>1000</v>
      </c>
      <c r="V37" s="2">
        <v>0</v>
      </c>
      <c r="W37" s="2">
        <v>0</v>
      </c>
      <c r="X37" s="2">
        <v>32000</v>
      </c>
      <c r="Y37" s="2">
        <v>0</v>
      </c>
      <c r="Z37" s="2">
        <v>32000</v>
      </c>
      <c r="AA37" s="2">
        <v>37200</v>
      </c>
      <c r="AB37" s="2">
        <v>1000</v>
      </c>
      <c r="AC37" s="2">
        <v>0</v>
      </c>
      <c r="AD37" s="2">
        <v>0</v>
      </c>
      <c r="AE37" s="2">
        <v>38200</v>
      </c>
      <c r="AF37" s="2">
        <v>0</v>
      </c>
      <c r="AG37" s="2">
        <v>38200</v>
      </c>
      <c r="AH37" s="2">
        <v>33480</v>
      </c>
      <c r="AI37" s="2">
        <v>970</v>
      </c>
      <c r="AJ37" s="2">
        <v>0</v>
      </c>
      <c r="AK37" s="2">
        <v>0</v>
      </c>
      <c r="AL37" s="2">
        <v>34450</v>
      </c>
      <c r="AM37" s="2">
        <v>0</v>
      </c>
      <c r="AN37" s="2">
        <v>32000</v>
      </c>
      <c r="AO37" s="4" t="s">
        <v>63</v>
      </c>
      <c r="AP37" s="4" t="s">
        <v>63</v>
      </c>
      <c r="AQ37" s="4" t="s">
        <v>63</v>
      </c>
      <c r="AR37" s="4" t="s">
        <v>63</v>
      </c>
      <c r="AS37" s="2">
        <v>20670</v>
      </c>
      <c r="AT37" s="2">
        <v>0</v>
      </c>
      <c r="AU37" s="2">
        <v>20670</v>
      </c>
    </row>
    <row r="38" spans="1:47" x14ac:dyDescent="0.4">
      <c r="A38" s="4" t="s">
        <v>46</v>
      </c>
      <c r="B38" s="4" t="s">
        <v>47</v>
      </c>
      <c r="C38" s="4" t="s">
        <v>48</v>
      </c>
      <c r="D38" s="4" t="s">
        <v>49</v>
      </c>
      <c r="E38" s="4" t="s">
        <v>50</v>
      </c>
      <c r="F38" s="4" t="s">
        <v>51</v>
      </c>
      <c r="G38" s="4" t="s">
        <v>77</v>
      </c>
      <c r="H38" s="4" t="s">
        <v>78</v>
      </c>
      <c r="I38" s="4" t="s">
        <v>54</v>
      </c>
      <c r="J38" s="4" t="s">
        <v>55</v>
      </c>
      <c r="K38" s="4" t="s">
        <v>120</v>
      </c>
      <c r="L38" s="4" t="s">
        <v>121</v>
      </c>
      <c r="M38" s="4" t="s">
        <v>122</v>
      </c>
      <c r="N38" s="4" t="s">
        <v>59</v>
      </c>
      <c r="O38" s="4" t="s">
        <v>59</v>
      </c>
      <c r="P38" s="4" t="s">
        <v>59</v>
      </c>
      <c r="Q38" s="4" t="s">
        <v>82</v>
      </c>
      <c r="R38" s="4" t="s">
        <v>61</v>
      </c>
      <c r="S38" s="4" t="s">
        <v>75</v>
      </c>
      <c r="T38" s="2">
        <v>900</v>
      </c>
      <c r="U38" s="2">
        <v>5400</v>
      </c>
      <c r="V38" s="2">
        <v>0</v>
      </c>
      <c r="W38" s="2">
        <v>0</v>
      </c>
      <c r="X38" s="2">
        <v>6300</v>
      </c>
      <c r="Y38" s="2">
        <v>0</v>
      </c>
      <c r="Z38" s="2">
        <v>6300</v>
      </c>
      <c r="AA38" s="2">
        <v>1080</v>
      </c>
      <c r="AB38" s="2">
        <v>5400</v>
      </c>
      <c r="AC38" s="2">
        <v>0</v>
      </c>
      <c r="AD38" s="2">
        <v>0</v>
      </c>
      <c r="AE38" s="2">
        <v>6480</v>
      </c>
      <c r="AF38" s="2">
        <v>0</v>
      </c>
      <c r="AG38" s="2">
        <v>6480</v>
      </c>
      <c r="AH38" s="2">
        <v>972</v>
      </c>
      <c r="AI38" s="2">
        <v>5238</v>
      </c>
      <c r="AJ38" s="2">
        <v>0</v>
      </c>
      <c r="AK38" s="2">
        <v>0</v>
      </c>
      <c r="AL38" s="2">
        <v>6210</v>
      </c>
      <c r="AM38" s="2">
        <v>0</v>
      </c>
      <c r="AN38" s="2">
        <v>6300</v>
      </c>
      <c r="AO38" s="4" t="s">
        <v>63</v>
      </c>
      <c r="AP38" s="4" t="s">
        <v>63</v>
      </c>
      <c r="AQ38" s="4" t="s">
        <v>63</v>
      </c>
      <c r="AR38" s="4" t="s">
        <v>63</v>
      </c>
      <c r="AS38" s="2">
        <v>3726</v>
      </c>
      <c r="AT38" s="2">
        <v>0</v>
      </c>
      <c r="AU38" s="2">
        <v>3726</v>
      </c>
    </row>
    <row r="39" spans="1:47" x14ac:dyDescent="0.4">
      <c r="AU39" s="19">
        <f>SUM(AU2:AU38)</f>
        <v>21974755</v>
      </c>
    </row>
    <row r="41" spans="1:47" s="4" customFormat="1" x14ac:dyDescent="0.4">
      <c r="A41" s="6" t="s">
        <v>182</v>
      </c>
      <c r="B41" s="7"/>
      <c r="C41" s="7"/>
      <c r="D41" s="8"/>
    </row>
    <row r="42" spans="1:47" s="4" customFormat="1" x14ac:dyDescent="0.4">
      <c r="A42" s="9" t="s">
        <v>183</v>
      </c>
      <c r="B42" s="9" t="s">
        <v>184</v>
      </c>
      <c r="C42" s="9" t="s">
        <v>185</v>
      </c>
      <c r="D42" s="9" t="s">
        <v>186</v>
      </c>
    </row>
    <row r="43" spans="1:47" s="4" customFormat="1" x14ac:dyDescent="0.4">
      <c r="A43" s="10">
        <v>201802</v>
      </c>
      <c r="B43" s="11">
        <v>70000000</v>
      </c>
      <c r="C43" s="11">
        <v>47732344</v>
      </c>
      <c r="D43" s="13">
        <v>22267656</v>
      </c>
    </row>
    <row r="44" spans="1:47" s="4" customFormat="1" x14ac:dyDescent="0.4">
      <c r="A44" s="10">
        <v>201803</v>
      </c>
      <c r="B44" s="11">
        <v>50000000</v>
      </c>
      <c r="C44" s="11">
        <v>35701360</v>
      </c>
      <c r="D44" s="13">
        <v>36566296</v>
      </c>
    </row>
    <row r="45" spans="1:47" s="4" customFormat="1" x14ac:dyDescent="0.4">
      <c r="A45" s="10">
        <v>201804</v>
      </c>
      <c r="B45" s="11">
        <v>50000000</v>
      </c>
      <c r="C45" s="11">
        <v>38938960</v>
      </c>
      <c r="D45" s="13">
        <v>47627336</v>
      </c>
    </row>
    <row r="46" spans="1:47" s="4" customFormat="1" x14ac:dyDescent="0.4">
      <c r="A46" s="10">
        <v>201805</v>
      </c>
      <c r="B46" s="20"/>
      <c r="C46" s="11">
        <v>26553752</v>
      </c>
      <c r="D46" s="13">
        <v>21073584</v>
      </c>
    </row>
    <row r="47" spans="1:47" s="4" customFormat="1" x14ac:dyDescent="0.4">
      <c r="A47" s="10">
        <v>201806</v>
      </c>
      <c r="B47" s="11">
        <v>50000000</v>
      </c>
      <c r="C47" s="11">
        <v>34500112</v>
      </c>
      <c r="D47" s="13">
        <v>36573472</v>
      </c>
    </row>
    <row r="48" spans="1:47" s="4" customFormat="1" x14ac:dyDescent="0.4">
      <c r="A48" s="10">
        <v>201807</v>
      </c>
      <c r="B48" s="20"/>
      <c r="C48" s="11">
        <v>23175045</v>
      </c>
      <c r="D48" s="13">
        <v>13398427</v>
      </c>
    </row>
    <row r="49" spans="1:7" s="4" customFormat="1" x14ac:dyDescent="0.4">
      <c r="A49" s="10">
        <v>201808</v>
      </c>
      <c r="B49" s="11">
        <v>50000000</v>
      </c>
      <c r="C49" s="11">
        <v>18766387</v>
      </c>
      <c r="D49" s="13">
        <v>44632040</v>
      </c>
    </row>
    <row r="50" spans="1:7" s="4" customFormat="1" x14ac:dyDescent="0.4">
      <c r="A50" s="10">
        <v>201809</v>
      </c>
      <c r="B50" s="20"/>
      <c r="C50" s="11">
        <v>18646713</v>
      </c>
      <c r="D50" s="13">
        <v>25985327</v>
      </c>
      <c r="G50" s="4" t="s">
        <v>187</v>
      </c>
    </row>
    <row r="51" spans="1:7" s="4" customFormat="1" x14ac:dyDescent="0.4">
      <c r="A51" s="10">
        <v>201810</v>
      </c>
      <c r="B51" s="20"/>
      <c r="C51" s="11">
        <v>18925467</v>
      </c>
      <c r="D51" s="13">
        <v>7059860</v>
      </c>
    </row>
    <row r="52" spans="1:7" s="4" customFormat="1" x14ac:dyDescent="0.4">
      <c r="A52" s="10">
        <v>201811</v>
      </c>
      <c r="B52" s="11">
        <v>50000000</v>
      </c>
      <c r="C52" s="11">
        <v>16885860</v>
      </c>
      <c r="D52" s="13">
        <v>40174000</v>
      </c>
    </row>
    <row r="53" spans="1:7" s="4" customFormat="1" x14ac:dyDescent="0.4">
      <c r="A53" s="10">
        <v>201812</v>
      </c>
      <c r="B53" s="20"/>
      <c r="C53" s="11">
        <v>19348657</v>
      </c>
      <c r="D53" s="13">
        <v>20825343</v>
      </c>
    </row>
    <row r="54" spans="1:7" s="4" customFormat="1" x14ac:dyDescent="0.4">
      <c r="A54" s="10">
        <v>201901</v>
      </c>
      <c r="B54" s="11">
        <v>50000000</v>
      </c>
      <c r="C54" s="11">
        <v>31454346</v>
      </c>
      <c r="D54" s="13">
        <v>39370997</v>
      </c>
    </row>
    <row r="55" spans="1:7" s="4" customFormat="1" x14ac:dyDescent="0.4">
      <c r="A55" s="10">
        <v>201902</v>
      </c>
      <c r="B55" s="20"/>
      <c r="C55" s="11">
        <v>30366346</v>
      </c>
      <c r="D55" s="13">
        <v>9004651</v>
      </c>
    </row>
    <row r="56" spans="1:7" s="4" customFormat="1" x14ac:dyDescent="0.4">
      <c r="A56" s="10">
        <v>201903</v>
      </c>
      <c r="B56" s="11">
        <v>50000000</v>
      </c>
      <c r="C56" s="11">
        <v>24049528</v>
      </c>
      <c r="D56" s="13">
        <v>34955123</v>
      </c>
    </row>
    <row r="57" spans="1:7" s="4" customFormat="1" x14ac:dyDescent="0.4">
      <c r="A57" s="10">
        <v>201904</v>
      </c>
      <c r="B57" s="20"/>
      <c r="C57" s="11">
        <v>25754341</v>
      </c>
      <c r="D57" s="13">
        <v>9200782</v>
      </c>
    </row>
    <row r="58" spans="1:7" s="4" customFormat="1" x14ac:dyDescent="0.4">
      <c r="A58" s="10">
        <v>201905</v>
      </c>
      <c r="B58" s="11">
        <v>50000000</v>
      </c>
      <c r="C58" s="11">
        <v>24706125</v>
      </c>
      <c r="D58" s="13">
        <v>34494657</v>
      </c>
    </row>
    <row r="59" spans="1:7" s="4" customFormat="1" x14ac:dyDescent="0.4">
      <c r="A59" s="10">
        <v>201906</v>
      </c>
      <c r="B59" s="20"/>
      <c r="C59" s="11">
        <v>20303678</v>
      </c>
      <c r="D59" s="13">
        <v>14190979</v>
      </c>
    </row>
    <row r="60" spans="1:7" s="4" customFormat="1" x14ac:dyDescent="0.4">
      <c r="A60" s="10">
        <v>201907</v>
      </c>
      <c r="B60" s="11">
        <v>50000000</v>
      </c>
      <c r="C60" s="11">
        <v>23411246</v>
      </c>
      <c r="D60" s="13">
        <v>40779733</v>
      </c>
    </row>
    <row r="61" spans="1:7" s="4" customFormat="1" x14ac:dyDescent="0.4">
      <c r="A61" s="10">
        <v>201908</v>
      </c>
      <c r="B61" s="20"/>
      <c r="C61" s="11">
        <v>21883444</v>
      </c>
      <c r="D61" s="13">
        <v>18896289</v>
      </c>
    </row>
    <row r="62" spans="1:7" s="4" customFormat="1" x14ac:dyDescent="0.4">
      <c r="A62" s="10">
        <v>201909</v>
      </c>
      <c r="B62" s="11">
        <v>50000000</v>
      </c>
      <c r="C62" s="11">
        <v>28787704</v>
      </c>
      <c r="D62" s="13">
        <v>40108585</v>
      </c>
    </row>
    <row r="63" spans="1:7" s="4" customFormat="1" x14ac:dyDescent="0.4">
      <c r="A63" s="10">
        <v>201910</v>
      </c>
      <c r="B63" s="11"/>
      <c r="C63" s="11">
        <v>22129363</v>
      </c>
      <c r="D63" s="13">
        <v>17979222</v>
      </c>
    </row>
    <row r="64" spans="1:7" s="4" customFormat="1" x14ac:dyDescent="0.4">
      <c r="A64" s="10">
        <v>201911</v>
      </c>
      <c r="B64" s="11">
        <v>50000000</v>
      </c>
      <c r="C64" s="21">
        <v>20240340</v>
      </c>
      <c r="D64" s="13">
        <v>47738882</v>
      </c>
    </row>
    <row r="65" spans="1:4" s="4" customFormat="1" x14ac:dyDescent="0.4">
      <c r="A65" s="10">
        <v>201912</v>
      </c>
      <c r="B65" s="11"/>
      <c r="C65" s="11">
        <v>21290069</v>
      </c>
      <c r="D65" s="13">
        <v>26448813</v>
      </c>
    </row>
    <row r="66" spans="1:4" s="4" customFormat="1" x14ac:dyDescent="0.4">
      <c r="A66" s="10">
        <v>202001</v>
      </c>
      <c r="B66" s="11">
        <v>50000000</v>
      </c>
      <c r="C66" s="22">
        <v>31440912</v>
      </c>
      <c r="D66" s="11">
        <v>45007901</v>
      </c>
    </row>
    <row r="67" spans="1:4" s="4" customFormat="1" x14ac:dyDescent="0.4">
      <c r="A67" s="10">
        <v>202002</v>
      </c>
      <c r="B67" s="11"/>
      <c r="C67" s="23">
        <v>19283081</v>
      </c>
      <c r="D67" s="13">
        <v>25724820</v>
      </c>
    </row>
    <row r="68" spans="1:4" s="4" customFormat="1" x14ac:dyDescent="0.4">
      <c r="A68" s="10">
        <v>202003</v>
      </c>
      <c r="B68" s="11">
        <v>50000000</v>
      </c>
      <c r="C68" s="23">
        <v>19822793</v>
      </c>
      <c r="D68" s="13">
        <v>55902027</v>
      </c>
    </row>
    <row r="69" spans="1:4" s="4" customFormat="1" x14ac:dyDescent="0.4">
      <c r="A69" s="10">
        <v>202004</v>
      </c>
      <c r="B69" s="11"/>
      <c r="C69" s="23">
        <v>24700114</v>
      </c>
      <c r="D69" s="13">
        <v>31201913</v>
      </c>
    </row>
    <row r="70" spans="1:4" s="4" customFormat="1" x14ac:dyDescent="0.4">
      <c r="A70" s="10">
        <v>202005</v>
      </c>
      <c r="B70" s="11"/>
      <c r="C70" s="23">
        <v>20221802</v>
      </c>
      <c r="D70" s="13">
        <v>10980111</v>
      </c>
    </row>
    <row r="71" spans="1:4" s="4" customFormat="1" x14ac:dyDescent="0.4">
      <c r="A71" s="10">
        <v>202006</v>
      </c>
      <c r="B71" s="11">
        <v>50000000</v>
      </c>
      <c r="C71" s="23">
        <v>20465615</v>
      </c>
      <c r="D71" s="13">
        <v>40514496</v>
      </c>
    </row>
    <row r="72" spans="1:4" s="4" customFormat="1" x14ac:dyDescent="0.4">
      <c r="A72" s="10">
        <v>202007</v>
      </c>
      <c r="B72" s="11"/>
      <c r="C72" s="23">
        <v>17162548</v>
      </c>
      <c r="D72" s="13">
        <v>23351948</v>
      </c>
    </row>
    <row r="73" spans="1:4" s="4" customFormat="1" x14ac:dyDescent="0.4">
      <c r="A73" s="10">
        <v>202008</v>
      </c>
      <c r="B73" s="11"/>
      <c r="C73" s="23">
        <v>18524835</v>
      </c>
      <c r="D73" s="13">
        <v>4827113</v>
      </c>
    </row>
    <row r="74" spans="1:4" s="4" customFormat="1" x14ac:dyDescent="0.4">
      <c r="A74" s="10">
        <v>202009</v>
      </c>
      <c r="B74" s="11">
        <v>50000000</v>
      </c>
      <c r="C74" s="23">
        <v>18377819</v>
      </c>
      <c r="D74" s="13">
        <v>36449294</v>
      </c>
    </row>
    <row r="75" spans="1:4" s="4" customFormat="1" x14ac:dyDescent="0.4">
      <c r="A75" s="10">
        <v>202010</v>
      </c>
      <c r="B75" s="11"/>
      <c r="C75" s="23">
        <v>12130233</v>
      </c>
      <c r="D75" s="13">
        <v>24319061</v>
      </c>
    </row>
    <row r="76" spans="1:4" s="4" customFormat="1" x14ac:dyDescent="0.4">
      <c r="A76" s="10">
        <v>202011</v>
      </c>
      <c r="B76" s="11">
        <v>50000000</v>
      </c>
      <c r="C76" s="23">
        <v>28409569</v>
      </c>
      <c r="D76" s="13">
        <f>D75-C76+B76</f>
        <v>45909492</v>
      </c>
    </row>
    <row r="77" spans="1:4" s="4" customFormat="1" x14ac:dyDescent="0.4">
      <c r="A77" s="10">
        <v>202012</v>
      </c>
      <c r="B77" s="11"/>
      <c r="C77" s="23">
        <v>20659980</v>
      </c>
      <c r="D77" s="13">
        <f>D76-C77</f>
        <v>25249512</v>
      </c>
    </row>
    <row r="78" spans="1:4" s="4" customFormat="1" x14ac:dyDescent="0.4">
      <c r="A78" s="10">
        <v>202101</v>
      </c>
      <c r="B78" s="11"/>
      <c r="C78" s="23">
        <v>18057602</v>
      </c>
      <c r="D78" s="13">
        <f>D77-C78</f>
        <v>7191910</v>
      </c>
    </row>
    <row r="79" spans="1:4" s="4" customFormat="1" x14ac:dyDescent="0.4">
      <c r="A79" s="10">
        <v>202102</v>
      </c>
      <c r="B79" s="11">
        <v>50000000</v>
      </c>
      <c r="C79" s="23">
        <v>11866625</v>
      </c>
      <c r="D79" s="13">
        <f t="shared" ref="D79:D87" si="0">D78+B79-C79</f>
        <v>45325285</v>
      </c>
    </row>
    <row r="80" spans="1:4" s="4" customFormat="1" x14ac:dyDescent="0.4">
      <c r="A80" s="10">
        <v>202103</v>
      </c>
      <c r="B80" s="11"/>
      <c r="C80" s="23">
        <v>17540528</v>
      </c>
      <c r="D80" s="13">
        <f t="shared" si="0"/>
        <v>27784757</v>
      </c>
    </row>
    <row r="81" spans="1:4" s="4" customFormat="1" x14ac:dyDescent="0.4">
      <c r="A81" s="10">
        <v>202104</v>
      </c>
      <c r="B81" s="11"/>
      <c r="C81" s="23">
        <v>12625804</v>
      </c>
      <c r="D81" s="13">
        <f t="shared" si="0"/>
        <v>15158953</v>
      </c>
    </row>
    <row r="82" spans="1:4" s="4" customFormat="1" x14ac:dyDescent="0.4">
      <c r="A82" s="10">
        <v>202105</v>
      </c>
      <c r="B82" s="11"/>
      <c r="C82" s="23">
        <v>10775038</v>
      </c>
      <c r="D82" s="13">
        <f t="shared" si="0"/>
        <v>4383915</v>
      </c>
    </row>
    <row r="83" spans="1:4" s="4" customFormat="1" x14ac:dyDescent="0.4">
      <c r="A83" s="10">
        <v>202106</v>
      </c>
      <c r="B83" s="11">
        <v>50000000</v>
      </c>
      <c r="C83" s="23">
        <v>21998758</v>
      </c>
      <c r="D83" s="13">
        <f t="shared" si="0"/>
        <v>32385157</v>
      </c>
    </row>
    <row r="84" spans="1:4" s="4" customFormat="1" x14ac:dyDescent="0.4">
      <c r="A84" s="10">
        <v>202107</v>
      </c>
      <c r="B84" s="11"/>
      <c r="C84" s="23">
        <v>14341856</v>
      </c>
      <c r="D84" s="13">
        <f t="shared" si="0"/>
        <v>18043301</v>
      </c>
    </row>
    <row r="85" spans="1:4" s="4" customFormat="1" x14ac:dyDescent="0.4">
      <c r="A85" s="10">
        <v>202108</v>
      </c>
      <c r="B85" s="11">
        <v>50000000</v>
      </c>
      <c r="C85" s="23">
        <v>32878577</v>
      </c>
      <c r="D85" s="13">
        <f t="shared" si="0"/>
        <v>35164724</v>
      </c>
    </row>
    <row r="86" spans="1:4" s="4" customFormat="1" x14ac:dyDescent="0.4">
      <c r="A86" s="10">
        <v>202109</v>
      </c>
      <c r="B86" s="11"/>
      <c r="C86" s="23">
        <v>18768367</v>
      </c>
      <c r="D86" s="13">
        <f t="shared" si="0"/>
        <v>16396357</v>
      </c>
    </row>
    <row r="87" spans="1:4" s="4" customFormat="1" x14ac:dyDescent="0.4">
      <c r="A87" s="10">
        <v>202110</v>
      </c>
      <c r="B87" s="11">
        <v>100000000</v>
      </c>
      <c r="C87" s="23">
        <v>77924216</v>
      </c>
      <c r="D87" s="13">
        <f t="shared" si="0"/>
        <v>38472141</v>
      </c>
    </row>
    <row r="88" spans="1:4" s="4" customFormat="1" x14ac:dyDescent="0.4">
      <c r="A88" s="10">
        <v>202111</v>
      </c>
      <c r="B88" s="11">
        <v>50000000</v>
      </c>
      <c r="C88" s="23">
        <v>46002098</v>
      </c>
      <c r="D88" s="13">
        <f>D87-C88+B88</f>
        <v>42470043</v>
      </c>
    </row>
    <row r="89" spans="1:4" s="4" customFormat="1" x14ac:dyDescent="0.4">
      <c r="A89" s="10">
        <v>202112</v>
      </c>
      <c r="B89" s="11"/>
      <c r="C89" s="23">
        <v>39160141</v>
      </c>
      <c r="D89" s="13">
        <f>D88-C89+B89</f>
        <v>3309902</v>
      </c>
    </row>
    <row r="90" spans="1:4" s="4" customFormat="1" x14ac:dyDescent="0.4">
      <c r="A90" s="10">
        <v>202201</v>
      </c>
      <c r="B90" s="11">
        <v>50000000</v>
      </c>
      <c r="C90" s="23">
        <v>35237226</v>
      </c>
      <c r="D90" s="13">
        <f t="shared" ref="D90:D95" si="1">D89+B90-C90</f>
        <v>18072676</v>
      </c>
    </row>
    <row r="91" spans="1:4" s="4" customFormat="1" x14ac:dyDescent="0.4">
      <c r="A91" s="10">
        <v>202202</v>
      </c>
      <c r="B91" s="11">
        <v>50000000</v>
      </c>
      <c r="C91" s="24">
        <v>28035779</v>
      </c>
      <c r="D91" s="13">
        <f t="shared" si="1"/>
        <v>40036897</v>
      </c>
    </row>
    <row r="92" spans="1:4" s="4" customFormat="1" x14ac:dyDescent="0.4">
      <c r="A92" s="10">
        <v>202203</v>
      </c>
      <c r="B92" s="11"/>
      <c r="C92" s="23">
        <v>36126783</v>
      </c>
      <c r="D92" s="13">
        <f t="shared" si="1"/>
        <v>3910114</v>
      </c>
    </row>
    <row r="93" spans="1:4" s="4" customFormat="1" x14ac:dyDescent="0.4">
      <c r="A93" s="10">
        <v>202204</v>
      </c>
      <c r="B93" s="11">
        <v>50000000</v>
      </c>
      <c r="C93" s="24">
        <v>28037258</v>
      </c>
      <c r="D93" s="13">
        <f t="shared" si="1"/>
        <v>25872856</v>
      </c>
    </row>
    <row r="94" spans="1:4" s="4" customFormat="1" x14ac:dyDescent="0.4">
      <c r="A94" s="10">
        <v>202205</v>
      </c>
      <c r="B94" s="11">
        <v>50000000</v>
      </c>
      <c r="C94" s="24">
        <v>29074416</v>
      </c>
      <c r="D94" s="13">
        <f t="shared" si="1"/>
        <v>46798440</v>
      </c>
    </row>
    <row r="95" spans="1:4" s="4" customFormat="1" x14ac:dyDescent="0.4">
      <c r="A95" s="10">
        <v>202206</v>
      </c>
      <c r="B95" s="11"/>
      <c r="C95" s="23">
        <f>AU39</f>
        <v>21974755</v>
      </c>
      <c r="D95" s="13">
        <f t="shared" si="1"/>
        <v>24823685</v>
      </c>
    </row>
    <row r="96" spans="1:4" s="4" customFormat="1" x14ac:dyDescent="0.4">
      <c r="A96" s="25" t="s">
        <v>188</v>
      </c>
      <c r="B96" s="26">
        <f>SUM(B43:B95)</f>
        <v>1370000000</v>
      </c>
      <c r="C96" s="26">
        <f>SUM(C43:C95)</f>
        <v>1345176315</v>
      </c>
      <c r="D96" s="26"/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U14"/>
  <sheetViews>
    <sheetView workbookViewId="0">
      <selection activeCell="D23" sqref="D23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1.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1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25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5" t="s">
        <v>45</v>
      </c>
    </row>
    <row r="2" spans="1:47" x14ac:dyDescent="0.4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129</v>
      </c>
      <c r="H2" s="4" t="s">
        <v>130</v>
      </c>
      <c r="I2" s="4" t="s">
        <v>54</v>
      </c>
      <c r="J2" s="4" t="s">
        <v>55</v>
      </c>
      <c r="K2" s="4" t="s">
        <v>131</v>
      </c>
      <c r="L2" s="4" t="s">
        <v>132</v>
      </c>
      <c r="M2" s="4" t="s">
        <v>133</v>
      </c>
      <c r="N2" s="4" t="s">
        <v>59</v>
      </c>
      <c r="O2" s="4" t="s">
        <v>59</v>
      </c>
      <c r="P2" s="4" t="s">
        <v>59</v>
      </c>
      <c r="Q2" s="4" t="s">
        <v>134</v>
      </c>
      <c r="R2" s="4" t="s">
        <v>61</v>
      </c>
      <c r="S2" s="4" t="s">
        <v>62</v>
      </c>
      <c r="T2" s="2">
        <v>108950</v>
      </c>
      <c r="U2" s="2">
        <v>243730</v>
      </c>
      <c r="V2" s="2">
        <v>21340</v>
      </c>
      <c r="W2" s="2">
        <v>340480</v>
      </c>
      <c r="X2" s="2">
        <v>374020</v>
      </c>
      <c r="Y2" s="2">
        <v>340480</v>
      </c>
      <c r="Z2" s="2">
        <v>714500</v>
      </c>
      <c r="AA2" s="2">
        <v>130740</v>
      </c>
      <c r="AB2" s="2">
        <v>243730</v>
      </c>
      <c r="AC2" s="2">
        <v>24627</v>
      </c>
      <c r="AD2" s="2">
        <v>340480</v>
      </c>
      <c r="AE2" s="2">
        <v>399097</v>
      </c>
      <c r="AF2" s="2">
        <v>340480</v>
      </c>
      <c r="AG2" s="2">
        <v>739577</v>
      </c>
      <c r="AH2" s="2">
        <v>117666</v>
      </c>
      <c r="AI2" s="2">
        <v>236418.1</v>
      </c>
      <c r="AJ2" s="2">
        <v>17238.900000000001</v>
      </c>
      <c r="AK2" s="2">
        <v>306432</v>
      </c>
      <c r="AL2" s="2">
        <v>371323</v>
      </c>
      <c r="AM2" s="2">
        <v>306432</v>
      </c>
      <c r="AN2" s="2">
        <v>714500</v>
      </c>
      <c r="AO2" s="4" t="s">
        <v>63</v>
      </c>
      <c r="AP2" s="4" t="s">
        <v>63</v>
      </c>
      <c r="AQ2" s="4" t="s">
        <v>63</v>
      </c>
      <c r="AR2" s="4" t="s">
        <v>63</v>
      </c>
      <c r="AS2" s="2">
        <v>406653</v>
      </c>
      <c r="AT2" s="2">
        <v>0</v>
      </c>
      <c r="AU2" s="2">
        <v>406653</v>
      </c>
    </row>
    <row r="3" spans="1:47" x14ac:dyDescent="0.4">
      <c r="AU3" s="19">
        <f>SUM(AU2)</f>
        <v>406653</v>
      </c>
    </row>
    <row r="5" spans="1:47" x14ac:dyDescent="0.4">
      <c r="A5" s="6" t="s">
        <v>189</v>
      </c>
      <c r="B5" s="4"/>
      <c r="C5" s="4"/>
      <c r="D5" s="4"/>
    </row>
    <row r="6" spans="1:47" x14ac:dyDescent="0.4">
      <c r="A6" s="9" t="s">
        <v>190</v>
      </c>
      <c r="B6" s="9" t="s">
        <v>191</v>
      </c>
      <c r="C6" s="9" t="s">
        <v>192</v>
      </c>
      <c r="D6" s="9" t="s">
        <v>193</v>
      </c>
    </row>
    <row r="7" spans="1:47" x14ac:dyDescent="0.4">
      <c r="A7" s="10">
        <v>202111</v>
      </c>
      <c r="B7" s="11">
        <v>10000000</v>
      </c>
      <c r="C7" s="11">
        <v>0</v>
      </c>
      <c r="D7" s="13">
        <f>B7-C7</f>
        <v>10000000</v>
      </c>
    </row>
    <row r="8" spans="1:47" x14ac:dyDescent="0.4">
      <c r="A8" s="10">
        <v>202202</v>
      </c>
      <c r="B8" s="11">
        <v>0</v>
      </c>
      <c r="C8" s="27">
        <v>2074047</v>
      </c>
      <c r="D8" s="13">
        <f>D7-C8</f>
        <v>7925953</v>
      </c>
    </row>
    <row r="9" spans="1:47" x14ac:dyDescent="0.4">
      <c r="A9" s="10">
        <v>202203</v>
      </c>
      <c r="B9" s="20"/>
      <c r="C9" s="11">
        <v>822173</v>
      </c>
      <c r="D9" s="13">
        <f>D8-C9</f>
        <v>7103780</v>
      </c>
    </row>
    <row r="10" spans="1:47" x14ac:dyDescent="0.4">
      <c r="A10" s="28">
        <v>202204</v>
      </c>
      <c r="B10" s="20"/>
      <c r="C10" s="27">
        <v>656337</v>
      </c>
      <c r="D10" s="13">
        <f>D9-C10</f>
        <v>6447443</v>
      </c>
    </row>
    <row r="11" spans="1:47" x14ac:dyDescent="0.4">
      <c r="A11" s="28">
        <v>202205</v>
      </c>
      <c r="B11" s="20"/>
      <c r="C11" s="29">
        <v>506682</v>
      </c>
      <c r="D11" s="13">
        <f>D10-C11</f>
        <v>5940761</v>
      </c>
    </row>
    <row r="12" spans="1:47" x14ac:dyDescent="0.4">
      <c r="A12" s="10">
        <v>202206</v>
      </c>
      <c r="B12" s="20"/>
      <c r="C12" s="11">
        <f>AU3</f>
        <v>406653</v>
      </c>
      <c r="D12" s="13">
        <f>D11-C12</f>
        <v>5534108</v>
      </c>
    </row>
    <row r="13" spans="1:47" s="4" customFormat="1" x14ac:dyDescent="0.4">
      <c r="A13" s="10"/>
      <c r="B13" s="20"/>
      <c r="C13" s="20"/>
      <c r="D13" s="20"/>
    </row>
    <row r="14" spans="1:47" x14ac:dyDescent="0.4">
      <c r="A14" s="25" t="s">
        <v>194</v>
      </c>
      <c r="B14" s="26">
        <f>SUM(B7:B12)</f>
        <v>10000000</v>
      </c>
      <c r="C14" s="26">
        <f>SUM(C7:C12)</f>
        <v>4465892</v>
      </c>
      <c r="D14" s="2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U15"/>
  <sheetViews>
    <sheetView workbookViewId="0"/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9.398437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25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5" t="s">
        <v>45</v>
      </c>
    </row>
    <row r="2" spans="1:47" x14ac:dyDescent="0.4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135</v>
      </c>
      <c r="H2" s="4" t="s">
        <v>136</v>
      </c>
      <c r="I2" s="4" t="s">
        <v>54</v>
      </c>
      <c r="J2" s="4" t="s">
        <v>55</v>
      </c>
      <c r="K2" s="4" t="s">
        <v>137</v>
      </c>
      <c r="L2" s="4" t="s">
        <v>138</v>
      </c>
      <c r="M2" s="4" t="s">
        <v>139</v>
      </c>
      <c r="N2" s="4" t="s">
        <v>59</v>
      </c>
      <c r="O2" s="4" t="s">
        <v>59</v>
      </c>
      <c r="P2" s="4" t="s">
        <v>59</v>
      </c>
      <c r="Q2" s="4" t="s">
        <v>140</v>
      </c>
      <c r="R2" s="4" t="s">
        <v>61</v>
      </c>
      <c r="S2" s="4" t="s">
        <v>62</v>
      </c>
      <c r="T2" s="2">
        <v>6800</v>
      </c>
      <c r="U2" s="2">
        <v>75280</v>
      </c>
      <c r="V2" s="2">
        <v>1800</v>
      </c>
      <c r="W2" s="2">
        <v>192920</v>
      </c>
      <c r="X2" s="2">
        <v>83880</v>
      </c>
      <c r="Y2" s="2">
        <v>192920</v>
      </c>
      <c r="Z2" s="2">
        <v>276800</v>
      </c>
      <c r="AA2" s="2">
        <v>8160</v>
      </c>
      <c r="AB2" s="2">
        <v>75280</v>
      </c>
      <c r="AC2" s="2">
        <v>2160</v>
      </c>
      <c r="AD2" s="2">
        <v>192920</v>
      </c>
      <c r="AE2" s="2">
        <v>85600</v>
      </c>
      <c r="AF2" s="2">
        <v>192920</v>
      </c>
      <c r="AG2" s="2">
        <v>278520</v>
      </c>
      <c r="AH2" s="2">
        <v>7344</v>
      </c>
      <c r="AI2" s="2">
        <v>73021.600000000006</v>
      </c>
      <c r="AJ2" s="2">
        <v>1512</v>
      </c>
      <c r="AK2" s="2">
        <v>173628</v>
      </c>
      <c r="AL2" s="2">
        <v>81877.600000000006</v>
      </c>
      <c r="AM2" s="2">
        <v>173628</v>
      </c>
      <c r="AN2" s="2">
        <v>276800</v>
      </c>
      <c r="AO2" s="4" t="s">
        <v>63</v>
      </c>
      <c r="AP2" s="4" t="s">
        <v>63</v>
      </c>
      <c r="AQ2" s="4" t="s">
        <v>63</v>
      </c>
      <c r="AR2" s="4" t="s">
        <v>63</v>
      </c>
      <c r="AS2" s="2">
        <v>153303</v>
      </c>
      <c r="AT2" s="2">
        <v>0</v>
      </c>
      <c r="AU2" s="2">
        <v>153303</v>
      </c>
    </row>
    <row r="3" spans="1:47" x14ac:dyDescent="0.4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135</v>
      </c>
      <c r="H3" s="4" t="s">
        <v>136</v>
      </c>
      <c r="I3" s="4" t="s">
        <v>54</v>
      </c>
      <c r="J3" s="4" t="s">
        <v>55</v>
      </c>
      <c r="K3" s="4" t="s">
        <v>137</v>
      </c>
      <c r="L3" s="4" t="s">
        <v>138</v>
      </c>
      <c r="M3" s="4" t="s">
        <v>139</v>
      </c>
      <c r="N3" s="4" t="s">
        <v>59</v>
      </c>
      <c r="O3" s="4" t="s">
        <v>59</v>
      </c>
      <c r="P3" s="4" t="s">
        <v>59</v>
      </c>
      <c r="Q3" s="4" t="s">
        <v>140</v>
      </c>
      <c r="R3" s="4" t="s">
        <v>61</v>
      </c>
      <c r="S3" s="4" t="s">
        <v>64</v>
      </c>
      <c r="T3" s="2">
        <v>7600</v>
      </c>
      <c r="U3" s="2">
        <v>108460</v>
      </c>
      <c r="V3" s="2">
        <v>10800</v>
      </c>
      <c r="W3" s="2">
        <v>62640</v>
      </c>
      <c r="X3" s="2">
        <v>126860</v>
      </c>
      <c r="Y3" s="2">
        <v>62640</v>
      </c>
      <c r="Z3" s="2">
        <v>189500</v>
      </c>
      <c r="AA3" s="2">
        <v>9120</v>
      </c>
      <c r="AB3" s="2">
        <v>108460</v>
      </c>
      <c r="AC3" s="2">
        <v>12580</v>
      </c>
      <c r="AD3" s="2">
        <v>62640</v>
      </c>
      <c r="AE3" s="2">
        <v>130160</v>
      </c>
      <c r="AF3" s="2">
        <v>62640</v>
      </c>
      <c r="AG3" s="2">
        <v>192800</v>
      </c>
      <c r="AH3" s="2">
        <v>8208</v>
      </c>
      <c r="AI3" s="2">
        <v>105206.2</v>
      </c>
      <c r="AJ3" s="2">
        <v>8806</v>
      </c>
      <c r="AK3" s="2">
        <v>56376</v>
      </c>
      <c r="AL3" s="2">
        <v>122220.2</v>
      </c>
      <c r="AM3" s="2">
        <v>56376</v>
      </c>
      <c r="AN3" s="2">
        <v>189500</v>
      </c>
      <c r="AO3" s="4" t="s">
        <v>63</v>
      </c>
      <c r="AP3" s="4" t="s">
        <v>63</v>
      </c>
      <c r="AQ3" s="4" t="s">
        <v>63</v>
      </c>
      <c r="AR3" s="4" t="s">
        <v>63</v>
      </c>
      <c r="AS3" s="2">
        <v>107159</v>
      </c>
      <c r="AT3" s="2">
        <v>0</v>
      </c>
      <c r="AU3" s="2">
        <v>107159</v>
      </c>
    </row>
    <row r="4" spans="1:47" x14ac:dyDescent="0.4">
      <c r="A4" s="4" t="s">
        <v>46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135</v>
      </c>
      <c r="H4" s="4" t="s">
        <v>136</v>
      </c>
      <c r="I4" s="4" t="s">
        <v>54</v>
      </c>
      <c r="J4" s="4" t="s">
        <v>55</v>
      </c>
      <c r="K4" s="4" t="s">
        <v>137</v>
      </c>
      <c r="L4" s="4" t="s">
        <v>138</v>
      </c>
      <c r="M4" s="4" t="s">
        <v>139</v>
      </c>
      <c r="N4" s="4" t="s">
        <v>59</v>
      </c>
      <c r="O4" s="4" t="s">
        <v>59</v>
      </c>
      <c r="P4" s="4" t="s">
        <v>59</v>
      </c>
      <c r="Q4" s="4" t="s">
        <v>140</v>
      </c>
      <c r="R4" s="4" t="s">
        <v>61</v>
      </c>
      <c r="S4" s="4" t="s">
        <v>64</v>
      </c>
      <c r="T4" s="2">
        <v>3700</v>
      </c>
      <c r="U4" s="2">
        <v>39900</v>
      </c>
      <c r="V4" s="2">
        <v>16700</v>
      </c>
      <c r="W4" s="2">
        <v>15400</v>
      </c>
      <c r="X4" s="2">
        <v>60300</v>
      </c>
      <c r="Y4" s="2">
        <v>15400</v>
      </c>
      <c r="Z4" s="2">
        <v>75700</v>
      </c>
      <c r="AA4" s="2">
        <v>4440</v>
      </c>
      <c r="AB4" s="2">
        <v>39900</v>
      </c>
      <c r="AC4" s="2">
        <v>19400</v>
      </c>
      <c r="AD4" s="2">
        <v>15400</v>
      </c>
      <c r="AE4" s="2">
        <v>63740</v>
      </c>
      <c r="AF4" s="2">
        <v>15400</v>
      </c>
      <c r="AG4" s="2">
        <v>79140</v>
      </c>
      <c r="AH4" s="2">
        <v>3996</v>
      </c>
      <c r="AI4" s="2">
        <v>38703</v>
      </c>
      <c r="AJ4" s="2">
        <v>13580</v>
      </c>
      <c r="AK4" s="2">
        <v>13860</v>
      </c>
      <c r="AL4" s="2">
        <v>56279</v>
      </c>
      <c r="AM4" s="2">
        <v>13860</v>
      </c>
      <c r="AN4" s="2">
        <v>75700</v>
      </c>
      <c r="AO4" s="4" t="s">
        <v>63</v>
      </c>
      <c r="AP4" s="4" t="s">
        <v>63</v>
      </c>
      <c r="AQ4" s="4" t="s">
        <v>63</v>
      </c>
      <c r="AR4" s="4" t="s">
        <v>63</v>
      </c>
      <c r="AS4" s="2">
        <v>42084</v>
      </c>
      <c r="AT4" s="2">
        <v>0</v>
      </c>
      <c r="AU4" s="2">
        <v>42084</v>
      </c>
    </row>
    <row r="5" spans="1:47" x14ac:dyDescent="0.4">
      <c r="A5" s="4" t="s">
        <v>46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135</v>
      </c>
      <c r="H5" s="4" t="s">
        <v>136</v>
      </c>
      <c r="I5" s="4" t="s">
        <v>54</v>
      </c>
      <c r="J5" s="4" t="s">
        <v>55</v>
      </c>
      <c r="K5" s="4" t="s">
        <v>137</v>
      </c>
      <c r="L5" s="4" t="s">
        <v>138</v>
      </c>
      <c r="M5" s="4" t="s">
        <v>139</v>
      </c>
      <c r="N5" s="4" t="s">
        <v>59</v>
      </c>
      <c r="O5" s="4" t="s">
        <v>59</v>
      </c>
      <c r="P5" s="4" t="s">
        <v>59</v>
      </c>
      <c r="Q5" s="4" t="s">
        <v>140</v>
      </c>
      <c r="R5" s="4" t="s">
        <v>61</v>
      </c>
      <c r="S5" s="4" t="s">
        <v>64</v>
      </c>
      <c r="T5" s="2">
        <v>19000</v>
      </c>
      <c r="U5" s="2">
        <v>72300</v>
      </c>
      <c r="V5" s="2">
        <v>5000</v>
      </c>
      <c r="W5" s="2">
        <v>24100</v>
      </c>
      <c r="X5" s="2">
        <v>96300</v>
      </c>
      <c r="Y5" s="2">
        <v>24100</v>
      </c>
      <c r="Z5" s="2">
        <v>120400</v>
      </c>
      <c r="AA5" s="2">
        <v>22800</v>
      </c>
      <c r="AB5" s="2">
        <v>72300</v>
      </c>
      <c r="AC5" s="2">
        <v>5500</v>
      </c>
      <c r="AD5" s="2">
        <v>24100</v>
      </c>
      <c r="AE5" s="2">
        <v>100600</v>
      </c>
      <c r="AF5" s="2">
        <v>24100</v>
      </c>
      <c r="AG5" s="2">
        <v>124700</v>
      </c>
      <c r="AH5" s="2">
        <v>20520</v>
      </c>
      <c r="AI5" s="2">
        <v>70131</v>
      </c>
      <c r="AJ5" s="2">
        <v>3850</v>
      </c>
      <c r="AK5" s="2">
        <v>21690</v>
      </c>
      <c r="AL5" s="2">
        <v>94501</v>
      </c>
      <c r="AM5" s="2">
        <v>21690</v>
      </c>
      <c r="AN5" s="2">
        <v>120400</v>
      </c>
      <c r="AO5" s="4" t="s">
        <v>63</v>
      </c>
      <c r="AP5" s="4" t="s">
        <v>63</v>
      </c>
      <c r="AQ5" s="4" t="s">
        <v>63</v>
      </c>
      <c r="AR5" s="4" t="s">
        <v>63</v>
      </c>
      <c r="AS5" s="2">
        <v>69715</v>
      </c>
      <c r="AT5" s="2">
        <v>0</v>
      </c>
      <c r="AU5" s="2">
        <v>69715</v>
      </c>
    </row>
    <row r="6" spans="1:47" x14ac:dyDescent="0.4">
      <c r="AU6" s="19">
        <f>SUM(AU2:AU5)</f>
        <v>372261</v>
      </c>
    </row>
    <row r="7" spans="1:47" x14ac:dyDescent="0.4">
      <c r="A7" s="4"/>
      <c r="B7" s="4"/>
      <c r="C7" s="4"/>
      <c r="D7" s="4"/>
    </row>
    <row r="8" spans="1:47" x14ac:dyDescent="0.4">
      <c r="A8" s="6" t="s">
        <v>176</v>
      </c>
      <c r="B8" s="4"/>
      <c r="C8" s="4"/>
      <c r="D8" s="4"/>
    </row>
    <row r="9" spans="1:47" x14ac:dyDescent="0.4">
      <c r="A9" s="9" t="s">
        <v>177</v>
      </c>
      <c r="B9" s="9" t="s">
        <v>178</v>
      </c>
      <c r="C9" s="9" t="s">
        <v>179</v>
      </c>
      <c r="D9" s="9" t="s">
        <v>195</v>
      </c>
    </row>
    <row r="10" spans="1:47" x14ac:dyDescent="0.4">
      <c r="A10" s="10">
        <v>202204</v>
      </c>
      <c r="B10" s="11">
        <v>10000000</v>
      </c>
      <c r="C10" s="27">
        <v>2078275</v>
      </c>
      <c r="D10" s="13">
        <f>B10-C10</f>
        <v>7921725</v>
      </c>
    </row>
    <row r="11" spans="1:47" x14ac:dyDescent="0.4">
      <c r="A11" s="10">
        <v>202205</v>
      </c>
      <c r="B11" s="11"/>
      <c r="C11" s="27">
        <v>1415159</v>
      </c>
      <c r="D11" s="13">
        <f>D10-C11</f>
        <v>6506566</v>
      </c>
    </row>
    <row r="12" spans="1:47" x14ac:dyDescent="0.4">
      <c r="A12" s="10">
        <v>202206</v>
      </c>
      <c r="B12" s="20"/>
      <c r="C12" s="11">
        <f>AU6</f>
        <v>372261</v>
      </c>
      <c r="D12" s="13">
        <f>D11-C12</f>
        <v>6134305</v>
      </c>
    </row>
    <row r="13" spans="1:47" x14ac:dyDescent="0.4">
      <c r="A13" s="28"/>
      <c r="B13" s="20"/>
      <c r="C13" s="11"/>
      <c r="D13" s="13"/>
    </row>
    <row r="14" spans="1:47" x14ac:dyDescent="0.4">
      <c r="A14" s="20"/>
      <c r="B14" s="20"/>
      <c r="C14" s="20"/>
      <c r="D14" s="20"/>
    </row>
    <row r="15" spans="1:47" x14ac:dyDescent="0.4">
      <c r="A15" s="25" t="s">
        <v>181</v>
      </c>
      <c r="B15" s="26">
        <f>SUM(B10:B14)</f>
        <v>10000000</v>
      </c>
      <c r="C15" s="26">
        <f>SUM(C10:C14)</f>
        <v>3865695</v>
      </c>
      <c r="D15" s="2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U15"/>
  <sheetViews>
    <sheetView workbookViewId="0">
      <selection activeCell="E17" sqref="E1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42.39843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1.09765625" bestFit="1" customWidth="1"/>
    <col min="13" max="14" width="10.8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25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5" t="s">
        <v>45</v>
      </c>
    </row>
    <row r="2" spans="1:47" x14ac:dyDescent="0.4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141</v>
      </c>
      <c r="H2" s="4" t="s">
        <v>142</v>
      </c>
      <c r="I2" s="4" t="s">
        <v>54</v>
      </c>
      <c r="J2" s="4" t="s">
        <v>55</v>
      </c>
      <c r="K2" s="4" t="s">
        <v>143</v>
      </c>
      <c r="L2" s="4" t="s">
        <v>144</v>
      </c>
      <c r="M2" s="4" t="s">
        <v>145</v>
      </c>
      <c r="N2" s="4" t="s">
        <v>146</v>
      </c>
      <c r="O2" s="4" t="s">
        <v>59</v>
      </c>
      <c r="P2" s="4" t="s">
        <v>59</v>
      </c>
      <c r="Q2" s="4" t="s">
        <v>147</v>
      </c>
      <c r="R2" s="4" t="s">
        <v>61</v>
      </c>
      <c r="S2" s="4" t="s">
        <v>62</v>
      </c>
      <c r="T2" s="2">
        <v>0</v>
      </c>
      <c r="U2" s="2">
        <v>600</v>
      </c>
      <c r="V2" s="2">
        <v>0</v>
      </c>
      <c r="W2" s="2">
        <v>10100</v>
      </c>
      <c r="X2" s="2">
        <v>600</v>
      </c>
      <c r="Y2" s="2">
        <v>10100</v>
      </c>
      <c r="Z2" s="2">
        <v>10700</v>
      </c>
      <c r="AA2" s="2">
        <v>0</v>
      </c>
      <c r="AB2" s="2">
        <v>600</v>
      </c>
      <c r="AC2" s="2">
        <v>0</v>
      </c>
      <c r="AD2" s="2">
        <v>10100</v>
      </c>
      <c r="AE2" s="2">
        <v>600</v>
      </c>
      <c r="AF2" s="2">
        <v>10100</v>
      </c>
      <c r="AG2" s="2">
        <v>10700</v>
      </c>
      <c r="AH2" s="2">
        <v>0</v>
      </c>
      <c r="AI2" s="2">
        <v>582</v>
      </c>
      <c r="AJ2" s="2">
        <v>0</v>
      </c>
      <c r="AK2" s="2">
        <v>9090</v>
      </c>
      <c r="AL2" s="2">
        <v>582</v>
      </c>
      <c r="AM2" s="2">
        <v>9090</v>
      </c>
      <c r="AN2" s="2">
        <v>10700</v>
      </c>
      <c r="AO2" s="4" t="s">
        <v>63</v>
      </c>
      <c r="AP2" s="4" t="s">
        <v>63</v>
      </c>
      <c r="AQ2" s="4" t="s">
        <v>63</v>
      </c>
      <c r="AR2" s="4" t="s">
        <v>63</v>
      </c>
      <c r="AS2" s="2">
        <v>5803</v>
      </c>
      <c r="AT2" s="2">
        <v>0</v>
      </c>
      <c r="AU2" s="2">
        <v>5803</v>
      </c>
    </row>
    <row r="3" spans="1:47" x14ac:dyDescent="0.4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141</v>
      </c>
      <c r="H3" s="4" t="s">
        <v>142</v>
      </c>
      <c r="I3" s="4" t="s">
        <v>54</v>
      </c>
      <c r="J3" s="4" t="s">
        <v>55</v>
      </c>
      <c r="K3" s="4" t="s">
        <v>143</v>
      </c>
      <c r="L3" s="4" t="s">
        <v>144</v>
      </c>
      <c r="M3" s="4" t="s">
        <v>145</v>
      </c>
      <c r="N3" s="4" t="s">
        <v>146</v>
      </c>
      <c r="O3" s="4" t="s">
        <v>59</v>
      </c>
      <c r="P3" s="4" t="s">
        <v>59</v>
      </c>
      <c r="Q3" s="4" t="s">
        <v>147</v>
      </c>
      <c r="R3" s="4" t="s">
        <v>61</v>
      </c>
      <c r="S3" s="4" t="s">
        <v>64</v>
      </c>
      <c r="T3" s="2">
        <v>2400</v>
      </c>
      <c r="U3" s="2">
        <v>1400</v>
      </c>
      <c r="V3" s="2">
        <v>0</v>
      </c>
      <c r="W3" s="2">
        <v>2400</v>
      </c>
      <c r="X3" s="2">
        <v>3800</v>
      </c>
      <c r="Y3" s="2">
        <v>2400</v>
      </c>
      <c r="Z3" s="2">
        <v>6200</v>
      </c>
      <c r="AA3" s="2">
        <v>2880</v>
      </c>
      <c r="AB3" s="2">
        <v>1400</v>
      </c>
      <c r="AC3" s="2">
        <v>0</v>
      </c>
      <c r="AD3" s="2">
        <v>2400</v>
      </c>
      <c r="AE3" s="2">
        <v>4280</v>
      </c>
      <c r="AF3" s="2">
        <v>2400</v>
      </c>
      <c r="AG3" s="2">
        <v>6680</v>
      </c>
      <c r="AH3" s="2">
        <v>2592</v>
      </c>
      <c r="AI3" s="2">
        <v>1358</v>
      </c>
      <c r="AJ3" s="2">
        <v>0</v>
      </c>
      <c r="AK3" s="2">
        <v>2160</v>
      </c>
      <c r="AL3" s="2">
        <v>3950</v>
      </c>
      <c r="AM3" s="2">
        <v>2160</v>
      </c>
      <c r="AN3" s="2">
        <v>6200</v>
      </c>
      <c r="AO3" s="4" t="s">
        <v>63</v>
      </c>
      <c r="AP3" s="4" t="s">
        <v>63</v>
      </c>
      <c r="AQ3" s="4" t="s">
        <v>63</v>
      </c>
      <c r="AR3" s="4" t="s">
        <v>63</v>
      </c>
      <c r="AS3" s="2">
        <v>3666</v>
      </c>
      <c r="AT3" s="2">
        <v>0</v>
      </c>
      <c r="AU3" s="2">
        <v>3666</v>
      </c>
    </row>
    <row r="4" spans="1:47" x14ac:dyDescent="0.4">
      <c r="A4" s="4" t="s">
        <v>46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141</v>
      </c>
      <c r="H4" s="4" t="s">
        <v>142</v>
      </c>
      <c r="I4" s="4" t="s">
        <v>54</v>
      </c>
      <c r="J4" s="4" t="s">
        <v>55</v>
      </c>
      <c r="K4" s="4" t="s">
        <v>143</v>
      </c>
      <c r="L4" s="4" t="s">
        <v>144</v>
      </c>
      <c r="M4" s="4" t="s">
        <v>145</v>
      </c>
      <c r="N4" s="4" t="s">
        <v>146</v>
      </c>
      <c r="O4" s="4" t="s">
        <v>59</v>
      </c>
      <c r="P4" s="4" t="s">
        <v>59</v>
      </c>
      <c r="Q4" s="4" t="s">
        <v>147</v>
      </c>
      <c r="R4" s="4" t="s">
        <v>61</v>
      </c>
      <c r="S4" s="4" t="s">
        <v>64</v>
      </c>
      <c r="T4" s="2">
        <v>4600</v>
      </c>
      <c r="U4" s="2">
        <v>-8300</v>
      </c>
      <c r="V4" s="2">
        <v>0</v>
      </c>
      <c r="W4" s="2">
        <v>0</v>
      </c>
      <c r="X4" s="2">
        <v>-3700</v>
      </c>
      <c r="Y4" s="2">
        <v>0</v>
      </c>
      <c r="Z4" s="2">
        <v>-3700</v>
      </c>
      <c r="AA4" s="2">
        <v>5520</v>
      </c>
      <c r="AB4" s="2">
        <v>-8300</v>
      </c>
      <c r="AC4" s="2">
        <v>0</v>
      </c>
      <c r="AD4" s="2">
        <v>0</v>
      </c>
      <c r="AE4" s="2">
        <v>-2780</v>
      </c>
      <c r="AF4" s="2">
        <v>0</v>
      </c>
      <c r="AG4" s="2">
        <v>-2780</v>
      </c>
      <c r="AH4" s="2">
        <v>4968</v>
      </c>
      <c r="AI4" s="2">
        <v>-8051</v>
      </c>
      <c r="AJ4" s="2">
        <v>0</v>
      </c>
      <c r="AK4" s="2">
        <v>0</v>
      </c>
      <c r="AL4" s="2">
        <v>-3083</v>
      </c>
      <c r="AM4" s="2">
        <v>0</v>
      </c>
      <c r="AN4" s="2">
        <v>-3700</v>
      </c>
      <c r="AO4" s="4" t="s">
        <v>63</v>
      </c>
      <c r="AP4" s="4" t="s">
        <v>63</v>
      </c>
      <c r="AQ4" s="4" t="s">
        <v>63</v>
      </c>
      <c r="AR4" s="4" t="s">
        <v>63</v>
      </c>
      <c r="AS4" s="2">
        <v>-1850</v>
      </c>
      <c r="AT4" s="2">
        <v>0</v>
      </c>
      <c r="AU4" s="2">
        <v>-1850</v>
      </c>
    </row>
    <row r="5" spans="1:47" x14ac:dyDescent="0.4">
      <c r="A5" s="4" t="s">
        <v>46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141</v>
      </c>
      <c r="H5" s="4" t="s">
        <v>142</v>
      </c>
      <c r="I5" s="4" t="s">
        <v>54</v>
      </c>
      <c r="J5" s="4" t="s">
        <v>55</v>
      </c>
      <c r="K5" s="4" t="s">
        <v>143</v>
      </c>
      <c r="L5" s="4" t="s">
        <v>144</v>
      </c>
      <c r="M5" s="4" t="s">
        <v>145</v>
      </c>
      <c r="N5" s="4" t="s">
        <v>146</v>
      </c>
      <c r="O5" s="4" t="s">
        <v>59</v>
      </c>
      <c r="P5" s="4" t="s">
        <v>59</v>
      </c>
      <c r="Q5" s="4" t="s">
        <v>147</v>
      </c>
      <c r="R5" s="4" t="s">
        <v>61</v>
      </c>
      <c r="S5" s="4" t="s">
        <v>64</v>
      </c>
      <c r="T5" s="2">
        <v>18000</v>
      </c>
      <c r="U5" s="2">
        <v>9000</v>
      </c>
      <c r="V5" s="2">
        <v>0</v>
      </c>
      <c r="W5" s="2">
        <v>0</v>
      </c>
      <c r="X5" s="2">
        <v>27000</v>
      </c>
      <c r="Y5" s="2">
        <v>0</v>
      </c>
      <c r="Z5" s="2">
        <v>27000</v>
      </c>
      <c r="AA5" s="2">
        <v>21600</v>
      </c>
      <c r="AB5" s="2">
        <v>9000</v>
      </c>
      <c r="AC5" s="2">
        <v>0</v>
      </c>
      <c r="AD5" s="2">
        <v>0</v>
      </c>
      <c r="AE5" s="2">
        <v>30600</v>
      </c>
      <c r="AF5" s="2">
        <v>0</v>
      </c>
      <c r="AG5" s="2">
        <v>30600</v>
      </c>
      <c r="AH5" s="2">
        <v>19440</v>
      </c>
      <c r="AI5" s="2">
        <v>8730</v>
      </c>
      <c r="AJ5" s="2">
        <v>0</v>
      </c>
      <c r="AK5" s="2">
        <v>0</v>
      </c>
      <c r="AL5" s="2">
        <v>28170</v>
      </c>
      <c r="AM5" s="2">
        <v>0</v>
      </c>
      <c r="AN5" s="2">
        <v>27000</v>
      </c>
      <c r="AO5" s="4" t="s">
        <v>63</v>
      </c>
      <c r="AP5" s="4" t="s">
        <v>63</v>
      </c>
      <c r="AQ5" s="4" t="s">
        <v>63</v>
      </c>
      <c r="AR5" s="4" t="s">
        <v>63</v>
      </c>
      <c r="AS5" s="2">
        <v>16902</v>
      </c>
      <c r="AT5" s="2">
        <v>0</v>
      </c>
      <c r="AU5" s="2">
        <v>16902</v>
      </c>
    </row>
    <row r="6" spans="1:47" x14ac:dyDescent="0.4">
      <c r="AU6" s="19">
        <f>SUM(AU2:AU5)</f>
        <v>24521</v>
      </c>
    </row>
    <row r="8" spans="1:47" x14ac:dyDescent="0.4">
      <c r="A8" s="6" t="s">
        <v>196</v>
      </c>
      <c r="B8" s="4"/>
      <c r="C8" s="4"/>
      <c r="D8" s="4"/>
    </row>
    <row r="9" spans="1:47" x14ac:dyDescent="0.4">
      <c r="A9" s="9" t="s">
        <v>197</v>
      </c>
      <c r="B9" s="9" t="s">
        <v>198</v>
      </c>
      <c r="C9" s="9" t="s">
        <v>199</v>
      </c>
      <c r="D9" s="9" t="s">
        <v>200</v>
      </c>
    </row>
    <row r="10" spans="1:47" x14ac:dyDescent="0.4">
      <c r="A10" s="10" t="s">
        <v>201</v>
      </c>
      <c r="B10" s="16">
        <v>10000000</v>
      </c>
      <c r="C10" s="16">
        <v>2535560</v>
      </c>
      <c r="D10" s="13">
        <f>B10-C10</f>
        <v>7464440</v>
      </c>
    </row>
    <row r="11" spans="1:47" x14ac:dyDescent="0.4">
      <c r="A11" s="10">
        <v>202204</v>
      </c>
      <c r="B11" s="11"/>
      <c r="C11" s="29">
        <v>9130</v>
      </c>
      <c r="D11" s="13">
        <f>D10-C11</f>
        <v>7455310</v>
      </c>
    </row>
    <row r="12" spans="1:47" x14ac:dyDescent="0.4">
      <c r="A12" s="10">
        <v>202205</v>
      </c>
      <c r="B12" s="20"/>
      <c r="C12" s="27">
        <v>117904</v>
      </c>
      <c r="D12" s="13">
        <f>D11-C12</f>
        <v>7337406</v>
      </c>
    </row>
    <row r="13" spans="1:47" s="4" customFormat="1" x14ac:dyDescent="0.4">
      <c r="A13" s="10">
        <v>202206</v>
      </c>
      <c r="B13" s="20"/>
      <c r="C13" s="27">
        <f>AU6</f>
        <v>24521</v>
      </c>
      <c r="D13" s="13">
        <f>D12-C13</f>
        <v>7312885</v>
      </c>
    </row>
    <row r="14" spans="1:47" x14ac:dyDescent="0.4">
      <c r="A14" s="28"/>
      <c r="B14" s="20"/>
      <c r="C14" s="11"/>
      <c r="D14" s="13"/>
    </row>
    <row r="15" spans="1:47" x14ac:dyDescent="0.4">
      <c r="A15" s="25" t="s">
        <v>202</v>
      </c>
      <c r="B15" s="26">
        <f>SUM(B9:B14)</f>
        <v>10000000</v>
      </c>
      <c r="C15" s="26">
        <f>SUM(C9:C14)</f>
        <v>2687115</v>
      </c>
      <c r="D15" s="26"/>
    </row>
  </sheetData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AU15"/>
  <sheetViews>
    <sheetView workbookViewId="0">
      <selection activeCell="E16" sqref="E1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33.296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7" bestFit="1" customWidth="1"/>
    <col min="13" max="14" width="10.8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25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5" t="s">
        <v>45</v>
      </c>
    </row>
    <row r="2" spans="1:47" x14ac:dyDescent="0.4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148</v>
      </c>
      <c r="H2" s="4" t="s">
        <v>149</v>
      </c>
      <c r="I2" s="4" t="s">
        <v>54</v>
      </c>
      <c r="J2" s="4" t="s">
        <v>55</v>
      </c>
      <c r="K2" s="4" t="s">
        <v>150</v>
      </c>
      <c r="L2" s="4" t="s">
        <v>151</v>
      </c>
      <c r="M2" s="4" t="s">
        <v>152</v>
      </c>
      <c r="N2" s="4" t="s">
        <v>153</v>
      </c>
      <c r="O2" s="4" t="s">
        <v>59</v>
      </c>
      <c r="P2" s="4" t="s">
        <v>59</v>
      </c>
      <c r="Q2" s="4" t="s">
        <v>154</v>
      </c>
      <c r="R2" s="4" t="s">
        <v>61</v>
      </c>
      <c r="S2" s="4" t="s">
        <v>62</v>
      </c>
      <c r="T2" s="2">
        <v>200</v>
      </c>
      <c r="U2" s="2">
        <v>2200</v>
      </c>
      <c r="V2" s="2">
        <v>1500</v>
      </c>
      <c r="W2" s="2">
        <v>2300</v>
      </c>
      <c r="X2" s="2">
        <v>3900</v>
      </c>
      <c r="Y2" s="2">
        <v>2300</v>
      </c>
      <c r="Z2" s="2">
        <v>6200</v>
      </c>
      <c r="AA2" s="2">
        <v>240</v>
      </c>
      <c r="AB2" s="2">
        <v>2200</v>
      </c>
      <c r="AC2" s="2">
        <v>1800</v>
      </c>
      <c r="AD2" s="2">
        <v>2300</v>
      </c>
      <c r="AE2" s="2">
        <v>4240</v>
      </c>
      <c r="AF2" s="2">
        <v>2300</v>
      </c>
      <c r="AG2" s="2">
        <v>6540</v>
      </c>
      <c r="AH2" s="2">
        <v>216</v>
      </c>
      <c r="AI2" s="2">
        <v>2134</v>
      </c>
      <c r="AJ2" s="2">
        <v>1260</v>
      </c>
      <c r="AK2" s="2">
        <v>2070</v>
      </c>
      <c r="AL2" s="2">
        <v>3610</v>
      </c>
      <c r="AM2" s="2">
        <v>2070</v>
      </c>
      <c r="AN2" s="2">
        <v>6200</v>
      </c>
      <c r="AO2" s="4" t="s">
        <v>63</v>
      </c>
      <c r="AP2" s="4" t="s">
        <v>63</v>
      </c>
      <c r="AQ2" s="4" t="s">
        <v>63</v>
      </c>
      <c r="AR2" s="4" t="s">
        <v>63</v>
      </c>
      <c r="AS2" s="2">
        <v>3408</v>
      </c>
      <c r="AT2" s="2">
        <v>0</v>
      </c>
      <c r="AU2" s="2">
        <v>3408</v>
      </c>
    </row>
    <row r="3" spans="1:47" x14ac:dyDescent="0.4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148</v>
      </c>
      <c r="H3" s="4" t="s">
        <v>149</v>
      </c>
      <c r="I3" s="4" t="s">
        <v>54</v>
      </c>
      <c r="J3" s="4" t="s">
        <v>55</v>
      </c>
      <c r="K3" s="4" t="s">
        <v>150</v>
      </c>
      <c r="L3" s="4" t="s">
        <v>151</v>
      </c>
      <c r="M3" s="4" t="s">
        <v>152</v>
      </c>
      <c r="N3" s="4" t="s">
        <v>153</v>
      </c>
      <c r="O3" s="4" t="s">
        <v>59</v>
      </c>
      <c r="P3" s="4" t="s">
        <v>59</v>
      </c>
      <c r="Q3" s="4" t="s">
        <v>154</v>
      </c>
      <c r="R3" s="4" t="s">
        <v>61</v>
      </c>
      <c r="S3" s="4" t="s">
        <v>64</v>
      </c>
      <c r="T3" s="2">
        <v>4500</v>
      </c>
      <c r="U3" s="2">
        <v>10300</v>
      </c>
      <c r="V3" s="2">
        <v>0</v>
      </c>
      <c r="W3" s="2">
        <v>0</v>
      </c>
      <c r="X3" s="2">
        <v>14800</v>
      </c>
      <c r="Y3" s="2">
        <v>0</v>
      </c>
      <c r="Z3" s="2">
        <v>14800</v>
      </c>
      <c r="AA3" s="2">
        <v>5400</v>
      </c>
      <c r="AB3" s="2">
        <v>10300</v>
      </c>
      <c r="AC3" s="2">
        <v>0</v>
      </c>
      <c r="AD3" s="2">
        <v>0</v>
      </c>
      <c r="AE3" s="2">
        <v>15700</v>
      </c>
      <c r="AF3" s="2">
        <v>0</v>
      </c>
      <c r="AG3" s="2">
        <v>15700</v>
      </c>
      <c r="AH3" s="2">
        <v>4860</v>
      </c>
      <c r="AI3" s="2">
        <v>9991</v>
      </c>
      <c r="AJ3" s="2">
        <v>0</v>
      </c>
      <c r="AK3" s="2">
        <v>0</v>
      </c>
      <c r="AL3" s="2">
        <v>14851</v>
      </c>
      <c r="AM3" s="2">
        <v>0</v>
      </c>
      <c r="AN3" s="2">
        <v>14800</v>
      </c>
      <c r="AO3" s="4" t="s">
        <v>63</v>
      </c>
      <c r="AP3" s="4" t="s">
        <v>63</v>
      </c>
      <c r="AQ3" s="4" t="s">
        <v>63</v>
      </c>
      <c r="AR3" s="4" t="s">
        <v>63</v>
      </c>
      <c r="AS3" s="2">
        <v>8911</v>
      </c>
      <c r="AT3" s="2">
        <v>0</v>
      </c>
      <c r="AU3" s="2">
        <v>8911</v>
      </c>
    </row>
    <row r="4" spans="1:47" x14ac:dyDescent="0.4">
      <c r="A4" s="4" t="s">
        <v>46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148</v>
      </c>
      <c r="H4" s="4" t="s">
        <v>149</v>
      </c>
      <c r="I4" s="4" t="s">
        <v>54</v>
      </c>
      <c r="J4" s="4" t="s">
        <v>55</v>
      </c>
      <c r="K4" s="4" t="s">
        <v>150</v>
      </c>
      <c r="L4" s="4" t="s">
        <v>151</v>
      </c>
      <c r="M4" s="4" t="s">
        <v>152</v>
      </c>
      <c r="N4" s="4" t="s">
        <v>153</v>
      </c>
      <c r="O4" s="4" t="s">
        <v>59</v>
      </c>
      <c r="P4" s="4" t="s">
        <v>59</v>
      </c>
      <c r="Q4" s="4" t="s">
        <v>154</v>
      </c>
      <c r="R4" s="4" t="s">
        <v>61</v>
      </c>
      <c r="S4" s="4" t="s">
        <v>64</v>
      </c>
      <c r="T4" s="2">
        <v>0</v>
      </c>
      <c r="U4" s="2">
        <v>9000</v>
      </c>
      <c r="V4" s="2">
        <v>0</v>
      </c>
      <c r="W4" s="2">
        <v>0</v>
      </c>
      <c r="X4" s="2">
        <v>9000</v>
      </c>
      <c r="Y4" s="2">
        <v>0</v>
      </c>
      <c r="Z4" s="2">
        <v>9000</v>
      </c>
      <c r="AA4" s="2">
        <v>0</v>
      </c>
      <c r="AB4" s="2">
        <v>9000</v>
      </c>
      <c r="AC4" s="2">
        <v>0</v>
      </c>
      <c r="AD4" s="2">
        <v>0</v>
      </c>
      <c r="AE4" s="2">
        <v>9000</v>
      </c>
      <c r="AF4" s="2">
        <v>0</v>
      </c>
      <c r="AG4" s="2">
        <v>9000</v>
      </c>
      <c r="AH4" s="2">
        <v>0</v>
      </c>
      <c r="AI4" s="2">
        <v>8730</v>
      </c>
      <c r="AJ4" s="2">
        <v>0</v>
      </c>
      <c r="AK4" s="2">
        <v>0</v>
      </c>
      <c r="AL4" s="2">
        <v>8730</v>
      </c>
      <c r="AM4" s="2">
        <v>0</v>
      </c>
      <c r="AN4" s="2">
        <v>9000</v>
      </c>
      <c r="AO4" s="4" t="s">
        <v>63</v>
      </c>
      <c r="AP4" s="4" t="s">
        <v>63</v>
      </c>
      <c r="AQ4" s="4" t="s">
        <v>63</v>
      </c>
      <c r="AR4" s="4" t="s">
        <v>63</v>
      </c>
      <c r="AS4" s="2">
        <v>5238</v>
      </c>
      <c r="AT4" s="2">
        <v>0</v>
      </c>
      <c r="AU4" s="2">
        <v>5238</v>
      </c>
    </row>
    <row r="5" spans="1:47" x14ac:dyDescent="0.4">
      <c r="A5" s="4" t="s">
        <v>46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148</v>
      </c>
      <c r="H5" s="4" t="s">
        <v>149</v>
      </c>
      <c r="I5" s="4" t="s">
        <v>54</v>
      </c>
      <c r="J5" s="4" t="s">
        <v>55</v>
      </c>
      <c r="K5" s="4" t="s">
        <v>150</v>
      </c>
      <c r="L5" s="4" t="s">
        <v>151</v>
      </c>
      <c r="M5" s="4" t="s">
        <v>152</v>
      </c>
      <c r="N5" s="4" t="s">
        <v>153</v>
      </c>
      <c r="O5" s="4" t="s">
        <v>59</v>
      </c>
      <c r="P5" s="4" t="s">
        <v>59</v>
      </c>
      <c r="Q5" s="4" t="s">
        <v>154</v>
      </c>
      <c r="R5" s="4" t="s">
        <v>61</v>
      </c>
      <c r="S5" s="4" t="s">
        <v>64</v>
      </c>
      <c r="T5" s="2">
        <v>0</v>
      </c>
      <c r="U5" s="2">
        <v>3500</v>
      </c>
      <c r="V5" s="2">
        <v>0</v>
      </c>
      <c r="W5" s="2">
        <v>10000</v>
      </c>
      <c r="X5" s="2">
        <v>3500</v>
      </c>
      <c r="Y5" s="2">
        <v>10000</v>
      </c>
      <c r="Z5" s="2">
        <v>13500</v>
      </c>
      <c r="AA5" s="2">
        <v>0</v>
      </c>
      <c r="AB5" s="2">
        <v>3500</v>
      </c>
      <c r="AC5" s="2">
        <v>0</v>
      </c>
      <c r="AD5" s="2">
        <v>10000</v>
      </c>
      <c r="AE5" s="2">
        <v>3500</v>
      </c>
      <c r="AF5" s="2">
        <v>10000</v>
      </c>
      <c r="AG5" s="2">
        <v>13500</v>
      </c>
      <c r="AH5" s="2">
        <v>0</v>
      </c>
      <c r="AI5" s="2">
        <v>3395</v>
      </c>
      <c r="AJ5" s="2">
        <v>0</v>
      </c>
      <c r="AK5" s="2">
        <v>9000</v>
      </c>
      <c r="AL5" s="2">
        <v>3395</v>
      </c>
      <c r="AM5" s="2">
        <v>9000</v>
      </c>
      <c r="AN5" s="2">
        <v>13500</v>
      </c>
      <c r="AO5" s="4" t="s">
        <v>63</v>
      </c>
      <c r="AP5" s="4" t="s">
        <v>63</v>
      </c>
      <c r="AQ5" s="4" t="s">
        <v>63</v>
      </c>
      <c r="AR5" s="4" t="s">
        <v>63</v>
      </c>
      <c r="AS5" s="2">
        <v>7437</v>
      </c>
      <c r="AT5" s="2">
        <v>0</v>
      </c>
      <c r="AU5" s="2">
        <v>7437</v>
      </c>
    </row>
    <row r="6" spans="1:47" x14ac:dyDescent="0.4">
      <c r="AU6" s="19">
        <f>SUM(AU2:AU5)</f>
        <v>24994</v>
      </c>
    </row>
    <row r="8" spans="1:47" x14ac:dyDescent="0.4">
      <c r="A8" s="6" t="s">
        <v>176</v>
      </c>
      <c r="B8" s="4"/>
      <c r="C8" s="4"/>
      <c r="D8" s="4"/>
    </row>
    <row r="9" spans="1:47" x14ac:dyDescent="0.4">
      <c r="A9" s="9" t="s">
        <v>177</v>
      </c>
      <c r="B9" s="9" t="s">
        <v>203</v>
      </c>
      <c r="C9" s="9" t="s">
        <v>204</v>
      </c>
      <c r="D9" s="9" t="s">
        <v>205</v>
      </c>
    </row>
    <row r="10" spans="1:47" x14ac:dyDescent="0.4">
      <c r="A10" s="10" t="s">
        <v>206</v>
      </c>
      <c r="B10" s="16">
        <v>20000000</v>
      </c>
      <c r="C10" s="31">
        <v>1709126</v>
      </c>
      <c r="D10" s="13">
        <f>B10-C10</f>
        <v>18290874</v>
      </c>
    </row>
    <row r="11" spans="1:47" x14ac:dyDescent="0.4">
      <c r="A11" s="10">
        <v>202204</v>
      </c>
      <c r="B11" s="11"/>
      <c r="C11" s="29">
        <v>4950</v>
      </c>
      <c r="D11" s="13">
        <f>D10-C11</f>
        <v>18285924</v>
      </c>
    </row>
    <row r="12" spans="1:47" x14ac:dyDescent="0.4">
      <c r="A12" s="10">
        <v>202205</v>
      </c>
      <c r="B12" s="20"/>
      <c r="C12" s="27">
        <v>97955</v>
      </c>
      <c r="D12" s="13">
        <f>D11-C12</f>
        <v>18187969</v>
      </c>
    </row>
    <row r="13" spans="1:47" x14ac:dyDescent="0.4">
      <c r="A13" s="28">
        <v>202206</v>
      </c>
      <c r="B13" s="20"/>
      <c r="C13" s="11">
        <f>AU6</f>
        <v>24994</v>
      </c>
      <c r="D13" s="13">
        <f>D12-C13</f>
        <v>18162975</v>
      </c>
    </row>
    <row r="14" spans="1:47" s="4" customFormat="1" x14ac:dyDescent="0.4">
      <c r="A14" s="28"/>
      <c r="B14" s="20"/>
      <c r="C14" s="11"/>
      <c r="D14" s="13"/>
    </row>
    <row r="15" spans="1:47" x14ac:dyDescent="0.4">
      <c r="A15" s="25" t="s">
        <v>181</v>
      </c>
      <c r="B15" s="26">
        <f>SUM(B9:B13)</f>
        <v>20000000</v>
      </c>
      <c r="C15" s="26">
        <f>SUM(C9:C13)</f>
        <v>1837025</v>
      </c>
      <c r="D15" s="26"/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U18"/>
  <sheetViews>
    <sheetView workbookViewId="0">
      <selection activeCell="H16" sqref="H16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2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3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0.1992187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8.5976562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9.19921875" bestFit="1" customWidth="1"/>
  </cols>
  <sheetData>
    <row r="1" spans="1:47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25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5" t="s">
        <v>45</v>
      </c>
    </row>
    <row r="2" spans="1:47" x14ac:dyDescent="0.4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155</v>
      </c>
      <c r="H2" s="4" t="s">
        <v>156</v>
      </c>
      <c r="I2" s="4" t="s">
        <v>54</v>
      </c>
      <c r="J2" s="4" t="s">
        <v>55</v>
      </c>
      <c r="K2" s="4" t="s">
        <v>157</v>
      </c>
      <c r="L2" s="4" t="s">
        <v>158</v>
      </c>
      <c r="M2" s="4" t="s">
        <v>159</v>
      </c>
      <c r="N2" s="4" t="s">
        <v>59</v>
      </c>
      <c r="O2" s="4" t="s">
        <v>59</v>
      </c>
      <c r="P2" s="4" t="s">
        <v>59</v>
      </c>
      <c r="Q2" s="4" t="s">
        <v>160</v>
      </c>
      <c r="R2" s="4" t="s">
        <v>61</v>
      </c>
      <c r="S2" s="4" t="s">
        <v>62</v>
      </c>
      <c r="T2" s="2">
        <v>4600</v>
      </c>
      <c r="U2" s="2">
        <v>7600</v>
      </c>
      <c r="V2" s="2">
        <v>230</v>
      </c>
      <c r="W2" s="2">
        <v>3170</v>
      </c>
      <c r="X2" s="2">
        <v>12430</v>
      </c>
      <c r="Y2" s="2">
        <v>3170</v>
      </c>
      <c r="Z2" s="2">
        <v>15600</v>
      </c>
      <c r="AA2" s="2">
        <v>5520</v>
      </c>
      <c r="AB2" s="2">
        <v>7600</v>
      </c>
      <c r="AC2" s="2">
        <v>276</v>
      </c>
      <c r="AD2" s="2">
        <v>3170</v>
      </c>
      <c r="AE2" s="2">
        <v>13396</v>
      </c>
      <c r="AF2" s="2">
        <v>3170</v>
      </c>
      <c r="AG2" s="2">
        <v>16566</v>
      </c>
      <c r="AH2" s="2">
        <v>4968</v>
      </c>
      <c r="AI2" s="2">
        <v>7372</v>
      </c>
      <c r="AJ2" s="2">
        <v>193.2</v>
      </c>
      <c r="AK2" s="2">
        <v>2853</v>
      </c>
      <c r="AL2" s="2">
        <v>12533.2</v>
      </c>
      <c r="AM2" s="2">
        <v>2853</v>
      </c>
      <c r="AN2" s="2">
        <v>15600</v>
      </c>
      <c r="AO2" s="4" t="s">
        <v>63</v>
      </c>
      <c r="AP2" s="4" t="s">
        <v>63</v>
      </c>
      <c r="AQ2" s="4" t="s">
        <v>63</v>
      </c>
      <c r="AR2" s="4" t="s">
        <v>63</v>
      </c>
      <c r="AS2" s="2">
        <v>9232</v>
      </c>
      <c r="AT2" s="2">
        <v>0</v>
      </c>
      <c r="AU2" s="2">
        <v>9232</v>
      </c>
    </row>
    <row r="3" spans="1:47" x14ac:dyDescent="0.4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155</v>
      </c>
      <c r="H3" s="4" t="s">
        <v>156</v>
      </c>
      <c r="I3" s="4" t="s">
        <v>54</v>
      </c>
      <c r="J3" s="4" t="s">
        <v>55</v>
      </c>
      <c r="K3" s="4" t="s">
        <v>157</v>
      </c>
      <c r="L3" s="4" t="s">
        <v>158</v>
      </c>
      <c r="M3" s="4" t="s">
        <v>159</v>
      </c>
      <c r="N3" s="4" t="s">
        <v>59</v>
      </c>
      <c r="O3" s="4" t="s">
        <v>59</v>
      </c>
      <c r="P3" s="4" t="s">
        <v>59</v>
      </c>
      <c r="Q3" s="4" t="s">
        <v>160</v>
      </c>
      <c r="R3" s="4" t="s">
        <v>61</v>
      </c>
      <c r="S3" s="4" t="s">
        <v>64</v>
      </c>
      <c r="T3" s="2">
        <v>900</v>
      </c>
      <c r="U3" s="2">
        <v>2300</v>
      </c>
      <c r="V3" s="2">
        <v>0</v>
      </c>
      <c r="W3" s="2">
        <v>3600</v>
      </c>
      <c r="X3" s="2">
        <v>3200</v>
      </c>
      <c r="Y3" s="2">
        <v>3600</v>
      </c>
      <c r="Z3" s="2">
        <v>6800</v>
      </c>
      <c r="AA3" s="2">
        <v>1080</v>
      </c>
      <c r="AB3" s="2">
        <v>2300</v>
      </c>
      <c r="AC3" s="2">
        <v>0</v>
      </c>
      <c r="AD3" s="2">
        <v>3600</v>
      </c>
      <c r="AE3" s="2">
        <v>3380</v>
      </c>
      <c r="AF3" s="2">
        <v>3600</v>
      </c>
      <c r="AG3" s="2">
        <v>6980</v>
      </c>
      <c r="AH3" s="2">
        <v>972</v>
      </c>
      <c r="AI3" s="2">
        <v>2231</v>
      </c>
      <c r="AJ3" s="2">
        <v>0</v>
      </c>
      <c r="AK3" s="2">
        <v>3240</v>
      </c>
      <c r="AL3" s="2">
        <v>3203</v>
      </c>
      <c r="AM3" s="2">
        <v>3240</v>
      </c>
      <c r="AN3" s="2">
        <v>6800</v>
      </c>
      <c r="AO3" s="4" t="s">
        <v>63</v>
      </c>
      <c r="AP3" s="4" t="s">
        <v>63</v>
      </c>
      <c r="AQ3" s="4" t="s">
        <v>63</v>
      </c>
      <c r="AR3" s="4" t="s">
        <v>63</v>
      </c>
      <c r="AS3" s="2">
        <v>3866</v>
      </c>
      <c r="AT3" s="2">
        <v>0</v>
      </c>
      <c r="AU3" s="2">
        <v>3866</v>
      </c>
    </row>
    <row r="4" spans="1:47" x14ac:dyDescent="0.4">
      <c r="A4" s="4" t="s">
        <v>46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155</v>
      </c>
      <c r="H4" s="4" t="s">
        <v>156</v>
      </c>
      <c r="I4" s="4" t="s">
        <v>54</v>
      </c>
      <c r="J4" s="4" t="s">
        <v>55</v>
      </c>
      <c r="K4" s="4" t="s">
        <v>157</v>
      </c>
      <c r="L4" s="4" t="s">
        <v>158</v>
      </c>
      <c r="M4" s="4" t="s">
        <v>159</v>
      </c>
      <c r="N4" s="4" t="s">
        <v>59</v>
      </c>
      <c r="O4" s="4" t="s">
        <v>59</v>
      </c>
      <c r="P4" s="4" t="s">
        <v>59</v>
      </c>
      <c r="Q4" s="4" t="s">
        <v>160</v>
      </c>
      <c r="R4" s="4" t="s">
        <v>61</v>
      </c>
      <c r="S4" s="4" t="s">
        <v>64</v>
      </c>
      <c r="T4" s="2">
        <v>5400</v>
      </c>
      <c r="U4" s="2">
        <v>2900</v>
      </c>
      <c r="V4" s="2">
        <v>0</v>
      </c>
      <c r="W4" s="2">
        <v>1000</v>
      </c>
      <c r="X4" s="2">
        <v>8300</v>
      </c>
      <c r="Y4" s="2">
        <v>1000</v>
      </c>
      <c r="Z4" s="2">
        <v>9300</v>
      </c>
      <c r="AA4" s="2">
        <v>6480</v>
      </c>
      <c r="AB4" s="2">
        <v>2900</v>
      </c>
      <c r="AC4" s="2">
        <v>0</v>
      </c>
      <c r="AD4" s="2">
        <v>1000</v>
      </c>
      <c r="AE4" s="2">
        <v>9380</v>
      </c>
      <c r="AF4" s="2">
        <v>1000</v>
      </c>
      <c r="AG4" s="2">
        <v>10380</v>
      </c>
      <c r="AH4" s="2">
        <v>5832</v>
      </c>
      <c r="AI4" s="2">
        <v>2813</v>
      </c>
      <c r="AJ4" s="2">
        <v>0</v>
      </c>
      <c r="AK4" s="2">
        <v>900</v>
      </c>
      <c r="AL4" s="2">
        <v>8645</v>
      </c>
      <c r="AM4" s="2">
        <v>900</v>
      </c>
      <c r="AN4" s="2">
        <v>9300</v>
      </c>
      <c r="AO4" s="4" t="s">
        <v>63</v>
      </c>
      <c r="AP4" s="4" t="s">
        <v>63</v>
      </c>
      <c r="AQ4" s="4" t="s">
        <v>63</v>
      </c>
      <c r="AR4" s="4" t="s">
        <v>63</v>
      </c>
      <c r="AS4" s="2">
        <v>5727</v>
      </c>
      <c r="AT4" s="2">
        <v>0</v>
      </c>
      <c r="AU4" s="2">
        <v>5727</v>
      </c>
    </row>
    <row r="5" spans="1:47" x14ac:dyDescent="0.4">
      <c r="A5" s="4" t="s">
        <v>46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155</v>
      </c>
      <c r="H5" s="4" t="s">
        <v>156</v>
      </c>
      <c r="I5" s="4" t="s">
        <v>54</v>
      </c>
      <c r="J5" s="4" t="s">
        <v>55</v>
      </c>
      <c r="K5" s="4" t="s">
        <v>157</v>
      </c>
      <c r="L5" s="4" t="s">
        <v>158</v>
      </c>
      <c r="M5" s="4" t="s">
        <v>159</v>
      </c>
      <c r="N5" s="4" t="s">
        <v>59</v>
      </c>
      <c r="O5" s="4" t="s">
        <v>59</v>
      </c>
      <c r="P5" s="4" t="s">
        <v>59</v>
      </c>
      <c r="Q5" s="4" t="s">
        <v>160</v>
      </c>
      <c r="R5" s="4" t="s">
        <v>61</v>
      </c>
      <c r="S5" s="4" t="s">
        <v>64</v>
      </c>
      <c r="T5" s="2">
        <v>0</v>
      </c>
      <c r="U5" s="2">
        <v>9000</v>
      </c>
      <c r="V5" s="2">
        <v>0</v>
      </c>
      <c r="W5" s="2">
        <v>0</v>
      </c>
      <c r="X5" s="2">
        <v>9000</v>
      </c>
      <c r="Y5" s="2">
        <v>0</v>
      </c>
      <c r="Z5" s="2">
        <v>9000</v>
      </c>
      <c r="AA5" s="2">
        <v>0</v>
      </c>
      <c r="AB5" s="2">
        <v>9000</v>
      </c>
      <c r="AC5" s="2">
        <v>0</v>
      </c>
      <c r="AD5" s="2">
        <v>0</v>
      </c>
      <c r="AE5" s="2">
        <v>9000</v>
      </c>
      <c r="AF5" s="2">
        <v>0</v>
      </c>
      <c r="AG5" s="2">
        <v>9000</v>
      </c>
      <c r="AH5" s="2">
        <v>0</v>
      </c>
      <c r="AI5" s="2">
        <v>8730</v>
      </c>
      <c r="AJ5" s="2">
        <v>0</v>
      </c>
      <c r="AK5" s="2">
        <v>0</v>
      </c>
      <c r="AL5" s="2">
        <v>8730</v>
      </c>
      <c r="AM5" s="2">
        <v>0</v>
      </c>
      <c r="AN5" s="2">
        <v>9000</v>
      </c>
      <c r="AO5" s="4" t="s">
        <v>63</v>
      </c>
      <c r="AP5" s="4" t="s">
        <v>63</v>
      </c>
      <c r="AQ5" s="4" t="s">
        <v>63</v>
      </c>
      <c r="AR5" s="4" t="s">
        <v>63</v>
      </c>
      <c r="AS5" s="2">
        <v>5238</v>
      </c>
      <c r="AT5" s="2">
        <v>0</v>
      </c>
      <c r="AU5" s="2">
        <v>5238</v>
      </c>
    </row>
    <row r="6" spans="1:47" x14ac:dyDescent="0.4">
      <c r="A6" s="4" t="s">
        <v>46</v>
      </c>
      <c r="B6" s="4" t="s">
        <v>47</v>
      </c>
      <c r="C6" s="4" t="s">
        <v>48</v>
      </c>
      <c r="D6" s="4" t="s">
        <v>49</v>
      </c>
      <c r="E6" s="4" t="s">
        <v>50</v>
      </c>
      <c r="F6" s="4" t="s">
        <v>51</v>
      </c>
      <c r="G6" s="4" t="s">
        <v>155</v>
      </c>
      <c r="H6" s="4" t="s">
        <v>156</v>
      </c>
      <c r="I6" s="4" t="s">
        <v>54</v>
      </c>
      <c r="J6" s="4" t="s">
        <v>55</v>
      </c>
      <c r="K6" s="4" t="s">
        <v>161</v>
      </c>
      <c r="L6" s="4" t="s">
        <v>162</v>
      </c>
      <c r="M6" s="4" t="s">
        <v>163</v>
      </c>
      <c r="N6" s="4" t="s">
        <v>59</v>
      </c>
      <c r="O6" s="4" t="s">
        <v>59</v>
      </c>
      <c r="P6" s="4" t="s">
        <v>59</v>
      </c>
      <c r="Q6" s="4" t="s">
        <v>160</v>
      </c>
      <c r="R6" s="4" t="s">
        <v>61</v>
      </c>
      <c r="S6" s="4" t="s">
        <v>62</v>
      </c>
      <c r="T6" s="2">
        <v>170190</v>
      </c>
      <c r="U6" s="2">
        <v>276110</v>
      </c>
      <c r="V6" s="2">
        <v>18900</v>
      </c>
      <c r="W6" s="2">
        <v>482700</v>
      </c>
      <c r="X6" s="2">
        <v>465200</v>
      </c>
      <c r="Y6" s="2">
        <v>482700</v>
      </c>
      <c r="Z6" s="2">
        <v>947900</v>
      </c>
      <c r="AA6" s="2">
        <v>204228</v>
      </c>
      <c r="AB6" s="2">
        <v>276110</v>
      </c>
      <c r="AC6" s="2">
        <v>22260</v>
      </c>
      <c r="AD6" s="2">
        <v>482700</v>
      </c>
      <c r="AE6" s="2">
        <v>502598</v>
      </c>
      <c r="AF6" s="2">
        <v>482700</v>
      </c>
      <c r="AG6" s="2">
        <v>985298</v>
      </c>
      <c r="AH6" s="2">
        <v>183805.2</v>
      </c>
      <c r="AI6" s="2">
        <v>267826.7</v>
      </c>
      <c r="AJ6" s="2">
        <v>15582</v>
      </c>
      <c r="AK6" s="2">
        <v>434430</v>
      </c>
      <c r="AL6" s="2">
        <v>467213.9</v>
      </c>
      <c r="AM6" s="2">
        <v>434430</v>
      </c>
      <c r="AN6" s="2">
        <v>947900</v>
      </c>
      <c r="AO6" s="4" t="s">
        <v>63</v>
      </c>
      <c r="AP6" s="4" t="s">
        <v>63</v>
      </c>
      <c r="AQ6" s="4" t="s">
        <v>63</v>
      </c>
      <c r="AR6" s="4" t="s">
        <v>63</v>
      </c>
      <c r="AS6" s="2">
        <v>540986</v>
      </c>
      <c r="AT6" s="2">
        <v>0</v>
      </c>
      <c r="AU6" s="2">
        <v>540986</v>
      </c>
    </row>
    <row r="7" spans="1:47" x14ac:dyDescent="0.4">
      <c r="A7" s="4" t="s">
        <v>46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155</v>
      </c>
      <c r="H7" s="4" t="s">
        <v>156</v>
      </c>
      <c r="I7" s="4" t="s">
        <v>54</v>
      </c>
      <c r="J7" s="4" t="s">
        <v>55</v>
      </c>
      <c r="K7" s="4" t="s">
        <v>161</v>
      </c>
      <c r="L7" s="4" t="s">
        <v>162</v>
      </c>
      <c r="M7" s="4" t="s">
        <v>163</v>
      </c>
      <c r="N7" s="4" t="s">
        <v>59</v>
      </c>
      <c r="O7" s="4" t="s">
        <v>59</v>
      </c>
      <c r="P7" s="4" t="s">
        <v>59</v>
      </c>
      <c r="Q7" s="4" t="s">
        <v>160</v>
      </c>
      <c r="R7" s="4" t="s">
        <v>61</v>
      </c>
      <c r="S7" s="4" t="s">
        <v>64</v>
      </c>
      <c r="T7" s="2">
        <v>84880</v>
      </c>
      <c r="U7" s="2">
        <v>150380</v>
      </c>
      <c r="V7" s="2">
        <v>5900</v>
      </c>
      <c r="W7" s="2">
        <v>94140</v>
      </c>
      <c r="X7" s="2">
        <v>241160</v>
      </c>
      <c r="Y7" s="2">
        <v>94140</v>
      </c>
      <c r="Z7" s="2">
        <v>335300</v>
      </c>
      <c r="AA7" s="2">
        <v>101856</v>
      </c>
      <c r="AB7" s="2">
        <v>150380</v>
      </c>
      <c r="AC7" s="2">
        <v>7060</v>
      </c>
      <c r="AD7" s="2">
        <v>94140</v>
      </c>
      <c r="AE7" s="2">
        <v>259296</v>
      </c>
      <c r="AF7" s="2">
        <v>94140</v>
      </c>
      <c r="AG7" s="2">
        <v>353436</v>
      </c>
      <c r="AH7" s="2">
        <v>91670.399999999994</v>
      </c>
      <c r="AI7" s="2">
        <v>145868.6</v>
      </c>
      <c r="AJ7" s="2">
        <v>4942</v>
      </c>
      <c r="AK7" s="2">
        <v>84726</v>
      </c>
      <c r="AL7" s="2">
        <v>242481</v>
      </c>
      <c r="AM7" s="2">
        <v>84726</v>
      </c>
      <c r="AN7" s="2">
        <v>335300</v>
      </c>
      <c r="AO7" s="4" t="s">
        <v>63</v>
      </c>
      <c r="AP7" s="4" t="s">
        <v>63</v>
      </c>
      <c r="AQ7" s="4" t="s">
        <v>63</v>
      </c>
      <c r="AR7" s="4" t="s">
        <v>63</v>
      </c>
      <c r="AS7" s="2">
        <v>196324</v>
      </c>
      <c r="AT7" s="2">
        <v>0</v>
      </c>
      <c r="AU7" s="2">
        <v>196324</v>
      </c>
    </row>
    <row r="8" spans="1:47" x14ac:dyDescent="0.4">
      <c r="A8" s="4" t="s">
        <v>46</v>
      </c>
      <c r="B8" s="4" t="s">
        <v>47</v>
      </c>
      <c r="C8" s="4" t="s">
        <v>48</v>
      </c>
      <c r="D8" s="4" t="s">
        <v>49</v>
      </c>
      <c r="E8" s="4" t="s">
        <v>50</v>
      </c>
      <c r="F8" s="4" t="s">
        <v>51</v>
      </c>
      <c r="G8" s="4" t="s">
        <v>155</v>
      </c>
      <c r="H8" s="4" t="s">
        <v>156</v>
      </c>
      <c r="I8" s="4" t="s">
        <v>54</v>
      </c>
      <c r="J8" s="4" t="s">
        <v>55</v>
      </c>
      <c r="K8" s="4" t="s">
        <v>161</v>
      </c>
      <c r="L8" s="4" t="s">
        <v>162</v>
      </c>
      <c r="M8" s="4" t="s">
        <v>163</v>
      </c>
      <c r="N8" s="4" t="s">
        <v>59</v>
      </c>
      <c r="O8" s="4" t="s">
        <v>59</v>
      </c>
      <c r="P8" s="4" t="s">
        <v>59</v>
      </c>
      <c r="Q8" s="4" t="s">
        <v>160</v>
      </c>
      <c r="R8" s="4" t="s">
        <v>61</v>
      </c>
      <c r="S8" s="4" t="s">
        <v>64</v>
      </c>
      <c r="T8" s="2">
        <v>60440</v>
      </c>
      <c r="U8" s="2">
        <v>58980</v>
      </c>
      <c r="V8" s="2">
        <v>5400</v>
      </c>
      <c r="W8" s="2">
        <v>48180</v>
      </c>
      <c r="X8" s="2">
        <v>124820</v>
      </c>
      <c r="Y8" s="2">
        <v>48180</v>
      </c>
      <c r="Z8" s="2">
        <v>173000</v>
      </c>
      <c r="AA8" s="2">
        <v>72528</v>
      </c>
      <c r="AB8" s="2">
        <v>58980</v>
      </c>
      <c r="AC8" s="2">
        <v>6210</v>
      </c>
      <c r="AD8" s="2">
        <v>48180</v>
      </c>
      <c r="AE8" s="2">
        <v>137718</v>
      </c>
      <c r="AF8" s="2">
        <v>48180</v>
      </c>
      <c r="AG8" s="2">
        <v>185898</v>
      </c>
      <c r="AH8" s="2">
        <v>65275.199999999997</v>
      </c>
      <c r="AI8" s="2">
        <v>57210.6</v>
      </c>
      <c r="AJ8" s="2">
        <v>4347</v>
      </c>
      <c r="AK8" s="2">
        <v>43362</v>
      </c>
      <c r="AL8" s="2">
        <v>126832.8</v>
      </c>
      <c r="AM8" s="2">
        <v>43362</v>
      </c>
      <c r="AN8" s="2">
        <v>173000</v>
      </c>
      <c r="AO8" s="4" t="s">
        <v>63</v>
      </c>
      <c r="AP8" s="4" t="s">
        <v>63</v>
      </c>
      <c r="AQ8" s="4" t="s">
        <v>63</v>
      </c>
      <c r="AR8" s="4" t="s">
        <v>63</v>
      </c>
      <c r="AS8" s="2">
        <v>102116</v>
      </c>
      <c r="AT8" s="2">
        <v>0</v>
      </c>
      <c r="AU8" s="2">
        <v>102116</v>
      </c>
    </row>
    <row r="9" spans="1:47" x14ac:dyDescent="0.4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155</v>
      </c>
      <c r="H9" s="4" t="s">
        <v>156</v>
      </c>
      <c r="I9" s="4" t="s">
        <v>54</v>
      </c>
      <c r="J9" s="4" t="s">
        <v>55</v>
      </c>
      <c r="K9" s="4" t="s">
        <v>161</v>
      </c>
      <c r="L9" s="4" t="s">
        <v>162</v>
      </c>
      <c r="M9" s="4" t="s">
        <v>163</v>
      </c>
      <c r="N9" s="4" t="s">
        <v>59</v>
      </c>
      <c r="O9" s="4" t="s">
        <v>59</v>
      </c>
      <c r="P9" s="4" t="s">
        <v>59</v>
      </c>
      <c r="Q9" s="4" t="s">
        <v>160</v>
      </c>
      <c r="R9" s="4" t="s">
        <v>61</v>
      </c>
      <c r="S9" s="4" t="s">
        <v>64</v>
      </c>
      <c r="T9" s="2">
        <v>112900</v>
      </c>
      <c r="U9" s="2">
        <v>112780</v>
      </c>
      <c r="V9" s="2">
        <v>7200</v>
      </c>
      <c r="W9" s="2">
        <v>33120</v>
      </c>
      <c r="X9" s="2">
        <v>232880</v>
      </c>
      <c r="Y9" s="2">
        <v>33120</v>
      </c>
      <c r="Z9" s="2">
        <v>266000</v>
      </c>
      <c r="AA9" s="2">
        <v>135480</v>
      </c>
      <c r="AB9" s="2">
        <v>112780</v>
      </c>
      <c r="AC9" s="2">
        <v>8620</v>
      </c>
      <c r="AD9" s="2">
        <v>33120</v>
      </c>
      <c r="AE9" s="2">
        <v>256880</v>
      </c>
      <c r="AF9" s="2">
        <v>33120</v>
      </c>
      <c r="AG9" s="2">
        <v>290000</v>
      </c>
      <c r="AH9" s="2">
        <v>121932</v>
      </c>
      <c r="AI9" s="2">
        <v>109396.6</v>
      </c>
      <c r="AJ9" s="2">
        <v>6034</v>
      </c>
      <c r="AK9" s="2">
        <v>29808</v>
      </c>
      <c r="AL9" s="2">
        <v>237362.6</v>
      </c>
      <c r="AM9" s="2">
        <v>29808</v>
      </c>
      <c r="AN9" s="2">
        <v>266000</v>
      </c>
      <c r="AO9" s="4" t="s">
        <v>63</v>
      </c>
      <c r="AP9" s="4" t="s">
        <v>63</v>
      </c>
      <c r="AQ9" s="4" t="s">
        <v>63</v>
      </c>
      <c r="AR9" s="4" t="s">
        <v>63</v>
      </c>
      <c r="AS9" s="2">
        <v>160302</v>
      </c>
      <c r="AT9" s="2">
        <v>0</v>
      </c>
      <c r="AU9" s="2">
        <v>160302</v>
      </c>
    </row>
    <row r="10" spans="1:47" x14ac:dyDescent="0.4">
      <c r="AU10" s="19">
        <f>SUM(AU2:AU9)</f>
        <v>1023791</v>
      </c>
    </row>
    <row r="12" spans="1:47" x14ac:dyDescent="0.4">
      <c r="A12" s="6" t="s">
        <v>176</v>
      </c>
      <c r="B12" s="4"/>
      <c r="C12" s="4"/>
      <c r="D12" s="4"/>
    </row>
    <row r="13" spans="1:47" x14ac:dyDescent="0.4">
      <c r="A13" s="9" t="s">
        <v>177</v>
      </c>
      <c r="B13" s="9" t="s">
        <v>178</v>
      </c>
      <c r="C13" s="9" t="s">
        <v>207</v>
      </c>
      <c r="D13" s="9" t="s">
        <v>208</v>
      </c>
    </row>
    <row r="14" spans="1:47" x14ac:dyDescent="0.4">
      <c r="A14" s="10">
        <v>202204</v>
      </c>
      <c r="B14" s="11">
        <v>10000000</v>
      </c>
      <c r="C14" s="29">
        <v>7634038</v>
      </c>
      <c r="D14" s="13">
        <f>B14-C14</f>
        <v>2365962</v>
      </c>
    </row>
    <row r="15" spans="1:47" x14ac:dyDescent="0.4">
      <c r="A15" s="10">
        <v>202205</v>
      </c>
      <c r="B15" s="11">
        <v>10000000</v>
      </c>
      <c r="C15" s="29">
        <v>1625952</v>
      </c>
      <c r="D15" s="13">
        <f>D14+B15-C15</f>
        <v>10740010</v>
      </c>
    </row>
    <row r="16" spans="1:47" x14ac:dyDescent="0.4">
      <c r="A16" s="10">
        <v>202206</v>
      </c>
      <c r="B16" s="20"/>
      <c r="C16" s="11">
        <f>AU10</f>
        <v>1023791</v>
      </c>
      <c r="D16" s="13">
        <f>D15+B16-C16</f>
        <v>9716219</v>
      </c>
    </row>
    <row r="17" spans="1:4" x14ac:dyDescent="0.4">
      <c r="A17" s="28"/>
      <c r="B17" s="20"/>
      <c r="C17" s="11"/>
      <c r="D17" s="13"/>
    </row>
    <row r="18" spans="1:4" x14ac:dyDescent="0.4">
      <c r="A18" s="25" t="s">
        <v>209</v>
      </c>
      <c r="B18" s="26">
        <f>SUM(B13:B17)</f>
        <v>20000000</v>
      </c>
      <c r="C18" s="26">
        <f>SUM(C13:C17)</f>
        <v>10283781</v>
      </c>
      <c r="D18" s="26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U19"/>
  <sheetViews>
    <sheetView workbookViewId="0">
      <selection activeCell="A8" sqref="A8:D9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2" bestFit="1" customWidth="1"/>
    <col min="4" max="4" width="10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5.6992187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25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5" t="s">
        <v>45</v>
      </c>
    </row>
    <row r="2" spans="1:47" x14ac:dyDescent="0.4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123</v>
      </c>
      <c r="H2" s="4" t="s">
        <v>124</v>
      </c>
      <c r="I2" s="4" t="s">
        <v>54</v>
      </c>
      <c r="J2" s="4" t="s">
        <v>55</v>
      </c>
      <c r="K2" s="4" t="s">
        <v>125</v>
      </c>
      <c r="L2" s="4" t="s">
        <v>126</v>
      </c>
      <c r="M2" s="4" t="s">
        <v>127</v>
      </c>
      <c r="N2" s="4" t="s">
        <v>59</v>
      </c>
      <c r="O2" s="4" t="s">
        <v>59</v>
      </c>
      <c r="P2" s="4" t="s">
        <v>59</v>
      </c>
      <c r="Q2" s="4" t="s">
        <v>128</v>
      </c>
      <c r="R2" s="4" t="s">
        <v>61</v>
      </c>
      <c r="S2" s="4" t="s">
        <v>62</v>
      </c>
      <c r="T2" s="2">
        <v>31770</v>
      </c>
      <c r="U2" s="2">
        <v>45710</v>
      </c>
      <c r="V2" s="2">
        <v>5200</v>
      </c>
      <c r="W2" s="2">
        <v>78820</v>
      </c>
      <c r="X2" s="2">
        <v>82680</v>
      </c>
      <c r="Y2" s="2">
        <v>78820</v>
      </c>
      <c r="Z2" s="2">
        <v>161500</v>
      </c>
      <c r="AA2" s="2">
        <v>38124</v>
      </c>
      <c r="AB2" s="2">
        <v>45710</v>
      </c>
      <c r="AC2" s="2">
        <v>6240</v>
      </c>
      <c r="AD2" s="2">
        <v>78820</v>
      </c>
      <c r="AE2" s="2">
        <v>90074</v>
      </c>
      <c r="AF2" s="2">
        <v>78820</v>
      </c>
      <c r="AG2" s="2">
        <v>168894</v>
      </c>
      <c r="AH2" s="2">
        <v>34311.599999999999</v>
      </c>
      <c r="AI2" s="2">
        <v>44338.7</v>
      </c>
      <c r="AJ2" s="2">
        <v>4368</v>
      </c>
      <c r="AK2" s="2">
        <v>70938</v>
      </c>
      <c r="AL2" s="2">
        <v>83018.3</v>
      </c>
      <c r="AM2" s="2">
        <v>70938</v>
      </c>
      <c r="AN2" s="2">
        <v>161500</v>
      </c>
      <c r="AO2" s="4" t="s">
        <v>63</v>
      </c>
      <c r="AP2" s="4" t="s">
        <v>63</v>
      </c>
      <c r="AQ2" s="4" t="s">
        <v>63</v>
      </c>
      <c r="AR2" s="4" t="s">
        <v>63</v>
      </c>
      <c r="AS2" s="2">
        <v>92374</v>
      </c>
      <c r="AT2" s="2">
        <v>0</v>
      </c>
      <c r="AU2" s="2">
        <v>92374</v>
      </c>
    </row>
    <row r="3" spans="1:47" x14ac:dyDescent="0.4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123</v>
      </c>
      <c r="H3" s="4" t="s">
        <v>124</v>
      </c>
      <c r="I3" s="4" t="s">
        <v>54</v>
      </c>
      <c r="J3" s="4" t="s">
        <v>55</v>
      </c>
      <c r="K3" s="4" t="s">
        <v>125</v>
      </c>
      <c r="L3" s="4" t="s">
        <v>126</v>
      </c>
      <c r="M3" s="4" t="s">
        <v>127</v>
      </c>
      <c r="N3" s="4" t="s">
        <v>59</v>
      </c>
      <c r="O3" s="4" t="s">
        <v>59</v>
      </c>
      <c r="P3" s="4" t="s">
        <v>59</v>
      </c>
      <c r="Q3" s="4" t="s">
        <v>128</v>
      </c>
      <c r="R3" s="4" t="s">
        <v>61</v>
      </c>
      <c r="S3" s="4" t="s">
        <v>64</v>
      </c>
      <c r="T3" s="2">
        <v>13260</v>
      </c>
      <c r="U3" s="2">
        <v>39200</v>
      </c>
      <c r="V3" s="2">
        <v>1900</v>
      </c>
      <c r="W3" s="2">
        <v>18940</v>
      </c>
      <c r="X3" s="2">
        <v>54360</v>
      </c>
      <c r="Y3" s="2">
        <v>18940</v>
      </c>
      <c r="Z3" s="2">
        <v>73300</v>
      </c>
      <c r="AA3" s="2">
        <v>15912</v>
      </c>
      <c r="AB3" s="2">
        <v>39200</v>
      </c>
      <c r="AC3" s="2">
        <v>2280</v>
      </c>
      <c r="AD3" s="2">
        <v>18940</v>
      </c>
      <c r="AE3" s="2">
        <v>57392</v>
      </c>
      <c r="AF3" s="2">
        <v>18940</v>
      </c>
      <c r="AG3" s="2">
        <v>76332</v>
      </c>
      <c r="AH3" s="2">
        <v>14320.8</v>
      </c>
      <c r="AI3" s="2">
        <v>38024</v>
      </c>
      <c r="AJ3" s="2">
        <v>1596</v>
      </c>
      <c r="AK3" s="2">
        <v>17046</v>
      </c>
      <c r="AL3" s="2">
        <v>53940.800000000003</v>
      </c>
      <c r="AM3" s="2">
        <v>17046</v>
      </c>
      <c r="AN3" s="2">
        <v>73300</v>
      </c>
      <c r="AO3" s="4" t="s">
        <v>63</v>
      </c>
      <c r="AP3" s="4" t="s">
        <v>63</v>
      </c>
      <c r="AQ3" s="4" t="s">
        <v>63</v>
      </c>
      <c r="AR3" s="4" t="s">
        <v>63</v>
      </c>
      <c r="AS3" s="2">
        <v>42592</v>
      </c>
      <c r="AT3" s="2">
        <v>0</v>
      </c>
      <c r="AU3" s="2">
        <v>42592</v>
      </c>
    </row>
    <row r="4" spans="1:47" x14ac:dyDescent="0.4">
      <c r="A4" s="4" t="s">
        <v>46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123</v>
      </c>
      <c r="H4" s="4" t="s">
        <v>124</v>
      </c>
      <c r="I4" s="4" t="s">
        <v>54</v>
      </c>
      <c r="J4" s="4" t="s">
        <v>55</v>
      </c>
      <c r="K4" s="4" t="s">
        <v>125</v>
      </c>
      <c r="L4" s="4" t="s">
        <v>126</v>
      </c>
      <c r="M4" s="4" t="s">
        <v>127</v>
      </c>
      <c r="N4" s="4" t="s">
        <v>59</v>
      </c>
      <c r="O4" s="4" t="s">
        <v>59</v>
      </c>
      <c r="P4" s="4" t="s">
        <v>59</v>
      </c>
      <c r="Q4" s="4" t="s">
        <v>128</v>
      </c>
      <c r="R4" s="4" t="s">
        <v>61</v>
      </c>
      <c r="S4" s="4" t="s">
        <v>64</v>
      </c>
      <c r="T4" s="2">
        <v>4600</v>
      </c>
      <c r="U4" s="2">
        <v>5400</v>
      </c>
      <c r="V4" s="2">
        <v>0</v>
      </c>
      <c r="W4" s="2">
        <v>3800</v>
      </c>
      <c r="X4" s="2">
        <v>10000</v>
      </c>
      <c r="Y4" s="2">
        <v>3800</v>
      </c>
      <c r="Z4" s="2">
        <v>13800</v>
      </c>
      <c r="AA4" s="2">
        <v>5520</v>
      </c>
      <c r="AB4" s="2">
        <v>5400</v>
      </c>
      <c r="AC4" s="2">
        <v>0</v>
      </c>
      <c r="AD4" s="2">
        <v>3800</v>
      </c>
      <c r="AE4" s="2">
        <v>10920</v>
      </c>
      <c r="AF4" s="2">
        <v>3800</v>
      </c>
      <c r="AG4" s="2">
        <v>14720</v>
      </c>
      <c r="AH4" s="2">
        <v>4968</v>
      </c>
      <c r="AI4" s="2">
        <v>5238</v>
      </c>
      <c r="AJ4" s="2">
        <v>0</v>
      </c>
      <c r="AK4" s="2">
        <v>3420</v>
      </c>
      <c r="AL4" s="2">
        <v>10206</v>
      </c>
      <c r="AM4" s="2">
        <v>3420</v>
      </c>
      <c r="AN4" s="2">
        <v>13800</v>
      </c>
      <c r="AO4" s="4" t="s">
        <v>63</v>
      </c>
      <c r="AP4" s="4" t="s">
        <v>63</v>
      </c>
      <c r="AQ4" s="4" t="s">
        <v>63</v>
      </c>
      <c r="AR4" s="4" t="s">
        <v>63</v>
      </c>
      <c r="AS4" s="2">
        <v>8176</v>
      </c>
      <c r="AT4" s="2">
        <v>0</v>
      </c>
      <c r="AU4" s="2">
        <v>8176</v>
      </c>
    </row>
    <row r="5" spans="1:47" x14ac:dyDescent="0.4">
      <c r="A5" s="4" t="s">
        <v>46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123</v>
      </c>
      <c r="H5" s="4" t="s">
        <v>124</v>
      </c>
      <c r="I5" s="4" t="s">
        <v>54</v>
      </c>
      <c r="J5" s="4" t="s">
        <v>55</v>
      </c>
      <c r="K5" s="4" t="s">
        <v>125</v>
      </c>
      <c r="L5" s="4" t="s">
        <v>126</v>
      </c>
      <c r="M5" s="4" t="s">
        <v>127</v>
      </c>
      <c r="N5" s="4" t="s">
        <v>59</v>
      </c>
      <c r="O5" s="4" t="s">
        <v>59</v>
      </c>
      <c r="P5" s="4" t="s">
        <v>59</v>
      </c>
      <c r="Q5" s="4" t="s">
        <v>128</v>
      </c>
      <c r="R5" s="4" t="s">
        <v>61</v>
      </c>
      <c r="S5" s="4" t="s">
        <v>64</v>
      </c>
      <c r="T5" s="2">
        <v>14400</v>
      </c>
      <c r="U5" s="2">
        <v>14400</v>
      </c>
      <c r="V5" s="2">
        <v>0</v>
      </c>
      <c r="W5" s="2">
        <v>0</v>
      </c>
      <c r="X5" s="2">
        <v>28800</v>
      </c>
      <c r="Y5" s="2">
        <v>0</v>
      </c>
      <c r="Z5" s="2">
        <v>28800</v>
      </c>
      <c r="AA5" s="2">
        <v>17280</v>
      </c>
      <c r="AB5" s="2">
        <v>14400</v>
      </c>
      <c r="AC5" s="2">
        <v>0</v>
      </c>
      <c r="AD5" s="2">
        <v>0</v>
      </c>
      <c r="AE5" s="2">
        <v>31680</v>
      </c>
      <c r="AF5" s="2">
        <v>0</v>
      </c>
      <c r="AG5" s="2">
        <v>31680</v>
      </c>
      <c r="AH5" s="2">
        <v>15552</v>
      </c>
      <c r="AI5" s="2">
        <v>13968</v>
      </c>
      <c r="AJ5" s="2">
        <v>0</v>
      </c>
      <c r="AK5" s="2">
        <v>0</v>
      </c>
      <c r="AL5" s="2">
        <v>29520</v>
      </c>
      <c r="AM5" s="2">
        <v>0</v>
      </c>
      <c r="AN5" s="2">
        <v>28800</v>
      </c>
      <c r="AO5" s="4" t="s">
        <v>63</v>
      </c>
      <c r="AP5" s="4" t="s">
        <v>63</v>
      </c>
      <c r="AQ5" s="4" t="s">
        <v>63</v>
      </c>
      <c r="AR5" s="4" t="s">
        <v>63</v>
      </c>
      <c r="AS5" s="2">
        <v>17712</v>
      </c>
      <c r="AT5" s="2">
        <v>0</v>
      </c>
      <c r="AU5" s="2">
        <v>17712</v>
      </c>
    </row>
    <row r="6" spans="1:47" x14ac:dyDescent="0.4">
      <c r="AU6" s="19">
        <f>SUM(AU2:AU5)</f>
        <v>160854</v>
      </c>
    </row>
    <row r="8" spans="1:47" x14ac:dyDescent="0.4">
      <c r="A8" s="6" t="s">
        <v>196</v>
      </c>
      <c r="B8" s="7"/>
      <c r="C8" s="7"/>
      <c r="D8" s="8"/>
    </row>
    <row r="9" spans="1:47" x14ac:dyDescent="0.4">
      <c r="A9" s="9" t="s">
        <v>177</v>
      </c>
      <c r="B9" s="9" t="s">
        <v>178</v>
      </c>
      <c r="C9" s="9" t="s">
        <v>210</v>
      </c>
      <c r="D9" s="9" t="s">
        <v>211</v>
      </c>
    </row>
    <row r="10" spans="1:47" x14ac:dyDescent="0.4">
      <c r="A10" s="10">
        <v>202110</v>
      </c>
      <c r="B10" s="11">
        <v>10000000</v>
      </c>
      <c r="C10" s="11">
        <v>7140751</v>
      </c>
      <c r="D10" s="13">
        <f>B10-C10</f>
        <v>2859249</v>
      </c>
    </row>
    <row r="11" spans="1:47" x14ac:dyDescent="0.4">
      <c r="A11" s="10">
        <v>202111</v>
      </c>
      <c r="B11" s="11">
        <v>10000000</v>
      </c>
      <c r="C11" s="11">
        <v>3430957</v>
      </c>
      <c r="D11" s="13">
        <f>D10+B11-C11</f>
        <v>9428292</v>
      </c>
    </row>
    <row r="12" spans="1:47" x14ac:dyDescent="0.4">
      <c r="A12" s="10">
        <v>202112</v>
      </c>
      <c r="B12" s="11"/>
      <c r="C12" s="11">
        <v>816063</v>
      </c>
      <c r="D12" s="13">
        <f>D11+B12-C12</f>
        <v>8612229</v>
      </c>
    </row>
    <row r="13" spans="1:47" x14ac:dyDescent="0.4">
      <c r="A13" s="10">
        <v>202201</v>
      </c>
      <c r="B13" s="11"/>
      <c r="C13" s="11">
        <v>877784</v>
      </c>
      <c r="D13" s="13">
        <f t="shared" ref="D13:D18" si="0">D12-C13</f>
        <v>7734445</v>
      </c>
    </row>
    <row r="14" spans="1:47" x14ac:dyDescent="0.4">
      <c r="A14" s="10">
        <v>202202</v>
      </c>
      <c r="B14" s="11"/>
      <c r="C14" s="27">
        <v>320090</v>
      </c>
      <c r="D14" s="13">
        <f t="shared" si="0"/>
        <v>7414355</v>
      </c>
    </row>
    <row r="15" spans="1:47" x14ac:dyDescent="0.4">
      <c r="A15" s="10">
        <v>202203</v>
      </c>
      <c r="B15" s="20"/>
      <c r="C15" s="30">
        <v>186577</v>
      </c>
      <c r="D15" s="13">
        <f t="shared" si="0"/>
        <v>7227778</v>
      </c>
    </row>
    <row r="16" spans="1:47" x14ac:dyDescent="0.4">
      <c r="A16" s="10">
        <v>202204</v>
      </c>
      <c r="B16" s="20"/>
      <c r="C16" s="32">
        <v>75307</v>
      </c>
      <c r="D16" s="13">
        <f t="shared" si="0"/>
        <v>7152471</v>
      </c>
    </row>
    <row r="17" spans="1:4" x14ac:dyDescent="0.4">
      <c r="A17" s="28">
        <v>202205</v>
      </c>
      <c r="B17" s="20"/>
      <c r="C17" s="34">
        <v>811157</v>
      </c>
      <c r="D17" s="13">
        <f t="shared" si="0"/>
        <v>6341314</v>
      </c>
    </row>
    <row r="18" spans="1:4" s="4" customFormat="1" x14ac:dyDescent="0.4">
      <c r="A18" s="33">
        <v>202206</v>
      </c>
      <c r="B18" s="20"/>
      <c r="C18" s="32">
        <f>AU6</f>
        <v>160854</v>
      </c>
      <c r="D18" s="13">
        <f t="shared" si="0"/>
        <v>6180460</v>
      </c>
    </row>
    <row r="19" spans="1:4" x14ac:dyDescent="0.4">
      <c r="A19" s="25" t="s">
        <v>202</v>
      </c>
      <c r="B19" s="26">
        <f>SUM(B10:B18)</f>
        <v>20000000</v>
      </c>
      <c r="C19" s="26">
        <f>SUM(C10:C18)</f>
        <v>13819540</v>
      </c>
      <c r="D19" s="26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U12"/>
  <sheetViews>
    <sheetView workbookViewId="0">
      <selection activeCell="E22" sqref="E22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4.0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9.19921875" bestFit="1" customWidth="1"/>
    <col min="46" max="46" width="5" bestFit="1" customWidth="1"/>
    <col min="47" max="47" width="9.19921875" bestFit="1" customWidth="1"/>
  </cols>
  <sheetData>
    <row r="1" spans="1:47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25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5" t="s">
        <v>45</v>
      </c>
    </row>
    <row r="2" spans="1:47" x14ac:dyDescent="0.4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164</v>
      </c>
      <c r="H2" s="4" t="s">
        <v>165</v>
      </c>
      <c r="I2" s="4" t="s">
        <v>54</v>
      </c>
      <c r="J2" s="4" t="s">
        <v>55</v>
      </c>
      <c r="K2" s="4" t="s">
        <v>166</v>
      </c>
      <c r="L2" s="4" t="s">
        <v>167</v>
      </c>
      <c r="M2" s="4" t="s">
        <v>168</v>
      </c>
      <c r="N2" s="4" t="s">
        <v>59</v>
      </c>
      <c r="O2" s="4" t="s">
        <v>59</v>
      </c>
      <c r="P2" s="4" t="s">
        <v>59</v>
      </c>
      <c r="Q2" s="4" t="s">
        <v>169</v>
      </c>
      <c r="R2" s="4" t="s">
        <v>61</v>
      </c>
      <c r="S2" s="4" t="s">
        <v>62</v>
      </c>
      <c r="T2" s="2">
        <v>1170500</v>
      </c>
      <c r="U2" s="2">
        <v>1353660</v>
      </c>
      <c r="V2" s="2">
        <v>107000</v>
      </c>
      <c r="W2" s="2">
        <v>3596640</v>
      </c>
      <c r="X2" s="2">
        <v>2631160</v>
      </c>
      <c r="Y2" s="2">
        <v>3596640</v>
      </c>
      <c r="Z2" s="2">
        <v>6227800</v>
      </c>
      <c r="AA2" s="2">
        <v>1404600</v>
      </c>
      <c r="AB2" s="2">
        <v>1353660</v>
      </c>
      <c r="AC2" s="2">
        <v>127213</v>
      </c>
      <c r="AD2" s="2">
        <v>3596640</v>
      </c>
      <c r="AE2" s="2">
        <v>2885473</v>
      </c>
      <c r="AF2" s="2">
        <v>3596640</v>
      </c>
      <c r="AG2" s="2">
        <v>6482113</v>
      </c>
      <c r="AH2" s="2">
        <v>1264140</v>
      </c>
      <c r="AI2" s="2">
        <v>1313050.2</v>
      </c>
      <c r="AJ2" s="2">
        <v>89049.1</v>
      </c>
      <c r="AK2" s="2">
        <v>3236976</v>
      </c>
      <c r="AL2" s="2">
        <v>2666239.2999999998</v>
      </c>
      <c r="AM2" s="2">
        <v>3236976</v>
      </c>
      <c r="AN2" s="2">
        <v>6227800</v>
      </c>
      <c r="AO2" s="4" t="s">
        <v>63</v>
      </c>
      <c r="AP2" s="4" t="s">
        <v>63</v>
      </c>
      <c r="AQ2" s="4" t="s">
        <v>63</v>
      </c>
      <c r="AR2" s="4" t="s">
        <v>63</v>
      </c>
      <c r="AS2" s="2">
        <v>3541929</v>
      </c>
      <c r="AT2" s="2">
        <v>0</v>
      </c>
      <c r="AU2" s="2">
        <v>3541929</v>
      </c>
    </row>
    <row r="3" spans="1:47" x14ac:dyDescent="0.4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164</v>
      </c>
      <c r="H3" s="4" t="s">
        <v>165</v>
      </c>
      <c r="I3" s="4" t="s">
        <v>54</v>
      </c>
      <c r="J3" s="4" t="s">
        <v>55</v>
      </c>
      <c r="K3" s="4" t="s">
        <v>166</v>
      </c>
      <c r="L3" s="4" t="s">
        <v>167</v>
      </c>
      <c r="M3" s="4" t="s">
        <v>168</v>
      </c>
      <c r="N3" s="4" t="s">
        <v>59</v>
      </c>
      <c r="O3" s="4" t="s">
        <v>59</v>
      </c>
      <c r="P3" s="4" t="s">
        <v>59</v>
      </c>
      <c r="Q3" s="4" t="s">
        <v>169</v>
      </c>
      <c r="R3" s="4" t="s">
        <v>61</v>
      </c>
      <c r="S3" s="4" t="s">
        <v>64</v>
      </c>
      <c r="T3" s="2">
        <v>1020540</v>
      </c>
      <c r="U3" s="2">
        <v>1774410</v>
      </c>
      <c r="V3" s="2">
        <v>130500</v>
      </c>
      <c r="W3" s="2">
        <v>758850</v>
      </c>
      <c r="X3" s="2">
        <v>2925450</v>
      </c>
      <c r="Y3" s="2">
        <v>758850</v>
      </c>
      <c r="Z3" s="2">
        <v>3684300</v>
      </c>
      <c r="AA3" s="2">
        <v>1224648</v>
      </c>
      <c r="AB3" s="2">
        <v>1774410</v>
      </c>
      <c r="AC3" s="2">
        <v>155264</v>
      </c>
      <c r="AD3" s="2">
        <v>758850</v>
      </c>
      <c r="AE3" s="2">
        <v>3154322</v>
      </c>
      <c r="AF3" s="2">
        <v>758850</v>
      </c>
      <c r="AG3" s="2">
        <v>3913172</v>
      </c>
      <c r="AH3" s="2">
        <v>1102183.2</v>
      </c>
      <c r="AI3" s="2">
        <v>1721177.7</v>
      </c>
      <c r="AJ3" s="2">
        <v>108684.8</v>
      </c>
      <c r="AK3" s="2">
        <v>682965</v>
      </c>
      <c r="AL3" s="2">
        <v>2932045.7</v>
      </c>
      <c r="AM3" s="2">
        <v>682965</v>
      </c>
      <c r="AN3" s="2">
        <v>3684300</v>
      </c>
      <c r="AO3" s="4" t="s">
        <v>63</v>
      </c>
      <c r="AP3" s="4" t="s">
        <v>63</v>
      </c>
      <c r="AQ3" s="4" t="s">
        <v>63</v>
      </c>
      <c r="AR3" s="4" t="s">
        <v>63</v>
      </c>
      <c r="AS3" s="2">
        <v>2169007</v>
      </c>
      <c r="AT3" s="2">
        <v>0</v>
      </c>
      <c r="AU3" s="2">
        <v>2169007</v>
      </c>
    </row>
    <row r="4" spans="1:47" x14ac:dyDescent="0.4">
      <c r="A4" s="4" t="s">
        <v>46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164</v>
      </c>
      <c r="H4" s="4" t="s">
        <v>165</v>
      </c>
      <c r="I4" s="4" t="s">
        <v>54</v>
      </c>
      <c r="J4" s="4" t="s">
        <v>55</v>
      </c>
      <c r="K4" s="4" t="s">
        <v>166</v>
      </c>
      <c r="L4" s="4" t="s">
        <v>167</v>
      </c>
      <c r="M4" s="4" t="s">
        <v>168</v>
      </c>
      <c r="N4" s="4" t="s">
        <v>59</v>
      </c>
      <c r="O4" s="4" t="s">
        <v>59</v>
      </c>
      <c r="P4" s="4" t="s">
        <v>59</v>
      </c>
      <c r="Q4" s="4" t="s">
        <v>169</v>
      </c>
      <c r="R4" s="4" t="s">
        <v>61</v>
      </c>
      <c r="S4" s="4" t="s">
        <v>64</v>
      </c>
      <c r="T4" s="2">
        <v>574920</v>
      </c>
      <c r="U4" s="2">
        <v>1020640</v>
      </c>
      <c r="V4" s="2">
        <v>40600</v>
      </c>
      <c r="W4" s="2">
        <v>368140</v>
      </c>
      <c r="X4" s="2">
        <v>1636160</v>
      </c>
      <c r="Y4" s="2">
        <v>368140</v>
      </c>
      <c r="Z4" s="2">
        <v>2004300</v>
      </c>
      <c r="AA4" s="2">
        <v>689904</v>
      </c>
      <c r="AB4" s="2">
        <v>1020640</v>
      </c>
      <c r="AC4" s="2">
        <v>48360</v>
      </c>
      <c r="AD4" s="2">
        <v>368140</v>
      </c>
      <c r="AE4" s="2">
        <v>1758904</v>
      </c>
      <c r="AF4" s="2">
        <v>368140</v>
      </c>
      <c r="AG4" s="2">
        <v>2127044</v>
      </c>
      <c r="AH4" s="2">
        <v>620913.6</v>
      </c>
      <c r="AI4" s="2">
        <v>990020.8</v>
      </c>
      <c r="AJ4" s="2">
        <v>33852</v>
      </c>
      <c r="AK4" s="2">
        <v>331326</v>
      </c>
      <c r="AL4" s="2">
        <v>1644786.4</v>
      </c>
      <c r="AM4" s="2">
        <v>331326</v>
      </c>
      <c r="AN4" s="2">
        <v>2004300</v>
      </c>
      <c r="AO4" s="4" t="s">
        <v>63</v>
      </c>
      <c r="AP4" s="4" t="s">
        <v>63</v>
      </c>
      <c r="AQ4" s="4" t="s">
        <v>63</v>
      </c>
      <c r="AR4" s="4" t="s">
        <v>63</v>
      </c>
      <c r="AS4" s="2">
        <v>1185667</v>
      </c>
      <c r="AT4" s="2">
        <v>0</v>
      </c>
      <c r="AU4" s="2">
        <v>1185667</v>
      </c>
    </row>
    <row r="5" spans="1:47" x14ac:dyDescent="0.4">
      <c r="A5" s="4" t="s">
        <v>46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164</v>
      </c>
      <c r="H5" s="4" t="s">
        <v>165</v>
      </c>
      <c r="I5" s="4" t="s">
        <v>54</v>
      </c>
      <c r="J5" s="4" t="s">
        <v>55</v>
      </c>
      <c r="K5" s="4" t="s">
        <v>166</v>
      </c>
      <c r="L5" s="4" t="s">
        <v>167</v>
      </c>
      <c r="M5" s="4" t="s">
        <v>168</v>
      </c>
      <c r="N5" s="4" t="s">
        <v>59</v>
      </c>
      <c r="O5" s="4" t="s">
        <v>59</v>
      </c>
      <c r="P5" s="4" t="s">
        <v>59</v>
      </c>
      <c r="Q5" s="4" t="s">
        <v>169</v>
      </c>
      <c r="R5" s="4" t="s">
        <v>61</v>
      </c>
      <c r="S5" s="4" t="s">
        <v>64</v>
      </c>
      <c r="T5" s="2">
        <v>653310</v>
      </c>
      <c r="U5" s="2">
        <v>954810</v>
      </c>
      <c r="V5" s="2">
        <v>83680</v>
      </c>
      <c r="W5" s="2">
        <v>224100</v>
      </c>
      <c r="X5" s="2">
        <v>1691800</v>
      </c>
      <c r="Y5" s="2">
        <v>224100</v>
      </c>
      <c r="Z5" s="2">
        <v>1915900</v>
      </c>
      <c r="AA5" s="2">
        <v>783972</v>
      </c>
      <c r="AB5" s="2">
        <v>954810</v>
      </c>
      <c r="AC5" s="2">
        <v>97756</v>
      </c>
      <c r="AD5" s="2">
        <v>224100</v>
      </c>
      <c r="AE5" s="2">
        <v>1836538</v>
      </c>
      <c r="AF5" s="2">
        <v>224100</v>
      </c>
      <c r="AG5" s="2">
        <v>2060638</v>
      </c>
      <c r="AH5" s="2">
        <v>705574.8</v>
      </c>
      <c r="AI5" s="2">
        <v>926165.7</v>
      </c>
      <c r="AJ5" s="2">
        <v>68429.2</v>
      </c>
      <c r="AK5" s="2">
        <v>201690</v>
      </c>
      <c r="AL5" s="2">
        <v>1700169.7</v>
      </c>
      <c r="AM5" s="2">
        <v>201690</v>
      </c>
      <c r="AN5" s="2">
        <v>1915900</v>
      </c>
      <c r="AO5" s="4" t="s">
        <v>63</v>
      </c>
      <c r="AP5" s="4" t="s">
        <v>63</v>
      </c>
      <c r="AQ5" s="4" t="s">
        <v>63</v>
      </c>
      <c r="AR5" s="4" t="s">
        <v>63</v>
      </c>
      <c r="AS5" s="2">
        <v>1141116</v>
      </c>
      <c r="AT5" s="2">
        <v>0</v>
      </c>
      <c r="AU5" s="2">
        <v>1141116</v>
      </c>
    </row>
    <row r="6" spans="1:47" x14ac:dyDescent="0.4">
      <c r="AU6" s="19">
        <f>SUM(AU2:AU5)</f>
        <v>8037719</v>
      </c>
    </row>
    <row r="8" spans="1:47" x14ac:dyDescent="0.4">
      <c r="A8" s="6" t="s">
        <v>196</v>
      </c>
      <c r="B8" s="7"/>
      <c r="C8" s="7"/>
      <c r="D8" s="8"/>
    </row>
    <row r="9" spans="1:47" x14ac:dyDescent="0.4">
      <c r="A9" s="9" t="s">
        <v>177</v>
      </c>
      <c r="B9" s="9" t="s">
        <v>178</v>
      </c>
      <c r="C9" s="9" t="s">
        <v>210</v>
      </c>
      <c r="D9" s="9" t="s">
        <v>211</v>
      </c>
    </row>
    <row r="10" spans="1:47" x14ac:dyDescent="0.4">
      <c r="A10" s="10">
        <v>202206</v>
      </c>
      <c r="B10" s="11">
        <v>10000000</v>
      </c>
      <c r="C10" s="11">
        <f>AU6</f>
        <v>8037719</v>
      </c>
      <c r="D10" s="11">
        <f>B10-C10</f>
        <v>1962281</v>
      </c>
    </row>
    <row r="11" spans="1:47" x14ac:dyDescent="0.4">
      <c r="A11" s="20"/>
      <c r="B11" s="20"/>
      <c r="C11" s="20"/>
      <c r="D11" s="20"/>
    </row>
    <row r="12" spans="1:47" x14ac:dyDescent="0.4">
      <c r="A12" s="37" t="s">
        <v>181</v>
      </c>
      <c r="B12" s="35">
        <f>SUM(B10:B11)</f>
        <v>10000000</v>
      </c>
      <c r="C12" s="35">
        <f>SUM(C10:C11)</f>
        <v>8037719</v>
      </c>
      <c r="D12" s="36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U12"/>
  <sheetViews>
    <sheetView workbookViewId="0">
      <selection activeCell="F7" sqref="F7"/>
    </sheetView>
  </sheetViews>
  <sheetFormatPr defaultRowHeight="17.399999999999999" x14ac:dyDescent="0.4"/>
  <cols>
    <col min="1" max="1" width="9.296875" bestFit="1" customWidth="1"/>
    <col min="2" max="2" width="19" bestFit="1" customWidth="1"/>
    <col min="3" max="3" width="11.5976562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19.796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7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9.19921875" bestFit="1" customWidth="1"/>
  </cols>
  <sheetData>
    <row r="1" spans="1:47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25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5" t="s">
        <v>45</v>
      </c>
    </row>
    <row r="2" spans="1:47" x14ac:dyDescent="0.4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170</v>
      </c>
      <c r="H2" s="4" t="s">
        <v>171</v>
      </c>
      <c r="I2" s="4" t="s">
        <v>54</v>
      </c>
      <c r="J2" s="4" t="s">
        <v>55</v>
      </c>
      <c r="K2" s="4" t="s">
        <v>172</v>
      </c>
      <c r="L2" s="4" t="s">
        <v>173</v>
      </c>
      <c r="M2" s="4" t="s">
        <v>174</v>
      </c>
      <c r="N2" s="4" t="s">
        <v>59</v>
      </c>
      <c r="O2" s="4" t="s">
        <v>59</v>
      </c>
      <c r="P2" s="4" t="s">
        <v>59</v>
      </c>
      <c r="Q2" s="4" t="s">
        <v>175</v>
      </c>
      <c r="R2" s="4" t="s">
        <v>61</v>
      </c>
      <c r="S2" s="4" t="s">
        <v>62</v>
      </c>
      <c r="T2" s="2">
        <v>178400</v>
      </c>
      <c r="U2" s="2">
        <v>254870</v>
      </c>
      <c r="V2" s="2">
        <v>58990</v>
      </c>
      <c r="W2" s="2">
        <v>708240</v>
      </c>
      <c r="X2" s="2">
        <v>492260</v>
      </c>
      <c r="Y2" s="2">
        <v>708240</v>
      </c>
      <c r="Z2" s="2">
        <v>1200500</v>
      </c>
      <c r="AA2" s="2">
        <v>214080</v>
      </c>
      <c r="AB2" s="2">
        <v>254870</v>
      </c>
      <c r="AC2" s="2">
        <v>70594</v>
      </c>
      <c r="AD2" s="2">
        <v>708240</v>
      </c>
      <c r="AE2" s="2">
        <v>539544</v>
      </c>
      <c r="AF2" s="2">
        <v>708240</v>
      </c>
      <c r="AG2" s="2">
        <v>1247784</v>
      </c>
      <c r="AH2" s="2">
        <v>192672</v>
      </c>
      <c r="AI2" s="2">
        <v>247223.9</v>
      </c>
      <c r="AJ2" s="2">
        <v>49415.8</v>
      </c>
      <c r="AK2" s="2">
        <v>637416</v>
      </c>
      <c r="AL2" s="2">
        <v>489311.7</v>
      </c>
      <c r="AM2" s="2">
        <v>637416</v>
      </c>
      <c r="AN2" s="2">
        <v>1200500</v>
      </c>
      <c r="AO2" s="4" t="s">
        <v>63</v>
      </c>
      <c r="AP2" s="4" t="s">
        <v>63</v>
      </c>
      <c r="AQ2" s="4" t="s">
        <v>63</v>
      </c>
      <c r="AR2" s="4" t="s">
        <v>63</v>
      </c>
      <c r="AS2" s="2">
        <v>676036</v>
      </c>
      <c r="AT2" s="2">
        <v>0</v>
      </c>
      <c r="AU2" s="2">
        <v>676036</v>
      </c>
    </row>
    <row r="3" spans="1:47" x14ac:dyDescent="0.4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170</v>
      </c>
      <c r="H3" s="4" t="s">
        <v>171</v>
      </c>
      <c r="I3" s="4" t="s">
        <v>54</v>
      </c>
      <c r="J3" s="4" t="s">
        <v>55</v>
      </c>
      <c r="K3" s="4" t="s">
        <v>172</v>
      </c>
      <c r="L3" s="4" t="s">
        <v>173</v>
      </c>
      <c r="M3" s="4" t="s">
        <v>174</v>
      </c>
      <c r="N3" s="4" t="s">
        <v>59</v>
      </c>
      <c r="O3" s="4" t="s">
        <v>59</v>
      </c>
      <c r="P3" s="4" t="s">
        <v>59</v>
      </c>
      <c r="Q3" s="4" t="s">
        <v>175</v>
      </c>
      <c r="R3" s="4" t="s">
        <v>61</v>
      </c>
      <c r="S3" s="4" t="s">
        <v>64</v>
      </c>
      <c r="T3" s="2">
        <v>90160</v>
      </c>
      <c r="U3" s="2">
        <v>400540</v>
      </c>
      <c r="V3" s="2">
        <v>44880</v>
      </c>
      <c r="W3" s="2">
        <v>264020</v>
      </c>
      <c r="X3" s="2">
        <v>535580</v>
      </c>
      <c r="Y3" s="2">
        <v>264020</v>
      </c>
      <c r="Z3" s="2">
        <v>799600</v>
      </c>
      <c r="AA3" s="2">
        <v>108192</v>
      </c>
      <c r="AB3" s="2">
        <v>400540</v>
      </c>
      <c r="AC3" s="2">
        <v>53296</v>
      </c>
      <c r="AD3" s="2">
        <v>264020</v>
      </c>
      <c r="AE3" s="2">
        <v>562028</v>
      </c>
      <c r="AF3" s="2">
        <v>264020</v>
      </c>
      <c r="AG3" s="2">
        <v>826048</v>
      </c>
      <c r="AH3" s="2">
        <v>97372.800000000003</v>
      </c>
      <c r="AI3" s="2">
        <v>388523.8</v>
      </c>
      <c r="AJ3" s="2">
        <v>37307.199999999997</v>
      </c>
      <c r="AK3" s="2">
        <v>237618</v>
      </c>
      <c r="AL3" s="2">
        <v>523203.8</v>
      </c>
      <c r="AM3" s="2">
        <v>237618</v>
      </c>
      <c r="AN3" s="2">
        <v>799600</v>
      </c>
      <c r="AO3" s="4" t="s">
        <v>63</v>
      </c>
      <c r="AP3" s="4" t="s">
        <v>63</v>
      </c>
      <c r="AQ3" s="4" t="s">
        <v>63</v>
      </c>
      <c r="AR3" s="4" t="s">
        <v>63</v>
      </c>
      <c r="AS3" s="2">
        <v>456493</v>
      </c>
      <c r="AT3" s="2">
        <v>0</v>
      </c>
      <c r="AU3" s="2">
        <v>456493</v>
      </c>
    </row>
    <row r="4" spans="1:47" x14ac:dyDescent="0.4">
      <c r="A4" s="4" t="s">
        <v>46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170</v>
      </c>
      <c r="H4" s="4" t="s">
        <v>171</v>
      </c>
      <c r="I4" s="4" t="s">
        <v>54</v>
      </c>
      <c r="J4" s="4" t="s">
        <v>55</v>
      </c>
      <c r="K4" s="4" t="s">
        <v>172</v>
      </c>
      <c r="L4" s="4" t="s">
        <v>173</v>
      </c>
      <c r="M4" s="4" t="s">
        <v>174</v>
      </c>
      <c r="N4" s="4" t="s">
        <v>59</v>
      </c>
      <c r="O4" s="4" t="s">
        <v>59</v>
      </c>
      <c r="P4" s="4" t="s">
        <v>59</v>
      </c>
      <c r="Q4" s="4" t="s">
        <v>175</v>
      </c>
      <c r="R4" s="4" t="s">
        <v>61</v>
      </c>
      <c r="S4" s="4" t="s">
        <v>64</v>
      </c>
      <c r="T4" s="2">
        <v>113770</v>
      </c>
      <c r="U4" s="2">
        <v>253670</v>
      </c>
      <c r="V4" s="2">
        <v>25900</v>
      </c>
      <c r="W4" s="2">
        <v>120960</v>
      </c>
      <c r="X4" s="2">
        <v>393340</v>
      </c>
      <c r="Y4" s="2">
        <v>120960</v>
      </c>
      <c r="Z4" s="2">
        <v>514300</v>
      </c>
      <c r="AA4" s="2">
        <v>136524</v>
      </c>
      <c r="AB4" s="2">
        <v>253670</v>
      </c>
      <c r="AC4" s="2">
        <v>31080</v>
      </c>
      <c r="AD4" s="2">
        <v>120960</v>
      </c>
      <c r="AE4" s="2">
        <v>421274</v>
      </c>
      <c r="AF4" s="2">
        <v>120960</v>
      </c>
      <c r="AG4" s="2">
        <v>542234</v>
      </c>
      <c r="AH4" s="2">
        <v>122871.6</v>
      </c>
      <c r="AI4" s="2">
        <v>246059.9</v>
      </c>
      <c r="AJ4" s="2">
        <v>21756</v>
      </c>
      <c r="AK4" s="2">
        <v>108864</v>
      </c>
      <c r="AL4" s="2">
        <v>390687.5</v>
      </c>
      <c r="AM4" s="2">
        <v>108864</v>
      </c>
      <c r="AN4" s="2">
        <v>514300</v>
      </c>
      <c r="AO4" s="4" t="s">
        <v>63</v>
      </c>
      <c r="AP4" s="4" t="s">
        <v>63</v>
      </c>
      <c r="AQ4" s="4" t="s">
        <v>63</v>
      </c>
      <c r="AR4" s="4" t="s">
        <v>63</v>
      </c>
      <c r="AS4" s="2">
        <v>299731</v>
      </c>
      <c r="AT4" s="2">
        <v>0</v>
      </c>
      <c r="AU4" s="2">
        <v>299731</v>
      </c>
    </row>
    <row r="5" spans="1:47" x14ac:dyDescent="0.4">
      <c r="A5" s="4" t="s">
        <v>46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170</v>
      </c>
      <c r="H5" s="4" t="s">
        <v>171</v>
      </c>
      <c r="I5" s="4" t="s">
        <v>54</v>
      </c>
      <c r="J5" s="4" t="s">
        <v>55</v>
      </c>
      <c r="K5" s="4" t="s">
        <v>172</v>
      </c>
      <c r="L5" s="4" t="s">
        <v>173</v>
      </c>
      <c r="M5" s="4" t="s">
        <v>174</v>
      </c>
      <c r="N5" s="4" t="s">
        <v>59</v>
      </c>
      <c r="O5" s="4" t="s">
        <v>59</v>
      </c>
      <c r="P5" s="4" t="s">
        <v>59</v>
      </c>
      <c r="Q5" s="4" t="s">
        <v>175</v>
      </c>
      <c r="R5" s="4" t="s">
        <v>61</v>
      </c>
      <c r="S5" s="4" t="s">
        <v>64</v>
      </c>
      <c r="T5" s="2">
        <v>75750</v>
      </c>
      <c r="U5" s="2">
        <v>263100</v>
      </c>
      <c r="V5" s="2">
        <v>33300</v>
      </c>
      <c r="W5" s="2">
        <v>85450</v>
      </c>
      <c r="X5" s="2">
        <v>372150</v>
      </c>
      <c r="Y5" s="2">
        <v>85450</v>
      </c>
      <c r="Z5" s="2">
        <v>457600</v>
      </c>
      <c r="AA5" s="2">
        <v>90900</v>
      </c>
      <c r="AB5" s="2">
        <v>263100</v>
      </c>
      <c r="AC5" s="2">
        <v>38730</v>
      </c>
      <c r="AD5" s="2">
        <v>85450</v>
      </c>
      <c r="AE5" s="2">
        <v>392730</v>
      </c>
      <c r="AF5" s="2">
        <v>85450</v>
      </c>
      <c r="AG5" s="2">
        <v>478180</v>
      </c>
      <c r="AH5" s="2">
        <v>81810</v>
      </c>
      <c r="AI5" s="2">
        <v>255207</v>
      </c>
      <c r="AJ5" s="2">
        <v>27111</v>
      </c>
      <c r="AK5" s="2">
        <v>76905</v>
      </c>
      <c r="AL5" s="2">
        <v>364128</v>
      </c>
      <c r="AM5" s="2">
        <v>76905</v>
      </c>
      <c r="AN5" s="2">
        <v>457600</v>
      </c>
      <c r="AO5" s="4" t="s">
        <v>63</v>
      </c>
      <c r="AP5" s="4" t="s">
        <v>63</v>
      </c>
      <c r="AQ5" s="4" t="s">
        <v>63</v>
      </c>
      <c r="AR5" s="4" t="s">
        <v>63</v>
      </c>
      <c r="AS5" s="2">
        <v>264620</v>
      </c>
      <c r="AT5" s="2">
        <v>0</v>
      </c>
      <c r="AU5" s="2">
        <v>264620</v>
      </c>
    </row>
    <row r="6" spans="1:47" x14ac:dyDescent="0.4">
      <c r="AU6" s="19">
        <f>SUM(AU2:AU5)</f>
        <v>1696880</v>
      </c>
    </row>
    <row r="8" spans="1:47" x14ac:dyDescent="0.4">
      <c r="A8" s="6" t="s">
        <v>196</v>
      </c>
      <c r="B8" s="7"/>
      <c r="C8" s="7"/>
      <c r="D8" s="8"/>
    </row>
    <row r="9" spans="1:47" x14ac:dyDescent="0.4">
      <c r="A9" s="9" t="s">
        <v>177</v>
      </c>
      <c r="B9" s="9" t="s">
        <v>178</v>
      </c>
      <c r="C9" s="9" t="s">
        <v>210</v>
      </c>
      <c r="D9" s="9" t="s">
        <v>211</v>
      </c>
    </row>
    <row r="10" spans="1:47" x14ac:dyDescent="0.4">
      <c r="A10" s="10">
        <v>202206</v>
      </c>
      <c r="B10" s="11">
        <v>10000000</v>
      </c>
      <c r="C10" s="11">
        <f>AU6</f>
        <v>1696880</v>
      </c>
      <c r="D10" s="11">
        <f>B10-C10</f>
        <v>8303120</v>
      </c>
    </row>
    <row r="11" spans="1:47" s="4" customFormat="1" x14ac:dyDescent="0.4">
      <c r="A11" s="10"/>
      <c r="B11" s="11"/>
      <c r="C11" s="11"/>
      <c r="D11" s="11"/>
    </row>
    <row r="12" spans="1:47" x14ac:dyDescent="0.4">
      <c r="A12" s="10" t="s">
        <v>212</v>
      </c>
      <c r="B12" s="13">
        <f>SUM(B10)</f>
        <v>10000000</v>
      </c>
      <c r="C12" s="13">
        <f>SUM(C10)</f>
        <v>1696880</v>
      </c>
      <c r="D12" s="2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10</vt:i4>
      </vt:variant>
    </vt:vector>
  </HeadingPairs>
  <TitlesOfParts>
    <vt:vector size="21" baseType="lpstr">
      <vt:lpstr>합계(6)</vt:lpstr>
      <vt:lpstr>청빙</vt:lpstr>
      <vt:lpstr>김광수</vt:lpstr>
      <vt:lpstr>김정연</vt:lpstr>
      <vt:lpstr>김운담</vt:lpstr>
      <vt:lpstr>틴타</vt:lpstr>
      <vt:lpstr>프레인</vt:lpstr>
      <vt:lpstr>아이리스</vt:lpstr>
      <vt:lpstr>몸서리</vt:lpstr>
      <vt:lpstr>은지유</vt:lpstr>
      <vt:lpstr>룽다</vt:lpstr>
      <vt:lpstr>김광수!Extract</vt:lpstr>
      <vt:lpstr>김운담!Extract</vt:lpstr>
      <vt:lpstr>김정연!Extract</vt:lpstr>
      <vt:lpstr>룽다!Extract</vt:lpstr>
      <vt:lpstr>몸서리!Extract</vt:lpstr>
      <vt:lpstr>아이리스!Extract</vt:lpstr>
      <vt:lpstr>은지유!Extract</vt:lpstr>
      <vt:lpstr>청빙!Extract</vt:lpstr>
      <vt:lpstr>틴타!Extract</vt:lpstr>
      <vt:lpstr>프레인!Extract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2022-07-07T11:50:07Z</dcterms:modified>
</cp:coreProperties>
</file>