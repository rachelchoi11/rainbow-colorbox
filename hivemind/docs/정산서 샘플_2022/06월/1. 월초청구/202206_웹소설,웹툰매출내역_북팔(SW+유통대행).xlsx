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0976" windowHeight="8952"/>
  </bookViews>
  <sheets>
    <sheet name="합계(6)" sheetId="1" r:id="rId1"/>
  </sheets>
  <definedNames>
    <definedName name="_xlnm._FilterDatabase" localSheetId="0" hidden="1">'합계(6)'!$A$1:$L$62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62" i="1" l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sharedStrings.xml><?xml version="1.0" encoding="utf-8"?>
<sst xmlns="http://schemas.openxmlformats.org/spreadsheetml/2006/main" count="257" uniqueCount="116">
  <si>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</si>
  <si>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</si>
  <si>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</si>
  <si>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</si>
  <si>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</si>
  <si>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</si>
  <si>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</si>
  <si>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</si>
  <si>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</si>
  <si>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</si>
  <si>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</si>
  <si>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</si>
  <si>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</si>
  <si>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직하인</t>
  </si>
  <si>
    <t>세상</t>
  </si>
  <si>
    <t>협행마</t>
  </si>
  <si>
    <t>흑막의 신</t>
  </si>
  <si>
    <t>티끌 모아 대박</t>
  </si>
  <si>
    <t>고검환정록</t>
  </si>
  <si>
    <t>와그작</t>
  </si>
  <si>
    <t>컬러 러쉬</t>
  </si>
  <si>
    <t>최재봉</t>
  </si>
  <si>
    <t>강호, 미치다</t>
  </si>
  <si>
    <t>무성매직</t>
  </si>
  <si>
    <t>공작가의 남루한 신부</t>
  </si>
  <si>
    <t>불고기자리</t>
  </si>
  <si>
    <t>레이디 스칼렛</t>
  </si>
  <si>
    <t>Livingston</t>
  </si>
  <si>
    <t>아저씨, 내 기분 왜 이래요?</t>
  </si>
  <si>
    <t>sJessi</t>
  </si>
  <si>
    <t>위험한 선배</t>
  </si>
  <si>
    <t>전장의 금기</t>
  </si>
  <si>
    <t>전설이 돼라(개정판)</t>
  </si>
  <si>
    <t>법보다 주먹</t>
  </si>
  <si>
    <t>이린비</t>
  </si>
  <si>
    <t>여왕 아델</t>
  </si>
  <si>
    <t>무슈슈</t>
  </si>
  <si>
    <t>홍염의 덫</t>
  </si>
  <si>
    <t>라돌체</t>
  </si>
  <si>
    <t>엠프티(Empty)</t>
  </si>
  <si>
    <t>SISSI</t>
  </si>
  <si>
    <t>택스 프리(TAX FREE)</t>
  </si>
  <si>
    <t>기특혜 수익내역</t>
    <phoneticPr fontId="2" type="noConversion"/>
  </si>
  <si>
    <t>웹툰</t>
    <phoneticPr fontId="2" type="noConversion"/>
  </si>
  <si>
    <t>건일</t>
  </si>
  <si>
    <t>별빛 아래 우리</t>
  </si>
  <si>
    <t>웹티, 올코</t>
  </si>
  <si>
    <t>보스 오빠, 살살</t>
  </si>
  <si>
    <t>Nisansui, Ziquan</t>
  </si>
  <si>
    <t>너랑 나랑 하면</t>
  </si>
  <si>
    <t>사틴</t>
  </si>
  <si>
    <t>하루하루</t>
  </si>
  <si>
    <t>라에르</t>
  </si>
  <si>
    <t>비터, 비터(Bitter, Bitter)</t>
  </si>
  <si>
    <t>웹소설</t>
    <phoneticPr fontId="2" type="noConversion"/>
  </si>
  <si>
    <t>윈델</t>
  </si>
  <si>
    <t>돌아온 막내 영애님을 조심하세요</t>
  </si>
  <si>
    <t>두럭</t>
  </si>
  <si>
    <t>밤의 제물</t>
  </si>
  <si>
    <t>익스클루시브(Exclusive)</t>
  </si>
  <si>
    <t>월하연인</t>
  </si>
  <si>
    <t>스내치</t>
  </si>
  <si>
    <t>아래층에 전남편이 산다</t>
  </si>
  <si>
    <t>진숙</t>
  </si>
  <si>
    <t>나쁜 이혼</t>
  </si>
  <si>
    <t>차홍주</t>
  </si>
  <si>
    <t>사랑도 없이 결혼</t>
  </si>
  <si>
    <t>DION</t>
  </si>
  <si>
    <t>On the air</t>
  </si>
  <si>
    <t>집착의 맛</t>
  </si>
  <si>
    <t>정감</t>
  </si>
  <si>
    <t>바람피우지 마세요</t>
  </si>
  <si>
    <t>이다겸</t>
  </si>
  <si>
    <t>너드 공략집</t>
  </si>
  <si>
    <t>김광수</t>
  </si>
  <si>
    <t>21세기 대마법사</t>
  </si>
  <si>
    <t>회귀의 전설</t>
  </si>
  <si>
    <t>독고진</t>
  </si>
  <si>
    <t>신을 죽이러 갑니다</t>
  </si>
  <si>
    <t>이동열</t>
  </si>
  <si>
    <t>던전 공략 LIVE</t>
  </si>
  <si>
    <t>출판사</t>
    <phoneticPr fontId="5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</si>
  <si>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</si>
  <si>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웹툰</t>
    <phoneticPr fontId="2" type="noConversion"/>
  </si>
  <si>
    <t>글 마북명, 그림 kuri</t>
  </si>
  <si>
    <t>악역이지만, 남주는 꼬시지 않아요</t>
  </si>
  <si>
    <t>글 Nica, 그림 A.Noa, RK Studio</t>
  </si>
  <si>
    <t>커피여우 김삼월</t>
  </si>
  <si>
    <t>글 화방, 그림 망북</t>
  </si>
  <si>
    <t>요괴님은 수련중</t>
  </si>
  <si>
    <t>대표님과 연애를 시작했습니다</t>
  </si>
  <si>
    <t>11hook</t>
  </si>
  <si>
    <t>슈트 오브 스파이</t>
  </si>
  <si>
    <t>웹소설</t>
    <phoneticPr fontId="2" type="noConversion"/>
  </si>
  <si>
    <t>기획에 산다</t>
  </si>
  <si>
    <t>바보가 만드는 멋진 세상 (개정판)</t>
  </si>
  <si>
    <t>더 캡틴</t>
  </si>
  <si>
    <t>부엉이콩</t>
  </si>
  <si>
    <t>호랑이 신을 길들여 버렸다</t>
  </si>
  <si>
    <t>웹소설</t>
    <phoneticPr fontId="2" type="noConversion"/>
  </si>
  <si>
    <t>꿈속의 보스</t>
  </si>
  <si>
    <t>화산지애</t>
  </si>
  <si>
    <t>전혁</t>
  </si>
  <si>
    <t>레이드 만물상점</t>
  </si>
  <si>
    <t>파란영</t>
  </si>
  <si>
    <t>소드마스터의 환생</t>
  </si>
  <si>
    <t>권용찬</t>
  </si>
  <si>
    <t>철중쟁쟁</t>
  </si>
  <si>
    <t>두나래</t>
  </si>
  <si>
    <t>나의 시고르자브종</t>
  </si>
  <si>
    <t>매혹적인 상사</t>
  </si>
  <si>
    <t>아슈크림</t>
  </si>
  <si>
    <t>어쩌다 계약 아내</t>
  </si>
  <si>
    <t>BitterSweet</t>
  </si>
  <si>
    <t>SOTUS S</t>
  </si>
  <si>
    <t>기특혜 수익내역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</si>
</sst>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41" fontId="0" fillId="0" borderId="1" xfId="2" applyFont="1" applyBorder="1" applyAlignment="1"/>
    <xf numFmtId="0" fontId="4" fillId="4" borderId="3" xfId="0" applyFont="1" applyFill="1" applyBorder="1"/>
    <xf numFmtId="0" fontId="0" fillId="4" borderId="4" xfId="0" applyFill="1" applyBorder="1"/>
    <xf numFmtId="176" fontId="6" fillId="3" borderId="0" xfId="0" applyNumberFormat="1" applyFont="1" applyFill="1"/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2"/>
  <sheetViews>
    <sheetView tabSelected="1" workbookViewId="0">
      <selection activeCell="L58" sqref="L58"/>
    </sheetView>
  </sheetViews>
  <sheetFormatPr defaultRowHeight="17.399999999999999" x14ac:dyDescent="0.4"/>
  <cols>
    <col min="1" max="1" width="5.59765625" customWidth="1"/>
    <col min="2" max="2" width="9.5" customWidth="1"/>
    <col min="3" max="3" width="12.3984375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2" x14ac:dyDescent="0.4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4" t="s">
        <v>10</v>
      </c>
      <c r="J1" s="4" t="s">
        <v>11</v>
      </c>
      <c r="K1" s="17" t="s">
        <v>81</v>
      </c>
      <c r="L1" s="18" t="s">
        <v>82</v>
      </c>
    </row>
    <row r="2" spans="1:12" x14ac:dyDescent="0.4">
      <c r="A2" s="6">
        <v>1</v>
      </c>
      <c r="B2" s="6" t="s">
        <v>83</v>
      </c>
      <c r="C2" s="6" t="s">
        <v>84</v>
      </c>
      <c r="D2" s="10" t="s">
        <v>2</v>
      </c>
      <c r="E2" s="6" t="s">
        <v>85</v>
      </c>
      <c r="F2" s="7">
        <v>184</v>
      </c>
      <c r="G2" s="7">
        <v>18400</v>
      </c>
      <c r="H2" s="8">
        <v>0.7</v>
      </c>
      <c r="I2" s="9">
        <f>G2*H2</f>
        <v>12880</v>
      </c>
      <c r="J2" s="10"/>
      <c r="K2" s="3"/>
      <c r="L2" s="3"/>
    </row>
    <row r="3" spans="1:12" x14ac:dyDescent="0.4">
      <c r="A3" s="10">
        <f>A2+1</f>
        <v>2</v>
      </c>
      <c r="B3" s="6" t="s">
        <v>43</v>
      </c>
      <c r="C3" s="10" t="s">
        <v>86</v>
      </c>
      <c r="D3" s="10" t="s">
        <v>2</v>
      </c>
      <c r="E3" s="10" t="s">
        <v>87</v>
      </c>
      <c r="F3" s="12">
        <v>83</v>
      </c>
      <c r="G3" s="12">
        <v>8300</v>
      </c>
      <c r="H3" s="8">
        <v>0.7</v>
      </c>
      <c r="I3" s="9">
        <f t="shared" ref="I3:I61" si="0">G3*H3</f>
        <v>5810</v>
      </c>
      <c r="J3" s="10"/>
      <c r="K3" s="3"/>
      <c r="L3" s="3"/>
    </row>
    <row r="4" spans="1:12" x14ac:dyDescent="0.4">
      <c r="A4" s="10">
        <f t="shared" ref="A4:A61" si="1">A3+1</f>
        <v>3</v>
      </c>
      <c r="B4" s="6" t="s">
        <v>43</v>
      </c>
      <c r="C4" s="10" t="s">
        <v>48</v>
      </c>
      <c r="D4" s="10" t="s">
        <v>2</v>
      </c>
      <c r="E4" s="10" t="s">
        <v>49</v>
      </c>
      <c r="F4" s="12">
        <v>70</v>
      </c>
      <c r="G4" s="12">
        <v>7000</v>
      </c>
      <c r="H4" s="8">
        <v>0.7</v>
      </c>
      <c r="I4" s="9">
        <f t="shared" si="0"/>
        <v>4900</v>
      </c>
      <c r="J4" s="10"/>
      <c r="K4" s="3"/>
      <c r="L4" s="3"/>
    </row>
    <row r="5" spans="1:12" x14ac:dyDescent="0.4">
      <c r="A5" s="10">
        <f t="shared" si="1"/>
        <v>4</v>
      </c>
      <c r="B5" s="6" t="s">
        <v>43</v>
      </c>
      <c r="C5" s="10" t="s">
        <v>44</v>
      </c>
      <c r="D5" s="10" t="s">
        <v>2</v>
      </c>
      <c r="E5" s="10" t="s">
        <v>45</v>
      </c>
      <c r="F5" s="12">
        <v>24</v>
      </c>
      <c r="G5" s="12">
        <v>2400</v>
      </c>
      <c r="H5" s="8">
        <v>0.7</v>
      </c>
      <c r="I5" s="9">
        <f t="shared" si="0"/>
        <v>1680</v>
      </c>
      <c r="J5" s="10"/>
      <c r="K5" s="3"/>
      <c r="L5" s="3"/>
    </row>
    <row r="6" spans="1:12" s="3" customFormat="1" x14ac:dyDescent="0.4">
      <c r="A6" s="10">
        <f t="shared" si="1"/>
        <v>5</v>
      </c>
      <c r="B6" s="6" t="s">
        <v>43</v>
      </c>
      <c r="C6" s="10" t="s">
        <v>46</v>
      </c>
      <c r="D6" s="10" t="s">
        <v>2</v>
      </c>
      <c r="E6" s="10" t="s">
        <v>47</v>
      </c>
      <c r="F6" s="12">
        <v>6</v>
      </c>
      <c r="G6" s="12">
        <v>600</v>
      </c>
      <c r="H6" s="8">
        <v>0.7</v>
      </c>
      <c r="I6" s="9">
        <f t="shared" si="0"/>
        <v>420</v>
      </c>
      <c r="J6" s="10"/>
    </row>
    <row r="7" spans="1:12" x14ac:dyDescent="0.4">
      <c r="A7" s="10">
        <f t="shared" si="1"/>
        <v>6</v>
      </c>
      <c r="B7" s="6" t="s">
        <v>83</v>
      </c>
      <c r="C7" s="10" t="s">
        <v>88</v>
      </c>
      <c r="D7" s="10" t="s">
        <v>2</v>
      </c>
      <c r="E7" s="10" t="s">
        <v>89</v>
      </c>
      <c r="F7" s="12">
        <v>4</v>
      </c>
      <c r="G7" s="12">
        <v>400</v>
      </c>
      <c r="H7" s="8">
        <v>0.7</v>
      </c>
      <c r="I7" s="9">
        <f t="shared" si="0"/>
        <v>280</v>
      </c>
      <c r="J7" s="10"/>
      <c r="K7" s="3"/>
      <c r="L7" s="3"/>
    </row>
    <row r="8" spans="1:12" x14ac:dyDescent="0.4">
      <c r="A8" s="10">
        <f t="shared" si="1"/>
        <v>7</v>
      </c>
      <c r="B8" s="6" t="s">
        <v>43</v>
      </c>
      <c r="C8" s="10" t="s">
        <v>46</v>
      </c>
      <c r="D8" s="10" t="s">
        <v>2</v>
      </c>
      <c r="E8" s="10" t="s">
        <v>90</v>
      </c>
      <c r="F8" s="12">
        <v>2</v>
      </c>
      <c r="G8" s="12">
        <v>200</v>
      </c>
      <c r="H8" s="8">
        <v>0.7</v>
      </c>
      <c r="I8" s="9">
        <f t="shared" si="0"/>
        <v>140</v>
      </c>
      <c r="J8" s="10"/>
      <c r="K8" s="3"/>
      <c r="L8" s="3"/>
    </row>
    <row r="9" spans="1:12" x14ac:dyDescent="0.4">
      <c r="A9" s="10">
        <f t="shared" si="1"/>
        <v>8</v>
      </c>
      <c r="B9" s="6" t="s">
        <v>83</v>
      </c>
      <c r="C9" s="10" t="s">
        <v>91</v>
      </c>
      <c r="D9" s="10" t="s">
        <v>2</v>
      </c>
      <c r="E9" s="10" t="s">
        <v>92</v>
      </c>
      <c r="F9" s="12">
        <v>2</v>
      </c>
      <c r="G9" s="12">
        <v>200</v>
      </c>
      <c r="H9" s="8">
        <v>0.7</v>
      </c>
      <c r="I9" s="9">
        <f t="shared" si="0"/>
        <v>140</v>
      </c>
      <c r="J9" s="10"/>
      <c r="K9" s="3"/>
      <c r="L9" s="3"/>
    </row>
    <row r="10" spans="1:12" x14ac:dyDescent="0.4">
      <c r="A10" s="10">
        <f t="shared" si="1"/>
        <v>9</v>
      </c>
      <c r="B10" s="11" t="s">
        <v>93</v>
      </c>
      <c r="C10" s="10" t="s">
        <v>50</v>
      </c>
      <c r="D10" s="10" t="s">
        <v>2</v>
      </c>
      <c r="E10" s="10" t="s">
        <v>51</v>
      </c>
      <c r="F10" s="9">
        <v>163</v>
      </c>
      <c r="G10" s="14">
        <v>16300</v>
      </c>
      <c r="H10" s="8">
        <v>0.7</v>
      </c>
      <c r="I10" s="9">
        <f t="shared" si="0"/>
        <v>11410</v>
      </c>
      <c r="J10" s="10"/>
      <c r="K10" s="3"/>
      <c r="L10" s="3"/>
    </row>
    <row r="11" spans="1:12" x14ac:dyDescent="0.4">
      <c r="A11" s="10">
        <f t="shared" si="1"/>
        <v>10</v>
      </c>
      <c r="B11" s="11" t="s">
        <v>54</v>
      </c>
      <c r="C11" s="10" t="s">
        <v>52</v>
      </c>
      <c r="D11" s="10" t="s">
        <v>2</v>
      </c>
      <c r="E11" s="10" t="s">
        <v>53</v>
      </c>
      <c r="F11" s="9">
        <v>1</v>
      </c>
      <c r="G11" s="14">
        <v>100</v>
      </c>
      <c r="H11" s="8">
        <v>0.7</v>
      </c>
      <c r="I11" s="9">
        <f t="shared" si="0"/>
        <v>70</v>
      </c>
      <c r="J11" s="10"/>
      <c r="K11" s="3"/>
      <c r="L11" s="3"/>
    </row>
    <row r="12" spans="1:12" x14ac:dyDescent="0.4">
      <c r="A12" s="10">
        <f t="shared" si="1"/>
        <v>11</v>
      </c>
      <c r="B12" s="11" t="s">
        <v>54</v>
      </c>
      <c r="C12" s="10" t="s">
        <v>12</v>
      </c>
      <c r="D12" s="10" t="s">
        <v>2</v>
      </c>
      <c r="E12" s="10" t="s">
        <v>94</v>
      </c>
      <c r="F12" s="9">
        <v>101</v>
      </c>
      <c r="G12" s="15">
        <v>10100</v>
      </c>
      <c r="H12" s="8">
        <v>0.7</v>
      </c>
      <c r="I12" s="9">
        <f t="shared" si="0"/>
        <v>7070</v>
      </c>
      <c r="J12" s="10"/>
      <c r="K12" s="3"/>
      <c r="L12" s="3"/>
    </row>
    <row r="13" spans="1:12" x14ac:dyDescent="0.4">
      <c r="A13" s="10">
        <f t="shared" si="1"/>
        <v>12</v>
      </c>
      <c r="B13" s="11" t="s">
        <v>54</v>
      </c>
      <c r="C13" s="10" t="s">
        <v>12</v>
      </c>
      <c r="D13" s="10" t="s">
        <v>2</v>
      </c>
      <c r="E13" s="10" t="s">
        <v>95</v>
      </c>
      <c r="F13" s="9">
        <v>1</v>
      </c>
      <c r="G13" s="15">
        <v>100</v>
      </c>
      <c r="H13" s="8">
        <v>0.7</v>
      </c>
      <c r="I13" s="9">
        <f t="shared" si="0"/>
        <v>70</v>
      </c>
      <c r="J13" s="10"/>
      <c r="K13" s="3"/>
      <c r="L13" s="3"/>
    </row>
    <row r="14" spans="1:12" x14ac:dyDescent="0.4">
      <c r="A14" s="10">
        <f t="shared" si="1"/>
        <v>13</v>
      </c>
      <c r="B14" s="11" t="s">
        <v>54</v>
      </c>
      <c r="C14" s="10" t="s">
        <v>12</v>
      </c>
      <c r="D14" s="10" t="s">
        <v>2</v>
      </c>
      <c r="E14" s="10" t="s">
        <v>96</v>
      </c>
      <c r="F14" s="9">
        <v>26</v>
      </c>
      <c r="G14" s="15">
        <v>2600</v>
      </c>
      <c r="H14" s="8">
        <v>0.7</v>
      </c>
      <c r="I14" s="9">
        <f t="shared" si="0"/>
        <v>1819.9999999999998</v>
      </c>
      <c r="J14" s="10"/>
      <c r="K14" s="3"/>
      <c r="L14" s="3"/>
    </row>
    <row r="15" spans="1:12" x14ac:dyDescent="0.4">
      <c r="A15" s="10">
        <f t="shared" si="1"/>
        <v>14</v>
      </c>
      <c r="B15" s="11" t="s">
        <v>54</v>
      </c>
      <c r="C15" s="10" t="s">
        <v>12</v>
      </c>
      <c r="D15" s="10" t="s">
        <v>2</v>
      </c>
      <c r="E15" s="10" t="s">
        <v>16</v>
      </c>
      <c r="F15" s="9">
        <v>359</v>
      </c>
      <c r="G15" s="15">
        <v>35900</v>
      </c>
      <c r="H15" s="8">
        <v>0.7</v>
      </c>
      <c r="I15" s="9">
        <f t="shared" si="0"/>
        <v>25130</v>
      </c>
      <c r="J15" s="10"/>
      <c r="K15" s="3"/>
      <c r="L15" s="3"/>
    </row>
    <row r="16" spans="1:12" x14ac:dyDescent="0.4">
      <c r="A16" s="10">
        <f t="shared" si="1"/>
        <v>15</v>
      </c>
      <c r="B16" s="11" t="s">
        <v>54</v>
      </c>
      <c r="C16" s="10" t="s">
        <v>12</v>
      </c>
      <c r="D16" s="10" t="s">
        <v>2</v>
      </c>
      <c r="E16" s="10" t="s">
        <v>17</v>
      </c>
      <c r="F16" s="9">
        <v>20</v>
      </c>
      <c r="G16" s="15">
        <v>2000</v>
      </c>
      <c r="H16" s="8">
        <v>0.7</v>
      </c>
      <c r="I16" s="9">
        <f t="shared" si="0"/>
        <v>1400</v>
      </c>
      <c r="J16" s="10"/>
      <c r="K16" s="3"/>
      <c r="L16" s="3"/>
    </row>
    <row r="17" spans="1:12" x14ac:dyDescent="0.4">
      <c r="A17" s="10">
        <f t="shared" si="1"/>
        <v>16</v>
      </c>
      <c r="B17" s="11" t="s">
        <v>93</v>
      </c>
      <c r="C17" s="10" t="s">
        <v>13</v>
      </c>
      <c r="D17" s="10" t="s">
        <v>2</v>
      </c>
      <c r="E17" s="10" t="s">
        <v>18</v>
      </c>
      <c r="F17" s="9">
        <v>192</v>
      </c>
      <c r="G17" s="15">
        <v>19200</v>
      </c>
      <c r="H17" s="8">
        <v>0.7</v>
      </c>
      <c r="I17" s="9">
        <f t="shared" si="0"/>
        <v>13440</v>
      </c>
      <c r="J17" s="10"/>
      <c r="K17" s="3"/>
      <c r="L17" s="3"/>
    </row>
    <row r="18" spans="1:12" x14ac:dyDescent="0.4">
      <c r="A18" s="10">
        <f t="shared" si="1"/>
        <v>17</v>
      </c>
      <c r="B18" s="11" t="s">
        <v>93</v>
      </c>
      <c r="C18" s="10" t="s">
        <v>97</v>
      </c>
      <c r="D18" s="10" t="s">
        <v>2</v>
      </c>
      <c r="E18" s="10" t="s">
        <v>98</v>
      </c>
      <c r="F18" s="9">
        <v>2</v>
      </c>
      <c r="G18" s="15">
        <v>200</v>
      </c>
      <c r="H18" s="8">
        <v>0.7</v>
      </c>
      <c r="I18" s="9">
        <f t="shared" si="0"/>
        <v>140</v>
      </c>
      <c r="J18" s="10"/>
      <c r="K18" s="3"/>
      <c r="L18" s="3"/>
    </row>
    <row r="19" spans="1:12" x14ac:dyDescent="0.4">
      <c r="A19" s="10">
        <f t="shared" si="1"/>
        <v>18</v>
      </c>
      <c r="B19" s="11" t="s">
        <v>93</v>
      </c>
      <c r="C19" s="10" t="s">
        <v>14</v>
      </c>
      <c r="D19" s="10" t="s">
        <v>2</v>
      </c>
      <c r="E19" s="10" t="s">
        <v>19</v>
      </c>
      <c r="F19" s="9">
        <v>7</v>
      </c>
      <c r="G19" s="15">
        <v>700</v>
      </c>
      <c r="H19" s="8">
        <v>0.7</v>
      </c>
      <c r="I19" s="9">
        <f t="shared" si="0"/>
        <v>489.99999999999994</v>
      </c>
      <c r="J19" s="10"/>
      <c r="K19" s="3"/>
      <c r="L19" s="3"/>
    </row>
    <row r="20" spans="1:12" x14ac:dyDescent="0.4">
      <c r="A20" s="10">
        <f t="shared" si="1"/>
        <v>19</v>
      </c>
      <c r="B20" s="11" t="s">
        <v>93</v>
      </c>
      <c r="C20" s="10" t="s">
        <v>14</v>
      </c>
      <c r="D20" s="10" t="s">
        <v>2</v>
      </c>
      <c r="E20" s="10" t="s">
        <v>20</v>
      </c>
      <c r="F20" s="9">
        <v>80</v>
      </c>
      <c r="G20" s="15">
        <v>8000</v>
      </c>
      <c r="H20" s="8">
        <v>0.7</v>
      </c>
      <c r="I20" s="9">
        <f t="shared" si="0"/>
        <v>5600</v>
      </c>
      <c r="J20" s="10"/>
      <c r="K20" s="3"/>
      <c r="L20" s="3"/>
    </row>
    <row r="21" spans="1:12" x14ac:dyDescent="0.4">
      <c r="A21" s="10">
        <f t="shared" si="1"/>
        <v>20</v>
      </c>
      <c r="B21" s="11" t="s">
        <v>54</v>
      </c>
      <c r="C21" s="10" t="s">
        <v>21</v>
      </c>
      <c r="D21" s="10" t="s">
        <v>2</v>
      </c>
      <c r="E21" s="10" t="s">
        <v>22</v>
      </c>
      <c r="F21" s="9">
        <v>131</v>
      </c>
      <c r="G21" s="15">
        <v>13100</v>
      </c>
      <c r="H21" s="8">
        <v>0.7</v>
      </c>
      <c r="I21" s="9">
        <f t="shared" si="0"/>
        <v>9170</v>
      </c>
      <c r="J21" s="10"/>
      <c r="K21" s="3"/>
      <c r="L21" s="3"/>
    </row>
    <row r="22" spans="1:12" x14ac:dyDescent="0.4">
      <c r="A22" s="10">
        <f t="shared" si="1"/>
        <v>21</v>
      </c>
      <c r="B22" s="11" t="s">
        <v>93</v>
      </c>
      <c r="C22" s="10" t="s">
        <v>23</v>
      </c>
      <c r="D22" s="10" t="s">
        <v>2</v>
      </c>
      <c r="E22" s="10" t="s">
        <v>24</v>
      </c>
      <c r="F22" s="9">
        <v>206</v>
      </c>
      <c r="G22" s="15">
        <v>20600</v>
      </c>
      <c r="H22" s="8">
        <v>0.7</v>
      </c>
      <c r="I22" s="9">
        <f t="shared" si="0"/>
        <v>14419.999999999998</v>
      </c>
      <c r="J22" s="10"/>
      <c r="K22" s="3"/>
      <c r="L22" s="3"/>
    </row>
    <row r="23" spans="1:12" x14ac:dyDescent="0.4">
      <c r="A23" s="10">
        <f t="shared" si="1"/>
        <v>22</v>
      </c>
      <c r="B23" s="11" t="s">
        <v>99</v>
      </c>
      <c r="C23" s="10" t="s">
        <v>25</v>
      </c>
      <c r="D23" s="10" t="s">
        <v>2</v>
      </c>
      <c r="E23" s="10" t="s">
        <v>26</v>
      </c>
      <c r="F23" s="9">
        <v>21</v>
      </c>
      <c r="G23" s="15">
        <v>2100</v>
      </c>
      <c r="H23" s="8">
        <v>0.7</v>
      </c>
      <c r="I23" s="9">
        <f t="shared" si="0"/>
        <v>1470</v>
      </c>
      <c r="J23" s="10"/>
      <c r="K23" s="3"/>
      <c r="L23" s="3"/>
    </row>
    <row r="24" spans="1:12" x14ac:dyDescent="0.4">
      <c r="A24" s="10">
        <f t="shared" si="1"/>
        <v>23</v>
      </c>
      <c r="B24" s="11" t="s">
        <v>54</v>
      </c>
      <c r="C24" s="10" t="s">
        <v>27</v>
      </c>
      <c r="D24" s="10" t="s">
        <v>2</v>
      </c>
      <c r="E24" s="10" t="s">
        <v>28</v>
      </c>
      <c r="F24" s="9">
        <v>6</v>
      </c>
      <c r="G24" s="15">
        <v>600</v>
      </c>
      <c r="H24" s="8">
        <v>0.7</v>
      </c>
      <c r="I24" s="9">
        <f t="shared" si="0"/>
        <v>420</v>
      </c>
      <c r="J24" s="10"/>
      <c r="K24" s="3"/>
      <c r="L24" s="3"/>
    </row>
    <row r="25" spans="1:12" x14ac:dyDescent="0.4">
      <c r="A25" s="10">
        <f t="shared" si="1"/>
        <v>24</v>
      </c>
      <c r="B25" s="11" t="s">
        <v>54</v>
      </c>
      <c r="C25" s="10" t="s">
        <v>29</v>
      </c>
      <c r="D25" s="10" t="s">
        <v>2</v>
      </c>
      <c r="E25" s="10" t="s">
        <v>30</v>
      </c>
      <c r="F25" s="9">
        <v>109</v>
      </c>
      <c r="G25" s="15">
        <v>10900</v>
      </c>
      <c r="H25" s="8">
        <v>0.7</v>
      </c>
      <c r="I25" s="9">
        <f t="shared" si="0"/>
        <v>7629.9999999999991</v>
      </c>
      <c r="J25" s="10"/>
      <c r="K25" s="3"/>
      <c r="L25" s="3"/>
    </row>
    <row r="26" spans="1:12" x14ac:dyDescent="0.4">
      <c r="A26" s="13">
        <f t="shared" si="1"/>
        <v>25</v>
      </c>
      <c r="B26" s="11" t="s">
        <v>54</v>
      </c>
      <c r="C26" s="10" t="s">
        <v>15</v>
      </c>
      <c r="D26" s="10" t="s">
        <v>2</v>
      </c>
      <c r="E26" s="10" t="s">
        <v>31</v>
      </c>
      <c r="F26" s="9">
        <v>34</v>
      </c>
      <c r="G26" s="15">
        <v>3400</v>
      </c>
      <c r="H26" s="8">
        <v>0.7</v>
      </c>
      <c r="I26" s="9">
        <f t="shared" si="0"/>
        <v>2380</v>
      </c>
      <c r="J26" s="10"/>
      <c r="K26" s="3"/>
      <c r="L26" s="3"/>
    </row>
    <row r="27" spans="1:12" x14ac:dyDescent="0.4">
      <c r="A27" s="10">
        <f t="shared" si="1"/>
        <v>26</v>
      </c>
      <c r="B27" s="11" t="s">
        <v>54</v>
      </c>
      <c r="C27" s="10" t="s">
        <v>12</v>
      </c>
      <c r="D27" s="10" t="s">
        <v>2</v>
      </c>
      <c r="E27" s="10" t="s">
        <v>32</v>
      </c>
      <c r="F27" s="9">
        <v>501</v>
      </c>
      <c r="G27" s="15">
        <v>50100</v>
      </c>
      <c r="H27" s="8">
        <v>0.7</v>
      </c>
      <c r="I27" s="9">
        <f t="shared" si="0"/>
        <v>35070</v>
      </c>
      <c r="J27" s="10"/>
      <c r="K27" s="3"/>
      <c r="L27" s="3"/>
    </row>
    <row r="28" spans="1:12" x14ac:dyDescent="0.4">
      <c r="A28" s="10">
        <f t="shared" si="1"/>
        <v>27</v>
      </c>
      <c r="B28" s="11" t="s">
        <v>54</v>
      </c>
      <c r="C28" s="10" t="s">
        <v>12</v>
      </c>
      <c r="D28" s="10" t="s">
        <v>2</v>
      </c>
      <c r="E28" s="10" t="s">
        <v>33</v>
      </c>
      <c r="F28" s="9">
        <v>1259</v>
      </c>
      <c r="G28" s="15">
        <v>125900</v>
      </c>
      <c r="H28" s="8">
        <v>0.7</v>
      </c>
      <c r="I28" s="9">
        <f t="shared" si="0"/>
        <v>88130</v>
      </c>
      <c r="J28" s="10"/>
      <c r="K28" s="3"/>
      <c r="L28" s="3"/>
    </row>
    <row r="29" spans="1:12" x14ac:dyDescent="0.4">
      <c r="A29" s="10">
        <f t="shared" si="1"/>
        <v>28</v>
      </c>
      <c r="B29" s="11" t="s">
        <v>54</v>
      </c>
      <c r="C29" s="10" t="s">
        <v>34</v>
      </c>
      <c r="D29" s="10" t="s">
        <v>2</v>
      </c>
      <c r="E29" s="10" t="s">
        <v>35</v>
      </c>
      <c r="F29" s="9">
        <v>280</v>
      </c>
      <c r="G29" s="15">
        <v>28000</v>
      </c>
      <c r="H29" s="8">
        <v>0.7</v>
      </c>
      <c r="I29" s="9">
        <f t="shared" si="0"/>
        <v>19600</v>
      </c>
      <c r="J29" s="10"/>
      <c r="K29" s="3"/>
      <c r="L29" s="3"/>
    </row>
    <row r="30" spans="1:12" x14ac:dyDescent="0.4">
      <c r="A30" s="10">
        <f t="shared" si="1"/>
        <v>29</v>
      </c>
      <c r="B30" s="11" t="s">
        <v>93</v>
      </c>
      <c r="C30" s="10" t="s">
        <v>3</v>
      </c>
      <c r="D30" s="10" t="s">
        <v>2</v>
      </c>
      <c r="E30" s="10" t="s">
        <v>100</v>
      </c>
      <c r="F30" s="9">
        <v>7</v>
      </c>
      <c r="G30" s="14">
        <v>700</v>
      </c>
      <c r="H30" s="8">
        <v>0.7</v>
      </c>
      <c r="I30" s="9">
        <f t="shared" si="0"/>
        <v>489.99999999999994</v>
      </c>
      <c r="J30" s="10"/>
      <c r="K30" s="3"/>
      <c r="L30" s="3"/>
    </row>
    <row r="31" spans="1:12" x14ac:dyDescent="0.4">
      <c r="A31" s="10">
        <f t="shared" si="1"/>
        <v>30</v>
      </c>
      <c r="B31" s="11" t="s">
        <v>54</v>
      </c>
      <c r="C31" s="10" t="s">
        <v>55</v>
      </c>
      <c r="D31" s="10" t="s">
        <v>2</v>
      </c>
      <c r="E31" s="10" t="s">
        <v>56</v>
      </c>
      <c r="F31" s="9">
        <v>324</v>
      </c>
      <c r="G31" s="14">
        <v>32400</v>
      </c>
      <c r="H31" s="8">
        <v>0.7</v>
      </c>
      <c r="I31" s="9">
        <f t="shared" si="0"/>
        <v>22680</v>
      </c>
      <c r="J31" s="10"/>
      <c r="K31" s="3"/>
      <c r="L31" s="3"/>
    </row>
    <row r="32" spans="1:12" x14ac:dyDescent="0.4">
      <c r="A32" s="10">
        <f t="shared" si="1"/>
        <v>31</v>
      </c>
      <c r="B32" s="11" t="s">
        <v>54</v>
      </c>
      <c r="C32" s="10" t="s">
        <v>57</v>
      </c>
      <c r="D32" s="10" t="s">
        <v>2</v>
      </c>
      <c r="E32" s="10" t="s">
        <v>58</v>
      </c>
      <c r="F32" s="9">
        <v>628</v>
      </c>
      <c r="G32" s="14">
        <v>62800</v>
      </c>
      <c r="H32" s="8">
        <v>0.7</v>
      </c>
      <c r="I32" s="9">
        <f t="shared" si="0"/>
        <v>43960</v>
      </c>
      <c r="J32" s="10"/>
      <c r="K32" s="3"/>
      <c r="L32" s="3"/>
    </row>
    <row r="33" spans="1:12" x14ac:dyDescent="0.4">
      <c r="A33" s="10">
        <f t="shared" si="1"/>
        <v>32</v>
      </c>
      <c r="B33" s="11" t="s">
        <v>54</v>
      </c>
      <c r="C33" s="10" t="s">
        <v>36</v>
      </c>
      <c r="D33" s="10" t="s">
        <v>2</v>
      </c>
      <c r="E33" s="10" t="s">
        <v>37</v>
      </c>
      <c r="F33" s="9">
        <v>317</v>
      </c>
      <c r="G33" s="14">
        <v>31700</v>
      </c>
      <c r="H33" s="8">
        <v>0.7</v>
      </c>
      <c r="I33" s="9">
        <f t="shared" si="0"/>
        <v>22190</v>
      </c>
      <c r="J33" s="10"/>
      <c r="K33" s="3"/>
      <c r="L33" s="3"/>
    </row>
    <row r="34" spans="1:12" x14ac:dyDescent="0.4">
      <c r="A34" s="10">
        <f t="shared" si="1"/>
        <v>33</v>
      </c>
      <c r="B34" s="11" t="s">
        <v>54</v>
      </c>
      <c r="C34" s="10" t="s">
        <v>38</v>
      </c>
      <c r="D34" s="10" t="s">
        <v>2</v>
      </c>
      <c r="E34" s="10" t="s">
        <v>39</v>
      </c>
      <c r="F34" s="9">
        <v>79</v>
      </c>
      <c r="G34" s="14">
        <v>7900</v>
      </c>
      <c r="H34" s="8">
        <v>0.7</v>
      </c>
      <c r="I34" s="9">
        <f t="shared" si="0"/>
        <v>5530</v>
      </c>
      <c r="J34" s="10"/>
      <c r="K34" s="3"/>
      <c r="L34" s="3"/>
    </row>
    <row r="35" spans="1:12" x14ac:dyDescent="0.4">
      <c r="A35" s="10">
        <f t="shared" si="1"/>
        <v>34</v>
      </c>
      <c r="B35" s="11" t="s">
        <v>54</v>
      </c>
      <c r="C35" s="10" t="s">
        <v>40</v>
      </c>
      <c r="D35" s="10" t="s">
        <v>2</v>
      </c>
      <c r="E35" s="10" t="s">
        <v>41</v>
      </c>
      <c r="F35" s="9">
        <v>58</v>
      </c>
      <c r="G35" s="14">
        <v>5800</v>
      </c>
      <c r="H35" s="8">
        <v>0.7</v>
      </c>
      <c r="I35" s="9">
        <f t="shared" si="0"/>
        <v>4059.9999999999995</v>
      </c>
      <c r="J35" s="10"/>
      <c r="K35" s="3"/>
      <c r="L35" s="3"/>
    </row>
    <row r="36" spans="1:12" x14ac:dyDescent="0.4">
      <c r="A36" s="10">
        <f t="shared" si="1"/>
        <v>35</v>
      </c>
      <c r="B36" s="11" t="s">
        <v>54</v>
      </c>
      <c r="C36" s="10" t="s">
        <v>50</v>
      </c>
      <c r="D36" s="10" t="s">
        <v>2</v>
      </c>
      <c r="E36" s="10" t="s">
        <v>59</v>
      </c>
      <c r="F36" s="9">
        <v>73</v>
      </c>
      <c r="G36" s="16">
        <v>7300</v>
      </c>
      <c r="H36" s="8">
        <v>0.7</v>
      </c>
      <c r="I36" s="9">
        <f t="shared" si="0"/>
        <v>5110</v>
      </c>
      <c r="J36" s="10"/>
      <c r="K36" s="3"/>
      <c r="L36" s="3"/>
    </row>
    <row r="37" spans="1:12" x14ac:dyDescent="0.4">
      <c r="A37" s="10">
        <f t="shared" si="1"/>
        <v>36</v>
      </c>
      <c r="B37" s="11" t="s">
        <v>99</v>
      </c>
      <c r="C37" s="10" t="s">
        <v>36</v>
      </c>
      <c r="D37" s="10" t="s">
        <v>2</v>
      </c>
      <c r="E37" s="10" t="s">
        <v>60</v>
      </c>
      <c r="F37" s="9">
        <v>29</v>
      </c>
      <c r="G37" s="16">
        <v>2900</v>
      </c>
      <c r="H37" s="8">
        <v>0.7</v>
      </c>
      <c r="I37" s="9">
        <f t="shared" si="0"/>
        <v>2029.9999999999998</v>
      </c>
      <c r="J37" s="10"/>
      <c r="K37" s="3"/>
      <c r="L37" s="3"/>
    </row>
    <row r="38" spans="1:12" x14ac:dyDescent="0.4">
      <c r="A38" s="10">
        <f t="shared" si="1"/>
        <v>37</v>
      </c>
      <c r="B38" s="11" t="s">
        <v>93</v>
      </c>
      <c r="C38" s="10" t="s">
        <v>61</v>
      </c>
      <c r="D38" s="10" t="s">
        <v>2</v>
      </c>
      <c r="E38" s="10" t="s">
        <v>62</v>
      </c>
      <c r="F38" s="9">
        <v>940</v>
      </c>
      <c r="G38" s="16">
        <v>94000</v>
      </c>
      <c r="H38" s="8">
        <v>0.7</v>
      </c>
      <c r="I38" s="9">
        <f t="shared" si="0"/>
        <v>65800</v>
      </c>
      <c r="J38" s="10"/>
      <c r="K38" s="3"/>
      <c r="L38" s="3"/>
    </row>
    <row r="39" spans="1:12" x14ac:dyDescent="0.4">
      <c r="A39" s="10">
        <f t="shared" si="1"/>
        <v>38</v>
      </c>
      <c r="B39" s="11" t="s">
        <v>54</v>
      </c>
      <c r="C39" s="10" t="s">
        <v>63</v>
      </c>
      <c r="D39" s="10" t="s">
        <v>2</v>
      </c>
      <c r="E39" s="10" t="s">
        <v>64</v>
      </c>
      <c r="F39" s="9">
        <v>175</v>
      </c>
      <c r="G39" s="16">
        <v>17500</v>
      </c>
      <c r="H39" s="8">
        <v>0.7</v>
      </c>
      <c r="I39" s="9">
        <f t="shared" si="0"/>
        <v>12250</v>
      </c>
      <c r="J39" s="10"/>
      <c r="K39" s="3"/>
      <c r="L39" s="3"/>
    </row>
    <row r="40" spans="1:12" x14ac:dyDescent="0.4">
      <c r="A40" s="10">
        <f t="shared" si="1"/>
        <v>39</v>
      </c>
      <c r="B40" s="11" t="s">
        <v>93</v>
      </c>
      <c r="C40" s="10" t="s">
        <v>65</v>
      </c>
      <c r="D40" s="10" t="s">
        <v>2</v>
      </c>
      <c r="E40" s="10" t="s">
        <v>66</v>
      </c>
      <c r="F40" s="9">
        <v>3554</v>
      </c>
      <c r="G40" s="16">
        <v>355400</v>
      </c>
      <c r="H40" s="8">
        <v>0.7</v>
      </c>
      <c r="I40" s="9">
        <f t="shared" si="0"/>
        <v>248779.99999999997</v>
      </c>
      <c r="J40" s="10"/>
      <c r="K40" s="3"/>
      <c r="L40" s="3"/>
    </row>
    <row r="41" spans="1:12" x14ac:dyDescent="0.4">
      <c r="A41" s="10">
        <f t="shared" si="1"/>
        <v>40</v>
      </c>
      <c r="B41" s="11" t="s">
        <v>54</v>
      </c>
      <c r="C41" s="10" t="s">
        <v>67</v>
      </c>
      <c r="D41" s="10" t="s">
        <v>2</v>
      </c>
      <c r="E41" s="10" t="s">
        <v>68</v>
      </c>
      <c r="F41" s="9">
        <v>2882</v>
      </c>
      <c r="G41" s="16">
        <v>288200</v>
      </c>
      <c r="H41" s="8">
        <v>0.7</v>
      </c>
      <c r="I41" s="9">
        <f t="shared" si="0"/>
        <v>201740</v>
      </c>
      <c r="J41" s="10"/>
      <c r="K41" s="3"/>
      <c r="L41" s="3"/>
    </row>
    <row r="42" spans="1:12" x14ac:dyDescent="0.4">
      <c r="A42" s="10">
        <f t="shared" si="1"/>
        <v>41</v>
      </c>
      <c r="B42" s="11" t="s">
        <v>93</v>
      </c>
      <c r="C42" s="10" t="s">
        <v>29</v>
      </c>
      <c r="D42" s="10" t="s">
        <v>2</v>
      </c>
      <c r="E42" s="10" t="s">
        <v>69</v>
      </c>
      <c r="F42" s="9">
        <v>361</v>
      </c>
      <c r="G42" s="16">
        <v>36100</v>
      </c>
      <c r="H42" s="8">
        <v>0.7</v>
      </c>
      <c r="I42" s="9">
        <f t="shared" si="0"/>
        <v>25270</v>
      </c>
      <c r="J42" s="10"/>
      <c r="K42" s="3"/>
      <c r="L42" s="3"/>
    </row>
    <row r="43" spans="1:12" x14ac:dyDescent="0.4">
      <c r="A43" s="10">
        <f t="shared" si="1"/>
        <v>42</v>
      </c>
      <c r="B43" s="11" t="s">
        <v>54</v>
      </c>
      <c r="C43" s="10" t="s">
        <v>70</v>
      </c>
      <c r="D43" s="10" t="s">
        <v>2</v>
      </c>
      <c r="E43" s="10" t="s">
        <v>71</v>
      </c>
      <c r="F43" s="9">
        <v>1958</v>
      </c>
      <c r="G43" s="16">
        <v>195800</v>
      </c>
      <c r="H43" s="8">
        <v>0.7</v>
      </c>
      <c r="I43" s="9">
        <f t="shared" si="0"/>
        <v>137060</v>
      </c>
      <c r="J43" s="10"/>
      <c r="K43" s="3"/>
      <c r="L43" s="3"/>
    </row>
    <row r="44" spans="1:12" x14ac:dyDescent="0.4">
      <c r="A44" s="10">
        <f t="shared" si="1"/>
        <v>43</v>
      </c>
      <c r="B44" s="11" t="s">
        <v>54</v>
      </c>
      <c r="C44" s="10" t="s">
        <v>72</v>
      </c>
      <c r="D44" s="10" t="s">
        <v>2</v>
      </c>
      <c r="E44" s="10" t="s">
        <v>73</v>
      </c>
      <c r="F44" s="9">
        <v>758</v>
      </c>
      <c r="G44" s="16">
        <v>75800</v>
      </c>
      <c r="H44" s="8">
        <v>0.7</v>
      </c>
      <c r="I44" s="9">
        <f t="shared" si="0"/>
        <v>53060</v>
      </c>
      <c r="J44" s="10"/>
      <c r="K44" s="3"/>
      <c r="L44" s="3"/>
    </row>
    <row r="45" spans="1:12" x14ac:dyDescent="0.4">
      <c r="A45" s="10">
        <f t="shared" si="1"/>
        <v>44</v>
      </c>
      <c r="B45" s="11" t="s">
        <v>54</v>
      </c>
      <c r="C45" s="10" t="s">
        <v>74</v>
      </c>
      <c r="D45" s="10" t="s">
        <v>2</v>
      </c>
      <c r="E45" s="10" t="s">
        <v>75</v>
      </c>
      <c r="F45" s="9">
        <v>1192</v>
      </c>
      <c r="G45" s="16">
        <v>119200</v>
      </c>
      <c r="H45" s="8">
        <v>0.7</v>
      </c>
      <c r="I45" s="9">
        <f t="shared" si="0"/>
        <v>83440</v>
      </c>
      <c r="J45" s="10"/>
      <c r="K45" s="3"/>
      <c r="L45" s="3"/>
    </row>
    <row r="46" spans="1:12" x14ac:dyDescent="0.4">
      <c r="A46" s="10">
        <f t="shared" si="1"/>
        <v>45</v>
      </c>
      <c r="B46" s="11" t="s">
        <v>93</v>
      </c>
      <c r="C46" s="10" t="s">
        <v>74</v>
      </c>
      <c r="D46" s="10" t="s">
        <v>2</v>
      </c>
      <c r="E46" s="10" t="s">
        <v>76</v>
      </c>
      <c r="F46" s="9">
        <v>18943</v>
      </c>
      <c r="G46" s="16">
        <v>1894300</v>
      </c>
      <c r="H46" s="8">
        <v>0.7</v>
      </c>
      <c r="I46" s="9">
        <f t="shared" si="0"/>
        <v>1326010</v>
      </c>
      <c r="J46" s="10"/>
      <c r="K46" s="3"/>
      <c r="L46" s="3"/>
    </row>
    <row r="47" spans="1:12" x14ac:dyDescent="0.4">
      <c r="A47" s="10">
        <f t="shared" si="1"/>
        <v>46</v>
      </c>
      <c r="B47" s="11" t="s">
        <v>54</v>
      </c>
      <c r="C47" s="10" t="s">
        <v>77</v>
      </c>
      <c r="D47" s="10" t="s">
        <v>2</v>
      </c>
      <c r="E47" s="10" t="s">
        <v>78</v>
      </c>
      <c r="F47" s="9">
        <v>1122</v>
      </c>
      <c r="G47" s="16">
        <v>112200</v>
      </c>
      <c r="H47" s="8">
        <v>0.7</v>
      </c>
      <c r="I47" s="9">
        <f t="shared" si="0"/>
        <v>78540</v>
      </c>
      <c r="J47" s="10"/>
      <c r="K47" s="3"/>
      <c r="L47" s="3"/>
    </row>
    <row r="48" spans="1:12" x14ac:dyDescent="0.4">
      <c r="A48" s="10">
        <f t="shared" si="1"/>
        <v>47</v>
      </c>
      <c r="B48" s="11" t="s">
        <v>93</v>
      </c>
      <c r="C48" s="10" t="s">
        <v>79</v>
      </c>
      <c r="D48" s="10" t="s">
        <v>2</v>
      </c>
      <c r="E48" s="10" t="s">
        <v>80</v>
      </c>
      <c r="F48" s="9">
        <v>56</v>
      </c>
      <c r="G48" s="16">
        <v>5600</v>
      </c>
      <c r="H48" s="8">
        <v>0.7</v>
      </c>
      <c r="I48" s="9">
        <f t="shared" si="0"/>
        <v>3919.9999999999995</v>
      </c>
      <c r="J48" s="10"/>
      <c r="K48" s="3"/>
      <c r="L48" s="3"/>
    </row>
    <row r="49" spans="1:12" x14ac:dyDescent="0.4">
      <c r="A49" s="10">
        <f t="shared" si="1"/>
        <v>48</v>
      </c>
      <c r="B49" s="11" t="s">
        <v>93</v>
      </c>
      <c r="C49" s="10" t="s">
        <v>74</v>
      </c>
      <c r="D49" s="10" t="s">
        <v>2</v>
      </c>
      <c r="E49" s="10" t="s">
        <v>101</v>
      </c>
      <c r="F49" s="9">
        <v>279</v>
      </c>
      <c r="G49" s="16">
        <v>27900</v>
      </c>
      <c r="H49" s="8">
        <v>0.7</v>
      </c>
      <c r="I49" s="9">
        <f t="shared" si="0"/>
        <v>19530</v>
      </c>
      <c r="J49" s="10"/>
      <c r="K49" s="3"/>
      <c r="L49" s="3"/>
    </row>
    <row r="50" spans="1:12" x14ac:dyDescent="0.4">
      <c r="A50" s="10">
        <f t="shared" si="1"/>
        <v>49</v>
      </c>
      <c r="B50" s="11" t="s">
        <v>54</v>
      </c>
      <c r="C50" s="10" t="s">
        <v>102</v>
      </c>
      <c r="D50" s="10" t="s">
        <v>2</v>
      </c>
      <c r="E50" s="10" t="s">
        <v>103</v>
      </c>
      <c r="F50" s="9">
        <v>45</v>
      </c>
      <c r="G50" s="16">
        <v>4500</v>
      </c>
      <c r="H50" s="8">
        <v>0.7</v>
      </c>
      <c r="I50" s="9">
        <f t="shared" si="0"/>
        <v>3150</v>
      </c>
      <c r="J50" s="10"/>
      <c r="K50" s="3"/>
      <c r="L50" s="3"/>
    </row>
    <row r="51" spans="1:12" x14ac:dyDescent="0.4">
      <c r="A51" s="10">
        <f t="shared" si="1"/>
        <v>50</v>
      </c>
      <c r="B51" s="11" t="s">
        <v>93</v>
      </c>
      <c r="C51" s="10" t="s">
        <v>104</v>
      </c>
      <c r="D51" s="10" t="s">
        <v>2</v>
      </c>
      <c r="E51" s="10" t="s">
        <v>105</v>
      </c>
      <c r="F51" s="9">
        <v>62</v>
      </c>
      <c r="G51" s="16">
        <v>6200</v>
      </c>
      <c r="H51" s="8">
        <v>0.7</v>
      </c>
      <c r="I51" s="9">
        <f t="shared" si="0"/>
        <v>4340</v>
      </c>
      <c r="J51" s="10"/>
      <c r="K51" s="3"/>
      <c r="L51" s="3"/>
    </row>
    <row r="52" spans="1:12" x14ac:dyDescent="0.4">
      <c r="A52" s="10">
        <f t="shared" si="1"/>
        <v>51</v>
      </c>
      <c r="B52" s="11" t="s">
        <v>54</v>
      </c>
      <c r="C52" s="10" t="s">
        <v>106</v>
      </c>
      <c r="D52" s="10" t="s">
        <v>2</v>
      </c>
      <c r="E52" s="10" t="s">
        <v>107</v>
      </c>
      <c r="F52" s="9">
        <v>148</v>
      </c>
      <c r="G52" s="16">
        <v>14800</v>
      </c>
      <c r="H52" s="8">
        <v>0.7</v>
      </c>
      <c r="I52" s="9">
        <f t="shared" si="0"/>
        <v>10360</v>
      </c>
      <c r="J52" s="10"/>
      <c r="K52" s="3"/>
      <c r="L52" s="3"/>
    </row>
    <row r="53" spans="1:12" x14ac:dyDescent="0.4">
      <c r="A53" s="10">
        <f t="shared" si="1"/>
        <v>52</v>
      </c>
      <c r="B53" s="11" t="s">
        <v>54</v>
      </c>
      <c r="C53" s="10" t="s">
        <v>108</v>
      </c>
      <c r="D53" s="10" t="s">
        <v>2</v>
      </c>
      <c r="E53" s="10" t="s">
        <v>109</v>
      </c>
      <c r="F53" s="9">
        <v>25</v>
      </c>
      <c r="G53" s="16">
        <v>2500</v>
      </c>
      <c r="H53" s="8">
        <v>0.7</v>
      </c>
      <c r="I53" s="9">
        <f t="shared" si="0"/>
        <v>1750</v>
      </c>
      <c r="J53" s="10"/>
      <c r="K53" s="3"/>
      <c r="L53" s="3"/>
    </row>
    <row r="54" spans="1:12" x14ac:dyDescent="0.4">
      <c r="A54" s="10">
        <f t="shared" si="1"/>
        <v>53</v>
      </c>
      <c r="B54" s="11" t="s">
        <v>54</v>
      </c>
      <c r="C54" s="10" t="s">
        <v>61</v>
      </c>
      <c r="D54" s="10" t="s">
        <v>2</v>
      </c>
      <c r="E54" s="10" t="s">
        <v>110</v>
      </c>
      <c r="F54" s="9">
        <v>38</v>
      </c>
      <c r="G54" s="16">
        <v>3800</v>
      </c>
      <c r="H54" s="8">
        <v>0.7</v>
      </c>
      <c r="I54" s="9">
        <f t="shared" si="0"/>
        <v>2660</v>
      </c>
      <c r="J54" s="10"/>
      <c r="K54" s="3"/>
      <c r="L54" s="3"/>
    </row>
    <row r="55" spans="1:12" x14ac:dyDescent="0.4">
      <c r="A55" s="10">
        <f t="shared" si="1"/>
        <v>54</v>
      </c>
      <c r="B55" s="11" t="s">
        <v>54</v>
      </c>
      <c r="C55" s="10" t="s">
        <v>111</v>
      </c>
      <c r="D55" s="10" t="s">
        <v>2</v>
      </c>
      <c r="E55" s="10" t="s">
        <v>112</v>
      </c>
      <c r="F55" s="9">
        <v>91</v>
      </c>
      <c r="G55" s="16">
        <v>9100</v>
      </c>
      <c r="H55" s="8">
        <v>0.7</v>
      </c>
      <c r="I55" s="9">
        <f t="shared" si="0"/>
        <v>6370</v>
      </c>
      <c r="J55" s="10"/>
      <c r="K55" s="3"/>
      <c r="L55" s="3"/>
    </row>
    <row r="56" spans="1:12" x14ac:dyDescent="0.4">
      <c r="A56" s="10">
        <f t="shared" si="1"/>
        <v>55</v>
      </c>
      <c r="B56" s="11" t="s">
        <v>54</v>
      </c>
      <c r="C56" s="10" t="s">
        <v>113</v>
      </c>
      <c r="D56" s="10" t="s">
        <v>2</v>
      </c>
      <c r="E56" s="10" t="s">
        <v>114</v>
      </c>
      <c r="F56" s="9">
        <v>3</v>
      </c>
      <c r="G56" s="16">
        <v>300</v>
      </c>
      <c r="H56" s="8">
        <v>0.7</v>
      </c>
      <c r="I56" s="9">
        <f t="shared" si="0"/>
        <v>210</v>
      </c>
      <c r="J56" s="10"/>
      <c r="K56" s="3"/>
      <c r="L56" s="3"/>
    </row>
    <row r="57" spans="1:12" x14ac:dyDescent="0.4">
      <c r="A57" s="10">
        <f t="shared" si="1"/>
        <v>56</v>
      </c>
      <c r="B57" s="11" t="s">
        <v>93</v>
      </c>
      <c r="C57" s="10" t="s">
        <v>72</v>
      </c>
      <c r="D57" s="10" t="s">
        <v>2</v>
      </c>
      <c r="E57" s="10" t="s">
        <v>73</v>
      </c>
      <c r="F57" s="9">
        <v>241</v>
      </c>
      <c r="G57" s="14">
        <v>24100</v>
      </c>
      <c r="H57" s="8">
        <v>0.7</v>
      </c>
      <c r="I57" s="9">
        <f t="shared" si="0"/>
        <v>16870</v>
      </c>
      <c r="J57" s="10" t="s">
        <v>42</v>
      </c>
      <c r="K57" s="3"/>
      <c r="L57" s="3"/>
    </row>
    <row r="58" spans="1:12" x14ac:dyDescent="0.4">
      <c r="A58" s="10">
        <f t="shared" si="1"/>
        <v>57</v>
      </c>
      <c r="B58" s="11" t="s">
        <v>93</v>
      </c>
      <c r="C58" s="10" t="s">
        <v>70</v>
      </c>
      <c r="D58" s="10" t="s">
        <v>2</v>
      </c>
      <c r="E58" s="10" t="s">
        <v>71</v>
      </c>
      <c r="F58" s="9">
        <v>113</v>
      </c>
      <c r="G58" s="14">
        <v>11300</v>
      </c>
      <c r="H58" s="8">
        <v>0.7</v>
      </c>
      <c r="I58" s="9">
        <f t="shared" si="0"/>
        <v>7909.9999999999991</v>
      </c>
      <c r="J58" s="10" t="s">
        <v>42</v>
      </c>
      <c r="K58" s="3"/>
      <c r="L58" s="3"/>
    </row>
    <row r="59" spans="1:12" x14ac:dyDescent="0.4">
      <c r="A59" s="10">
        <f t="shared" si="1"/>
        <v>58</v>
      </c>
      <c r="B59" s="11" t="s">
        <v>93</v>
      </c>
      <c r="C59" s="10" t="s">
        <v>63</v>
      </c>
      <c r="D59" s="10" t="s">
        <v>2</v>
      </c>
      <c r="E59" s="10" t="s">
        <v>64</v>
      </c>
      <c r="F59" s="9">
        <v>59</v>
      </c>
      <c r="G59" s="14">
        <v>5900</v>
      </c>
      <c r="H59" s="8">
        <v>0.7</v>
      </c>
      <c r="I59" s="9">
        <f t="shared" si="0"/>
        <v>4130</v>
      </c>
      <c r="J59" s="10" t="s">
        <v>42</v>
      </c>
      <c r="K59" s="3"/>
      <c r="L59" s="3"/>
    </row>
    <row r="60" spans="1:12" x14ac:dyDescent="0.4">
      <c r="A60" s="10">
        <f t="shared" si="1"/>
        <v>59</v>
      </c>
      <c r="B60" s="11" t="s">
        <v>93</v>
      </c>
      <c r="C60" s="10" t="s">
        <v>61</v>
      </c>
      <c r="D60" s="10" t="s">
        <v>2</v>
      </c>
      <c r="E60" s="10" t="s">
        <v>62</v>
      </c>
      <c r="F60" s="9">
        <v>183</v>
      </c>
      <c r="G60" s="14">
        <v>18300</v>
      </c>
      <c r="H60" s="8">
        <v>0.7</v>
      </c>
      <c r="I60" s="9">
        <f t="shared" si="0"/>
        <v>12810</v>
      </c>
      <c r="J60" s="10" t="s">
        <v>115</v>
      </c>
      <c r="K60" s="3"/>
      <c r="L60" s="3"/>
    </row>
    <row r="61" spans="1:12" x14ac:dyDescent="0.4">
      <c r="A61" s="10">
        <f t="shared" si="1"/>
        <v>60</v>
      </c>
      <c r="B61" s="11" t="s">
        <v>99</v>
      </c>
      <c r="C61" s="10" t="s">
        <v>57</v>
      </c>
      <c r="D61" s="10" t="s">
        <v>2</v>
      </c>
      <c r="E61" s="10" t="s">
        <v>58</v>
      </c>
      <c r="F61" s="9">
        <v>22</v>
      </c>
      <c r="G61" s="14">
        <v>2200</v>
      </c>
      <c r="H61" s="8">
        <v>0.7</v>
      </c>
      <c r="I61" s="9">
        <f t="shared" si="0"/>
        <v>1540</v>
      </c>
      <c r="J61" s="10" t="s">
        <v>115</v>
      </c>
      <c r="K61" s="3"/>
      <c r="L61" s="3"/>
    </row>
    <row r="62" spans="1:12" x14ac:dyDescent="0.4">
      <c r="I62" s="19">
        <f>SUM(I2:I61)</f>
        <v>2704730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2022-07-04T08:09:43Z</dcterms:modified>
</cp:coreProperties>
</file>