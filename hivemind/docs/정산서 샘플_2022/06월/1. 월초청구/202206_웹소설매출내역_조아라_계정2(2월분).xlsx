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930"/>
  </bookViews>
  <sheets>
    <sheet name="합계(2)" sheetId="563" r:id="rId1"/>
  </sheets>
  <definedNames>
    <definedName name="_xlnm._FilterDatabase" localSheetId="0" hidden="1">'합계(2)'!$A$1:$I$112</definedName>
    <definedName name="_xlnm.Extract" localSheetId="0">'합계(2)'!#REF!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3" i="563" l="1"/>
  <c r="E108" i="563" l="1"/>
  <c r="E110" i="563"/>
  <c r="E111" i="563" s="1"/>
  <c r="E112" i="563" l="1"/>
</calcChain>
</file>

<file path=xl/sharedStrings.xml><?xml version="1.0" encoding="utf-8"?>
<sst xmlns="http://schemas.openxmlformats.org/spreadsheetml/2006/main" count="98" uniqueCount="88">
  <si>
    <t>면세금액</t>
    <phoneticPr fontId="2" type="noConversion"/>
  </si>
  <si>
    <t>청구액</t>
    <phoneticPr fontId="2" type="noConversion"/>
  </si>
  <si>
    <t>부가세</t>
    <phoneticPr fontId="2" type="noConversion"/>
  </si>
  <si>
    <t>합계</t>
    <phoneticPr fontId="2" type="noConversion"/>
  </si>
  <si>
    <t>A</t>
    <phoneticPr fontId="2" type="noConversion"/>
  </si>
  <si>
    <t>A/1.1</t>
    <phoneticPr fontId="2" type="noConversion"/>
  </si>
  <si>
    <t>후원쿠폰정산금액</t>
    <phoneticPr fontId="2" type="noConversion"/>
  </si>
  <si>
    <t>작가명</t>
  </si>
  <si>
    <t>단가</t>
  </si>
  <si>
    <t>작품명</t>
  </si>
  <si>
    <t>비율</t>
  </si>
  <si>
    <t>판매건수</t>
  </si>
  <si>
    <t>작품코드</t>
  </si>
  <si>
    <t>정산금액</t>
  </si>
  <si>
    <t>쿠폰(VAT포함)</t>
    <phoneticPr fontId="2" type="noConversion"/>
  </si>
  <si>
    <t>출판사명</t>
    <phoneticPr fontId="2" type="noConversion"/>
  </si>
  <si>
    <t>악당의 리턴!</t>
  </si>
  <si>
    <t>강호  미치다</t>
  </si>
  <si>
    <t>폭군의 공물</t>
  </si>
  <si>
    <t>모어 댄 블루</t>
  </si>
  <si>
    <t>더티독</t>
  </si>
  <si>
    <t>피할 수 없으면 즐겨라</t>
  </si>
  <si>
    <t>나는 내 연인의 것</t>
  </si>
  <si>
    <t>마지막 춤은  악인과 함께</t>
  </si>
  <si>
    <t>끝도 없이 젖어드는</t>
  </si>
  <si>
    <t>돌아갈 수 없는</t>
  </si>
  <si>
    <t>뉴욕 키스 스캔들</t>
  </si>
  <si>
    <t>신들의 성소</t>
  </si>
  <si>
    <t>엠프티(Empty)</t>
  </si>
  <si>
    <t>나쁜 피</t>
  </si>
  <si>
    <t>헌터 킹</t>
  </si>
  <si>
    <t>기획에 산다</t>
  </si>
  <si>
    <t>육식주의자</t>
  </si>
  <si>
    <t>은아 멸치국수집</t>
  </si>
  <si>
    <t>미칠 광(狂)  너에게 미치다</t>
  </si>
  <si>
    <t>가장 완벽한 인질</t>
  </si>
  <si>
    <t>라스트 스노우폴(Last Snowfall)</t>
  </si>
  <si>
    <t>왓 유 원트(What you want)</t>
  </si>
  <si>
    <t>완벽한 이상형</t>
  </si>
  <si>
    <t>황궁애사</t>
  </si>
  <si>
    <t>익스클루시브(Exclusive)</t>
  </si>
  <si>
    <t>그 순간  별이 빛났다</t>
  </si>
  <si>
    <t xml:space="preserve">개만도 못한 </t>
  </si>
  <si>
    <t>진도넛</t>
  </si>
  <si>
    <t>무적살수</t>
  </si>
  <si>
    <t>로맨스는 아닙니다</t>
  </si>
  <si>
    <t>선배님  흔들어주세요</t>
  </si>
  <si>
    <t>김매콤</t>
  </si>
  <si>
    <t>너드 공략집</t>
  </si>
  <si>
    <t>달보드레</t>
  </si>
  <si>
    <t>무림병장</t>
  </si>
  <si>
    <t>더블 파울(Double Foul)</t>
  </si>
  <si>
    <t>붉은 가을이 깃드는 너에게</t>
  </si>
  <si>
    <t>하루하루</t>
  </si>
  <si>
    <t>홍염의 덫</t>
  </si>
  <si>
    <t>꼭꼭 숨어라(Wherever you are)</t>
  </si>
  <si>
    <t>거울 호흡</t>
  </si>
  <si>
    <t>귀수: 나비가 머문 별</t>
  </si>
  <si>
    <t>주먹 구십구</t>
  </si>
  <si>
    <t>백범</t>
  </si>
  <si>
    <t>최재봉</t>
  </si>
  <si>
    <t>여러해살이풀</t>
  </si>
  <si>
    <t>나나코</t>
  </si>
  <si>
    <t>용가리맛쿠키</t>
  </si>
  <si>
    <t>한슬</t>
  </si>
  <si>
    <t>SISSI</t>
  </si>
  <si>
    <t>이서윤</t>
  </si>
  <si>
    <t>키도</t>
  </si>
  <si>
    <t>중년바나나</t>
  </si>
  <si>
    <t>라돌체</t>
  </si>
  <si>
    <t>이예즈</t>
  </si>
  <si>
    <t>배추적</t>
  </si>
  <si>
    <t>정연서</t>
  </si>
  <si>
    <t>주해나</t>
  </si>
  <si>
    <t>설연</t>
  </si>
  <si>
    <t>달과자</t>
  </si>
  <si>
    <t>지니</t>
  </si>
  <si>
    <t>연유</t>
  </si>
  <si>
    <t>사틴</t>
  </si>
  <si>
    <t>성실</t>
  </si>
  <si>
    <t>협행마</t>
  </si>
  <si>
    <t>해양정원</t>
  </si>
  <si>
    <t>이다겸</t>
  </si>
  <si>
    <t>시아</t>
  </si>
  <si>
    <t>채플린</t>
  </si>
  <si>
    <t>무슈슈</t>
  </si>
  <si>
    <t>감또개</t>
  </si>
  <si>
    <t>마연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</si>
</sst>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_(* #,##0_);_(* \(#,##0\);_(* &quot;-&quot;_);_(@_)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21">
    <xf numFmtId="0" fontId="0" fillId="0" borderId="0" xfId="0">
      <alignment vertical="center"/>
    </xf>
    <xf numFmtId="3" fontId="3" fillId="2" borderId="1" xfId="0" applyNumberFormat="1" applyFont="1" applyFill="1" applyBorder="1" applyAlignment="1">
      <alignment vertical="center"/>
    </xf>
    <xf numFmtId="0" fontId="3" fillId="0" borderId="0" xfId="0" applyFont="1" applyFill="1" applyBorder="1">
      <alignment vertical="center"/>
    </xf>
    <xf numFmtId="0" fontId="3" fillId="0" borderId="0" xfId="0" applyFont="1" applyFill="1" applyBorder="1" applyAlignment="1">
      <alignment horizontal="center" vertical="center"/>
    </xf>
    <xf numFmtId="3" fontId="4" fillId="3" borderId="1" xfId="0" applyNumberFormat="1" applyFont="1" applyFill="1" applyBorder="1" applyAlignment="1">
      <alignment vertical="center"/>
    </xf>
    <xf numFmtId="3" fontId="3" fillId="0" borderId="0" xfId="0" applyNumberFormat="1" applyFont="1" applyFill="1" applyBorder="1" applyAlignment="1">
      <alignment horizontal="center" vertical="center"/>
    </xf>
    <xf numFmtId="176" fontId="3" fillId="0" borderId="0" xfId="1" applyFont="1" applyFill="1" applyBorder="1" applyAlignment="1">
      <alignment horizontal="center" vertical="center"/>
    </xf>
    <xf numFmtId="176" fontId="4" fillId="2" borderId="1" xfId="1" applyFont="1" applyFill="1" applyBorder="1" applyAlignment="1">
      <alignment horizontal="center" vertical="center" wrapText="1"/>
    </xf>
    <xf numFmtId="176" fontId="4" fillId="3" borderId="1" xfId="1" applyFont="1" applyFill="1" applyBorder="1" applyAlignment="1">
      <alignment horizontal="center" vertical="center" wrapText="1"/>
    </xf>
    <xf numFmtId="0" fontId="5" fillId="0" borderId="0" xfId="2">
      <alignment vertical="center"/>
    </xf>
    <xf numFmtId="3" fontId="3" fillId="0" borderId="0" xfId="0" applyNumberFormat="1" applyFont="1" applyFill="1" applyBorder="1">
      <alignment vertical="center"/>
    </xf>
    <xf numFmtId="0" fontId="5" fillId="0" borderId="0" xfId="3">
      <alignment vertical="center"/>
    </xf>
    <xf numFmtId="9" fontId="5" fillId="0" borderId="0" xfId="3" applyNumberFormat="1">
      <alignment vertical="center"/>
    </xf>
    <xf numFmtId="0" fontId="5" fillId="0" borderId="0" xfId="3" applyAlignment="1">
      <alignment horizontal="left" vertical="center"/>
    </xf>
    <xf numFmtId="0" fontId="5" fillId="0" borderId="0" xfId="3" applyAlignment="1">
      <alignment horizontal="right" vertical="center"/>
    </xf>
    <xf numFmtId="176" fontId="5" fillId="3" borderId="0" xfId="1" applyFont="1" applyFill="1">
      <alignment vertical="center"/>
    </xf>
    <xf numFmtId="176" fontId="5" fillId="0" borderId="0" xfId="1" applyFont="1">
      <alignment vertical="center"/>
    </xf>
    <xf numFmtId="176" fontId="3" fillId="0" borderId="0" xfId="1" applyFont="1" applyFill="1" applyBorder="1">
      <alignment vertical="center"/>
    </xf>
    <xf numFmtId="9" fontId="0" fillId="0" borderId="0" xfId="0" applyNumberFormat="1">
      <alignment vertical="center"/>
    </xf>
    <xf numFmtId="176" fontId="0" fillId="0" borderId="0" xfId="1" applyFont="1">
      <alignment vertical="center"/>
    </xf>
    <xf numFmtId="176" fontId="6" fillId="3" borderId="0" xfId="1" applyFont="1" applyFill="1">
      <alignment vertical="center"/>
    </xf>
  </cellXfs>
  <cellStyles count="4">
    <cellStyle name="쉼표 [0]" xfId="1" builtinId="6"/>
    <cellStyle name="표준" xfId="0" builtinId="0"/>
    <cellStyle name="표준_합계 (6)" xfId="2"/>
    <cellStyle name="표준_합계 (8)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112"/>
  <sheetViews>
    <sheetView tabSelected="1" zoomScale="70" zoomScaleNormal="70" workbookViewId="0"/>
  </sheetViews>
  <sheetFormatPr defaultColWidth="9" defaultRowHeight="17.399999999999999" x14ac:dyDescent="0.4"/>
  <cols>
    <col min="1" max="1" width="25.69921875" style="3" customWidth="1"/>
    <col min="2" max="2" width="18.8984375" style="2" customWidth="1"/>
    <col min="3" max="3" width="12.8984375" style="2" customWidth="1"/>
    <col min="4" max="4" width="15.3984375" style="6" customWidth="1"/>
    <col min="5" max="5" width="12" style="2" customWidth="1"/>
    <col min="6" max="6" width="16" style="3" customWidth="1"/>
    <col min="7" max="7" width="11.69921875" style="17" customWidth="1"/>
    <col min="8" max="8" width="9" style="2"/>
    <col min="9" max="9" width="9.5" style="2" bestFit="1" customWidth="1"/>
    <col min="10" max="16384" width="9" style="2"/>
  </cols>
  <sheetData>
    <row r="1" spans="1:8" ht="25.2" customHeight="1" x14ac:dyDescent="0.4">
      <c r="A1" s="9" t="s">
        <v>9</v>
      </c>
      <c r="B1" s="9" t="s">
        <v>12</v>
      </c>
      <c r="C1" s="9" t="s">
        <v>7</v>
      </c>
      <c r="D1" s="9" t="s">
        <v>8</v>
      </c>
      <c r="E1" s="9" t="s">
        <v>11</v>
      </c>
      <c r="F1" s="9" t="s">
        <v>10</v>
      </c>
      <c r="G1" s="16" t="s">
        <v>13</v>
      </c>
      <c r="H1" s="2" t="s">
        <v>15</v>
      </c>
    </row>
    <row r="2" spans="1:8" x14ac:dyDescent="0.4">
      <c r="A2" t="s">
        <v>16</v>
      </c>
      <c r="B2">
        <v>1369748</v>
      </c>
      <c r="C2" t="s">
        <v>59</v>
      </c>
      <c r="D2">
        <v>100</v>
      </c>
      <c r="E2">
        <v>65</v>
      </c>
      <c r="F2" s="18">
        <v>0.6</v>
      </c>
      <c r="G2">
        <v>3900</v>
      </c>
      <c r="H2"/>
    </row>
    <row r="3" spans="1:8" x14ac:dyDescent="0.4">
      <c r="A3" t="s">
        <v>17</v>
      </c>
      <c r="B3">
        <v>1471519</v>
      </c>
      <c r="C3" t="s">
        <v>60</v>
      </c>
      <c r="D3">
        <v>100</v>
      </c>
      <c r="E3">
        <v>304</v>
      </c>
      <c r="F3" s="18">
        <v>0.6</v>
      </c>
      <c r="G3">
        <v>18240</v>
      </c>
      <c r="H3"/>
    </row>
    <row r="4" spans="1:8" ht="19.2" customHeight="1" x14ac:dyDescent="0.4">
      <c r="A4" t="s">
        <v>18</v>
      </c>
      <c r="B4">
        <v>1502380</v>
      </c>
      <c r="C4" t="s">
        <v>61</v>
      </c>
      <c r="D4">
        <v>100</v>
      </c>
      <c r="E4">
        <v>72</v>
      </c>
      <c r="F4" s="18">
        <v>0.6</v>
      </c>
      <c r="G4">
        <v>4320</v>
      </c>
      <c r="H4"/>
    </row>
    <row r="5" spans="1:8" x14ac:dyDescent="0.4">
      <c r="A5" t="s">
        <v>19</v>
      </c>
      <c r="B5">
        <v>1502386</v>
      </c>
      <c r="C5" t="s">
        <v>62</v>
      </c>
      <c r="D5">
        <v>100</v>
      </c>
      <c r="E5">
        <v>8</v>
      </c>
      <c r="F5" s="18">
        <v>0.6</v>
      </c>
      <c r="G5">
        <v>480</v>
      </c>
      <c r="H5"/>
    </row>
    <row r="6" spans="1:8" x14ac:dyDescent="0.4">
      <c r="A6" t="s">
        <v>20</v>
      </c>
      <c r="B6">
        <v>1504022</v>
      </c>
      <c r="C6" t="s">
        <v>63</v>
      </c>
      <c r="D6">
        <v>100</v>
      </c>
      <c r="E6">
        <v>24</v>
      </c>
      <c r="F6" s="18">
        <v>0.6</v>
      </c>
      <c r="G6">
        <v>1440</v>
      </c>
      <c r="H6"/>
    </row>
    <row r="7" spans="1:8" x14ac:dyDescent="0.4">
      <c r="A7" t="s">
        <v>21</v>
      </c>
      <c r="B7">
        <v>1504504</v>
      </c>
      <c r="C7" t="s">
        <v>64</v>
      </c>
      <c r="D7">
        <v>100</v>
      </c>
      <c r="E7">
        <v>122</v>
      </c>
      <c r="F7" s="18">
        <v>0.6</v>
      </c>
      <c r="G7">
        <v>7320</v>
      </c>
      <c r="H7"/>
    </row>
    <row r="8" spans="1:8" x14ac:dyDescent="0.4">
      <c r="A8" t="s">
        <v>22</v>
      </c>
      <c r="B8">
        <v>1506057</v>
      </c>
      <c r="C8" t="s">
        <v>65</v>
      </c>
      <c r="D8">
        <v>100</v>
      </c>
      <c r="E8">
        <v>51</v>
      </c>
      <c r="F8" s="18">
        <v>0.6</v>
      </c>
      <c r="G8">
        <v>3060</v>
      </c>
      <c r="H8"/>
    </row>
    <row r="9" spans="1:8" x14ac:dyDescent="0.4">
      <c r="A9" t="s">
        <v>23</v>
      </c>
      <c r="B9">
        <v>1506317</v>
      </c>
      <c r="C9" t="s">
        <v>65</v>
      </c>
      <c r="D9">
        <v>100</v>
      </c>
      <c r="E9">
        <v>2</v>
      </c>
      <c r="F9" s="18">
        <v>0.6</v>
      </c>
      <c r="G9">
        <v>120</v>
      </c>
      <c r="H9"/>
    </row>
    <row r="10" spans="1:8" x14ac:dyDescent="0.4">
      <c r="A10" t="s">
        <v>24</v>
      </c>
      <c r="B10">
        <v>1507833</v>
      </c>
      <c r="C10" t="s">
        <v>66</v>
      </c>
      <c r="D10">
        <v>100</v>
      </c>
      <c r="E10">
        <v>3</v>
      </c>
      <c r="F10" s="18">
        <v>0.6</v>
      </c>
      <c r="G10">
        <v>180</v>
      </c>
      <c r="H10"/>
    </row>
    <row r="11" spans="1:8" x14ac:dyDescent="0.4">
      <c r="A11" t="s">
        <v>25</v>
      </c>
      <c r="B11">
        <v>1509503</v>
      </c>
      <c r="C11" t="s">
        <v>67</v>
      </c>
      <c r="D11">
        <v>100</v>
      </c>
      <c r="E11">
        <v>5</v>
      </c>
      <c r="F11" s="18">
        <v>0.6</v>
      </c>
      <c r="G11">
        <v>300</v>
      </c>
      <c r="H11"/>
    </row>
    <row r="12" spans="1:8" x14ac:dyDescent="0.4">
      <c r="A12" t="s">
        <v>26</v>
      </c>
      <c r="B12">
        <v>1510249</v>
      </c>
      <c r="C12" t="s">
        <v>63</v>
      </c>
      <c r="D12">
        <v>100</v>
      </c>
      <c r="E12">
        <v>91</v>
      </c>
      <c r="F12" s="18">
        <v>0.6</v>
      </c>
      <c r="G12">
        <v>5460</v>
      </c>
      <c r="H12"/>
    </row>
    <row r="13" spans="1:8" x14ac:dyDescent="0.4">
      <c r="A13" t="s">
        <v>27</v>
      </c>
      <c r="B13">
        <v>1510546</v>
      </c>
      <c r="C13" t="s">
        <v>68</v>
      </c>
      <c r="D13">
        <v>100</v>
      </c>
      <c r="E13">
        <v>29</v>
      </c>
      <c r="F13" s="18">
        <v>0.6</v>
      </c>
      <c r="G13">
        <v>1740</v>
      </c>
      <c r="H13"/>
    </row>
    <row r="14" spans="1:8" x14ac:dyDescent="0.4">
      <c r="A14" t="s">
        <v>28</v>
      </c>
      <c r="B14">
        <v>1510550</v>
      </c>
      <c r="C14" t="s">
        <v>69</v>
      </c>
      <c r="D14">
        <v>100</v>
      </c>
      <c r="E14">
        <v>29</v>
      </c>
      <c r="F14" s="18">
        <v>0.6</v>
      </c>
      <c r="G14">
        <v>1740</v>
      </c>
      <c r="H14"/>
    </row>
    <row r="15" spans="1:8" x14ac:dyDescent="0.4">
      <c r="A15" t="s">
        <v>29</v>
      </c>
      <c r="B15">
        <v>1511427</v>
      </c>
      <c r="C15" t="s">
        <v>70</v>
      </c>
      <c r="D15">
        <v>100</v>
      </c>
      <c r="E15">
        <v>136</v>
      </c>
      <c r="F15" s="18">
        <v>0.6</v>
      </c>
      <c r="G15">
        <v>8160</v>
      </c>
      <c r="H15"/>
    </row>
    <row r="16" spans="1:8" x14ac:dyDescent="0.4">
      <c r="A16" t="s">
        <v>30</v>
      </c>
      <c r="B16">
        <v>1512071</v>
      </c>
      <c r="C16" t="s">
        <v>59</v>
      </c>
      <c r="D16">
        <v>100</v>
      </c>
      <c r="E16">
        <v>361</v>
      </c>
      <c r="F16" s="18">
        <v>0.6</v>
      </c>
      <c r="G16">
        <v>21660</v>
      </c>
      <c r="H16"/>
    </row>
    <row r="17" spans="1:8" x14ac:dyDescent="0.4">
      <c r="A17" t="s">
        <v>31</v>
      </c>
      <c r="B17">
        <v>1512510</v>
      </c>
      <c r="C17" t="s">
        <v>59</v>
      </c>
      <c r="D17">
        <v>100</v>
      </c>
      <c r="E17">
        <v>220</v>
      </c>
      <c r="F17" s="18">
        <v>0.6</v>
      </c>
      <c r="G17">
        <v>13200</v>
      </c>
      <c r="H17"/>
    </row>
    <row r="18" spans="1:8" x14ac:dyDescent="0.4">
      <c r="A18" t="s">
        <v>32</v>
      </c>
      <c r="B18">
        <v>1543706</v>
      </c>
      <c r="C18" t="s">
        <v>65</v>
      </c>
      <c r="D18">
        <v>100</v>
      </c>
      <c r="E18">
        <v>7</v>
      </c>
      <c r="F18" s="18">
        <v>0.6</v>
      </c>
      <c r="G18">
        <v>420</v>
      </c>
      <c r="H18"/>
    </row>
    <row r="19" spans="1:8" x14ac:dyDescent="0.4">
      <c r="A19" t="s">
        <v>33</v>
      </c>
      <c r="B19">
        <v>1544995</v>
      </c>
      <c r="C19" t="s">
        <v>71</v>
      </c>
      <c r="D19">
        <v>100</v>
      </c>
      <c r="E19">
        <v>8</v>
      </c>
      <c r="F19" s="18">
        <v>0.6</v>
      </c>
      <c r="G19">
        <v>480</v>
      </c>
      <c r="H19"/>
    </row>
    <row r="20" spans="1:8" x14ac:dyDescent="0.4">
      <c r="A20" t="s">
        <v>34</v>
      </c>
      <c r="B20">
        <v>1545187</v>
      </c>
      <c r="C20" t="s">
        <v>72</v>
      </c>
      <c r="D20">
        <v>100</v>
      </c>
      <c r="E20">
        <v>33</v>
      </c>
      <c r="F20" s="18">
        <v>0.6</v>
      </c>
      <c r="G20">
        <v>1980</v>
      </c>
      <c r="H20"/>
    </row>
    <row r="21" spans="1:8" x14ac:dyDescent="0.4">
      <c r="A21" t="s">
        <v>35</v>
      </c>
      <c r="B21">
        <v>1547198</v>
      </c>
      <c r="C21" t="s">
        <v>73</v>
      </c>
      <c r="D21">
        <v>100</v>
      </c>
      <c r="E21">
        <v>1</v>
      </c>
      <c r="F21" s="18">
        <v>0.6</v>
      </c>
      <c r="G21">
        <v>60</v>
      </c>
      <c r="H21"/>
    </row>
    <row r="22" spans="1:8" x14ac:dyDescent="0.4">
      <c r="A22" t="s">
        <v>36</v>
      </c>
      <c r="B22">
        <v>1547200</v>
      </c>
      <c r="C22" t="s">
        <v>74</v>
      </c>
      <c r="D22">
        <v>100</v>
      </c>
      <c r="E22">
        <v>30</v>
      </c>
      <c r="F22" s="18">
        <v>0.6</v>
      </c>
      <c r="G22">
        <v>1800</v>
      </c>
      <c r="H22"/>
    </row>
    <row r="23" spans="1:8" x14ac:dyDescent="0.4">
      <c r="A23" t="s">
        <v>37</v>
      </c>
      <c r="B23">
        <v>1548131</v>
      </c>
      <c r="C23" t="s">
        <v>75</v>
      </c>
      <c r="D23">
        <v>100</v>
      </c>
      <c r="E23">
        <v>4</v>
      </c>
      <c r="F23" s="18">
        <v>0.6</v>
      </c>
      <c r="G23">
        <v>240</v>
      </c>
      <c r="H23"/>
    </row>
    <row r="24" spans="1:8" x14ac:dyDescent="0.4">
      <c r="A24" t="s">
        <v>38</v>
      </c>
      <c r="B24">
        <v>1548648</v>
      </c>
      <c r="C24" t="s">
        <v>76</v>
      </c>
      <c r="D24">
        <v>100</v>
      </c>
      <c r="E24">
        <v>21</v>
      </c>
      <c r="F24" s="18">
        <v>0.6</v>
      </c>
      <c r="G24">
        <v>1260</v>
      </c>
      <c r="H24"/>
    </row>
    <row r="25" spans="1:8" x14ac:dyDescent="0.4">
      <c r="A25" t="s">
        <v>39</v>
      </c>
      <c r="B25">
        <v>1549052</v>
      </c>
      <c r="C25" t="s">
        <v>77</v>
      </c>
      <c r="D25">
        <v>100</v>
      </c>
      <c r="E25">
        <v>109</v>
      </c>
      <c r="F25" s="18">
        <v>0.6</v>
      </c>
      <c r="G25">
        <v>6540</v>
      </c>
      <c r="H25"/>
    </row>
    <row r="26" spans="1:8" x14ac:dyDescent="0.4">
      <c r="A26" t="s">
        <v>40</v>
      </c>
      <c r="B26">
        <v>1569272</v>
      </c>
      <c r="C26" t="s">
        <v>78</v>
      </c>
      <c r="D26">
        <v>100</v>
      </c>
      <c r="E26">
        <v>2</v>
      </c>
      <c r="F26" s="18">
        <v>0.6</v>
      </c>
      <c r="G26">
        <v>120</v>
      </c>
      <c r="H26"/>
    </row>
    <row r="27" spans="1:8" x14ac:dyDescent="0.4">
      <c r="A27" t="s">
        <v>41</v>
      </c>
      <c r="B27">
        <v>1569812</v>
      </c>
      <c r="C27" t="s">
        <v>79</v>
      </c>
      <c r="D27">
        <v>100</v>
      </c>
      <c r="E27">
        <v>106</v>
      </c>
      <c r="F27" s="18">
        <v>0.6</v>
      </c>
      <c r="G27">
        <v>6360</v>
      </c>
      <c r="H27"/>
    </row>
    <row r="28" spans="1:8" x14ac:dyDescent="0.4">
      <c r="A28" t="s">
        <v>42</v>
      </c>
      <c r="B28">
        <v>1569814</v>
      </c>
      <c r="C28" t="s">
        <v>43</v>
      </c>
      <c r="D28">
        <v>100</v>
      </c>
      <c r="E28">
        <v>73</v>
      </c>
      <c r="F28" s="18">
        <v>0.6</v>
      </c>
      <c r="G28">
        <v>4380</v>
      </c>
      <c r="H28"/>
    </row>
    <row r="29" spans="1:8" x14ac:dyDescent="0.4">
      <c r="A29" t="s">
        <v>44</v>
      </c>
      <c r="B29">
        <v>1572799</v>
      </c>
      <c r="C29" t="s">
        <v>80</v>
      </c>
      <c r="D29">
        <v>100</v>
      </c>
      <c r="E29">
        <v>3</v>
      </c>
      <c r="F29" s="18">
        <v>0.6</v>
      </c>
      <c r="G29">
        <v>180</v>
      </c>
      <c r="H29"/>
    </row>
    <row r="30" spans="1:8" x14ac:dyDescent="0.4">
      <c r="A30" t="s">
        <v>45</v>
      </c>
      <c r="B30">
        <v>1593714</v>
      </c>
      <c r="C30" t="s">
        <v>81</v>
      </c>
      <c r="D30">
        <v>100</v>
      </c>
      <c r="E30">
        <v>76</v>
      </c>
      <c r="F30" s="18">
        <v>0.6</v>
      </c>
      <c r="G30">
        <v>4560</v>
      </c>
      <c r="H30"/>
    </row>
    <row r="31" spans="1:8" x14ac:dyDescent="0.4">
      <c r="A31" t="s">
        <v>46</v>
      </c>
      <c r="B31">
        <v>1596625</v>
      </c>
      <c r="C31" t="s">
        <v>47</v>
      </c>
      <c r="D31">
        <v>100</v>
      </c>
      <c r="E31">
        <v>45</v>
      </c>
      <c r="F31" s="18">
        <v>0.6</v>
      </c>
      <c r="G31">
        <v>2700</v>
      </c>
      <c r="H31"/>
    </row>
    <row r="32" spans="1:8" x14ac:dyDescent="0.4">
      <c r="A32" t="s">
        <v>48</v>
      </c>
      <c r="B32">
        <v>1598025</v>
      </c>
      <c r="C32" t="s">
        <v>82</v>
      </c>
      <c r="D32">
        <v>100</v>
      </c>
      <c r="E32">
        <v>10</v>
      </c>
      <c r="F32" s="18">
        <v>0.6</v>
      </c>
      <c r="G32">
        <v>600</v>
      </c>
      <c r="H32"/>
    </row>
    <row r="33" spans="1:8" x14ac:dyDescent="0.4">
      <c r="A33" t="s">
        <v>49</v>
      </c>
      <c r="B33">
        <v>1599594</v>
      </c>
      <c r="C33" t="s">
        <v>83</v>
      </c>
      <c r="D33">
        <v>100</v>
      </c>
      <c r="E33">
        <v>58</v>
      </c>
      <c r="F33" s="18">
        <v>0.6</v>
      </c>
      <c r="G33">
        <v>3480</v>
      </c>
      <c r="H33"/>
    </row>
    <row r="34" spans="1:8" x14ac:dyDescent="0.4">
      <c r="A34" t="s">
        <v>50</v>
      </c>
      <c r="B34">
        <v>1599857</v>
      </c>
      <c r="C34" t="s">
        <v>80</v>
      </c>
      <c r="D34">
        <v>100</v>
      </c>
      <c r="E34">
        <v>325</v>
      </c>
      <c r="F34" s="18">
        <v>0.6</v>
      </c>
      <c r="G34">
        <v>19500</v>
      </c>
      <c r="H34"/>
    </row>
    <row r="35" spans="1:8" x14ac:dyDescent="0.4">
      <c r="A35" t="s">
        <v>51</v>
      </c>
      <c r="B35">
        <v>1600927</v>
      </c>
      <c r="C35" t="s">
        <v>62</v>
      </c>
      <c r="D35">
        <v>100</v>
      </c>
      <c r="E35">
        <v>73</v>
      </c>
      <c r="F35" s="18">
        <v>0.6</v>
      </c>
      <c r="G35">
        <v>4380</v>
      </c>
      <c r="H35"/>
    </row>
    <row r="36" spans="1:8" x14ac:dyDescent="0.4">
      <c r="A36" t="s">
        <v>52</v>
      </c>
      <c r="B36">
        <v>1600928</v>
      </c>
      <c r="C36" t="s">
        <v>84</v>
      </c>
      <c r="D36">
        <v>100</v>
      </c>
      <c r="E36">
        <v>84</v>
      </c>
      <c r="F36" s="18">
        <v>0.6</v>
      </c>
      <c r="G36">
        <v>5040</v>
      </c>
      <c r="H36"/>
    </row>
    <row r="37" spans="1:8" x14ac:dyDescent="0.4">
      <c r="A37" t="s">
        <v>53</v>
      </c>
      <c r="B37">
        <v>1602249</v>
      </c>
      <c r="C37" t="s">
        <v>78</v>
      </c>
      <c r="D37">
        <v>100</v>
      </c>
      <c r="E37">
        <v>4</v>
      </c>
      <c r="F37" s="18">
        <v>0.6</v>
      </c>
      <c r="G37">
        <v>240</v>
      </c>
      <c r="H37"/>
    </row>
    <row r="38" spans="1:8" x14ac:dyDescent="0.4">
      <c r="A38" t="s">
        <v>54</v>
      </c>
      <c r="B38">
        <v>1603768</v>
      </c>
      <c r="C38" t="s">
        <v>85</v>
      </c>
      <c r="D38">
        <v>100</v>
      </c>
      <c r="E38">
        <v>290</v>
      </c>
      <c r="F38" s="18">
        <v>0.6</v>
      </c>
      <c r="G38">
        <v>17400</v>
      </c>
      <c r="H38"/>
    </row>
    <row r="39" spans="1:8" x14ac:dyDescent="0.4">
      <c r="A39" t="s">
        <v>55</v>
      </c>
      <c r="B39">
        <v>1604364</v>
      </c>
      <c r="C39" t="s">
        <v>86</v>
      </c>
      <c r="D39">
        <v>100</v>
      </c>
      <c r="E39">
        <v>20</v>
      </c>
      <c r="F39" s="18">
        <v>0.6</v>
      </c>
      <c r="G39">
        <v>1200</v>
      </c>
      <c r="H39"/>
    </row>
    <row r="40" spans="1:8" x14ac:dyDescent="0.4">
      <c r="A40" t="s">
        <v>56</v>
      </c>
      <c r="B40">
        <v>1606096</v>
      </c>
      <c r="C40" t="s">
        <v>67</v>
      </c>
      <c r="D40">
        <v>100</v>
      </c>
      <c r="E40">
        <v>157</v>
      </c>
      <c r="F40" s="18">
        <v>0.6</v>
      </c>
      <c r="G40">
        <v>9420</v>
      </c>
      <c r="H40"/>
    </row>
    <row r="41" spans="1:8" x14ac:dyDescent="0.4">
      <c r="A41" t="s">
        <v>57</v>
      </c>
      <c r="B41">
        <v>1609090</v>
      </c>
      <c r="C41" t="s">
        <v>67</v>
      </c>
      <c r="D41">
        <v>100</v>
      </c>
      <c r="E41">
        <v>75</v>
      </c>
      <c r="F41" s="18">
        <v>0.6</v>
      </c>
      <c r="G41">
        <v>4500</v>
      </c>
      <c r="H41"/>
    </row>
    <row r="42" spans="1:8" x14ac:dyDescent="0.4">
      <c r="A42" t="s">
        <v>58</v>
      </c>
      <c r="B42">
        <v>1610196</v>
      </c>
      <c r="C42" t="s">
        <v>87</v>
      </c>
      <c r="D42">
        <v>100</v>
      </c>
      <c r="E42">
        <v>2</v>
      </c>
      <c r="F42" s="18">
        <v>0.6</v>
      </c>
      <c r="G42">
        <v>120</v>
      </c>
      <c r="H42"/>
    </row>
    <row r="43" spans="1:8" x14ac:dyDescent="0.4">
      <c r="A43"/>
      <c r="B43"/>
      <c r="C43"/>
      <c r="D43"/>
      <c r="E43"/>
      <c r="F43" s="18"/>
      <c r="G43" s="20">
        <f>SUM(G2:G42)</f>
        <v>188280</v>
      </c>
      <c r="H43"/>
    </row>
    <row r="44" spans="1:8" x14ac:dyDescent="0.4">
      <c r="A44"/>
      <c r="B44"/>
      <c r="C44"/>
      <c r="D44"/>
      <c r="E44"/>
      <c r="F44" s="18"/>
      <c r="G44" s="19"/>
      <c r="H44"/>
    </row>
    <row r="45" spans="1:8" x14ac:dyDescent="0.4">
      <c r="A45"/>
      <c r="B45"/>
      <c r="C45"/>
      <c r="D45"/>
      <c r="E45"/>
      <c r="F45" s="18"/>
      <c r="G45" s="19"/>
      <c r="H45"/>
    </row>
    <row r="46" spans="1:8" x14ac:dyDescent="0.4">
      <c r="A46"/>
      <c r="B46"/>
      <c r="C46"/>
      <c r="D46"/>
      <c r="E46"/>
      <c r="F46" s="18"/>
      <c r="G46" s="19"/>
      <c r="H46"/>
    </row>
    <row r="47" spans="1:8" x14ac:dyDescent="0.4">
      <c r="A47"/>
      <c r="B47"/>
      <c r="C47"/>
      <c r="D47"/>
      <c r="E47"/>
      <c r="F47" s="18"/>
      <c r="G47" s="19"/>
      <c r="H47"/>
    </row>
    <row r="48" spans="1:8" x14ac:dyDescent="0.4">
      <c r="A48"/>
      <c r="B48"/>
      <c r="C48"/>
      <c r="D48"/>
      <c r="E48"/>
      <c r="F48" s="18"/>
      <c r="G48" s="19"/>
      <c r="H48"/>
    </row>
    <row r="49" spans="1:8" x14ac:dyDescent="0.4">
      <c r="A49"/>
      <c r="B49"/>
      <c r="C49"/>
      <c r="D49"/>
      <c r="E49"/>
      <c r="F49" s="18"/>
      <c r="G49" s="19"/>
      <c r="H49"/>
    </row>
    <row r="50" spans="1:8" x14ac:dyDescent="0.4">
      <c r="A50"/>
      <c r="B50"/>
      <c r="C50"/>
      <c r="D50"/>
      <c r="E50"/>
      <c r="F50" s="18"/>
      <c r="G50" s="19"/>
      <c r="H50"/>
    </row>
    <row r="51" spans="1:8" x14ac:dyDescent="0.4">
      <c r="A51"/>
      <c r="B51"/>
      <c r="C51"/>
      <c r="D51"/>
      <c r="E51"/>
      <c r="F51" s="18"/>
      <c r="G51" s="19"/>
      <c r="H51"/>
    </row>
    <row r="52" spans="1:8" x14ac:dyDescent="0.4">
      <c r="A52"/>
      <c r="B52"/>
      <c r="C52"/>
      <c r="D52"/>
      <c r="E52"/>
      <c r="F52" s="18"/>
      <c r="G52" s="19"/>
      <c r="H52"/>
    </row>
    <row r="53" spans="1:8" x14ac:dyDescent="0.4">
      <c r="A53"/>
      <c r="B53"/>
      <c r="C53"/>
      <c r="D53"/>
      <c r="E53"/>
      <c r="F53" s="18"/>
      <c r="G53" s="19"/>
      <c r="H53"/>
    </row>
    <row r="54" spans="1:8" x14ac:dyDescent="0.4">
      <c r="A54"/>
      <c r="B54"/>
      <c r="C54"/>
      <c r="D54"/>
      <c r="E54"/>
      <c r="F54" s="18"/>
      <c r="G54" s="19"/>
      <c r="H54"/>
    </row>
    <row r="55" spans="1:8" x14ac:dyDescent="0.4">
      <c r="A55"/>
      <c r="B55"/>
      <c r="C55"/>
      <c r="D55"/>
      <c r="E55"/>
      <c r="F55" s="18"/>
      <c r="G55" s="19"/>
      <c r="H55"/>
    </row>
    <row r="56" spans="1:8" x14ac:dyDescent="0.4">
      <c r="A56"/>
      <c r="B56"/>
      <c r="C56"/>
      <c r="D56"/>
      <c r="E56"/>
      <c r="F56" s="18"/>
      <c r="G56" s="19"/>
      <c r="H56"/>
    </row>
    <row r="57" spans="1:8" x14ac:dyDescent="0.4">
      <c r="A57"/>
      <c r="B57"/>
      <c r="C57"/>
      <c r="D57"/>
      <c r="E57"/>
      <c r="F57" s="18"/>
      <c r="G57" s="19"/>
      <c r="H57"/>
    </row>
    <row r="58" spans="1:8" x14ac:dyDescent="0.4">
      <c r="A58"/>
      <c r="B58"/>
      <c r="C58"/>
      <c r="D58"/>
      <c r="E58"/>
      <c r="F58" s="18"/>
      <c r="G58" s="19"/>
      <c r="H58"/>
    </row>
    <row r="59" spans="1:8" x14ac:dyDescent="0.4">
      <c r="A59"/>
      <c r="B59"/>
      <c r="C59"/>
      <c r="D59"/>
      <c r="E59"/>
      <c r="F59" s="18"/>
      <c r="G59" s="19"/>
      <c r="H59"/>
    </row>
    <row r="60" spans="1:8" x14ac:dyDescent="0.4">
      <c r="A60"/>
      <c r="B60"/>
      <c r="C60"/>
      <c r="D60"/>
      <c r="E60"/>
      <c r="F60" s="18"/>
      <c r="G60" s="19"/>
      <c r="H60"/>
    </row>
    <row r="61" spans="1:8" x14ac:dyDescent="0.4">
      <c r="A61"/>
      <c r="B61"/>
      <c r="C61"/>
      <c r="D61"/>
      <c r="E61"/>
      <c r="F61" s="18"/>
      <c r="G61" s="19"/>
      <c r="H61"/>
    </row>
    <row r="62" spans="1:8" x14ac:dyDescent="0.4">
      <c r="A62"/>
      <c r="B62"/>
      <c r="C62"/>
      <c r="D62"/>
      <c r="E62"/>
      <c r="F62" s="18"/>
      <c r="G62" s="19"/>
      <c r="H62"/>
    </row>
    <row r="63" spans="1:8" x14ac:dyDescent="0.4">
      <c r="A63"/>
      <c r="B63"/>
      <c r="C63"/>
      <c r="D63"/>
      <c r="E63"/>
      <c r="F63" s="18"/>
      <c r="G63" s="19"/>
      <c r="H63"/>
    </row>
    <row r="64" spans="1:8" x14ac:dyDescent="0.4">
      <c r="A64"/>
      <c r="B64"/>
      <c r="C64"/>
      <c r="D64"/>
      <c r="E64"/>
      <c r="F64" s="18"/>
      <c r="G64" s="19"/>
      <c r="H64"/>
    </row>
    <row r="65" spans="1:8" x14ac:dyDescent="0.4">
      <c r="A65"/>
      <c r="B65"/>
      <c r="C65"/>
      <c r="D65"/>
      <c r="E65"/>
      <c r="F65" s="18"/>
      <c r="G65" s="19"/>
      <c r="H65"/>
    </row>
    <row r="66" spans="1:8" x14ac:dyDescent="0.4">
      <c r="A66"/>
      <c r="B66"/>
      <c r="C66"/>
      <c r="D66"/>
      <c r="E66"/>
      <c r="F66" s="18"/>
      <c r="G66" s="19"/>
      <c r="H66"/>
    </row>
    <row r="67" spans="1:8" x14ac:dyDescent="0.4">
      <c r="A67"/>
      <c r="B67"/>
      <c r="C67"/>
      <c r="D67"/>
      <c r="E67"/>
      <c r="F67" s="18"/>
      <c r="G67" s="19"/>
      <c r="H67"/>
    </row>
    <row r="68" spans="1:8" x14ac:dyDescent="0.4">
      <c r="A68"/>
      <c r="B68"/>
      <c r="C68"/>
      <c r="D68"/>
      <c r="E68"/>
      <c r="F68" s="18"/>
      <c r="G68" s="19"/>
      <c r="H68"/>
    </row>
    <row r="69" spans="1:8" x14ac:dyDescent="0.4">
      <c r="A69"/>
      <c r="B69"/>
      <c r="C69"/>
      <c r="D69"/>
      <c r="E69"/>
      <c r="F69" s="18"/>
      <c r="G69" s="19"/>
      <c r="H69"/>
    </row>
    <row r="70" spans="1:8" x14ac:dyDescent="0.4">
      <c r="A70"/>
      <c r="B70"/>
      <c r="C70"/>
      <c r="D70"/>
      <c r="E70"/>
      <c r="F70" s="18"/>
      <c r="G70" s="19"/>
      <c r="H70"/>
    </row>
    <row r="71" spans="1:8" x14ac:dyDescent="0.4">
      <c r="A71"/>
      <c r="B71"/>
      <c r="C71"/>
      <c r="D71"/>
      <c r="E71"/>
      <c r="F71" s="18"/>
      <c r="G71" s="19"/>
      <c r="H71"/>
    </row>
    <row r="72" spans="1:8" x14ac:dyDescent="0.4">
      <c r="A72"/>
      <c r="B72"/>
      <c r="C72"/>
      <c r="D72"/>
      <c r="E72"/>
      <c r="F72" s="18"/>
      <c r="G72" s="19"/>
      <c r="H72"/>
    </row>
    <row r="73" spans="1:8" x14ac:dyDescent="0.4">
      <c r="A73"/>
      <c r="B73"/>
      <c r="C73"/>
      <c r="D73"/>
      <c r="E73"/>
      <c r="F73" s="18"/>
      <c r="G73" s="19"/>
      <c r="H73"/>
    </row>
    <row r="74" spans="1:8" x14ac:dyDescent="0.4">
      <c r="A74"/>
      <c r="B74"/>
      <c r="C74"/>
      <c r="D74"/>
      <c r="E74"/>
      <c r="F74" s="18"/>
      <c r="G74" s="19"/>
      <c r="H74"/>
    </row>
    <row r="75" spans="1:8" x14ac:dyDescent="0.4">
      <c r="A75"/>
      <c r="B75"/>
      <c r="C75"/>
      <c r="D75"/>
      <c r="E75"/>
      <c r="F75" s="18"/>
      <c r="G75" s="19"/>
      <c r="H75"/>
    </row>
    <row r="76" spans="1:8" x14ac:dyDescent="0.4">
      <c r="A76"/>
      <c r="B76"/>
      <c r="C76"/>
      <c r="D76"/>
      <c r="E76"/>
      <c r="F76" s="18"/>
      <c r="G76" s="19"/>
      <c r="H76"/>
    </row>
    <row r="77" spans="1:8" x14ac:dyDescent="0.4">
      <c r="A77"/>
      <c r="B77"/>
      <c r="C77"/>
      <c r="D77"/>
      <c r="E77"/>
      <c r="F77" s="18"/>
      <c r="G77" s="19"/>
      <c r="H77"/>
    </row>
    <row r="78" spans="1:8" x14ac:dyDescent="0.4">
      <c r="A78"/>
      <c r="B78"/>
      <c r="C78"/>
      <c r="D78"/>
      <c r="E78"/>
      <c r="F78" s="18"/>
      <c r="G78" s="19"/>
      <c r="H78"/>
    </row>
    <row r="79" spans="1:8" x14ac:dyDescent="0.4">
      <c r="A79"/>
      <c r="B79"/>
      <c r="C79"/>
      <c r="D79"/>
      <c r="E79"/>
      <c r="F79" s="18"/>
      <c r="G79" s="19"/>
      <c r="H79"/>
    </row>
    <row r="80" spans="1:8" x14ac:dyDescent="0.4">
      <c r="A80"/>
      <c r="B80"/>
      <c r="C80"/>
      <c r="D80"/>
      <c r="E80"/>
      <c r="F80" s="18"/>
      <c r="G80" s="19"/>
      <c r="H80"/>
    </row>
    <row r="81" spans="1:8" x14ac:dyDescent="0.4">
      <c r="A81"/>
      <c r="B81"/>
      <c r="C81"/>
      <c r="D81"/>
      <c r="E81"/>
      <c r="F81" s="18"/>
      <c r="G81" s="19"/>
      <c r="H81"/>
    </row>
    <row r="82" spans="1:8" x14ac:dyDescent="0.4">
      <c r="A82"/>
      <c r="B82"/>
      <c r="C82"/>
      <c r="D82"/>
      <c r="E82"/>
      <c r="F82" s="18"/>
      <c r="G82" s="19"/>
      <c r="H82"/>
    </row>
    <row r="83" spans="1:8" x14ac:dyDescent="0.4">
      <c r="A83"/>
      <c r="B83"/>
      <c r="C83"/>
      <c r="D83"/>
      <c r="E83"/>
      <c r="F83" s="18"/>
      <c r="G83" s="19"/>
      <c r="H83"/>
    </row>
    <row r="84" spans="1:8" x14ac:dyDescent="0.4">
      <c r="A84"/>
      <c r="B84"/>
      <c r="C84"/>
      <c r="D84"/>
      <c r="E84"/>
      <c r="F84" s="18"/>
      <c r="G84" s="19"/>
      <c r="H84"/>
    </row>
    <row r="85" spans="1:8" x14ac:dyDescent="0.4">
      <c r="A85"/>
      <c r="B85"/>
      <c r="C85"/>
      <c r="D85"/>
      <c r="E85"/>
      <c r="F85" s="18"/>
      <c r="G85" s="19"/>
      <c r="H85"/>
    </row>
    <row r="86" spans="1:8" x14ac:dyDescent="0.4">
      <c r="A86"/>
      <c r="B86"/>
      <c r="C86"/>
      <c r="D86"/>
      <c r="E86"/>
      <c r="F86" s="18"/>
      <c r="G86" s="19"/>
      <c r="H86"/>
    </row>
    <row r="87" spans="1:8" x14ac:dyDescent="0.4">
      <c r="A87"/>
      <c r="B87"/>
      <c r="C87"/>
      <c r="D87"/>
      <c r="E87"/>
      <c r="F87" s="18"/>
      <c r="G87" s="19"/>
      <c r="H87"/>
    </row>
    <row r="88" spans="1:8" x14ac:dyDescent="0.4">
      <c r="A88"/>
      <c r="B88"/>
      <c r="C88"/>
      <c r="D88"/>
      <c r="E88"/>
      <c r="F88" s="18"/>
      <c r="G88" s="19"/>
      <c r="H88"/>
    </row>
    <row r="89" spans="1:8" x14ac:dyDescent="0.4">
      <c r="A89"/>
      <c r="B89"/>
      <c r="C89"/>
      <c r="D89"/>
      <c r="E89"/>
      <c r="F89" s="18"/>
      <c r="G89" s="19"/>
      <c r="H89"/>
    </row>
    <row r="90" spans="1:8" x14ac:dyDescent="0.4">
      <c r="A90"/>
      <c r="B90"/>
      <c r="C90"/>
      <c r="D90"/>
      <c r="E90"/>
      <c r="F90" s="18"/>
      <c r="G90" s="19"/>
      <c r="H90"/>
    </row>
    <row r="91" spans="1:8" x14ac:dyDescent="0.4">
      <c r="A91"/>
      <c r="B91"/>
      <c r="C91"/>
      <c r="D91"/>
      <c r="E91"/>
      <c r="F91" s="18"/>
      <c r="G91" s="19"/>
      <c r="H91"/>
    </row>
    <row r="92" spans="1:8" x14ac:dyDescent="0.4">
      <c r="A92"/>
      <c r="B92"/>
      <c r="C92"/>
      <c r="D92"/>
      <c r="E92"/>
      <c r="F92" s="18"/>
      <c r="G92" s="19"/>
      <c r="H92"/>
    </row>
    <row r="93" spans="1:8" x14ac:dyDescent="0.4">
      <c r="A93"/>
      <c r="B93"/>
      <c r="C93"/>
      <c r="D93"/>
      <c r="E93"/>
      <c r="F93" s="18"/>
      <c r="G93" s="19"/>
      <c r="H93"/>
    </row>
    <row r="94" spans="1:8" x14ac:dyDescent="0.4">
      <c r="A94"/>
      <c r="B94"/>
      <c r="C94"/>
      <c r="D94"/>
      <c r="E94"/>
      <c r="F94" s="18"/>
      <c r="G94" s="19"/>
      <c r="H94"/>
    </row>
    <row r="95" spans="1:8" x14ac:dyDescent="0.4">
      <c r="A95"/>
      <c r="B95"/>
      <c r="C95"/>
      <c r="D95"/>
      <c r="E95"/>
      <c r="F95" s="18"/>
      <c r="G95" s="19"/>
      <c r="H95"/>
    </row>
    <row r="96" spans="1:8" x14ac:dyDescent="0.4">
      <c r="A96"/>
      <c r="B96"/>
      <c r="C96"/>
      <c r="D96"/>
      <c r="E96"/>
      <c r="F96" s="18"/>
      <c r="G96" s="19"/>
      <c r="H96"/>
    </row>
    <row r="97" spans="1:9" x14ac:dyDescent="0.4">
      <c r="A97"/>
      <c r="B97"/>
      <c r="C97"/>
      <c r="D97"/>
      <c r="E97"/>
      <c r="F97" s="18"/>
      <c r="G97" s="19"/>
      <c r="H97"/>
    </row>
    <row r="98" spans="1:9" x14ac:dyDescent="0.4">
      <c r="A98"/>
      <c r="B98"/>
      <c r="C98"/>
      <c r="D98"/>
      <c r="E98"/>
      <c r="F98" s="18"/>
      <c r="G98" s="19"/>
      <c r="H98"/>
    </row>
    <row r="99" spans="1:9" x14ac:dyDescent="0.4">
      <c r="A99"/>
      <c r="B99"/>
      <c r="C99"/>
      <c r="D99"/>
      <c r="E99"/>
      <c r="F99" s="18"/>
      <c r="G99" s="19"/>
      <c r="H99"/>
    </row>
    <row r="100" spans="1:9" x14ac:dyDescent="0.4">
      <c r="A100"/>
      <c r="B100"/>
      <c r="C100"/>
      <c r="D100"/>
      <c r="E100"/>
      <c r="F100" s="18"/>
      <c r="G100" s="19"/>
      <c r="H100"/>
    </row>
    <row r="101" spans="1:9" x14ac:dyDescent="0.4">
      <c r="A101"/>
      <c r="B101"/>
      <c r="C101"/>
      <c r="D101"/>
      <c r="E101"/>
      <c r="F101" s="18"/>
      <c r="G101" s="19"/>
      <c r="H101"/>
    </row>
    <row r="102" spans="1:9" x14ac:dyDescent="0.4">
      <c r="A102"/>
      <c r="B102"/>
      <c r="C102"/>
      <c r="D102"/>
      <c r="E102"/>
      <c r="F102" s="18"/>
      <c r="G102" s="19"/>
      <c r="H102"/>
    </row>
    <row r="103" spans="1:9" x14ac:dyDescent="0.4">
      <c r="A103"/>
      <c r="B103"/>
      <c r="C103"/>
      <c r="D103"/>
      <c r="E103"/>
      <c r="F103" s="18"/>
      <c r="G103" s="19"/>
      <c r="H103"/>
    </row>
    <row r="104" spans="1:9" x14ac:dyDescent="0.4">
      <c r="A104"/>
      <c r="B104"/>
      <c r="C104"/>
      <c r="D104"/>
      <c r="E104"/>
      <c r="F104" s="18"/>
      <c r="G104" s="19"/>
      <c r="H104"/>
    </row>
    <row r="105" spans="1:9" x14ac:dyDescent="0.4">
      <c r="A105"/>
      <c r="B105"/>
      <c r="C105"/>
      <c r="D105"/>
      <c r="E105"/>
      <c r="F105" s="18"/>
      <c r="G105" s="19"/>
      <c r="H105"/>
    </row>
    <row r="106" spans="1:9" x14ac:dyDescent="0.4">
      <c r="A106" s="13"/>
      <c r="B106" s="14"/>
      <c r="C106" s="11"/>
      <c r="D106" s="11"/>
      <c r="E106" s="11"/>
      <c r="F106" s="12"/>
      <c r="G106" s="15"/>
    </row>
    <row r="107" spans="1:9" x14ac:dyDescent="0.4">
      <c r="I107" s="10"/>
    </row>
    <row r="108" spans="1:9" s="3" customFormat="1" x14ac:dyDescent="0.4">
      <c r="B108" s="2"/>
      <c r="C108" s="2"/>
      <c r="D108" s="7" t="s">
        <v>0</v>
      </c>
      <c r="E108" s="1">
        <f>G106</f>
        <v>0</v>
      </c>
      <c r="F108" s="5"/>
      <c r="G108" s="6"/>
    </row>
    <row r="109" spans="1:9" s="3" customFormat="1" x14ac:dyDescent="0.4">
      <c r="D109" s="7" t="s">
        <v>14</v>
      </c>
      <c r="E109" s="1">
        <v>0</v>
      </c>
      <c r="F109" s="3" t="s">
        <v>6</v>
      </c>
      <c r="G109" s="6" t="s">
        <v>4</v>
      </c>
    </row>
    <row r="110" spans="1:9" s="3" customFormat="1" x14ac:dyDescent="0.4">
      <c r="B110" s="2"/>
      <c r="C110" s="5"/>
      <c r="D110" s="7" t="s">
        <v>1</v>
      </c>
      <c r="E110" s="1">
        <f>E109/1.1</f>
        <v>0</v>
      </c>
      <c r="F110" s="2"/>
      <c r="G110" s="6" t="s">
        <v>5</v>
      </c>
    </row>
    <row r="111" spans="1:9" s="3" customFormat="1" x14ac:dyDescent="0.4">
      <c r="B111" s="2"/>
      <c r="C111" s="2"/>
      <c r="D111" s="7" t="s">
        <v>2</v>
      </c>
      <c r="E111" s="1">
        <f>E109-E110</f>
        <v>0</v>
      </c>
      <c r="G111" s="6"/>
    </row>
    <row r="112" spans="1:9" s="3" customFormat="1" x14ac:dyDescent="0.4">
      <c r="B112" s="2"/>
      <c r="C112" s="2"/>
      <c r="D112" s="8" t="s">
        <v>3</v>
      </c>
      <c r="E112" s="4">
        <f>E108+E110+E111</f>
        <v>0</v>
      </c>
      <c r="G112" s="6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합계(2)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2019-01-07T11:02:09Z</dcterms:created>
  <dcterms:modified xsi:type="dcterms:W3CDTF">2022-07-06T09:11:41Z</dcterms:modified>
</cp:coreProperties>
</file>