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미스터블루\"/>
    </mc:Choice>
  </mc:AlternateContent>
  <bookViews>
    <workbookView xWindow="0" yWindow="0" windowWidth="23040" windowHeight="8952"/>
  </bookViews>
  <sheets>
    <sheet name="합계(6)" sheetId="125" r:id="rId1"/>
  </sheets>
  <definedNames>
    <definedName name="_xlnm._FilterDatabase" localSheetId="0" hidden="1">'합계(6)'!$A$1:$AJ$1</definedName>
    <definedName name="_xlnm.Extract" localSheetId="0">'합계(6)'!#REF!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46" i="125" l="1"/>
</calcChain>
</file>

<file path=xl/sharedStrings.xml><?xml version="1.0" encoding="utf-8"?>
<sst xmlns="http://schemas.openxmlformats.org/spreadsheetml/2006/main" count="163" uniqueCount="124">
  <si>
    <t>작품명</t>
  </si>
  <si>
    <t>작가명</t>
  </si>
  <si>
    <t>코드</t>
  </si>
  <si>
    <t>정액_매출액</t>
    <phoneticPr fontId="26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</si>
  <si>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</si>
  <si>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</si>
  <si>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</si>
  <si>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</si>
  <si>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</si>
  <si>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</si>
  <si>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</si>
  <si>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</si>
  <si>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</si>
  <si>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</si>
  <si>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</si>
  <si>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</si>
  <si>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21세기 대마법사</t>
  </si>
  <si>
    <t>김광수</t>
  </si>
  <si>
    <t>baro269987</t>
  </si>
  <si>
    <t>권용찬</t>
  </si>
  <si>
    <t>다크메이지</t>
  </si>
  <si>
    <t>김정률</t>
  </si>
  <si>
    <t>baro251773</t>
  </si>
  <si>
    <t>독종무쌍</t>
  </si>
  <si>
    <t>전혁</t>
  </si>
  <si>
    <t>baro294214</t>
  </si>
  <si>
    <t>레이드만물상점</t>
  </si>
  <si>
    <t>ktn0003</t>
  </si>
  <si>
    <t>마계대공 연대기</t>
  </si>
  <si>
    <t>baro269956</t>
  </si>
  <si>
    <t>마스터 k</t>
  </si>
  <si>
    <t>baro269934</t>
  </si>
  <si>
    <t>마왕 데이몬</t>
  </si>
  <si>
    <t>baro251735</t>
  </si>
  <si>
    <t>만인지상</t>
  </si>
  <si>
    <t>baro294235</t>
  </si>
  <si>
    <t>블레이드 헌터</t>
  </si>
  <si>
    <t>baro251724</t>
  </si>
  <si>
    <t>상계무적</t>
  </si>
  <si>
    <t>baro296996</t>
  </si>
  <si>
    <t>소드 엠페러</t>
  </si>
  <si>
    <t>baro251755</t>
  </si>
  <si>
    <t>독고진</t>
  </si>
  <si>
    <t>스트라이커(완전판)</t>
  </si>
  <si>
    <t>ktn0030</t>
  </si>
  <si>
    <t>신궁전설</t>
  </si>
  <si>
    <t>baro294201</t>
  </si>
  <si>
    <t>용중신권</t>
  </si>
  <si>
    <t>ktn0026</t>
  </si>
  <si>
    <t>월풍</t>
  </si>
  <si>
    <t>baro294245</t>
  </si>
  <si>
    <t>절륜공자</t>
  </si>
  <si>
    <t>ktn0022</t>
  </si>
  <si>
    <t>철중쟁쟁</t>
  </si>
  <si>
    <t>ktn0007</t>
  </si>
  <si>
    <t>트루베니아 연대기</t>
  </si>
  <si>
    <t>baro251699</t>
  </si>
  <si>
    <t>화산지애</t>
  </si>
  <si>
    <t>baro280546</t>
  </si>
  <si>
    <t>정액_건수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</si>
  <si>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</si>
  <si>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</si>
  <si>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</si>
  <si>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</si>
  <si>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</si>
  <si>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</si>
  <si>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</si>
  <si>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</si>
  <si>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</si>
  <si>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</si>
  <si>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</si>
  <si>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</si>
  <si>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</si>
  <si>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</si>
  <si>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</si>
  <si>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</si>
  <si>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</si>
  <si>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</si>
  <si>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</si>
  <si>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회귀의 전설 (연재)</t>
  </si>
  <si>
    <t>ktn02_0186</t>
  </si>
  <si>
    <t>바람의 기사 아르테온</t>
  </si>
  <si>
    <t>baro288170</t>
  </si>
  <si>
    <t>스피릿 소드 (완전판)</t>
  </si>
  <si>
    <t>ktn0038</t>
  </si>
  <si>
    <t>스트라이커 (연재)</t>
  </si>
  <si>
    <t>ktn0001</t>
  </si>
  <si>
    <t>절대비만</t>
  </si>
  <si>
    <t>baro294226</t>
  </si>
  <si>
    <t>신규무사</t>
  </si>
  <si>
    <t>ktn0032</t>
  </si>
  <si>
    <t>칼</t>
  </si>
  <si>
    <t>ktn0016</t>
  </si>
  <si>
    <t>신마협도</t>
  </si>
  <si>
    <t>ktn0017</t>
  </si>
  <si>
    <t>상왕 진우몽</t>
  </si>
  <si>
    <t>ktn0025</t>
  </si>
  <si>
    <t>스포트라이트 (연재)</t>
  </si>
  <si>
    <t>ktn02_0093</t>
  </si>
  <si>
    <t>프리나이트</t>
  </si>
  <si>
    <t>baro288159</t>
  </si>
  <si>
    <t>21세기 대마법사 (연재)</t>
  </si>
  <si>
    <t>수적왕</t>
  </si>
  <si>
    <t>ktn0020</t>
  </si>
  <si>
    <t>용무쌍</t>
  </si>
  <si>
    <t>ktn0021</t>
  </si>
  <si>
    <t>레이드 만물상점 (연재)</t>
  </si>
  <si>
    <t>아나크레온</t>
  </si>
  <si>
    <t>baro257729</t>
  </si>
  <si>
    <t>데이몬</t>
  </si>
  <si>
    <t>baro251748</t>
  </si>
  <si>
    <t>마계대공 연대기 (연재)</t>
  </si>
  <si>
    <t>질주무왕</t>
  </si>
  <si>
    <t>ktn0014</t>
  </si>
  <si>
    <t>하프 블러드</t>
  </si>
  <si>
    <t>baro251712</t>
  </si>
  <si>
    <t>게이트 헌터 (완전판)</t>
  </si>
  <si>
    <t>ktn0024</t>
  </si>
  <si>
    <t>블레이드 헌터 (연재)</t>
  </si>
  <si>
    <t>소드 엠페러 (연재)</t>
  </si>
  <si>
    <t>스포트라이트</t>
  </si>
  <si>
    <t>ktn02_0109</t>
  </si>
  <si>
    <t>영웅 (연재)</t>
  </si>
  <si>
    <t>ktn0013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</si>
</sst>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41" fontId="77" fillId="42" borderId="1" xfId="2353" applyFont="1" applyFill="1" applyBorder="1" applyAlignment="1">
      <alignment vertical="center" wrapText="1"/>
    </xf>
    <xf numFmtId="41" fontId="0" fillId="0" borderId="0" xfId="2353" applyFont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  <xf numFmtId="41" fontId="0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46"/>
  <sheetViews>
    <sheetView tabSelected="1" zoomScale="85" zoomScaleNormal="85" workbookViewId="0"/>
  </sheetViews>
  <sheetFormatPr defaultRowHeight="17.399999999999999"/>
  <cols>
    <col min="1" max="1" width="24.19921875" bestFit="1" customWidth="1"/>
    <col min="35" max="35" width="13.19921875" customWidth="1"/>
    <col min="36" max="36" width="13.5" style="14" bestFit="1" customWidth="1"/>
  </cols>
  <sheetData>
    <row r="1" spans="1:36" ht="63" thickBot="1">
      <c r="A1" s="1" t="s">
        <v>0</v>
      </c>
      <c r="B1" s="1" t="s">
        <v>1</v>
      </c>
      <c r="C1" s="1" t="s">
        <v>2</v>
      </c>
      <c r="D1" s="2" t="s">
        <v>59</v>
      </c>
      <c r="E1" s="2" t="s">
        <v>3</v>
      </c>
      <c r="F1" s="2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  <c r="M1" s="3" t="s">
        <v>67</v>
      </c>
      <c r="N1" s="3" t="s">
        <v>68</v>
      </c>
      <c r="O1" s="3" t="s">
        <v>69</v>
      </c>
      <c r="P1" s="3" t="s">
        <v>70</v>
      </c>
      <c r="Q1" s="3" t="s">
        <v>71</v>
      </c>
      <c r="R1" s="3" t="s">
        <v>72</v>
      </c>
      <c r="S1" s="4" t="s">
        <v>4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4" t="s">
        <v>13</v>
      </c>
      <c r="AC1" s="4" t="s">
        <v>14</v>
      </c>
      <c r="AD1" s="4" t="s">
        <v>15</v>
      </c>
      <c r="AE1" s="5" t="s">
        <v>73</v>
      </c>
      <c r="AF1" s="5" t="s">
        <v>74</v>
      </c>
      <c r="AG1" s="5" t="s">
        <v>75</v>
      </c>
      <c r="AH1" s="5" t="s">
        <v>76</v>
      </c>
      <c r="AI1" s="6" t="s">
        <v>77</v>
      </c>
      <c r="AJ1" s="13" t="s">
        <v>78</v>
      </c>
    </row>
    <row r="2" spans="1:36" ht="18" thickBot="1">
      <c r="A2" s="7" t="s">
        <v>16</v>
      </c>
      <c r="B2" s="7" t="s">
        <v>17</v>
      </c>
      <c r="C2" s="7" t="s">
        <v>18</v>
      </c>
      <c r="D2" s="8">
        <v>0</v>
      </c>
      <c r="E2" s="8">
        <v>0</v>
      </c>
      <c r="F2" s="8">
        <v>0</v>
      </c>
      <c r="G2" s="8">
        <v>245</v>
      </c>
      <c r="H2" s="8">
        <v>245</v>
      </c>
      <c r="I2" s="9">
        <v>220500</v>
      </c>
      <c r="J2" s="8">
        <v>0</v>
      </c>
      <c r="K2" s="8">
        <v>0</v>
      </c>
      <c r="L2" s="8">
        <v>0</v>
      </c>
      <c r="M2" s="8">
        <v>17</v>
      </c>
      <c r="N2" s="8">
        <v>289</v>
      </c>
      <c r="O2" s="9">
        <v>182070</v>
      </c>
      <c r="P2" s="8">
        <v>0</v>
      </c>
      <c r="Q2" s="8">
        <v>0</v>
      </c>
      <c r="R2" s="8">
        <v>0</v>
      </c>
      <c r="S2" s="8">
        <v>17</v>
      </c>
      <c r="T2" s="8">
        <v>17</v>
      </c>
      <c r="U2" s="9">
        <v>18360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279</v>
      </c>
      <c r="AF2" s="8">
        <v>551</v>
      </c>
      <c r="AG2" s="9">
        <v>420930</v>
      </c>
      <c r="AH2" s="9">
        <v>264635.09999999998</v>
      </c>
      <c r="AI2" s="10">
        <v>420930</v>
      </c>
      <c r="AJ2" s="15">
        <v>264635.09999999998</v>
      </c>
    </row>
    <row r="3" spans="1:36" ht="18" thickBot="1">
      <c r="A3" s="7" t="s">
        <v>101</v>
      </c>
      <c r="B3" s="7" t="s">
        <v>17</v>
      </c>
      <c r="C3" s="7"/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360</v>
      </c>
      <c r="K3" s="8">
        <v>360</v>
      </c>
      <c r="L3" s="9">
        <v>36000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360</v>
      </c>
      <c r="AF3" s="8">
        <v>360</v>
      </c>
      <c r="AG3" s="9">
        <v>36000</v>
      </c>
      <c r="AH3" s="9">
        <v>22680</v>
      </c>
      <c r="AI3" s="10">
        <v>36000</v>
      </c>
      <c r="AJ3" s="15">
        <v>22680</v>
      </c>
    </row>
    <row r="4" spans="1:36" ht="18" thickBot="1">
      <c r="A4" s="7" t="s">
        <v>116</v>
      </c>
      <c r="B4" s="7" t="s">
        <v>19</v>
      </c>
      <c r="C4" s="7" t="s">
        <v>117</v>
      </c>
      <c r="D4" s="8">
        <v>0</v>
      </c>
      <c r="E4" s="8">
        <v>0</v>
      </c>
      <c r="F4" s="8">
        <v>0</v>
      </c>
      <c r="G4" s="8">
        <v>8</v>
      </c>
      <c r="H4" s="8">
        <v>8</v>
      </c>
      <c r="I4" s="9">
        <v>7200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8</v>
      </c>
      <c r="AF4" s="8">
        <v>8</v>
      </c>
      <c r="AG4" s="9">
        <v>7200</v>
      </c>
      <c r="AH4" s="9">
        <v>4536</v>
      </c>
      <c r="AI4" s="10">
        <v>7200</v>
      </c>
      <c r="AJ4" s="15">
        <v>4536</v>
      </c>
    </row>
    <row r="5" spans="1:36" ht="18" thickBot="1">
      <c r="A5" s="7" t="s">
        <v>20</v>
      </c>
      <c r="B5" s="7" t="s">
        <v>21</v>
      </c>
      <c r="C5" s="7" t="s">
        <v>22</v>
      </c>
      <c r="D5" s="8">
        <v>0</v>
      </c>
      <c r="E5" s="8">
        <v>0</v>
      </c>
      <c r="F5" s="8">
        <v>0</v>
      </c>
      <c r="G5" s="8">
        <v>55</v>
      </c>
      <c r="H5" s="8">
        <v>55</v>
      </c>
      <c r="I5" s="9">
        <v>49500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7</v>
      </c>
      <c r="T5" s="8">
        <v>7</v>
      </c>
      <c r="U5" s="9">
        <v>7560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62</v>
      </c>
      <c r="AF5" s="8">
        <v>62</v>
      </c>
      <c r="AG5" s="9">
        <v>57060</v>
      </c>
      <c r="AH5" s="9">
        <v>35721</v>
      </c>
      <c r="AI5" s="10">
        <v>57060</v>
      </c>
      <c r="AJ5" s="15">
        <v>35721</v>
      </c>
    </row>
    <row r="6" spans="1:36" ht="18" thickBot="1">
      <c r="A6" s="7" t="s">
        <v>109</v>
      </c>
      <c r="B6" s="7" t="s">
        <v>21</v>
      </c>
      <c r="C6" s="7" t="s">
        <v>110</v>
      </c>
      <c r="D6" s="8">
        <v>0</v>
      </c>
      <c r="E6" s="8">
        <v>0</v>
      </c>
      <c r="F6" s="8">
        <v>0</v>
      </c>
      <c r="G6" s="8">
        <v>9</v>
      </c>
      <c r="H6" s="8">
        <v>9</v>
      </c>
      <c r="I6" s="9">
        <v>8100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9</v>
      </c>
      <c r="AF6" s="8">
        <v>9</v>
      </c>
      <c r="AG6" s="9">
        <v>8100</v>
      </c>
      <c r="AH6" s="9">
        <v>5103</v>
      </c>
      <c r="AI6" s="10">
        <v>8100</v>
      </c>
      <c r="AJ6" s="15">
        <v>5103</v>
      </c>
    </row>
    <row r="7" spans="1:36" ht="18" thickBot="1">
      <c r="A7" s="7" t="s">
        <v>23</v>
      </c>
      <c r="B7" s="7" t="s">
        <v>24</v>
      </c>
      <c r="C7" s="7" t="s">
        <v>25</v>
      </c>
      <c r="D7" s="8">
        <v>0</v>
      </c>
      <c r="E7" s="8">
        <v>0</v>
      </c>
      <c r="F7" s="8">
        <v>0</v>
      </c>
      <c r="G7" s="8">
        <v>60</v>
      </c>
      <c r="H7" s="8">
        <v>60</v>
      </c>
      <c r="I7" s="9">
        <v>54000</v>
      </c>
      <c r="J7" s="8">
        <v>0</v>
      </c>
      <c r="K7" s="8">
        <v>0</v>
      </c>
      <c r="L7" s="8">
        <v>0</v>
      </c>
      <c r="M7" s="8">
        <v>4</v>
      </c>
      <c r="N7" s="8">
        <v>40</v>
      </c>
      <c r="O7" s="9">
        <v>25200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64</v>
      </c>
      <c r="AF7" s="8">
        <v>100</v>
      </c>
      <c r="AG7" s="9">
        <v>79200</v>
      </c>
      <c r="AH7" s="9">
        <v>49896</v>
      </c>
      <c r="AI7" s="10">
        <v>79200</v>
      </c>
      <c r="AJ7" s="15">
        <v>49896</v>
      </c>
    </row>
    <row r="8" spans="1:36" ht="18" thickBot="1">
      <c r="A8" s="7" t="s">
        <v>106</v>
      </c>
      <c r="B8" s="7" t="s">
        <v>24</v>
      </c>
      <c r="C8" s="7"/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1</v>
      </c>
      <c r="K8" s="8">
        <v>1</v>
      </c>
      <c r="L8" s="8">
        <v>100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</v>
      </c>
      <c r="AF8" s="8">
        <v>1</v>
      </c>
      <c r="AG8" s="8">
        <v>100</v>
      </c>
      <c r="AH8" s="8">
        <v>63</v>
      </c>
      <c r="AI8" s="12">
        <v>100</v>
      </c>
      <c r="AJ8" s="16">
        <v>63</v>
      </c>
    </row>
    <row r="9" spans="1:36" ht="18" thickBot="1">
      <c r="A9" s="7" t="s">
        <v>26</v>
      </c>
      <c r="B9" s="7" t="s">
        <v>24</v>
      </c>
      <c r="C9" s="7" t="s">
        <v>27</v>
      </c>
      <c r="D9" s="8">
        <v>0</v>
      </c>
      <c r="E9" s="8">
        <v>0</v>
      </c>
      <c r="F9" s="8">
        <v>0</v>
      </c>
      <c r="G9" s="8">
        <v>74</v>
      </c>
      <c r="H9" s="8">
        <v>74</v>
      </c>
      <c r="I9" s="9">
        <v>66600</v>
      </c>
      <c r="J9" s="8">
        <v>0</v>
      </c>
      <c r="K9" s="8">
        <v>0</v>
      </c>
      <c r="L9" s="8">
        <v>0</v>
      </c>
      <c r="M9" s="8">
        <v>2</v>
      </c>
      <c r="N9" s="8">
        <v>16</v>
      </c>
      <c r="O9" s="9">
        <v>14400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76</v>
      </c>
      <c r="AF9" s="8">
        <v>90</v>
      </c>
      <c r="AG9" s="9">
        <v>81000</v>
      </c>
      <c r="AH9" s="9">
        <v>51030</v>
      </c>
      <c r="AI9" s="10">
        <v>81000</v>
      </c>
      <c r="AJ9" s="15">
        <v>51030</v>
      </c>
    </row>
    <row r="10" spans="1:36" ht="18" thickBot="1">
      <c r="A10" s="7" t="s">
        <v>28</v>
      </c>
      <c r="B10" s="7" t="s">
        <v>17</v>
      </c>
      <c r="C10" s="7" t="s">
        <v>29</v>
      </c>
      <c r="D10" s="8">
        <v>0</v>
      </c>
      <c r="E10" s="8">
        <v>0</v>
      </c>
      <c r="F10" s="8">
        <v>0</v>
      </c>
      <c r="G10" s="8">
        <v>48</v>
      </c>
      <c r="H10" s="8">
        <v>48</v>
      </c>
      <c r="I10" s="9">
        <v>43200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48</v>
      </c>
      <c r="AF10" s="8">
        <v>48</v>
      </c>
      <c r="AG10" s="9">
        <v>43200</v>
      </c>
      <c r="AH10" s="9">
        <v>27216</v>
      </c>
      <c r="AI10" s="10">
        <v>43200</v>
      </c>
      <c r="AJ10" s="15">
        <v>27216</v>
      </c>
    </row>
    <row r="11" spans="1:36" ht="18" thickBot="1">
      <c r="A11" s="7" t="s">
        <v>111</v>
      </c>
      <c r="B11" s="7" t="s">
        <v>17</v>
      </c>
      <c r="C11" s="7"/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87</v>
      </c>
      <c r="K11" s="8">
        <v>87</v>
      </c>
      <c r="L11" s="9">
        <v>8700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87</v>
      </c>
      <c r="AF11" s="8">
        <v>87</v>
      </c>
      <c r="AG11" s="9">
        <v>8700</v>
      </c>
      <c r="AH11" s="9">
        <v>5481</v>
      </c>
      <c r="AI11" s="10">
        <v>8700</v>
      </c>
      <c r="AJ11" s="15">
        <v>5481</v>
      </c>
    </row>
    <row r="12" spans="1:36" ht="18" thickBot="1">
      <c r="A12" s="7" t="s">
        <v>30</v>
      </c>
      <c r="B12" s="7" t="s">
        <v>17</v>
      </c>
      <c r="C12" s="7" t="s">
        <v>31</v>
      </c>
      <c r="D12" s="8">
        <v>0</v>
      </c>
      <c r="E12" s="8">
        <v>0</v>
      </c>
      <c r="F12" s="8">
        <v>0</v>
      </c>
      <c r="G12" s="8">
        <v>13</v>
      </c>
      <c r="H12" s="8">
        <v>13</v>
      </c>
      <c r="I12" s="9">
        <v>11700</v>
      </c>
      <c r="J12" s="8">
        <v>0</v>
      </c>
      <c r="K12" s="8">
        <v>0</v>
      </c>
      <c r="L12" s="8">
        <v>0</v>
      </c>
      <c r="M12" s="8">
        <v>1</v>
      </c>
      <c r="N12" s="8">
        <v>20</v>
      </c>
      <c r="O12" s="9">
        <v>18000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14</v>
      </c>
      <c r="AF12" s="8">
        <v>33</v>
      </c>
      <c r="AG12" s="9">
        <v>29700</v>
      </c>
      <c r="AH12" s="9">
        <v>18711</v>
      </c>
      <c r="AI12" s="10">
        <v>29700</v>
      </c>
      <c r="AJ12" s="15">
        <v>18711</v>
      </c>
    </row>
    <row r="13" spans="1:36" ht="18" thickBot="1">
      <c r="A13" s="7" t="s">
        <v>32</v>
      </c>
      <c r="B13" s="7" t="s">
        <v>21</v>
      </c>
      <c r="C13" s="7" t="s">
        <v>33</v>
      </c>
      <c r="D13" s="8">
        <v>0</v>
      </c>
      <c r="E13" s="8">
        <v>0</v>
      </c>
      <c r="F13" s="8">
        <v>0</v>
      </c>
      <c r="G13" s="8">
        <v>14</v>
      </c>
      <c r="H13" s="8">
        <v>14</v>
      </c>
      <c r="I13" s="9">
        <v>12600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14</v>
      </c>
      <c r="AF13" s="8">
        <v>14</v>
      </c>
      <c r="AG13" s="9">
        <v>12600</v>
      </c>
      <c r="AH13" s="9">
        <v>7938</v>
      </c>
      <c r="AI13" s="10">
        <v>12600</v>
      </c>
      <c r="AJ13" s="15">
        <v>7938</v>
      </c>
    </row>
    <row r="14" spans="1:36" ht="18" thickBot="1">
      <c r="A14" s="7" t="s">
        <v>34</v>
      </c>
      <c r="B14" s="7" t="s">
        <v>24</v>
      </c>
      <c r="C14" s="7" t="s">
        <v>35</v>
      </c>
      <c r="D14" s="8">
        <v>0</v>
      </c>
      <c r="E14" s="8">
        <v>0</v>
      </c>
      <c r="F14" s="8">
        <v>0</v>
      </c>
      <c r="G14" s="8">
        <v>89</v>
      </c>
      <c r="H14" s="8">
        <v>89</v>
      </c>
      <c r="I14" s="9">
        <v>80100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89</v>
      </c>
      <c r="AF14" s="8">
        <v>89</v>
      </c>
      <c r="AG14" s="9">
        <v>80100</v>
      </c>
      <c r="AH14" s="9">
        <v>50463</v>
      </c>
      <c r="AI14" s="10">
        <v>80100</v>
      </c>
      <c r="AJ14" s="15">
        <v>50463</v>
      </c>
    </row>
    <row r="15" spans="1:36" ht="18" thickBot="1">
      <c r="A15" s="7" t="s">
        <v>81</v>
      </c>
      <c r="B15" s="7" t="s">
        <v>17</v>
      </c>
      <c r="C15" s="7" t="s">
        <v>82</v>
      </c>
      <c r="D15" s="8">
        <v>0</v>
      </c>
      <c r="E15" s="8">
        <v>0</v>
      </c>
      <c r="F15" s="8">
        <v>0</v>
      </c>
      <c r="G15" s="8">
        <v>20</v>
      </c>
      <c r="H15" s="8">
        <v>20</v>
      </c>
      <c r="I15" s="9">
        <v>18000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20</v>
      </c>
      <c r="AF15" s="8">
        <v>20</v>
      </c>
      <c r="AG15" s="9">
        <v>18000</v>
      </c>
      <c r="AH15" s="9">
        <v>11340</v>
      </c>
      <c r="AI15" s="10">
        <v>18000</v>
      </c>
      <c r="AJ15" s="15">
        <v>11340</v>
      </c>
    </row>
    <row r="16" spans="1:36" ht="18" thickBot="1">
      <c r="A16" s="7" t="s">
        <v>36</v>
      </c>
      <c r="B16" s="7" t="s">
        <v>21</v>
      </c>
      <c r="C16" s="7" t="s">
        <v>37</v>
      </c>
      <c r="D16" s="8">
        <v>0</v>
      </c>
      <c r="E16" s="8">
        <v>0</v>
      </c>
      <c r="F16" s="8">
        <v>0</v>
      </c>
      <c r="G16" s="8">
        <v>154</v>
      </c>
      <c r="H16" s="8">
        <v>154</v>
      </c>
      <c r="I16" s="9">
        <v>138600</v>
      </c>
      <c r="J16" s="8">
        <v>0</v>
      </c>
      <c r="K16" s="8">
        <v>0</v>
      </c>
      <c r="L16" s="8">
        <v>0</v>
      </c>
      <c r="M16" s="8">
        <v>15</v>
      </c>
      <c r="N16" s="8">
        <v>135</v>
      </c>
      <c r="O16" s="9">
        <v>85050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</v>
      </c>
      <c r="Z16" s="8">
        <v>9</v>
      </c>
      <c r="AA16" s="9">
        <v>9720</v>
      </c>
      <c r="AB16" s="8">
        <v>0</v>
      </c>
      <c r="AC16" s="8">
        <v>0</v>
      </c>
      <c r="AD16" s="8">
        <v>0</v>
      </c>
      <c r="AE16" s="8">
        <v>170</v>
      </c>
      <c r="AF16" s="8">
        <v>298</v>
      </c>
      <c r="AG16" s="9">
        <v>233370</v>
      </c>
      <c r="AH16" s="9">
        <v>146731.5</v>
      </c>
      <c r="AI16" s="10">
        <v>233370</v>
      </c>
      <c r="AJ16" s="15">
        <v>146731.5</v>
      </c>
    </row>
    <row r="17" spans="1:36" ht="18" thickBot="1">
      <c r="A17" s="7" t="s">
        <v>118</v>
      </c>
      <c r="B17" s="7" t="s">
        <v>21</v>
      </c>
      <c r="C17" s="7"/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225</v>
      </c>
      <c r="K17" s="8">
        <v>225</v>
      </c>
      <c r="L17" s="9">
        <v>22500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225</v>
      </c>
      <c r="AF17" s="8">
        <v>225</v>
      </c>
      <c r="AG17" s="9">
        <v>22500</v>
      </c>
      <c r="AH17" s="9">
        <v>14175</v>
      </c>
      <c r="AI17" s="10">
        <v>22500</v>
      </c>
      <c r="AJ17" s="15">
        <v>14175</v>
      </c>
    </row>
    <row r="18" spans="1:36" ht="18" thickBot="1">
      <c r="A18" s="7" t="s">
        <v>38</v>
      </c>
      <c r="B18" s="7" t="s">
        <v>24</v>
      </c>
      <c r="C18" s="7" t="s">
        <v>39</v>
      </c>
      <c r="D18" s="8">
        <v>0</v>
      </c>
      <c r="E18" s="8">
        <v>0</v>
      </c>
      <c r="F18" s="8">
        <v>0</v>
      </c>
      <c r="G18" s="8">
        <v>27</v>
      </c>
      <c r="H18" s="8">
        <v>27</v>
      </c>
      <c r="I18" s="9">
        <v>24300</v>
      </c>
      <c r="J18" s="8">
        <v>0</v>
      </c>
      <c r="K18" s="8">
        <v>0</v>
      </c>
      <c r="L18" s="8">
        <v>0</v>
      </c>
      <c r="M18" s="8">
        <v>1</v>
      </c>
      <c r="N18" s="8">
        <v>6</v>
      </c>
      <c r="O18" s="9">
        <v>5400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28</v>
      </c>
      <c r="AF18" s="8">
        <v>33</v>
      </c>
      <c r="AG18" s="9">
        <v>29700</v>
      </c>
      <c r="AH18" s="9">
        <v>18711</v>
      </c>
      <c r="AI18" s="10">
        <v>29700</v>
      </c>
      <c r="AJ18" s="15">
        <v>18711</v>
      </c>
    </row>
    <row r="19" spans="1:36" ht="18" thickBot="1">
      <c r="A19" s="7" t="s">
        <v>95</v>
      </c>
      <c r="B19" s="7" t="s">
        <v>19</v>
      </c>
      <c r="C19" s="7" t="s">
        <v>96</v>
      </c>
      <c r="D19" s="8">
        <v>0</v>
      </c>
      <c r="E19" s="8">
        <v>0</v>
      </c>
      <c r="F19" s="8">
        <v>0</v>
      </c>
      <c r="G19" s="8">
        <v>1</v>
      </c>
      <c r="H19" s="8">
        <v>1</v>
      </c>
      <c r="I19" s="8">
        <v>900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</v>
      </c>
      <c r="AF19" s="8">
        <v>1</v>
      </c>
      <c r="AG19" s="8">
        <v>900</v>
      </c>
      <c r="AH19" s="8">
        <v>567</v>
      </c>
      <c r="AI19" s="12">
        <v>900</v>
      </c>
      <c r="AJ19" s="16">
        <v>567</v>
      </c>
    </row>
    <row r="20" spans="1:36" ht="18" thickBot="1">
      <c r="A20" s="7" t="s">
        <v>40</v>
      </c>
      <c r="B20" s="7" t="s">
        <v>21</v>
      </c>
      <c r="C20" s="7" t="s">
        <v>41</v>
      </c>
      <c r="D20" s="8">
        <v>0</v>
      </c>
      <c r="E20" s="8">
        <v>0</v>
      </c>
      <c r="F20" s="8">
        <v>0</v>
      </c>
      <c r="G20" s="8">
        <v>11</v>
      </c>
      <c r="H20" s="8">
        <v>11</v>
      </c>
      <c r="I20" s="9">
        <v>9900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11</v>
      </c>
      <c r="AF20" s="8">
        <v>11</v>
      </c>
      <c r="AG20" s="9">
        <v>9900</v>
      </c>
      <c r="AH20" s="9">
        <v>6237</v>
      </c>
      <c r="AI20" s="10">
        <v>9900</v>
      </c>
      <c r="AJ20" s="15">
        <v>6237</v>
      </c>
    </row>
    <row r="21" spans="1:36" ht="18" thickBot="1">
      <c r="A21" s="7" t="s">
        <v>119</v>
      </c>
      <c r="B21" s="7" t="s">
        <v>21</v>
      </c>
      <c r="C21" s="7"/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213</v>
      </c>
      <c r="K21" s="8">
        <v>213</v>
      </c>
      <c r="L21" s="9">
        <v>21300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213</v>
      </c>
      <c r="AF21" s="8">
        <v>213</v>
      </c>
      <c r="AG21" s="9">
        <v>21300</v>
      </c>
      <c r="AH21" s="9">
        <v>13419</v>
      </c>
      <c r="AI21" s="10">
        <v>21300</v>
      </c>
      <c r="AJ21" s="15">
        <v>13419</v>
      </c>
    </row>
    <row r="22" spans="1:36" ht="18" thickBot="1">
      <c r="A22" s="7" t="s">
        <v>102</v>
      </c>
      <c r="B22" s="7" t="s">
        <v>19</v>
      </c>
      <c r="C22" s="7" t="s">
        <v>103</v>
      </c>
      <c r="D22" s="8">
        <v>0</v>
      </c>
      <c r="E22" s="8">
        <v>0</v>
      </c>
      <c r="F22" s="8">
        <v>0</v>
      </c>
      <c r="G22" s="8">
        <v>9</v>
      </c>
      <c r="H22" s="8">
        <v>9</v>
      </c>
      <c r="I22" s="9">
        <v>8100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9</v>
      </c>
      <c r="AF22" s="8">
        <v>9</v>
      </c>
      <c r="AG22" s="9">
        <v>8100</v>
      </c>
      <c r="AH22" s="9">
        <v>5103</v>
      </c>
      <c r="AI22" s="10">
        <v>8100</v>
      </c>
      <c r="AJ22" s="15">
        <v>5103</v>
      </c>
    </row>
    <row r="23" spans="1:36" ht="18" thickBot="1">
      <c r="A23" s="7" t="s">
        <v>85</v>
      </c>
      <c r="B23" s="7" t="s">
        <v>42</v>
      </c>
      <c r="C23" s="7" t="s">
        <v>86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31</v>
      </c>
      <c r="K23" s="8">
        <v>31</v>
      </c>
      <c r="L23" s="9">
        <v>3100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31</v>
      </c>
      <c r="AF23" s="8">
        <v>31</v>
      </c>
      <c r="AG23" s="9">
        <v>3100</v>
      </c>
      <c r="AH23" s="9">
        <v>1953</v>
      </c>
      <c r="AI23" s="10">
        <v>3100</v>
      </c>
      <c r="AJ23" s="15">
        <v>1953</v>
      </c>
    </row>
    <row r="24" spans="1:36" ht="18" thickBot="1">
      <c r="A24" s="7" t="s">
        <v>43</v>
      </c>
      <c r="B24" s="7" t="s">
        <v>42</v>
      </c>
      <c r="C24" s="7" t="s">
        <v>44</v>
      </c>
      <c r="D24" s="8">
        <v>0</v>
      </c>
      <c r="E24" s="8">
        <v>0</v>
      </c>
      <c r="F24" s="8">
        <v>0</v>
      </c>
      <c r="G24" s="8">
        <v>34</v>
      </c>
      <c r="H24" s="8">
        <v>34</v>
      </c>
      <c r="I24" s="9">
        <v>30600</v>
      </c>
      <c r="J24" s="8">
        <v>0</v>
      </c>
      <c r="K24" s="8">
        <v>0</v>
      </c>
      <c r="L24" s="8">
        <v>0</v>
      </c>
      <c r="M24" s="8">
        <v>1</v>
      </c>
      <c r="N24" s="8">
        <v>14</v>
      </c>
      <c r="O24" s="9">
        <v>12600</v>
      </c>
      <c r="P24" s="8">
        <v>0</v>
      </c>
      <c r="Q24" s="8">
        <v>0</v>
      </c>
      <c r="R24" s="8">
        <v>0</v>
      </c>
      <c r="S24" s="8">
        <v>12</v>
      </c>
      <c r="T24" s="8">
        <v>12</v>
      </c>
      <c r="U24" s="9">
        <v>12960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47</v>
      </c>
      <c r="AF24" s="8">
        <v>60</v>
      </c>
      <c r="AG24" s="9">
        <v>56160</v>
      </c>
      <c r="AH24" s="9">
        <v>34992</v>
      </c>
      <c r="AI24" s="10">
        <v>56160</v>
      </c>
      <c r="AJ24" s="15">
        <v>34992</v>
      </c>
    </row>
    <row r="25" spans="1:36" ht="18" thickBot="1">
      <c r="A25" s="7" t="s">
        <v>120</v>
      </c>
      <c r="B25" s="7" t="s">
        <v>24</v>
      </c>
      <c r="C25" s="7" t="s">
        <v>121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9</v>
      </c>
      <c r="K25" s="8">
        <v>9</v>
      </c>
      <c r="L25" s="9">
        <v>28800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9</v>
      </c>
      <c r="AF25" s="8">
        <v>9</v>
      </c>
      <c r="AG25" s="9">
        <v>28800</v>
      </c>
      <c r="AH25" s="9">
        <v>18144</v>
      </c>
      <c r="AI25" s="10">
        <v>28800</v>
      </c>
      <c r="AJ25" s="15">
        <v>18144</v>
      </c>
    </row>
    <row r="26" spans="1:36" ht="18" thickBot="1">
      <c r="A26" s="7" t="s">
        <v>97</v>
      </c>
      <c r="B26" s="7" t="s">
        <v>24</v>
      </c>
      <c r="C26" s="7" t="s">
        <v>98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147</v>
      </c>
      <c r="K26" s="8">
        <v>147</v>
      </c>
      <c r="L26" s="9">
        <v>14700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147</v>
      </c>
      <c r="AF26" s="8">
        <v>147</v>
      </c>
      <c r="AG26" s="9">
        <v>14700</v>
      </c>
      <c r="AH26" s="9">
        <v>9261</v>
      </c>
      <c r="AI26" s="10">
        <v>14700</v>
      </c>
      <c r="AJ26" s="15">
        <v>9261</v>
      </c>
    </row>
    <row r="27" spans="1:36" ht="18" thickBot="1">
      <c r="A27" s="7" t="s">
        <v>83</v>
      </c>
      <c r="B27" s="7" t="s">
        <v>21</v>
      </c>
      <c r="C27" s="7" t="s">
        <v>84</v>
      </c>
      <c r="D27" s="8">
        <v>0</v>
      </c>
      <c r="E27" s="8">
        <v>0</v>
      </c>
      <c r="F27" s="8">
        <v>0</v>
      </c>
      <c r="G27" s="8">
        <v>72</v>
      </c>
      <c r="H27" s="8">
        <v>72</v>
      </c>
      <c r="I27" s="9">
        <v>62800</v>
      </c>
      <c r="J27" s="8">
        <v>7</v>
      </c>
      <c r="K27" s="8">
        <v>7</v>
      </c>
      <c r="L27" s="9">
        <v>22200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79</v>
      </c>
      <c r="AF27" s="8">
        <v>79</v>
      </c>
      <c r="AG27" s="9">
        <v>85000</v>
      </c>
      <c r="AH27" s="9">
        <v>53550</v>
      </c>
      <c r="AI27" s="10">
        <v>85000</v>
      </c>
      <c r="AJ27" s="15">
        <v>53550</v>
      </c>
    </row>
    <row r="28" spans="1:36" ht="18" thickBot="1">
      <c r="A28" s="7" t="s">
        <v>45</v>
      </c>
      <c r="B28" s="7" t="s">
        <v>24</v>
      </c>
      <c r="C28" s="7" t="s">
        <v>46</v>
      </c>
      <c r="D28" s="8">
        <v>0</v>
      </c>
      <c r="E28" s="8">
        <v>0</v>
      </c>
      <c r="F28" s="8">
        <v>0</v>
      </c>
      <c r="G28" s="8">
        <v>53</v>
      </c>
      <c r="H28" s="8">
        <v>53</v>
      </c>
      <c r="I28" s="9">
        <v>47700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53</v>
      </c>
      <c r="AF28" s="8">
        <v>53</v>
      </c>
      <c r="AG28" s="9">
        <v>47700</v>
      </c>
      <c r="AH28" s="9">
        <v>30051</v>
      </c>
      <c r="AI28" s="10">
        <v>47700</v>
      </c>
      <c r="AJ28" s="15">
        <v>30051</v>
      </c>
    </row>
    <row r="29" spans="1:36" ht="18" thickBot="1">
      <c r="A29" s="7" t="s">
        <v>89</v>
      </c>
      <c r="B29" s="7" t="s">
        <v>19</v>
      </c>
      <c r="C29" s="7" t="s">
        <v>90</v>
      </c>
      <c r="D29" s="8">
        <v>0</v>
      </c>
      <c r="E29" s="8">
        <v>0</v>
      </c>
      <c r="F29" s="8">
        <v>0</v>
      </c>
      <c r="G29" s="8">
        <v>2</v>
      </c>
      <c r="H29" s="8">
        <v>2</v>
      </c>
      <c r="I29" s="9">
        <v>1800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2</v>
      </c>
      <c r="AF29" s="8">
        <v>2</v>
      </c>
      <c r="AG29" s="9">
        <v>1800</v>
      </c>
      <c r="AH29" s="9">
        <v>1134</v>
      </c>
      <c r="AI29" s="10">
        <v>1800</v>
      </c>
      <c r="AJ29" s="15">
        <v>1134</v>
      </c>
    </row>
    <row r="30" spans="1:36" ht="18" thickBot="1">
      <c r="A30" s="7" t="s">
        <v>93</v>
      </c>
      <c r="B30" s="7" t="s">
        <v>19</v>
      </c>
      <c r="C30" s="7" t="s">
        <v>94</v>
      </c>
      <c r="D30" s="8">
        <v>0</v>
      </c>
      <c r="E30" s="8">
        <v>0</v>
      </c>
      <c r="F30" s="8">
        <v>0</v>
      </c>
      <c r="G30" s="8">
        <v>13</v>
      </c>
      <c r="H30" s="8">
        <v>13</v>
      </c>
      <c r="I30" s="9">
        <v>11700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13</v>
      </c>
      <c r="AF30" s="8">
        <v>13</v>
      </c>
      <c r="AG30" s="9">
        <v>11700</v>
      </c>
      <c r="AH30" s="9">
        <v>7371</v>
      </c>
      <c r="AI30" s="10">
        <v>11700</v>
      </c>
      <c r="AJ30" s="15">
        <v>7371</v>
      </c>
    </row>
    <row r="31" spans="1:36" ht="18" thickBot="1">
      <c r="A31" s="7" t="s">
        <v>107</v>
      </c>
      <c r="B31" s="7" t="s">
        <v>21</v>
      </c>
      <c r="C31" s="7" t="s">
        <v>108</v>
      </c>
      <c r="D31" s="8">
        <v>0</v>
      </c>
      <c r="E31" s="8">
        <v>0</v>
      </c>
      <c r="F31" s="8">
        <v>0</v>
      </c>
      <c r="G31" s="8">
        <v>15</v>
      </c>
      <c r="H31" s="8">
        <v>15</v>
      </c>
      <c r="I31" s="9">
        <v>13500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15</v>
      </c>
      <c r="AF31" s="8">
        <v>15</v>
      </c>
      <c r="AG31" s="9">
        <v>13500</v>
      </c>
      <c r="AH31" s="9">
        <v>8505</v>
      </c>
      <c r="AI31" s="10">
        <v>13500</v>
      </c>
      <c r="AJ31" s="15">
        <v>8505</v>
      </c>
    </row>
    <row r="32" spans="1:36" ht="18" thickBot="1">
      <c r="A32" s="7" t="s">
        <v>122</v>
      </c>
      <c r="B32" s="7" t="s">
        <v>17</v>
      </c>
      <c r="C32" s="7" t="s">
        <v>123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219</v>
      </c>
      <c r="K32" s="8">
        <v>219</v>
      </c>
      <c r="L32" s="9">
        <v>21900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219</v>
      </c>
      <c r="AF32" s="8">
        <v>219</v>
      </c>
      <c r="AG32" s="9">
        <v>21900</v>
      </c>
      <c r="AH32" s="9">
        <v>13797</v>
      </c>
      <c r="AI32" s="10">
        <v>21900</v>
      </c>
      <c r="AJ32" s="15">
        <v>13797</v>
      </c>
    </row>
    <row r="33" spans="1:36" ht="18" thickBot="1">
      <c r="A33" s="7" t="s">
        <v>104</v>
      </c>
      <c r="B33" s="7" t="s">
        <v>19</v>
      </c>
      <c r="C33" s="7" t="s">
        <v>105</v>
      </c>
      <c r="D33" s="8">
        <v>0</v>
      </c>
      <c r="E33" s="8">
        <v>0</v>
      </c>
      <c r="F33" s="8">
        <v>0</v>
      </c>
      <c r="G33" s="8">
        <v>11</v>
      </c>
      <c r="H33" s="8">
        <v>11</v>
      </c>
      <c r="I33" s="9">
        <v>9900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11</v>
      </c>
      <c r="AF33" s="8">
        <v>11</v>
      </c>
      <c r="AG33" s="9">
        <v>9900</v>
      </c>
      <c r="AH33" s="9">
        <v>6237</v>
      </c>
      <c r="AI33" s="10">
        <v>9900</v>
      </c>
      <c r="AJ33" s="15">
        <v>6237</v>
      </c>
    </row>
    <row r="34" spans="1:36" ht="18" thickBot="1">
      <c r="A34" s="7" t="s">
        <v>47</v>
      </c>
      <c r="B34" s="7" t="s">
        <v>19</v>
      </c>
      <c r="C34" s="7" t="s">
        <v>48</v>
      </c>
      <c r="D34" s="8">
        <v>0</v>
      </c>
      <c r="E34" s="8">
        <v>0</v>
      </c>
      <c r="F34" s="8">
        <v>0</v>
      </c>
      <c r="G34" s="8">
        <v>11</v>
      </c>
      <c r="H34" s="8">
        <v>11</v>
      </c>
      <c r="I34" s="9">
        <v>9900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11</v>
      </c>
      <c r="AF34" s="8">
        <v>11</v>
      </c>
      <c r="AG34" s="9">
        <v>9900</v>
      </c>
      <c r="AH34" s="9">
        <v>6237</v>
      </c>
      <c r="AI34" s="10">
        <v>9900</v>
      </c>
      <c r="AJ34" s="15">
        <v>6237</v>
      </c>
    </row>
    <row r="35" spans="1:36" ht="18" thickBot="1">
      <c r="A35" s="7" t="s">
        <v>49</v>
      </c>
      <c r="B35" s="7" t="s">
        <v>24</v>
      </c>
      <c r="C35" s="7" t="s">
        <v>50</v>
      </c>
      <c r="D35" s="8">
        <v>0</v>
      </c>
      <c r="E35" s="8">
        <v>0</v>
      </c>
      <c r="F35" s="8">
        <v>0</v>
      </c>
      <c r="G35" s="8">
        <v>4</v>
      </c>
      <c r="H35" s="8">
        <v>4</v>
      </c>
      <c r="I35" s="9">
        <v>3600</v>
      </c>
      <c r="J35" s="8">
        <v>0</v>
      </c>
      <c r="K35" s="8">
        <v>0</v>
      </c>
      <c r="L35" s="8">
        <v>0</v>
      </c>
      <c r="M35" s="8">
        <v>1</v>
      </c>
      <c r="N35" s="8">
        <v>8</v>
      </c>
      <c r="O35" s="9">
        <v>7200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5</v>
      </c>
      <c r="AF35" s="8">
        <v>12</v>
      </c>
      <c r="AG35" s="9">
        <v>10800</v>
      </c>
      <c r="AH35" s="9">
        <v>6804</v>
      </c>
      <c r="AI35" s="10">
        <v>10800</v>
      </c>
      <c r="AJ35" s="15">
        <v>6804</v>
      </c>
    </row>
    <row r="36" spans="1:36" ht="18" thickBot="1">
      <c r="A36" s="7" t="s">
        <v>87</v>
      </c>
      <c r="B36" s="7" t="s">
        <v>24</v>
      </c>
      <c r="C36" s="7" t="s">
        <v>88</v>
      </c>
      <c r="D36" s="8">
        <v>0</v>
      </c>
      <c r="E36" s="8">
        <v>0</v>
      </c>
      <c r="F36" s="8">
        <v>0</v>
      </c>
      <c r="G36" s="8">
        <v>19</v>
      </c>
      <c r="H36" s="8">
        <v>19</v>
      </c>
      <c r="I36" s="9">
        <v>17100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19</v>
      </c>
      <c r="AF36" s="8">
        <v>19</v>
      </c>
      <c r="AG36" s="9">
        <v>17100</v>
      </c>
      <c r="AH36" s="9">
        <v>10773</v>
      </c>
      <c r="AI36" s="10">
        <v>17100</v>
      </c>
      <c r="AJ36" s="15">
        <v>10773</v>
      </c>
    </row>
    <row r="37" spans="1:36" ht="18" thickBot="1">
      <c r="A37" s="7" t="s">
        <v>51</v>
      </c>
      <c r="B37" s="7" t="s">
        <v>24</v>
      </c>
      <c r="C37" s="7" t="s">
        <v>52</v>
      </c>
      <c r="D37" s="8">
        <v>0</v>
      </c>
      <c r="E37" s="8">
        <v>0</v>
      </c>
      <c r="F37" s="8">
        <v>0</v>
      </c>
      <c r="G37" s="8">
        <v>71</v>
      </c>
      <c r="H37" s="8">
        <v>71</v>
      </c>
      <c r="I37" s="9">
        <v>63900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71</v>
      </c>
      <c r="AF37" s="8">
        <v>71</v>
      </c>
      <c r="AG37" s="9">
        <v>63900</v>
      </c>
      <c r="AH37" s="9">
        <v>40257</v>
      </c>
      <c r="AI37" s="10">
        <v>63900</v>
      </c>
      <c r="AJ37" s="15">
        <v>40257</v>
      </c>
    </row>
    <row r="38" spans="1:36" ht="18" thickBot="1">
      <c r="A38" s="7" t="s">
        <v>112</v>
      </c>
      <c r="B38" s="7" t="s">
        <v>19</v>
      </c>
      <c r="C38" s="7" t="s">
        <v>113</v>
      </c>
      <c r="D38" s="8">
        <v>0</v>
      </c>
      <c r="E38" s="8">
        <v>0</v>
      </c>
      <c r="F38" s="8">
        <v>0</v>
      </c>
      <c r="G38" s="8">
        <v>4</v>
      </c>
      <c r="H38" s="8">
        <v>4</v>
      </c>
      <c r="I38" s="9">
        <v>3600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4</v>
      </c>
      <c r="AF38" s="8">
        <v>4</v>
      </c>
      <c r="AG38" s="9">
        <v>3600</v>
      </c>
      <c r="AH38" s="9">
        <v>2268</v>
      </c>
      <c r="AI38" s="10">
        <v>3600</v>
      </c>
      <c r="AJ38" s="15">
        <v>2268</v>
      </c>
    </row>
    <row r="39" spans="1:36" ht="18" thickBot="1">
      <c r="A39" s="7" t="s">
        <v>53</v>
      </c>
      <c r="B39" s="7" t="s">
        <v>19</v>
      </c>
      <c r="C39" s="7" t="s">
        <v>54</v>
      </c>
      <c r="D39" s="8">
        <v>0</v>
      </c>
      <c r="E39" s="8">
        <v>0</v>
      </c>
      <c r="F39" s="8">
        <v>0</v>
      </c>
      <c r="G39" s="8">
        <v>6</v>
      </c>
      <c r="H39" s="8">
        <v>6</v>
      </c>
      <c r="I39" s="9">
        <v>5400</v>
      </c>
      <c r="J39" s="8">
        <v>0</v>
      </c>
      <c r="K39" s="8">
        <v>0</v>
      </c>
      <c r="L39" s="8">
        <v>0</v>
      </c>
      <c r="M39" s="8">
        <v>1</v>
      </c>
      <c r="N39" s="8">
        <v>7</v>
      </c>
      <c r="O39" s="9">
        <v>6300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7</v>
      </c>
      <c r="AF39" s="8">
        <v>13</v>
      </c>
      <c r="AG39" s="9">
        <v>11700</v>
      </c>
      <c r="AH39" s="9">
        <v>7371</v>
      </c>
      <c r="AI39" s="10">
        <v>11700</v>
      </c>
      <c r="AJ39" s="15">
        <v>7371</v>
      </c>
    </row>
    <row r="40" spans="1:36" ht="18" thickBot="1">
      <c r="A40" s="7" t="s">
        <v>91</v>
      </c>
      <c r="B40" s="7" t="s">
        <v>19</v>
      </c>
      <c r="C40" s="7" t="s">
        <v>92</v>
      </c>
      <c r="D40" s="8">
        <v>0</v>
      </c>
      <c r="E40" s="8">
        <v>0</v>
      </c>
      <c r="F40" s="8">
        <v>0</v>
      </c>
      <c r="G40" s="8">
        <v>8</v>
      </c>
      <c r="H40" s="8">
        <v>8</v>
      </c>
      <c r="I40" s="9">
        <v>7200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8</v>
      </c>
      <c r="AF40" s="8">
        <v>8</v>
      </c>
      <c r="AG40" s="9">
        <v>7200</v>
      </c>
      <c r="AH40" s="9">
        <v>4536</v>
      </c>
      <c r="AI40" s="10">
        <v>7200</v>
      </c>
      <c r="AJ40" s="15">
        <v>4536</v>
      </c>
    </row>
    <row r="41" spans="1:36" ht="18" thickBot="1">
      <c r="A41" s="7" t="s">
        <v>55</v>
      </c>
      <c r="B41" s="7" t="s">
        <v>21</v>
      </c>
      <c r="C41" s="7" t="s">
        <v>56</v>
      </c>
      <c r="D41" s="8">
        <v>0</v>
      </c>
      <c r="E41" s="8">
        <v>0</v>
      </c>
      <c r="F41" s="8">
        <v>0</v>
      </c>
      <c r="G41" s="8">
        <v>57</v>
      </c>
      <c r="H41" s="8">
        <v>57</v>
      </c>
      <c r="I41" s="9">
        <v>51300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57</v>
      </c>
      <c r="AF41" s="8">
        <v>57</v>
      </c>
      <c r="AG41" s="9">
        <v>51300</v>
      </c>
      <c r="AH41" s="9">
        <v>32319</v>
      </c>
      <c r="AI41" s="10">
        <v>51300</v>
      </c>
      <c r="AJ41" s="15">
        <v>32319</v>
      </c>
    </row>
    <row r="42" spans="1:36" ht="18" thickBot="1">
      <c r="A42" s="7" t="s">
        <v>99</v>
      </c>
      <c r="B42" s="7" t="s">
        <v>17</v>
      </c>
      <c r="C42" s="7" t="s">
        <v>100</v>
      </c>
      <c r="D42" s="8">
        <v>0</v>
      </c>
      <c r="E42" s="8">
        <v>0</v>
      </c>
      <c r="F42" s="8">
        <v>0</v>
      </c>
      <c r="G42" s="8">
        <v>3</v>
      </c>
      <c r="H42" s="8">
        <v>3</v>
      </c>
      <c r="I42" s="9">
        <v>2700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3</v>
      </c>
      <c r="AF42" s="8">
        <v>3</v>
      </c>
      <c r="AG42" s="9">
        <v>2700</v>
      </c>
      <c r="AH42" s="9">
        <v>1701</v>
      </c>
      <c r="AI42" s="10">
        <v>2700</v>
      </c>
      <c r="AJ42" s="15">
        <v>1701</v>
      </c>
    </row>
    <row r="43" spans="1:36" ht="18" thickBot="1">
      <c r="A43" s="7" t="s">
        <v>114</v>
      </c>
      <c r="B43" s="7" t="s">
        <v>21</v>
      </c>
      <c r="C43" s="7" t="s">
        <v>115</v>
      </c>
      <c r="D43" s="8">
        <v>0</v>
      </c>
      <c r="E43" s="8">
        <v>0</v>
      </c>
      <c r="F43" s="8">
        <v>0</v>
      </c>
      <c r="G43" s="8">
        <v>21</v>
      </c>
      <c r="H43" s="8">
        <v>21</v>
      </c>
      <c r="I43" s="9">
        <v>18900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21</v>
      </c>
      <c r="AF43" s="8">
        <v>21</v>
      </c>
      <c r="AG43" s="9">
        <v>18900</v>
      </c>
      <c r="AH43" s="9">
        <v>11907</v>
      </c>
      <c r="AI43" s="10">
        <v>18900</v>
      </c>
      <c r="AJ43" s="15">
        <v>11907</v>
      </c>
    </row>
    <row r="44" spans="1:36" ht="18" thickBot="1">
      <c r="A44" s="7" t="s">
        <v>57</v>
      </c>
      <c r="B44" s="7" t="s">
        <v>17</v>
      </c>
      <c r="C44" s="7" t="s">
        <v>58</v>
      </c>
      <c r="D44" s="8">
        <v>0</v>
      </c>
      <c r="E44" s="8">
        <v>0</v>
      </c>
      <c r="F44" s="8">
        <v>0</v>
      </c>
      <c r="G44" s="8">
        <v>9</v>
      </c>
      <c r="H44" s="8">
        <v>9</v>
      </c>
      <c r="I44" s="9">
        <v>8100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9</v>
      </c>
      <c r="AF44" s="8">
        <v>9</v>
      </c>
      <c r="AG44" s="9">
        <v>8100</v>
      </c>
      <c r="AH44" s="9">
        <v>5103</v>
      </c>
      <c r="AI44" s="10">
        <v>8100</v>
      </c>
      <c r="AJ44" s="15">
        <v>5103</v>
      </c>
    </row>
    <row r="45" spans="1:36">
      <c r="A45" s="7" t="s">
        <v>79</v>
      </c>
      <c r="B45" s="7" t="s">
        <v>17</v>
      </c>
      <c r="C45" s="7" t="s">
        <v>80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11">
        <v>4533</v>
      </c>
      <c r="K45" s="11">
        <v>4533</v>
      </c>
      <c r="L45" s="9">
        <v>453300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2</v>
      </c>
      <c r="W45" s="8">
        <v>2</v>
      </c>
      <c r="X45" s="8">
        <v>240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11">
        <v>4535</v>
      </c>
      <c r="AF45" s="11">
        <v>4535</v>
      </c>
      <c r="AG45" s="9">
        <v>453540</v>
      </c>
      <c r="AH45" s="9">
        <v>285723</v>
      </c>
      <c r="AI45" s="10">
        <v>453540</v>
      </c>
      <c r="AJ45" s="15">
        <v>285723</v>
      </c>
    </row>
    <row r="46" spans="1:36">
      <c r="AJ46" s="17">
        <f>SUM(AJ2:AJ45)</f>
        <v>1359750.6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2022-07-06T05:22:40Z</dcterms:modified>
</cp:coreProperties>
</file>