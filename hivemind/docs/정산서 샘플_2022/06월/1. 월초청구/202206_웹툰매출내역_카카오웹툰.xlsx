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19320" yWindow="3240" windowWidth="20556" windowHeight="19140"/>
  </bookViews>
  <sheets>
    <sheet name="정산내역 요약" sheetId="1" r:id="rId1"/>
    <sheet name="정산내역 상세" sheetId="2" r:id="rId2"/>
    <sheet name="선급금내역_카카오 웹툰 국내" sheetId="3" r:id="rId3"/>
  </sheets>
  <calcPr calcId="152511"/>
</workbook>
</file>

<file path=xl/calcChain.xml><?xml version="1.0" encoding="utf-8"?>
<calcChain xmlns="http://schemas.openxmlformats.org/spreadsheetml/2006/main">
  <c r="J20" i="1" l="1"/>
  <c r="I20" i="1"/>
  <c r="H20" i="1"/>
  <c r="G20" i="1"/>
  <c r="F20" i="1"/>
</calcChain>
</file>

<file path=xl/sharedStrings.xml><?xml version="1.0" encoding="utf-8"?>
<sst xmlns="http://schemas.openxmlformats.org/spreadsheetml/2006/main" count="125" uniqueCount="69">
  <si>
    <t>카카오웹툰 "주식회사 스토리위즈" 정산내역서</t>
  </si>
  <si>
    <t>1)</t>
  </si>
  <si>
    <t>정산서 안내</t>
  </si>
  <si>
    <t>#1 플랫폼명 : 카카오 웹툰 국내</t>
  </si>
  <si>
    <t>#2 작가명 : 주식회사 스토리위즈</t>
  </si>
  <si>
    <t>#3 판매월 : 2022-06</t>
  </si>
  <si>
    <t>#4 수신자 : payment@kt.com</t>
  </si>
  <si>
    <t>#5 안내</t>
  </si>
  <si>
    <t xml:space="preserve">    정산내역서 집계의 세부 내용은 [정산내역 상세] 탭을 확인해주시기 바랍니다.</t>
  </si>
  <si>
    <t>2)</t>
  </si>
  <si>
    <t xml:space="preserve">계산서 발행요청금액 : </t>
  </si>
  <si>
    <t>원</t>
  </si>
  <si>
    <t>3)</t>
  </si>
  <si>
    <t>정산내역 요약</t>
  </si>
  <si>
    <t>거래처명</t>
  </si>
  <si>
    <t>작품명</t>
  </si>
  <si>
    <t>거래액(원화 합계)</t>
  </si>
  <si>
    <t>순매출(합계)</t>
  </si>
  <si>
    <t>작품 정산금</t>
  </si>
  <si>
    <t>선급금 소진금액</t>
  </si>
  <si>
    <t>최종 정산금액</t>
  </si>
  <si>
    <t>주식회사 스토리위즈</t>
  </si>
  <si>
    <t>괴물아기</t>
  </si>
  <si>
    <t>구원</t>
  </si>
  <si>
    <t>합계</t>
  </si>
  <si>
    <t>정산월</t>
  </si>
  <si>
    <t>플랫폼작품명 KOR</t>
  </si>
  <si>
    <t>ISBN (유/무)</t>
  </si>
  <si>
    <t>캐시 구분</t>
  </si>
  <si>
    <t>OS 구분</t>
  </si>
  <si>
    <t>BM 유형</t>
  </si>
  <si>
    <t>거래액(캐시)</t>
  </si>
  <si>
    <t>거래액(원화)</t>
  </si>
  <si>
    <t>플랫폼 정산율</t>
  </si>
  <si>
    <t>순매출액</t>
  </si>
  <si>
    <t>작품 정산율</t>
  </si>
  <si>
    <t>2022-06</t>
  </si>
  <si>
    <t>Y</t>
  </si>
  <si>
    <t>유상캐시</t>
  </si>
  <si>
    <t>GIAP</t>
  </si>
  <si>
    <t>일반유료</t>
  </si>
  <si>
    <t>IOS</t>
  </si>
  <si>
    <t>WEB</t>
  </si>
  <si>
    <t>무상캐시</t>
  </si>
  <si>
    <t>EVENT CASH</t>
  </si>
  <si>
    <t>미리보기</t>
  </si>
  <si>
    <t>플랫폼</t>
  </si>
  <si>
    <t>선급금</t>
  </si>
  <si>
    <t>당월 소진금액</t>
  </si>
  <si>
    <t>당월 잔액</t>
  </si>
  <si>
    <t>초과 정산금액</t>
  </si>
  <si>
    <t>이월 잔액</t>
  </si>
  <si>
    <t>당월 지급금액</t>
  </si>
  <si>
    <t>202104</t>
  </si>
  <si>
    <t>카카오 웹툰 국내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</si>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</sst>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0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name val="맑은 고딕"/>
      <family val="3"/>
      <charset val="129"/>
    </font>
    <font>
      <b/>
      <sz val="11"/>
      <name val="맑은 고딕"/>
      <family val="3"/>
      <charset val="129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20202"/>
        <bgColor indexed="64"/>
      </patternFill>
    </fill>
    <fill>
      <patternFill patternType="solid">
        <fgColor rgb="FFDDEBF7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41" fontId="1" fillId="0" borderId="0">
      <alignment vertical="center"/>
    </xf>
    <xf numFmtId="0" fontId="4" fillId="0" borderId="0">
      <alignment vertical="center"/>
    </xf>
    <xf numFmtId="0" fontId="8" fillId="0" borderId="0"/>
    <xf numFmtId="0" fontId="11" fillId="0" borderId="0">
      <alignment vertical="center"/>
    </xf>
  </cellStyleXfs>
  <cellXfs count="40">
    <xf numFmtId="0" fontId="0" fillId="0" borderId="0" xfId="0" applyAlignment="1">
      <alignment vertical="center"/>
    </xf>
    <xf numFmtId="0" fontId="10" fillId="2" borderId="0" xfId="0" applyFont="1" applyFill="1" applyAlignment="1">
      <alignment horizontal="right" vertical="center"/>
    </xf>
    <xf numFmtId="0" fontId="9" fillId="0" borderId="0" xfId="0" applyFont="1" applyAlignment="1">
      <alignment vertical="center"/>
    </xf>
    <xf numFmtId="0" fontId="9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9" fillId="3" borderId="0" xfId="3" applyFont="1" applyFill="1" applyAlignment="1">
      <alignment vertical="center"/>
    </xf>
    <xf numFmtId="0" fontId="0" fillId="0" borderId="0" xfId="0" applyAlignment="1"/>
    <xf numFmtId="0" fontId="12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/>
    </xf>
    <xf numFmtId="3" fontId="13" fillId="0" borderId="0" xfId="0" applyNumberFormat="1" applyFont="1" applyAlignment="1">
      <alignment horizontal="righ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41" fontId="16" fillId="4" borderId="0" xfId="1" applyFont="1" applyFill="1" applyAlignment="1">
      <alignment horizontal="center" vertical="center"/>
    </xf>
    <xf numFmtId="41" fontId="16" fillId="4" borderId="0" xfId="0" applyNumberFormat="1" applyFont="1" applyFill="1" applyAlignment="1">
      <alignment horizontal="center" vertical="center"/>
    </xf>
    <xf numFmtId="9" fontId="16" fillId="4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top"/>
    </xf>
    <xf numFmtId="3" fontId="16" fillId="0" borderId="0" xfId="1" applyNumberFormat="1" applyFont="1" applyAlignment="1">
      <alignment vertical="top"/>
    </xf>
    <xf numFmtId="3" fontId="16" fillId="0" borderId="0" xfId="0" applyNumberFormat="1" applyFont="1" applyAlignment="1">
      <alignment vertical="top"/>
    </xf>
    <xf numFmtId="9" fontId="16" fillId="0" borderId="0" xfId="0" applyNumberFormat="1" applyFont="1" applyAlignment="1">
      <alignment vertical="top"/>
    </xf>
    <xf numFmtId="0" fontId="16" fillId="0" borderId="1" xfId="0" applyFont="1" applyBorder="1" applyAlignment="1">
      <alignment horizontal="center" vertical="center"/>
    </xf>
    <xf numFmtId="3" fontId="16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4" borderId="1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0" fillId="0" borderId="2" xfId="0" applyBorder="1" applyAlignment="1"/>
  </cellXfs>
  <cellStyles count="5">
    <cellStyle name="쉼표 [0]" xfId="1" builtinId="6"/>
    <cellStyle name="표준" xfId="0" builtinId="0"/>
    <cellStyle name="표준 2" xfId="4"/>
    <cellStyle name="표준 2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0175" cy="67627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showGridLines="0" tabSelected="1" zoomScale="92" zoomScaleNormal="100" workbookViewId="0">
      <selection activeCell="D2" sqref="D2"/>
    </sheetView>
  </sheetViews>
  <sheetFormatPr defaultColWidth="8.69921875" defaultRowHeight="15.6" x14ac:dyDescent="0.4"/>
  <cols>
    <col min="1" max="1" width="3.19921875" style="5" customWidth="1"/>
    <col min="2" max="2" width="2" style="6" customWidth="1"/>
    <col min="3" max="3" width="2.69921875" style="7" customWidth="1"/>
    <col min="4" max="4" width="18.5" style="4" customWidth="1"/>
    <col min="5" max="5" width="28.5" style="4" customWidth="1"/>
    <col min="6" max="13" width="15.5" style="4" bestFit="1" customWidth="1"/>
    <col min="14" max="14" width="8.69921875" style="5" customWidth="1"/>
    <col min="15" max="16384" width="8.69921875" style="5"/>
  </cols>
  <sheetData>
    <row r="1" spans="1:13" x14ac:dyDescent="0.4">
      <c r="A1" s="3"/>
      <c r="B1" s="3"/>
      <c r="C1" s="3"/>
      <c r="D1" s="3"/>
      <c r="E1" s="3"/>
      <c r="F1" s="3"/>
      <c r="G1" s="3"/>
      <c r="H1" s="3"/>
      <c r="I1" s="3"/>
      <c r="M1" s="5"/>
    </row>
    <row r="2" spans="1:13" ht="31.2" customHeight="1" x14ac:dyDescent="0.4">
      <c r="A2" s="3"/>
      <c r="B2" s="3"/>
      <c r="C2" s="3"/>
      <c r="D2" s="3"/>
      <c r="E2" s="3"/>
      <c r="F2" s="3"/>
      <c r="G2" s="3"/>
      <c r="H2" s="3"/>
      <c r="I2" s="1"/>
      <c r="L2" s="1" t="s">
        <v>0</v>
      </c>
      <c r="M2" s="5"/>
    </row>
    <row r="3" spans="1:13" ht="7.5" customHeight="1" x14ac:dyDescent="0.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5"/>
    </row>
    <row r="4" spans="1:13" x14ac:dyDescent="0.4">
      <c r="A4" s="3"/>
      <c r="B4" s="3"/>
      <c r="C4" s="3"/>
      <c r="D4" s="3"/>
      <c r="E4" s="3"/>
      <c r="F4" s="3"/>
      <c r="G4" s="3"/>
      <c r="H4" s="3"/>
      <c r="I4" s="3"/>
      <c r="M4" s="5"/>
    </row>
    <row r="5" spans="1:13" x14ac:dyDescent="0.35">
      <c r="C5" s="10" t="s">
        <v>1</v>
      </c>
      <c r="D5" s="11" t="s">
        <v>2</v>
      </c>
      <c r="E5" s="5"/>
      <c r="F5" s="5"/>
      <c r="G5" s="5"/>
      <c r="H5" s="5"/>
      <c r="I5" s="5"/>
      <c r="J5" s="5"/>
      <c r="K5" s="5"/>
      <c r="L5" s="5"/>
      <c r="M5" s="5"/>
    </row>
    <row r="6" spans="1:13" ht="9" customHeight="1" x14ac:dyDescent="0.4">
      <c r="M6" s="5"/>
    </row>
    <row r="7" spans="1:13" x14ac:dyDescent="0.35">
      <c r="D7" s="12" t="s">
        <v>3</v>
      </c>
      <c r="M7" s="5"/>
    </row>
    <row r="8" spans="1:13" x14ac:dyDescent="0.35">
      <c r="D8" s="12" t="s">
        <v>4</v>
      </c>
      <c r="M8" s="5"/>
    </row>
    <row r="9" spans="1:13" x14ac:dyDescent="0.35">
      <c r="D9" s="12" t="s">
        <v>5</v>
      </c>
      <c r="M9" s="5"/>
    </row>
    <row r="10" spans="1:13" x14ac:dyDescent="0.35">
      <c r="D10" s="12" t="s">
        <v>6</v>
      </c>
      <c r="M10" s="5"/>
    </row>
    <row r="11" spans="1:13" x14ac:dyDescent="0.35">
      <c r="D11" s="12" t="s">
        <v>7</v>
      </c>
      <c r="M11" s="5"/>
    </row>
    <row r="12" spans="1:13" ht="17.399999999999999" x14ac:dyDescent="0.4">
      <c r="D12" s="13" t="s">
        <v>8</v>
      </c>
      <c r="M12" s="5"/>
    </row>
    <row r="13" spans="1:13" x14ac:dyDescent="0.4">
      <c r="M13" s="5"/>
    </row>
    <row r="14" spans="1:13" x14ac:dyDescent="0.35">
      <c r="C14" s="14" t="s">
        <v>9</v>
      </c>
      <c r="D14" s="15" t="s">
        <v>10</v>
      </c>
      <c r="E14" s="16">
        <v>490940</v>
      </c>
      <c r="F14" s="17" t="s">
        <v>11</v>
      </c>
      <c r="M14" s="5"/>
    </row>
    <row r="15" spans="1:13" x14ac:dyDescent="0.4">
      <c r="M15" s="5"/>
    </row>
    <row r="16" spans="1:13" ht="17.399999999999999" x14ac:dyDescent="0.35">
      <c r="C16" s="18" t="s">
        <v>12</v>
      </c>
      <c r="D16" s="12" t="s">
        <v>13</v>
      </c>
      <c r="M16" s="5"/>
    </row>
    <row r="17" spans="4:13" ht="17.399999999999999" x14ac:dyDescent="0.4">
      <c r="D17" s="19" t="s">
        <v>14</v>
      </c>
      <c r="E17" s="19" t="s">
        <v>15</v>
      </c>
      <c r="F17" s="19" t="s">
        <v>16</v>
      </c>
      <c r="G17" s="19" t="s">
        <v>17</v>
      </c>
      <c r="H17" s="19" t="s">
        <v>18</v>
      </c>
      <c r="I17" s="19" t="s">
        <v>19</v>
      </c>
      <c r="J17" s="19" t="s">
        <v>20</v>
      </c>
      <c r="M17" s="5"/>
    </row>
    <row r="18" spans="4:13" ht="17.399999999999999" x14ac:dyDescent="0.4">
      <c r="D18" s="33" t="s">
        <v>21</v>
      </c>
      <c r="E18" s="20" t="s">
        <v>22</v>
      </c>
      <c r="F18" s="21">
        <v>789577</v>
      </c>
      <c r="G18" s="21">
        <v>701342</v>
      </c>
      <c r="H18" s="21">
        <v>490940</v>
      </c>
      <c r="I18" s="21">
        <v>0</v>
      </c>
      <c r="J18" s="21">
        <v>490940</v>
      </c>
      <c r="M18" s="5"/>
    </row>
    <row r="19" spans="4:13" ht="17.399999999999999" x14ac:dyDescent="0.4">
      <c r="D19" s="34"/>
      <c r="E19" s="20" t="s">
        <v>23</v>
      </c>
      <c r="F19" s="21">
        <v>628283</v>
      </c>
      <c r="G19" s="21">
        <v>557253</v>
      </c>
      <c r="H19" s="21">
        <v>390078</v>
      </c>
      <c r="I19" s="21">
        <v>390078</v>
      </c>
      <c r="J19" s="21">
        <v>0</v>
      </c>
      <c r="M19" s="5"/>
    </row>
    <row r="20" spans="4:13" ht="17.399999999999999" x14ac:dyDescent="0.4">
      <c r="D20" s="33" t="s">
        <v>24</v>
      </c>
      <c r="E20" s="35"/>
      <c r="F20" s="21">
        <f>SUM(F18:F19)</f>
        <v>1417860</v>
      </c>
      <c r="G20" s="21">
        <f>SUM(G18:G19)</f>
        <v>1258595</v>
      </c>
      <c r="H20" s="21">
        <f>SUM(H18:H19)</f>
        <v>881018</v>
      </c>
      <c r="I20" s="21">
        <f>SUM(I18:I19)</f>
        <v>390078</v>
      </c>
      <c r="J20" s="21">
        <f>SUM(J18:J19)</f>
        <v>490940</v>
      </c>
      <c r="M20" s="5"/>
    </row>
    <row r="21" spans="4:13" x14ac:dyDescent="0.4">
      <c r="M21" s="5"/>
    </row>
    <row r="22" spans="4:13" x14ac:dyDescent="0.4">
      <c r="M22" s="5"/>
    </row>
    <row r="23" spans="4:13" x14ac:dyDescent="0.4">
      <c r="M23" s="5"/>
    </row>
    <row r="24" spans="4:13" x14ac:dyDescent="0.4">
      <c r="M24" s="5"/>
    </row>
  </sheetData>
  <mergeCells count="2">
    <mergeCell ref="D18:D19"/>
    <mergeCell ref="D20:E20"/>
  </mergeCells>
  <phoneticPr fontId="3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workbookViewId="0"/>
  </sheetViews>
  <sheetFormatPr defaultColWidth="8.69921875" defaultRowHeight="13.2" x14ac:dyDescent="0.4"/>
  <cols>
    <col min="1" max="1" width="8.69921875" style="2" customWidth="1"/>
    <col min="2" max="2" width="25.19921875" style="2" customWidth="1"/>
    <col min="3" max="3" width="16.5" style="2" bestFit="1" customWidth="1"/>
    <col min="4" max="6" width="8.69921875" style="2" customWidth="1"/>
    <col min="7" max="7" width="10.19921875" style="2" bestFit="1" customWidth="1"/>
    <col min="8" max="8" width="12.5" style="2" bestFit="1" customWidth="1"/>
    <col min="9" max="9" width="9" style="2" bestFit="1" customWidth="1"/>
    <col min="10" max="10" width="8.796875" style="2" bestFit="1" customWidth="1"/>
    <col min="11" max="11" width="13" style="2" bestFit="1" customWidth="1"/>
    <col min="12" max="12" width="8.69921875" style="2" customWidth="1"/>
    <col min="13" max="16384" width="8.69921875" style="2"/>
  </cols>
  <sheetData>
    <row r="1" spans="1:12" x14ac:dyDescent="0.4">
      <c r="A1" s="22" t="s">
        <v>25</v>
      </c>
      <c r="B1" s="22" t="s">
        <v>26</v>
      </c>
      <c r="C1" s="22" t="s">
        <v>27</v>
      </c>
      <c r="D1" s="22" t="s">
        <v>28</v>
      </c>
      <c r="E1" s="22" t="s">
        <v>29</v>
      </c>
      <c r="F1" s="22" t="s">
        <v>30</v>
      </c>
      <c r="G1" s="23" t="s">
        <v>31</v>
      </c>
      <c r="H1" s="24" t="s">
        <v>32</v>
      </c>
      <c r="I1" s="24" t="s">
        <v>33</v>
      </c>
      <c r="J1" s="25" t="s">
        <v>34</v>
      </c>
      <c r="K1" s="24" t="s">
        <v>35</v>
      </c>
      <c r="L1" s="22" t="s">
        <v>18</v>
      </c>
    </row>
    <row r="2" spans="1:12" x14ac:dyDescent="0.4">
      <c r="A2" s="26" t="s">
        <v>36</v>
      </c>
      <c r="B2" s="27" t="s">
        <v>22</v>
      </c>
      <c r="C2" s="27" t="s">
        <v>37</v>
      </c>
      <c r="D2" s="27" t="s">
        <v>38</v>
      </c>
      <c r="E2" s="27" t="s">
        <v>39</v>
      </c>
      <c r="F2" s="27" t="s">
        <v>40</v>
      </c>
      <c r="G2" s="28">
        <v>72200</v>
      </c>
      <c r="H2" s="29">
        <v>86675</v>
      </c>
      <c r="I2" s="30">
        <v>0.9</v>
      </c>
      <c r="J2" s="29">
        <v>78008</v>
      </c>
      <c r="K2" s="30">
        <v>0.7</v>
      </c>
      <c r="L2" s="29">
        <v>54606</v>
      </c>
    </row>
    <row r="3" spans="1:12" x14ac:dyDescent="0.4">
      <c r="A3" s="26" t="s">
        <v>36</v>
      </c>
      <c r="B3" s="27" t="s">
        <v>22</v>
      </c>
      <c r="C3" s="27" t="s">
        <v>37</v>
      </c>
      <c r="D3" s="27" t="s">
        <v>38</v>
      </c>
      <c r="E3" s="27" t="s">
        <v>41</v>
      </c>
      <c r="F3" s="27" t="s">
        <v>40</v>
      </c>
      <c r="G3" s="28">
        <v>71000</v>
      </c>
      <c r="H3" s="29">
        <v>84502</v>
      </c>
      <c r="I3" s="30">
        <v>0.7</v>
      </c>
      <c r="J3" s="29">
        <v>59151</v>
      </c>
      <c r="K3" s="30">
        <v>0.7</v>
      </c>
      <c r="L3" s="29">
        <v>41406</v>
      </c>
    </row>
    <row r="4" spans="1:12" x14ac:dyDescent="0.4">
      <c r="A4" s="26" t="s">
        <v>36</v>
      </c>
      <c r="B4" s="27" t="s">
        <v>22</v>
      </c>
      <c r="C4" s="27" t="s">
        <v>37</v>
      </c>
      <c r="D4" s="27" t="s">
        <v>38</v>
      </c>
      <c r="E4" s="27" t="s">
        <v>42</v>
      </c>
      <c r="F4" s="27" t="s">
        <v>40</v>
      </c>
      <c r="G4" s="28">
        <v>108900</v>
      </c>
      <c r="H4" s="29">
        <v>108900</v>
      </c>
      <c r="I4" s="30">
        <v>0.97</v>
      </c>
      <c r="J4" s="29">
        <v>105633</v>
      </c>
      <c r="K4" s="30">
        <v>0.7</v>
      </c>
      <c r="L4" s="29">
        <v>73943</v>
      </c>
    </row>
    <row r="5" spans="1:12" x14ac:dyDescent="0.4">
      <c r="A5" s="26" t="s">
        <v>36</v>
      </c>
      <c r="B5" s="27" t="s">
        <v>22</v>
      </c>
      <c r="C5" s="27" t="s">
        <v>37</v>
      </c>
      <c r="D5" s="27" t="s">
        <v>43</v>
      </c>
      <c r="E5" s="27" t="s">
        <v>44</v>
      </c>
      <c r="F5" s="27" t="s">
        <v>40</v>
      </c>
      <c r="G5" s="29">
        <v>509500</v>
      </c>
      <c r="H5" s="29">
        <v>509500</v>
      </c>
      <c r="I5" s="30">
        <v>0.9</v>
      </c>
      <c r="J5" s="29">
        <v>458550</v>
      </c>
      <c r="K5" s="30">
        <v>0.7</v>
      </c>
      <c r="L5" s="29">
        <v>320985</v>
      </c>
    </row>
    <row r="6" spans="1:12" x14ac:dyDescent="0.4">
      <c r="A6" s="26" t="s">
        <v>36</v>
      </c>
      <c r="B6" s="27" t="s">
        <v>23</v>
      </c>
      <c r="C6" s="27" t="s">
        <v>37</v>
      </c>
      <c r="D6" s="27" t="s">
        <v>38</v>
      </c>
      <c r="E6" s="27" t="s">
        <v>39</v>
      </c>
      <c r="F6" s="27" t="s">
        <v>45</v>
      </c>
      <c r="G6" s="29">
        <v>59200</v>
      </c>
      <c r="H6" s="29">
        <v>71069</v>
      </c>
      <c r="I6" s="30">
        <v>0.9</v>
      </c>
      <c r="J6" s="29">
        <v>63962</v>
      </c>
      <c r="K6" s="30">
        <v>0.7</v>
      </c>
      <c r="L6" s="29">
        <v>44774</v>
      </c>
    </row>
    <row r="7" spans="1:12" x14ac:dyDescent="0.4">
      <c r="A7" s="26" t="s">
        <v>36</v>
      </c>
      <c r="B7" s="27" t="s">
        <v>23</v>
      </c>
      <c r="C7" s="27" t="s">
        <v>37</v>
      </c>
      <c r="D7" s="27" t="s">
        <v>43</v>
      </c>
      <c r="E7" s="27" t="s">
        <v>44</v>
      </c>
      <c r="F7" s="27" t="s">
        <v>45</v>
      </c>
      <c r="G7" s="29">
        <v>142040</v>
      </c>
      <c r="H7" s="29">
        <v>142040</v>
      </c>
      <c r="I7" s="30">
        <v>0.9</v>
      </c>
      <c r="J7" s="29">
        <v>127836</v>
      </c>
      <c r="K7" s="30">
        <v>0.7</v>
      </c>
      <c r="L7" s="29">
        <v>89485</v>
      </c>
    </row>
    <row r="8" spans="1:12" x14ac:dyDescent="0.4">
      <c r="A8" s="26" t="s">
        <v>36</v>
      </c>
      <c r="B8" s="27" t="s">
        <v>23</v>
      </c>
      <c r="C8" s="27" t="s">
        <v>37</v>
      </c>
      <c r="D8" s="27" t="s">
        <v>38</v>
      </c>
      <c r="E8" s="27" t="s">
        <v>42</v>
      </c>
      <c r="F8" s="27" t="s">
        <v>45</v>
      </c>
      <c r="G8" s="29">
        <v>277160</v>
      </c>
      <c r="H8" s="29">
        <v>277160</v>
      </c>
      <c r="I8" s="30">
        <v>0.97</v>
      </c>
      <c r="J8" s="29">
        <v>268845</v>
      </c>
      <c r="K8" s="30">
        <v>0.7</v>
      </c>
      <c r="L8" s="29">
        <v>188192</v>
      </c>
    </row>
    <row r="9" spans="1:12" x14ac:dyDescent="0.4">
      <c r="A9" s="26" t="s">
        <v>36</v>
      </c>
      <c r="B9" s="27" t="s">
        <v>23</v>
      </c>
      <c r="C9" s="27" t="s">
        <v>37</v>
      </c>
      <c r="D9" s="27" t="s">
        <v>38</v>
      </c>
      <c r="E9" s="27" t="s">
        <v>41</v>
      </c>
      <c r="F9" s="27" t="s">
        <v>45</v>
      </c>
      <c r="G9" s="29">
        <v>118500</v>
      </c>
      <c r="H9" s="29">
        <v>138014</v>
      </c>
      <c r="I9" s="30">
        <v>0.7</v>
      </c>
      <c r="J9" s="29">
        <v>96610</v>
      </c>
      <c r="K9" s="30">
        <v>0.7</v>
      </c>
      <c r="L9" s="29">
        <v>67627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E16" sqref="E16"/>
    </sheetView>
  </sheetViews>
  <sheetFormatPr defaultRowHeight="17.399999999999999" x14ac:dyDescent="0.4"/>
  <cols>
    <col min="1" max="8" width="20" style="9" customWidth="1"/>
  </cols>
  <sheetData>
    <row r="1" spans="1:8" x14ac:dyDescent="0.4">
      <c r="A1" s="36" t="s">
        <v>15</v>
      </c>
      <c r="B1" s="36" t="s">
        <v>25</v>
      </c>
      <c r="C1" s="36" t="s">
        <v>46</v>
      </c>
      <c r="D1" s="36" t="s">
        <v>47</v>
      </c>
      <c r="E1" s="35"/>
      <c r="F1" s="36" t="s">
        <v>48</v>
      </c>
      <c r="G1" s="36" t="s">
        <v>49</v>
      </c>
      <c r="H1" s="36" t="s">
        <v>50</v>
      </c>
    </row>
    <row r="2" spans="1:8" x14ac:dyDescent="0.4">
      <c r="A2" s="34"/>
      <c r="B2" s="34"/>
      <c r="C2" s="34"/>
      <c r="D2" s="19" t="s">
        <v>51</v>
      </c>
      <c r="E2" s="19" t="s">
        <v>52</v>
      </c>
      <c r="F2" s="34"/>
      <c r="G2" s="34"/>
      <c r="H2" s="34"/>
    </row>
    <row r="3" spans="1:8" x14ac:dyDescent="0.4">
      <c r="A3" s="38" t="s">
        <v>23</v>
      </c>
      <c r="B3" s="37" t="s">
        <v>53</v>
      </c>
      <c r="C3" s="31" t="s">
        <v>54</v>
      </c>
      <c r="D3" s="32">
        <v>0</v>
      </c>
      <c r="E3" s="32">
        <v>40000000</v>
      </c>
      <c r="F3" s="32">
        <v>1634352</v>
      </c>
      <c r="G3" s="32">
        <v>38365648</v>
      </c>
      <c r="H3" s="32">
        <v>0</v>
      </c>
    </row>
    <row r="4" spans="1:8" x14ac:dyDescent="0.4">
      <c r="A4" s="39"/>
      <c r="B4" s="37" t="s">
        <v>55</v>
      </c>
      <c r="C4" s="31" t="s">
        <v>54</v>
      </c>
      <c r="D4" s="32">
        <v>38365648</v>
      </c>
      <c r="E4" s="32">
        <v>0</v>
      </c>
      <c r="F4" s="32">
        <v>2005354</v>
      </c>
      <c r="G4" s="32">
        <v>36360294</v>
      </c>
      <c r="H4" s="32">
        <v>0</v>
      </c>
    </row>
    <row r="5" spans="1:8" x14ac:dyDescent="0.4">
      <c r="A5" s="39"/>
      <c r="B5" s="37" t="s">
        <v>56</v>
      </c>
      <c r="C5" s="31" t="s">
        <v>54</v>
      </c>
      <c r="D5" s="32">
        <v>36360294</v>
      </c>
      <c r="E5" s="32">
        <v>0</v>
      </c>
      <c r="F5" s="32">
        <v>2044892</v>
      </c>
      <c r="G5" s="32">
        <v>34315402</v>
      </c>
      <c r="H5" s="32">
        <v>0</v>
      </c>
    </row>
    <row r="6" spans="1:8" x14ac:dyDescent="0.4">
      <c r="A6" s="39"/>
      <c r="B6" s="37" t="s">
        <v>57</v>
      </c>
      <c r="C6" s="31" t="s">
        <v>54</v>
      </c>
      <c r="D6" s="32">
        <v>34315402</v>
      </c>
      <c r="E6" s="32">
        <v>0</v>
      </c>
      <c r="F6" s="32">
        <v>1433705</v>
      </c>
      <c r="G6" s="32">
        <v>32881697</v>
      </c>
      <c r="H6" s="32">
        <v>0</v>
      </c>
    </row>
    <row r="7" spans="1:8" x14ac:dyDescent="0.4">
      <c r="A7" s="39"/>
      <c r="B7" s="37" t="s">
        <v>58</v>
      </c>
      <c r="C7" s="31" t="s">
        <v>54</v>
      </c>
      <c r="D7" s="32">
        <v>32881697</v>
      </c>
      <c r="E7" s="32">
        <v>0</v>
      </c>
      <c r="F7" s="32">
        <v>2044938</v>
      </c>
      <c r="G7" s="32">
        <v>30836759</v>
      </c>
      <c r="H7" s="32">
        <v>0</v>
      </c>
    </row>
    <row r="8" spans="1:8" x14ac:dyDescent="0.4">
      <c r="A8" s="39"/>
      <c r="B8" s="37" t="s">
        <v>59</v>
      </c>
      <c r="C8" s="31" t="s">
        <v>54</v>
      </c>
      <c r="D8" s="32">
        <v>30836759</v>
      </c>
      <c r="E8" s="32">
        <v>0</v>
      </c>
      <c r="F8" s="32">
        <v>925342</v>
      </c>
      <c r="G8" s="32">
        <v>29911417</v>
      </c>
      <c r="H8" s="32">
        <v>0</v>
      </c>
    </row>
    <row r="9" spans="1:8" x14ac:dyDescent="0.4">
      <c r="A9" s="39"/>
      <c r="B9" s="37" t="s">
        <v>60</v>
      </c>
      <c r="C9" s="31" t="s">
        <v>54</v>
      </c>
      <c r="D9" s="32">
        <v>29911417</v>
      </c>
      <c r="E9" s="32">
        <v>0</v>
      </c>
      <c r="F9" s="32">
        <v>849269</v>
      </c>
      <c r="G9" s="32">
        <v>29062148</v>
      </c>
      <c r="H9" s="32">
        <v>0</v>
      </c>
    </row>
    <row r="10" spans="1:8" x14ac:dyDescent="0.4">
      <c r="A10" s="39"/>
      <c r="B10" s="37" t="s">
        <v>61</v>
      </c>
      <c r="C10" s="31" t="s">
        <v>54</v>
      </c>
      <c r="D10" s="32">
        <v>29062148</v>
      </c>
      <c r="E10" s="32">
        <v>0</v>
      </c>
      <c r="F10" s="32">
        <v>566393</v>
      </c>
      <c r="G10" s="32">
        <v>28495755</v>
      </c>
      <c r="H10" s="32">
        <v>0</v>
      </c>
    </row>
    <row r="11" spans="1:8" x14ac:dyDescent="0.4">
      <c r="A11" s="39"/>
      <c r="B11" s="37" t="s">
        <v>62</v>
      </c>
      <c r="C11" s="31" t="s">
        <v>54</v>
      </c>
      <c r="D11" s="32">
        <v>28495755</v>
      </c>
      <c r="E11" s="32">
        <v>0</v>
      </c>
      <c r="F11" s="32">
        <v>577678</v>
      </c>
      <c r="G11" s="32">
        <v>27918077</v>
      </c>
      <c r="H11" s="32">
        <v>0</v>
      </c>
    </row>
    <row r="12" spans="1:8" x14ac:dyDescent="0.4">
      <c r="A12" s="39"/>
      <c r="B12" s="37" t="s">
        <v>63</v>
      </c>
      <c r="C12" s="31" t="s">
        <v>54</v>
      </c>
      <c r="D12" s="32">
        <v>27918077</v>
      </c>
      <c r="E12" s="32">
        <v>0</v>
      </c>
      <c r="F12" s="32">
        <v>1368353</v>
      </c>
      <c r="G12" s="32">
        <v>26549724</v>
      </c>
      <c r="H12" s="32">
        <v>0</v>
      </c>
    </row>
    <row r="13" spans="1:8" x14ac:dyDescent="0.4">
      <c r="A13" s="39"/>
      <c r="B13" s="37" t="s">
        <v>64</v>
      </c>
      <c r="C13" s="31" t="s">
        <v>54</v>
      </c>
      <c r="D13" s="32">
        <v>26549724</v>
      </c>
      <c r="E13" s="32">
        <v>0</v>
      </c>
      <c r="F13" s="32">
        <v>483830</v>
      </c>
      <c r="G13" s="32">
        <v>26065894</v>
      </c>
      <c r="H13" s="32">
        <v>0</v>
      </c>
    </row>
    <row r="14" spans="1:8" x14ac:dyDescent="0.4">
      <c r="A14" s="39"/>
      <c r="B14" s="37" t="s">
        <v>65</v>
      </c>
      <c r="C14" s="31" t="s">
        <v>54</v>
      </c>
      <c r="D14" s="32">
        <v>26065894</v>
      </c>
      <c r="E14" s="32">
        <v>0</v>
      </c>
      <c r="F14" s="32">
        <v>455173</v>
      </c>
      <c r="G14" s="32">
        <v>25610721</v>
      </c>
      <c r="H14" s="32">
        <v>0</v>
      </c>
    </row>
    <row r="15" spans="1:8" x14ac:dyDescent="0.4">
      <c r="A15" s="39"/>
      <c r="B15" s="37" t="s">
        <v>66</v>
      </c>
      <c r="C15" s="31" t="s">
        <v>54</v>
      </c>
      <c r="D15" s="32">
        <v>25610721</v>
      </c>
      <c r="E15" s="32">
        <v>0</v>
      </c>
      <c r="F15" s="32">
        <v>376740</v>
      </c>
      <c r="G15" s="32">
        <v>25233981</v>
      </c>
      <c r="H15" s="32">
        <v>0</v>
      </c>
    </row>
    <row r="16" spans="1:8" x14ac:dyDescent="0.4">
      <c r="A16" s="39"/>
      <c r="B16" s="37" t="s">
        <v>67</v>
      </c>
      <c r="C16" s="31" t="s">
        <v>54</v>
      </c>
      <c r="D16" s="32">
        <v>25233981</v>
      </c>
      <c r="E16" s="32">
        <v>0</v>
      </c>
      <c r="F16" s="32">
        <v>606254</v>
      </c>
      <c r="G16" s="32">
        <v>24627727</v>
      </c>
      <c r="H16" s="32">
        <v>0</v>
      </c>
    </row>
    <row r="17" spans="1:8" x14ac:dyDescent="0.4">
      <c r="A17" s="34"/>
      <c r="B17" s="37" t="s">
        <v>68</v>
      </c>
      <c r="C17" s="31" t="s">
        <v>54</v>
      </c>
      <c r="D17" s="32">
        <v>24627727</v>
      </c>
      <c r="E17" s="32">
        <v>0</v>
      </c>
      <c r="F17" s="32">
        <v>390078</v>
      </c>
      <c r="G17" s="32">
        <v>24237649</v>
      </c>
      <c r="H17" s="32">
        <v>0</v>
      </c>
    </row>
  </sheetData>
  <mergeCells count="23">
    <mergeCell ref="B16"/>
    <mergeCell ref="B17"/>
    <mergeCell ref="A3:A17"/>
    <mergeCell ref="B11"/>
    <mergeCell ref="B12"/>
    <mergeCell ref="B13"/>
    <mergeCell ref="B14"/>
    <mergeCell ref="B15"/>
    <mergeCell ref="B6"/>
    <mergeCell ref="B7"/>
    <mergeCell ref="B8"/>
    <mergeCell ref="B9"/>
    <mergeCell ref="B10"/>
    <mergeCell ref="G1:G2"/>
    <mergeCell ref="H1:H2"/>
    <mergeCell ref="B3"/>
    <mergeCell ref="B4"/>
    <mergeCell ref="B5"/>
    <mergeCell ref="A1:A2"/>
    <mergeCell ref="B1:B2"/>
    <mergeCell ref="C1:C2"/>
    <mergeCell ref="D1:E1"/>
    <mergeCell ref="F1:F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정산내역 요약</vt:lpstr>
      <vt:lpstr>정산내역 상세</vt:lpstr>
      <vt:lpstr>선급금내역_카카오 웹툰 국내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</dc:creator>
  <cp:lastModifiedBy>storywiz</cp:lastModifiedBy>
  <dcterms:created xsi:type="dcterms:W3CDTF">2021-06-21T05:22:17Z</dcterms:created>
  <dcterms:modified xsi:type="dcterms:W3CDTF">2022-07-05T02:29:50Z</dcterms:modified>
</cp:coreProperties>
</file>