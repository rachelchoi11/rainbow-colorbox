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6월매출\1. 월초청구(0415)\네이버시리즈\"/>
    </mc:Choice>
  </mc:AlternateContent>
  <bookViews>
    <workbookView xWindow="0" yWindow="0" windowWidth="23040" windowHeight="8952" tabRatio="766"/>
  </bookViews>
  <sheets>
    <sheet name="합계 (6)" sheetId="412" r:id="rId1"/>
  </sheets>
  <definedNames>
    <definedName name="_xlnm._FilterDatabase" localSheetId="0" hidden="1">'합계 (6)'!$A$1:$AM$1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BM54" i="412" l="1"/>
  <c r="BL54" i="412" l="1"/>
  <c r="BN46" i="412" l="1"/>
  <c r="BO46" i="412"/>
  <c r="BN47" i="412"/>
  <c r="BO47" i="412" s="1"/>
  <c r="BN48" i="412"/>
  <c r="BO48" i="412" s="1"/>
  <c r="BN49" i="412"/>
  <c r="BO49" i="412"/>
  <c r="BN50" i="412"/>
  <c r="BO50" i="412" s="1"/>
  <c r="BN51" i="412"/>
  <c r="BO51" i="412" s="1"/>
  <c r="BN52" i="412"/>
  <c r="BO52" i="412" s="1"/>
  <c r="BN53" i="412"/>
  <c r="BO53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/>
  <c r="BN40" i="412"/>
  <c r="BO40" i="412" s="1"/>
  <c r="BN41" i="412"/>
  <c r="BO41" i="412"/>
  <c r="BN42" i="412"/>
  <c r="BO42" i="412" s="1"/>
  <c r="BN43" i="412"/>
  <c r="BO43" i="412" s="1"/>
  <c r="BN44" i="412"/>
  <c r="BO44" i="412" s="1"/>
  <c r="BN45" i="412"/>
  <c r="BO45" i="412" s="1"/>
  <c r="BN3" i="412"/>
  <c r="BO3" i="412" s="1"/>
  <c r="BN4" i="412"/>
  <c r="BO4" i="412" s="1"/>
  <c r="BN5" i="412"/>
  <c r="BO5" i="412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/>
  <c r="BN12" i="412"/>
  <c r="BO12" i="412" s="1"/>
  <c r="BN13" i="412"/>
  <c r="BO13" i="412"/>
  <c r="BN14" i="412"/>
  <c r="BO14" i="412"/>
  <c r="BN15" i="412"/>
  <c r="BO15" i="412"/>
  <c r="BN16" i="412"/>
  <c r="BO16" i="412" s="1"/>
  <c r="BN17" i="412"/>
  <c r="BO17" i="412" s="1"/>
  <c r="BN18" i="412"/>
  <c r="BO18" i="412"/>
  <c r="BN19" i="412"/>
  <c r="BO19" i="412" s="1"/>
  <c r="BN2" i="412"/>
  <c r="BO2" i="412" l="1"/>
  <c r="BO54" i="412" s="1"/>
  <c r="BN54" i="412"/>
  <c r="BL114" i="412"/>
  <c r="BO114" i="412" l="1"/>
  <c r="BM114" i="412" l="1"/>
  <c r="BN114" i="412" l="1"/>
</calcChain>
</file>

<file path=xl/sharedStrings.xml><?xml version="1.0" encoding="utf-8"?>
<sst xmlns="http://schemas.openxmlformats.org/spreadsheetml/2006/main" count="431" uniqueCount="95">
  <si>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</si>
  <si>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</si>
  <si>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</si>
  <si>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</si>
  <si>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</si>
  <si>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</si>
  <si>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</si>
  <si>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</si>
  <si>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</si>
  <si>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</si>
  <si>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</si>
  <si>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</si>
  <si>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</si>
  <si>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</si>
  <si>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</si>
  <si>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</si>
  <si>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</si>
  <si>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</si>
  <si>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</si>
  <si>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</si>
  <si>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</si>
  <si>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</si>
  <si>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주식회사 스토리위즈</t>
  </si>
  <si>
    <t>21세기 대마법사 [단행본]</t>
  </si>
  <si>
    <t>2014.07.24</t>
  </si>
  <si>
    <t>소드엠페러</t>
  </si>
  <si>
    <t>2020.12.18</t>
  </si>
  <si>
    <t>하프블러드 [단행본]</t>
  </si>
  <si>
    <t>2014.10.21</t>
  </si>
  <si>
    <t>마왕 데이몬 [단행본]</t>
  </si>
  <si>
    <t>소드마스터의 환생 [독점]</t>
  </si>
  <si>
    <t>파란영</t>
  </si>
  <si>
    <t>2019.05.22</t>
  </si>
  <si>
    <t>데이몬 [단행본]</t>
  </si>
  <si>
    <t>2014.10.20</t>
  </si>
  <si>
    <t>블레이드헌터 [단행본]</t>
  </si>
  <si>
    <t>만인지상 [단행본]</t>
  </si>
  <si>
    <t>전혁</t>
  </si>
  <si>
    <t>2015.05.27</t>
  </si>
  <si>
    <t>마스터 K [단행본]</t>
  </si>
  <si>
    <t>2014.07.02</t>
  </si>
  <si>
    <t>스피릿 소드</t>
  </si>
  <si>
    <t>2016.07.06</t>
  </si>
  <si>
    <t>스트라이커</t>
  </si>
  <si>
    <t>독고진</t>
  </si>
  <si>
    <t>2016.05.25</t>
  </si>
  <si>
    <t>아나크레온</t>
  </si>
  <si>
    <t>2014.10.29</t>
  </si>
  <si>
    <t>월풍 [단행본]</t>
  </si>
  <si>
    <t>철중쟁쟁 [단행본]</t>
  </si>
  <si>
    <t>2016.03.17</t>
  </si>
  <si>
    <t>2020.10.13</t>
  </si>
  <si>
    <t>신궁전설 [단행본]</t>
  </si>
  <si>
    <t>2015.05.28</t>
  </si>
  <si>
    <t>신마협도 [단행본]</t>
  </si>
  <si>
    <t>2017.08.22</t>
  </si>
  <si>
    <t>데이몬</t>
  </si>
  <si>
    <t>2020.10.27</t>
  </si>
  <si>
    <t>절대비만 [단행본]</t>
  </si>
  <si>
    <t>2020.08.07</t>
  </si>
  <si>
    <t>두경</t>
  </si>
  <si>
    <t>용중신권 [단행본]</t>
  </si>
  <si>
    <t>천조를 가진 남자 [단행본]</t>
  </si>
  <si>
    <t>절륜공자 [단행본]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</si>
  <si>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</si>
  <si>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</si>
  <si>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</si>
  <si>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</si>
  <si>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</si>
  <si>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</si>
  <si>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</si>
  <si>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</si>
  <si>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</si>
  <si>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</si>
  <si>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</si>
  <si>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</si>
  <si>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</si>
  <si>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절륜공자</t>
  </si>
  <si>
    <t>2021.08.12</t>
  </si>
  <si>
    <t>레이드 만물상점</t>
  </si>
  <si>
    <t>2016.01.22</t>
  </si>
  <si>
    <t>화산지애</t>
  </si>
  <si>
    <t>2020.09.07</t>
  </si>
  <si>
    <t>스포트라이트</t>
  </si>
  <si>
    <t>2018.03.29</t>
  </si>
  <si>
    <t>상왕 진우몽 [단행본]</t>
  </si>
  <si>
    <t>SW 매출</t>
    <phoneticPr fontId="20" type="noConversion"/>
  </si>
  <si>
    <t>파계 [단행본]</t>
  </si>
  <si>
    <t>2016.06.10</t>
  </si>
  <si>
    <t>앱마켓수수료</t>
  </si>
  <si>
    <t>나이제한</t>
    <phoneticPr fontId="20" type="noConversion"/>
  </si>
  <si>
    <t>소드마스터의 환생 [단행본]</t>
  </si>
  <si>
    <t>N스토어(PC)</t>
    <phoneticPr fontId="20" type="noConversion"/>
  </si>
  <si>
    <t>PC뷰어(PC)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</si>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</sst>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41" fontId="0" fillId="34" borderId="0" xfId="42" applyFont="1" applyFill="1">
      <alignment vertical="center"/>
    </xf>
    <xf numFmtId="176" fontId="0" fillId="0" borderId="0" xfId="0" applyNumberForma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41" fontId="18" fillId="0" borderId="0" xfId="0" applyNumberFormat="1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114"/>
  <sheetViews>
    <sheetView tabSelected="1" zoomScaleNormal="100" workbookViewId="0">
      <pane xSplit="9" ySplit="1" topLeftCell="BH35" activePane="bottomRight" state="frozen"/>
      <selection pane="topRight" activeCell="J1" sqref="J1"/>
      <selection pane="bottomLeft" activeCell="A2" sqref="A2"/>
      <selection pane="bottomRight" activeCell="V54" sqref="V54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90</v>
      </c>
      <c r="I1" s="17" t="s">
        <v>6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68</v>
      </c>
      <c r="O1" s="12" t="s">
        <v>69</v>
      </c>
      <c r="P1" s="12" t="s">
        <v>70</v>
      </c>
      <c r="Q1" s="12" t="s">
        <v>71</v>
      </c>
      <c r="R1" s="12" t="s">
        <v>72</v>
      </c>
      <c r="S1" s="12" t="s">
        <v>64</v>
      </c>
      <c r="T1" s="12" t="s">
        <v>65</v>
      </c>
      <c r="U1" s="12" t="s">
        <v>66</v>
      </c>
      <c r="V1" s="12" t="s">
        <v>67</v>
      </c>
      <c r="W1" s="12" t="s">
        <v>68</v>
      </c>
      <c r="X1" s="12" t="s">
        <v>69</v>
      </c>
      <c r="Y1" s="12" t="s">
        <v>70</v>
      </c>
      <c r="Z1" s="12" t="s">
        <v>71</v>
      </c>
      <c r="AA1" s="12" t="s">
        <v>72</v>
      </c>
      <c r="AB1" s="12" t="s">
        <v>64</v>
      </c>
      <c r="AC1" s="12" t="s">
        <v>73</v>
      </c>
      <c r="AD1" s="12" t="s">
        <v>74</v>
      </c>
      <c r="AE1" s="12" t="s">
        <v>64</v>
      </c>
      <c r="AF1" s="12" t="s">
        <v>73</v>
      </c>
      <c r="AG1" s="12" t="s">
        <v>74</v>
      </c>
      <c r="AH1" s="12" t="s">
        <v>64</v>
      </c>
      <c r="AI1" s="12" t="s">
        <v>73</v>
      </c>
      <c r="AJ1" s="12" t="s">
        <v>74</v>
      </c>
      <c r="AK1" s="12" t="s">
        <v>64</v>
      </c>
      <c r="AL1" s="12" t="s">
        <v>73</v>
      </c>
      <c r="AM1" s="12" t="s">
        <v>74</v>
      </c>
      <c r="AN1" s="12" t="s">
        <v>64</v>
      </c>
      <c r="AO1" s="12" t="s">
        <v>73</v>
      </c>
      <c r="AP1" s="12" t="s">
        <v>74</v>
      </c>
      <c r="AQ1" s="12" t="s">
        <v>64</v>
      </c>
      <c r="AR1" s="12" t="s">
        <v>73</v>
      </c>
      <c r="AS1" s="12" t="s">
        <v>74</v>
      </c>
      <c r="AT1" s="12" t="s">
        <v>64</v>
      </c>
      <c r="AU1" s="12" t="s">
        <v>73</v>
      </c>
      <c r="AV1" s="12" t="s">
        <v>74</v>
      </c>
      <c r="AW1" s="12" t="s">
        <v>64</v>
      </c>
      <c r="AX1" s="12" t="s">
        <v>73</v>
      </c>
      <c r="AY1" s="12" t="s">
        <v>74</v>
      </c>
      <c r="AZ1" s="12" t="s">
        <v>64</v>
      </c>
      <c r="BA1" s="12" t="s">
        <v>73</v>
      </c>
      <c r="BB1" s="12" t="s">
        <v>74</v>
      </c>
      <c r="BC1" s="12" t="s">
        <v>64</v>
      </c>
      <c r="BD1" s="12" t="s">
        <v>73</v>
      </c>
      <c r="BE1" s="12" t="s">
        <v>74</v>
      </c>
      <c r="BF1" s="12" t="s">
        <v>64</v>
      </c>
      <c r="BG1" s="12" t="s">
        <v>73</v>
      </c>
      <c r="BH1" s="12" t="s">
        <v>74</v>
      </c>
      <c r="BI1" s="12" t="s">
        <v>64</v>
      </c>
      <c r="BJ1" s="12" t="s">
        <v>73</v>
      </c>
      <c r="BK1" s="12" t="s">
        <v>74</v>
      </c>
      <c r="BL1" s="12" t="s">
        <v>89</v>
      </c>
      <c r="BM1" s="12" t="s">
        <v>75</v>
      </c>
      <c r="BN1" s="12" t="s">
        <v>76</v>
      </c>
      <c r="BO1" s="12" t="s">
        <v>86</v>
      </c>
    </row>
    <row r="2" spans="1:67" x14ac:dyDescent="0.4">
      <c r="A2" s="5" t="s">
        <v>92</v>
      </c>
      <c r="B2" s="5" t="s">
        <v>15</v>
      </c>
      <c r="C2" s="5">
        <v>355332</v>
      </c>
      <c r="D2" s="6"/>
      <c r="E2" s="5" t="s">
        <v>12</v>
      </c>
      <c r="F2" s="5" t="s">
        <v>14</v>
      </c>
      <c r="G2" s="5" t="s">
        <v>12</v>
      </c>
      <c r="H2" s="7" t="s">
        <v>8</v>
      </c>
      <c r="I2" s="7" t="s">
        <v>78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48</v>
      </c>
      <c r="AF2" s="8">
        <v>3900</v>
      </c>
      <c r="AG2" s="7">
        <v>900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12</v>
      </c>
      <c r="AR2" s="8">
        <v>1200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49</v>
      </c>
      <c r="BD2" s="8">
        <v>5880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352.8</v>
      </c>
      <c r="BM2" s="10">
        <v>11880</v>
      </c>
      <c r="BN2" s="13">
        <f>BM2-BL2</f>
        <v>11527.2</v>
      </c>
      <c r="BO2" s="16">
        <f t="shared" ref="BO2" si="0">BN2*70%</f>
        <v>8069.04</v>
      </c>
    </row>
    <row r="3" spans="1:67" x14ac:dyDescent="0.4">
      <c r="A3" s="5" t="s">
        <v>92</v>
      </c>
      <c r="B3" s="5" t="s">
        <v>35</v>
      </c>
      <c r="C3" s="5">
        <v>159266</v>
      </c>
      <c r="D3" s="6"/>
      <c r="E3" s="5" t="s">
        <v>12</v>
      </c>
      <c r="F3" s="5" t="s">
        <v>17</v>
      </c>
      <c r="G3" s="5" t="s">
        <v>12</v>
      </c>
      <c r="H3" s="7" t="s">
        <v>7</v>
      </c>
      <c r="I3" s="7" t="s">
        <v>28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8</v>
      </c>
      <c r="AC3" s="8">
        <v>6600</v>
      </c>
      <c r="AD3" s="7">
        <v>0</v>
      </c>
      <c r="AE3" s="7">
        <v>0</v>
      </c>
      <c r="AF3" s="7">
        <v>0</v>
      </c>
      <c r="AG3" s="7">
        <v>0</v>
      </c>
      <c r="AH3" s="7">
        <v>1</v>
      </c>
      <c r="AI3" s="7">
        <v>720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216</v>
      </c>
      <c r="BM3" s="10">
        <v>7320</v>
      </c>
      <c r="BN3" s="13">
        <f t="shared" ref="BN3:BN19" si="1">BM3-BL3</f>
        <v>7104</v>
      </c>
      <c r="BO3" s="16">
        <f t="shared" ref="BO3:BO19" si="2">BN3*70%</f>
        <v>4972.7999999999993</v>
      </c>
    </row>
    <row r="4" spans="1:67" x14ac:dyDescent="0.4">
      <c r="A4" s="5" t="s">
        <v>92</v>
      </c>
      <c r="B4" s="5" t="s">
        <v>27</v>
      </c>
      <c r="C4" s="5">
        <v>159268</v>
      </c>
      <c r="D4" s="6"/>
      <c r="E4" s="5" t="s">
        <v>12</v>
      </c>
      <c r="F4" s="5" t="s">
        <v>17</v>
      </c>
      <c r="G4" s="5" t="s">
        <v>12</v>
      </c>
      <c r="H4" s="7" t="s">
        <v>7</v>
      </c>
      <c r="I4" s="7" t="s">
        <v>28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5</v>
      </c>
      <c r="AC4" s="8">
        <v>4500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4500</v>
      </c>
      <c r="BN4" s="13">
        <f t="shared" si="1"/>
        <v>4500</v>
      </c>
      <c r="BO4" s="16">
        <f t="shared" si="2"/>
        <v>3150</v>
      </c>
    </row>
    <row r="5" spans="1:67" x14ac:dyDescent="0.4">
      <c r="A5" s="5" t="s">
        <v>92</v>
      </c>
      <c r="B5" s="5" t="s">
        <v>54</v>
      </c>
      <c r="C5" s="5">
        <v>285993</v>
      </c>
      <c r="D5" s="6"/>
      <c r="E5" s="5" t="s">
        <v>12</v>
      </c>
      <c r="F5" s="5" t="s">
        <v>13</v>
      </c>
      <c r="G5" s="5" t="s">
        <v>12</v>
      </c>
      <c r="H5" s="7" t="s">
        <v>7</v>
      </c>
      <c r="I5" s="7" t="s">
        <v>55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2</v>
      </c>
      <c r="AC5" s="8">
        <v>1800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1</v>
      </c>
      <c r="AO5" s="7">
        <v>900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2700</v>
      </c>
      <c r="BN5" s="13">
        <f t="shared" si="1"/>
        <v>2700</v>
      </c>
      <c r="BO5" s="16">
        <f t="shared" si="2"/>
        <v>1889.9999999999998</v>
      </c>
    </row>
    <row r="6" spans="1:67" x14ac:dyDescent="0.4">
      <c r="A6" s="5" t="s">
        <v>92</v>
      </c>
      <c r="B6" s="5" t="s">
        <v>16</v>
      </c>
      <c r="C6" s="5">
        <v>159260</v>
      </c>
      <c r="D6" s="6"/>
      <c r="E6" s="5" t="s">
        <v>12</v>
      </c>
      <c r="F6" s="5" t="s">
        <v>17</v>
      </c>
      <c r="G6" s="5" t="s">
        <v>12</v>
      </c>
      <c r="H6" s="7" t="s">
        <v>7</v>
      </c>
      <c r="I6" s="7" t="s">
        <v>18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3</v>
      </c>
      <c r="AC6" s="8">
        <v>1800</v>
      </c>
      <c r="AD6" s="7">
        <v>900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2700</v>
      </c>
      <c r="BN6" s="13">
        <f t="shared" si="1"/>
        <v>2700</v>
      </c>
      <c r="BO6" s="16">
        <f t="shared" si="2"/>
        <v>1889.9999999999998</v>
      </c>
    </row>
    <row r="7" spans="1:67" x14ac:dyDescent="0.4">
      <c r="A7" s="5" t="s">
        <v>92</v>
      </c>
      <c r="B7" s="5" t="s">
        <v>21</v>
      </c>
      <c r="C7" s="5">
        <v>159270</v>
      </c>
      <c r="D7" s="6"/>
      <c r="E7" s="5" t="s">
        <v>12</v>
      </c>
      <c r="F7" s="5" t="s">
        <v>17</v>
      </c>
      <c r="G7" s="5" t="s">
        <v>12</v>
      </c>
      <c r="H7" s="7" t="s">
        <v>11</v>
      </c>
      <c r="I7" s="7" t="s">
        <v>20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2</v>
      </c>
      <c r="AC7" s="8">
        <v>1800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1800</v>
      </c>
      <c r="BN7" s="13">
        <f t="shared" si="1"/>
        <v>1800</v>
      </c>
      <c r="BO7" s="16">
        <f t="shared" si="2"/>
        <v>1260</v>
      </c>
    </row>
    <row r="8" spans="1:67" x14ac:dyDescent="0.4">
      <c r="A8" s="5" t="s">
        <v>92</v>
      </c>
      <c r="B8" s="5" t="s">
        <v>85</v>
      </c>
      <c r="C8" s="5">
        <v>285988</v>
      </c>
      <c r="D8" s="6"/>
      <c r="E8" s="5" t="s">
        <v>12</v>
      </c>
      <c r="F8" s="5" t="s">
        <v>13</v>
      </c>
      <c r="G8" s="5" t="s">
        <v>12</v>
      </c>
      <c r="H8" s="7" t="s">
        <v>7</v>
      </c>
      <c r="I8" s="7" t="s">
        <v>55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2</v>
      </c>
      <c r="AC8" s="8">
        <v>1800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1800</v>
      </c>
      <c r="BN8" s="13">
        <f t="shared" si="1"/>
        <v>1800</v>
      </c>
      <c r="BO8" s="16">
        <f t="shared" si="2"/>
        <v>1260</v>
      </c>
    </row>
    <row r="9" spans="1:67" x14ac:dyDescent="0.4">
      <c r="A9" s="5" t="s">
        <v>92</v>
      </c>
      <c r="B9" s="5" t="s">
        <v>36</v>
      </c>
      <c r="C9" s="5">
        <v>192737</v>
      </c>
      <c r="D9" s="6"/>
      <c r="E9" s="5" t="s">
        <v>12</v>
      </c>
      <c r="F9" s="5" t="s">
        <v>37</v>
      </c>
      <c r="G9" s="5" t="s">
        <v>12</v>
      </c>
      <c r="H9" s="7" t="s">
        <v>7</v>
      </c>
      <c r="I9" s="7" t="s">
        <v>38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2</v>
      </c>
      <c r="AC9" s="8">
        <v>1300</v>
      </c>
      <c r="AD9" s="7">
        <v>500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1800</v>
      </c>
      <c r="BN9" s="13">
        <f t="shared" si="1"/>
        <v>1800</v>
      </c>
      <c r="BO9" s="16">
        <f t="shared" si="2"/>
        <v>1260</v>
      </c>
    </row>
    <row r="10" spans="1:67" ht="19.2" x14ac:dyDescent="0.4">
      <c r="A10" s="5" t="s">
        <v>92</v>
      </c>
      <c r="B10" s="5" t="s">
        <v>63</v>
      </c>
      <c r="C10" s="5">
        <v>406370</v>
      </c>
      <c r="D10" s="6"/>
      <c r="E10" s="5" t="s">
        <v>12</v>
      </c>
      <c r="F10" s="5" t="s">
        <v>37</v>
      </c>
      <c r="G10" s="5" t="s">
        <v>22</v>
      </c>
      <c r="H10" s="7" t="s">
        <v>8</v>
      </c>
      <c r="I10" s="7" t="s">
        <v>59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2</v>
      </c>
      <c r="AC10" s="8">
        <v>1800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1800</v>
      </c>
      <c r="BN10" s="13">
        <f t="shared" si="1"/>
        <v>1800</v>
      </c>
      <c r="BO10" s="16">
        <f t="shared" si="2"/>
        <v>1260</v>
      </c>
    </row>
    <row r="11" spans="1:67" x14ac:dyDescent="0.4">
      <c r="A11" s="5" t="s">
        <v>92</v>
      </c>
      <c r="B11" s="5" t="s">
        <v>52</v>
      </c>
      <c r="C11" s="5">
        <v>192729</v>
      </c>
      <c r="D11" s="6"/>
      <c r="E11" s="5" t="s">
        <v>12</v>
      </c>
      <c r="F11" s="5" t="s">
        <v>37</v>
      </c>
      <c r="G11" s="5" t="s">
        <v>12</v>
      </c>
      <c r="H11" s="7" t="s">
        <v>7</v>
      </c>
      <c r="I11" s="7" t="s">
        <v>53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</v>
      </c>
      <c r="AC11" s="7">
        <v>900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1">
        <v>900</v>
      </c>
      <c r="BN11" s="13">
        <f t="shared" si="1"/>
        <v>900</v>
      </c>
      <c r="BO11" s="16">
        <f t="shared" si="2"/>
        <v>630</v>
      </c>
    </row>
    <row r="12" spans="1:67" x14ac:dyDescent="0.4">
      <c r="A12" s="5" t="s">
        <v>92</v>
      </c>
      <c r="B12" s="5" t="s">
        <v>39</v>
      </c>
      <c r="C12" s="5">
        <v>159483</v>
      </c>
      <c r="D12" s="6"/>
      <c r="E12" s="5" t="s">
        <v>12</v>
      </c>
      <c r="F12" s="5" t="s">
        <v>14</v>
      </c>
      <c r="G12" s="5" t="s">
        <v>12</v>
      </c>
      <c r="H12" s="7" t="s">
        <v>7</v>
      </c>
      <c r="I12" s="7" t="s">
        <v>40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7">
        <v>900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1">
        <v>900</v>
      </c>
      <c r="BN12" s="13">
        <f t="shared" si="1"/>
        <v>900</v>
      </c>
      <c r="BO12" s="16">
        <f t="shared" si="2"/>
        <v>630</v>
      </c>
    </row>
    <row r="13" spans="1:67" x14ac:dyDescent="0.4">
      <c r="A13" s="5" t="s">
        <v>92</v>
      </c>
      <c r="B13" s="5" t="s">
        <v>87</v>
      </c>
      <c r="C13" s="5">
        <v>239858</v>
      </c>
      <c r="D13" s="6"/>
      <c r="E13" s="5" t="s">
        <v>12</v>
      </c>
      <c r="F13" s="5" t="s">
        <v>13</v>
      </c>
      <c r="G13" s="5" t="s">
        <v>12</v>
      </c>
      <c r="H13" s="7" t="s">
        <v>7</v>
      </c>
      <c r="I13" s="7" t="s">
        <v>88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1</v>
      </c>
      <c r="AO13" s="7">
        <v>900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1">
        <v>900</v>
      </c>
      <c r="BN13" s="13">
        <f t="shared" si="1"/>
        <v>900</v>
      </c>
      <c r="BO13" s="16">
        <f t="shared" si="2"/>
        <v>630</v>
      </c>
    </row>
    <row r="14" spans="1:67" x14ac:dyDescent="0.4">
      <c r="A14" s="5" t="s">
        <v>92</v>
      </c>
      <c r="B14" s="5" t="s">
        <v>29</v>
      </c>
      <c r="C14" s="5">
        <v>159258</v>
      </c>
      <c r="D14" s="6"/>
      <c r="E14" s="5" t="s">
        <v>12</v>
      </c>
      <c r="F14" s="5" t="s">
        <v>17</v>
      </c>
      <c r="G14" s="5" t="s">
        <v>12</v>
      </c>
      <c r="H14" s="7" t="s">
        <v>7</v>
      </c>
      <c r="I14" s="7" t="s">
        <v>28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</v>
      </c>
      <c r="AC14" s="7">
        <v>900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1">
        <v>900</v>
      </c>
      <c r="BN14" s="13">
        <f t="shared" si="1"/>
        <v>900</v>
      </c>
      <c r="BO14" s="16">
        <f t="shared" si="2"/>
        <v>630</v>
      </c>
    </row>
    <row r="15" spans="1:67" x14ac:dyDescent="0.4">
      <c r="A15" s="5" t="s">
        <v>92</v>
      </c>
      <c r="B15" s="5" t="s">
        <v>33</v>
      </c>
      <c r="C15" s="5">
        <v>159255</v>
      </c>
      <c r="D15" s="6"/>
      <c r="E15" s="5" t="s">
        <v>12</v>
      </c>
      <c r="F15" s="5" t="s">
        <v>17</v>
      </c>
      <c r="G15" s="5" t="s">
        <v>12</v>
      </c>
      <c r="H15" s="7" t="s">
        <v>8</v>
      </c>
      <c r="I15" s="7" t="s">
        <v>34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</v>
      </c>
      <c r="AC15" s="7">
        <v>900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1">
        <v>900</v>
      </c>
      <c r="BN15" s="13">
        <f t="shared" si="1"/>
        <v>900</v>
      </c>
      <c r="BO15" s="16">
        <f t="shared" si="2"/>
        <v>630</v>
      </c>
    </row>
    <row r="16" spans="1:67" x14ac:dyDescent="0.4">
      <c r="A16" s="5" t="s">
        <v>92</v>
      </c>
      <c r="B16" s="5" t="s">
        <v>43</v>
      </c>
      <c r="C16" s="5">
        <v>215737</v>
      </c>
      <c r="D16" s="6"/>
      <c r="E16" s="5" t="s">
        <v>12</v>
      </c>
      <c r="F16" s="5" t="s">
        <v>44</v>
      </c>
      <c r="G16" s="5" t="s">
        <v>12</v>
      </c>
      <c r="H16" s="7" t="s">
        <v>7</v>
      </c>
      <c r="I16" s="7" t="s">
        <v>45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4</v>
      </c>
      <c r="AF16" s="7">
        <v>300</v>
      </c>
      <c r="AG16" s="7">
        <v>100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1">
        <v>400</v>
      </c>
      <c r="BN16" s="13">
        <f t="shared" si="1"/>
        <v>400</v>
      </c>
      <c r="BO16" s="16">
        <f t="shared" si="2"/>
        <v>280</v>
      </c>
    </row>
    <row r="17" spans="1:67" ht="19.2" x14ac:dyDescent="0.4">
      <c r="A17" s="5" t="s">
        <v>92</v>
      </c>
      <c r="B17" s="5" t="s">
        <v>81</v>
      </c>
      <c r="C17" s="5">
        <v>408050</v>
      </c>
      <c r="D17" s="6"/>
      <c r="E17" s="5" t="s">
        <v>12</v>
      </c>
      <c r="F17" s="5" t="s">
        <v>14</v>
      </c>
      <c r="G17" s="5" t="s">
        <v>22</v>
      </c>
      <c r="H17" s="7" t="s">
        <v>7</v>
      </c>
      <c r="I17" s="7" t="s">
        <v>82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2</v>
      </c>
      <c r="AR17" s="7">
        <v>200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1">
        <v>200</v>
      </c>
      <c r="BN17" s="13">
        <f t="shared" si="1"/>
        <v>200</v>
      </c>
      <c r="BO17" s="16">
        <f t="shared" si="2"/>
        <v>140</v>
      </c>
    </row>
    <row r="18" spans="1:67" x14ac:dyDescent="0.4">
      <c r="A18" s="5" t="s">
        <v>92</v>
      </c>
      <c r="B18" s="5" t="s">
        <v>30</v>
      </c>
      <c r="C18" s="5">
        <v>326544</v>
      </c>
      <c r="D18" s="6"/>
      <c r="E18" s="5" t="s">
        <v>12</v>
      </c>
      <c r="F18" s="5" t="s">
        <v>31</v>
      </c>
      <c r="G18" s="5" t="s">
        <v>12</v>
      </c>
      <c r="H18" s="7" t="s">
        <v>7</v>
      </c>
      <c r="I18" s="7" t="s">
        <v>32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100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1">
        <v>100</v>
      </c>
      <c r="BN18" s="13">
        <f t="shared" si="1"/>
        <v>100</v>
      </c>
      <c r="BO18" s="16">
        <f t="shared" si="2"/>
        <v>70</v>
      </c>
    </row>
    <row r="19" spans="1:67" x14ac:dyDescent="0.4">
      <c r="A19" s="5" t="s">
        <v>92</v>
      </c>
      <c r="B19" s="5" t="s">
        <v>79</v>
      </c>
      <c r="C19" s="5">
        <v>210381</v>
      </c>
      <c r="D19" s="6"/>
      <c r="E19" s="5" t="s">
        <v>12</v>
      </c>
      <c r="F19" s="5" t="s">
        <v>37</v>
      </c>
      <c r="G19" s="5" t="s">
        <v>12</v>
      </c>
      <c r="H19" s="7" t="s">
        <v>7</v>
      </c>
      <c r="I19" s="7" t="s">
        <v>80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7">
        <v>100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1">
        <v>100</v>
      </c>
      <c r="BN19" s="13">
        <f t="shared" si="1"/>
        <v>100</v>
      </c>
      <c r="BO19" s="16">
        <f t="shared" si="2"/>
        <v>70</v>
      </c>
    </row>
    <row r="20" spans="1:67" x14ac:dyDescent="0.4">
      <c r="A20" s="5" t="s">
        <v>93</v>
      </c>
      <c r="B20" s="5" t="s">
        <v>15</v>
      </c>
      <c r="C20" s="5">
        <v>355332</v>
      </c>
      <c r="D20" s="6"/>
      <c r="E20" s="5" t="s">
        <v>12</v>
      </c>
      <c r="F20" s="5" t="s">
        <v>14</v>
      </c>
      <c r="G20" s="5" t="s">
        <v>12</v>
      </c>
      <c r="H20" s="7" t="s">
        <v>8</v>
      </c>
      <c r="I20" s="7" t="s">
        <v>78</v>
      </c>
      <c r="J20" s="7">
        <v>0</v>
      </c>
      <c r="K20" s="7">
        <v>1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8">
        <v>1108</v>
      </c>
      <c r="AF20" s="8">
        <v>103240</v>
      </c>
      <c r="AG20" s="8">
        <v>7600</v>
      </c>
      <c r="AH20" s="7">
        <v>0</v>
      </c>
      <c r="AI20" s="7">
        <v>0</v>
      </c>
      <c r="AJ20" s="7">
        <v>0</v>
      </c>
      <c r="AK20" s="7">
        <v>79</v>
      </c>
      <c r="AL20" s="8">
        <v>9480</v>
      </c>
      <c r="AM20" s="7">
        <v>0</v>
      </c>
      <c r="AN20" s="7">
        <v>0</v>
      </c>
      <c r="AO20" s="7">
        <v>0</v>
      </c>
      <c r="AP20" s="7">
        <v>0</v>
      </c>
      <c r="AQ20" s="7">
        <v>300</v>
      </c>
      <c r="AR20" s="8">
        <v>29300</v>
      </c>
      <c r="AS20" s="7">
        <v>700</v>
      </c>
      <c r="AT20" s="7">
        <v>0</v>
      </c>
      <c r="AU20" s="7">
        <v>0</v>
      </c>
      <c r="AV20" s="7">
        <v>0</v>
      </c>
      <c r="AW20" s="7">
        <v>33</v>
      </c>
      <c r="AX20" s="8">
        <v>3960</v>
      </c>
      <c r="AY20" s="7">
        <v>0</v>
      </c>
      <c r="AZ20" s="7">
        <v>0</v>
      </c>
      <c r="BA20" s="7">
        <v>0</v>
      </c>
      <c r="BB20" s="7">
        <v>0</v>
      </c>
      <c r="BC20" s="7">
        <v>158</v>
      </c>
      <c r="BD20" s="8">
        <v>18360</v>
      </c>
      <c r="BE20" s="7">
        <v>500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4341.6000000000004</v>
      </c>
      <c r="BM20" s="10">
        <v>173140</v>
      </c>
      <c r="BN20" s="13">
        <f t="shared" ref="BN20:BN45" si="3">BM20-BL20</f>
        <v>168798.4</v>
      </c>
      <c r="BO20" s="16">
        <f t="shared" ref="BO20:BO45" si="4">BN20*70%</f>
        <v>118158.87999999999</v>
      </c>
    </row>
    <row r="21" spans="1:67" x14ac:dyDescent="0.4">
      <c r="A21" s="5" t="s">
        <v>93</v>
      </c>
      <c r="B21" s="5" t="s">
        <v>23</v>
      </c>
      <c r="C21" s="5">
        <v>161447</v>
      </c>
      <c r="D21" s="6"/>
      <c r="E21" s="5" t="s">
        <v>12</v>
      </c>
      <c r="F21" s="5" t="s">
        <v>14</v>
      </c>
      <c r="G21" s="5" t="s">
        <v>12</v>
      </c>
      <c r="H21" s="7" t="s">
        <v>7</v>
      </c>
      <c r="I21" s="7" t="s">
        <v>24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17</v>
      </c>
      <c r="AF21" s="8">
        <v>54400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54400</v>
      </c>
      <c r="BN21" s="13">
        <f t="shared" si="3"/>
        <v>54400</v>
      </c>
      <c r="BO21" s="16">
        <f t="shared" si="4"/>
        <v>38080</v>
      </c>
    </row>
    <row r="22" spans="1:67" x14ac:dyDescent="0.4">
      <c r="A22" s="5" t="s">
        <v>93</v>
      </c>
      <c r="B22" s="5" t="s">
        <v>54</v>
      </c>
      <c r="C22" s="5">
        <v>285993</v>
      </c>
      <c r="D22" s="6"/>
      <c r="E22" s="5" t="s">
        <v>12</v>
      </c>
      <c r="F22" s="5" t="s">
        <v>13</v>
      </c>
      <c r="G22" s="5" t="s">
        <v>12</v>
      </c>
      <c r="H22" s="7" t="s">
        <v>7</v>
      </c>
      <c r="I22" s="7" t="s">
        <v>55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9</v>
      </c>
      <c r="AC22" s="8">
        <v>8100</v>
      </c>
      <c r="AD22" s="7">
        <v>0</v>
      </c>
      <c r="AE22" s="7">
        <v>0</v>
      </c>
      <c r="AF22" s="7">
        <v>0</v>
      </c>
      <c r="AG22" s="7">
        <v>0</v>
      </c>
      <c r="AH22" s="7">
        <v>1</v>
      </c>
      <c r="AI22" s="7">
        <v>0</v>
      </c>
      <c r="AJ22" s="7">
        <v>900</v>
      </c>
      <c r="AK22" s="7">
        <v>0</v>
      </c>
      <c r="AL22" s="7">
        <v>0</v>
      </c>
      <c r="AM22" s="7">
        <v>0</v>
      </c>
      <c r="AN22" s="7">
        <v>8</v>
      </c>
      <c r="AO22" s="8">
        <v>7000</v>
      </c>
      <c r="AP22" s="7">
        <v>200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1</v>
      </c>
      <c r="BA22" s="8">
        <v>1080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64.8</v>
      </c>
      <c r="BM22" s="10">
        <v>17280</v>
      </c>
      <c r="BN22" s="13">
        <f t="shared" si="3"/>
        <v>17215.2</v>
      </c>
      <c r="BO22" s="16">
        <f t="shared" si="4"/>
        <v>12050.64</v>
      </c>
    </row>
    <row r="23" spans="1:67" x14ac:dyDescent="0.4">
      <c r="A23" s="5" t="s">
        <v>93</v>
      </c>
      <c r="B23" s="5" t="s">
        <v>43</v>
      </c>
      <c r="C23" s="5">
        <v>215737</v>
      </c>
      <c r="D23" s="6"/>
      <c r="E23" s="5" t="s">
        <v>12</v>
      </c>
      <c r="F23" s="5" t="s">
        <v>44</v>
      </c>
      <c r="G23" s="5" t="s">
        <v>12</v>
      </c>
      <c r="H23" s="7" t="s">
        <v>7</v>
      </c>
      <c r="I23" s="7" t="s">
        <v>45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132</v>
      </c>
      <c r="AF23" s="8">
        <v>12800</v>
      </c>
      <c r="AG23" s="7">
        <v>400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24</v>
      </c>
      <c r="AR23" s="8">
        <v>2400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15600</v>
      </c>
      <c r="BN23" s="13">
        <f t="shared" si="3"/>
        <v>15600</v>
      </c>
      <c r="BO23" s="16">
        <f t="shared" si="4"/>
        <v>10920</v>
      </c>
    </row>
    <row r="24" spans="1:67" x14ac:dyDescent="0.4">
      <c r="A24" s="5" t="s">
        <v>93</v>
      </c>
      <c r="B24" s="5" t="s">
        <v>16</v>
      </c>
      <c r="C24" s="5">
        <v>159260</v>
      </c>
      <c r="D24" s="6"/>
      <c r="E24" s="5" t="s">
        <v>12</v>
      </c>
      <c r="F24" s="5" t="s">
        <v>17</v>
      </c>
      <c r="G24" s="5" t="s">
        <v>12</v>
      </c>
      <c r="H24" s="7" t="s">
        <v>7</v>
      </c>
      <c r="I24" s="7" t="s">
        <v>18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3</v>
      </c>
      <c r="AC24" s="8">
        <v>2700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8</v>
      </c>
      <c r="AO24" s="8">
        <v>7200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4</v>
      </c>
      <c r="BA24" s="8">
        <v>4320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259.2</v>
      </c>
      <c r="BM24" s="10">
        <v>14220</v>
      </c>
      <c r="BN24" s="13">
        <f t="shared" si="3"/>
        <v>13960.8</v>
      </c>
      <c r="BO24" s="16">
        <f t="shared" si="4"/>
        <v>9772.56</v>
      </c>
    </row>
    <row r="25" spans="1:67" x14ac:dyDescent="0.4">
      <c r="A25" s="5" t="s">
        <v>93</v>
      </c>
      <c r="B25" s="5" t="s">
        <v>19</v>
      </c>
      <c r="C25" s="5">
        <v>161539</v>
      </c>
      <c r="D25" s="6"/>
      <c r="E25" s="5" t="s">
        <v>12</v>
      </c>
      <c r="F25" s="5" t="s">
        <v>17</v>
      </c>
      <c r="G25" s="5" t="s">
        <v>12</v>
      </c>
      <c r="H25" s="7" t="s">
        <v>7</v>
      </c>
      <c r="I25" s="7" t="s">
        <v>20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6</v>
      </c>
      <c r="AC25" s="8">
        <v>5400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2</v>
      </c>
      <c r="AR25" s="8">
        <v>6400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2</v>
      </c>
      <c r="BA25" s="8">
        <v>2160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129.6</v>
      </c>
      <c r="BM25" s="10">
        <v>13960</v>
      </c>
      <c r="BN25" s="13">
        <f t="shared" si="3"/>
        <v>13830.4</v>
      </c>
      <c r="BO25" s="16">
        <f t="shared" si="4"/>
        <v>9681.2799999999988</v>
      </c>
    </row>
    <row r="26" spans="1:67" x14ac:dyDescent="0.4">
      <c r="A26" s="5" t="s">
        <v>93</v>
      </c>
      <c r="B26" s="5" t="s">
        <v>21</v>
      </c>
      <c r="C26" s="5">
        <v>159270</v>
      </c>
      <c r="D26" s="6"/>
      <c r="E26" s="5" t="s">
        <v>12</v>
      </c>
      <c r="F26" s="5" t="s">
        <v>17</v>
      </c>
      <c r="G26" s="5" t="s">
        <v>12</v>
      </c>
      <c r="H26" s="7" t="s">
        <v>11</v>
      </c>
      <c r="I26" s="7" t="s">
        <v>20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6</v>
      </c>
      <c r="AC26" s="8">
        <v>5400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6</v>
      </c>
      <c r="BA26" s="8">
        <v>6480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388.8</v>
      </c>
      <c r="BM26" s="10">
        <v>11880</v>
      </c>
      <c r="BN26" s="13">
        <f t="shared" si="3"/>
        <v>11491.2</v>
      </c>
      <c r="BO26" s="16">
        <f t="shared" si="4"/>
        <v>8043.84</v>
      </c>
    </row>
    <row r="27" spans="1:67" x14ac:dyDescent="0.4">
      <c r="A27" s="5" t="s">
        <v>93</v>
      </c>
      <c r="B27" s="5" t="s">
        <v>49</v>
      </c>
      <c r="C27" s="5">
        <v>229857</v>
      </c>
      <c r="D27" s="6"/>
      <c r="E27" s="5" t="s">
        <v>12</v>
      </c>
      <c r="F27" s="5" t="s">
        <v>13</v>
      </c>
      <c r="G27" s="5" t="s">
        <v>12</v>
      </c>
      <c r="H27" s="7" t="s">
        <v>11</v>
      </c>
      <c r="I27" s="7" t="s">
        <v>50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9</v>
      </c>
      <c r="AC27" s="8">
        <v>7400</v>
      </c>
      <c r="AD27" s="7">
        <v>700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8100</v>
      </c>
      <c r="BN27" s="13">
        <f t="shared" si="3"/>
        <v>8100</v>
      </c>
      <c r="BO27" s="16">
        <f t="shared" si="4"/>
        <v>5670</v>
      </c>
    </row>
    <row r="28" spans="1:67" x14ac:dyDescent="0.4">
      <c r="A28" s="5" t="s">
        <v>93</v>
      </c>
      <c r="B28" s="5" t="s">
        <v>41</v>
      </c>
      <c r="C28" s="5">
        <v>194565</v>
      </c>
      <c r="D28" s="6"/>
      <c r="E28" s="5" t="s">
        <v>12</v>
      </c>
      <c r="F28" s="5" t="s">
        <v>17</v>
      </c>
      <c r="G28" s="5" t="s">
        <v>12</v>
      </c>
      <c r="H28" s="7" t="s">
        <v>7</v>
      </c>
      <c r="I28" s="7" t="s">
        <v>42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76</v>
      </c>
      <c r="AF28" s="8">
        <v>7600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7600</v>
      </c>
      <c r="BN28" s="13">
        <f t="shared" si="3"/>
        <v>7600</v>
      </c>
      <c r="BO28" s="16">
        <f t="shared" si="4"/>
        <v>5320</v>
      </c>
    </row>
    <row r="29" spans="1:67" x14ac:dyDescent="0.4">
      <c r="A29" s="5" t="s">
        <v>93</v>
      </c>
      <c r="B29" s="5" t="s">
        <v>35</v>
      </c>
      <c r="C29" s="5">
        <v>159266</v>
      </c>
      <c r="D29" s="6"/>
      <c r="E29" s="5" t="s">
        <v>12</v>
      </c>
      <c r="F29" s="5" t="s">
        <v>17</v>
      </c>
      <c r="G29" s="5" t="s">
        <v>12</v>
      </c>
      <c r="H29" s="7" t="s">
        <v>7</v>
      </c>
      <c r="I29" s="7" t="s">
        <v>28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3</v>
      </c>
      <c r="AC29" s="8">
        <v>2700</v>
      </c>
      <c r="AD29" s="7">
        <v>0</v>
      </c>
      <c r="AE29" s="7">
        <v>0</v>
      </c>
      <c r="AF29" s="7">
        <v>0</v>
      </c>
      <c r="AG29" s="7">
        <v>0</v>
      </c>
      <c r="AH29" s="7">
        <v>4</v>
      </c>
      <c r="AI29" s="8">
        <v>4320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9">
        <v>1296</v>
      </c>
      <c r="BM29" s="10">
        <v>7020</v>
      </c>
      <c r="BN29" s="13">
        <f t="shared" si="3"/>
        <v>5724</v>
      </c>
      <c r="BO29" s="16">
        <f t="shared" si="4"/>
        <v>4006.7999999999997</v>
      </c>
    </row>
    <row r="30" spans="1:67" x14ac:dyDescent="0.4">
      <c r="A30" s="5" t="s">
        <v>93</v>
      </c>
      <c r="B30" s="5" t="s">
        <v>36</v>
      </c>
      <c r="C30" s="5">
        <v>192737</v>
      </c>
      <c r="D30" s="6"/>
      <c r="E30" s="5" t="s">
        <v>12</v>
      </c>
      <c r="F30" s="5" t="s">
        <v>37</v>
      </c>
      <c r="G30" s="5" t="s">
        <v>12</v>
      </c>
      <c r="H30" s="7" t="s">
        <v>7</v>
      </c>
      <c r="I30" s="7" t="s">
        <v>38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7</v>
      </c>
      <c r="AC30" s="8">
        <v>6480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6480</v>
      </c>
      <c r="BN30" s="13">
        <f t="shared" si="3"/>
        <v>6480</v>
      </c>
      <c r="BO30" s="16">
        <f t="shared" si="4"/>
        <v>4536</v>
      </c>
    </row>
    <row r="31" spans="1:67" ht="19.2" x14ac:dyDescent="0.4">
      <c r="A31" s="5" t="s">
        <v>93</v>
      </c>
      <c r="B31" s="5" t="s">
        <v>63</v>
      </c>
      <c r="C31" s="5">
        <v>406370</v>
      </c>
      <c r="D31" s="6"/>
      <c r="E31" s="5" t="s">
        <v>12</v>
      </c>
      <c r="F31" s="5" t="s">
        <v>37</v>
      </c>
      <c r="G31" s="5" t="s">
        <v>22</v>
      </c>
      <c r="H31" s="7" t="s">
        <v>8</v>
      </c>
      <c r="I31" s="7" t="s">
        <v>59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6</v>
      </c>
      <c r="AC31" s="8">
        <v>5400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5400</v>
      </c>
      <c r="BN31" s="13">
        <f t="shared" si="3"/>
        <v>5400</v>
      </c>
      <c r="BO31" s="16">
        <f t="shared" si="4"/>
        <v>3779.9999999999995</v>
      </c>
    </row>
    <row r="32" spans="1:67" ht="19.2" x14ac:dyDescent="0.4">
      <c r="A32" s="5" t="s">
        <v>93</v>
      </c>
      <c r="B32" s="5" t="s">
        <v>81</v>
      </c>
      <c r="C32" s="5">
        <v>408050</v>
      </c>
      <c r="D32" s="6"/>
      <c r="E32" s="5" t="s">
        <v>12</v>
      </c>
      <c r="F32" s="5" t="s">
        <v>14</v>
      </c>
      <c r="G32" s="5" t="s">
        <v>22</v>
      </c>
      <c r="H32" s="7" t="s">
        <v>7</v>
      </c>
      <c r="I32" s="7" t="s">
        <v>82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38</v>
      </c>
      <c r="AF32" s="8">
        <v>3880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9</v>
      </c>
      <c r="AR32" s="7">
        <v>900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4780</v>
      </c>
      <c r="BN32" s="13">
        <f t="shared" si="3"/>
        <v>4780</v>
      </c>
      <c r="BO32" s="16">
        <f t="shared" si="4"/>
        <v>3346</v>
      </c>
    </row>
    <row r="33" spans="1:67" x14ac:dyDescent="0.4">
      <c r="A33" s="5" t="s">
        <v>93</v>
      </c>
      <c r="B33" s="5" t="s">
        <v>52</v>
      </c>
      <c r="C33" s="5">
        <v>192729</v>
      </c>
      <c r="D33" s="6"/>
      <c r="E33" s="5" t="s">
        <v>12</v>
      </c>
      <c r="F33" s="5" t="s">
        <v>37</v>
      </c>
      <c r="G33" s="5" t="s">
        <v>12</v>
      </c>
      <c r="H33" s="7" t="s">
        <v>7</v>
      </c>
      <c r="I33" s="7" t="s">
        <v>53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5</v>
      </c>
      <c r="AC33" s="8">
        <v>4500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4500</v>
      </c>
      <c r="BN33" s="13">
        <f t="shared" si="3"/>
        <v>4500</v>
      </c>
      <c r="BO33" s="16">
        <f t="shared" si="4"/>
        <v>3150</v>
      </c>
    </row>
    <row r="34" spans="1:67" x14ac:dyDescent="0.4">
      <c r="A34" s="5" t="s">
        <v>93</v>
      </c>
      <c r="B34" s="5" t="s">
        <v>29</v>
      </c>
      <c r="C34" s="5">
        <v>159258</v>
      </c>
      <c r="D34" s="6"/>
      <c r="E34" s="5" t="s">
        <v>12</v>
      </c>
      <c r="F34" s="5" t="s">
        <v>17</v>
      </c>
      <c r="G34" s="5" t="s">
        <v>12</v>
      </c>
      <c r="H34" s="7" t="s">
        <v>7</v>
      </c>
      <c r="I34" s="7" t="s">
        <v>28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2</v>
      </c>
      <c r="AC34" s="8">
        <v>1300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2</v>
      </c>
      <c r="AO34" s="8">
        <v>1800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1</v>
      </c>
      <c r="BA34" s="7">
        <v>600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36</v>
      </c>
      <c r="BM34" s="10">
        <v>3700</v>
      </c>
      <c r="BN34" s="13">
        <f t="shared" si="3"/>
        <v>3664</v>
      </c>
      <c r="BO34" s="16">
        <f t="shared" si="4"/>
        <v>2564.7999999999997</v>
      </c>
    </row>
    <row r="35" spans="1:67" x14ac:dyDescent="0.4">
      <c r="A35" s="5" t="s">
        <v>93</v>
      </c>
      <c r="B35" s="5" t="s">
        <v>61</v>
      </c>
      <c r="C35" s="5">
        <v>285990</v>
      </c>
      <c r="D35" s="6"/>
      <c r="E35" s="5" t="s">
        <v>12</v>
      </c>
      <c r="F35" s="5" t="s">
        <v>13</v>
      </c>
      <c r="G35" s="5" t="s">
        <v>12</v>
      </c>
      <c r="H35" s="7" t="s">
        <v>7</v>
      </c>
      <c r="I35" s="7" t="s">
        <v>55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4</v>
      </c>
      <c r="AC35" s="8">
        <v>3600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3600</v>
      </c>
      <c r="BN35" s="13">
        <f t="shared" si="3"/>
        <v>3600</v>
      </c>
      <c r="BO35" s="16">
        <f t="shared" si="4"/>
        <v>2520</v>
      </c>
    </row>
    <row r="36" spans="1:67" x14ac:dyDescent="0.4">
      <c r="A36" s="5" t="s">
        <v>93</v>
      </c>
      <c r="B36" s="5" t="s">
        <v>46</v>
      </c>
      <c r="C36" s="5">
        <v>99966</v>
      </c>
      <c r="D36" s="6"/>
      <c r="E36" s="5" t="s">
        <v>12</v>
      </c>
      <c r="F36" s="5" t="s">
        <v>17</v>
      </c>
      <c r="G36" s="5" t="s">
        <v>12</v>
      </c>
      <c r="H36" s="7" t="s">
        <v>11</v>
      </c>
      <c r="I36" s="7" t="s">
        <v>47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24</v>
      </c>
      <c r="AF36" s="7">
        <v>240</v>
      </c>
      <c r="AG36" s="8">
        <v>2200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2440</v>
      </c>
      <c r="BN36" s="13">
        <f t="shared" si="3"/>
        <v>2440</v>
      </c>
      <c r="BO36" s="16">
        <f t="shared" si="4"/>
        <v>1708</v>
      </c>
    </row>
    <row r="37" spans="1:67" x14ac:dyDescent="0.4">
      <c r="A37" s="5" t="s">
        <v>93</v>
      </c>
      <c r="B37" s="5" t="s">
        <v>62</v>
      </c>
      <c r="C37" s="5">
        <v>305089</v>
      </c>
      <c r="D37" s="6"/>
      <c r="E37" s="5" t="s">
        <v>12</v>
      </c>
      <c r="F37" s="5" t="s">
        <v>60</v>
      </c>
      <c r="G37" s="5" t="s">
        <v>12</v>
      </c>
      <c r="H37" s="7" t="s">
        <v>7</v>
      </c>
      <c r="I37" s="7" t="s">
        <v>10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2</v>
      </c>
      <c r="BA37" s="8">
        <v>2160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129.6</v>
      </c>
      <c r="BM37" s="10">
        <v>2160</v>
      </c>
      <c r="BN37" s="13">
        <f t="shared" si="3"/>
        <v>2030.4</v>
      </c>
      <c r="BO37" s="16">
        <f t="shared" si="4"/>
        <v>1421.28</v>
      </c>
    </row>
    <row r="38" spans="1:67" x14ac:dyDescent="0.4">
      <c r="A38" s="5" t="s">
        <v>93</v>
      </c>
      <c r="B38" s="5" t="s">
        <v>48</v>
      </c>
      <c r="C38" s="5">
        <v>192732</v>
      </c>
      <c r="D38" s="6"/>
      <c r="E38" s="5" t="s">
        <v>12</v>
      </c>
      <c r="F38" s="5" t="s">
        <v>37</v>
      </c>
      <c r="G38" s="5" t="s">
        <v>12</v>
      </c>
      <c r="H38" s="7" t="s">
        <v>7</v>
      </c>
      <c r="I38" s="7" t="s">
        <v>38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</v>
      </c>
      <c r="AC38" s="7">
        <v>900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1</v>
      </c>
      <c r="AU38" s="8">
        <v>1080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108</v>
      </c>
      <c r="BM38" s="10">
        <v>1980</v>
      </c>
      <c r="BN38" s="13">
        <f t="shared" si="3"/>
        <v>1872</v>
      </c>
      <c r="BO38" s="16">
        <f t="shared" si="4"/>
        <v>1310.3999999999999</v>
      </c>
    </row>
    <row r="39" spans="1:67" x14ac:dyDescent="0.4">
      <c r="A39" s="5" t="s">
        <v>93</v>
      </c>
      <c r="B39" s="5" t="s">
        <v>58</v>
      </c>
      <c r="C39" s="5">
        <v>192728</v>
      </c>
      <c r="D39" s="6"/>
      <c r="E39" s="5" t="s">
        <v>12</v>
      </c>
      <c r="F39" s="5" t="s">
        <v>37</v>
      </c>
      <c r="G39" s="5" t="s">
        <v>12</v>
      </c>
      <c r="H39" s="7" t="s">
        <v>7</v>
      </c>
      <c r="I39" s="7" t="s">
        <v>38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2</v>
      </c>
      <c r="AC39" s="8">
        <v>1800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0">
        <v>1800</v>
      </c>
      <c r="BN39" s="13">
        <f t="shared" si="3"/>
        <v>1800</v>
      </c>
      <c r="BO39" s="16">
        <f t="shared" si="4"/>
        <v>1260</v>
      </c>
    </row>
    <row r="40" spans="1:67" x14ac:dyDescent="0.4">
      <c r="A40" s="5" t="s">
        <v>93</v>
      </c>
      <c r="B40" s="5" t="s">
        <v>87</v>
      </c>
      <c r="C40" s="5">
        <v>239858</v>
      </c>
      <c r="D40" s="6"/>
      <c r="E40" s="5" t="s">
        <v>12</v>
      </c>
      <c r="F40" s="5" t="s">
        <v>13</v>
      </c>
      <c r="G40" s="5" t="s">
        <v>12</v>
      </c>
      <c r="H40" s="7" t="s">
        <v>7</v>
      </c>
      <c r="I40" s="7" t="s">
        <v>88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2</v>
      </c>
      <c r="AO40" s="8">
        <v>1800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1800</v>
      </c>
      <c r="BN40" s="13">
        <f t="shared" si="3"/>
        <v>1800</v>
      </c>
      <c r="BO40" s="16">
        <f t="shared" si="4"/>
        <v>1260</v>
      </c>
    </row>
    <row r="41" spans="1:67" x14ac:dyDescent="0.4">
      <c r="A41" s="5" t="s">
        <v>93</v>
      </c>
      <c r="B41" s="5" t="s">
        <v>27</v>
      </c>
      <c r="C41" s="5">
        <v>159268</v>
      </c>
      <c r="D41" s="6"/>
      <c r="E41" s="5" t="s">
        <v>12</v>
      </c>
      <c r="F41" s="5" t="s">
        <v>17</v>
      </c>
      <c r="G41" s="5" t="s">
        <v>12</v>
      </c>
      <c r="H41" s="7" t="s">
        <v>7</v>
      </c>
      <c r="I41" s="7" t="s">
        <v>28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2</v>
      </c>
      <c r="AC41" s="8">
        <v>1800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0">
        <v>1800</v>
      </c>
      <c r="BN41" s="13">
        <f t="shared" si="3"/>
        <v>1800</v>
      </c>
      <c r="BO41" s="16">
        <f t="shared" si="4"/>
        <v>1260</v>
      </c>
    </row>
    <row r="42" spans="1:67" ht="19.2" x14ac:dyDescent="0.4">
      <c r="A42" s="5" t="s">
        <v>93</v>
      </c>
      <c r="B42" s="5" t="s">
        <v>77</v>
      </c>
      <c r="C42" s="5">
        <v>408317</v>
      </c>
      <c r="D42" s="6"/>
      <c r="E42" s="5" t="s">
        <v>12</v>
      </c>
      <c r="F42" s="5" t="s">
        <v>37</v>
      </c>
      <c r="G42" s="5" t="s">
        <v>22</v>
      </c>
      <c r="H42" s="7" t="s">
        <v>8</v>
      </c>
      <c r="I42" s="7" t="s">
        <v>51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16</v>
      </c>
      <c r="AF42" s="8">
        <v>1600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1600</v>
      </c>
      <c r="BN42" s="13">
        <f t="shared" si="3"/>
        <v>1600</v>
      </c>
      <c r="BO42" s="16">
        <f t="shared" si="4"/>
        <v>1120</v>
      </c>
    </row>
    <row r="43" spans="1:67" x14ac:dyDescent="0.4">
      <c r="A43" s="5" t="s">
        <v>93</v>
      </c>
      <c r="B43" s="5" t="s">
        <v>83</v>
      </c>
      <c r="C43" s="5">
        <v>308470</v>
      </c>
      <c r="D43" s="6"/>
      <c r="E43" s="5" t="s">
        <v>12</v>
      </c>
      <c r="F43" s="5" t="s">
        <v>37</v>
      </c>
      <c r="G43" s="5" t="s">
        <v>12</v>
      </c>
      <c r="H43" s="7" t="s">
        <v>7</v>
      </c>
      <c r="I43" s="7" t="s">
        <v>84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12</v>
      </c>
      <c r="AF43" s="8">
        <v>1000</v>
      </c>
      <c r="AG43" s="7">
        <v>200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1200</v>
      </c>
      <c r="BN43" s="13">
        <f t="shared" si="3"/>
        <v>1200</v>
      </c>
      <c r="BO43" s="16">
        <f t="shared" si="4"/>
        <v>840</v>
      </c>
    </row>
    <row r="44" spans="1:67" x14ac:dyDescent="0.4">
      <c r="A44" s="5" t="s">
        <v>93</v>
      </c>
      <c r="B44" s="5" t="s">
        <v>39</v>
      </c>
      <c r="C44" s="5">
        <v>159483</v>
      </c>
      <c r="D44" s="6"/>
      <c r="E44" s="5" t="s">
        <v>12</v>
      </c>
      <c r="F44" s="5" t="s">
        <v>14</v>
      </c>
      <c r="G44" s="5" t="s">
        <v>12</v>
      </c>
      <c r="H44" s="7" t="s">
        <v>7</v>
      </c>
      <c r="I44" s="7" t="s">
        <v>40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1</v>
      </c>
      <c r="AC44" s="7">
        <v>900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1">
        <v>900</v>
      </c>
      <c r="BN44" s="13">
        <f t="shared" si="3"/>
        <v>900</v>
      </c>
      <c r="BO44" s="16">
        <f t="shared" si="4"/>
        <v>630</v>
      </c>
    </row>
    <row r="45" spans="1:67" ht="19.2" x14ac:dyDescent="0.4">
      <c r="A45" s="5" t="s">
        <v>93</v>
      </c>
      <c r="B45" s="5" t="s">
        <v>56</v>
      </c>
      <c r="C45" s="5">
        <v>413545</v>
      </c>
      <c r="D45" s="6"/>
      <c r="E45" s="5" t="s">
        <v>12</v>
      </c>
      <c r="F45" s="5" t="s">
        <v>17</v>
      </c>
      <c r="G45" s="5" t="s">
        <v>22</v>
      </c>
      <c r="H45" s="7" t="s">
        <v>8</v>
      </c>
      <c r="I45" s="7" t="s">
        <v>57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7">
        <v>100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1">
        <v>100</v>
      </c>
      <c r="BN45" s="13">
        <f t="shared" si="3"/>
        <v>100</v>
      </c>
      <c r="BO45" s="16">
        <f t="shared" si="4"/>
        <v>70</v>
      </c>
    </row>
    <row r="46" spans="1:67" x14ac:dyDescent="0.4">
      <c r="A46" s="5" t="s">
        <v>94</v>
      </c>
      <c r="B46" s="5" t="s">
        <v>15</v>
      </c>
      <c r="C46" s="5">
        <v>355332</v>
      </c>
      <c r="D46" s="6"/>
      <c r="E46" s="5" t="s">
        <v>12</v>
      </c>
      <c r="F46" s="5" t="s">
        <v>14</v>
      </c>
      <c r="G46" s="5" t="s">
        <v>12</v>
      </c>
      <c r="H46" s="7" t="s">
        <v>8</v>
      </c>
      <c r="I46" s="7" t="s">
        <v>78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26</v>
      </c>
      <c r="AF46" s="8">
        <v>2220</v>
      </c>
      <c r="AG46" s="7">
        <v>400</v>
      </c>
      <c r="AH46" s="7">
        <v>0</v>
      </c>
      <c r="AI46" s="7">
        <v>0</v>
      </c>
      <c r="AJ46" s="7">
        <v>0</v>
      </c>
      <c r="AK46" s="7">
        <v>2</v>
      </c>
      <c r="AL46" s="7">
        <v>120</v>
      </c>
      <c r="AM46" s="7">
        <v>100</v>
      </c>
      <c r="AN46" s="7">
        <v>0</v>
      </c>
      <c r="AO46" s="7">
        <v>0</v>
      </c>
      <c r="AP46" s="7">
        <v>0</v>
      </c>
      <c r="AQ46" s="7">
        <v>3</v>
      </c>
      <c r="AR46" s="7">
        <v>300</v>
      </c>
      <c r="AS46" s="7">
        <v>0</v>
      </c>
      <c r="AT46" s="7">
        <v>0</v>
      </c>
      <c r="AU46" s="7">
        <v>0</v>
      </c>
      <c r="AV46" s="7">
        <v>0</v>
      </c>
      <c r="AW46" s="7">
        <v>2</v>
      </c>
      <c r="AX46" s="7">
        <v>240</v>
      </c>
      <c r="AY46" s="7">
        <v>0</v>
      </c>
      <c r="AZ46" s="7">
        <v>0</v>
      </c>
      <c r="BA46" s="7">
        <v>0</v>
      </c>
      <c r="BB46" s="7">
        <v>0</v>
      </c>
      <c r="BC46" s="7">
        <v>2</v>
      </c>
      <c r="BD46" s="7">
        <v>240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74.400000000000006</v>
      </c>
      <c r="BM46" s="10">
        <v>3620</v>
      </c>
      <c r="BN46" s="13">
        <f t="shared" ref="BN46:BN53" si="5">BM46-BL46</f>
        <v>3545.6</v>
      </c>
      <c r="BO46" s="16">
        <f t="shared" ref="BO46:BO53" si="6">BN46*70%</f>
        <v>2481.9199999999996</v>
      </c>
    </row>
    <row r="47" spans="1:67" x14ac:dyDescent="0.4">
      <c r="A47" s="5" t="s">
        <v>94</v>
      </c>
      <c r="B47" s="5" t="s">
        <v>29</v>
      </c>
      <c r="C47" s="5">
        <v>159258</v>
      </c>
      <c r="D47" s="6"/>
      <c r="E47" s="5" t="s">
        <v>12</v>
      </c>
      <c r="F47" s="5" t="s">
        <v>17</v>
      </c>
      <c r="G47" s="5" t="s">
        <v>12</v>
      </c>
      <c r="H47" s="7" t="s">
        <v>7</v>
      </c>
      <c r="I47" s="7" t="s">
        <v>28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</v>
      </c>
      <c r="AF47" s="8">
        <v>2700</v>
      </c>
      <c r="AG47" s="7">
        <v>500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3200</v>
      </c>
      <c r="BN47" s="13">
        <f t="shared" si="5"/>
        <v>3200</v>
      </c>
      <c r="BO47" s="16">
        <f t="shared" si="6"/>
        <v>2240</v>
      </c>
    </row>
    <row r="48" spans="1:67" ht="19.2" x14ac:dyDescent="0.4">
      <c r="A48" s="5" t="s">
        <v>94</v>
      </c>
      <c r="B48" s="5" t="s">
        <v>91</v>
      </c>
      <c r="C48" s="5">
        <v>406368</v>
      </c>
      <c r="D48" s="6"/>
      <c r="E48" s="5" t="s">
        <v>12</v>
      </c>
      <c r="F48" s="5" t="s">
        <v>31</v>
      </c>
      <c r="G48" s="5" t="s">
        <v>22</v>
      </c>
      <c r="H48" s="7" t="s">
        <v>7</v>
      </c>
      <c r="I48" s="7" t="s">
        <v>59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</v>
      </c>
      <c r="AF48" s="8">
        <v>2700</v>
      </c>
      <c r="AG48" s="7">
        <v>500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3200</v>
      </c>
      <c r="BN48" s="13">
        <f t="shared" si="5"/>
        <v>3200</v>
      </c>
      <c r="BO48" s="16">
        <f t="shared" si="6"/>
        <v>2240</v>
      </c>
    </row>
    <row r="49" spans="1:67" x14ac:dyDescent="0.4">
      <c r="A49" s="5" t="s">
        <v>94</v>
      </c>
      <c r="B49" s="5" t="s">
        <v>16</v>
      </c>
      <c r="C49" s="5">
        <v>159260</v>
      </c>
      <c r="D49" s="6"/>
      <c r="E49" s="5" t="s">
        <v>12</v>
      </c>
      <c r="F49" s="5" t="s">
        <v>17</v>
      </c>
      <c r="G49" s="5" t="s">
        <v>12</v>
      </c>
      <c r="H49" s="7" t="s">
        <v>7</v>
      </c>
      <c r="I49" s="7" t="s">
        <v>18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1</v>
      </c>
      <c r="AU49" s="8">
        <v>1080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108</v>
      </c>
      <c r="BM49" s="10">
        <v>1080</v>
      </c>
      <c r="BN49" s="13">
        <f t="shared" si="5"/>
        <v>972</v>
      </c>
      <c r="BO49" s="16">
        <f t="shared" si="6"/>
        <v>680.4</v>
      </c>
    </row>
    <row r="50" spans="1:67" x14ac:dyDescent="0.4">
      <c r="A50" s="5" t="s">
        <v>94</v>
      </c>
      <c r="B50" s="5" t="s">
        <v>33</v>
      </c>
      <c r="C50" s="5">
        <v>159255</v>
      </c>
      <c r="D50" s="6"/>
      <c r="E50" s="5" t="s">
        <v>12</v>
      </c>
      <c r="F50" s="5" t="s">
        <v>17</v>
      </c>
      <c r="G50" s="5" t="s">
        <v>12</v>
      </c>
      <c r="H50" s="7" t="s">
        <v>8</v>
      </c>
      <c r="I50" s="7" t="s">
        <v>34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1</v>
      </c>
      <c r="AI50" s="8">
        <v>1080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324</v>
      </c>
      <c r="BM50" s="10">
        <v>1080</v>
      </c>
      <c r="BN50" s="13">
        <f t="shared" si="5"/>
        <v>756</v>
      </c>
      <c r="BO50" s="16">
        <f t="shared" si="6"/>
        <v>529.19999999999993</v>
      </c>
    </row>
    <row r="51" spans="1:67" x14ac:dyDescent="0.4">
      <c r="A51" s="5" t="s">
        <v>94</v>
      </c>
      <c r="B51" s="5" t="s">
        <v>27</v>
      </c>
      <c r="C51" s="5">
        <v>159268</v>
      </c>
      <c r="D51" s="6"/>
      <c r="E51" s="5" t="s">
        <v>12</v>
      </c>
      <c r="F51" s="5" t="s">
        <v>17</v>
      </c>
      <c r="G51" s="5" t="s">
        <v>12</v>
      </c>
      <c r="H51" s="7" t="s">
        <v>7</v>
      </c>
      <c r="I51" s="7" t="s">
        <v>28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7">
        <v>0</v>
      </c>
      <c r="AD51" s="7">
        <v>900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1">
        <v>900</v>
      </c>
      <c r="BN51" s="13">
        <f t="shared" si="5"/>
        <v>900</v>
      </c>
      <c r="BO51" s="16">
        <f t="shared" si="6"/>
        <v>630</v>
      </c>
    </row>
    <row r="52" spans="1:67" x14ac:dyDescent="0.4">
      <c r="A52" s="5" t="s">
        <v>94</v>
      </c>
      <c r="B52" s="5" t="s">
        <v>41</v>
      </c>
      <c r="C52" s="5">
        <v>194565</v>
      </c>
      <c r="D52" s="6"/>
      <c r="E52" s="5" t="s">
        <v>12</v>
      </c>
      <c r="F52" s="5" t="s">
        <v>17</v>
      </c>
      <c r="G52" s="5" t="s">
        <v>12</v>
      </c>
      <c r="H52" s="7" t="s">
        <v>7</v>
      </c>
      <c r="I52" s="7" t="s">
        <v>42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2</v>
      </c>
      <c r="AF52" s="7">
        <v>0</v>
      </c>
      <c r="AG52" s="7">
        <v>200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1">
        <v>200</v>
      </c>
      <c r="BN52" s="13">
        <f t="shared" si="5"/>
        <v>200</v>
      </c>
      <c r="BO52" s="16">
        <f t="shared" si="6"/>
        <v>140</v>
      </c>
    </row>
    <row r="53" spans="1:67" x14ac:dyDescent="0.4">
      <c r="A53" s="5" t="s">
        <v>94</v>
      </c>
      <c r="B53" s="5" t="s">
        <v>25</v>
      </c>
      <c r="C53" s="5">
        <v>418829</v>
      </c>
      <c r="D53" s="6"/>
      <c r="E53" s="5" t="s">
        <v>12</v>
      </c>
      <c r="F53" s="5" t="s">
        <v>17</v>
      </c>
      <c r="G53" s="5" t="s">
        <v>12</v>
      </c>
      <c r="H53" s="7" t="s">
        <v>7</v>
      </c>
      <c r="I53" s="7" t="s">
        <v>26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</v>
      </c>
      <c r="AF53" s="7">
        <v>100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1">
        <v>100</v>
      </c>
      <c r="BN53" s="13">
        <f t="shared" si="5"/>
        <v>100</v>
      </c>
      <c r="BO53" s="16">
        <f t="shared" si="6"/>
        <v>70</v>
      </c>
    </row>
    <row r="54" spans="1:67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8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18">
        <f t="shared" ref="BL54:BO54" si="7">SUM(BL2:BL53)</f>
        <v>7828.8000000000011</v>
      </c>
      <c r="BM54" s="10">
        <f>SUM(BM2:BM53)</f>
        <v>422420</v>
      </c>
      <c r="BN54" s="15">
        <f t="shared" si="7"/>
        <v>414591.2</v>
      </c>
      <c r="BO54" s="14">
        <f t="shared" si="7"/>
        <v>290213.84000000003</v>
      </c>
    </row>
    <row r="55" spans="1:67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8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  <c r="BN55" s="15"/>
      <c r="BO55" s="16"/>
    </row>
    <row r="56" spans="1:67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  <c r="BN56" s="15"/>
      <c r="BO56" s="16"/>
    </row>
    <row r="57" spans="1:67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8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  <c r="BN57" s="15"/>
      <c r="BO57" s="16"/>
    </row>
    <row r="58" spans="1:67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  <c r="BN58" s="15"/>
      <c r="BO58" s="16"/>
    </row>
    <row r="59" spans="1:67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  <c r="BN59" s="15"/>
      <c r="BO59" s="16"/>
    </row>
    <row r="60" spans="1:67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8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  <c r="BN60" s="15"/>
      <c r="BO60" s="16"/>
    </row>
    <row r="61" spans="1:67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  <c r="BN61" s="15"/>
      <c r="BO61" s="16"/>
    </row>
    <row r="62" spans="1:67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8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  <c r="BN62" s="15"/>
      <c r="BO62" s="16"/>
    </row>
    <row r="63" spans="1:67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8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  <c r="BN63" s="15"/>
      <c r="BO63" s="16"/>
    </row>
    <row r="64" spans="1:67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  <c r="BN64" s="15"/>
      <c r="BO64" s="16"/>
    </row>
    <row r="65" spans="1:67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  <c r="BN65" s="15"/>
      <c r="BO65" s="16"/>
    </row>
    <row r="66" spans="1:67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8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  <c r="BN66" s="15"/>
      <c r="BO66" s="16"/>
    </row>
    <row r="67" spans="1:67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  <c r="BN67" s="15"/>
      <c r="BO67" s="16"/>
    </row>
    <row r="68" spans="1:67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  <c r="BN68" s="15"/>
      <c r="BO68" s="16"/>
    </row>
    <row r="69" spans="1:67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8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  <c r="BN69" s="15"/>
      <c r="BO69" s="16"/>
    </row>
    <row r="70" spans="1:67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8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  <c r="BN70" s="15"/>
      <c r="BO70" s="16"/>
    </row>
    <row r="71" spans="1:67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8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  <c r="BN71" s="15"/>
      <c r="BO71" s="16"/>
    </row>
    <row r="72" spans="1:67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  <c r="BN72" s="15"/>
      <c r="BO72" s="16"/>
    </row>
    <row r="73" spans="1:67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1"/>
      <c r="BN73" s="15"/>
      <c r="BO73" s="16"/>
    </row>
    <row r="74" spans="1:67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1"/>
      <c r="BN74" s="15"/>
      <c r="BO74" s="16"/>
    </row>
    <row r="75" spans="1:67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1"/>
      <c r="BN75" s="15"/>
      <c r="BO75" s="16"/>
    </row>
    <row r="76" spans="1:67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1"/>
      <c r="BN76" s="15"/>
      <c r="BO76" s="16"/>
    </row>
    <row r="77" spans="1:67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1"/>
      <c r="BN77" s="15"/>
      <c r="BO77" s="16"/>
    </row>
    <row r="78" spans="1:67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7"/>
      <c r="V78" s="7"/>
      <c r="W78" s="7"/>
      <c r="X78" s="7"/>
      <c r="Y78" s="7"/>
      <c r="Z78" s="7"/>
      <c r="AA78" s="7"/>
      <c r="AB78" s="7"/>
      <c r="AC78" s="7"/>
      <c r="AD78" s="7"/>
      <c r="AE78" s="8"/>
      <c r="AF78" s="8"/>
      <c r="AG78" s="8"/>
      <c r="AH78" s="7"/>
      <c r="AI78" s="7"/>
      <c r="AJ78" s="7"/>
      <c r="AK78" s="8"/>
      <c r="AL78" s="8"/>
      <c r="AM78" s="8"/>
      <c r="AN78" s="7"/>
      <c r="AO78" s="7"/>
      <c r="AP78" s="7"/>
      <c r="AQ78" s="8"/>
      <c r="AR78" s="8"/>
      <c r="AS78" s="8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9"/>
      <c r="BM78" s="10"/>
      <c r="BN78" s="15"/>
      <c r="BO78" s="16"/>
    </row>
    <row r="79" spans="1:67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8"/>
      <c r="AD79" s="8"/>
      <c r="AE79" s="7"/>
      <c r="AF79" s="8"/>
      <c r="AG79" s="8"/>
      <c r="AH79" s="7"/>
      <c r="AI79" s="8"/>
      <c r="AJ79" s="8"/>
      <c r="AK79" s="7"/>
      <c r="AL79" s="8"/>
      <c r="AM79" s="8"/>
      <c r="AN79" s="7"/>
      <c r="AO79" s="8"/>
      <c r="AP79" s="7"/>
      <c r="AQ79" s="7"/>
      <c r="AR79" s="8"/>
      <c r="AS79" s="8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9"/>
      <c r="BM79" s="10"/>
      <c r="BN79" s="15"/>
      <c r="BO79" s="16"/>
    </row>
    <row r="80" spans="1:67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8"/>
      <c r="AD80" s="7"/>
      <c r="AE80" s="7"/>
      <c r="AF80" s="8"/>
      <c r="AG80" s="7"/>
      <c r="AH80" s="7"/>
      <c r="AI80" s="8"/>
      <c r="AJ80" s="7"/>
      <c r="AK80" s="7"/>
      <c r="AL80" s="7"/>
      <c r="AM80" s="8"/>
      <c r="AN80" s="7"/>
      <c r="AO80" s="8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9"/>
      <c r="BM80" s="10"/>
      <c r="BN80" s="15"/>
      <c r="BO80" s="16"/>
    </row>
    <row r="81" spans="1:67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8"/>
      <c r="AD81" s="7"/>
      <c r="AE81" s="7"/>
      <c r="AF81" s="7"/>
      <c r="AG81" s="8"/>
      <c r="AH81" s="7"/>
      <c r="AI81" s="8"/>
      <c r="AJ81" s="7"/>
      <c r="AK81" s="7"/>
      <c r="AL81" s="8"/>
      <c r="AM81" s="7"/>
      <c r="AN81" s="7"/>
      <c r="AO81" s="8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9"/>
      <c r="BM81" s="10"/>
      <c r="BN81" s="15"/>
      <c r="BO81" s="16"/>
    </row>
    <row r="82" spans="1:67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8"/>
      <c r="AD82" s="7"/>
      <c r="AE82" s="7"/>
      <c r="AF82" s="7"/>
      <c r="AG82" s="8"/>
      <c r="AH82" s="7"/>
      <c r="AI82" s="8"/>
      <c r="AJ82" s="7"/>
      <c r="AK82" s="7"/>
      <c r="AL82" s="8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9"/>
      <c r="BM82" s="10"/>
      <c r="BN82" s="15"/>
      <c r="BO82" s="16"/>
    </row>
    <row r="83" spans="1:67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8"/>
      <c r="AJ83" s="7"/>
      <c r="AK83" s="7"/>
      <c r="AL83" s="7"/>
      <c r="AM83" s="8"/>
      <c r="AN83" s="7"/>
      <c r="AO83" s="8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9"/>
      <c r="BM83" s="10"/>
      <c r="BN83" s="15"/>
      <c r="BO83" s="16"/>
    </row>
    <row r="84" spans="1:67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8"/>
      <c r="AD84" s="7"/>
      <c r="AE84" s="7"/>
      <c r="AF84" s="8"/>
      <c r="AG84" s="7"/>
      <c r="AH84" s="7"/>
      <c r="AI84" s="8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9"/>
      <c r="BM84" s="10"/>
      <c r="BN84" s="15"/>
      <c r="BO84" s="16"/>
    </row>
    <row r="85" spans="1:67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8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9"/>
      <c r="BM85" s="10"/>
      <c r="BN85" s="15"/>
      <c r="BO85" s="16"/>
    </row>
    <row r="86" spans="1:67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8"/>
      <c r="AD86" s="8"/>
      <c r="AE86" s="7"/>
      <c r="AF86" s="7"/>
      <c r="AG86" s="7"/>
      <c r="AH86" s="7"/>
      <c r="AI86" s="8"/>
      <c r="AJ86" s="8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9"/>
      <c r="BM86" s="10"/>
      <c r="BN86" s="15"/>
      <c r="BO86" s="16"/>
    </row>
    <row r="87" spans="1:67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8"/>
      <c r="AD87" s="7"/>
      <c r="AE87" s="7"/>
      <c r="AF87" s="8"/>
      <c r="AG87" s="7"/>
      <c r="AH87" s="7"/>
      <c r="AI87" s="8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9"/>
      <c r="BM87" s="10"/>
      <c r="BN87" s="15"/>
      <c r="BO87" s="16"/>
    </row>
    <row r="88" spans="1:67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  <c r="BN88" s="15"/>
      <c r="BO88" s="16"/>
    </row>
    <row r="89" spans="1:67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8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  <c r="BN89" s="15"/>
      <c r="BO89" s="16"/>
    </row>
    <row r="90" spans="1:67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8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9"/>
      <c r="BM90" s="10"/>
      <c r="BN90" s="15"/>
      <c r="BO90" s="16"/>
    </row>
    <row r="91" spans="1:67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8"/>
      <c r="AH91" s="7"/>
      <c r="AI91" s="7"/>
      <c r="AJ91" s="7"/>
      <c r="AK91" s="7"/>
      <c r="AL91" s="8"/>
      <c r="AM91" s="8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9"/>
      <c r="BM91" s="10"/>
      <c r="BN91" s="15"/>
      <c r="BO91" s="16"/>
    </row>
    <row r="92" spans="1:67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8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9"/>
      <c r="BM92" s="10"/>
      <c r="BN92" s="15"/>
      <c r="BO92" s="16"/>
    </row>
    <row r="93" spans="1:67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8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9"/>
      <c r="BM93" s="10"/>
      <c r="BN93" s="15"/>
      <c r="BO93" s="16"/>
    </row>
    <row r="94" spans="1:67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8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  <c r="BN94" s="15"/>
      <c r="BO94" s="16"/>
    </row>
    <row r="95" spans="1:67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8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9"/>
      <c r="BM95" s="10"/>
      <c r="BN95" s="15"/>
      <c r="BO95" s="16"/>
    </row>
    <row r="96" spans="1:67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8"/>
      <c r="AD96" s="7"/>
      <c r="AE96" s="7"/>
      <c r="AF96" s="7"/>
      <c r="AG96" s="7"/>
      <c r="AH96" s="7"/>
      <c r="AI96" s="8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  <c r="BN96" s="15"/>
      <c r="BO96" s="16"/>
    </row>
    <row r="97" spans="1:67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8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8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  <c r="BN97" s="15"/>
      <c r="BO97" s="16"/>
    </row>
    <row r="98" spans="1:67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8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  <c r="BN98" s="15"/>
      <c r="BO98" s="16"/>
    </row>
    <row r="99" spans="1:67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8"/>
      <c r="AD99" s="7"/>
      <c r="AE99" s="7"/>
      <c r="AF99" s="7"/>
      <c r="AG99" s="7"/>
      <c r="AH99" s="7"/>
      <c r="AI99" s="8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  <c r="BN99" s="15"/>
      <c r="BO99" s="16"/>
    </row>
    <row r="100" spans="1:67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8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  <c r="BN100" s="15"/>
      <c r="BO100" s="16"/>
    </row>
    <row r="101" spans="1:67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8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  <c r="BN101" s="15"/>
      <c r="BO101" s="16"/>
    </row>
    <row r="102" spans="1:67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8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  <c r="BN102" s="15"/>
      <c r="BO102" s="16"/>
    </row>
    <row r="103" spans="1:67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  <c r="BN103" s="15"/>
      <c r="BO103" s="16"/>
    </row>
    <row r="104" spans="1:67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8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  <c r="BN104" s="15"/>
      <c r="BO104" s="16"/>
    </row>
    <row r="105" spans="1:67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8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  <c r="BN105" s="15"/>
      <c r="BO105" s="16"/>
    </row>
    <row r="106" spans="1:67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8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  <c r="BN106" s="15"/>
      <c r="BO106" s="16"/>
    </row>
    <row r="107" spans="1:67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8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  <c r="BN107" s="15"/>
      <c r="BO107" s="16"/>
    </row>
    <row r="108" spans="1:67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8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  <c r="BN108" s="15"/>
      <c r="BO108" s="16"/>
    </row>
    <row r="109" spans="1:67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8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  <c r="BN109" s="15"/>
      <c r="BO109" s="16"/>
    </row>
    <row r="110" spans="1:67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8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  <c r="BN110" s="15"/>
      <c r="BO110" s="16"/>
    </row>
    <row r="111" spans="1:67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1"/>
      <c r="BN111" s="15"/>
      <c r="BO111" s="16"/>
    </row>
    <row r="112" spans="1:67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1"/>
      <c r="BN112" s="15"/>
      <c r="BO112" s="16"/>
    </row>
    <row r="113" spans="1:67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1"/>
      <c r="BN113" s="15"/>
      <c r="BO113" s="16"/>
    </row>
    <row r="114" spans="1:67" x14ac:dyDescent="0.4">
      <c r="BL114" s="14">
        <f>SUM(BL2:BL113)</f>
        <v>15657.600000000002</v>
      </c>
      <c r="BM114" s="14">
        <f>SUM(BM2:BM113)</f>
        <v>844840</v>
      </c>
      <c r="BN114" s="14">
        <f>SUM(BN2:BN113)</f>
        <v>829182.4</v>
      </c>
      <c r="BO114" s="14">
        <f>SUM(BO2:BO113)</f>
        <v>580427.68000000005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2022-07-05T05:42:02Z</dcterms:modified>
</cp:coreProperties>
</file>