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4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M120" i="414" l="1"/>
  <c r="BL120" i="414"/>
  <c r="BN88" i="414"/>
  <c r="BO88" i="414" s="1"/>
  <c r="BN89" i="414"/>
  <c r="BO89" i="414" s="1"/>
  <c r="BN90" i="414"/>
  <c r="BO90" i="414" s="1"/>
  <c r="BN91" i="414"/>
  <c r="BO91" i="414" s="1"/>
  <c r="BN92" i="414"/>
  <c r="BO92" i="414" s="1"/>
  <c r="BN93" i="414"/>
  <c r="BO93" i="414" s="1"/>
  <c r="BN94" i="414"/>
  <c r="BO94" i="414" s="1"/>
  <c r="BN95" i="414"/>
  <c r="BO95" i="414" s="1"/>
  <c r="BN96" i="414"/>
  <c r="BO96" i="414" s="1"/>
  <c r="BN97" i="414"/>
  <c r="BO97" i="414" s="1"/>
  <c r="BN98" i="414"/>
  <c r="BO98" i="414" s="1"/>
  <c r="BN99" i="414"/>
  <c r="BO99" i="414" s="1"/>
  <c r="BN100" i="414"/>
  <c r="BO100" i="414" s="1"/>
  <c r="BN101" i="414"/>
  <c r="BO101" i="414" s="1"/>
  <c r="BN102" i="414"/>
  <c r="BO102" i="414" s="1"/>
  <c r="BN103" i="414"/>
  <c r="BO103" i="414"/>
  <c r="BN104" i="414"/>
  <c r="BO104" i="414" s="1"/>
  <c r="BN105" i="414"/>
  <c r="BO105" i="414" s="1"/>
  <c r="BN106" i="414"/>
  <c r="BO106" i="414" s="1"/>
  <c r="BN107" i="414"/>
  <c r="BO107" i="414" s="1"/>
  <c r="BN108" i="414"/>
  <c r="BO108" i="414" s="1"/>
  <c r="BN109" i="414"/>
  <c r="BO109" i="414" s="1"/>
  <c r="BN110" i="414"/>
  <c r="BO110" i="414" s="1"/>
  <c r="BN111" i="414"/>
  <c r="BO111" i="414" s="1"/>
  <c r="BN112" i="414"/>
  <c r="BO112" i="414" s="1"/>
  <c r="BN113" i="414"/>
  <c r="BO113" i="414" s="1"/>
  <c r="BN114" i="414"/>
  <c r="BO114" i="414" s="1"/>
  <c r="BN115" i="414"/>
  <c r="BO115" i="414"/>
  <c r="BN116" i="414"/>
  <c r="BO116" i="414" s="1"/>
  <c r="BN117" i="414"/>
  <c r="BO117" i="414" s="1"/>
  <c r="BN118" i="414"/>
  <c r="BO118" i="414" s="1"/>
  <c r="BN119" i="414"/>
  <c r="BO119" i="414" s="1"/>
  <c r="BN2" i="414"/>
  <c r="BO2" i="414" s="1"/>
  <c r="BN3" i="414"/>
  <c r="BO3" i="414" s="1"/>
  <c r="BN4" i="414"/>
  <c r="BO4" i="414"/>
  <c r="BN5" i="414"/>
  <c r="BO5" i="414"/>
  <c r="BN6" i="414"/>
  <c r="BO6" i="414" s="1"/>
  <c r="BN7" i="414"/>
  <c r="BO7" i="414" s="1"/>
  <c r="BN8" i="414"/>
  <c r="BO8" i="414" s="1"/>
  <c r="BN9" i="414"/>
  <c r="BO9" i="414" s="1"/>
  <c r="BN10" i="414"/>
  <c r="BO10" i="414" s="1"/>
  <c r="BN11" i="414"/>
  <c r="BO11" i="414" s="1"/>
  <c r="BN12" i="414"/>
  <c r="BO12" i="414" s="1"/>
  <c r="BN13" i="414"/>
  <c r="BO13" i="414" s="1"/>
  <c r="BN14" i="414"/>
  <c r="BO14" i="414" s="1"/>
  <c r="BN15" i="414"/>
  <c r="BO15" i="414" s="1"/>
  <c r="BN16" i="414"/>
  <c r="BO16" i="414"/>
  <c r="BN17" i="414"/>
  <c r="BO17" i="414" s="1"/>
  <c r="BN18" i="414"/>
  <c r="BO18" i="414" s="1"/>
  <c r="BN19" i="414"/>
  <c r="BO19" i="414" s="1"/>
  <c r="BN20" i="414"/>
  <c r="BO20" i="414" s="1"/>
  <c r="BN21" i="414"/>
  <c r="BO21" i="414" s="1"/>
  <c r="BN22" i="414"/>
  <c r="BO22" i="414" s="1"/>
  <c r="BN23" i="414"/>
  <c r="BO23" i="414" s="1"/>
  <c r="BN24" i="414"/>
  <c r="BO24" i="414" s="1"/>
  <c r="BN25" i="414"/>
  <c r="BO25" i="414"/>
  <c r="BN26" i="414"/>
  <c r="BO26" i="414" s="1"/>
  <c r="BN27" i="414"/>
  <c r="BO27" i="414" s="1"/>
  <c r="BN28" i="414"/>
  <c r="BO28" i="414"/>
  <c r="BN29" i="414"/>
  <c r="BO29" i="414" s="1"/>
  <c r="BN30" i="414"/>
  <c r="BO30" i="414" s="1"/>
  <c r="BN31" i="414"/>
  <c r="BO31" i="414" s="1"/>
  <c r="BN32" i="414"/>
  <c r="BO32" i="414" s="1"/>
  <c r="BN33" i="414"/>
  <c r="BO33" i="414" s="1"/>
  <c r="BN34" i="414"/>
  <c r="BO34" i="414" s="1"/>
  <c r="BN35" i="414"/>
  <c r="BO35" i="414" s="1"/>
  <c r="BN36" i="414"/>
  <c r="BO36" i="414"/>
  <c r="BN37" i="414"/>
  <c r="BO37" i="414" s="1"/>
  <c r="BN38" i="414"/>
  <c r="BO38" i="414" s="1"/>
  <c r="BN39" i="414"/>
  <c r="BO39" i="414" s="1"/>
  <c r="BN40" i="414"/>
  <c r="BO40" i="414" s="1"/>
  <c r="BN41" i="414"/>
  <c r="BO41" i="414" s="1"/>
  <c r="BN42" i="414"/>
  <c r="BO42" i="414" s="1"/>
  <c r="BN43" i="414"/>
  <c r="BO43" i="414" s="1"/>
  <c r="BN44" i="414"/>
  <c r="BO44" i="414" s="1"/>
  <c r="BN45" i="414"/>
  <c r="BO45" i="414"/>
  <c r="BN46" i="414"/>
  <c r="BO46" i="414" s="1"/>
  <c r="BN47" i="414"/>
  <c r="BO47" i="414" s="1"/>
  <c r="BN48" i="414"/>
  <c r="BO48" i="414" s="1"/>
  <c r="BN49" i="414"/>
  <c r="BO49" i="414" s="1"/>
  <c r="BN50" i="414"/>
  <c r="BO50" i="414" s="1"/>
  <c r="BN51" i="414"/>
  <c r="BO51" i="414" s="1"/>
  <c r="BN52" i="414"/>
  <c r="BO52" i="414" s="1"/>
  <c r="BN53" i="414"/>
  <c r="BO53" i="414" s="1"/>
  <c r="BN54" i="414"/>
  <c r="BO54" i="414" s="1"/>
  <c r="BN55" i="414"/>
  <c r="BO55" i="414"/>
  <c r="BN56" i="414"/>
  <c r="BO56" i="414" s="1"/>
  <c r="BN57" i="414"/>
  <c r="BO57" i="414"/>
  <c r="BN58" i="414"/>
  <c r="BO58" i="414" s="1"/>
  <c r="BN59" i="414"/>
  <c r="BO59" i="414" s="1"/>
  <c r="BN60" i="414"/>
  <c r="BO60" i="414"/>
  <c r="BN61" i="414"/>
  <c r="BO61" i="414" s="1"/>
  <c r="BN62" i="414"/>
  <c r="BO62" i="414" s="1"/>
  <c r="BN63" i="414"/>
  <c r="BO63" i="414" s="1"/>
  <c r="BN64" i="414"/>
  <c r="BO64" i="414" s="1"/>
  <c r="BN65" i="414"/>
  <c r="BO65" i="414" s="1"/>
  <c r="BN66" i="414"/>
  <c r="BO66" i="414" s="1"/>
  <c r="BN67" i="414"/>
  <c r="BO67" i="414" s="1"/>
  <c r="BN68" i="414"/>
  <c r="BO68" i="414" s="1"/>
  <c r="BN69" i="414"/>
  <c r="BO69" i="414" s="1"/>
  <c r="BN70" i="414"/>
  <c r="BO70" i="414" s="1"/>
  <c r="BN71" i="414"/>
  <c r="BO71" i="414" s="1"/>
  <c r="BN72" i="414"/>
  <c r="BO72" i="414" s="1"/>
  <c r="BN73" i="414"/>
  <c r="BO73" i="414" s="1"/>
  <c r="BN74" i="414"/>
  <c r="BO74" i="414" s="1"/>
  <c r="BN75" i="414"/>
  <c r="BO75" i="414" s="1"/>
  <c r="BN76" i="414"/>
  <c r="BO76" i="414" s="1"/>
  <c r="BN77" i="414"/>
  <c r="BO77" i="414" s="1"/>
  <c r="BN78" i="414"/>
  <c r="BO78" i="414" s="1"/>
  <c r="BN79" i="414"/>
  <c r="BO79" i="414" s="1"/>
  <c r="BN80" i="414"/>
  <c r="BO80" i="414" s="1"/>
  <c r="BN81" i="414"/>
  <c r="BO81" i="414"/>
  <c r="BN82" i="414"/>
  <c r="BO82" i="414" s="1"/>
  <c r="BN83" i="414"/>
  <c r="BO83" i="414" s="1"/>
  <c r="BN84" i="414"/>
  <c r="BO84" i="414" s="1"/>
  <c r="BN85" i="414"/>
  <c r="BO85" i="414" s="1"/>
  <c r="BN86" i="414"/>
  <c r="BO86" i="414" s="1"/>
  <c r="BN87" i="414"/>
  <c r="BO87" i="414" s="1"/>
  <c r="BO120" i="414" l="1"/>
  <c r="BN120" i="414"/>
</calcChain>
</file>

<file path=xl/sharedStrings.xml><?xml version="1.0" encoding="utf-8"?>
<sst xmlns="http://schemas.openxmlformats.org/spreadsheetml/2006/main" count="893" uniqueCount="152">
  <si>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</si>
  <si>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</si>
  <si>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</si>
  <si>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</si>
  <si>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</si>
  <si>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</si>
  <si>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</si>
  <si>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</si>
  <si>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</si>
  <si>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</si>
  <si>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</si>
  <si>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</si>
  <si>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</si>
  <si>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</si>
  <si>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</si>
  <si>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</si>
  <si>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</si>
  <si>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</si>
  <si>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</si>
  <si>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</si>
  <si>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</si>
  <si>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</si>
  <si>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</si>
  <si>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</si>
  <si>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</si>
  <si>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</si>
  <si>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</si>
  <si>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</si>
  <si>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</si>
  <si>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</si>
  <si>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</si>
  <si>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</si>
  <si>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</si>
  <si>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</si>
  <si>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</si>
  <si>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</si>
  <si>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</si>
  <si>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</si>
  <si>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</si>
  <si>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</si>
  <si>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</si>
  <si>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</si>
  <si>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</si>
  <si>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</si>
  <si>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</si>
  <si>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</si>
  <si>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</si>
  <si>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</si>
  <si>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</si>
  <si>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</si>
  <si>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</si>
  <si>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</si>
  <si>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</si>
  <si>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</si>
  <si>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</si>
  <si>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</si>
  <si>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</si>
  <si>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</si>
  <si>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두경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</si>
  <si>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</si>
  <si>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</si>
  <si>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</si>
  <si>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</si>
  <si>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</si>
  <si>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</si>
  <si>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</si>
  <si>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</si>
  <si>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</si>
  <si>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</si>
  <si>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</si>
  <si>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</si>
  <si>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</si>
  <si>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</si>
  <si>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</si>
  <si>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</si>
  <si>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</si>
  <si>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</si>
  <si>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</si>
  <si>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</si>
  <si>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</si>
  <si>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</si>
  <si>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</si>
  <si>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</si>
  <si>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</si>
  <si>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</si>
  <si>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</si>
  <si>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</si>
  <si>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</si>
  <si>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</si>
  <si>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</si>
  <si>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시리즈APP</t>
    <phoneticPr fontId="20" type="noConversion"/>
  </si>
  <si>
    <t>완전판APP</t>
  </si>
  <si>
    <t>시리즈IOS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</si>
  <si>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</si>
  <si>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</si>
  <si>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</si>
  <si>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</si>
  <si>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</si>
  <si>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</si>
  <si>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</si>
  <si>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</si>
  <si>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</si>
  <si>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</si>
  <si>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</si>
  <si>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</si>
  <si>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</si>
  <si>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</si>
  <si>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</si>
  <si>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</si>
  <si>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천조를 가진 남자</t>
  </si>
  <si>
    <t>2017.11.15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</si>
  <si>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</si>
  <si>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</si>
  <si>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</si>
  <si>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</si>
  <si>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</si>
  <si>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</si>
  <si>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</si>
  <si>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</si>
  <si>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</si>
  <si>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</si>
  <si>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</si>
  <si>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</si>
  <si>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게이트 헌터 [완전판] [단행본]</t>
  </si>
  <si>
    <t>2017.04.26</t>
  </si>
  <si>
    <t>바람의 기사, 아르테온 [단행본]</t>
  </si>
  <si>
    <t>2014.11.27</t>
  </si>
  <si>
    <t>영웅[개정판]</t>
  </si>
  <si>
    <t>2016.04.13</t>
  </si>
  <si>
    <t>칼 [단행본]</t>
  </si>
  <si>
    <t>용중신권 [단행본]</t>
  </si>
  <si>
    <t>신마협도</t>
  </si>
  <si>
    <t>2020.08.12</t>
  </si>
  <si>
    <t>소드마스터의 환생 [단행본]</t>
  </si>
  <si>
    <t>신을 죽이러 갑니다</t>
  </si>
  <si>
    <t>2018.08.24</t>
  </si>
  <si>
    <t>레이드 만물상점</t>
  </si>
  <si>
    <t>2016.01.22</t>
  </si>
  <si>
    <t>마신부활 [독점]</t>
  </si>
  <si>
    <t>만렙도끼</t>
  </si>
  <si>
    <t>2021.02.20</t>
  </si>
  <si>
    <t>신규무사</t>
  </si>
  <si>
    <t>2018.11.06</t>
  </si>
  <si>
    <t>절대비만</t>
  </si>
  <si>
    <t>게이트 헌터</t>
  </si>
  <si>
    <t>2016.12.25</t>
  </si>
  <si>
    <t>용중신권</t>
  </si>
  <si>
    <t>2020.09.11</t>
  </si>
  <si>
    <t>신룡전설 [단행본]</t>
  </si>
  <si>
    <t>가람검</t>
  </si>
  <si>
    <t>2016.03.02</t>
  </si>
  <si>
    <t>독종무쌍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</si>
</sst>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rgb="FFFF000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3" fontId="22" fillId="0" borderId="0" xfId="0" applyNumberFormat="1" applyFont="1">
      <alignment vertical="center"/>
    </xf>
    <xf numFmtId="43" fontId="14" fillId="0" borderId="0" xfId="42" applyNumberFormat="1" applyFont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2"/>
  <sheetViews>
    <sheetView tabSelected="1" zoomScaleNormal="100" workbookViewId="0">
      <pane xSplit="9" ySplit="1" topLeftCell="BH101" activePane="bottomRight" state="frozen"/>
      <selection pane="topRight" activeCell="J1" sqref="J1"/>
      <selection pane="bottomLeft" activeCell="A2" sqref="A2"/>
      <selection pane="bottomRight" activeCell="G130" sqref="G130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7.6992187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11.19921875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89</v>
      </c>
      <c r="I1" s="15" t="s">
        <v>6</v>
      </c>
      <c r="J1" s="12" t="s">
        <v>63</v>
      </c>
      <c r="K1" s="12" t="s">
        <v>64</v>
      </c>
      <c r="L1" s="12" t="s">
        <v>65</v>
      </c>
      <c r="M1" s="12" t="s">
        <v>66</v>
      </c>
      <c r="N1" s="12" t="s">
        <v>67</v>
      </c>
      <c r="O1" s="12" t="s">
        <v>68</v>
      </c>
      <c r="P1" s="12" t="s">
        <v>69</v>
      </c>
      <c r="Q1" s="12" t="s">
        <v>70</v>
      </c>
      <c r="R1" s="12" t="s">
        <v>71</v>
      </c>
      <c r="S1" s="12" t="s">
        <v>63</v>
      </c>
      <c r="T1" s="12" t="s">
        <v>64</v>
      </c>
      <c r="U1" s="12" t="s">
        <v>65</v>
      </c>
      <c r="V1" s="12" t="s">
        <v>66</v>
      </c>
      <c r="W1" s="12" t="s">
        <v>67</v>
      </c>
      <c r="X1" s="12" t="s">
        <v>68</v>
      </c>
      <c r="Y1" s="12" t="s">
        <v>69</v>
      </c>
      <c r="Z1" s="12" t="s">
        <v>70</v>
      </c>
      <c r="AA1" s="12" t="s">
        <v>71</v>
      </c>
      <c r="AB1" s="12" t="s">
        <v>63</v>
      </c>
      <c r="AC1" s="12" t="s">
        <v>72</v>
      </c>
      <c r="AD1" s="12" t="s">
        <v>73</v>
      </c>
      <c r="AE1" s="12" t="s">
        <v>63</v>
      </c>
      <c r="AF1" s="12" t="s">
        <v>72</v>
      </c>
      <c r="AG1" s="12" t="s">
        <v>73</v>
      </c>
      <c r="AH1" s="12" t="s">
        <v>63</v>
      </c>
      <c r="AI1" s="12" t="s">
        <v>72</v>
      </c>
      <c r="AJ1" s="12" t="s">
        <v>73</v>
      </c>
      <c r="AK1" s="12" t="s">
        <v>63</v>
      </c>
      <c r="AL1" s="12" t="s">
        <v>72</v>
      </c>
      <c r="AM1" s="12" t="s">
        <v>73</v>
      </c>
      <c r="AN1" s="12" t="s">
        <v>63</v>
      </c>
      <c r="AO1" s="12" t="s">
        <v>72</v>
      </c>
      <c r="AP1" s="12" t="s">
        <v>73</v>
      </c>
      <c r="AQ1" s="12" t="s">
        <v>63</v>
      </c>
      <c r="AR1" s="12" t="s">
        <v>72</v>
      </c>
      <c r="AS1" s="12" t="s">
        <v>73</v>
      </c>
      <c r="AT1" s="12" t="s">
        <v>63</v>
      </c>
      <c r="AU1" s="12" t="s">
        <v>72</v>
      </c>
      <c r="AV1" s="12" t="s">
        <v>73</v>
      </c>
      <c r="AW1" s="12" t="s">
        <v>63</v>
      </c>
      <c r="AX1" s="12" t="s">
        <v>72</v>
      </c>
      <c r="AY1" s="12" t="s">
        <v>73</v>
      </c>
      <c r="AZ1" s="12" t="s">
        <v>63</v>
      </c>
      <c r="BA1" s="12" t="s">
        <v>72</v>
      </c>
      <c r="BB1" s="12" t="s">
        <v>73</v>
      </c>
      <c r="BC1" s="12" t="s">
        <v>63</v>
      </c>
      <c r="BD1" s="12" t="s">
        <v>72</v>
      </c>
      <c r="BE1" s="12" t="s">
        <v>73</v>
      </c>
      <c r="BF1" s="12" t="s">
        <v>63</v>
      </c>
      <c r="BG1" s="12" t="s">
        <v>72</v>
      </c>
      <c r="BH1" s="12" t="s">
        <v>73</v>
      </c>
      <c r="BI1" s="12" t="s">
        <v>63</v>
      </c>
      <c r="BJ1" s="12" t="s">
        <v>72</v>
      </c>
      <c r="BK1" s="12" t="s">
        <v>73</v>
      </c>
      <c r="BL1" s="12" t="s">
        <v>88</v>
      </c>
      <c r="BM1" s="12" t="s">
        <v>74</v>
      </c>
      <c r="BN1" s="12" t="s">
        <v>75</v>
      </c>
      <c r="BO1" s="12" t="s">
        <v>85</v>
      </c>
    </row>
    <row r="2" spans="1:67" x14ac:dyDescent="0.4">
      <c r="A2" s="5" t="s">
        <v>90</v>
      </c>
      <c r="B2" s="5" t="s">
        <v>15</v>
      </c>
      <c r="C2" s="5">
        <v>355332</v>
      </c>
      <c r="D2" s="6"/>
      <c r="E2" s="5" t="s">
        <v>12</v>
      </c>
      <c r="F2" s="5" t="s">
        <v>14</v>
      </c>
      <c r="G2" s="5" t="s">
        <v>12</v>
      </c>
      <c r="H2" s="7" t="s">
        <v>8</v>
      </c>
      <c r="I2" s="7" t="s">
        <v>77</v>
      </c>
      <c r="J2" s="7">
        <v>13</v>
      </c>
      <c r="K2" s="7">
        <v>280</v>
      </c>
      <c r="L2" s="8">
        <v>1300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12</v>
      </c>
      <c r="T2" s="8">
        <v>4904</v>
      </c>
      <c r="U2" s="7">
        <v>0</v>
      </c>
      <c r="V2" s="7">
        <v>700</v>
      </c>
      <c r="W2" s="7">
        <v>500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43828</v>
      </c>
      <c r="AF2" s="8">
        <v>3542760</v>
      </c>
      <c r="AG2" s="8">
        <v>1085400</v>
      </c>
      <c r="AH2" s="7">
        <v>0</v>
      </c>
      <c r="AI2" s="7">
        <v>0</v>
      </c>
      <c r="AJ2" s="7">
        <v>0</v>
      </c>
      <c r="AK2" s="7">
        <v>123</v>
      </c>
      <c r="AL2" s="8">
        <v>5166</v>
      </c>
      <c r="AM2" s="8">
        <v>8100</v>
      </c>
      <c r="AN2" s="7">
        <v>0</v>
      </c>
      <c r="AO2" s="7">
        <v>0</v>
      </c>
      <c r="AP2" s="7">
        <v>0</v>
      </c>
      <c r="AQ2" s="8">
        <v>8562</v>
      </c>
      <c r="AR2" s="8">
        <v>838200</v>
      </c>
      <c r="AS2" s="8">
        <v>18000</v>
      </c>
      <c r="AT2" s="7">
        <v>0</v>
      </c>
      <c r="AU2" s="7">
        <v>0</v>
      </c>
      <c r="AV2" s="7">
        <v>0</v>
      </c>
      <c r="AW2" s="8">
        <v>7689</v>
      </c>
      <c r="AX2" s="8">
        <v>928190</v>
      </c>
      <c r="AY2" s="8">
        <v>3000</v>
      </c>
      <c r="AZ2" s="7">
        <v>0</v>
      </c>
      <c r="BA2" s="7">
        <v>0</v>
      </c>
      <c r="BB2" s="7">
        <v>0</v>
      </c>
      <c r="BC2" s="8">
        <v>29939</v>
      </c>
      <c r="BD2" s="8">
        <v>3570600</v>
      </c>
      <c r="BE2" s="8">
        <v>18400</v>
      </c>
      <c r="BF2" s="7">
        <v>0</v>
      </c>
      <c r="BG2" s="7">
        <v>0</v>
      </c>
      <c r="BH2" s="7">
        <v>0</v>
      </c>
      <c r="BI2" s="7">
        <v>1</v>
      </c>
      <c r="BJ2" s="7">
        <v>120</v>
      </c>
      <c r="BK2" s="7">
        <v>0</v>
      </c>
      <c r="BL2" s="9">
        <v>308610.8</v>
      </c>
      <c r="BM2" s="10">
        <v>10020436</v>
      </c>
      <c r="BN2" s="13">
        <f>BM2-BL2</f>
        <v>9711825.1999999993</v>
      </c>
      <c r="BO2" s="14">
        <f>BN2*70%</f>
        <v>6798277.6399999987</v>
      </c>
    </row>
    <row r="3" spans="1:67" x14ac:dyDescent="0.4">
      <c r="A3" s="5" t="s">
        <v>90</v>
      </c>
      <c r="B3" s="5" t="s">
        <v>16</v>
      </c>
      <c r="C3" s="5">
        <v>159260</v>
      </c>
      <c r="D3" s="6"/>
      <c r="E3" s="5" t="s">
        <v>12</v>
      </c>
      <c r="F3" s="5" t="s">
        <v>17</v>
      </c>
      <c r="G3" s="5" t="s">
        <v>12</v>
      </c>
      <c r="H3" s="7" t="s">
        <v>7</v>
      </c>
      <c r="I3" s="7" t="s"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257</v>
      </c>
      <c r="AC3" s="8">
        <v>210840</v>
      </c>
      <c r="AD3" s="8">
        <v>29200</v>
      </c>
      <c r="AE3" s="7">
        <v>46</v>
      </c>
      <c r="AF3" s="8">
        <v>55440</v>
      </c>
      <c r="AG3" s="8">
        <v>83400</v>
      </c>
      <c r="AH3" s="7">
        <v>9</v>
      </c>
      <c r="AI3" s="8">
        <v>8280</v>
      </c>
      <c r="AJ3" s="7">
        <v>0</v>
      </c>
      <c r="AK3" s="7">
        <v>0</v>
      </c>
      <c r="AL3" s="7">
        <v>0</v>
      </c>
      <c r="AM3" s="7">
        <v>0</v>
      </c>
      <c r="AN3" s="7">
        <v>33</v>
      </c>
      <c r="AO3" s="8">
        <v>29100</v>
      </c>
      <c r="AP3" s="7">
        <v>400</v>
      </c>
      <c r="AQ3" s="7">
        <v>13</v>
      </c>
      <c r="AR3" s="8">
        <v>41200</v>
      </c>
      <c r="AS3" s="7">
        <v>400</v>
      </c>
      <c r="AT3" s="7">
        <v>53</v>
      </c>
      <c r="AU3" s="8">
        <v>54480</v>
      </c>
      <c r="AV3" s="8">
        <v>1000</v>
      </c>
      <c r="AW3" s="7">
        <v>4</v>
      </c>
      <c r="AX3" s="8">
        <v>12600</v>
      </c>
      <c r="AY3" s="7">
        <v>500</v>
      </c>
      <c r="AZ3" s="7">
        <v>96</v>
      </c>
      <c r="BA3" s="8">
        <v>98520</v>
      </c>
      <c r="BB3" s="7">
        <v>500</v>
      </c>
      <c r="BC3" s="7">
        <v>47</v>
      </c>
      <c r="BD3" s="8">
        <v>163680</v>
      </c>
      <c r="BE3" s="7">
        <v>500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24924</v>
      </c>
      <c r="BM3" s="10">
        <v>790040</v>
      </c>
      <c r="BN3" s="13">
        <f t="shared" ref="BN3:BN66" si="0">BM3-BL3</f>
        <v>765116</v>
      </c>
      <c r="BO3" s="14">
        <f t="shared" ref="BO3:BO66" si="1">BN3*70%</f>
        <v>535581.19999999995</v>
      </c>
    </row>
    <row r="4" spans="1:67" x14ac:dyDescent="0.4">
      <c r="A4" s="5" t="s">
        <v>90</v>
      </c>
      <c r="B4" s="5" t="s">
        <v>19</v>
      </c>
      <c r="C4" s="5">
        <v>161539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20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81</v>
      </c>
      <c r="AC4" s="8">
        <v>49840</v>
      </c>
      <c r="AD4" s="8">
        <v>21300</v>
      </c>
      <c r="AE4" s="7">
        <v>25</v>
      </c>
      <c r="AF4" s="8">
        <v>59240</v>
      </c>
      <c r="AG4" s="8">
        <v>17200</v>
      </c>
      <c r="AH4" s="7">
        <v>1</v>
      </c>
      <c r="AI4" s="8">
        <v>1080</v>
      </c>
      <c r="AJ4" s="7">
        <v>0</v>
      </c>
      <c r="AK4" s="7">
        <v>0</v>
      </c>
      <c r="AL4" s="7">
        <v>0</v>
      </c>
      <c r="AM4" s="7">
        <v>0</v>
      </c>
      <c r="AN4" s="7">
        <v>47</v>
      </c>
      <c r="AO4" s="8">
        <v>41700</v>
      </c>
      <c r="AP4" s="7">
        <v>200</v>
      </c>
      <c r="AQ4" s="7">
        <v>20</v>
      </c>
      <c r="AR4" s="8">
        <v>60000</v>
      </c>
      <c r="AS4" s="8">
        <v>1300</v>
      </c>
      <c r="AT4" s="7">
        <v>31</v>
      </c>
      <c r="AU4" s="8">
        <v>32880</v>
      </c>
      <c r="AV4" s="7">
        <v>500</v>
      </c>
      <c r="AW4" s="7">
        <v>23</v>
      </c>
      <c r="AX4" s="8">
        <v>88200</v>
      </c>
      <c r="AY4" s="7">
        <v>0</v>
      </c>
      <c r="AZ4" s="7">
        <v>66</v>
      </c>
      <c r="BA4" s="8">
        <v>68040</v>
      </c>
      <c r="BB4" s="7">
        <v>0</v>
      </c>
      <c r="BC4" s="7">
        <v>4</v>
      </c>
      <c r="BD4" s="8">
        <v>11640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17212.8</v>
      </c>
      <c r="BM4" s="10">
        <v>453120</v>
      </c>
      <c r="BN4" s="13">
        <f t="shared" si="0"/>
        <v>435907.2</v>
      </c>
      <c r="BO4" s="14">
        <f t="shared" si="1"/>
        <v>305135.03999999998</v>
      </c>
    </row>
    <row r="5" spans="1:67" x14ac:dyDescent="0.4">
      <c r="A5" s="5" t="s">
        <v>90</v>
      </c>
      <c r="B5" s="5" t="s">
        <v>21</v>
      </c>
      <c r="C5" s="5">
        <v>159270</v>
      </c>
      <c r="D5" s="6"/>
      <c r="E5" s="5" t="s">
        <v>12</v>
      </c>
      <c r="F5" s="5" t="s">
        <v>17</v>
      </c>
      <c r="G5" s="5" t="s">
        <v>12</v>
      </c>
      <c r="H5" s="7" t="s">
        <v>11</v>
      </c>
      <c r="I5" s="7" t="s">
        <v>20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157</v>
      </c>
      <c r="AC5" s="8">
        <v>139900</v>
      </c>
      <c r="AD5" s="8">
        <v>9800</v>
      </c>
      <c r="AE5" s="7">
        <v>26</v>
      </c>
      <c r="AF5" s="8">
        <v>77280</v>
      </c>
      <c r="AG5" s="8">
        <v>4700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19</v>
      </c>
      <c r="AO5" s="8">
        <v>15700</v>
      </c>
      <c r="AP5" s="7">
        <v>0</v>
      </c>
      <c r="AQ5" s="7">
        <v>14</v>
      </c>
      <c r="AR5" s="8">
        <v>38700</v>
      </c>
      <c r="AS5" s="7">
        <v>200</v>
      </c>
      <c r="AT5" s="7">
        <v>28</v>
      </c>
      <c r="AU5" s="8">
        <v>28440</v>
      </c>
      <c r="AV5" s="7">
        <v>500</v>
      </c>
      <c r="AW5" s="7">
        <v>1</v>
      </c>
      <c r="AX5" s="8">
        <v>3840</v>
      </c>
      <c r="AY5" s="7">
        <v>0</v>
      </c>
      <c r="AZ5" s="7">
        <v>62</v>
      </c>
      <c r="BA5" s="8">
        <v>65880</v>
      </c>
      <c r="BB5" s="7">
        <v>0</v>
      </c>
      <c r="BC5" s="7">
        <v>11</v>
      </c>
      <c r="BD5" s="8">
        <v>41640</v>
      </c>
      <c r="BE5" s="7">
        <v>500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9679.2000000000007</v>
      </c>
      <c r="BM5" s="10">
        <v>427080</v>
      </c>
      <c r="BN5" s="13">
        <f t="shared" si="0"/>
        <v>417400.8</v>
      </c>
      <c r="BO5" s="14">
        <f t="shared" si="1"/>
        <v>292180.56</v>
      </c>
    </row>
    <row r="6" spans="1:67" x14ac:dyDescent="0.4">
      <c r="A6" s="5" t="s">
        <v>90</v>
      </c>
      <c r="B6" s="5" t="s">
        <v>31</v>
      </c>
      <c r="C6" s="5">
        <v>159258</v>
      </c>
      <c r="D6" s="6"/>
      <c r="E6" s="5" t="s">
        <v>12</v>
      </c>
      <c r="F6" s="5" t="s">
        <v>17</v>
      </c>
      <c r="G6" s="5" t="s">
        <v>12</v>
      </c>
      <c r="H6" s="7" t="s">
        <v>7</v>
      </c>
      <c r="I6" s="7" t="s">
        <v>30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96</v>
      </c>
      <c r="AC6" s="8">
        <v>71480</v>
      </c>
      <c r="AD6" s="8">
        <v>17000</v>
      </c>
      <c r="AE6" s="7">
        <v>8</v>
      </c>
      <c r="AF6" s="8">
        <v>15600</v>
      </c>
      <c r="AG6" s="8">
        <v>6400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13</v>
      </c>
      <c r="AO6" s="8">
        <v>11300</v>
      </c>
      <c r="AP6" s="7">
        <v>0</v>
      </c>
      <c r="AQ6" s="7">
        <v>0</v>
      </c>
      <c r="AR6" s="7">
        <v>0</v>
      </c>
      <c r="AS6" s="7">
        <v>0</v>
      </c>
      <c r="AT6" s="7">
        <v>18</v>
      </c>
      <c r="AU6" s="8">
        <v>17640</v>
      </c>
      <c r="AV6" s="7">
        <v>0</v>
      </c>
      <c r="AW6" s="7">
        <v>7</v>
      </c>
      <c r="AX6" s="8">
        <v>24600</v>
      </c>
      <c r="AY6" s="7">
        <v>0</v>
      </c>
      <c r="AZ6" s="7">
        <v>62</v>
      </c>
      <c r="BA6" s="8">
        <v>63960</v>
      </c>
      <c r="BB6" s="8">
        <v>1000</v>
      </c>
      <c r="BC6" s="7">
        <v>6</v>
      </c>
      <c r="BD6" s="8">
        <v>17520</v>
      </c>
      <c r="BE6" s="7">
        <v>500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9112.7999999999993</v>
      </c>
      <c r="BM6" s="10">
        <v>247000</v>
      </c>
      <c r="BN6" s="13">
        <f t="shared" si="0"/>
        <v>237887.2</v>
      </c>
      <c r="BO6" s="14">
        <f t="shared" si="1"/>
        <v>166521.04</v>
      </c>
    </row>
    <row r="7" spans="1:67" x14ac:dyDescent="0.4">
      <c r="A7" s="5" t="s">
        <v>90</v>
      </c>
      <c r="B7" s="5" t="s">
        <v>29</v>
      </c>
      <c r="C7" s="5">
        <v>159268</v>
      </c>
      <c r="D7" s="6"/>
      <c r="E7" s="5" t="s">
        <v>12</v>
      </c>
      <c r="F7" s="5" t="s">
        <v>17</v>
      </c>
      <c r="G7" s="5" t="s">
        <v>12</v>
      </c>
      <c r="H7" s="7" t="s">
        <v>7</v>
      </c>
      <c r="I7" s="7" t="s">
        <v>30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91</v>
      </c>
      <c r="AC7" s="8">
        <v>70860</v>
      </c>
      <c r="AD7" s="8">
        <v>16900</v>
      </c>
      <c r="AE7" s="7">
        <v>13</v>
      </c>
      <c r="AF7" s="8">
        <v>39040</v>
      </c>
      <c r="AG7" s="8">
        <v>3200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10</v>
      </c>
      <c r="AO7" s="8">
        <v>9000</v>
      </c>
      <c r="AP7" s="7">
        <v>0</v>
      </c>
      <c r="AQ7" s="7">
        <v>8</v>
      </c>
      <c r="AR7" s="8">
        <v>25600</v>
      </c>
      <c r="AS7" s="7">
        <v>0</v>
      </c>
      <c r="AT7" s="7">
        <v>12</v>
      </c>
      <c r="AU7" s="8">
        <v>11280</v>
      </c>
      <c r="AV7" s="7">
        <v>0</v>
      </c>
      <c r="AW7" s="7">
        <v>0</v>
      </c>
      <c r="AX7" s="7">
        <v>0</v>
      </c>
      <c r="AY7" s="7">
        <v>0</v>
      </c>
      <c r="AZ7" s="7">
        <v>20</v>
      </c>
      <c r="BA7" s="8">
        <v>19800</v>
      </c>
      <c r="BB7" s="7">
        <v>0</v>
      </c>
      <c r="BC7" s="7">
        <v>7</v>
      </c>
      <c r="BD7" s="8">
        <v>26880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3928.8</v>
      </c>
      <c r="BM7" s="10">
        <v>222560</v>
      </c>
      <c r="BN7" s="13">
        <f t="shared" si="0"/>
        <v>218631.2</v>
      </c>
      <c r="BO7" s="14">
        <f t="shared" si="1"/>
        <v>153041.84</v>
      </c>
    </row>
    <row r="8" spans="1:67" x14ac:dyDescent="0.4">
      <c r="A8" s="5" t="s">
        <v>90</v>
      </c>
      <c r="B8" s="5" t="s">
        <v>32</v>
      </c>
      <c r="C8" s="5">
        <v>159255</v>
      </c>
      <c r="D8" s="6"/>
      <c r="E8" s="5" t="s">
        <v>12</v>
      </c>
      <c r="F8" s="5" t="s">
        <v>17</v>
      </c>
      <c r="G8" s="5" t="s">
        <v>12</v>
      </c>
      <c r="H8" s="7" t="s">
        <v>8</v>
      </c>
      <c r="I8" s="7" t="s">
        <v>33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74</v>
      </c>
      <c r="AC8" s="8">
        <v>59860</v>
      </c>
      <c r="AD8" s="8">
        <v>7700</v>
      </c>
      <c r="AE8" s="7">
        <v>10</v>
      </c>
      <c r="AF8" s="8">
        <v>26000</v>
      </c>
      <c r="AG8" s="8">
        <v>3700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7</v>
      </c>
      <c r="AO8" s="8">
        <v>5300</v>
      </c>
      <c r="AP8" s="7">
        <v>200</v>
      </c>
      <c r="AQ8" s="7">
        <v>1</v>
      </c>
      <c r="AR8" s="8">
        <v>2600</v>
      </c>
      <c r="AS8" s="7">
        <v>600</v>
      </c>
      <c r="AT8" s="7">
        <v>6</v>
      </c>
      <c r="AU8" s="8">
        <v>6480</v>
      </c>
      <c r="AV8" s="7">
        <v>0</v>
      </c>
      <c r="AW8" s="7">
        <v>0</v>
      </c>
      <c r="AX8" s="7">
        <v>0</v>
      </c>
      <c r="AY8" s="7">
        <v>0</v>
      </c>
      <c r="AZ8" s="7">
        <v>46</v>
      </c>
      <c r="BA8" s="8">
        <v>45840</v>
      </c>
      <c r="BB8" s="7">
        <v>500</v>
      </c>
      <c r="BC8" s="7">
        <v>11</v>
      </c>
      <c r="BD8" s="8">
        <v>41160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5868</v>
      </c>
      <c r="BM8" s="10">
        <v>199940</v>
      </c>
      <c r="BN8" s="13">
        <f t="shared" si="0"/>
        <v>194072</v>
      </c>
      <c r="BO8" s="14">
        <f t="shared" si="1"/>
        <v>135850.4</v>
      </c>
    </row>
    <row r="9" spans="1:67" x14ac:dyDescent="0.4">
      <c r="A9" s="5" t="s">
        <v>90</v>
      </c>
      <c r="B9" s="5" t="s">
        <v>48</v>
      </c>
      <c r="C9" s="5">
        <v>285993</v>
      </c>
      <c r="D9" s="6"/>
      <c r="E9" s="5" t="s">
        <v>12</v>
      </c>
      <c r="F9" s="5" t="s">
        <v>13</v>
      </c>
      <c r="G9" s="5" t="s">
        <v>12</v>
      </c>
      <c r="H9" s="7" t="s">
        <v>7</v>
      </c>
      <c r="I9" s="7" t="s">
        <v>49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115</v>
      </c>
      <c r="AC9" s="8">
        <v>97200</v>
      </c>
      <c r="AD9" s="8">
        <v>5800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21</v>
      </c>
      <c r="AO9" s="8">
        <v>18500</v>
      </c>
      <c r="AP9" s="7">
        <v>400</v>
      </c>
      <c r="AQ9" s="7">
        <v>1</v>
      </c>
      <c r="AR9" s="8">
        <v>3200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72</v>
      </c>
      <c r="BA9" s="8">
        <v>73200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4392</v>
      </c>
      <c r="BM9" s="10">
        <v>198300</v>
      </c>
      <c r="BN9" s="13">
        <f t="shared" si="0"/>
        <v>193908</v>
      </c>
      <c r="BO9" s="14">
        <f t="shared" si="1"/>
        <v>135735.6</v>
      </c>
    </row>
    <row r="10" spans="1:67" x14ac:dyDescent="0.4">
      <c r="A10" s="5" t="s">
        <v>90</v>
      </c>
      <c r="B10" s="5" t="s">
        <v>93</v>
      </c>
      <c r="C10" s="5">
        <v>418829</v>
      </c>
      <c r="D10" s="6"/>
      <c r="E10" s="5" t="s">
        <v>12</v>
      </c>
      <c r="F10" s="5" t="s">
        <v>17</v>
      </c>
      <c r="G10" s="5" t="s">
        <v>12</v>
      </c>
      <c r="H10" s="7" t="s">
        <v>7</v>
      </c>
      <c r="I10" s="7" t="s">
        <v>94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80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878</v>
      </c>
      <c r="AF10" s="8">
        <v>74600</v>
      </c>
      <c r="AG10" s="8">
        <v>22900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177</v>
      </c>
      <c r="AR10" s="8">
        <v>17700</v>
      </c>
      <c r="AS10" s="7">
        <v>0</v>
      </c>
      <c r="AT10" s="7">
        <v>0</v>
      </c>
      <c r="AU10" s="7">
        <v>0</v>
      </c>
      <c r="AV10" s="7">
        <v>0</v>
      </c>
      <c r="AW10" s="7">
        <v>221</v>
      </c>
      <c r="AX10" s="8">
        <v>26520</v>
      </c>
      <c r="AY10" s="7">
        <v>0</v>
      </c>
      <c r="AZ10" s="7">
        <v>0</v>
      </c>
      <c r="BA10" s="7">
        <v>0</v>
      </c>
      <c r="BB10" s="7">
        <v>0</v>
      </c>
      <c r="BC10" s="7">
        <v>305</v>
      </c>
      <c r="BD10" s="8">
        <v>36600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4848</v>
      </c>
      <c r="BM10" s="10">
        <v>178320</v>
      </c>
      <c r="BN10" s="13">
        <f t="shared" si="0"/>
        <v>173472</v>
      </c>
      <c r="BO10" s="14">
        <f t="shared" si="1"/>
        <v>121430.39999999999</v>
      </c>
    </row>
    <row r="11" spans="1:67" x14ac:dyDescent="0.4">
      <c r="A11" s="5" t="s">
        <v>90</v>
      </c>
      <c r="B11" s="5" t="s">
        <v>35</v>
      </c>
      <c r="C11" s="5">
        <v>173863</v>
      </c>
      <c r="D11" s="6"/>
      <c r="E11" s="5" t="s">
        <v>12</v>
      </c>
      <c r="F11" s="5" t="s">
        <v>17</v>
      </c>
      <c r="G11" s="5" t="s">
        <v>12</v>
      </c>
      <c r="H11" s="7" t="s">
        <v>7</v>
      </c>
      <c r="I11" s="7" t="s">
        <v>36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50</v>
      </c>
      <c r="AC11" s="8">
        <v>42180</v>
      </c>
      <c r="AD11" s="8">
        <v>4600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16</v>
      </c>
      <c r="AO11" s="8">
        <v>13500</v>
      </c>
      <c r="AP11" s="7">
        <v>900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12</v>
      </c>
      <c r="AX11" s="8">
        <v>41760</v>
      </c>
      <c r="AY11" s="7">
        <v>0</v>
      </c>
      <c r="AZ11" s="7">
        <v>40</v>
      </c>
      <c r="BA11" s="8">
        <v>42480</v>
      </c>
      <c r="BB11" s="7">
        <v>0</v>
      </c>
      <c r="BC11" s="7">
        <v>4</v>
      </c>
      <c r="BD11" s="8">
        <v>12000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7444.8</v>
      </c>
      <c r="BM11" s="10">
        <v>157420</v>
      </c>
      <c r="BN11" s="13">
        <f t="shared" si="0"/>
        <v>149975.20000000001</v>
      </c>
      <c r="BO11" s="14">
        <f t="shared" si="1"/>
        <v>104982.64</v>
      </c>
    </row>
    <row r="12" spans="1:67" x14ac:dyDescent="0.4">
      <c r="A12" s="5" t="s">
        <v>90</v>
      </c>
      <c r="B12" s="5" t="s">
        <v>25</v>
      </c>
      <c r="C12" s="5">
        <v>165741</v>
      </c>
      <c r="D12" s="6"/>
      <c r="E12" s="5" t="s">
        <v>12</v>
      </c>
      <c r="F12" s="5" t="s">
        <v>14</v>
      </c>
      <c r="G12" s="5" t="s">
        <v>12</v>
      </c>
      <c r="H12" s="7" t="s">
        <v>7</v>
      </c>
      <c r="I12" s="7" t="s">
        <v>26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59</v>
      </c>
      <c r="AC12" s="8">
        <v>53080</v>
      </c>
      <c r="AD12" s="7">
        <v>500</v>
      </c>
      <c r="AE12" s="7">
        <v>1</v>
      </c>
      <c r="AF12" s="8">
        <v>3200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19</v>
      </c>
      <c r="AO12" s="8">
        <v>17100</v>
      </c>
      <c r="AP12" s="7">
        <v>0</v>
      </c>
      <c r="AQ12" s="7">
        <v>1</v>
      </c>
      <c r="AR12" s="8">
        <v>3200</v>
      </c>
      <c r="AS12" s="7">
        <v>0</v>
      </c>
      <c r="AT12" s="7">
        <v>3</v>
      </c>
      <c r="AU12" s="8">
        <v>2040</v>
      </c>
      <c r="AV12" s="7">
        <v>500</v>
      </c>
      <c r="AW12" s="7">
        <v>0</v>
      </c>
      <c r="AX12" s="7">
        <v>0</v>
      </c>
      <c r="AY12" s="7">
        <v>0</v>
      </c>
      <c r="AZ12" s="7">
        <v>53</v>
      </c>
      <c r="BA12" s="8">
        <v>53520</v>
      </c>
      <c r="BB12" s="7">
        <v>500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3415.2</v>
      </c>
      <c r="BM12" s="10">
        <v>133640</v>
      </c>
      <c r="BN12" s="13">
        <f t="shared" si="0"/>
        <v>130224.8</v>
      </c>
      <c r="BO12" s="14">
        <f t="shared" si="1"/>
        <v>91157.36</v>
      </c>
    </row>
    <row r="13" spans="1:67" x14ac:dyDescent="0.4">
      <c r="A13" s="5" t="s">
        <v>90</v>
      </c>
      <c r="B13" s="5" t="s">
        <v>95</v>
      </c>
      <c r="C13" s="5">
        <v>192737</v>
      </c>
      <c r="D13" s="6"/>
      <c r="E13" s="5" t="s">
        <v>12</v>
      </c>
      <c r="F13" s="5" t="s">
        <v>37</v>
      </c>
      <c r="G13" s="5" t="s">
        <v>12</v>
      </c>
      <c r="H13" s="7" t="s">
        <v>7</v>
      </c>
      <c r="I13" s="7" t="s">
        <v>38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47</v>
      </c>
      <c r="AC13" s="8">
        <v>42680</v>
      </c>
      <c r="AD13" s="7">
        <v>400</v>
      </c>
      <c r="AE13" s="7">
        <v>3</v>
      </c>
      <c r="AF13" s="8">
        <v>7000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16</v>
      </c>
      <c r="AO13" s="8">
        <v>13900</v>
      </c>
      <c r="AP13" s="7">
        <v>500</v>
      </c>
      <c r="AQ13" s="7">
        <v>0</v>
      </c>
      <c r="AR13" s="7">
        <v>0</v>
      </c>
      <c r="AS13" s="7">
        <v>0</v>
      </c>
      <c r="AT13" s="7">
        <v>5</v>
      </c>
      <c r="AU13" s="8">
        <v>4920</v>
      </c>
      <c r="AV13" s="7">
        <v>0</v>
      </c>
      <c r="AW13" s="7">
        <v>6</v>
      </c>
      <c r="AX13" s="8">
        <v>22320</v>
      </c>
      <c r="AY13" s="7">
        <v>0</v>
      </c>
      <c r="AZ13" s="7">
        <v>28</v>
      </c>
      <c r="BA13" s="8">
        <v>29640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4502.3999999999996</v>
      </c>
      <c r="BM13" s="10">
        <v>121360</v>
      </c>
      <c r="BN13" s="13">
        <f t="shared" si="0"/>
        <v>116857.60000000001</v>
      </c>
      <c r="BO13" s="14">
        <f t="shared" si="1"/>
        <v>81800.319999999992</v>
      </c>
    </row>
    <row r="14" spans="1:67" x14ac:dyDescent="0.4">
      <c r="A14" s="5" t="s">
        <v>90</v>
      </c>
      <c r="B14" s="5" t="s">
        <v>96</v>
      </c>
      <c r="C14" s="5">
        <v>159483</v>
      </c>
      <c r="D14" s="6"/>
      <c r="E14" s="5" t="s">
        <v>12</v>
      </c>
      <c r="F14" s="5" t="s">
        <v>14</v>
      </c>
      <c r="G14" s="5" t="s">
        <v>12</v>
      </c>
      <c r="H14" s="7" t="s">
        <v>7</v>
      </c>
      <c r="I14" s="7" t="s">
        <v>97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33</v>
      </c>
      <c r="AC14" s="8">
        <v>33120</v>
      </c>
      <c r="AD14" s="7">
        <v>0</v>
      </c>
      <c r="AE14" s="7">
        <v>1</v>
      </c>
      <c r="AF14" s="8">
        <v>3200</v>
      </c>
      <c r="AG14" s="7">
        <v>0</v>
      </c>
      <c r="AH14" s="7">
        <v>1</v>
      </c>
      <c r="AI14" s="7">
        <v>0</v>
      </c>
      <c r="AJ14" s="7">
        <v>400</v>
      </c>
      <c r="AK14" s="7">
        <v>0</v>
      </c>
      <c r="AL14" s="7">
        <v>0</v>
      </c>
      <c r="AM14" s="7">
        <v>0</v>
      </c>
      <c r="AN14" s="7">
        <v>7</v>
      </c>
      <c r="AO14" s="8">
        <v>6300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51</v>
      </c>
      <c r="BA14" s="8">
        <v>54000</v>
      </c>
      <c r="BB14" s="7">
        <v>500</v>
      </c>
      <c r="BC14" s="7">
        <v>1</v>
      </c>
      <c r="BD14" s="8">
        <v>3840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3470.4</v>
      </c>
      <c r="BM14" s="10">
        <v>101360</v>
      </c>
      <c r="BN14" s="13">
        <f t="shared" si="0"/>
        <v>97889.600000000006</v>
      </c>
      <c r="BO14" s="14">
        <f t="shared" si="1"/>
        <v>68522.720000000001</v>
      </c>
    </row>
    <row r="15" spans="1:67" ht="19.2" x14ac:dyDescent="0.4">
      <c r="A15" s="5" t="s">
        <v>90</v>
      </c>
      <c r="B15" s="5" t="s">
        <v>44</v>
      </c>
      <c r="C15" s="5">
        <v>408054</v>
      </c>
      <c r="D15" s="6"/>
      <c r="E15" s="5" t="s">
        <v>12</v>
      </c>
      <c r="F15" s="5" t="s">
        <v>17</v>
      </c>
      <c r="G15" s="5" t="s">
        <v>23</v>
      </c>
      <c r="H15" s="7" t="s">
        <v>11</v>
      </c>
      <c r="I15" s="7" t="s">
        <v>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70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211</v>
      </c>
      <c r="AF15" s="8">
        <v>24040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292</v>
      </c>
      <c r="AR15" s="8">
        <v>29200</v>
      </c>
      <c r="AS15" s="7">
        <v>0</v>
      </c>
      <c r="AT15" s="7">
        <v>0</v>
      </c>
      <c r="AU15" s="7">
        <v>0</v>
      </c>
      <c r="AV15" s="7">
        <v>0</v>
      </c>
      <c r="AW15" s="7">
        <v>89</v>
      </c>
      <c r="AX15" s="8">
        <v>10680</v>
      </c>
      <c r="AY15" s="7">
        <v>0</v>
      </c>
      <c r="AZ15" s="7">
        <v>0</v>
      </c>
      <c r="BA15" s="7">
        <v>0</v>
      </c>
      <c r="BB15" s="7">
        <v>0</v>
      </c>
      <c r="BC15" s="7">
        <v>253</v>
      </c>
      <c r="BD15" s="8">
        <v>29760</v>
      </c>
      <c r="BE15" s="7">
        <v>500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2853.6</v>
      </c>
      <c r="BM15" s="10">
        <v>94180</v>
      </c>
      <c r="BN15" s="13">
        <f t="shared" si="0"/>
        <v>91326.399999999994</v>
      </c>
      <c r="BO15" s="14">
        <f t="shared" si="1"/>
        <v>63928.479999999989</v>
      </c>
    </row>
    <row r="16" spans="1:67" x14ac:dyDescent="0.4">
      <c r="A16" s="5" t="s">
        <v>90</v>
      </c>
      <c r="B16" s="5" t="s">
        <v>98</v>
      </c>
      <c r="C16" s="5">
        <v>326544</v>
      </c>
      <c r="D16" s="6"/>
      <c r="E16" s="5" t="s">
        <v>12</v>
      </c>
      <c r="F16" s="5" t="s">
        <v>99</v>
      </c>
      <c r="G16" s="5" t="s">
        <v>12</v>
      </c>
      <c r="H16" s="7" t="s">
        <v>7</v>
      </c>
      <c r="I16" s="7" t="s">
        <v>100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14</v>
      </c>
      <c r="T16" s="7">
        <v>76</v>
      </c>
      <c r="U16" s="7">
        <v>0</v>
      </c>
      <c r="V16" s="7">
        <v>0</v>
      </c>
      <c r="W16" s="8">
        <v>1400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638</v>
      </c>
      <c r="AF16" s="8">
        <v>50380</v>
      </c>
      <c r="AG16" s="8">
        <v>15900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5</v>
      </c>
      <c r="AX16" s="7">
        <v>600</v>
      </c>
      <c r="AY16" s="7">
        <v>0</v>
      </c>
      <c r="AZ16" s="7">
        <v>0</v>
      </c>
      <c r="BA16" s="7">
        <v>0</v>
      </c>
      <c r="BB16" s="7">
        <v>0</v>
      </c>
      <c r="BC16" s="7">
        <v>193</v>
      </c>
      <c r="BD16" s="8">
        <v>23160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1449.6</v>
      </c>
      <c r="BM16" s="10">
        <v>91440</v>
      </c>
      <c r="BN16" s="13">
        <f t="shared" si="0"/>
        <v>89990.399999999994</v>
      </c>
      <c r="BO16" s="14">
        <f t="shared" si="1"/>
        <v>62993.279999999992</v>
      </c>
    </row>
    <row r="17" spans="1:67" x14ac:dyDescent="0.4">
      <c r="A17" s="5" t="s">
        <v>90</v>
      </c>
      <c r="B17" s="5" t="s">
        <v>27</v>
      </c>
      <c r="C17" s="5">
        <v>161447</v>
      </c>
      <c r="D17" s="6"/>
      <c r="E17" s="5" t="s">
        <v>12</v>
      </c>
      <c r="F17" s="5" t="s">
        <v>14</v>
      </c>
      <c r="G17" s="5" t="s">
        <v>12</v>
      </c>
      <c r="H17" s="7" t="s">
        <v>7</v>
      </c>
      <c r="I17" s="7" t="s">
        <v>28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40</v>
      </c>
      <c r="AC17" s="8">
        <v>39240</v>
      </c>
      <c r="AD17" s="7">
        <v>900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12</v>
      </c>
      <c r="AO17" s="8">
        <v>10600</v>
      </c>
      <c r="AP17" s="7">
        <v>200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25</v>
      </c>
      <c r="BA17" s="8">
        <v>26400</v>
      </c>
      <c r="BB17" s="7">
        <v>500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1584</v>
      </c>
      <c r="BM17" s="10">
        <v>77840</v>
      </c>
      <c r="BN17" s="13">
        <f t="shared" si="0"/>
        <v>76256</v>
      </c>
      <c r="BO17" s="14">
        <f t="shared" si="1"/>
        <v>53379.199999999997</v>
      </c>
    </row>
    <row r="18" spans="1:67" ht="19.2" x14ac:dyDescent="0.4">
      <c r="A18" s="5" t="s">
        <v>90</v>
      </c>
      <c r="B18" s="5" t="s">
        <v>52</v>
      </c>
      <c r="C18" s="5">
        <v>413545</v>
      </c>
      <c r="D18" s="6"/>
      <c r="E18" s="5" t="s">
        <v>12</v>
      </c>
      <c r="F18" s="5" t="s">
        <v>17</v>
      </c>
      <c r="G18" s="5" t="s">
        <v>23</v>
      </c>
      <c r="H18" s="7" t="s">
        <v>8</v>
      </c>
      <c r="I18" s="7" t="s">
        <v>53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11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239</v>
      </c>
      <c r="AF18" s="8">
        <v>19440</v>
      </c>
      <c r="AG18" s="8">
        <v>6900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114</v>
      </c>
      <c r="AR18" s="8">
        <v>11400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307</v>
      </c>
      <c r="BD18" s="8">
        <v>36840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2210.4</v>
      </c>
      <c r="BM18" s="10">
        <v>74580</v>
      </c>
      <c r="BN18" s="13">
        <f t="shared" si="0"/>
        <v>72369.600000000006</v>
      </c>
      <c r="BO18" s="14">
        <f t="shared" si="1"/>
        <v>50658.720000000001</v>
      </c>
    </row>
    <row r="19" spans="1:67" x14ac:dyDescent="0.4">
      <c r="A19" s="5" t="s">
        <v>90</v>
      </c>
      <c r="B19" s="5" t="s">
        <v>39</v>
      </c>
      <c r="C19" s="5">
        <v>268655</v>
      </c>
      <c r="D19" s="6"/>
      <c r="E19" s="5" t="s">
        <v>12</v>
      </c>
      <c r="F19" s="5" t="s">
        <v>17</v>
      </c>
      <c r="G19" s="5" t="s">
        <v>12</v>
      </c>
      <c r="H19" s="7" t="s">
        <v>7</v>
      </c>
      <c r="I19" s="7" t="s">
        <v>40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14</v>
      </c>
      <c r="AC19" s="8">
        <v>11160</v>
      </c>
      <c r="AD19" s="8">
        <v>2500</v>
      </c>
      <c r="AE19" s="7">
        <v>1</v>
      </c>
      <c r="AF19" s="7">
        <v>0</v>
      </c>
      <c r="AG19" s="7">
        <v>100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5</v>
      </c>
      <c r="AO19" s="8">
        <v>4500</v>
      </c>
      <c r="AP19" s="7">
        <v>0</v>
      </c>
      <c r="AQ19" s="7">
        <v>10</v>
      </c>
      <c r="AR19" s="8">
        <v>30600</v>
      </c>
      <c r="AS19" s="7">
        <v>200</v>
      </c>
      <c r="AT19" s="7">
        <v>3</v>
      </c>
      <c r="AU19" s="8">
        <v>2880</v>
      </c>
      <c r="AV19" s="7">
        <v>0</v>
      </c>
      <c r="AW19" s="7">
        <v>0</v>
      </c>
      <c r="AX19" s="7">
        <v>0</v>
      </c>
      <c r="AY19" s="7">
        <v>0</v>
      </c>
      <c r="AZ19" s="7">
        <v>10</v>
      </c>
      <c r="BA19" s="8">
        <v>9240</v>
      </c>
      <c r="BB19" s="7">
        <v>0</v>
      </c>
      <c r="BC19" s="7">
        <v>4</v>
      </c>
      <c r="BD19" s="8">
        <v>12840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1612.8</v>
      </c>
      <c r="BM19" s="10">
        <v>74020</v>
      </c>
      <c r="BN19" s="13">
        <f t="shared" si="0"/>
        <v>72407.199999999997</v>
      </c>
      <c r="BO19" s="14">
        <f t="shared" si="1"/>
        <v>50685.039999999994</v>
      </c>
    </row>
    <row r="20" spans="1:67" ht="19.2" x14ac:dyDescent="0.4">
      <c r="A20" s="5" t="s">
        <v>90</v>
      </c>
      <c r="B20" s="5" t="s">
        <v>101</v>
      </c>
      <c r="C20" s="5">
        <v>408056</v>
      </c>
      <c r="D20" s="6"/>
      <c r="E20" s="5" t="s">
        <v>12</v>
      </c>
      <c r="F20" s="5" t="s">
        <v>14</v>
      </c>
      <c r="G20" s="5" t="s">
        <v>23</v>
      </c>
      <c r="H20" s="7" t="s">
        <v>7</v>
      </c>
      <c r="I20" s="7" t="s">
        <v>102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171</v>
      </c>
      <c r="AF20" s="8">
        <v>17820</v>
      </c>
      <c r="AG20" s="7">
        <v>100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450</v>
      </c>
      <c r="BD20" s="8">
        <v>53400</v>
      </c>
      <c r="BE20" s="7">
        <v>500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3204</v>
      </c>
      <c r="BM20" s="10">
        <v>71820</v>
      </c>
      <c r="BN20" s="13">
        <f t="shared" si="0"/>
        <v>68616</v>
      </c>
      <c r="BO20" s="14">
        <f t="shared" si="1"/>
        <v>48031.199999999997</v>
      </c>
    </row>
    <row r="21" spans="1:67" x14ac:dyDescent="0.4">
      <c r="A21" s="5" t="s">
        <v>90</v>
      </c>
      <c r="B21" s="5" t="s">
        <v>34</v>
      </c>
      <c r="C21" s="5">
        <v>159266</v>
      </c>
      <c r="D21" s="6"/>
      <c r="E21" s="5" t="s">
        <v>12</v>
      </c>
      <c r="F21" s="5" t="s">
        <v>17</v>
      </c>
      <c r="G21" s="5" t="s">
        <v>12</v>
      </c>
      <c r="H21" s="7" t="s">
        <v>7</v>
      </c>
      <c r="I21" s="7" t="s">
        <v>30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42</v>
      </c>
      <c r="AC21" s="8">
        <v>32700</v>
      </c>
      <c r="AD21" s="8">
        <v>5900</v>
      </c>
      <c r="AE21" s="7">
        <v>6</v>
      </c>
      <c r="AF21" s="8">
        <v>19000</v>
      </c>
      <c r="AG21" s="7">
        <v>200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9</v>
      </c>
      <c r="AO21" s="8">
        <v>8100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6</v>
      </c>
      <c r="BA21" s="8">
        <v>5880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352.8</v>
      </c>
      <c r="BM21" s="10">
        <v>71780</v>
      </c>
      <c r="BN21" s="13">
        <f t="shared" si="0"/>
        <v>71427.199999999997</v>
      </c>
      <c r="BO21" s="14">
        <f t="shared" si="1"/>
        <v>49999.039999999994</v>
      </c>
    </row>
    <row r="22" spans="1:67" x14ac:dyDescent="0.4">
      <c r="A22" s="5" t="s">
        <v>90</v>
      </c>
      <c r="B22" s="5" t="s">
        <v>103</v>
      </c>
      <c r="C22" s="5">
        <v>418830</v>
      </c>
      <c r="D22" s="6"/>
      <c r="E22" s="5" t="s">
        <v>12</v>
      </c>
      <c r="F22" s="5" t="s">
        <v>17</v>
      </c>
      <c r="G22" s="5" t="s">
        <v>12</v>
      </c>
      <c r="H22" s="7" t="s">
        <v>7</v>
      </c>
      <c r="I22" s="7" t="s">
        <v>94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38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147</v>
      </c>
      <c r="AF22" s="8">
        <v>12900</v>
      </c>
      <c r="AG22" s="8">
        <v>1800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269</v>
      </c>
      <c r="AR22" s="8">
        <v>26700</v>
      </c>
      <c r="AS22" s="7">
        <v>200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89</v>
      </c>
      <c r="BD22" s="8">
        <v>10680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640.79999999999995</v>
      </c>
      <c r="BM22" s="10">
        <v>52280</v>
      </c>
      <c r="BN22" s="13">
        <f t="shared" si="0"/>
        <v>51639.199999999997</v>
      </c>
      <c r="BO22" s="14">
        <f t="shared" si="1"/>
        <v>36147.439999999995</v>
      </c>
    </row>
    <row r="23" spans="1:67" x14ac:dyDescent="0.4">
      <c r="A23" s="5" t="s">
        <v>90</v>
      </c>
      <c r="B23" s="5" t="s">
        <v>104</v>
      </c>
      <c r="C23" s="5">
        <v>99966</v>
      </c>
      <c r="D23" s="6"/>
      <c r="E23" s="5" t="s">
        <v>12</v>
      </c>
      <c r="F23" s="5" t="s">
        <v>17</v>
      </c>
      <c r="G23" s="5" t="s">
        <v>12</v>
      </c>
      <c r="H23" s="7" t="s">
        <v>11</v>
      </c>
      <c r="I23" s="7" t="s">
        <v>105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23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516</v>
      </c>
      <c r="AF23" s="8">
        <v>14160</v>
      </c>
      <c r="AG23" s="8">
        <v>37500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51660</v>
      </c>
      <c r="BN23" s="13">
        <f t="shared" si="0"/>
        <v>51660</v>
      </c>
      <c r="BO23" s="14">
        <f t="shared" si="1"/>
        <v>36162</v>
      </c>
    </row>
    <row r="24" spans="1:67" x14ac:dyDescent="0.4">
      <c r="A24" s="5" t="s">
        <v>90</v>
      </c>
      <c r="B24" s="5" t="s">
        <v>41</v>
      </c>
      <c r="C24" s="5">
        <v>215737</v>
      </c>
      <c r="D24" s="6"/>
      <c r="E24" s="5" t="s">
        <v>12</v>
      </c>
      <c r="F24" s="5" t="s">
        <v>42</v>
      </c>
      <c r="G24" s="5" t="s">
        <v>12</v>
      </c>
      <c r="H24" s="7" t="s">
        <v>7</v>
      </c>
      <c r="I24" s="7" t="s">
        <v>43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73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341</v>
      </c>
      <c r="AF24" s="8">
        <v>32420</v>
      </c>
      <c r="AG24" s="8">
        <v>2300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106</v>
      </c>
      <c r="BD24" s="8">
        <v>12720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763.2</v>
      </c>
      <c r="BM24" s="10">
        <v>47440</v>
      </c>
      <c r="BN24" s="13">
        <f t="shared" si="0"/>
        <v>46676.800000000003</v>
      </c>
      <c r="BO24" s="14">
        <f t="shared" si="1"/>
        <v>32673.759999999998</v>
      </c>
    </row>
    <row r="25" spans="1:67" x14ac:dyDescent="0.4">
      <c r="A25" s="5" t="s">
        <v>90</v>
      </c>
      <c r="B25" s="5" t="s">
        <v>106</v>
      </c>
      <c r="C25" s="5">
        <v>192732</v>
      </c>
      <c r="D25" s="6"/>
      <c r="E25" s="5" t="s">
        <v>12</v>
      </c>
      <c r="F25" s="5" t="s">
        <v>37</v>
      </c>
      <c r="G25" s="5" t="s">
        <v>12</v>
      </c>
      <c r="H25" s="7" t="s">
        <v>7</v>
      </c>
      <c r="I25" s="7" t="s">
        <v>38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16</v>
      </c>
      <c r="AC25" s="8">
        <v>15480</v>
      </c>
      <c r="AD25" s="7">
        <v>0</v>
      </c>
      <c r="AE25" s="7">
        <v>2</v>
      </c>
      <c r="AF25" s="8">
        <v>6400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11</v>
      </c>
      <c r="AO25" s="8">
        <v>9700</v>
      </c>
      <c r="AP25" s="7">
        <v>200</v>
      </c>
      <c r="AQ25" s="7">
        <v>1</v>
      </c>
      <c r="AR25" s="8">
        <v>3200</v>
      </c>
      <c r="AS25" s="7">
        <v>0</v>
      </c>
      <c r="AT25" s="7">
        <v>3</v>
      </c>
      <c r="AU25" s="8">
        <v>3240</v>
      </c>
      <c r="AV25" s="7">
        <v>0</v>
      </c>
      <c r="AW25" s="7">
        <v>0</v>
      </c>
      <c r="AX25" s="7">
        <v>0</v>
      </c>
      <c r="AY25" s="7">
        <v>0</v>
      </c>
      <c r="AZ25" s="7">
        <v>7</v>
      </c>
      <c r="BA25" s="8">
        <v>7560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777.6</v>
      </c>
      <c r="BM25" s="10">
        <v>45780</v>
      </c>
      <c r="BN25" s="13">
        <f t="shared" si="0"/>
        <v>45002.400000000001</v>
      </c>
      <c r="BO25" s="14">
        <f t="shared" si="1"/>
        <v>31501.68</v>
      </c>
    </row>
    <row r="26" spans="1:67" x14ac:dyDescent="0.4">
      <c r="A26" s="5" t="s">
        <v>90</v>
      </c>
      <c r="B26" s="5" t="s">
        <v>54</v>
      </c>
      <c r="C26" s="5">
        <v>192728</v>
      </c>
      <c r="D26" s="6"/>
      <c r="E26" s="5" t="s">
        <v>12</v>
      </c>
      <c r="F26" s="5" t="s">
        <v>37</v>
      </c>
      <c r="G26" s="5" t="s">
        <v>12</v>
      </c>
      <c r="H26" s="7" t="s">
        <v>7</v>
      </c>
      <c r="I26" s="7" t="s">
        <v>38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13</v>
      </c>
      <c r="AC26" s="8">
        <v>10900</v>
      </c>
      <c r="AD26" s="7">
        <v>0</v>
      </c>
      <c r="AE26" s="7">
        <v>4</v>
      </c>
      <c r="AF26" s="8">
        <v>12800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4</v>
      </c>
      <c r="AO26" s="8">
        <v>3600</v>
      </c>
      <c r="AP26" s="7">
        <v>0</v>
      </c>
      <c r="AQ26" s="7">
        <v>0</v>
      </c>
      <c r="AR26" s="7">
        <v>0</v>
      </c>
      <c r="AS26" s="7">
        <v>0</v>
      </c>
      <c r="AT26" s="7">
        <v>2</v>
      </c>
      <c r="AU26" s="8">
        <v>1320</v>
      </c>
      <c r="AV26" s="7">
        <v>500</v>
      </c>
      <c r="AW26" s="7">
        <v>0</v>
      </c>
      <c r="AX26" s="7">
        <v>0</v>
      </c>
      <c r="AY26" s="7">
        <v>0</v>
      </c>
      <c r="AZ26" s="7">
        <v>13</v>
      </c>
      <c r="BA26" s="8">
        <v>13080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916.8</v>
      </c>
      <c r="BM26" s="10">
        <v>42200</v>
      </c>
      <c r="BN26" s="13">
        <f t="shared" si="0"/>
        <v>41283.199999999997</v>
      </c>
      <c r="BO26" s="14">
        <f t="shared" si="1"/>
        <v>28898.239999999994</v>
      </c>
    </row>
    <row r="27" spans="1:67" x14ac:dyDescent="0.4">
      <c r="A27" s="5" t="s">
        <v>90</v>
      </c>
      <c r="B27" s="5" t="s">
        <v>107</v>
      </c>
      <c r="C27" s="5">
        <v>395747</v>
      </c>
      <c r="D27" s="6"/>
      <c r="E27" s="5" t="s">
        <v>12</v>
      </c>
      <c r="F27" s="5" t="s">
        <v>13</v>
      </c>
      <c r="G27" s="5" t="s">
        <v>12</v>
      </c>
      <c r="H27" s="7" t="s">
        <v>7</v>
      </c>
      <c r="I27" s="7" t="s">
        <v>108</v>
      </c>
      <c r="J27" s="7">
        <v>0</v>
      </c>
      <c r="K27" s="7">
        <v>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35</v>
      </c>
      <c r="AF27" s="8">
        <v>4120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9</v>
      </c>
      <c r="AX27" s="8">
        <v>1080</v>
      </c>
      <c r="AY27" s="7">
        <v>0</v>
      </c>
      <c r="AZ27" s="7">
        <v>0</v>
      </c>
      <c r="BA27" s="7">
        <v>0</v>
      </c>
      <c r="BB27" s="7">
        <v>0</v>
      </c>
      <c r="BC27" s="7">
        <v>307</v>
      </c>
      <c r="BD27" s="8">
        <v>36840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2318.4</v>
      </c>
      <c r="BM27" s="10">
        <v>42040</v>
      </c>
      <c r="BN27" s="13">
        <f t="shared" si="0"/>
        <v>39721.599999999999</v>
      </c>
      <c r="BO27" s="14">
        <f t="shared" si="1"/>
        <v>27805.119999999999</v>
      </c>
    </row>
    <row r="28" spans="1:67" ht="19.2" x14ac:dyDescent="0.4">
      <c r="A28" s="5" t="s">
        <v>90</v>
      </c>
      <c r="B28" s="5" t="s">
        <v>22</v>
      </c>
      <c r="C28" s="5">
        <v>409392</v>
      </c>
      <c r="D28" s="6"/>
      <c r="E28" s="5" t="s">
        <v>12</v>
      </c>
      <c r="F28" s="5" t="s">
        <v>14</v>
      </c>
      <c r="G28" s="5" t="s">
        <v>23</v>
      </c>
      <c r="H28" s="7" t="s">
        <v>7</v>
      </c>
      <c r="I28" s="7" t="s">
        <v>24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20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135</v>
      </c>
      <c r="AF28" s="8">
        <v>14280</v>
      </c>
      <c r="AG28" s="7">
        <v>100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220</v>
      </c>
      <c r="BD28" s="8">
        <v>26400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1584</v>
      </c>
      <c r="BM28" s="10">
        <v>40780</v>
      </c>
      <c r="BN28" s="13">
        <f t="shared" si="0"/>
        <v>39196</v>
      </c>
      <c r="BO28" s="14">
        <f t="shared" si="1"/>
        <v>27437.199999999997</v>
      </c>
    </row>
    <row r="29" spans="1:67" x14ac:dyDescent="0.4">
      <c r="A29" s="5" t="s">
        <v>90</v>
      </c>
      <c r="B29" s="5" t="s">
        <v>109</v>
      </c>
      <c r="C29" s="5">
        <v>287064</v>
      </c>
      <c r="D29" s="6"/>
      <c r="E29" s="5" t="s">
        <v>12</v>
      </c>
      <c r="F29" s="5" t="s">
        <v>58</v>
      </c>
      <c r="G29" s="5" t="s">
        <v>12</v>
      </c>
      <c r="H29" s="7" t="s">
        <v>7</v>
      </c>
      <c r="I29" s="7" t="s">
        <v>110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352</v>
      </c>
      <c r="AF29" s="8">
        <v>34480</v>
      </c>
      <c r="AG29" s="8">
        <v>1000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35480</v>
      </c>
      <c r="BN29" s="13">
        <f t="shared" si="0"/>
        <v>35480</v>
      </c>
      <c r="BO29" s="14">
        <f t="shared" si="1"/>
        <v>24836</v>
      </c>
    </row>
    <row r="30" spans="1:67" ht="19.2" x14ac:dyDescent="0.4">
      <c r="A30" s="5" t="s">
        <v>90</v>
      </c>
      <c r="B30" s="5" t="s">
        <v>111</v>
      </c>
      <c r="C30" s="5">
        <v>408617</v>
      </c>
      <c r="D30" s="6"/>
      <c r="E30" s="5" t="s">
        <v>12</v>
      </c>
      <c r="F30" s="5" t="s">
        <v>13</v>
      </c>
      <c r="G30" s="5" t="s">
        <v>23</v>
      </c>
      <c r="H30" s="7" t="s">
        <v>11</v>
      </c>
      <c r="I30" s="7" t="s">
        <v>45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173</v>
      </c>
      <c r="AF30" s="8">
        <v>14380</v>
      </c>
      <c r="AG30" s="8">
        <v>3000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151</v>
      </c>
      <c r="AR30" s="8">
        <v>15100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10</v>
      </c>
      <c r="BD30" s="8">
        <v>1200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72</v>
      </c>
      <c r="BM30" s="10">
        <v>33680</v>
      </c>
      <c r="BN30" s="13">
        <f t="shared" si="0"/>
        <v>33608</v>
      </c>
      <c r="BO30" s="14">
        <f t="shared" si="1"/>
        <v>23525.599999999999</v>
      </c>
    </row>
    <row r="31" spans="1:67" x14ac:dyDescent="0.4">
      <c r="A31" s="5" t="s">
        <v>90</v>
      </c>
      <c r="B31" s="5" t="s">
        <v>56</v>
      </c>
      <c r="C31" s="5">
        <v>196917</v>
      </c>
      <c r="D31" s="6"/>
      <c r="E31" s="5" t="s">
        <v>12</v>
      </c>
      <c r="F31" s="5" t="s">
        <v>37</v>
      </c>
      <c r="G31" s="5" t="s">
        <v>12</v>
      </c>
      <c r="H31" s="7" t="s">
        <v>7</v>
      </c>
      <c r="I31" s="7" t="s">
        <v>57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</v>
      </c>
      <c r="AC31" s="8">
        <v>5400</v>
      </c>
      <c r="AD31" s="7">
        <v>0</v>
      </c>
      <c r="AE31" s="7">
        <v>6</v>
      </c>
      <c r="AF31" s="8">
        <v>23040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4</v>
      </c>
      <c r="BA31" s="8">
        <v>4320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259.2</v>
      </c>
      <c r="BM31" s="10">
        <v>32760</v>
      </c>
      <c r="BN31" s="13">
        <f t="shared" si="0"/>
        <v>32500.799999999999</v>
      </c>
      <c r="BO31" s="14">
        <f t="shared" si="1"/>
        <v>22750.559999999998</v>
      </c>
    </row>
    <row r="32" spans="1:67" ht="19.2" x14ac:dyDescent="0.4">
      <c r="A32" s="5" t="s">
        <v>90</v>
      </c>
      <c r="B32" s="5" t="s">
        <v>112</v>
      </c>
      <c r="C32" s="5">
        <v>408050</v>
      </c>
      <c r="D32" s="6"/>
      <c r="E32" s="5" t="s">
        <v>12</v>
      </c>
      <c r="F32" s="5" t="s">
        <v>14</v>
      </c>
      <c r="G32" s="5" t="s">
        <v>23</v>
      </c>
      <c r="H32" s="7" t="s">
        <v>7</v>
      </c>
      <c r="I32" s="7" t="s">
        <v>113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282</v>
      </c>
      <c r="AF32" s="8">
        <v>32520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32520</v>
      </c>
      <c r="BN32" s="13">
        <f t="shared" si="0"/>
        <v>32520</v>
      </c>
      <c r="BO32" s="14">
        <f t="shared" si="1"/>
        <v>22764</v>
      </c>
    </row>
    <row r="33" spans="1:67" x14ac:dyDescent="0.4">
      <c r="A33" s="5" t="s">
        <v>90</v>
      </c>
      <c r="B33" s="5" t="s">
        <v>114</v>
      </c>
      <c r="C33" s="5">
        <v>308470</v>
      </c>
      <c r="D33" s="6"/>
      <c r="E33" s="5" t="s">
        <v>12</v>
      </c>
      <c r="F33" s="5" t="s">
        <v>37</v>
      </c>
      <c r="G33" s="5" t="s">
        <v>12</v>
      </c>
      <c r="H33" s="7" t="s">
        <v>7</v>
      </c>
      <c r="I33" s="7" t="s">
        <v>115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23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194</v>
      </c>
      <c r="AF33" s="8">
        <v>8000</v>
      </c>
      <c r="AG33" s="8">
        <v>11400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105</v>
      </c>
      <c r="BD33" s="8">
        <v>12600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756</v>
      </c>
      <c r="BM33" s="10">
        <v>32000</v>
      </c>
      <c r="BN33" s="13">
        <f t="shared" si="0"/>
        <v>31244</v>
      </c>
      <c r="BO33" s="14">
        <f t="shared" si="1"/>
        <v>21870.799999999999</v>
      </c>
    </row>
    <row r="34" spans="1:67" x14ac:dyDescent="0.4">
      <c r="A34" s="5" t="s">
        <v>90</v>
      </c>
      <c r="B34" s="5" t="s">
        <v>46</v>
      </c>
      <c r="C34" s="5">
        <v>192729</v>
      </c>
      <c r="D34" s="6"/>
      <c r="E34" s="5" t="s">
        <v>12</v>
      </c>
      <c r="F34" s="5" t="s">
        <v>37</v>
      </c>
      <c r="G34" s="5" t="s">
        <v>12</v>
      </c>
      <c r="H34" s="7" t="s">
        <v>7</v>
      </c>
      <c r="I34" s="7" t="s">
        <v>47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9</v>
      </c>
      <c r="AC34" s="8">
        <v>8100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20</v>
      </c>
      <c r="BA34" s="8">
        <v>21600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1296</v>
      </c>
      <c r="BM34" s="10">
        <v>29700</v>
      </c>
      <c r="BN34" s="13">
        <f t="shared" si="0"/>
        <v>28404</v>
      </c>
      <c r="BO34" s="14">
        <f t="shared" si="1"/>
        <v>19882.8</v>
      </c>
    </row>
    <row r="35" spans="1:67" x14ac:dyDescent="0.4">
      <c r="A35" s="5" t="s">
        <v>90</v>
      </c>
      <c r="B35" s="5" t="s">
        <v>116</v>
      </c>
      <c r="C35" s="5">
        <v>229857</v>
      </c>
      <c r="D35" s="6"/>
      <c r="E35" s="5" t="s">
        <v>12</v>
      </c>
      <c r="F35" s="5" t="s">
        <v>13</v>
      </c>
      <c r="G35" s="5" t="s">
        <v>12</v>
      </c>
      <c r="H35" s="7" t="s">
        <v>11</v>
      </c>
      <c r="I35" s="7" t="s">
        <v>117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16</v>
      </c>
      <c r="AC35" s="8">
        <v>11720</v>
      </c>
      <c r="AD35" s="8">
        <v>2700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2</v>
      </c>
      <c r="AO35" s="8">
        <v>1800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8</v>
      </c>
      <c r="BA35" s="8">
        <v>7680</v>
      </c>
      <c r="BB35" s="7">
        <v>0</v>
      </c>
      <c r="BC35" s="7">
        <v>1</v>
      </c>
      <c r="BD35" s="8">
        <v>3840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691.2</v>
      </c>
      <c r="BM35" s="10">
        <v>27740</v>
      </c>
      <c r="BN35" s="13">
        <f t="shared" si="0"/>
        <v>27048.799999999999</v>
      </c>
      <c r="BO35" s="14">
        <f t="shared" si="1"/>
        <v>18934.16</v>
      </c>
    </row>
    <row r="36" spans="1:67" ht="19.2" x14ac:dyDescent="0.4">
      <c r="A36" s="5" t="s">
        <v>90</v>
      </c>
      <c r="B36" s="5" t="s">
        <v>76</v>
      </c>
      <c r="C36" s="5">
        <v>408317</v>
      </c>
      <c r="D36" s="6"/>
      <c r="E36" s="5" t="s">
        <v>12</v>
      </c>
      <c r="F36" s="5" t="s">
        <v>37</v>
      </c>
      <c r="G36" s="5" t="s">
        <v>23</v>
      </c>
      <c r="H36" s="7" t="s">
        <v>8</v>
      </c>
      <c r="I36" s="7" t="s">
        <v>45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54</v>
      </c>
      <c r="AF36" s="8">
        <v>1900</v>
      </c>
      <c r="AG36" s="8">
        <v>3500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179</v>
      </c>
      <c r="BD36" s="8">
        <v>21480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1288.8</v>
      </c>
      <c r="BM36" s="10">
        <v>26880</v>
      </c>
      <c r="BN36" s="13">
        <f t="shared" si="0"/>
        <v>25591.200000000001</v>
      </c>
      <c r="BO36" s="14">
        <f t="shared" si="1"/>
        <v>17913.84</v>
      </c>
    </row>
    <row r="37" spans="1:67" x14ac:dyDescent="0.4">
      <c r="A37" s="5" t="s">
        <v>90</v>
      </c>
      <c r="B37" s="5" t="s">
        <v>118</v>
      </c>
      <c r="C37" s="5">
        <v>388417</v>
      </c>
      <c r="D37" s="6"/>
      <c r="E37" s="5" t="s">
        <v>12</v>
      </c>
      <c r="F37" s="5" t="s">
        <v>119</v>
      </c>
      <c r="G37" s="5" t="s">
        <v>12</v>
      </c>
      <c r="H37" s="7" t="s">
        <v>7</v>
      </c>
      <c r="I37" s="7" t="s">
        <v>120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14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144</v>
      </c>
      <c r="AF37" s="8">
        <v>10280</v>
      </c>
      <c r="AG37" s="8">
        <v>4200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76</v>
      </c>
      <c r="BD37" s="8">
        <v>9120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547.20000000000005</v>
      </c>
      <c r="BM37" s="10">
        <v>23600</v>
      </c>
      <c r="BN37" s="13">
        <f t="shared" si="0"/>
        <v>23052.799999999999</v>
      </c>
      <c r="BO37" s="14">
        <f t="shared" si="1"/>
        <v>16136.96</v>
      </c>
    </row>
    <row r="38" spans="1:67" x14ac:dyDescent="0.4">
      <c r="A38" s="5" t="s">
        <v>90</v>
      </c>
      <c r="B38" s="5" t="s">
        <v>60</v>
      </c>
      <c r="C38" s="5">
        <v>258201</v>
      </c>
      <c r="D38" s="6"/>
      <c r="E38" s="5" t="s">
        <v>12</v>
      </c>
      <c r="F38" s="5" t="s">
        <v>42</v>
      </c>
      <c r="G38" s="5" t="s">
        <v>12</v>
      </c>
      <c r="H38" s="7" t="s">
        <v>7</v>
      </c>
      <c r="I38" s="7" t="s">
        <v>61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13</v>
      </c>
      <c r="AC38" s="8">
        <v>10780</v>
      </c>
      <c r="AD38" s="8">
        <v>2700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9</v>
      </c>
      <c r="BA38" s="8">
        <v>9720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583.20000000000005</v>
      </c>
      <c r="BM38" s="10">
        <v>23200</v>
      </c>
      <c r="BN38" s="13">
        <f t="shared" si="0"/>
        <v>22616.799999999999</v>
      </c>
      <c r="BO38" s="14">
        <f t="shared" si="1"/>
        <v>15831.759999999998</v>
      </c>
    </row>
    <row r="39" spans="1:67" x14ac:dyDescent="0.4">
      <c r="A39" s="5" t="s">
        <v>90</v>
      </c>
      <c r="B39" s="5" t="s">
        <v>121</v>
      </c>
      <c r="C39" s="5">
        <v>194565</v>
      </c>
      <c r="D39" s="6"/>
      <c r="E39" s="5" t="s">
        <v>12</v>
      </c>
      <c r="F39" s="5" t="s">
        <v>17</v>
      </c>
      <c r="G39" s="5" t="s">
        <v>12</v>
      </c>
      <c r="H39" s="7" t="s">
        <v>7</v>
      </c>
      <c r="I39" s="7" t="s">
        <v>122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30</v>
      </c>
      <c r="AF39" s="7">
        <v>600</v>
      </c>
      <c r="AG39" s="8">
        <v>2400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76</v>
      </c>
      <c r="AR39" s="8">
        <v>7400</v>
      </c>
      <c r="AS39" s="7">
        <v>200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102</v>
      </c>
      <c r="BD39" s="8">
        <v>12240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734.4</v>
      </c>
      <c r="BM39" s="10">
        <v>22840</v>
      </c>
      <c r="BN39" s="13">
        <f t="shared" si="0"/>
        <v>22105.599999999999</v>
      </c>
      <c r="BO39" s="14">
        <f t="shared" si="1"/>
        <v>15473.919999999998</v>
      </c>
    </row>
    <row r="40" spans="1:67" x14ac:dyDescent="0.4">
      <c r="A40" s="5" t="s">
        <v>90</v>
      </c>
      <c r="B40" s="5" t="s">
        <v>123</v>
      </c>
      <c r="C40" s="5">
        <v>272304</v>
      </c>
      <c r="D40" s="6"/>
      <c r="E40" s="5" t="s">
        <v>12</v>
      </c>
      <c r="F40" s="5" t="s">
        <v>13</v>
      </c>
      <c r="G40" s="5" t="s">
        <v>12</v>
      </c>
      <c r="H40" s="7" t="s">
        <v>7</v>
      </c>
      <c r="I40" s="7" t="s">
        <v>124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4</v>
      </c>
      <c r="AO40" s="8">
        <v>3400</v>
      </c>
      <c r="AP40" s="7">
        <v>200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1</v>
      </c>
      <c r="AX40" s="8">
        <v>3840</v>
      </c>
      <c r="AY40" s="7">
        <v>0</v>
      </c>
      <c r="AZ40" s="7">
        <v>14</v>
      </c>
      <c r="BA40" s="8">
        <v>15120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1291.2</v>
      </c>
      <c r="BM40" s="10">
        <v>22560</v>
      </c>
      <c r="BN40" s="13">
        <f t="shared" si="0"/>
        <v>21268.799999999999</v>
      </c>
      <c r="BO40" s="14">
        <f t="shared" si="1"/>
        <v>14888.159999999998</v>
      </c>
    </row>
    <row r="41" spans="1:67" x14ac:dyDescent="0.4">
      <c r="A41" s="5" t="s">
        <v>90</v>
      </c>
      <c r="B41" s="5" t="s">
        <v>82</v>
      </c>
      <c r="C41" s="5">
        <v>285988</v>
      </c>
      <c r="D41" s="6"/>
      <c r="E41" s="5" t="s">
        <v>12</v>
      </c>
      <c r="F41" s="5" t="s">
        <v>13</v>
      </c>
      <c r="G41" s="5" t="s">
        <v>12</v>
      </c>
      <c r="H41" s="7" t="s">
        <v>7</v>
      </c>
      <c r="I41" s="7" t="s">
        <v>49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11</v>
      </c>
      <c r="AC41" s="8">
        <v>9100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12</v>
      </c>
      <c r="BA41" s="8">
        <v>12840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770.4</v>
      </c>
      <c r="BM41" s="10">
        <v>21940</v>
      </c>
      <c r="BN41" s="13">
        <f t="shared" si="0"/>
        <v>21169.599999999999</v>
      </c>
      <c r="BO41" s="14">
        <f t="shared" si="1"/>
        <v>14818.719999999998</v>
      </c>
    </row>
    <row r="42" spans="1:67" x14ac:dyDescent="0.4">
      <c r="A42" s="5" t="s">
        <v>90</v>
      </c>
      <c r="B42" s="5" t="s">
        <v>125</v>
      </c>
      <c r="C42" s="5">
        <v>174583</v>
      </c>
      <c r="D42" s="6"/>
      <c r="E42" s="5" t="s">
        <v>12</v>
      </c>
      <c r="F42" s="5" t="s">
        <v>14</v>
      </c>
      <c r="G42" s="5" t="s">
        <v>12</v>
      </c>
      <c r="H42" s="7" t="s">
        <v>7</v>
      </c>
      <c r="I42" s="7" t="s">
        <v>126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9</v>
      </c>
      <c r="AC42" s="7">
        <v>0</v>
      </c>
      <c r="AD42" s="8">
        <v>8100</v>
      </c>
      <c r="AE42" s="7">
        <v>4</v>
      </c>
      <c r="AF42" s="7">
        <v>0</v>
      </c>
      <c r="AG42" s="8">
        <v>11700</v>
      </c>
      <c r="AH42" s="7">
        <v>0</v>
      </c>
      <c r="AI42" s="7">
        <v>0</v>
      </c>
      <c r="AJ42" s="7">
        <v>0</v>
      </c>
      <c r="AK42" s="7">
        <v>2</v>
      </c>
      <c r="AL42" s="7">
        <v>0</v>
      </c>
      <c r="AM42" s="8">
        <v>1100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20900</v>
      </c>
      <c r="BN42" s="13">
        <f t="shared" si="0"/>
        <v>20900</v>
      </c>
      <c r="BO42" s="14">
        <f t="shared" si="1"/>
        <v>14629.999999999998</v>
      </c>
    </row>
    <row r="43" spans="1:67" x14ac:dyDescent="0.4">
      <c r="A43" s="5" t="s">
        <v>90</v>
      </c>
      <c r="B43" s="5" t="s">
        <v>127</v>
      </c>
      <c r="C43" s="5">
        <v>227013</v>
      </c>
      <c r="D43" s="6"/>
      <c r="E43" s="5" t="s">
        <v>12</v>
      </c>
      <c r="F43" s="5" t="s">
        <v>14</v>
      </c>
      <c r="G43" s="5" t="s">
        <v>12</v>
      </c>
      <c r="H43" s="7" t="s">
        <v>7</v>
      </c>
      <c r="I43" s="7" t="s">
        <v>128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6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187</v>
      </c>
      <c r="AF43" s="8">
        <v>13840</v>
      </c>
      <c r="AG43" s="8">
        <v>6300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7</v>
      </c>
      <c r="AR43" s="7">
        <v>700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20840</v>
      </c>
      <c r="BN43" s="13">
        <f t="shared" si="0"/>
        <v>20840</v>
      </c>
      <c r="BO43" s="14">
        <f t="shared" si="1"/>
        <v>14587.999999999998</v>
      </c>
    </row>
    <row r="44" spans="1:67" x14ac:dyDescent="0.4">
      <c r="A44" s="5" t="s">
        <v>90</v>
      </c>
      <c r="B44" s="5" t="s">
        <v>129</v>
      </c>
      <c r="C44" s="5">
        <v>285994</v>
      </c>
      <c r="D44" s="6"/>
      <c r="E44" s="5" t="s">
        <v>12</v>
      </c>
      <c r="F44" s="5" t="s">
        <v>13</v>
      </c>
      <c r="G44" s="5" t="s">
        <v>12</v>
      </c>
      <c r="H44" s="7" t="s">
        <v>7</v>
      </c>
      <c r="I44" s="7" t="s">
        <v>49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10</v>
      </c>
      <c r="AC44" s="8">
        <v>6880</v>
      </c>
      <c r="AD44" s="8">
        <v>1800</v>
      </c>
      <c r="AE44" s="7">
        <v>0</v>
      </c>
      <c r="AF44" s="7">
        <v>0</v>
      </c>
      <c r="AG44" s="7">
        <v>0</v>
      </c>
      <c r="AH44" s="7">
        <v>1</v>
      </c>
      <c r="AI44" s="8">
        <v>1080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2</v>
      </c>
      <c r="AU44" s="8">
        <v>1680</v>
      </c>
      <c r="AV44" s="7">
        <v>0</v>
      </c>
      <c r="AW44" s="7">
        <v>0</v>
      </c>
      <c r="AX44" s="7">
        <v>0</v>
      </c>
      <c r="AY44" s="7">
        <v>0</v>
      </c>
      <c r="AZ44" s="7">
        <v>7</v>
      </c>
      <c r="BA44" s="8">
        <v>7560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945.6</v>
      </c>
      <c r="BM44" s="10">
        <v>19000</v>
      </c>
      <c r="BN44" s="13">
        <f t="shared" si="0"/>
        <v>18054.400000000001</v>
      </c>
      <c r="BO44" s="14">
        <f t="shared" si="1"/>
        <v>12638.08</v>
      </c>
    </row>
    <row r="45" spans="1:67" x14ac:dyDescent="0.4">
      <c r="A45" s="5" t="s">
        <v>90</v>
      </c>
      <c r="B45" s="5" t="s">
        <v>130</v>
      </c>
      <c r="C45" s="5">
        <v>285990</v>
      </c>
      <c r="D45" s="6"/>
      <c r="E45" s="5" t="s">
        <v>12</v>
      </c>
      <c r="F45" s="5" t="s">
        <v>13</v>
      </c>
      <c r="G45" s="5" t="s">
        <v>12</v>
      </c>
      <c r="H45" s="7" t="s">
        <v>7</v>
      </c>
      <c r="I45" s="7" t="s">
        <v>49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10</v>
      </c>
      <c r="AC45" s="8">
        <v>9520</v>
      </c>
      <c r="AD45" s="7">
        <v>200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1</v>
      </c>
      <c r="AO45" s="7">
        <v>900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4</v>
      </c>
      <c r="BA45" s="8">
        <v>4320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259.2</v>
      </c>
      <c r="BM45" s="10">
        <v>14940</v>
      </c>
      <c r="BN45" s="13">
        <f t="shared" si="0"/>
        <v>14680.8</v>
      </c>
      <c r="BO45" s="14">
        <f t="shared" si="1"/>
        <v>10276.56</v>
      </c>
    </row>
    <row r="46" spans="1:67" x14ac:dyDescent="0.4">
      <c r="A46" s="5" t="s">
        <v>90</v>
      </c>
      <c r="B46" s="5" t="s">
        <v>131</v>
      </c>
      <c r="C46" s="5">
        <v>406732</v>
      </c>
      <c r="D46" s="6"/>
      <c r="E46" s="5" t="s">
        <v>12</v>
      </c>
      <c r="F46" s="5" t="s">
        <v>13</v>
      </c>
      <c r="G46" s="5" t="s">
        <v>12</v>
      </c>
      <c r="H46" s="7" t="s">
        <v>7</v>
      </c>
      <c r="I46" s="7" t="s">
        <v>132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57</v>
      </c>
      <c r="AF46" s="8">
        <v>3000</v>
      </c>
      <c r="AG46" s="8">
        <v>2700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19</v>
      </c>
      <c r="AX46" s="8">
        <v>2280</v>
      </c>
      <c r="AY46" s="7">
        <v>0</v>
      </c>
      <c r="AZ46" s="7">
        <v>0</v>
      </c>
      <c r="BA46" s="7">
        <v>0</v>
      </c>
      <c r="BB46" s="7">
        <v>0</v>
      </c>
      <c r="BC46" s="7">
        <v>35</v>
      </c>
      <c r="BD46" s="8">
        <v>4200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480</v>
      </c>
      <c r="BM46" s="10">
        <v>12180</v>
      </c>
      <c r="BN46" s="13">
        <f t="shared" si="0"/>
        <v>11700</v>
      </c>
      <c r="BO46" s="14">
        <f t="shared" si="1"/>
        <v>8189.9999999999991</v>
      </c>
    </row>
    <row r="47" spans="1:67" x14ac:dyDescent="0.4">
      <c r="A47" s="5" t="s">
        <v>90</v>
      </c>
      <c r="B47" s="5" t="s">
        <v>59</v>
      </c>
      <c r="C47" s="5">
        <v>305089</v>
      </c>
      <c r="D47" s="6"/>
      <c r="E47" s="5" t="s">
        <v>12</v>
      </c>
      <c r="F47" s="5" t="s">
        <v>58</v>
      </c>
      <c r="G47" s="5" t="s">
        <v>12</v>
      </c>
      <c r="H47" s="7" t="s">
        <v>7</v>
      </c>
      <c r="I47" s="7" t="s">
        <v>10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5</v>
      </c>
      <c r="AC47" s="8">
        <v>4960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6</v>
      </c>
      <c r="BA47" s="8">
        <v>6480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388.8</v>
      </c>
      <c r="BM47" s="10">
        <v>11440</v>
      </c>
      <c r="BN47" s="13">
        <f t="shared" si="0"/>
        <v>11051.2</v>
      </c>
      <c r="BO47" s="14">
        <f t="shared" si="1"/>
        <v>7735.84</v>
      </c>
    </row>
    <row r="48" spans="1:67" x14ac:dyDescent="0.4">
      <c r="A48" s="5" t="s">
        <v>90</v>
      </c>
      <c r="B48" s="5" t="s">
        <v>78</v>
      </c>
      <c r="C48" s="5">
        <v>238494</v>
      </c>
      <c r="D48" s="6"/>
      <c r="E48" s="5" t="s">
        <v>12</v>
      </c>
      <c r="F48" s="5" t="s">
        <v>37</v>
      </c>
      <c r="G48" s="5" t="s">
        <v>12</v>
      </c>
      <c r="H48" s="7" t="s">
        <v>7</v>
      </c>
      <c r="I48" s="7" t="s">
        <v>79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2</v>
      </c>
      <c r="AC48" s="7">
        <v>0</v>
      </c>
      <c r="AD48" s="8">
        <v>1700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7</v>
      </c>
      <c r="AO48" s="8">
        <v>6100</v>
      </c>
      <c r="AP48" s="7">
        <v>200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4</v>
      </c>
      <c r="BA48" s="8">
        <v>3360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201.6</v>
      </c>
      <c r="BM48" s="10">
        <v>11360</v>
      </c>
      <c r="BN48" s="13">
        <f t="shared" si="0"/>
        <v>11158.4</v>
      </c>
      <c r="BO48" s="14">
        <f t="shared" si="1"/>
        <v>7810.8799999999992</v>
      </c>
    </row>
    <row r="49" spans="1:67" ht="19.2" x14ac:dyDescent="0.4">
      <c r="A49" s="5" t="s">
        <v>90</v>
      </c>
      <c r="B49" s="5" t="s">
        <v>133</v>
      </c>
      <c r="C49" s="5">
        <v>406368</v>
      </c>
      <c r="D49" s="6"/>
      <c r="E49" s="5" t="s">
        <v>12</v>
      </c>
      <c r="F49" s="5" t="s">
        <v>99</v>
      </c>
      <c r="G49" s="5" t="s">
        <v>23</v>
      </c>
      <c r="H49" s="7" t="s">
        <v>7</v>
      </c>
      <c r="I49" s="7" t="s">
        <v>55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8">
        <v>6400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1</v>
      </c>
      <c r="BD49" s="8">
        <v>3840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230.4</v>
      </c>
      <c r="BM49" s="10">
        <v>10240</v>
      </c>
      <c r="BN49" s="13">
        <f t="shared" si="0"/>
        <v>10009.6</v>
      </c>
      <c r="BO49" s="14">
        <f t="shared" si="1"/>
        <v>7006.72</v>
      </c>
    </row>
    <row r="50" spans="1:67" x14ac:dyDescent="0.4">
      <c r="A50" s="5" t="s">
        <v>90</v>
      </c>
      <c r="B50" s="5" t="s">
        <v>134</v>
      </c>
      <c r="C50" s="5">
        <v>300910</v>
      </c>
      <c r="D50" s="6"/>
      <c r="E50" s="5" t="s">
        <v>12</v>
      </c>
      <c r="F50" s="5" t="s">
        <v>42</v>
      </c>
      <c r="G50" s="5" t="s">
        <v>12</v>
      </c>
      <c r="H50" s="7" t="s">
        <v>7</v>
      </c>
      <c r="I50" s="7" t="s">
        <v>135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9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23</v>
      </c>
      <c r="AF50" s="8">
        <v>2000</v>
      </c>
      <c r="AG50" s="7">
        <v>300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63</v>
      </c>
      <c r="BD50" s="8">
        <v>6960</v>
      </c>
      <c r="BE50" s="7">
        <v>500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417.6</v>
      </c>
      <c r="BM50" s="10">
        <v>9760</v>
      </c>
      <c r="BN50" s="13">
        <f t="shared" si="0"/>
        <v>9342.4</v>
      </c>
      <c r="BO50" s="14">
        <f t="shared" si="1"/>
        <v>6539.6799999999994</v>
      </c>
    </row>
    <row r="51" spans="1:67" x14ac:dyDescent="0.4">
      <c r="A51" s="5" t="s">
        <v>90</v>
      </c>
      <c r="B51" s="5" t="s">
        <v>136</v>
      </c>
      <c r="C51" s="5">
        <v>210381</v>
      </c>
      <c r="D51" s="6"/>
      <c r="E51" s="5" t="s">
        <v>12</v>
      </c>
      <c r="F51" s="5" t="s">
        <v>37</v>
      </c>
      <c r="G51" s="5" t="s">
        <v>12</v>
      </c>
      <c r="H51" s="7" t="s">
        <v>7</v>
      </c>
      <c r="I51" s="7" t="s">
        <v>137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3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45</v>
      </c>
      <c r="AF51" s="8">
        <v>3500</v>
      </c>
      <c r="AG51" s="8">
        <v>1000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22</v>
      </c>
      <c r="BD51" s="8">
        <v>2640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158.4</v>
      </c>
      <c r="BM51" s="10">
        <v>7140</v>
      </c>
      <c r="BN51" s="13">
        <f t="shared" si="0"/>
        <v>6981.6</v>
      </c>
      <c r="BO51" s="14">
        <f t="shared" si="1"/>
        <v>4887.12</v>
      </c>
    </row>
    <row r="52" spans="1:67" x14ac:dyDescent="0.4">
      <c r="A52" s="5" t="s">
        <v>90</v>
      </c>
      <c r="B52" s="5" t="s">
        <v>138</v>
      </c>
      <c r="C52" s="5">
        <v>404358</v>
      </c>
      <c r="D52" s="6"/>
      <c r="E52" s="5" t="s">
        <v>12</v>
      </c>
      <c r="F52" s="5" t="s">
        <v>139</v>
      </c>
      <c r="G52" s="5" t="s">
        <v>12</v>
      </c>
      <c r="H52" s="7" t="s">
        <v>7</v>
      </c>
      <c r="I52" s="7" t="s">
        <v>140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37</v>
      </c>
      <c r="AF52" s="8">
        <v>3700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16</v>
      </c>
      <c r="BD52" s="8">
        <v>1920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115.2</v>
      </c>
      <c r="BM52" s="10">
        <v>5620</v>
      </c>
      <c r="BN52" s="13">
        <f t="shared" si="0"/>
        <v>5504.8</v>
      </c>
      <c r="BO52" s="14">
        <f t="shared" si="1"/>
        <v>3853.3599999999997</v>
      </c>
    </row>
    <row r="53" spans="1:67" x14ac:dyDescent="0.4">
      <c r="A53" s="5" t="s">
        <v>90</v>
      </c>
      <c r="B53" s="5" t="s">
        <v>141</v>
      </c>
      <c r="C53" s="5">
        <v>332843</v>
      </c>
      <c r="D53" s="6"/>
      <c r="E53" s="5" t="s">
        <v>12</v>
      </c>
      <c r="F53" s="5" t="s">
        <v>13</v>
      </c>
      <c r="G53" s="5" t="s">
        <v>12</v>
      </c>
      <c r="H53" s="7" t="s">
        <v>7</v>
      </c>
      <c r="I53" s="7" t="s">
        <v>142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45</v>
      </c>
      <c r="BD53" s="8">
        <v>5400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324</v>
      </c>
      <c r="BM53" s="10">
        <v>5400</v>
      </c>
      <c r="BN53" s="13">
        <f t="shared" si="0"/>
        <v>5076</v>
      </c>
      <c r="BO53" s="14">
        <f t="shared" si="1"/>
        <v>3553.2</v>
      </c>
    </row>
    <row r="54" spans="1:67" ht="19.2" x14ac:dyDescent="0.4">
      <c r="A54" s="5" t="s">
        <v>90</v>
      </c>
      <c r="B54" s="5" t="s">
        <v>62</v>
      </c>
      <c r="C54" s="5">
        <v>406370</v>
      </c>
      <c r="D54" s="6"/>
      <c r="E54" s="5" t="s">
        <v>12</v>
      </c>
      <c r="F54" s="5" t="s">
        <v>37</v>
      </c>
      <c r="G54" s="5" t="s">
        <v>23</v>
      </c>
      <c r="H54" s="7" t="s">
        <v>8</v>
      </c>
      <c r="I54" s="7" t="s">
        <v>55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2</v>
      </c>
      <c r="AC54" s="8">
        <v>1800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2</v>
      </c>
      <c r="AU54" s="8">
        <v>2160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216</v>
      </c>
      <c r="BM54" s="10">
        <v>3960</v>
      </c>
      <c r="BN54" s="13">
        <f t="shared" si="0"/>
        <v>3744</v>
      </c>
      <c r="BO54" s="14">
        <f t="shared" si="1"/>
        <v>2620.7999999999997</v>
      </c>
    </row>
    <row r="55" spans="1:67" x14ac:dyDescent="0.4">
      <c r="A55" s="5" t="s">
        <v>90</v>
      </c>
      <c r="B55" s="5" t="s">
        <v>86</v>
      </c>
      <c r="C55" s="5">
        <v>239858</v>
      </c>
      <c r="D55" s="6"/>
      <c r="E55" s="5" t="s">
        <v>12</v>
      </c>
      <c r="F55" s="5" t="s">
        <v>13</v>
      </c>
      <c r="G55" s="5" t="s">
        <v>12</v>
      </c>
      <c r="H55" s="7" t="s">
        <v>7</v>
      </c>
      <c r="I55" s="7" t="s">
        <v>87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1</v>
      </c>
      <c r="AC55" s="7">
        <v>0</v>
      </c>
      <c r="AD55" s="7">
        <v>900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2</v>
      </c>
      <c r="BA55" s="8">
        <v>2160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129.6</v>
      </c>
      <c r="BM55" s="10">
        <v>3060</v>
      </c>
      <c r="BN55" s="13">
        <f t="shared" si="0"/>
        <v>2930.4</v>
      </c>
      <c r="BO55" s="14">
        <f t="shared" si="1"/>
        <v>2051.2799999999997</v>
      </c>
    </row>
    <row r="56" spans="1:67" ht="19.2" x14ac:dyDescent="0.4">
      <c r="A56" s="5" t="s">
        <v>90</v>
      </c>
      <c r="B56" s="5" t="s">
        <v>143</v>
      </c>
      <c r="C56" s="5">
        <v>409391</v>
      </c>
      <c r="D56" s="6"/>
      <c r="E56" s="5" t="s">
        <v>12</v>
      </c>
      <c r="F56" s="5" t="s">
        <v>37</v>
      </c>
      <c r="G56" s="5" t="s">
        <v>23</v>
      </c>
      <c r="H56" s="7" t="s">
        <v>7</v>
      </c>
      <c r="I56" s="7" t="s">
        <v>24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5</v>
      </c>
      <c r="AF56" s="7">
        <v>0</v>
      </c>
      <c r="AG56" s="7">
        <v>500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20</v>
      </c>
      <c r="BD56" s="8">
        <v>2400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144</v>
      </c>
      <c r="BM56" s="10">
        <v>2900</v>
      </c>
      <c r="BN56" s="13">
        <f t="shared" si="0"/>
        <v>2756</v>
      </c>
      <c r="BO56" s="14">
        <f t="shared" si="1"/>
        <v>1929.1999999999998</v>
      </c>
    </row>
    <row r="57" spans="1:67" x14ac:dyDescent="0.4">
      <c r="A57" s="5" t="s">
        <v>90</v>
      </c>
      <c r="B57" s="5" t="s">
        <v>50</v>
      </c>
      <c r="C57" s="5">
        <v>183137</v>
      </c>
      <c r="D57" s="6"/>
      <c r="E57" s="5" t="s">
        <v>12</v>
      </c>
      <c r="F57" s="5" t="s">
        <v>14</v>
      </c>
      <c r="G57" s="5" t="s">
        <v>12</v>
      </c>
      <c r="H57" s="7" t="s">
        <v>7</v>
      </c>
      <c r="I57" s="7" t="s">
        <v>51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2</v>
      </c>
      <c r="AC57" s="8">
        <v>2160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2160</v>
      </c>
      <c r="BN57" s="13">
        <f t="shared" si="0"/>
        <v>2160</v>
      </c>
      <c r="BO57" s="14">
        <f t="shared" si="1"/>
        <v>1512</v>
      </c>
    </row>
    <row r="58" spans="1:67" x14ac:dyDescent="0.4">
      <c r="A58" s="5" t="s">
        <v>90</v>
      </c>
      <c r="B58" s="5" t="s">
        <v>144</v>
      </c>
      <c r="C58" s="5">
        <v>249762</v>
      </c>
      <c r="D58" s="6"/>
      <c r="E58" s="5" t="s">
        <v>12</v>
      </c>
      <c r="F58" s="5" t="s">
        <v>13</v>
      </c>
      <c r="G58" s="5" t="s">
        <v>12</v>
      </c>
      <c r="H58" s="7" t="s">
        <v>7</v>
      </c>
      <c r="I58" s="7" t="s">
        <v>145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3</v>
      </c>
      <c r="AR58" s="7">
        <v>300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14</v>
      </c>
      <c r="BD58" s="8">
        <v>1680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100.8</v>
      </c>
      <c r="BM58" s="10">
        <v>1980</v>
      </c>
      <c r="BN58" s="13">
        <f t="shared" si="0"/>
        <v>1879.2</v>
      </c>
      <c r="BO58" s="14">
        <f t="shared" si="1"/>
        <v>1315.44</v>
      </c>
    </row>
    <row r="59" spans="1:67" ht="19.2" x14ac:dyDescent="0.4">
      <c r="A59" s="5" t="s">
        <v>90</v>
      </c>
      <c r="B59" s="5" t="s">
        <v>146</v>
      </c>
      <c r="C59" s="5">
        <v>408450</v>
      </c>
      <c r="D59" s="6"/>
      <c r="E59" s="5" t="s">
        <v>12</v>
      </c>
      <c r="F59" s="5" t="s">
        <v>13</v>
      </c>
      <c r="G59" s="5" t="s">
        <v>23</v>
      </c>
      <c r="H59" s="7" t="s">
        <v>7</v>
      </c>
      <c r="I59" s="7" t="s">
        <v>147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15</v>
      </c>
      <c r="AF59" s="7">
        <v>0</v>
      </c>
      <c r="AG59" s="8">
        <v>1500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1500</v>
      </c>
      <c r="BN59" s="13">
        <f t="shared" si="0"/>
        <v>1500</v>
      </c>
      <c r="BO59" s="14">
        <f t="shared" si="1"/>
        <v>1050</v>
      </c>
    </row>
    <row r="60" spans="1:67" x14ac:dyDescent="0.4">
      <c r="A60" s="5" t="s">
        <v>90</v>
      </c>
      <c r="B60" s="5" t="s">
        <v>148</v>
      </c>
      <c r="C60" s="5">
        <v>227856</v>
      </c>
      <c r="D60" s="6"/>
      <c r="E60" s="5" t="s">
        <v>12</v>
      </c>
      <c r="F60" s="5" t="s">
        <v>149</v>
      </c>
      <c r="G60" s="5" t="s">
        <v>12</v>
      </c>
      <c r="H60" s="7" t="s">
        <v>7</v>
      </c>
      <c r="I60" s="7" t="s">
        <v>150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900</v>
      </c>
      <c r="BN60" s="13">
        <f t="shared" si="0"/>
        <v>900</v>
      </c>
      <c r="BO60" s="14">
        <f t="shared" si="1"/>
        <v>630</v>
      </c>
    </row>
    <row r="61" spans="1:67" x14ac:dyDescent="0.4">
      <c r="A61" s="5" t="s">
        <v>91</v>
      </c>
      <c r="B61" s="5" t="s">
        <v>15</v>
      </c>
      <c r="C61" s="5">
        <v>355332</v>
      </c>
      <c r="D61" s="6"/>
      <c r="E61" s="5" t="s">
        <v>12</v>
      </c>
      <c r="F61" s="5" t="s">
        <v>14</v>
      </c>
      <c r="G61" s="5" t="s">
        <v>12</v>
      </c>
      <c r="H61" s="7" t="s">
        <v>8</v>
      </c>
      <c r="I61" s="7" t="s">
        <v>77</v>
      </c>
      <c r="J61" s="7">
        <v>2</v>
      </c>
      <c r="K61" s="7">
        <v>96</v>
      </c>
      <c r="L61" s="7">
        <v>200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50</v>
      </c>
      <c r="T61" s="7">
        <v>456</v>
      </c>
      <c r="U61" s="7">
        <v>0</v>
      </c>
      <c r="V61" s="8">
        <v>5000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8">
        <v>3397</v>
      </c>
      <c r="AF61" s="8">
        <v>350960</v>
      </c>
      <c r="AG61" s="8">
        <v>33200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8">
        <v>1968</v>
      </c>
      <c r="AR61" s="8">
        <v>191100</v>
      </c>
      <c r="AS61" s="8">
        <v>5700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581</v>
      </c>
      <c r="BJ61" s="8">
        <v>69120</v>
      </c>
      <c r="BK61" s="7">
        <v>500</v>
      </c>
      <c r="BL61" s="9">
        <v>3456</v>
      </c>
      <c r="BM61" s="10">
        <v>655780</v>
      </c>
      <c r="BN61" s="13">
        <f t="shared" si="0"/>
        <v>652324</v>
      </c>
      <c r="BO61" s="14">
        <f t="shared" si="1"/>
        <v>456626.8</v>
      </c>
    </row>
    <row r="62" spans="1:67" x14ac:dyDescent="0.4">
      <c r="A62" s="5" t="s">
        <v>91</v>
      </c>
      <c r="B62" s="5" t="s">
        <v>19</v>
      </c>
      <c r="C62" s="5">
        <v>161539</v>
      </c>
      <c r="D62" s="6"/>
      <c r="E62" s="5" t="s">
        <v>12</v>
      </c>
      <c r="F62" s="5" t="s">
        <v>17</v>
      </c>
      <c r="G62" s="5" t="s">
        <v>12</v>
      </c>
      <c r="H62" s="7" t="s">
        <v>7</v>
      </c>
      <c r="I62" s="7" t="s">
        <v>20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39</v>
      </c>
      <c r="AC62" s="8">
        <v>36220</v>
      </c>
      <c r="AD62" s="8">
        <v>3700</v>
      </c>
      <c r="AE62" s="7">
        <v>17</v>
      </c>
      <c r="AF62" s="8">
        <v>53900</v>
      </c>
      <c r="AG62" s="7">
        <v>500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94320</v>
      </c>
      <c r="BN62" s="13">
        <f t="shared" si="0"/>
        <v>94320</v>
      </c>
      <c r="BO62" s="14">
        <f t="shared" si="1"/>
        <v>66024</v>
      </c>
    </row>
    <row r="63" spans="1:67" x14ac:dyDescent="0.4">
      <c r="A63" s="5" t="s">
        <v>91</v>
      </c>
      <c r="B63" s="5" t="s">
        <v>16</v>
      </c>
      <c r="C63" s="5">
        <v>159260</v>
      </c>
      <c r="D63" s="6"/>
      <c r="E63" s="5" t="s">
        <v>12</v>
      </c>
      <c r="F63" s="5" t="s">
        <v>17</v>
      </c>
      <c r="G63" s="5" t="s">
        <v>12</v>
      </c>
      <c r="H63" s="7" t="s">
        <v>7</v>
      </c>
      <c r="I63" s="7" t="s">
        <v>18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25</v>
      </c>
      <c r="AC63" s="8">
        <v>26280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26280</v>
      </c>
      <c r="BN63" s="13">
        <f t="shared" si="0"/>
        <v>26280</v>
      </c>
      <c r="BO63" s="14">
        <f t="shared" si="1"/>
        <v>18396</v>
      </c>
    </row>
    <row r="64" spans="1:67" x14ac:dyDescent="0.4">
      <c r="A64" s="5" t="s">
        <v>91</v>
      </c>
      <c r="B64" s="5" t="s">
        <v>27</v>
      </c>
      <c r="C64" s="5">
        <v>161447</v>
      </c>
      <c r="D64" s="6"/>
      <c r="E64" s="5" t="s">
        <v>12</v>
      </c>
      <c r="F64" s="5" t="s">
        <v>14</v>
      </c>
      <c r="G64" s="5" t="s">
        <v>12</v>
      </c>
      <c r="H64" s="7" t="s">
        <v>7</v>
      </c>
      <c r="I64" s="7" t="s">
        <v>28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16</v>
      </c>
      <c r="AO64" s="8">
        <v>14400</v>
      </c>
      <c r="AP64" s="7">
        <v>0</v>
      </c>
      <c r="AQ64" s="7">
        <v>1</v>
      </c>
      <c r="AR64" s="8">
        <v>3200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17600</v>
      </c>
      <c r="BN64" s="13">
        <f t="shared" si="0"/>
        <v>17600</v>
      </c>
      <c r="BO64" s="14">
        <f t="shared" si="1"/>
        <v>12320</v>
      </c>
    </row>
    <row r="65" spans="1:67" x14ac:dyDescent="0.4">
      <c r="A65" s="5" t="s">
        <v>91</v>
      </c>
      <c r="B65" s="5" t="s">
        <v>48</v>
      </c>
      <c r="C65" s="5">
        <v>285993</v>
      </c>
      <c r="D65" s="6"/>
      <c r="E65" s="5" t="s">
        <v>12</v>
      </c>
      <c r="F65" s="5" t="s">
        <v>13</v>
      </c>
      <c r="G65" s="5" t="s">
        <v>12</v>
      </c>
      <c r="H65" s="7" t="s">
        <v>7</v>
      </c>
      <c r="I65" s="7" t="s">
        <v>49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14</v>
      </c>
      <c r="AC65" s="8">
        <v>14400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1</v>
      </c>
      <c r="AO65" s="7">
        <v>900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15300</v>
      </c>
      <c r="BN65" s="13">
        <f t="shared" si="0"/>
        <v>15300</v>
      </c>
      <c r="BO65" s="14">
        <f t="shared" si="1"/>
        <v>10710</v>
      </c>
    </row>
    <row r="66" spans="1:67" x14ac:dyDescent="0.4">
      <c r="A66" s="5" t="s">
        <v>91</v>
      </c>
      <c r="B66" s="5" t="s">
        <v>107</v>
      </c>
      <c r="C66" s="5">
        <v>395747</v>
      </c>
      <c r="D66" s="6"/>
      <c r="E66" s="5" t="s">
        <v>12</v>
      </c>
      <c r="F66" s="5" t="s">
        <v>13</v>
      </c>
      <c r="G66" s="5" t="s">
        <v>12</v>
      </c>
      <c r="H66" s="7" t="s">
        <v>7</v>
      </c>
      <c r="I66" s="7" t="s">
        <v>108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92</v>
      </c>
      <c r="AF66" s="8">
        <v>10460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10460</v>
      </c>
      <c r="BN66" s="13">
        <f t="shared" si="0"/>
        <v>10460</v>
      </c>
      <c r="BO66" s="14">
        <f t="shared" si="1"/>
        <v>7321.9999999999991</v>
      </c>
    </row>
    <row r="67" spans="1:67" ht="19.2" x14ac:dyDescent="0.4">
      <c r="A67" s="5" t="s">
        <v>91</v>
      </c>
      <c r="B67" s="5" t="s">
        <v>62</v>
      </c>
      <c r="C67" s="5">
        <v>406370</v>
      </c>
      <c r="D67" s="6"/>
      <c r="E67" s="5" t="s">
        <v>12</v>
      </c>
      <c r="F67" s="5" t="s">
        <v>37</v>
      </c>
      <c r="G67" s="5" t="s">
        <v>23</v>
      </c>
      <c r="H67" s="7" t="s">
        <v>8</v>
      </c>
      <c r="I67" s="7" t="s">
        <v>55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9</v>
      </c>
      <c r="AC67" s="8">
        <v>9720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9720</v>
      </c>
      <c r="BN67" s="13">
        <f t="shared" ref="BN67:BN119" si="2">BM67-BL67</f>
        <v>9720</v>
      </c>
      <c r="BO67" s="14">
        <f t="shared" ref="BO67:BO119" si="3">BN67*70%</f>
        <v>6804</v>
      </c>
    </row>
    <row r="68" spans="1:67" ht="19.2" x14ac:dyDescent="0.4">
      <c r="A68" s="5" t="s">
        <v>91</v>
      </c>
      <c r="B68" s="5" t="s">
        <v>146</v>
      </c>
      <c r="C68" s="5">
        <v>408450</v>
      </c>
      <c r="D68" s="6"/>
      <c r="E68" s="5" t="s">
        <v>12</v>
      </c>
      <c r="F68" s="5" t="s">
        <v>13</v>
      </c>
      <c r="G68" s="5" t="s">
        <v>23</v>
      </c>
      <c r="H68" s="7" t="s">
        <v>7</v>
      </c>
      <c r="I68" s="7" t="s">
        <v>147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87</v>
      </c>
      <c r="AF68" s="8">
        <v>9340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9340</v>
      </c>
      <c r="BN68" s="13">
        <f t="shared" si="2"/>
        <v>9340</v>
      </c>
      <c r="BO68" s="14">
        <f t="shared" si="3"/>
        <v>6538</v>
      </c>
    </row>
    <row r="69" spans="1:67" x14ac:dyDescent="0.4">
      <c r="A69" s="5" t="s">
        <v>91</v>
      </c>
      <c r="B69" s="5" t="s">
        <v>31</v>
      </c>
      <c r="C69" s="5">
        <v>159258</v>
      </c>
      <c r="D69" s="6"/>
      <c r="E69" s="5" t="s">
        <v>12</v>
      </c>
      <c r="F69" s="5" t="s">
        <v>17</v>
      </c>
      <c r="G69" s="5" t="s">
        <v>12</v>
      </c>
      <c r="H69" s="7" t="s">
        <v>7</v>
      </c>
      <c r="I69" s="7" t="s">
        <v>30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9</v>
      </c>
      <c r="AC69" s="8">
        <v>8560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8560</v>
      </c>
      <c r="BN69" s="13">
        <f t="shared" si="2"/>
        <v>8560</v>
      </c>
      <c r="BO69" s="14">
        <f t="shared" si="3"/>
        <v>5992</v>
      </c>
    </row>
    <row r="70" spans="1:67" x14ac:dyDescent="0.4">
      <c r="A70" s="5" t="s">
        <v>91</v>
      </c>
      <c r="B70" s="5" t="s">
        <v>39</v>
      </c>
      <c r="C70" s="5">
        <v>268655</v>
      </c>
      <c r="D70" s="6"/>
      <c r="E70" s="5" t="s">
        <v>12</v>
      </c>
      <c r="F70" s="5" t="s">
        <v>17</v>
      </c>
      <c r="G70" s="5" t="s">
        <v>12</v>
      </c>
      <c r="H70" s="7" t="s">
        <v>7</v>
      </c>
      <c r="I70" s="7" t="s">
        <v>40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7</v>
      </c>
      <c r="AC70" s="8">
        <v>7560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7560</v>
      </c>
      <c r="BN70" s="13">
        <f t="shared" si="2"/>
        <v>7560</v>
      </c>
      <c r="BO70" s="14">
        <f t="shared" si="3"/>
        <v>5292</v>
      </c>
    </row>
    <row r="71" spans="1:67" x14ac:dyDescent="0.4">
      <c r="A71" s="5" t="s">
        <v>91</v>
      </c>
      <c r="B71" s="5" t="s">
        <v>118</v>
      </c>
      <c r="C71" s="5">
        <v>388417</v>
      </c>
      <c r="D71" s="6"/>
      <c r="E71" s="5" t="s">
        <v>12</v>
      </c>
      <c r="F71" s="5" t="s">
        <v>119</v>
      </c>
      <c r="G71" s="5" t="s">
        <v>12</v>
      </c>
      <c r="H71" s="7" t="s">
        <v>7</v>
      </c>
      <c r="I71" s="7" t="s">
        <v>120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49</v>
      </c>
      <c r="AF71" s="8">
        <v>4700</v>
      </c>
      <c r="AG71" s="7">
        <v>200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4900</v>
      </c>
      <c r="BN71" s="13">
        <f t="shared" si="2"/>
        <v>4900</v>
      </c>
      <c r="BO71" s="14">
        <f t="shared" si="3"/>
        <v>3430</v>
      </c>
    </row>
    <row r="72" spans="1:67" x14ac:dyDescent="0.4">
      <c r="A72" s="5" t="s">
        <v>91</v>
      </c>
      <c r="B72" s="5" t="s">
        <v>80</v>
      </c>
      <c r="C72" s="5">
        <v>169151</v>
      </c>
      <c r="D72" s="6"/>
      <c r="E72" s="5" t="s">
        <v>12</v>
      </c>
      <c r="F72" s="5" t="s">
        <v>14</v>
      </c>
      <c r="G72" s="5" t="s">
        <v>12</v>
      </c>
      <c r="H72" s="7" t="s">
        <v>7</v>
      </c>
      <c r="I72" s="7" t="s">
        <v>81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5</v>
      </c>
      <c r="AC72" s="8">
        <v>4880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4880</v>
      </c>
      <c r="BN72" s="13">
        <f t="shared" si="2"/>
        <v>4880</v>
      </c>
      <c r="BO72" s="14">
        <f t="shared" si="3"/>
        <v>3416</v>
      </c>
    </row>
    <row r="73" spans="1:67" x14ac:dyDescent="0.4">
      <c r="A73" s="5" t="s">
        <v>91</v>
      </c>
      <c r="B73" s="5" t="s">
        <v>86</v>
      </c>
      <c r="C73" s="5">
        <v>239858</v>
      </c>
      <c r="D73" s="6"/>
      <c r="E73" s="5" t="s">
        <v>12</v>
      </c>
      <c r="F73" s="5" t="s">
        <v>13</v>
      </c>
      <c r="G73" s="5" t="s">
        <v>12</v>
      </c>
      <c r="H73" s="7" t="s">
        <v>7</v>
      </c>
      <c r="I73" s="7" t="s">
        <v>87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5</v>
      </c>
      <c r="AO73" s="8">
        <v>4300</v>
      </c>
      <c r="AP73" s="7">
        <v>200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4500</v>
      </c>
      <c r="BN73" s="13">
        <f t="shared" si="2"/>
        <v>4500</v>
      </c>
      <c r="BO73" s="14">
        <f t="shared" si="3"/>
        <v>3150</v>
      </c>
    </row>
    <row r="74" spans="1:67" x14ac:dyDescent="0.4">
      <c r="A74" s="5" t="s">
        <v>91</v>
      </c>
      <c r="B74" s="5" t="s">
        <v>41</v>
      </c>
      <c r="C74" s="5">
        <v>215737</v>
      </c>
      <c r="D74" s="6"/>
      <c r="E74" s="5" t="s">
        <v>12</v>
      </c>
      <c r="F74" s="5" t="s">
        <v>42</v>
      </c>
      <c r="G74" s="5" t="s">
        <v>12</v>
      </c>
      <c r="H74" s="7" t="s">
        <v>7</v>
      </c>
      <c r="I74" s="7" t="s">
        <v>43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3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31</v>
      </c>
      <c r="AF74" s="8">
        <v>3720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2</v>
      </c>
      <c r="AR74" s="7">
        <v>200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3920</v>
      </c>
      <c r="BN74" s="13">
        <f t="shared" si="2"/>
        <v>3920</v>
      </c>
      <c r="BO74" s="14">
        <f t="shared" si="3"/>
        <v>2744</v>
      </c>
    </row>
    <row r="75" spans="1:67" ht="19.2" x14ac:dyDescent="0.4">
      <c r="A75" s="5" t="s">
        <v>91</v>
      </c>
      <c r="B75" s="5" t="s">
        <v>143</v>
      </c>
      <c r="C75" s="5">
        <v>409391</v>
      </c>
      <c r="D75" s="6"/>
      <c r="E75" s="5" t="s">
        <v>12</v>
      </c>
      <c r="F75" s="5" t="s">
        <v>37</v>
      </c>
      <c r="G75" s="5" t="s">
        <v>23</v>
      </c>
      <c r="H75" s="7" t="s">
        <v>7</v>
      </c>
      <c r="I75" s="7" t="s">
        <v>24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34</v>
      </c>
      <c r="AF75" s="8">
        <v>3400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3400</v>
      </c>
      <c r="BN75" s="13">
        <f t="shared" si="2"/>
        <v>3400</v>
      </c>
      <c r="BO75" s="14">
        <f t="shared" si="3"/>
        <v>2380</v>
      </c>
    </row>
    <row r="76" spans="1:67" x14ac:dyDescent="0.4">
      <c r="A76" s="5" t="s">
        <v>91</v>
      </c>
      <c r="B76" s="5" t="s">
        <v>54</v>
      </c>
      <c r="C76" s="5">
        <v>192728</v>
      </c>
      <c r="D76" s="6"/>
      <c r="E76" s="5" t="s">
        <v>12</v>
      </c>
      <c r="F76" s="5" t="s">
        <v>37</v>
      </c>
      <c r="G76" s="5" t="s">
        <v>12</v>
      </c>
      <c r="H76" s="7" t="s">
        <v>7</v>
      </c>
      <c r="I76" s="7" t="s">
        <v>38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3</v>
      </c>
      <c r="BG76" s="8">
        <v>3240</v>
      </c>
      <c r="BH76" s="7">
        <v>0</v>
      </c>
      <c r="BI76" s="7">
        <v>0</v>
      </c>
      <c r="BJ76" s="7">
        <v>0</v>
      </c>
      <c r="BK76" s="7">
        <v>0</v>
      </c>
      <c r="BL76" s="7">
        <v>162</v>
      </c>
      <c r="BM76" s="10">
        <v>3240</v>
      </c>
      <c r="BN76" s="13">
        <f t="shared" si="2"/>
        <v>3078</v>
      </c>
      <c r="BO76" s="14">
        <f t="shared" si="3"/>
        <v>2154.6</v>
      </c>
    </row>
    <row r="77" spans="1:67" x14ac:dyDescent="0.4">
      <c r="A77" s="5" t="s">
        <v>91</v>
      </c>
      <c r="B77" s="5" t="s">
        <v>95</v>
      </c>
      <c r="C77" s="5">
        <v>192737</v>
      </c>
      <c r="D77" s="6"/>
      <c r="E77" s="5" t="s">
        <v>12</v>
      </c>
      <c r="F77" s="5" t="s">
        <v>37</v>
      </c>
      <c r="G77" s="5" t="s">
        <v>12</v>
      </c>
      <c r="H77" s="7" t="s">
        <v>7</v>
      </c>
      <c r="I77" s="7" t="s">
        <v>38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3</v>
      </c>
      <c r="AC77" s="8">
        <v>3240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3240</v>
      </c>
      <c r="BN77" s="13">
        <f t="shared" si="2"/>
        <v>3240</v>
      </c>
      <c r="BO77" s="14">
        <f t="shared" si="3"/>
        <v>2268</v>
      </c>
    </row>
    <row r="78" spans="1:67" x14ac:dyDescent="0.4">
      <c r="A78" s="5" t="s">
        <v>91</v>
      </c>
      <c r="B78" s="5" t="s">
        <v>106</v>
      </c>
      <c r="C78" s="5">
        <v>192732</v>
      </c>
      <c r="D78" s="6"/>
      <c r="E78" s="5" t="s">
        <v>12</v>
      </c>
      <c r="F78" s="5" t="s">
        <v>37</v>
      </c>
      <c r="G78" s="5" t="s">
        <v>12</v>
      </c>
      <c r="H78" s="7" t="s">
        <v>7</v>
      </c>
      <c r="I78" s="7" t="s">
        <v>38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7">
        <v>0</v>
      </c>
      <c r="AG78" s="8">
        <v>3200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3200</v>
      </c>
      <c r="BN78" s="13">
        <f t="shared" si="2"/>
        <v>3200</v>
      </c>
      <c r="BO78" s="14">
        <f t="shared" si="3"/>
        <v>2240</v>
      </c>
    </row>
    <row r="79" spans="1:67" x14ac:dyDescent="0.4">
      <c r="A79" s="5" t="s">
        <v>91</v>
      </c>
      <c r="B79" s="5" t="s">
        <v>46</v>
      </c>
      <c r="C79" s="5">
        <v>192729</v>
      </c>
      <c r="D79" s="6"/>
      <c r="E79" s="5" t="s">
        <v>12</v>
      </c>
      <c r="F79" s="5" t="s">
        <v>37</v>
      </c>
      <c r="G79" s="5" t="s">
        <v>12</v>
      </c>
      <c r="H79" s="7" t="s">
        <v>7</v>
      </c>
      <c r="I79" s="7" t="s">
        <v>47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3</v>
      </c>
      <c r="AC79" s="8">
        <v>2700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2700</v>
      </c>
      <c r="BN79" s="13">
        <f t="shared" si="2"/>
        <v>2700</v>
      </c>
      <c r="BO79" s="14">
        <f t="shared" si="3"/>
        <v>1889.9999999999998</v>
      </c>
    </row>
    <row r="80" spans="1:67" x14ac:dyDescent="0.4">
      <c r="A80" s="5" t="s">
        <v>91</v>
      </c>
      <c r="B80" s="5" t="s">
        <v>32</v>
      </c>
      <c r="C80" s="5">
        <v>159255</v>
      </c>
      <c r="D80" s="6"/>
      <c r="E80" s="5" t="s">
        <v>12</v>
      </c>
      <c r="F80" s="5" t="s">
        <v>17</v>
      </c>
      <c r="G80" s="5" t="s">
        <v>12</v>
      </c>
      <c r="H80" s="7" t="s">
        <v>8</v>
      </c>
      <c r="I80" s="7" t="s">
        <v>33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2</v>
      </c>
      <c r="BG80" s="8">
        <v>2160</v>
      </c>
      <c r="BH80" s="7">
        <v>0</v>
      </c>
      <c r="BI80" s="7">
        <v>0</v>
      </c>
      <c r="BJ80" s="7">
        <v>0</v>
      </c>
      <c r="BK80" s="7">
        <v>0</v>
      </c>
      <c r="BL80" s="7">
        <v>108</v>
      </c>
      <c r="BM80" s="10">
        <v>2160</v>
      </c>
      <c r="BN80" s="13">
        <f t="shared" si="2"/>
        <v>2052</v>
      </c>
      <c r="BO80" s="14">
        <f t="shared" si="3"/>
        <v>1436.3999999999999</v>
      </c>
    </row>
    <row r="81" spans="1:67" x14ac:dyDescent="0.4">
      <c r="A81" s="5" t="s">
        <v>91</v>
      </c>
      <c r="B81" s="5" t="s">
        <v>125</v>
      </c>
      <c r="C81" s="5">
        <v>174583</v>
      </c>
      <c r="D81" s="6"/>
      <c r="E81" s="5" t="s">
        <v>12</v>
      </c>
      <c r="F81" s="5" t="s">
        <v>14</v>
      </c>
      <c r="G81" s="5" t="s">
        <v>12</v>
      </c>
      <c r="H81" s="7" t="s">
        <v>7</v>
      </c>
      <c r="I81" s="7" t="s">
        <v>126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1</v>
      </c>
      <c r="AC81" s="8">
        <v>1080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1080</v>
      </c>
      <c r="BN81" s="13">
        <f t="shared" si="2"/>
        <v>1080</v>
      </c>
      <c r="BO81" s="14">
        <f t="shared" si="3"/>
        <v>756</v>
      </c>
    </row>
    <row r="82" spans="1:67" x14ac:dyDescent="0.4">
      <c r="A82" s="5" t="s">
        <v>91</v>
      </c>
      <c r="B82" s="5" t="s">
        <v>82</v>
      </c>
      <c r="C82" s="5">
        <v>285988</v>
      </c>
      <c r="D82" s="6"/>
      <c r="E82" s="5" t="s">
        <v>12</v>
      </c>
      <c r="F82" s="5" t="s">
        <v>13</v>
      </c>
      <c r="G82" s="5" t="s">
        <v>12</v>
      </c>
      <c r="H82" s="7" t="s">
        <v>7</v>
      </c>
      <c r="I82" s="7" t="s">
        <v>49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1</v>
      </c>
      <c r="AC82" s="7">
        <v>900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1">
        <v>900</v>
      </c>
      <c r="BN82" s="13">
        <f t="shared" si="2"/>
        <v>900</v>
      </c>
      <c r="BO82" s="14">
        <f t="shared" si="3"/>
        <v>630</v>
      </c>
    </row>
    <row r="83" spans="1:67" x14ac:dyDescent="0.4">
      <c r="A83" s="5" t="s">
        <v>91</v>
      </c>
      <c r="B83" s="5" t="s">
        <v>144</v>
      </c>
      <c r="C83" s="5">
        <v>249762</v>
      </c>
      <c r="D83" s="6"/>
      <c r="E83" s="5" t="s">
        <v>12</v>
      </c>
      <c r="F83" s="5" t="s">
        <v>13</v>
      </c>
      <c r="G83" s="5" t="s">
        <v>12</v>
      </c>
      <c r="H83" s="7" t="s">
        <v>7</v>
      </c>
      <c r="I83" s="7" t="s">
        <v>145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7</v>
      </c>
      <c r="AF83" s="7">
        <v>840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1">
        <v>840</v>
      </c>
      <c r="BN83" s="13">
        <f t="shared" si="2"/>
        <v>840</v>
      </c>
      <c r="BO83" s="14">
        <f t="shared" si="3"/>
        <v>588</v>
      </c>
    </row>
    <row r="84" spans="1:67" x14ac:dyDescent="0.4">
      <c r="A84" s="5" t="s">
        <v>91</v>
      </c>
      <c r="B84" s="5" t="s">
        <v>134</v>
      </c>
      <c r="C84" s="5">
        <v>300910</v>
      </c>
      <c r="D84" s="6"/>
      <c r="E84" s="5" t="s">
        <v>12</v>
      </c>
      <c r="F84" s="5" t="s">
        <v>42</v>
      </c>
      <c r="G84" s="5" t="s">
        <v>12</v>
      </c>
      <c r="H84" s="7" t="s">
        <v>7</v>
      </c>
      <c r="I84" s="7" t="s">
        <v>135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4</v>
      </c>
      <c r="AF84" s="7">
        <v>0</v>
      </c>
      <c r="AG84" s="7">
        <v>400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1">
        <v>400</v>
      </c>
      <c r="BN84" s="13">
        <f t="shared" si="2"/>
        <v>400</v>
      </c>
      <c r="BO84" s="14">
        <f t="shared" si="3"/>
        <v>280</v>
      </c>
    </row>
    <row r="85" spans="1:67" x14ac:dyDescent="0.4">
      <c r="A85" s="5" t="s">
        <v>91</v>
      </c>
      <c r="B85" s="5" t="s">
        <v>93</v>
      </c>
      <c r="C85" s="5">
        <v>418829</v>
      </c>
      <c r="D85" s="6"/>
      <c r="E85" s="5" t="s">
        <v>12</v>
      </c>
      <c r="F85" s="5" t="s">
        <v>17</v>
      </c>
      <c r="G85" s="5" t="s">
        <v>12</v>
      </c>
      <c r="H85" s="7" t="s">
        <v>7</v>
      </c>
      <c r="I85" s="7" t="s">
        <v>94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</v>
      </c>
      <c r="AF85" s="7">
        <v>200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200</v>
      </c>
      <c r="BN85" s="13">
        <f t="shared" si="2"/>
        <v>200</v>
      </c>
      <c r="BO85" s="14">
        <f t="shared" si="3"/>
        <v>140</v>
      </c>
    </row>
    <row r="86" spans="1:67" x14ac:dyDescent="0.4">
      <c r="A86" s="5" t="s">
        <v>91</v>
      </c>
      <c r="B86" s="5" t="s">
        <v>98</v>
      </c>
      <c r="C86" s="5">
        <v>326544</v>
      </c>
      <c r="D86" s="6"/>
      <c r="E86" s="5" t="s">
        <v>12</v>
      </c>
      <c r="F86" s="5" t="s">
        <v>99</v>
      </c>
      <c r="G86" s="5" t="s">
        <v>12</v>
      </c>
      <c r="H86" s="7" t="s">
        <v>7</v>
      </c>
      <c r="I86" s="7" t="s">
        <v>100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</v>
      </c>
      <c r="AR86" s="7">
        <v>100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100</v>
      </c>
      <c r="BN86" s="13">
        <f t="shared" si="2"/>
        <v>100</v>
      </c>
      <c r="BO86" s="14">
        <f t="shared" si="3"/>
        <v>70</v>
      </c>
    </row>
    <row r="87" spans="1:67" x14ac:dyDescent="0.4">
      <c r="A87" s="5" t="s">
        <v>91</v>
      </c>
      <c r="B87" s="5" t="s">
        <v>129</v>
      </c>
      <c r="C87" s="5">
        <v>285994</v>
      </c>
      <c r="D87" s="6"/>
      <c r="E87" s="5" t="s">
        <v>12</v>
      </c>
      <c r="F87" s="5" t="s">
        <v>13</v>
      </c>
      <c r="G87" s="5" t="s">
        <v>12</v>
      </c>
      <c r="H87" s="7" t="s">
        <v>7</v>
      </c>
      <c r="I87" s="7" t="s">
        <v>49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0</v>
      </c>
      <c r="BN87" s="13">
        <f t="shared" si="2"/>
        <v>0</v>
      </c>
      <c r="BO87" s="14">
        <f t="shared" si="3"/>
        <v>0</v>
      </c>
    </row>
    <row r="88" spans="1:67" x14ac:dyDescent="0.4">
      <c r="A88" s="5" t="s">
        <v>92</v>
      </c>
      <c r="B88" s="5" t="s">
        <v>15</v>
      </c>
      <c r="C88" s="5">
        <v>355332</v>
      </c>
      <c r="D88" s="6"/>
      <c r="E88" s="5" t="s">
        <v>12</v>
      </c>
      <c r="F88" s="5" t="s">
        <v>14</v>
      </c>
      <c r="G88" s="5" t="s">
        <v>12</v>
      </c>
      <c r="H88" s="7" t="s">
        <v>8</v>
      </c>
      <c r="I88" s="7" t="s">
        <v>77</v>
      </c>
      <c r="J88" s="7">
        <v>4</v>
      </c>
      <c r="K88" s="7">
        <v>86</v>
      </c>
      <c r="L88" s="7">
        <v>400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8">
        <v>1474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8">
        <v>11536</v>
      </c>
      <c r="AF88" s="8">
        <v>1071080</v>
      </c>
      <c r="AG88" s="8">
        <v>82800</v>
      </c>
      <c r="AH88" s="7">
        <v>0</v>
      </c>
      <c r="AI88" s="7">
        <v>0</v>
      </c>
      <c r="AJ88" s="7">
        <v>0</v>
      </c>
      <c r="AK88" s="8">
        <v>13477</v>
      </c>
      <c r="AL88" s="8">
        <v>1478710</v>
      </c>
      <c r="AM88" s="8">
        <v>121500</v>
      </c>
      <c r="AN88" s="7">
        <v>0</v>
      </c>
      <c r="AO88" s="7">
        <v>0</v>
      </c>
      <c r="AP88" s="7">
        <v>0</v>
      </c>
      <c r="AQ88" s="8">
        <v>5012</v>
      </c>
      <c r="AR88" s="8">
        <v>488200</v>
      </c>
      <c r="AS88" s="8">
        <v>13000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9">
        <v>443613</v>
      </c>
      <c r="BM88" s="10">
        <v>3255690</v>
      </c>
      <c r="BN88" s="13">
        <f t="shared" si="2"/>
        <v>2812077</v>
      </c>
      <c r="BO88" s="14">
        <f t="shared" si="3"/>
        <v>1968453.9</v>
      </c>
    </row>
    <row r="89" spans="1:67" x14ac:dyDescent="0.4">
      <c r="A89" s="5" t="s">
        <v>92</v>
      </c>
      <c r="B89" s="5" t="s">
        <v>16</v>
      </c>
      <c r="C89" s="5">
        <v>159260</v>
      </c>
      <c r="D89" s="6"/>
      <c r="E89" s="5" t="s">
        <v>12</v>
      </c>
      <c r="F89" s="5" t="s">
        <v>17</v>
      </c>
      <c r="G89" s="5" t="s">
        <v>12</v>
      </c>
      <c r="H89" s="7" t="s">
        <v>7</v>
      </c>
      <c r="I89" s="7" t="s">
        <v>18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66</v>
      </c>
      <c r="AC89" s="8">
        <v>47000</v>
      </c>
      <c r="AD89" s="8">
        <v>11200</v>
      </c>
      <c r="AE89" s="7">
        <v>26</v>
      </c>
      <c r="AF89" s="8">
        <v>69000</v>
      </c>
      <c r="AG89" s="8">
        <v>6400</v>
      </c>
      <c r="AH89" s="7">
        <v>128</v>
      </c>
      <c r="AI89" s="8">
        <v>133800</v>
      </c>
      <c r="AJ89" s="8">
        <v>3200</v>
      </c>
      <c r="AK89" s="7">
        <v>47</v>
      </c>
      <c r="AL89" s="8">
        <v>173617</v>
      </c>
      <c r="AM89" s="8">
        <v>1000</v>
      </c>
      <c r="AN89" s="7">
        <v>20</v>
      </c>
      <c r="AO89" s="8">
        <v>17300</v>
      </c>
      <c r="AP89" s="7">
        <v>500</v>
      </c>
      <c r="AQ89" s="7">
        <v>4</v>
      </c>
      <c r="AR89" s="8">
        <v>9000</v>
      </c>
      <c r="AS89" s="7">
        <v>100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4</v>
      </c>
      <c r="BA89" s="8">
        <v>3720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9">
        <v>92448.3</v>
      </c>
      <c r="BM89" s="10">
        <v>475837</v>
      </c>
      <c r="BN89" s="13">
        <f t="shared" si="2"/>
        <v>383388.7</v>
      </c>
      <c r="BO89" s="14">
        <f t="shared" si="3"/>
        <v>268372.08999999997</v>
      </c>
    </row>
    <row r="90" spans="1:67" x14ac:dyDescent="0.4">
      <c r="A90" s="5" t="s">
        <v>92</v>
      </c>
      <c r="B90" s="5" t="s">
        <v>19</v>
      </c>
      <c r="C90" s="5">
        <v>161539</v>
      </c>
      <c r="D90" s="6"/>
      <c r="E90" s="5" t="s">
        <v>12</v>
      </c>
      <c r="F90" s="5" t="s">
        <v>17</v>
      </c>
      <c r="G90" s="5" t="s">
        <v>12</v>
      </c>
      <c r="H90" s="7" t="s">
        <v>7</v>
      </c>
      <c r="I90" s="7" t="s">
        <v>20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27</v>
      </c>
      <c r="AC90" s="8">
        <v>17600</v>
      </c>
      <c r="AD90" s="8">
        <v>5600</v>
      </c>
      <c r="AE90" s="7">
        <v>4</v>
      </c>
      <c r="AF90" s="8">
        <v>12800</v>
      </c>
      <c r="AG90" s="7">
        <v>0</v>
      </c>
      <c r="AH90" s="7">
        <v>90</v>
      </c>
      <c r="AI90" s="8">
        <v>70440</v>
      </c>
      <c r="AJ90" s="8">
        <v>20700</v>
      </c>
      <c r="AK90" s="7">
        <v>18</v>
      </c>
      <c r="AL90" s="8">
        <v>61440</v>
      </c>
      <c r="AM90" s="8">
        <v>6400</v>
      </c>
      <c r="AN90" s="7">
        <v>14</v>
      </c>
      <c r="AO90" s="8">
        <v>12600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9">
        <v>39564</v>
      </c>
      <c r="BM90" s="10">
        <v>207580</v>
      </c>
      <c r="BN90" s="13">
        <f t="shared" si="2"/>
        <v>168016</v>
      </c>
      <c r="BO90" s="14">
        <f t="shared" si="3"/>
        <v>117611.2</v>
      </c>
    </row>
    <row r="91" spans="1:67" x14ac:dyDescent="0.4">
      <c r="A91" s="5" t="s">
        <v>92</v>
      </c>
      <c r="B91" s="5" t="s">
        <v>31</v>
      </c>
      <c r="C91" s="5">
        <v>159258</v>
      </c>
      <c r="D91" s="6"/>
      <c r="E91" s="5" t="s">
        <v>12</v>
      </c>
      <c r="F91" s="5" t="s">
        <v>17</v>
      </c>
      <c r="G91" s="5" t="s">
        <v>12</v>
      </c>
      <c r="H91" s="7" t="s">
        <v>7</v>
      </c>
      <c r="I91" s="7" t="s">
        <v>30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21</v>
      </c>
      <c r="AC91" s="8">
        <v>17800</v>
      </c>
      <c r="AD91" s="7">
        <v>0</v>
      </c>
      <c r="AE91" s="7">
        <v>8</v>
      </c>
      <c r="AF91" s="8">
        <v>25100</v>
      </c>
      <c r="AG91" s="7">
        <v>500</v>
      </c>
      <c r="AH91" s="7">
        <v>30</v>
      </c>
      <c r="AI91" s="8">
        <v>30480</v>
      </c>
      <c r="AJ91" s="7">
        <v>0</v>
      </c>
      <c r="AK91" s="7">
        <v>8</v>
      </c>
      <c r="AL91" s="8">
        <v>19200</v>
      </c>
      <c r="AM91" s="8">
        <v>7800</v>
      </c>
      <c r="AN91" s="7">
        <v>2</v>
      </c>
      <c r="AO91" s="8">
        <v>1800</v>
      </c>
      <c r="AP91" s="7">
        <v>0</v>
      </c>
      <c r="AQ91" s="7">
        <v>14</v>
      </c>
      <c r="AR91" s="8">
        <v>43400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14904</v>
      </c>
      <c r="BM91" s="10">
        <v>146080</v>
      </c>
      <c r="BN91" s="13">
        <f t="shared" si="2"/>
        <v>131176</v>
      </c>
      <c r="BO91" s="14">
        <f t="shared" si="3"/>
        <v>91823.2</v>
      </c>
    </row>
    <row r="92" spans="1:67" x14ac:dyDescent="0.4">
      <c r="A92" s="5" t="s">
        <v>92</v>
      </c>
      <c r="B92" s="5" t="s">
        <v>21</v>
      </c>
      <c r="C92" s="5">
        <v>159270</v>
      </c>
      <c r="D92" s="6"/>
      <c r="E92" s="5" t="s">
        <v>12</v>
      </c>
      <c r="F92" s="5" t="s">
        <v>17</v>
      </c>
      <c r="G92" s="5" t="s">
        <v>12</v>
      </c>
      <c r="H92" s="7" t="s">
        <v>11</v>
      </c>
      <c r="I92" s="7" t="s">
        <v>20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31</v>
      </c>
      <c r="AC92" s="8">
        <v>27900</v>
      </c>
      <c r="AD92" s="7">
        <v>0</v>
      </c>
      <c r="AE92" s="7">
        <v>0</v>
      </c>
      <c r="AF92" s="7">
        <v>0</v>
      </c>
      <c r="AG92" s="7">
        <v>0</v>
      </c>
      <c r="AH92" s="7">
        <v>26</v>
      </c>
      <c r="AI92" s="8">
        <v>28080</v>
      </c>
      <c r="AJ92" s="7">
        <v>0</v>
      </c>
      <c r="AK92" s="7">
        <v>14</v>
      </c>
      <c r="AL92" s="8">
        <v>53760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9">
        <v>24552</v>
      </c>
      <c r="BM92" s="10">
        <v>109740</v>
      </c>
      <c r="BN92" s="13">
        <f t="shared" si="2"/>
        <v>85188</v>
      </c>
      <c r="BO92" s="14">
        <f t="shared" si="3"/>
        <v>59631.6</v>
      </c>
    </row>
    <row r="93" spans="1:67" x14ac:dyDescent="0.4">
      <c r="A93" s="5" t="s">
        <v>92</v>
      </c>
      <c r="B93" s="5" t="s">
        <v>32</v>
      </c>
      <c r="C93" s="5">
        <v>159255</v>
      </c>
      <c r="D93" s="6"/>
      <c r="E93" s="5" t="s">
        <v>12</v>
      </c>
      <c r="F93" s="5" t="s">
        <v>17</v>
      </c>
      <c r="G93" s="5" t="s">
        <v>12</v>
      </c>
      <c r="H93" s="7" t="s">
        <v>8</v>
      </c>
      <c r="I93" s="7" t="s">
        <v>33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15</v>
      </c>
      <c r="AC93" s="8">
        <v>12400</v>
      </c>
      <c r="AD93" s="7">
        <v>900</v>
      </c>
      <c r="AE93" s="7">
        <v>2</v>
      </c>
      <c r="AF93" s="7">
        <v>0</v>
      </c>
      <c r="AG93" s="8">
        <v>4900</v>
      </c>
      <c r="AH93" s="7">
        <v>48</v>
      </c>
      <c r="AI93" s="8">
        <v>49215</v>
      </c>
      <c r="AJ93" s="8">
        <v>1000</v>
      </c>
      <c r="AK93" s="7">
        <v>9</v>
      </c>
      <c r="AL93" s="8">
        <v>32520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5</v>
      </c>
      <c r="BA93" s="8">
        <v>5400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24844.5</v>
      </c>
      <c r="BM93" s="10">
        <v>106335</v>
      </c>
      <c r="BN93" s="13">
        <f t="shared" si="2"/>
        <v>81490.5</v>
      </c>
      <c r="BO93" s="14">
        <f t="shared" si="3"/>
        <v>57043.35</v>
      </c>
    </row>
    <row r="94" spans="1:67" x14ac:dyDescent="0.4">
      <c r="A94" s="5" t="s">
        <v>92</v>
      </c>
      <c r="B94" s="5" t="s">
        <v>35</v>
      </c>
      <c r="C94" s="5">
        <v>173863</v>
      </c>
      <c r="D94" s="6"/>
      <c r="E94" s="5" t="s">
        <v>12</v>
      </c>
      <c r="F94" s="5" t="s">
        <v>17</v>
      </c>
      <c r="G94" s="5" t="s">
        <v>12</v>
      </c>
      <c r="H94" s="7" t="s">
        <v>7</v>
      </c>
      <c r="I94" s="7" t="s">
        <v>36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6</v>
      </c>
      <c r="AC94" s="8">
        <v>5400</v>
      </c>
      <c r="AD94" s="7">
        <v>0</v>
      </c>
      <c r="AE94" s="7">
        <v>15</v>
      </c>
      <c r="AF94" s="8">
        <v>48000</v>
      </c>
      <c r="AG94" s="7">
        <v>0</v>
      </c>
      <c r="AH94" s="7">
        <v>15</v>
      </c>
      <c r="AI94" s="8">
        <v>16200</v>
      </c>
      <c r="AJ94" s="7">
        <v>0</v>
      </c>
      <c r="AK94" s="7">
        <v>0</v>
      </c>
      <c r="AL94" s="7">
        <v>0</v>
      </c>
      <c r="AM94" s="7">
        <v>0</v>
      </c>
      <c r="AN94" s="7">
        <v>17</v>
      </c>
      <c r="AO94" s="8">
        <v>15100</v>
      </c>
      <c r="AP94" s="7">
        <v>200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4860</v>
      </c>
      <c r="BM94" s="10">
        <v>84900</v>
      </c>
      <c r="BN94" s="13">
        <f t="shared" si="2"/>
        <v>80040</v>
      </c>
      <c r="BO94" s="14">
        <f t="shared" si="3"/>
        <v>56028</v>
      </c>
    </row>
    <row r="95" spans="1:67" x14ac:dyDescent="0.4">
      <c r="A95" s="5" t="s">
        <v>92</v>
      </c>
      <c r="B95" s="5" t="s">
        <v>93</v>
      </c>
      <c r="C95" s="5">
        <v>418829</v>
      </c>
      <c r="D95" s="6"/>
      <c r="E95" s="5" t="s">
        <v>12</v>
      </c>
      <c r="F95" s="5" t="s">
        <v>17</v>
      </c>
      <c r="G95" s="5" t="s">
        <v>12</v>
      </c>
      <c r="H95" s="7" t="s">
        <v>7</v>
      </c>
      <c r="I95" s="7" t="s">
        <v>94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90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434</v>
      </c>
      <c r="AF95" s="8">
        <v>24400</v>
      </c>
      <c r="AG95" s="8">
        <v>19000</v>
      </c>
      <c r="AH95" s="7">
        <v>0</v>
      </c>
      <c r="AI95" s="7">
        <v>0</v>
      </c>
      <c r="AJ95" s="7">
        <v>0</v>
      </c>
      <c r="AK95" s="7">
        <v>106</v>
      </c>
      <c r="AL95" s="7">
        <v>0</v>
      </c>
      <c r="AM95" s="8">
        <v>10600</v>
      </c>
      <c r="AN95" s="7">
        <v>0</v>
      </c>
      <c r="AO95" s="7">
        <v>0</v>
      </c>
      <c r="AP95" s="7">
        <v>0</v>
      </c>
      <c r="AQ95" s="7">
        <v>273</v>
      </c>
      <c r="AR95" s="8">
        <v>25900</v>
      </c>
      <c r="AS95" s="8">
        <v>1400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81300</v>
      </c>
      <c r="BN95" s="13">
        <f t="shared" si="2"/>
        <v>81300</v>
      </c>
      <c r="BO95" s="14">
        <f t="shared" si="3"/>
        <v>56910</v>
      </c>
    </row>
    <row r="96" spans="1:67" ht="19.2" x14ac:dyDescent="0.4">
      <c r="A96" s="5" t="s">
        <v>92</v>
      </c>
      <c r="B96" s="5" t="s">
        <v>44</v>
      </c>
      <c r="C96" s="5">
        <v>408054</v>
      </c>
      <c r="D96" s="6"/>
      <c r="E96" s="5" t="s">
        <v>12</v>
      </c>
      <c r="F96" s="5" t="s">
        <v>17</v>
      </c>
      <c r="G96" s="5" t="s">
        <v>23</v>
      </c>
      <c r="H96" s="7" t="s">
        <v>11</v>
      </c>
      <c r="I96" s="7" t="s">
        <v>45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25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64</v>
      </c>
      <c r="AF96" s="8">
        <v>6400</v>
      </c>
      <c r="AG96" s="7">
        <v>0</v>
      </c>
      <c r="AH96" s="7">
        <v>0</v>
      </c>
      <c r="AI96" s="7">
        <v>0</v>
      </c>
      <c r="AJ96" s="7">
        <v>0</v>
      </c>
      <c r="AK96" s="7">
        <v>581</v>
      </c>
      <c r="AL96" s="8">
        <v>69120</v>
      </c>
      <c r="AM96" s="7">
        <v>500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20736</v>
      </c>
      <c r="BM96" s="10">
        <v>76020</v>
      </c>
      <c r="BN96" s="13">
        <f t="shared" si="2"/>
        <v>55284</v>
      </c>
      <c r="BO96" s="14">
        <f t="shared" si="3"/>
        <v>38698.799999999996</v>
      </c>
    </row>
    <row r="97" spans="1:67" x14ac:dyDescent="0.4">
      <c r="A97" s="5" t="s">
        <v>92</v>
      </c>
      <c r="B97" s="5" t="s">
        <v>29</v>
      </c>
      <c r="C97" s="5">
        <v>159268</v>
      </c>
      <c r="D97" s="6"/>
      <c r="E97" s="5" t="s">
        <v>12</v>
      </c>
      <c r="F97" s="5" t="s">
        <v>17</v>
      </c>
      <c r="G97" s="5" t="s">
        <v>12</v>
      </c>
      <c r="H97" s="7" t="s">
        <v>7</v>
      </c>
      <c r="I97" s="7" t="s">
        <v>30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2</v>
      </c>
      <c r="AC97" s="8">
        <v>1800</v>
      </c>
      <c r="AD97" s="7">
        <v>0</v>
      </c>
      <c r="AE97" s="7">
        <v>0</v>
      </c>
      <c r="AF97" s="7">
        <v>0</v>
      </c>
      <c r="AG97" s="7">
        <v>0</v>
      </c>
      <c r="AH97" s="7">
        <v>33</v>
      </c>
      <c r="AI97" s="8">
        <v>35640</v>
      </c>
      <c r="AJ97" s="7">
        <v>0</v>
      </c>
      <c r="AK97" s="7">
        <v>6</v>
      </c>
      <c r="AL97" s="8">
        <v>23130</v>
      </c>
      <c r="AM97" s="7">
        <v>0</v>
      </c>
      <c r="AN97" s="7">
        <v>4</v>
      </c>
      <c r="AO97" s="8">
        <v>3600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9">
        <v>17631</v>
      </c>
      <c r="BM97" s="10">
        <v>64170</v>
      </c>
      <c r="BN97" s="13">
        <f t="shared" si="2"/>
        <v>46539</v>
      </c>
      <c r="BO97" s="14">
        <f t="shared" si="3"/>
        <v>32577.3</v>
      </c>
    </row>
    <row r="98" spans="1:67" x14ac:dyDescent="0.4">
      <c r="A98" s="5" t="s">
        <v>92</v>
      </c>
      <c r="B98" s="5" t="s">
        <v>103</v>
      </c>
      <c r="C98" s="5">
        <v>418830</v>
      </c>
      <c r="D98" s="6"/>
      <c r="E98" s="5" t="s">
        <v>12</v>
      </c>
      <c r="F98" s="5" t="s">
        <v>17</v>
      </c>
      <c r="G98" s="5" t="s">
        <v>12</v>
      </c>
      <c r="H98" s="7" t="s">
        <v>7</v>
      </c>
      <c r="I98" s="7" t="s">
        <v>94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20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474</v>
      </c>
      <c r="AL98" s="8">
        <v>29400</v>
      </c>
      <c r="AM98" s="8">
        <v>22900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8820</v>
      </c>
      <c r="BM98" s="10">
        <v>52300</v>
      </c>
      <c r="BN98" s="13">
        <f t="shared" si="2"/>
        <v>43480</v>
      </c>
      <c r="BO98" s="14">
        <f t="shared" si="3"/>
        <v>30435.999999999996</v>
      </c>
    </row>
    <row r="99" spans="1:67" ht="19.2" x14ac:dyDescent="0.4">
      <c r="A99" s="5" t="s">
        <v>92</v>
      </c>
      <c r="B99" s="5" t="s">
        <v>22</v>
      </c>
      <c r="C99" s="5">
        <v>409392</v>
      </c>
      <c r="D99" s="6"/>
      <c r="E99" s="5" t="s">
        <v>12</v>
      </c>
      <c r="F99" s="5" t="s">
        <v>14</v>
      </c>
      <c r="G99" s="5" t="s">
        <v>23</v>
      </c>
      <c r="H99" s="7" t="s">
        <v>7</v>
      </c>
      <c r="I99" s="7" t="s">
        <v>24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16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316</v>
      </c>
      <c r="AF99" s="8">
        <v>31600</v>
      </c>
      <c r="AG99" s="7">
        <v>0</v>
      </c>
      <c r="AH99" s="7">
        <v>0</v>
      </c>
      <c r="AI99" s="7">
        <v>0</v>
      </c>
      <c r="AJ99" s="7">
        <v>0</v>
      </c>
      <c r="AK99" s="7">
        <v>171</v>
      </c>
      <c r="AL99" s="8">
        <v>3240</v>
      </c>
      <c r="AM99" s="8">
        <v>14400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972</v>
      </c>
      <c r="BM99" s="10">
        <v>49240</v>
      </c>
      <c r="BN99" s="13">
        <f t="shared" si="2"/>
        <v>48268</v>
      </c>
      <c r="BO99" s="14">
        <f t="shared" si="3"/>
        <v>33787.599999999999</v>
      </c>
    </row>
    <row r="100" spans="1:67" x14ac:dyDescent="0.4">
      <c r="A100" s="5" t="s">
        <v>92</v>
      </c>
      <c r="B100" s="5" t="s">
        <v>25</v>
      </c>
      <c r="C100" s="5">
        <v>165741</v>
      </c>
      <c r="D100" s="6"/>
      <c r="E100" s="5" t="s">
        <v>12</v>
      </c>
      <c r="F100" s="5" t="s">
        <v>14</v>
      </c>
      <c r="G100" s="5" t="s">
        <v>12</v>
      </c>
      <c r="H100" s="7" t="s">
        <v>7</v>
      </c>
      <c r="I100" s="7" t="s">
        <v>26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31</v>
      </c>
      <c r="AI100" s="8">
        <v>33480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9">
        <v>10044</v>
      </c>
      <c r="BM100" s="10">
        <v>33480</v>
      </c>
      <c r="BN100" s="13">
        <f t="shared" si="2"/>
        <v>23436</v>
      </c>
      <c r="BO100" s="14">
        <f t="shared" si="3"/>
        <v>16405.2</v>
      </c>
    </row>
    <row r="101" spans="1:67" x14ac:dyDescent="0.4">
      <c r="A101" s="5" t="s">
        <v>92</v>
      </c>
      <c r="B101" s="5" t="s">
        <v>34</v>
      </c>
      <c r="C101" s="5">
        <v>159266</v>
      </c>
      <c r="D101" s="6"/>
      <c r="E101" s="5" t="s">
        <v>12</v>
      </c>
      <c r="F101" s="5" t="s">
        <v>17</v>
      </c>
      <c r="G101" s="5" t="s">
        <v>12</v>
      </c>
      <c r="H101" s="7" t="s">
        <v>7</v>
      </c>
      <c r="I101" s="7" t="s">
        <v>30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3</v>
      </c>
      <c r="AC101" s="8">
        <v>2200</v>
      </c>
      <c r="AD101" s="7">
        <v>0</v>
      </c>
      <c r="AE101" s="7">
        <v>0</v>
      </c>
      <c r="AF101" s="7">
        <v>0</v>
      </c>
      <c r="AG101" s="7">
        <v>0</v>
      </c>
      <c r="AH101" s="7">
        <v>1</v>
      </c>
      <c r="AI101" s="7">
        <v>600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9</v>
      </c>
      <c r="AR101" s="8">
        <v>28800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180</v>
      </c>
      <c r="BM101" s="10">
        <v>31600</v>
      </c>
      <c r="BN101" s="13">
        <f t="shared" si="2"/>
        <v>31420</v>
      </c>
      <c r="BO101" s="14">
        <f t="shared" si="3"/>
        <v>21994</v>
      </c>
    </row>
    <row r="102" spans="1:67" ht="19.2" x14ac:dyDescent="0.4">
      <c r="A102" s="5" t="s">
        <v>92</v>
      </c>
      <c r="B102" s="5" t="s">
        <v>52</v>
      </c>
      <c r="C102" s="5">
        <v>413545</v>
      </c>
      <c r="D102" s="6"/>
      <c r="E102" s="5" t="s">
        <v>12</v>
      </c>
      <c r="F102" s="5" t="s">
        <v>17</v>
      </c>
      <c r="G102" s="5" t="s">
        <v>23</v>
      </c>
      <c r="H102" s="7" t="s">
        <v>8</v>
      </c>
      <c r="I102" s="7" t="s">
        <v>53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125</v>
      </c>
      <c r="AF102" s="8">
        <v>12500</v>
      </c>
      <c r="AG102" s="7">
        <v>0</v>
      </c>
      <c r="AH102" s="7">
        <v>0</v>
      </c>
      <c r="AI102" s="7">
        <v>0</v>
      </c>
      <c r="AJ102" s="7">
        <v>0</v>
      </c>
      <c r="AK102" s="7">
        <v>117</v>
      </c>
      <c r="AL102" s="8">
        <v>14040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4212</v>
      </c>
      <c r="BM102" s="10">
        <v>26540</v>
      </c>
      <c r="BN102" s="13">
        <f t="shared" si="2"/>
        <v>22328</v>
      </c>
      <c r="BO102" s="14">
        <f t="shared" si="3"/>
        <v>15629.599999999999</v>
      </c>
    </row>
    <row r="103" spans="1:67" x14ac:dyDescent="0.4">
      <c r="A103" s="5" t="s">
        <v>92</v>
      </c>
      <c r="B103" s="5" t="s">
        <v>114</v>
      </c>
      <c r="C103" s="5">
        <v>308470</v>
      </c>
      <c r="D103" s="6"/>
      <c r="E103" s="5" t="s">
        <v>12</v>
      </c>
      <c r="F103" s="5" t="s">
        <v>37</v>
      </c>
      <c r="G103" s="5" t="s">
        <v>12</v>
      </c>
      <c r="H103" s="7" t="s">
        <v>7</v>
      </c>
      <c r="I103" s="7" t="s">
        <v>115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12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12</v>
      </c>
      <c r="AF103" s="8">
        <v>1000</v>
      </c>
      <c r="AG103" s="7">
        <v>200</v>
      </c>
      <c r="AH103" s="7">
        <v>0</v>
      </c>
      <c r="AI103" s="7">
        <v>0</v>
      </c>
      <c r="AJ103" s="7">
        <v>0</v>
      </c>
      <c r="AK103" s="7">
        <v>192</v>
      </c>
      <c r="AL103" s="8">
        <v>19080</v>
      </c>
      <c r="AM103" s="8">
        <v>3300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9">
        <v>5724</v>
      </c>
      <c r="BM103" s="10">
        <v>23580</v>
      </c>
      <c r="BN103" s="13">
        <f t="shared" si="2"/>
        <v>17856</v>
      </c>
      <c r="BO103" s="14">
        <f t="shared" si="3"/>
        <v>12499.199999999999</v>
      </c>
    </row>
    <row r="104" spans="1:67" x14ac:dyDescent="0.4">
      <c r="A104" s="5" t="s">
        <v>92</v>
      </c>
      <c r="B104" s="5" t="s">
        <v>121</v>
      </c>
      <c r="C104" s="5">
        <v>194565</v>
      </c>
      <c r="D104" s="6"/>
      <c r="E104" s="5" t="s">
        <v>12</v>
      </c>
      <c r="F104" s="5" t="s">
        <v>17</v>
      </c>
      <c r="G104" s="5" t="s">
        <v>12</v>
      </c>
      <c r="H104" s="7" t="s">
        <v>7</v>
      </c>
      <c r="I104" s="7" t="s">
        <v>122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167</v>
      </c>
      <c r="AL104" s="8">
        <v>20040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6012</v>
      </c>
      <c r="BM104" s="10">
        <v>20040</v>
      </c>
      <c r="BN104" s="13">
        <f t="shared" si="2"/>
        <v>14028</v>
      </c>
      <c r="BO104" s="14">
        <f t="shared" si="3"/>
        <v>9819.5999999999985</v>
      </c>
    </row>
    <row r="105" spans="1:67" x14ac:dyDescent="0.4">
      <c r="A105" s="5" t="s">
        <v>92</v>
      </c>
      <c r="B105" s="5" t="s">
        <v>95</v>
      </c>
      <c r="C105" s="5">
        <v>192737</v>
      </c>
      <c r="D105" s="6"/>
      <c r="E105" s="5" t="s">
        <v>12</v>
      </c>
      <c r="F105" s="5" t="s">
        <v>37</v>
      </c>
      <c r="G105" s="5" t="s">
        <v>12</v>
      </c>
      <c r="H105" s="7" t="s">
        <v>7</v>
      </c>
      <c r="I105" s="7" t="s">
        <v>38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9</v>
      </c>
      <c r="AI105" s="8">
        <v>9720</v>
      </c>
      <c r="AJ105" s="7">
        <v>0</v>
      </c>
      <c r="AK105" s="7">
        <v>1</v>
      </c>
      <c r="AL105" s="7">
        <v>0</v>
      </c>
      <c r="AM105" s="8">
        <v>3200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9">
        <v>2916</v>
      </c>
      <c r="BM105" s="10">
        <v>12920</v>
      </c>
      <c r="BN105" s="13">
        <f t="shared" si="2"/>
        <v>10004</v>
      </c>
      <c r="BO105" s="14">
        <f t="shared" si="3"/>
        <v>7002.7999999999993</v>
      </c>
    </row>
    <row r="106" spans="1:67" x14ac:dyDescent="0.4">
      <c r="A106" s="5" t="s">
        <v>92</v>
      </c>
      <c r="B106" s="5" t="s">
        <v>83</v>
      </c>
      <c r="C106" s="5">
        <v>189476</v>
      </c>
      <c r="D106" s="6"/>
      <c r="E106" s="5" t="s">
        <v>12</v>
      </c>
      <c r="F106" s="5" t="s">
        <v>37</v>
      </c>
      <c r="G106" s="5" t="s">
        <v>12</v>
      </c>
      <c r="H106" s="7" t="s">
        <v>7</v>
      </c>
      <c r="I106" s="7" t="s">
        <v>84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10</v>
      </c>
      <c r="AI106" s="8">
        <v>10800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3240</v>
      </c>
      <c r="BM106" s="10">
        <v>10800</v>
      </c>
      <c r="BN106" s="13">
        <f t="shared" si="2"/>
        <v>7560</v>
      </c>
      <c r="BO106" s="14">
        <f t="shared" si="3"/>
        <v>5292</v>
      </c>
    </row>
    <row r="107" spans="1:67" x14ac:dyDescent="0.4">
      <c r="A107" s="5" t="s">
        <v>92</v>
      </c>
      <c r="B107" s="5" t="s">
        <v>98</v>
      </c>
      <c r="C107" s="5">
        <v>326544</v>
      </c>
      <c r="D107" s="6"/>
      <c r="E107" s="5" t="s">
        <v>12</v>
      </c>
      <c r="F107" s="5" t="s">
        <v>99</v>
      </c>
      <c r="G107" s="5" t="s">
        <v>12</v>
      </c>
      <c r="H107" s="7" t="s">
        <v>7</v>
      </c>
      <c r="I107" s="7" t="s">
        <v>100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47</v>
      </c>
      <c r="AF107" s="8">
        <v>5580</v>
      </c>
      <c r="AG107" s="7">
        <v>0</v>
      </c>
      <c r="AH107" s="7">
        <v>0</v>
      </c>
      <c r="AI107" s="7">
        <v>0</v>
      </c>
      <c r="AJ107" s="7">
        <v>0</v>
      </c>
      <c r="AK107" s="7">
        <v>5</v>
      </c>
      <c r="AL107" s="7">
        <v>240</v>
      </c>
      <c r="AM107" s="7">
        <v>300</v>
      </c>
      <c r="AN107" s="7">
        <v>0</v>
      </c>
      <c r="AO107" s="7">
        <v>0</v>
      </c>
      <c r="AP107" s="7">
        <v>0</v>
      </c>
      <c r="AQ107" s="7">
        <v>23</v>
      </c>
      <c r="AR107" s="8">
        <v>2100</v>
      </c>
      <c r="AS107" s="7">
        <v>200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72</v>
      </c>
      <c r="BM107" s="10">
        <v>8420</v>
      </c>
      <c r="BN107" s="13">
        <f t="shared" si="2"/>
        <v>8348</v>
      </c>
      <c r="BO107" s="14">
        <f t="shared" si="3"/>
        <v>5843.5999999999995</v>
      </c>
    </row>
    <row r="108" spans="1:67" x14ac:dyDescent="0.4">
      <c r="A108" s="5" t="s">
        <v>92</v>
      </c>
      <c r="B108" s="5" t="s">
        <v>60</v>
      </c>
      <c r="C108" s="5">
        <v>258201</v>
      </c>
      <c r="D108" s="6"/>
      <c r="E108" s="5" t="s">
        <v>12</v>
      </c>
      <c r="F108" s="5" t="s">
        <v>42</v>
      </c>
      <c r="G108" s="5" t="s">
        <v>12</v>
      </c>
      <c r="H108" s="7" t="s">
        <v>7</v>
      </c>
      <c r="I108" s="7" t="s">
        <v>61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3</v>
      </c>
      <c r="AC108" s="8">
        <v>2000</v>
      </c>
      <c r="AD108" s="7">
        <v>0</v>
      </c>
      <c r="AE108" s="7">
        <v>0</v>
      </c>
      <c r="AF108" s="7">
        <v>0</v>
      </c>
      <c r="AG108" s="7">
        <v>0</v>
      </c>
      <c r="AH108" s="7">
        <v>6</v>
      </c>
      <c r="AI108" s="8">
        <v>5160</v>
      </c>
      <c r="AJ108" s="7">
        <v>900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1548</v>
      </c>
      <c r="BM108" s="10">
        <v>8060</v>
      </c>
      <c r="BN108" s="13">
        <f t="shared" si="2"/>
        <v>6512</v>
      </c>
      <c r="BO108" s="14">
        <f t="shared" si="3"/>
        <v>4558.3999999999996</v>
      </c>
    </row>
    <row r="109" spans="1:67" x14ac:dyDescent="0.4">
      <c r="A109" s="5" t="s">
        <v>92</v>
      </c>
      <c r="B109" s="5" t="s">
        <v>136</v>
      </c>
      <c r="C109" s="5">
        <v>210381</v>
      </c>
      <c r="D109" s="6"/>
      <c r="E109" s="5" t="s">
        <v>12</v>
      </c>
      <c r="F109" s="5" t="s">
        <v>37</v>
      </c>
      <c r="G109" s="5" t="s">
        <v>12</v>
      </c>
      <c r="H109" s="7" t="s">
        <v>7</v>
      </c>
      <c r="I109" s="7" t="s">
        <v>137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75</v>
      </c>
      <c r="AF109" s="8">
        <v>7500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7500</v>
      </c>
      <c r="BN109" s="13">
        <f t="shared" si="2"/>
        <v>7500</v>
      </c>
      <c r="BO109" s="14">
        <f t="shared" si="3"/>
        <v>5250</v>
      </c>
    </row>
    <row r="110" spans="1:67" x14ac:dyDescent="0.4">
      <c r="A110" s="5" t="s">
        <v>92</v>
      </c>
      <c r="B110" s="5" t="s">
        <v>48</v>
      </c>
      <c r="C110" s="5">
        <v>285993</v>
      </c>
      <c r="D110" s="6"/>
      <c r="E110" s="5" t="s">
        <v>12</v>
      </c>
      <c r="F110" s="5" t="s">
        <v>13</v>
      </c>
      <c r="G110" s="5" t="s">
        <v>12</v>
      </c>
      <c r="H110" s="7" t="s">
        <v>7</v>
      </c>
      <c r="I110" s="7" t="s">
        <v>49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4</v>
      </c>
      <c r="AI110" s="8">
        <v>3240</v>
      </c>
      <c r="AJ110" s="7">
        <v>900</v>
      </c>
      <c r="AK110" s="7">
        <v>0</v>
      </c>
      <c r="AL110" s="7">
        <v>0</v>
      </c>
      <c r="AM110" s="7">
        <v>0</v>
      </c>
      <c r="AN110" s="7">
        <v>3</v>
      </c>
      <c r="AO110" s="8">
        <v>2700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972</v>
      </c>
      <c r="BM110" s="10">
        <v>6840</v>
      </c>
      <c r="BN110" s="13">
        <f t="shared" si="2"/>
        <v>5868</v>
      </c>
      <c r="BO110" s="14">
        <f t="shared" si="3"/>
        <v>4107.5999999999995</v>
      </c>
    </row>
    <row r="111" spans="1:67" ht="19.2" x14ac:dyDescent="0.4">
      <c r="A111" s="5" t="s">
        <v>92</v>
      </c>
      <c r="B111" s="5" t="s">
        <v>146</v>
      </c>
      <c r="C111" s="5">
        <v>408450</v>
      </c>
      <c r="D111" s="6"/>
      <c r="E111" s="5" t="s">
        <v>12</v>
      </c>
      <c r="F111" s="5" t="s">
        <v>13</v>
      </c>
      <c r="G111" s="5" t="s">
        <v>23</v>
      </c>
      <c r="H111" s="7" t="s">
        <v>7</v>
      </c>
      <c r="I111" s="7" t="s">
        <v>147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55</v>
      </c>
      <c r="AL111" s="8">
        <v>6600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9">
        <v>1980</v>
      </c>
      <c r="BM111" s="10">
        <v>6600</v>
      </c>
      <c r="BN111" s="13">
        <f t="shared" si="2"/>
        <v>4620</v>
      </c>
      <c r="BO111" s="14">
        <f t="shared" si="3"/>
        <v>3234</v>
      </c>
    </row>
    <row r="112" spans="1:67" x14ac:dyDescent="0.4">
      <c r="A112" s="5" t="s">
        <v>92</v>
      </c>
      <c r="B112" s="5" t="s">
        <v>106</v>
      </c>
      <c r="C112" s="5">
        <v>192732</v>
      </c>
      <c r="D112" s="6"/>
      <c r="E112" s="5" t="s">
        <v>12</v>
      </c>
      <c r="F112" s="5" t="s">
        <v>37</v>
      </c>
      <c r="G112" s="5" t="s">
        <v>12</v>
      </c>
      <c r="H112" s="7" t="s">
        <v>7</v>
      </c>
      <c r="I112" s="7" t="s">
        <v>38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4</v>
      </c>
      <c r="AC112" s="8">
        <v>2800</v>
      </c>
      <c r="AD112" s="7">
        <v>0</v>
      </c>
      <c r="AE112" s="7">
        <v>0</v>
      </c>
      <c r="AF112" s="7">
        <v>0</v>
      </c>
      <c r="AG112" s="7">
        <v>0</v>
      </c>
      <c r="AH112" s="7">
        <v>3</v>
      </c>
      <c r="AI112" s="8">
        <v>3120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936</v>
      </c>
      <c r="BM112" s="10">
        <v>5920</v>
      </c>
      <c r="BN112" s="13">
        <f t="shared" si="2"/>
        <v>4984</v>
      </c>
      <c r="BO112" s="14">
        <f t="shared" si="3"/>
        <v>3488.7999999999997</v>
      </c>
    </row>
    <row r="113" spans="1:67" x14ac:dyDescent="0.4">
      <c r="A113" s="5" t="s">
        <v>92</v>
      </c>
      <c r="B113" s="5" t="s">
        <v>50</v>
      </c>
      <c r="C113" s="5">
        <v>183137</v>
      </c>
      <c r="D113" s="6"/>
      <c r="E113" s="5" t="s">
        <v>12</v>
      </c>
      <c r="F113" s="5" t="s">
        <v>14</v>
      </c>
      <c r="G113" s="5" t="s">
        <v>12</v>
      </c>
      <c r="H113" s="7" t="s">
        <v>7</v>
      </c>
      <c r="I113" s="7" t="s">
        <v>51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5</v>
      </c>
      <c r="AC113" s="8">
        <v>4500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4500</v>
      </c>
      <c r="BN113" s="13">
        <f t="shared" si="2"/>
        <v>4500</v>
      </c>
      <c r="BO113" s="14">
        <f t="shared" si="3"/>
        <v>3150</v>
      </c>
    </row>
    <row r="114" spans="1:67" ht="19.2" x14ac:dyDescent="0.4">
      <c r="A114" s="5" t="s">
        <v>92</v>
      </c>
      <c r="B114" s="5" t="s">
        <v>151</v>
      </c>
      <c r="C114" s="5">
        <v>409409</v>
      </c>
      <c r="D114" s="6"/>
      <c r="E114" s="5" t="s">
        <v>12</v>
      </c>
      <c r="F114" s="5" t="s">
        <v>37</v>
      </c>
      <c r="G114" s="5" t="s">
        <v>23</v>
      </c>
      <c r="H114" s="7" t="s">
        <v>7</v>
      </c>
      <c r="I114" s="7" t="s">
        <v>24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11</v>
      </c>
      <c r="AF114" s="7">
        <v>600</v>
      </c>
      <c r="AG114" s="7">
        <v>500</v>
      </c>
      <c r="AH114" s="7">
        <v>0</v>
      </c>
      <c r="AI114" s="7">
        <v>0</v>
      </c>
      <c r="AJ114" s="7">
        <v>0</v>
      </c>
      <c r="AK114" s="7">
        <v>27</v>
      </c>
      <c r="AL114" s="8">
        <v>3240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972</v>
      </c>
      <c r="BM114" s="10">
        <v>4340</v>
      </c>
      <c r="BN114" s="13">
        <f t="shared" si="2"/>
        <v>3368</v>
      </c>
      <c r="BO114" s="14">
        <f t="shared" si="3"/>
        <v>2357.6</v>
      </c>
    </row>
    <row r="115" spans="1:67" x14ac:dyDescent="0.4">
      <c r="A115" s="5" t="s">
        <v>92</v>
      </c>
      <c r="B115" s="5" t="s">
        <v>41</v>
      </c>
      <c r="C115" s="5">
        <v>215737</v>
      </c>
      <c r="D115" s="6"/>
      <c r="E115" s="5" t="s">
        <v>12</v>
      </c>
      <c r="F115" s="5" t="s">
        <v>42</v>
      </c>
      <c r="G115" s="5" t="s">
        <v>12</v>
      </c>
      <c r="H115" s="7" t="s">
        <v>7</v>
      </c>
      <c r="I115" s="7" t="s">
        <v>43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10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14</v>
      </c>
      <c r="AL115" s="7">
        <v>0</v>
      </c>
      <c r="AM115" s="8">
        <v>1400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1400</v>
      </c>
      <c r="BN115" s="13">
        <f t="shared" si="2"/>
        <v>1400</v>
      </c>
      <c r="BO115" s="14">
        <f t="shared" si="3"/>
        <v>979.99999999999989</v>
      </c>
    </row>
    <row r="116" spans="1:67" x14ac:dyDescent="0.4">
      <c r="A116" s="5" t="s">
        <v>92</v>
      </c>
      <c r="B116" s="5" t="s">
        <v>39</v>
      </c>
      <c r="C116" s="5">
        <v>268655</v>
      </c>
      <c r="D116" s="6"/>
      <c r="E116" s="5" t="s">
        <v>12</v>
      </c>
      <c r="F116" s="5" t="s">
        <v>17</v>
      </c>
      <c r="G116" s="5" t="s">
        <v>12</v>
      </c>
      <c r="H116" s="7" t="s">
        <v>7</v>
      </c>
      <c r="I116" s="7" t="s">
        <v>40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1</v>
      </c>
      <c r="AO116" s="7">
        <v>900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1">
        <v>900</v>
      </c>
      <c r="BN116" s="13">
        <f t="shared" si="2"/>
        <v>900</v>
      </c>
      <c r="BO116" s="14">
        <f t="shared" si="3"/>
        <v>630</v>
      </c>
    </row>
    <row r="117" spans="1:67" x14ac:dyDescent="0.4">
      <c r="A117" s="5" t="s">
        <v>92</v>
      </c>
      <c r="B117" s="5" t="s">
        <v>138</v>
      </c>
      <c r="C117" s="5">
        <v>404358</v>
      </c>
      <c r="D117" s="6"/>
      <c r="E117" s="5" t="s">
        <v>12</v>
      </c>
      <c r="F117" s="5" t="s">
        <v>139</v>
      </c>
      <c r="G117" s="5" t="s">
        <v>12</v>
      </c>
      <c r="H117" s="7" t="s">
        <v>7</v>
      </c>
      <c r="I117" s="7" t="s">
        <v>140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5</v>
      </c>
      <c r="AF117" s="7">
        <v>500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1">
        <v>500</v>
      </c>
      <c r="BN117" s="13">
        <f t="shared" si="2"/>
        <v>500</v>
      </c>
      <c r="BO117" s="14">
        <f t="shared" si="3"/>
        <v>350</v>
      </c>
    </row>
    <row r="118" spans="1:67" x14ac:dyDescent="0.4">
      <c r="A118" s="5" t="s">
        <v>92</v>
      </c>
      <c r="B118" s="5" t="s">
        <v>131</v>
      </c>
      <c r="C118" s="5">
        <v>406732</v>
      </c>
      <c r="D118" s="6"/>
      <c r="E118" s="5" t="s">
        <v>12</v>
      </c>
      <c r="F118" s="5" t="s">
        <v>13</v>
      </c>
      <c r="G118" s="5" t="s">
        <v>12</v>
      </c>
      <c r="H118" s="7" t="s">
        <v>7</v>
      </c>
      <c r="I118" s="7" t="s">
        <v>132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1</v>
      </c>
      <c r="AL118" s="7">
        <v>0</v>
      </c>
      <c r="AM118" s="7">
        <v>100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1">
        <v>100</v>
      </c>
      <c r="BN118" s="13">
        <f t="shared" si="2"/>
        <v>100</v>
      </c>
      <c r="BO118" s="14">
        <f t="shared" si="3"/>
        <v>70</v>
      </c>
    </row>
    <row r="119" spans="1:67" x14ac:dyDescent="0.4">
      <c r="A119" s="5" t="s">
        <v>92</v>
      </c>
      <c r="B119" s="5" t="s">
        <v>134</v>
      </c>
      <c r="C119" s="5">
        <v>300910</v>
      </c>
      <c r="D119" s="6"/>
      <c r="E119" s="5" t="s">
        <v>12</v>
      </c>
      <c r="F119" s="5" t="s">
        <v>42</v>
      </c>
      <c r="G119" s="5" t="s">
        <v>12</v>
      </c>
      <c r="H119" s="7" t="s">
        <v>7</v>
      </c>
      <c r="I119" s="7" t="s">
        <v>135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7">
        <v>100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1">
        <v>100</v>
      </c>
      <c r="BN119" s="13">
        <f t="shared" si="2"/>
        <v>100</v>
      </c>
      <c r="BO119" s="14">
        <f t="shared" si="3"/>
        <v>70</v>
      </c>
    </row>
    <row r="120" spans="1:67" x14ac:dyDescent="0.4">
      <c r="BL120" s="13">
        <f>SUM(BL2:BL119)</f>
        <v>1175556.8</v>
      </c>
      <c r="BM120" s="13">
        <f t="shared" ref="BM120:BO120" si="4">SUM(BM2:BM119)</f>
        <v>20476508</v>
      </c>
      <c r="BN120" s="13">
        <f t="shared" si="4"/>
        <v>19300951.199999999</v>
      </c>
      <c r="BO120" s="18">
        <f t="shared" si="4"/>
        <v>13510665.839999994</v>
      </c>
    </row>
    <row r="121" spans="1:67" x14ac:dyDescent="0.4">
      <c r="BO121" s="16"/>
    </row>
    <row r="122" spans="1:67" x14ac:dyDescent="0.4">
      <c r="BO122" s="17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2022-07-05T05:42:16Z</dcterms:modified>
</cp:coreProperties>
</file>