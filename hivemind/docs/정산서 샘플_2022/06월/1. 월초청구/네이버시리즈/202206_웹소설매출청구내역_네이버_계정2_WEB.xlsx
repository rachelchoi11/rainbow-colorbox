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2" r:id="rId1"/>
  </sheets>
  <definedNames>
    <definedName name="_xlnm._FilterDatabase" localSheetId="0" hidden="1">'합계 (6)'!$A$1:$AM$1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BM148" i="412" l="1"/>
  <c r="BL148" i="412"/>
  <c r="BN124" i="412"/>
  <c r="BO124" i="412"/>
  <c r="BN125" i="412"/>
  <c r="BO125" i="412"/>
  <c r="BN126" i="412"/>
  <c r="BO126" i="412" s="1"/>
  <c r="BN127" i="412"/>
  <c r="BO127" i="412" s="1"/>
  <c r="BN128" i="412"/>
  <c r="BO128" i="412"/>
  <c r="BN129" i="412"/>
  <c r="BO129" i="412" s="1"/>
  <c r="BN130" i="412"/>
  <c r="BO130" i="412" s="1"/>
  <c r="BN131" i="412"/>
  <c r="BO131" i="412" s="1"/>
  <c r="BN132" i="412"/>
  <c r="BO132" i="412"/>
  <c r="BN133" i="412"/>
  <c r="BO133" i="412"/>
  <c r="BN134" i="412"/>
  <c r="BO134" i="412" s="1"/>
  <c r="BN135" i="412"/>
  <c r="BO135" i="412" s="1"/>
  <c r="BN136" i="412"/>
  <c r="BO136" i="412" s="1"/>
  <c r="BN137" i="412"/>
  <c r="BO137" i="412"/>
  <c r="BN138" i="412"/>
  <c r="BO138" i="412" s="1"/>
  <c r="BN139" i="412"/>
  <c r="BO139" i="412"/>
  <c r="BN140" i="412"/>
  <c r="BO140" i="412"/>
  <c r="BN141" i="412"/>
  <c r="BO141" i="412"/>
  <c r="BN142" i="412"/>
  <c r="BO142" i="412" s="1"/>
  <c r="BN143" i="412"/>
  <c r="BO143" i="412"/>
  <c r="BN144" i="412"/>
  <c r="BO144" i="412" s="1"/>
  <c r="BN145" i="412"/>
  <c r="BO145" i="412" s="1"/>
  <c r="BN146" i="412"/>
  <c r="BO146" i="412" s="1"/>
  <c r="BN147" i="412"/>
  <c r="BO147" i="412"/>
  <c r="BN97" i="412"/>
  <c r="BO97" i="412" s="1"/>
  <c r="BN98" i="412"/>
  <c r="BO98" i="412" s="1"/>
  <c r="BN99" i="412"/>
  <c r="BO99" i="412"/>
  <c r="BN100" i="412"/>
  <c r="BO100" i="412"/>
  <c r="BN101" i="412"/>
  <c r="BO101" i="412" s="1"/>
  <c r="BN102" i="412"/>
  <c r="BO102" i="412" s="1"/>
  <c r="BN103" i="412"/>
  <c r="BO103" i="412"/>
  <c r="BN104" i="412"/>
  <c r="BO104" i="412"/>
  <c r="BN105" i="412"/>
  <c r="BO105" i="412" s="1"/>
  <c r="BN106" i="412"/>
  <c r="BO106" i="412" s="1"/>
  <c r="BN107" i="412"/>
  <c r="BO107" i="412" s="1"/>
  <c r="BN108" i="412"/>
  <c r="BO108" i="412"/>
  <c r="BN109" i="412"/>
  <c r="BO109" i="412" s="1"/>
  <c r="BN110" i="412"/>
  <c r="BO110" i="412" s="1"/>
  <c r="BN111" i="412"/>
  <c r="BO111" i="412" s="1"/>
  <c r="BN112" i="412"/>
  <c r="BO112" i="412"/>
  <c r="BN113" i="412"/>
  <c r="BO113" i="412" s="1"/>
  <c r="BN114" i="412"/>
  <c r="BO114" i="412" s="1"/>
  <c r="BN115" i="412"/>
  <c r="BO115" i="412"/>
  <c r="BN116" i="412"/>
  <c r="BO116" i="412" s="1"/>
  <c r="BN117" i="412"/>
  <c r="BO117" i="412" s="1"/>
  <c r="BN118" i="412"/>
  <c r="BO118" i="412" s="1"/>
  <c r="BN119" i="412"/>
  <c r="BO119" i="412" s="1"/>
  <c r="BN120" i="412"/>
  <c r="BO120" i="412"/>
  <c r="BN121" i="412"/>
  <c r="BO121" i="412" s="1"/>
  <c r="BN122" i="412"/>
  <c r="BO122" i="412" s="1"/>
  <c r="BN123" i="412"/>
  <c r="BO123" i="412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/>
  <c r="BN15" i="412"/>
  <c r="BO15" i="412" s="1"/>
  <c r="BN16" i="412"/>
  <c r="BO16" i="412" s="1"/>
  <c r="BN17" i="412"/>
  <c r="BO17" i="412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/>
  <c r="BN26" i="412"/>
  <c r="BO26" i="412" s="1"/>
  <c r="BN27" i="412"/>
  <c r="BO27" i="412" s="1"/>
  <c r="BN28" i="412"/>
  <c r="BO28" i="412" s="1"/>
  <c r="BN29" i="412"/>
  <c r="BO29" i="412" s="1"/>
  <c r="BN30" i="412"/>
  <c r="BO30" i="412"/>
  <c r="BN31" i="412"/>
  <c r="BO31" i="412" s="1"/>
  <c r="BN32" i="412"/>
  <c r="BO32" i="412" s="1"/>
  <c r="BN33" i="412"/>
  <c r="BO33" i="412"/>
  <c r="BN34" i="412"/>
  <c r="BO34" i="412" s="1"/>
  <c r="BN35" i="412"/>
  <c r="BO35" i="412" s="1"/>
  <c r="BN36" i="412"/>
  <c r="BO36" i="412" s="1"/>
  <c r="BN37" i="412"/>
  <c r="BO37" i="412" s="1"/>
  <c r="BN38" i="412"/>
  <c r="BO38" i="412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/>
  <c r="BN47" i="412"/>
  <c r="BO47" i="412" s="1"/>
  <c r="BN48" i="412"/>
  <c r="BO48" i="412" s="1"/>
  <c r="BN49" i="412"/>
  <c r="BO49" i="412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/>
  <c r="BN74" i="412"/>
  <c r="BO74" i="412" s="1"/>
  <c r="BN75" i="412"/>
  <c r="BO75" i="412" s="1"/>
  <c r="BN76" i="412"/>
  <c r="BO76" i="412" s="1"/>
  <c r="BN77" i="412"/>
  <c r="BO77" i="412" s="1"/>
  <c r="BN78" i="412"/>
  <c r="BO78" i="412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/>
  <c r="BN90" i="412"/>
  <c r="BO90" i="412" s="1"/>
  <c r="BN91" i="412"/>
  <c r="BO91" i="412" s="1"/>
  <c r="BN92" i="412"/>
  <c r="BO92" i="412" s="1"/>
  <c r="BN93" i="412"/>
  <c r="BO93" i="412" s="1"/>
  <c r="BN94" i="412"/>
  <c r="BO94" i="412"/>
  <c r="BN95" i="412"/>
  <c r="BO95" i="412" s="1"/>
  <c r="BN96" i="412"/>
  <c r="BO96" i="412" s="1"/>
  <c r="BN2" i="412"/>
  <c r="BO2" i="412" l="1"/>
  <c r="BO148" i="412" s="1"/>
  <c r="BN148" i="412"/>
</calcChain>
</file>

<file path=xl/sharedStrings.xml><?xml version="1.0" encoding="utf-8"?>
<sst xmlns="http://schemas.openxmlformats.org/spreadsheetml/2006/main" count="1089" uniqueCount="251">
  <si>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</si>
  <si>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</si>
  <si>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</si>
  <si>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</si>
  <si>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</si>
  <si>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</si>
  <si>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</si>
  <si>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</si>
  <si>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</si>
  <si>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</si>
  <si>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</si>
  <si>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</si>
  <si>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</si>
  <si>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</si>
  <si>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</si>
  <si>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</si>
  <si>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</si>
  <si>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</si>
  <si>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</si>
  <si>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</si>
  <si>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</si>
  <si>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</si>
  <si>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</si>
  <si>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</si>
  <si>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</si>
  <si>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</si>
  <si>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</si>
  <si>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</si>
  <si>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</si>
  <si>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구원, 그 잔혹함에 대하여 [선공개]</t>
  </si>
  <si>
    <t>스토리위즈_1</t>
  </si>
  <si>
    <t>한보연</t>
  </si>
  <si>
    <t>블레슈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</si>
  <si>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</si>
  <si>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</si>
  <si>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</si>
  <si>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</si>
  <si>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</si>
  <si>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</si>
  <si>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</si>
  <si>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</si>
  <si>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</si>
  <si>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</si>
  <si>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</si>
  <si>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2021.02.19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</si>
  <si>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</si>
  <si>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</si>
  <si>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</si>
  <si>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</si>
  <si>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</si>
  <si>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</si>
  <si>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</si>
  <si>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</si>
  <si>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</si>
  <si>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</si>
  <si>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</si>
  <si>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</si>
  <si>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</si>
  <si>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2022.05.10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</si>
  <si>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</si>
  <si>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</si>
  <si>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</si>
  <si>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</si>
  <si>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</si>
  <si>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</si>
  <si>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</si>
  <si>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</si>
  <si>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</si>
  <si>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</si>
  <si>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</si>
  <si>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</si>
  <si>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</si>
  <si>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</si>
  <si>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</si>
  <si>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</si>
  <si>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</si>
  <si>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</si>
  <si>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</si>
  <si>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</si>
  <si>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</si>
  <si>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</si>
  <si>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</si>
  <si>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</si>
  <si>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</si>
  <si>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</si>
  <si>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</si>
  <si>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</si>
  <si>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</si>
  <si>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</si>
  <si>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</si>
  <si>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</si>
  <si>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</si>
  <si>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</si>
  <si>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</si>
  <si>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SSS급 마왕의 귀환</t>
  </si>
  <si>
    <t>구유</t>
  </si>
  <si>
    <t>2019.06.14</t>
  </si>
  <si>
    <t>그라운드의 지배자</t>
  </si>
  <si>
    <t>2016.05.30</t>
  </si>
  <si>
    <t>그라운드의 지배자 [단행본]</t>
  </si>
  <si>
    <t>2017.09.06</t>
  </si>
  <si>
    <t>다정할수록 불순한 [단행본]</t>
  </si>
  <si>
    <t>2022.05.20</t>
  </si>
  <si>
    <t>덕킹</t>
  </si>
  <si>
    <t>형사의 게임 [단행본]</t>
  </si>
  <si>
    <t>2017.10.27</t>
  </si>
  <si>
    <t>야쿠자가 사랑을 한다면 [개정판][BL]</t>
  </si>
  <si>
    <t>모리미</t>
  </si>
  <si>
    <t>2019.12.05</t>
  </si>
  <si>
    <t>셔틀</t>
  </si>
  <si>
    <t>2020.01.31</t>
  </si>
  <si>
    <t>SSS급 마왕의 귀환 [단행본]</t>
  </si>
  <si>
    <t>2020.03.19</t>
  </si>
  <si>
    <t>친구의 고백</t>
  </si>
  <si>
    <t>빵양이</t>
  </si>
  <si>
    <t>2019.02.01</t>
  </si>
  <si>
    <t>영원한 1위 [BL][단행본]</t>
  </si>
  <si>
    <t>羽宸寰(Uchenhu), 林珮瑜(Lin Peiyu)</t>
  </si>
  <si>
    <t>2022.05.02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</si>
  <si>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</si>
  <si>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</si>
  <si>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</si>
  <si>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</si>
  <si>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</si>
  <si>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</si>
  <si>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도폐풍운록</t>
  </si>
  <si>
    <t>2021.01.29</t>
  </si>
  <si>
    <t>선유문주 [단행본]</t>
  </si>
  <si>
    <t>2022.01.27</t>
  </si>
  <si>
    <t>김온별(러브마인)</t>
  </si>
  <si>
    <t>2020.08.26</t>
  </si>
  <si>
    <t>컬러 러쉬 [BL][단행본]</t>
  </si>
  <si>
    <t>2021.04.13</t>
  </si>
  <si>
    <t>선유문주</t>
  </si>
  <si>
    <t>영원한 1위 &amp; 2위의 역습 [BL]</t>
  </si>
  <si>
    <t>2022.05.19</t>
  </si>
  <si>
    <t>트리거 [BL]</t>
  </si>
  <si>
    <t>2020.06.05</t>
  </si>
  <si>
    <t>스내치</t>
  </si>
  <si>
    <t>19세 이상 이용가능</t>
  </si>
  <si>
    <t>SOTUS [BL][단행본]</t>
  </si>
  <si>
    <t>BitterSweet</t>
  </si>
  <si>
    <t>사랑도 없이 결혼 [단행본]</t>
  </si>
  <si>
    <t>부엉이콩</t>
  </si>
  <si>
    <t>시계태엽오란씨</t>
  </si>
  <si>
    <t>야쿠자가 사랑을 한다면 2 [개정판][BL][단행본]</t>
  </si>
  <si>
    <t>2022.01.28</t>
  </si>
  <si>
    <t>사랑을 놓치고 [단행본]</t>
  </si>
  <si>
    <t>2019.10.11</t>
  </si>
  <si>
    <t>야쿠자가 사랑을 한다면 [개정판][BL][단행본]</t>
  </si>
  <si>
    <t>Only you [BL][단행본]</t>
  </si>
  <si>
    <t>2021.09.09</t>
  </si>
  <si>
    <t>SOTUS 외전 [BL][단행본]</t>
  </si>
  <si>
    <t>야쿠자가 사랑을 한다면 외전 [개정판][BL][단행본]</t>
  </si>
  <si>
    <t>베놈 마스터 [단행본]</t>
  </si>
  <si>
    <t>N스토어(MW)</t>
    <phoneticPr fontId="20" type="noConversion"/>
  </si>
  <si>
    <t>PC뷰어(PC)</t>
    <phoneticPr fontId="20" type="noConversion"/>
  </si>
  <si>
    <t>N스토어(MW)</t>
    <phoneticPr fontId="20" type="noConversion"/>
  </si>
  <si>
    <t>이혼 후 로또 1등 감독님</t>
  </si>
  <si>
    <t>2022.07.04</t>
  </si>
  <si>
    <t>로드 오브 머니 [단행본]</t>
  </si>
  <si>
    <t>2019.08.05</t>
  </si>
  <si>
    <t>신들의 알바나라</t>
  </si>
  <si>
    <t>갓띵작</t>
  </si>
  <si>
    <t>2022.06.10</t>
  </si>
  <si>
    <t>2022.07.01</t>
  </si>
  <si>
    <t>망작 리메이커 [독점]</t>
  </si>
  <si>
    <t>2021.08.03</t>
  </si>
  <si>
    <t>슈퍼스타의 비밀 어플</t>
  </si>
  <si>
    <t>2022.03.11</t>
  </si>
  <si>
    <t>친구의 고백 [단행본]</t>
  </si>
  <si>
    <t>구애</t>
  </si>
  <si>
    <t>대표님께 매우 진심인 편 [외전 선공개]</t>
  </si>
  <si>
    <t>블루문</t>
  </si>
  <si>
    <t>2022.06.15</t>
  </si>
  <si>
    <t>흔적</t>
  </si>
  <si>
    <t>꽃잠</t>
  </si>
  <si>
    <t>아로새긴</t>
  </si>
  <si>
    <t>2019.12.18</t>
  </si>
  <si>
    <t>신인류 좀비의 아포칼립스 [독점]</t>
  </si>
  <si>
    <t>모험왕선우</t>
  </si>
  <si>
    <t>2021.12.08</t>
  </si>
  <si>
    <t>문답무용 - 삼국지 유비의 모사가 되었다</t>
  </si>
  <si>
    <t>청빙</t>
  </si>
  <si>
    <t>2021.02.24</t>
  </si>
  <si>
    <t>기사가문 망나니는 10클래스</t>
  </si>
  <si>
    <t>예로나</t>
  </si>
  <si>
    <t>2020.03.11</t>
  </si>
  <si>
    <t>꽂히다</t>
  </si>
  <si>
    <t>매혹적인 상사</t>
  </si>
  <si>
    <t>2022.03.04</t>
  </si>
  <si>
    <t>얼어 죽어도, 겨울</t>
  </si>
  <si>
    <t>진새벽</t>
  </si>
  <si>
    <t>2020.11.27</t>
  </si>
  <si>
    <t>절대자의 귀환</t>
  </si>
  <si>
    <t>장유진</t>
  </si>
  <si>
    <t>2021.01.19</t>
  </si>
  <si>
    <t>나의 시고르자브종 [BL]</t>
  </si>
  <si>
    <t>두나래</t>
  </si>
  <si>
    <t>2022.06.16</t>
  </si>
  <si>
    <t>썸원(Someone)</t>
  </si>
  <si>
    <t>2020.11.23</t>
  </si>
  <si>
    <t>게임 속 유닛 [단행본]</t>
  </si>
  <si>
    <t>찬동</t>
  </si>
  <si>
    <t>2021.01.21</t>
  </si>
  <si>
    <t>삼국지 호접몽전 [단행본]</t>
  </si>
  <si>
    <t>2020.05.05</t>
  </si>
  <si>
    <t>호랑이 신을 길들여 버렸다 [단행본]</t>
  </si>
  <si>
    <t>2022.02.03</t>
  </si>
  <si>
    <t>처음이어도 좋아</t>
  </si>
  <si>
    <t>테레자</t>
  </si>
  <si>
    <t>2020.05.18</t>
  </si>
  <si>
    <t>SOTUS S [BL]</t>
  </si>
  <si>
    <t>2022.05.27</t>
  </si>
  <si>
    <t>라지에르의 서</t>
  </si>
  <si>
    <t>공든탑</t>
  </si>
  <si>
    <t>2017.07.03</t>
  </si>
  <si>
    <t>살 떨리는 동거</t>
  </si>
  <si>
    <t>2021.01.14</t>
  </si>
  <si>
    <t>N스토어(PC)</t>
    <phoneticPr fontId="20" type="noConversion"/>
  </si>
  <si>
    <t>골 때리는 사랑 [BL][단행본]</t>
  </si>
  <si>
    <t>2021.03.10</t>
  </si>
  <si>
    <t>아이 컨택 [BL][단행본]</t>
  </si>
  <si>
    <t>2021.05.18</t>
  </si>
  <si>
    <t>꽃잎, 흩날리는 [BL][단행본]</t>
  </si>
  <si>
    <t>마용출</t>
  </si>
  <si>
    <t>2022.06.27</t>
  </si>
  <si>
    <t>베리타 (verità) [단행본]</t>
  </si>
  <si>
    <t>2021.04.02</t>
  </si>
  <si>
    <t>이 비서 다리 좀 치워 [BL][단행본]</t>
  </si>
  <si>
    <t>2020.05.08</t>
  </si>
  <si>
    <t>선택된 남자 [BL][단행본]</t>
  </si>
  <si>
    <t>2021.05.21</t>
  </si>
  <si>
    <t>여왕 아델 [단행본]</t>
  </si>
  <si>
    <t>이린비</t>
  </si>
  <si>
    <t>2020.10.21</t>
  </si>
  <si>
    <t>우리야, 이리온 [단행본]</t>
  </si>
  <si>
    <t>2021.12.20</t>
  </si>
  <si>
    <t>흔적 [단행본]</t>
  </si>
  <si>
    <t>2020.12.08</t>
  </si>
  <si>
    <t>간신이 나라를 살림 [단행본]</t>
  </si>
  <si>
    <t>2020.09.08</t>
  </si>
  <si>
    <t>돌아온 막내 영애님을 조심하세요 [단행본]</t>
  </si>
  <si>
    <t>꽃잎, 흩날리는 외전 [BL][단행본]</t>
  </si>
  <si>
    <t>골 때리는 사랑 외전 [BL][단행본]</t>
  </si>
  <si>
    <t>매혹적인 상사 외전 [단행본]</t>
  </si>
  <si>
    <t>베리타 (verità) 외전 [단행본]</t>
  </si>
  <si>
    <t>Only you 외전 [BL][단행본]</t>
  </si>
  <si>
    <t>숨결을 삼키다</t>
  </si>
  <si>
    <t>문스톤</t>
  </si>
  <si>
    <t>2020.08.17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</si>
</sst>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0" fillId="34" borderId="0" xfId="42" applyFont="1" applyFill="1">
      <alignment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1" fontId="23" fillId="0" borderId="0" xfId="42" applyFont="1">
      <alignment vertical="center"/>
    </xf>
    <xf numFmtId="0" fontId="23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148"/>
  <sheetViews>
    <sheetView tabSelected="1" zoomScaleNormal="100" workbookViewId="0">
      <pane xSplit="9" ySplit="1" topLeftCell="BH141" activePane="bottomRight" state="frozen"/>
      <selection pane="topRight" activeCell="J1" sqref="J1"/>
      <selection pane="bottomLeft" activeCell="A2" sqref="A2"/>
      <selection pane="bottomRight" activeCell="G155" sqref="G155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9.19921875" bestFit="1" customWidth="1"/>
    <col min="65" max="65" width="13.5" bestFit="1" customWidth="1"/>
    <col min="66" max="66" width="13.59765625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28</v>
      </c>
      <c r="I1" s="14" t="s">
        <v>6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  <c r="O1" s="12" t="s">
        <v>18</v>
      </c>
      <c r="P1" s="12" t="s">
        <v>19</v>
      </c>
      <c r="Q1" s="12" t="s">
        <v>20</v>
      </c>
      <c r="R1" s="12" t="s">
        <v>21</v>
      </c>
      <c r="S1" s="12" t="s">
        <v>13</v>
      </c>
      <c r="T1" s="12" t="s">
        <v>14</v>
      </c>
      <c r="U1" s="12" t="s">
        <v>15</v>
      </c>
      <c r="V1" s="12" t="s">
        <v>16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21</v>
      </c>
      <c r="AB1" s="12" t="s">
        <v>13</v>
      </c>
      <c r="AC1" s="12" t="s">
        <v>22</v>
      </c>
      <c r="AD1" s="12" t="s">
        <v>23</v>
      </c>
      <c r="AE1" s="12" t="s">
        <v>13</v>
      </c>
      <c r="AF1" s="12" t="s">
        <v>22</v>
      </c>
      <c r="AG1" s="12" t="s">
        <v>23</v>
      </c>
      <c r="AH1" s="12" t="s">
        <v>13</v>
      </c>
      <c r="AI1" s="12" t="s">
        <v>22</v>
      </c>
      <c r="AJ1" s="12" t="s">
        <v>23</v>
      </c>
      <c r="AK1" s="12" t="s">
        <v>13</v>
      </c>
      <c r="AL1" s="12" t="s">
        <v>22</v>
      </c>
      <c r="AM1" s="12" t="s">
        <v>23</v>
      </c>
      <c r="AN1" s="12" t="s">
        <v>13</v>
      </c>
      <c r="AO1" s="12" t="s">
        <v>22</v>
      </c>
      <c r="AP1" s="12" t="s">
        <v>23</v>
      </c>
      <c r="AQ1" s="12" t="s">
        <v>13</v>
      </c>
      <c r="AR1" s="12" t="s">
        <v>22</v>
      </c>
      <c r="AS1" s="12" t="s">
        <v>23</v>
      </c>
      <c r="AT1" s="12" t="s">
        <v>13</v>
      </c>
      <c r="AU1" s="12" t="s">
        <v>22</v>
      </c>
      <c r="AV1" s="12" t="s">
        <v>23</v>
      </c>
      <c r="AW1" s="12" t="s">
        <v>13</v>
      </c>
      <c r="AX1" s="12" t="s">
        <v>22</v>
      </c>
      <c r="AY1" s="12" t="s">
        <v>23</v>
      </c>
      <c r="AZ1" s="12" t="s">
        <v>13</v>
      </c>
      <c r="BA1" s="12" t="s">
        <v>22</v>
      </c>
      <c r="BB1" s="12" t="s">
        <v>23</v>
      </c>
      <c r="BC1" s="12" t="s">
        <v>13</v>
      </c>
      <c r="BD1" s="12" t="s">
        <v>22</v>
      </c>
      <c r="BE1" s="12" t="s">
        <v>23</v>
      </c>
      <c r="BF1" s="12" t="s">
        <v>13</v>
      </c>
      <c r="BG1" s="12" t="s">
        <v>22</v>
      </c>
      <c r="BH1" s="12" t="s">
        <v>23</v>
      </c>
      <c r="BI1" s="12" t="s">
        <v>13</v>
      </c>
      <c r="BJ1" s="12" t="s">
        <v>22</v>
      </c>
      <c r="BK1" s="12" t="s">
        <v>23</v>
      </c>
      <c r="BL1" s="12" t="s">
        <v>27</v>
      </c>
      <c r="BM1" s="12" t="s">
        <v>24</v>
      </c>
      <c r="BN1" s="12" t="s">
        <v>25</v>
      </c>
      <c r="BO1" s="12" t="s">
        <v>26</v>
      </c>
    </row>
    <row r="2" spans="1:67" x14ac:dyDescent="0.4">
      <c r="A2" s="5" t="s">
        <v>156</v>
      </c>
      <c r="B2" s="5" t="s">
        <v>158</v>
      </c>
      <c r="C2" s="5">
        <v>472512</v>
      </c>
      <c r="D2" s="6"/>
      <c r="E2" s="5" t="s">
        <v>30</v>
      </c>
      <c r="F2" s="5" t="s">
        <v>55</v>
      </c>
      <c r="G2" s="5" t="s">
        <v>11</v>
      </c>
      <c r="H2" s="7" t="s">
        <v>7</v>
      </c>
      <c r="I2" s="7" t="s">
        <v>159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3099</v>
      </c>
      <c r="AF2" s="8">
        <v>292760</v>
      </c>
      <c r="AG2" s="8">
        <v>18000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889</v>
      </c>
      <c r="AR2" s="8">
        <v>86800</v>
      </c>
      <c r="AS2" s="8">
        <v>2100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263</v>
      </c>
      <c r="BD2" s="8">
        <v>31560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1893.6</v>
      </c>
      <c r="BM2" s="10">
        <v>431220</v>
      </c>
      <c r="BN2" s="13">
        <f>BM2-BL2</f>
        <v>429326.4</v>
      </c>
      <c r="BO2" s="13">
        <f>BN2*70%</f>
        <v>300528.48</v>
      </c>
    </row>
    <row r="3" spans="1:67" x14ac:dyDescent="0.4">
      <c r="A3" s="5" t="s">
        <v>156</v>
      </c>
      <c r="B3" s="5" t="s">
        <v>34</v>
      </c>
      <c r="C3" s="5">
        <v>463799</v>
      </c>
      <c r="D3" s="6"/>
      <c r="E3" s="5" t="s">
        <v>30</v>
      </c>
      <c r="F3" s="5" t="s">
        <v>35</v>
      </c>
      <c r="G3" s="5" t="s">
        <v>11</v>
      </c>
      <c r="H3" s="7" t="s">
        <v>7</v>
      </c>
      <c r="I3" s="7" t="s">
        <v>36</v>
      </c>
      <c r="J3" s="7">
        <v>0</v>
      </c>
      <c r="K3" s="8">
        <v>1398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2107</v>
      </c>
      <c r="AF3" s="8">
        <v>209400</v>
      </c>
      <c r="AG3" s="8">
        <v>1300</v>
      </c>
      <c r="AH3" s="7">
        <v>0</v>
      </c>
      <c r="AI3" s="7">
        <v>0</v>
      </c>
      <c r="AJ3" s="7">
        <v>0</v>
      </c>
      <c r="AK3" s="7">
        <v>433</v>
      </c>
      <c r="AL3" s="8">
        <v>51960</v>
      </c>
      <c r="AM3" s="7">
        <v>0</v>
      </c>
      <c r="AN3" s="7">
        <v>0</v>
      </c>
      <c r="AO3" s="7">
        <v>0</v>
      </c>
      <c r="AP3" s="7">
        <v>0</v>
      </c>
      <c r="AQ3" s="7">
        <v>894</v>
      </c>
      <c r="AR3" s="8">
        <v>87200</v>
      </c>
      <c r="AS3" s="8">
        <v>2200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96</v>
      </c>
      <c r="BD3" s="8">
        <v>11520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16279.2</v>
      </c>
      <c r="BM3" s="10">
        <v>363580</v>
      </c>
      <c r="BN3" s="13">
        <f t="shared" ref="BN3:BN66" si="0">BM3-BL3</f>
        <v>347300.8</v>
      </c>
      <c r="BO3" s="13">
        <f t="shared" ref="BO3:BO66" si="1">BN3*70%</f>
        <v>243110.55999999997</v>
      </c>
    </row>
    <row r="4" spans="1:67" x14ac:dyDescent="0.4">
      <c r="A4" s="5" t="s">
        <v>156</v>
      </c>
      <c r="B4" s="5" t="s">
        <v>52</v>
      </c>
      <c r="C4" s="5">
        <v>178856</v>
      </c>
      <c r="D4" s="6"/>
      <c r="E4" s="5" t="s">
        <v>30</v>
      </c>
      <c r="F4" s="5" t="s">
        <v>46</v>
      </c>
      <c r="G4" s="5" t="s">
        <v>11</v>
      </c>
      <c r="H4" s="7" t="s">
        <v>10</v>
      </c>
      <c r="I4" s="7" t="s">
        <v>53</v>
      </c>
      <c r="J4" s="7">
        <v>0</v>
      </c>
      <c r="K4" s="7">
        <v>4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167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438</v>
      </c>
      <c r="AF4" s="8">
        <v>43000</v>
      </c>
      <c r="AG4" s="7">
        <v>800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587</v>
      </c>
      <c r="AR4" s="8">
        <v>55900</v>
      </c>
      <c r="AS4" s="8">
        <v>2800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85</v>
      </c>
      <c r="BD4" s="8">
        <v>10200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612</v>
      </c>
      <c r="BM4" s="10">
        <v>112700</v>
      </c>
      <c r="BN4" s="13">
        <f t="shared" si="0"/>
        <v>112088</v>
      </c>
      <c r="BO4" s="13">
        <f t="shared" si="1"/>
        <v>78461.599999999991</v>
      </c>
    </row>
    <row r="5" spans="1:67" ht="19.2" x14ac:dyDescent="0.4">
      <c r="A5" s="5" t="s">
        <v>156</v>
      </c>
      <c r="B5" s="5" t="s">
        <v>54</v>
      </c>
      <c r="C5" s="5">
        <v>454534</v>
      </c>
      <c r="D5" s="6"/>
      <c r="E5" s="5" t="s">
        <v>30</v>
      </c>
      <c r="F5" s="5" t="s">
        <v>55</v>
      </c>
      <c r="G5" s="5" t="s">
        <v>11</v>
      </c>
      <c r="H5" s="7" t="s">
        <v>7</v>
      </c>
      <c r="I5" s="7" t="s">
        <v>159</v>
      </c>
      <c r="J5" s="7">
        <v>0</v>
      </c>
      <c r="K5" s="7">
        <v>45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595</v>
      </c>
      <c r="AF5" s="8">
        <v>58120</v>
      </c>
      <c r="AG5" s="8">
        <v>1400</v>
      </c>
      <c r="AH5" s="7">
        <v>0</v>
      </c>
      <c r="AI5" s="7">
        <v>0</v>
      </c>
      <c r="AJ5" s="7">
        <v>0</v>
      </c>
      <c r="AK5" s="7">
        <v>8</v>
      </c>
      <c r="AL5" s="7">
        <v>0</v>
      </c>
      <c r="AM5" s="7">
        <v>800</v>
      </c>
      <c r="AN5" s="7">
        <v>0</v>
      </c>
      <c r="AO5" s="7">
        <v>0</v>
      </c>
      <c r="AP5" s="7">
        <v>0</v>
      </c>
      <c r="AQ5" s="7">
        <v>133</v>
      </c>
      <c r="AR5" s="8">
        <v>13300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125</v>
      </c>
      <c r="BD5" s="8">
        <v>15000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900</v>
      </c>
      <c r="BM5" s="10">
        <v>88620</v>
      </c>
      <c r="BN5" s="13">
        <f t="shared" si="0"/>
        <v>87720</v>
      </c>
      <c r="BO5" s="13">
        <f t="shared" si="1"/>
        <v>61403.999999999993</v>
      </c>
    </row>
    <row r="6" spans="1:67" x14ac:dyDescent="0.4">
      <c r="A6" s="5" t="s">
        <v>156</v>
      </c>
      <c r="B6" s="5" t="s">
        <v>43</v>
      </c>
      <c r="C6" s="5">
        <v>414278</v>
      </c>
      <c r="D6" s="6"/>
      <c r="E6" s="5" t="s">
        <v>30</v>
      </c>
      <c r="F6" s="5" t="s">
        <v>12</v>
      </c>
      <c r="G6" s="5" t="s">
        <v>11</v>
      </c>
      <c r="H6" s="7" t="s">
        <v>8</v>
      </c>
      <c r="I6" s="7" t="s">
        <v>44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27</v>
      </c>
      <c r="AF6" s="8">
        <v>84600</v>
      </c>
      <c r="AG6" s="8">
        <v>1800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86400</v>
      </c>
      <c r="BN6" s="13">
        <f t="shared" si="0"/>
        <v>86400</v>
      </c>
      <c r="BO6" s="13">
        <f t="shared" si="1"/>
        <v>60479.999999999993</v>
      </c>
    </row>
    <row r="7" spans="1:67" x14ac:dyDescent="0.4">
      <c r="A7" s="5" t="s">
        <v>156</v>
      </c>
      <c r="B7" s="5" t="s">
        <v>160</v>
      </c>
      <c r="C7" s="5">
        <v>370935</v>
      </c>
      <c r="D7" s="6"/>
      <c r="E7" s="5" t="s">
        <v>30</v>
      </c>
      <c r="F7" s="5" t="s">
        <v>46</v>
      </c>
      <c r="G7" s="5" t="s">
        <v>11</v>
      </c>
      <c r="H7" s="7" t="s">
        <v>7</v>
      </c>
      <c r="I7" s="7" t="s">
        <v>161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10</v>
      </c>
      <c r="AF7" s="8">
        <v>32000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9</v>
      </c>
      <c r="AR7" s="8">
        <v>28200</v>
      </c>
      <c r="AS7" s="7">
        <v>600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60800</v>
      </c>
      <c r="BN7" s="13">
        <f t="shared" si="0"/>
        <v>60800</v>
      </c>
      <c r="BO7" s="13">
        <f t="shared" si="1"/>
        <v>42560</v>
      </c>
    </row>
    <row r="8" spans="1:67" x14ac:dyDescent="0.4">
      <c r="A8" s="5" t="s">
        <v>156</v>
      </c>
      <c r="B8" s="5" t="s">
        <v>29</v>
      </c>
      <c r="C8" s="5">
        <v>465248</v>
      </c>
      <c r="D8" s="6"/>
      <c r="E8" s="5" t="s">
        <v>30</v>
      </c>
      <c r="F8" s="5" t="s">
        <v>31</v>
      </c>
      <c r="G8" s="5" t="s">
        <v>32</v>
      </c>
      <c r="H8" s="7" t="s">
        <v>10</v>
      </c>
      <c r="I8" s="7" t="s">
        <v>33</v>
      </c>
      <c r="J8" s="7">
        <v>9</v>
      </c>
      <c r="K8" s="7">
        <v>82</v>
      </c>
      <c r="L8" s="7">
        <v>900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318</v>
      </c>
      <c r="AF8" s="8">
        <v>32380</v>
      </c>
      <c r="AG8" s="7">
        <v>300</v>
      </c>
      <c r="AH8" s="7">
        <v>0</v>
      </c>
      <c r="AI8" s="7">
        <v>0</v>
      </c>
      <c r="AJ8" s="7">
        <v>0</v>
      </c>
      <c r="AK8" s="7">
        <v>4</v>
      </c>
      <c r="AL8" s="7">
        <v>480</v>
      </c>
      <c r="AM8" s="7">
        <v>0</v>
      </c>
      <c r="AN8" s="7">
        <v>0</v>
      </c>
      <c r="AO8" s="7">
        <v>0</v>
      </c>
      <c r="AP8" s="7">
        <v>0</v>
      </c>
      <c r="AQ8" s="7">
        <v>4</v>
      </c>
      <c r="AR8" s="7">
        <v>0</v>
      </c>
      <c r="AS8" s="7">
        <v>400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20</v>
      </c>
      <c r="BD8" s="8">
        <v>2400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288</v>
      </c>
      <c r="BM8" s="10">
        <v>36860</v>
      </c>
      <c r="BN8" s="13">
        <f t="shared" si="0"/>
        <v>36572</v>
      </c>
      <c r="BO8" s="13">
        <f t="shared" si="1"/>
        <v>25600.399999999998</v>
      </c>
    </row>
    <row r="9" spans="1:67" x14ac:dyDescent="0.4">
      <c r="A9" s="5" t="s">
        <v>156</v>
      </c>
      <c r="B9" s="5" t="s">
        <v>99</v>
      </c>
      <c r="C9" s="5">
        <v>287641</v>
      </c>
      <c r="D9" s="6"/>
      <c r="E9" s="5" t="s">
        <v>30</v>
      </c>
      <c r="F9" s="5" t="s">
        <v>46</v>
      </c>
      <c r="G9" s="5" t="s">
        <v>11</v>
      </c>
      <c r="H9" s="7" t="s">
        <v>7</v>
      </c>
      <c r="I9" s="7" t="s">
        <v>100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11</v>
      </c>
      <c r="AF9" s="8">
        <v>35200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35200</v>
      </c>
      <c r="BN9" s="13">
        <f t="shared" si="0"/>
        <v>35200</v>
      </c>
      <c r="BO9" s="13">
        <f t="shared" si="1"/>
        <v>24640</v>
      </c>
    </row>
    <row r="10" spans="1:67" x14ac:dyDescent="0.4">
      <c r="A10" s="5" t="s">
        <v>156</v>
      </c>
      <c r="B10" s="5" t="s">
        <v>61</v>
      </c>
      <c r="C10" s="5">
        <v>324335</v>
      </c>
      <c r="D10" s="6"/>
      <c r="E10" s="5" t="s">
        <v>30</v>
      </c>
      <c r="F10" s="5" t="s">
        <v>46</v>
      </c>
      <c r="G10" s="5" t="s">
        <v>11</v>
      </c>
      <c r="H10" s="7" t="s">
        <v>10</v>
      </c>
      <c r="I10" s="7" t="s">
        <v>62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5</v>
      </c>
      <c r="AF10" s="8">
        <v>16000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4</v>
      </c>
      <c r="AR10" s="8">
        <v>12400</v>
      </c>
      <c r="AS10" s="7">
        <v>400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1</v>
      </c>
      <c r="BD10" s="8">
        <v>3840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230.4</v>
      </c>
      <c r="BM10" s="10">
        <v>32640</v>
      </c>
      <c r="BN10" s="13">
        <f t="shared" si="0"/>
        <v>32409.599999999999</v>
      </c>
      <c r="BO10" s="13">
        <f t="shared" si="1"/>
        <v>22686.719999999998</v>
      </c>
    </row>
    <row r="11" spans="1:67" x14ac:dyDescent="0.4">
      <c r="A11" s="5" t="s">
        <v>156</v>
      </c>
      <c r="B11" s="5" t="s">
        <v>40</v>
      </c>
      <c r="C11" s="5">
        <v>449889</v>
      </c>
      <c r="D11" s="6"/>
      <c r="E11" s="5" t="s">
        <v>30</v>
      </c>
      <c r="F11" s="5" t="s">
        <v>41</v>
      </c>
      <c r="G11" s="5" t="s">
        <v>11</v>
      </c>
      <c r="H11" s="7" t="s">
        <v>7</v>
      </c>
      <c r="I11" s="7" t="s">
        <v>42</v>
      </c>
      <c r="J11" s="7">
        <v>0</v>
      </c>
      <c r="K11" s="7">
        <v>18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189</v>
      </c>
      <c r="AF11" s="8">
        <v>17900</v>
      </c>
      <c r="AG11" s="8">
        <v>1000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2</v>
      </c>
      <c r="AR11" s="7">
        <v>200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110</v>
      </c>
      <c r="BD11" s="8">
        <v>13200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792</v>
      </c>
      <c r="BM11" s="10">
        <v>32300</v>
      </c>
      <c r="BN11" s="13">
        <f t="shared" si="0"/>
        <v>31508</v>
      </c>
      <c r="BO11" s="13">
        <f t="shared" si="1"/>
        <v>22055.599999999999</v>
      </c>
    </row>
    <row r="12" spans="1:67" x14ac:dyDescent="0.4">
      <c r="A12" s="5" t="s">
        <v>156</v>
      </c>
      <c r="B12" s="5" t="s">
        <v>162</v>
      </c>
      <c r="C12" s="5">
        <v>471707</v>
      </c>
      <c r="D12" s="6"/>
      <c r="E12" s="5" t="s">
        <v>30</v>
      </c>
      <c r="F12" s="5" t="s">
        <v>163</v>
      </c>
      <c r="G12" s="5" t="s">
        <v>11</v>
      </c>
      <c r="H12" s="7" t="s">
        <v>7</v>
      </c>
      <c r="I12" s="7" t="s">
        <v>164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265</v>
      </c>
      <c r="AF12" s="8">
        <v>26500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8</v>
      </c>
      <c r="AR12" s="7">
        <v>800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24</v>
      </c>
      <c r="BD12" s="8">
        <v>2880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172.8</v>
      </c>
      <c r="BM12" s="10">
        <v>30180</v>
      </c>
      <c r="BN12" s="13">
        <f t="shared" si="0"/>
        <v>30007.200000000001</v>
      </c>
      <c r="BO12" s="13">
        <f t="shared" si="1"/>
        <v>21005.040000000001</v>
      </c>
    </row>
    <row r="13" spans="1:67" x14ac:dyDescent="0.4">
      <c r="A13" s="5" t="s">
        <v>156</v>
      </c>
      <c r="B13" s="5" t="s">
        <v>91</v>
      </c>
      <c r="C13" s="5">
        <v>465250</v>
      </c>
      <c r="D13" s="6"/>
      <c r="E13" s="5" t="s">
        <v>30</v>
      </c>
      <c r="F13" s="5" t="s">
        <v>92</v>
      </c>
      <c r="G13" s="5" t="s">
        <v>32</v>
      </c>
      <c r="H13" s="7" t="s">
        <v>7</v>
      </c>
      <c r="I13" s="7" t="s">
        <v>93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108</v>
      </c>
      <c r="AF13" s="8">
        <v>10100</v>
      </c>
      <c r="AG13" s="7">
        <v>700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176</v>
      </c>
      <c r="AR13" s="8">
        <v>17600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28400</v>
      </c>
      <c r="BN13" s="13">
        <f t="shared" si="0"/>
        <v>28400</v>
      </c>
      <c r="BO13" s="13">
        <f t="shared" si="1"/>
        <v>19880</v>
      </c>
    </row>
    <row r="14" spans="1:67" ht="19.2" x14ac:dyDescent="0.4">
      <c r="A14" s="5" t="s">
        <v>156</v>
      </c>
      <c r="B14" s="5" t="s">
        <v>66</v>
      </c>
      <c r="C14" s="5">
        <v>459997</v>
      </c>
      <c r="D14" s="6"/>
      <c r="E14" s="5" t="s">
        <v>30</v>
      </c>
      <c r="F14" s="5" t="s">
        <v>67</v>
      </c>
      <c r="G14" s="5" t="s">
        <v>11</v>
      </c>
      <c r="H14" s="7" t="s">
        <v>7</v>
      </c>
      <c r="I14" s="7" t="s">
        <v>165</v>
      </c>
      <c r="J14" s="7">
        <v>12</v>
      </c>
      <c r="K14" s="7">
        <v>18</v>
      </c>
      <c r="L14" s="8">
        <v>1200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143</v>
      </c>
      <c r="AF14" s="8">
        <v>11300</v>
      </c>
      <c r="AG14" s="8">
        <v>3000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96</v>
      </c>
      <c r="AR14" s="8">
        <v>9600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25100</v>
      </c>
      <c r="BN14" s="13">
        <f t="shared" si="0"/>
        <v>25100</v>
      </c>
      <c r="BO14" s="13">
        <f t="shared" si="1"/>
        <v>17570</v>
      </c>
    </row>
    <row r="15" spans="1:67" ht="19.2" x14ac:dyDescent="0.4">
      <c r="A15" s="5" t="s">
        <v>156</v>
      </c>
      <c r="B15" s="5" t="s">
        <v>45</v>
      </c>
      <c r="C15" s="5">
        <v>369220</v>
      </c>
      <c r="D15" s="6"/>
      <c r="E15" s="5" t="s">
        <v>30</v>
      </c>
      <c r="F15" s="5" t="s">
        <v>46</v>
      </c>
      <c r="G15" s="5" t="s">
        <v>11</v>
      </c>
      <c r="H15" s="7" t="s">
        <v>7</v>
      </c>
      <c r="I15" s="7" t="s">
        <v>47</v>
      </c>
      <c r="J15" s="7">
        <v>0</v>
      </c>
      <c r="K15" s="7">
        <v>2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128</v>
      </c>
      <c r="AF15" s="8">
        <v>10860</v>
      </c>
      <c r="AG15" s="8">
        <v>2300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18</v>
      </c>
      <c r="AR15" s="8">
        <v>1800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84</v>
      </c>
      <c r="BD15" s="8">
        <v>10080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604.79999999999995</v>
      </c>
      <c r="BM15" s="10">
        <v>25040</v>
      </c>
      <c r="BN15" s="13">
        <f t="shared" si="0"/>
        <v>24435.200000000001</v>
      </c>
      <c r="BO15" s="13">
        <f t="shared" si="1"/>
        <v>17104.64</v>
      </c>
    </row>
    <row r="16" spans="1:67" x14ac:dyDescent="0.4">
      <c r="A16" s="5" t="s">
        <v>156</v>
      </c>
      <c r="B16" s="5" t="s">
        <v>37</v>
      </c>
      <c r="C16" s="5">
        <v>445688</v>
      </c>
      <c r="D16" s="6"/>
      <c r="E16" s="5" t="s">
        <v>30</v>
      </c>
      <c r="F16" s="5" t="s">
        <v>38</v>
      </c>
      <c r="G16" s="5" t="s">
        <v>11</v>
      </c>
      <c r="H16" s="7" t="s">
        <v>7</v>
      </c>
      <c r="I16" s="7" t="s">
        <v>39</v>
      </c>
      <c r="J16" s="7">
        <v>0</v>
      </c>
      <c r="K16" s="7">
        <v>5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211</v>
      </c>
      <c r="AF16" s="8">
        <v>20400</v>
      </c>
      <c r="AG16" s="7">
        <v>700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2</v>
      </c>
      <c r="AR16" s="7">
        <v>200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21300</v>
      </c>
      <c r="BN16" s="13">
        <f t="shared" si="0"/>
        <v>21300</v>
      </c>
      <c r="BO16" s="13">
        <f t="shared" si="1"/>
        <v>14909.999999999998</v>
      </c>
    </row>
    <row r="17" spans="1:67" x14ac:dyDescent="0.4">
      <c r="A17" s="5" t="s">
        <v>156</v>
      </c>
      <c r="B17" s="5" t="s">
        <v>88</v>
      </c>
      <c r="C17" s="5">
        <v>219203</v>
      </c>
      <c r="D17" s="6"/>
      <c r="E17" s="5" t="s">
        <v>30</v>
      </c>
      <c r="F17" s="5" t="s">
        <v>89</v>
      </c>
      <c r="G17" s="5" t="s">
        <v>11</v>
      </c>
      <c r="H17" s="7" t="s">
        <v>7</v>
      </c>
      <c r="I17" s="7" t="s">
        <v>90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135</v>
      </c>
      <c r="AC17" s="8">
        <v>13500</v>
      </c>
      <c r="AD17" s="7">
        <v>0</v>
      </c>
      <c r="AE17" s="7">
        <v>24</v>
      </c>
      <c r="AF17" s="8">
        <v>7200</v>
      </c>
      <c r="AG17" s="7">
        <v>0</v>
      </c>
      <c r="AH17" s="7">
        <v>1</v>
      </c>
      <c r="AI17" s="7">
        <v>0</v>
      </c>
      <c r="AJ17" s="7">
        <v>100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20800</v>
      </c>
      <c r="BN17" s="13">
        <f t="shared" si="0"/>
        <v>20800</v>
      </c>
      <c r="BO17" s="13">
        <f t="shared" si="1"/>
        <v>14559.999999999998</v>
      </c>
    </row>
    <row r="18" spans="1:67" x14ac:dyDescent="0.4">
      <c r="A18" s="5" t="s">
        <v>156</v>
      </c>
      <c r="B18" s="5" t="s">
        <v>82</v>
      </c>
      <c r="C18" s="5">
        <v>387417</v>
      </c>
      <c r="D18" s="6"/>
      <c r="E18" s="5" t="s">
        <v>30</v>
      </c>
      <c r="F18" s="5" t="s">
        <v>83</v>
      </c>
      <c r="G18" s="5" t="s">
        <v>11</v>
      </c>
      <c r="H18" s="7" t="s">
        <v>7</v>
      </c>
      <c r="I18" s="7" t="s">
        <v>84</v>
      </c>
      <c r="J18" s="7">
        <v>0</v>
      </c>
      <c r="K18" s="7">
        <v>6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164</v>
      </c>
      <c r="AF18" s="8">
        <v>16000</v>
      </c>
      <c r="AG18" s="7">
        <v>400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26</v>
      </c>
      <c r="AR18" s="8">
        <v>2600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19000</v>
      </c>
      <c r="BN18" s="13">
        <f t="shared" si="0"/>
        <v>19000</v>
      </c>
      <c r="BO18" s="13">
        <f t="shared" si="1"/>
        <v>13300</v>
      </c>
    </row>
    <row r="19" spans="1:67" x14ac:dyDescent="0.4">
      <c r="A19" s="5" t="s">
        <v>156</v>
      </c>
      <c r="B19" s="5" t="s">
        <v>59</v>
      </c>
      <c r="C19" s="5">
        <v>321812</v>
      </c>
      <c r="D19" s="6"/>
      <c r="E19" s="5" t="s">
        <v>30</v>
      </c>
      <c r="F19" s="5" t="s">
        <v>46</v>
      </c>
      <c r="G19" s="5" t="s">
        <v>11</v>
      </c>
      <c r="H19" s="7" t="s">
        <v>7</v>
      </c>
      <c r="I19" s="7" t="s">
        <v>60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134</v>
      </c>
      <c r="AF19" s="8">
        <v>13400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35</v>
      </c>
      <c r="AR19" s="8">
        <v>3300</v>
      </c>
      <c r="AS19" s="7">
        <v>200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16900</v>
      </c>
      <c r="BN19" s="13">
        <f t="shared" si="0"/>
        <v>16900</v>
      </c>
      <c r="BO19" s="13">
        <f t="shared" si="1"/>
        <v>11830</v>
      </c>
    </row>
    <row r="20" spans="1:67" x14ac:dyDescent="0.4">
      <c r="A20" s="5" t="s">
        <v>156</v>
      </c>
      <c r="B20" s="5" t="s">
        <v>48</v>
      </c>
      <c r="C20" s="5">
        <v>395270</v>
      </c>
      <c r="D20" s="6"/>
      <c r="E20" s="5" t="s">
        <v>30</v>
      </c>
      <c r="F20" s="5" t="s">
        <v>49</v>
      </c>
      <c r="G20" s="5" t="s">
        <v>50</v>
      </c>
      <c r="H20" s="7" t="s">
        <v>8</v>
      </c>
      <c r="I20" s="7" t="s">
        <v>51</v>
      </c>
      <c r="J20" s="7">
        <v>0</v>
      </c>
      <c r="K20" s="7">
        <v>338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113</v>
      </c>
      <c r="AF20" s="8">
        <v>11080</v>
      </c>
      <c r="AG20" s="7">
        <v>300</v>
      </c>
      <c r="AH20" s="7">
        <v>0</v>
      </c>
      <c r="AI20" s="7">
        <v>0</v>
      </c>
      <c r="AJ20" s="7">
        <v>0</v>
      </c>
      <c r="AK20" s="7">
        <v>17</v>
      </c>
      <c r="AL20" s="8">
        <v>2040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9</v>
      </c>
      <c r="BD20" s="8">
        <v>1080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676.8</v>
      </c>
      <c r="BM20" s="10">
        <v>14500</v>
      </c>
      <c r="BN20" s="13">
        <f t="shared" si="0"/>
        <v>13823.2</v>
      </c>
      <c r="BO20" s="13">
        <f t="shared" si="1"/>
        <v>9676.24</v>
      </c>
    </row>
    <row r="21" spans="1:67" x14ac:dyDescent="0.4">
      <c r="A21" s="5" t="s">
        <v>156</v>
      </c>
      <c r="B21" s="5" t="s">
        <v>111</v>
      </c>
      <c r="C21" s="5">
        <v>392777</v>
      </c>
      <c r="D21" s="6"/>
      <c r="E21" s="5" t="s">
        <v>30</v>
      </c>
      <c r="F21" s="5" t="s">
        <v>95</v>
      </c>
      <c r="G21" s="5" t="s">
        <v>11</v>
      </c>
      <c r="H21" s="7" t="s">
        <v>7</v>
      </c>
      <c r="I21" s="7" t="s">
        <v>112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4</v>
      </c>
      <c r="AF21" s="8">
        <v>14160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14160</v>
      </c>
      <c r="BN21" s="13">
        <f t="shared" si="0"/>
        <v>14160</v>
      </c>
      <c r="BO21" s="13">
        <f t="shared" si="1"/>
        <v>9912</v>
      </c>
    </row>
    <row r="22" spans="1:67" x14ac:dyDescent="0.4">
      <c r="A22" s="5" t="s">
        <v>156</v>
      </c>
      <c r="B22" s="5" t="s">
        <v>104</v>
      </c>
      <c r="C22" s="5">
        <v>290890</v>
      </c>
      <c r="D22" s="6"/>
      <c r="E22" s="5" t="s">
        <v>30</v>
      </c>
      <c r="F22" s="5" t="s">
        <v>46</v>
      </c>
      <c r="G22" s="5" t="s">
        <v>11</v>
      </c>
      <c r="H22" s="7" t="s">
        <v>7</v>
      </c>
      <c r="I22" s="7" t="s">
        <v>105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11</v>
      </c>
      <c r="AO22" s="8">
        <v>9700</v>
      </c>
      <c r="AP22" s="7">
        <v>200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9900</v>
      </c>
      <c r="BN22" s="13">
        <f t="shared" si="0"/>
        <v>9900</v>
      </c>
      <c r="BO22" s="13">
        <f t="shared" si="1"/>
        <v>6930</v>
      </c>
    </row>
    <row r="23" spans="1:67" x14ac:dyDescent="0.4">
      <c r="A23" s="5" t="s">
        <v>156</v>
      </c>
      <c r="B23" s="5" t="s">
        <v>166</v>
      </c>
      <c r="C23" s="5">
        <v>425414</v>
      </c>
      <c r="D23" s="6"/>
      <c r="E23" s="5" t="s">
        <v>30</v>
      </c>
      <c r="F23" s="5" t="s">
        <v>103</v>
      </c>
      <c r="G23" s="5" t="s">
        <v>11</v>
      </c>
      <c r="H23" s="7" t="s">
        <v>7</v>
      </c>
      <c r="I23" s="7" t="s">
        <v>167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99</v>
      </c>
      <c r="AF23" s="8">
        <v>9900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9900</v>
      </c>
      <c r="BN23" s="13">
        <f t="shared" si="0"/>
        <v>9900</v>
      </c>
      <c r="BO23" s="13">
        <f t="shared" si="1"/>
        <v>6930</v>
      </c>
    </row>
    <row r="24" spans="1:67" x14ac:dyDescent="0.4">
      <c r="A24" s="5" t="s">
        <v>156</v>
      </c>
      <c r="B24" s="5" t="s">
        <v>168</v>
      </c>
      <c r="C24" s="5">
        <v>462353</v>
      </c>
      <c r="D24" s="6"/>
      <c r="E24" s="5" t="s">
        <v>30</v>
      </c>
      <c r="F24" s="5" t="s">
        <v>55</v>
      </c>
      <c r="G24" s="5" t="s">
        <v>11</v>
      </c>
      <c r="H24" s="7" t="s">
        <v>7</v>
      </c>
      <c r="I24" s="7" t="s">
        <v>169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94</v>
      </c>
      <c r="AF24" s="8">
        <v>9400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1</v>
      </c>
      <c r="AR24" s="7">
        <v>100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9500</v>
      </c>
      <c r="BN24" s="13">
        <f t="shared" si="0"/>
        <v>9500</v>
      </c>
      <c r="BO24" s="13">
        <f t="shared" si="1"/>
        <v>6650</v>
      </c>
    </row>
    <row r="25" spans="1:67" x14ac:dyDescent="0.4">
      <c r="A25" s="5" t="s">
        <v>156</v>
      </c>
      <c r="B25" s="5" t="s">
        <v>63</v>
      </c>
      <c r="C25" s="5">
        <v>412919</v>
      </c>
      <c r="D25" s="6"/>
      <c r="E25" s="5" t="s">
        <v>30</v>
      </c>
      <c r="F25" s="5" t="s">
        <v>64</v>
      </c>
      <c r="G25" s="5" t="s">
        <v>50</v>
      </c>
      <c r="H25" s="7" t="s">
        <v>8</v>
      </c>
      <c r="I25" s="7" t="s">
        <v>65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77</v>
      </c>
      <c r="AF25" s="8">
        <v>7700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7700</v>
      </c>
      <c r="BN25" s="13">
        <f t="shared" si="0"/>
        <v>7700</v>
      </c>
      <c r="BO25" s="13">
        <f t="shared" si="1"/>
        <v>5390</v>
      </c>
    </row>
    <row r="26" spans="1:67" x14ac:dyDescent="0.4">
      <c r="A26" s="5" t="s">
        <v>156</v>
      </c>
      <c r="B26" s="5" t="s">
        <v>154</v>
      </c>
      <c r="C26" s="5">
        <v>408588</v>
      </c>
      <c r="D26" s="6"/>
      <c r="E26" s="5" t="s">
        <v>30</v>
      </c>
      <c r="F26" s="5" t="s">
        <v>144</v>
      </c>
      <c r="G26" s="5" t="s">
        <v>11</v>
      </c>
      <c r="H26" s="7" t="s">
        <v>7</v>
      </c>
      <c r="I26" s="7" t="s">
        <v>130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</v>
      </c>
      <c r="AF26" s="8">
        <v>6400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6400</v>
      </c>
      <c r="BN26" s="13">
        <f t="shared" si="0"/>
        <v>6400</v>
      </c>
      <c r="BO26" s="13">
        <f t="shared" si="1"/>
        <v>4480</v>
      </c>
    </row>
    <row r="27" spans="1:67" x14ac:dyDescent="0.4">
      <c r="A27" s="5" t="s">
        <v>156</v>
      </c>
      <c r="B27" s="5" t="s">
        <v>77</v>
      </c>
      <c r="C27" s="5">
        <v>245889</v>
      </c>
      <c r="D27" s="6"/>
      <c r="E27" s="5" t="s">
        <v>30</v>
      </c>
      <c r="F27" s="5" t="s">
        <v>46</v>
      </c>
      <c r="G27" s="5" t="s">
        <v>11</v>
      </c>
      <c r="H27" s="7" t="s">
        <v>7</v>
      </c>
      <c r="I27" s="7" t="s">
        <v>78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37</v>
      </c>
      <c r="AF27" s="8">
        <v>3700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17</v>
      </c>
      <c r="AR27" s="8">
        <v>1200</v>
      </c>
      <c r="AS27" s="7">
        <v>500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5400</v>
      </c>
      <c r="BN27" s="13">
        <f t="shared" si="0"/>
        <v>5400</v>
      </c>
      <c r="BO27" s="13">
        <f t="shared" si="1"/>
        <v>3779.9999999999995</v>
      </c>
    </row>
    <row r="28" spans="1:67" x14ac:dyDescent="0.4">
      <c r="A28" s="5" t="s">
        <v>156</v>
      </c>
      <c r="B28" s="5" t="s">
        <v>170</v>
      </c>
      <c r="C28" s="5">
        <v>387975</v>
      </c>
      <c r="D28" s="6"/>
      <c r="E28" s="5" t="s">
        <v>30</v>
      </c>
      <c r="F28" s="5" t="s">
        <v>114</v>
      </c>
      <c r="G28" s="5" t="s">
        <v>50</v>
      </c>
      <c r="H28" s="7" t="s">
        <v>139</v>
      </c>
      <c r="I28" s="7" t="s">
        <v>110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</v>
      </c>
      <c r="AF28" s="8">
        <v>3360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3360</v>
      </c>
      <c r="BN28" s="13">
        <f t="shared" si="0"/>
        <v>3360</v>
      </c>
      <c r="BO28" s="13">
        <f t="shared" si="1"/>
        <v>2352</v>
      </c>
    </row>
    <row r="29" spans="1:67" x14ac:dyDescent="0.4">
      <c r="A29" s="5" t="s">
        <v>156</v>
      </c>
      <c r="B29" s="5" t="s">
        <v>127</v>
      </c>
      <c r="C29" s="5">
        <v>458566</v>
      </c>
      <c r="D29" s="6"/>
      <c r="E29" s="5" t="s">
        <v>30</v>
      </c>
      <c r="F29" s="5" t="s">
        <v>46</v>
      </c>
      <c r="G29" s="5" t="s">
        <v>11</v>
      </c>
      <c r="H29" s="7" t="s">
        <v>7</v>
      </c>
      <c r="I29" s="7" t="s">
        <v>128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</v>
      </c>
      <c r="AF29" s="8">
        <v>3200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3200</v>
      </c>
      <c r="BN29" s="13">
        <f t="shared" si="0"/>
        <v>3200</v>
      </c>
      <c r="BO29" s="13">
        <f t="shared" si="1"/>
        <v>2240</v>
      </c>
    </row>
    <row r="30" spans="1:67" x14ac:dyDescent="0.4">
      <c r="A30" s="5" t="s">
        <v>156</v>
      </c>
      <c r="B30" s="5" t="s">
        <v>171</v>
      </c>
      <c r="C30" s="5">
        <v>359912</v>
      </c>
      <c r="D30" s="6"/>
      <c r="E30" s="5" t="s">
        <v>30</v>
      </c>
      <c r="F30" s="5" t="s">
        <v>109</v>
      </c>
      <c r="G30" s="5" t="s">
        <v>50</v>
      </c>
      <c r="H30" s="7" t="s">
        <v>8</v>
      </c>
      <c r="I30" s="7" t="s">
        <v>159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29</v>
      </c>
      <c r="AF30" s="8">
        <v>2900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2900</v>
      </c>
      <c r="BN30" s="13">
        <f t="shared" si="0"/>
        <v>2900</v>
      </c>
      <c r="BO30" s="13">
        <f t="shared" si="1"/>
        <v>2029.9999999999998</v>
      </c>
    </row>
    <row r="31" spans="1:67" x14ac:dyDescent="0.4">
      <c r="A31" s="5" t="s">
        <v>156</v>
      </c>
      <c r="B31" s="5" t="s">
        <v>85</v>
      </c>
      <c r="C31" s="5">
        <v>442274</v>
      </c>
      <c r="D31" s="6"/>
      <c r="E31" s="5" t="s">
        <v>30</v>
      </c>
      <c r="F31" s="5" t="s">
        <v>86</v>
      </c>
      <c r="G31" s="5" t="s">
        <v>11</v>
      </c>
      <c r="H31" s="7" t="s">
        <v>7</v>
      </c>
      <c r="I31" s="7" t="s">
        <v>87</v>
      </c>
      <c r="J31" s="7">
        <v>0</v>
      </c>
      <c r="K31" s="7">
        <v>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26</v>
      </c>
      <c r="AF31" s="8">
        <v>2600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1</v>
      </c>
      <c r="AR31" s="7">
        <v>100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2700</v>
      </c>
      <c r="BN31" s="13">
        <f t="shared" si="0"/>
        <v>2700</v>
      </c>
      <c r="BO31" s="13">
        <f t="shared" si="1"/>
        <v>1889.9999999999998</v>
      </c>
    </row>
    <row r="32" spans="1:67" ht="19.2" x14ac:dyDescent="0.4">
      <c r="A32" s="5" t="s">
        <v>156</v>
      </c>
      <c r="B32" s="5" t="s">
        <v>172</v>
      </c>
      <c r="C32" s="5">
        <v>472228</v>
      </c>
      <c r="D32" s="6"/>
      <c r="E32" s="5" t="s">
        <v>30</v>
      </c>
      <c r="F32" s="5" t="s">
        <v>173</v>
      </c>
      <c r="G32" s="5" t="s">
        <v>32</v>
      </c>
      <c r="H32" s="7" t="s">
        <v>8</v>
      </c>
      <c r="I32" s="7" t="s">
        <v>174</v>
      </c>
      <c r="J32" s="7">
        <v>0</v>
      </c>
      <c r="K32" s="7">
        <v>3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</v>
      </c>
      <c r="AF32" s="7">
        <v>200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17</v>
      </c>
      <c r="BD32" s="8">
        <v>2040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122.4</v>
      </c>
      <c r="BM32" s="10">
        <v>2240</v>
      </c>
      <c r="BN32" s="13">
        <f t="shared" si="0"/>
        <v>2117.6</v>
      </c>
      <c r="BO32" s="13">
        <f t="shared" si="1"/>
        <v>1482.32</v>
      </c>
    </row>
    <row r="33" spans="1:67" x14ac:dyDescent="0.4">
      <c r="A33" s="5" t="s">
        <v>156</v>
      </c>
      <c r="B33" s="5" t="s">
        <v>175</v>
      </c>
      <c r="C33" s="5">
        <v>390809</v>
      </c>
      <c r="D33" s="6"/>
      <c r="E33" s="5" t="s">
        <v>30</v>
      </c>
      <c r="F33" s="5" t="s">
        <v>176</v>
      </c>
      <c r="G33" s="5" t="s">
        <v>50</v>
      </c>
      <c r="H33" s="7" t="s">
        <v>8</v>
      </c>
      <c r="I33" s="7" t="s">
        <v>51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15</v>
      </c>
      <c r="BD33" s="8">
        <v>1800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108</v>
      </c>
      <c r="BM33" s="10">
        <v>1800</v>
      </c>
      <c r="BN33" s="13">
        <f t="shared" si="0"/>
        <v>1692</v>
      </c>
      <c r="BO33" s="13">
        <f t="shared" si="1"/>
        <v>1184.3999999999999</v>
      </c>
    </row>
    <row r="34" spans="1:67" x14ac:dyDescent="0.4">
      <c r="A34" s="5" t="s">
        <v>156</v>
      </c>
      <c r="B34" s="5" t="s">
        <v>177</v>
      </c>
      <c r="C34" s="5">
        <v>383716</v>
      </c>
      <c r="D34" s="6"/>
      <c r="E34" s="5" t="s">
        <v>30</v>
      </c>
      <c r="F34" s="5" t="s">
        <v>138</v>
      </c>
      <c r="G34" s="5" t="s">
        <v>50</v>
      </c>
      <c r="H34" s="7" t="s">
        <v>139</v>
      </c>
      <c r="I34" s="7" t="s">
        <v>178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18</v>
      </c>
      <c r="AF34" s="8">
        <v>1800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1800</v>
      </c>
      <c r="BN34" s="13">
        <f t="shared" si="0"/>
        <v>1800</v>
      </c>
      <c r="BO34" s="13">
        <f t="shared" si="1"/>
        <v>1260</v>
      </c>
    </row>
    <row r="35" spans="1:67" x14ac:dyDescent="0.4">
      <c r="A35" s="5" t="s">
        <v>156</v>
      </c>
      <c r="B35" s="5" t="s">
        <v>179</v>
      </c>
      <c r="C35" s="5">
        <v>434847</v>
      </c>
      <c r="D35" s="6"/>
      <c r="E35" s="5" t="s">
        <v>30</v>
      </c>
      <c r="F35" s="5" t="s">
        <v>180</v>
      </c>
      <c r="G35" s="5" t="s">
        <v>11</v>
      </c>
      <c r="H35" s="7" t="s">
        <v>7</v>
      </c>
      <c r="I35" s="7" t="s">
        <v>181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16</v>
      </c>
      <c r="AF35" s="8">
        <v>1600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1600</v>
      </c>
      <c r="BN35" s="13">
        <f t="shared" si="0"/>
        <v>1600</v>
      </c>
      <c r="BO35" s="13">
        <f t="shared" si="1"/>
        <v>1120</v>
      </c>
    </row>
    <row r="36" spans="1:67" x14ac:dyDescent="0.4">
      <c r="A36" s="5" t="s">
        <v>156</v>
      </c>
      <c r="B36" s="5" t="s">
        <v>133</v>
      </c>
      <c r="C36" s="5">
        <v>458561</v>
      </c>
      <c r="D36" s="6"/>
      <c r="E36" s="5" t="s">
        <v>30</v>
      </c>
      <c r="F36" s="5" t="s">
        <v>46</v>
      </c>
      <c r="G36" s="5" t="s">
        <v>11</v>
      </c>
      <c r="H36" s="7" t="s">
        <v>7</v>
      </c>
      <c r="I36" s="7" t="s">
        <v>128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9</v>
      </c>
      <c r="AF36" s="7">
        <v>900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1</v>
      </c>
      <c r="AR36" s="7">
        <v>100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5</v>
      </c>
      <c r="BD36" s="7">
        <v>600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36</v>
      </c>
      <c r="BM36" s="10">
        <v>1600</v>
      </c>
      <c r="BN36" s="13">
        <f t="shared" si="0"/>
        <v>1564</v>
      </c>
      <c r="BO36" s="13">
        <f t="shared" si="1"/>
        <v>1094.8</v>
      </c>
    </row>
    <row r="37" spans="1:67" ht="19.2" x14ac:dyDescent="0.4">
      <c r="A37" s="5" t="s">
        <v>156</v>
      </c>
      <c r="B37" s="5" t="s">
        <v>182</v>
      </c>
      <c r="C37" s="5">
        <v>425289</v>
      </c>
      <c r="D37" s="6"/>
      <c r="E37" s="5" t="s">
        <v>30</v>
      </c>
      <c r="F37" s="5" t="s">
        <v>183</v>
      </c>
      <c r="G37" s="5" t="s">
        <v>11</v>
      </c>
      <c r="H37" s="7" t="s">
        <v>7</v>
      </c>
      <c r="I37" s="7" t="s">
        <v>184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15</v>
      </c>
      <c r="AR37" s="8">
        <v>1500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1500</v>
      </c>
      <c r="BN37" s="13">
        <f t="shared" si="0"/>
        <v>1500</v>
      </c>
      <c r="BO37" s="13">
        <f t="shared" si="1"/>
        <v>1050</v>
      </c>
    </row>
    <row r="38" spans="1:67" x14ac:dyDescent="0.4">
      <c r="A38" s="5" t="s">
        <v>156</v>
      </c>
      <c r="B38" s="5" t="s">
        <v>74</v>
      </c>
      <c r="C38" s="5">
        <v>464776</v>
      </c>
      <c r="D38" s="6"/>
      <c r="E38" s="5" t="s">
        <v>30</v>
      </c>
      <c r="F38" s="5" t="s">
        <v>75</v>
      </c>
      <c r="G38" s="5" t="s">
        <v>32</v>
      </c>
      <c r="H38" s="7" t="s">
        <v>10</v>
      </c>
      <c r="I38" s="7" t="s">
        <v>76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5</v>
      </c>
      <c r="AF38" s="7">
        <v>500</v>
      </c>
      <c r="AG38" s="7">
        <v>0</v>
      </c>
      <c r="AH38" s="7">
        <v>0</v>
      </c>
      <c r="AI38" s="7">
        <v>0</v>
      </c>
      <c r="AJ38" s="7">
        <v>0</v>
      </c>
      <c r="AK38" s="7">
        <v>8</v>
      </c>
      <c r="AL38" s="7">
        <v>960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288</v>
      </c>
      <c r="BM38" s="10">
        <v>1460</v>
      </c>
      <c r="BN38" s="13">
        <f t="shared" si="0"/>
        <v>1172</v>
      </c>
      <c r="BO38" s="13">
        <f t="shared" si="1"/>
        <v>820.4</v>
      </c>
    </row>
    <row r="39" spans="1:67" x14ac:dyDescent="0.4">
      <c r="A39" s="5" t="s">
        <v>156</v>
      </c>
      <c r="B39" s="5" t="s">
        <v>185</v>
      </c>
      <c r="C39" s="5">
        <v>387942</v>
      </c>
      <c r="D39" s="6"/>
      <c r="E39" s="5" t="s">
        <v>30</v>
      </c>
      <c r="F39" s="5" t="s">
        <v>186</v>
      </c>
      <c r="G39" s="5" t="s">
        <v>11</v>
      </c>
      <c r="H39" s="7" t="s">
        <v>7</v>
      </c>
      <c r="I39" s="7" t="s">
        <v>187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14</v>
      </c>
      <c r="AR39" s="8">
        <v>1200</v>
      </c>
      <c r="AS39" s="7">
        <v>200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1400</v>
      </c>
      <c r="BN39" s="13">
        <f t="shared" si="0"/>
        <v>1400</v>
      </c>
      <c r="BO39" s="13">
        <f t="shared" si="1"/>
        <v>979.99999999999989</v>
      </c>
    </row>
    <row r="40" spans="1:67" x14ac:dyDescent="0.4">
      <c r="A40" s="5" t="s">
        <v>156</v>
      </c>
      <c r="B40" s="5" t="s">
        <v>125</v>
      </c>
      <c r="C40" s="5">
        <v>423328</v>
      </c>
      <c r="D40" s="6"/>
      <c r="E40" s="5" t="s">
        <v>30</v>
      </c>
      <c r="F40" s="5" t="s">
        <v>46</v>
      </c>
      <c r="G40" s="5" t="s">
        <v>11</v>
      </c>
      <c r="H40" s="7" t="s">
        <v>7</v>
      </c>
      <c r="I40" s="7" t="s">
        <v>126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14</v>
      </c>
      <c r="AF40" s="8">
        <v>1400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1400</v>
      </c>
      <c r="BN40" s="13">
        <f t="shared" si="0"/>
        <v>1400</v>
      </c>
      <c r="BO40" s="13">
        <f t="shared" si="1"/>
        <v>979.99999999999989</v>
      </c>
    </row>
    <row r="41" spans="1:67" x14ac:dyDescent="0.4">
      <c r="A41" s="5" t="s">
        <v>156</v>
      </c>
      <c r="B41" s="5" t="s">
        <v>79</v>
      </c>
      <c r="C41" s="5">
        <v>386960</v>
      </c>
      <c r="D41" s="6"/>
      <c r="E41" s="5" t="s">
        <v>30</v>
      </c>
      <c r="F41" s="5" t="s">
        <v>80</v>
      </c>
      <c r="G41" s="5" t="s">
        <v>11</v>
      </c>
      <c r="H41" s="7" t="s">
        <v>7</v>
      </c>
      <c r="I41" s="7" t="s">
        <v>81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11</v>
      </c>
      <c r="AF41" s="8">
        <v>1100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3</v>
      </c>
      <c r="AR41" s="7">
        <v>300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0">
        <v>1400</v>
      </c>
      <c r="BN41" s="13">
        <f t="shared" si="0"/>
        <v>1400</v>
      </c>
      <c r="BO41" s="13">
        <f t="shared" si="1"/>
        <v>979.99999999999989</v>
      </c>
    </row>
    <row r="42" spans="1:67" x14ac:dyDescent="0.4">
      <c r="A42" s="5" t="s">
        <v>156</v>
      </c>
      <c r="B42" s="5" t="s">
        <v>97</v>
      </c>
      <c r="C42" s="5">
        <v>211158</v>
      </c>
      <c r="D42" s="6"/>
      <c r="E42" s="5" t="s">
        <v>30</v>
      </c>
      <c r="F42" s="5" t="s">
        <v>46</v>
      </c>
      <c r="G42" s="5" t="s">
        <v>11</v>
      </c>
      <c r="H42" s="7" t="s">
        <v>7</v>
      </c>
      <c r="I42" s="7" t="s">
        <v>98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13</v>
      </c>
      <c r="AR42" s="8">
        <v>1300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1300</v>
      </c>
      <c r="BN42" s="13">
        <f t="shared" si="0"/>
        <v>1300</v>
      </c>
      <c r="BO42" s="13">
        <f t="shared" si="1"/>
        <v>909.99999999999989</v>
      </c>
    </row>
    <row r="43" spans="1:67" x14ac:dyDescent="0.4">
      <c r="A43" s="5" t="s">
        <v>156</v>
      </c>
      <c r="B43" s="5" t="s">
        <v>188</v>
      </c>
      <c r="C43" s="5">
        <v>401516</v>
      </c>
      <c r="D43" s="6"/>
      <c r="E43" s="5" t="s">
        <v>30</v>
      </c>
      <c r="F43" s="5" t="s">
        <v>138</v>
      </c>
      <c r="G43" s="5" t="s">
        <v>50</v>
      </c>
      <c r="H43" s="7" t="s">
        <v>139</v>
      </c>
      <c r="I43" s="7" t="s">
        <v>62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12</v>
      </c>
      <c r="AF43" s="8">
        <v>1200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1200</v>
      </c>
      <c r="BN43" s="13">
        <f t="shared" si="0"/>
        <v>1200</v>
      </c>
      <c r="BO43" s="13">
        <f t="shared" si="1"/>
        <v>840</v>
      </c>
    </row>
    <row r="44" spans="1:67" x14ac:dyDescent="0.4">
      <c r="A44" s="5" t="s">
        <v>156</v>
      </c>
      <c r="B44" s="5" t="s">
        <v>68</v>
      </c>
      <c r="C44" s="5">
        <v>369720</v>
      </c>
      <c r="D44" s="6"/>
      <c r="E44" s="5" t="s">
        <v>30</v>
      </c>
      <c r="F44" s="5" t="s">
        <v>69</v>
      </c>
      <c r="G44" s="5" t="s">
        <v>50</v>
      </c>
      <c r="H44" s="7" t="s">
        <v>8</v>
      </c>
      <c r="I44" s="7" t="s">
        <v>70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11</v>
      </c>
      <c r="AF44" s="8">
        <v>1180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1180</v>
      </c>
      <c r="BN44" s="13">
        <f t="shared" si="0"/>
        <v>1180</v>
      </c>
      <c r="BO44" s="13">
        <f t="shared" si="1"/>
        <v>826</v>
      </c>
    </row>
    <row r="45" spans="1:67" x14ac:dyDescent="0.4">
      <c r="A45" s="5" t="s">
        <v>156</v>
      </c>
      <c r="B45" s="5" t="s">
        <v>189</v>
      </c>
      <c r="C45" s="5">
        <v>447222</v>
      </c>
      <c r="D45" s="6"/>
      <c r="E45" s="5" t="s">
        <v>30</v>
      </c>
      <c r="F45" s="5" t="s">
        <v>138</v>
      </c>
      <c r="G45" s="5" t="s">
        <v>50</v>
      </c>
      <c r="H45" s="7" t="s">
        <v>8</v>
      </c>
      <c r="I45" s="7" t="s">
        <v>190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7</v>
      </c>
      <c r="AR45" s="7">
        <v>700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1">
        <v>700</v>
      </c>
      <c r="BN45" s="13">
        <f t="shared" si="0"/>
        <v>700</v>
      </c>
      <c r="BO45" s="13">
        <f t="shared" si="1"/>
        <v>489.99999999999994</v>
      </c>
    </row>
    <row r="46" spans="1:67" x14ac:dyDescent="0.4">
      <c r="A46" s="5" t="s">
        <v>156</v>
      </c>
      <c r="B46" s="5" t="s">
        <v>94</v>
      </c>
      <c r="C46" s="5">
        <v>364724</v>
      </c>
      <c r="D46" s="6"/>
      <c r="E46" s="5" t="s">
        <v>30</v>
      </c>
      <c r="F46" s="5" t="s">
        <v>95</v>
      </c>
      <c r="G46" s="5" t="s">
        <v>11</v>
      </c>
      <c r="H46" s="7" t="s">
        <v>7</v>
      </c>
      <c r="I46" s="7" t="s">
        <v>96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7</v>
      </c>
      <c r="AR46" s="7">
        <v>700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1">
        <v>700</v>
      </c>
      <c r="BN46" s="13">
        <f t="shared" si="0"/>
        <v>700</v>
      </c>
      <c r="BO46" s="13">
        <f t="shared" si="1"/>
        <v>489.99999999999994</v>
      </c>
    </row>
    <row r="47" spans="1:67" x14ac:dyDescent="0.4">
      <c r="A47" s="5" t="s">
        <v>156</v>
      </c>
      <c r="B47" s="5" t="s">
        <v>191</v>
      </c>
      <c r="C47" s="5">
        <v>381070</v>
      </c>
      <c r="D47" s="6"/>
      <c r="E47" s="5" t="s">
        <v>30</v>
      </c>
      <c r="F47" s="5" t="s">
        <v>192</v>
      </c>
      <c r="G47" s="5" t="s">
        <v>50</v>
      </c>
      <c r="H47" s="7" t="s">
        <v>8</v>
      </c>
      <c r="I47" s="7" t="s">
        <v>193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5</v>
      </c>
      <c r="AF47" s="7">
        <v>600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1">
        <v>600</v>
      </c>
      <c r="BN47" s="13">
        <f t="shared" si="0"/>
        <v>600</v>
      </c>
      <c r="BO47" s="13">
        <f t="shared" si="1"/>
        <v>420</v>
      </c>
    </row>
    <row r="48" spans="1:67" x14ac:dyDescent="0.4">
      <c r="A48" s="5" t="s">
        <v>156</v>
      </c>
      <c r="B48" s="5" t="s">
        <v>194</v>
      </c>
      <c r="C48" s="5">
        <v>422032</v>
      </c>
      <c r="D48" s="6"/>
      <c r="E48" s="5" t="s">
        <v>30</v>
      </c>
      <c r="F48" s="5" t="s">
        <v>195</v>
      </c>
      <c r="G48" s="5" t="s">
        <v>11</v>
      </c>
      <c r="H48" s="7" t="s">
        <v>10</v>
      </c>
      <c r="I48" s="7" t="s">
        <v>196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</v>
      </c>
      <c r="AF48" s="7">
        <v>200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1">
        <v>200</v>
      </c>
      <c r="BN48" s="13">
        <f t="shared" si="0"/>
        <v>200</v>
      </c>
      <c r="BO48" s="13">
        <f t="shared" si="1"/>
        <v>140</v>
      </c>
    </row>
    <row r="49" spans="1:67" x14ac:dyDescent="0.4">
      <c r="A49" s="5" t="s">
        <v>156</v>
      </c>
      <c r="B49" s="5" t="s">
        <v>197</v>
      </c>
      <c r="C49" s="5">
        <v>471701</v>
      </c>
      <c r="D49" s="6"/>
      <c r="E49" s="5" t="s">
        <v>30</v>
      </c>
      <c r="F49" s="5" t="s">
        <v>198</v>
      </c>
      <c r="G49" s="5" t="s">
        <v>11</v>
      </c>
      <c r="H49" s="7" t="s">
        <v>10</v>
      </c>
      <c r="I49" s="7" t="s">
        <v>199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</v>
      </c>
      <c r="AF49" s="7">
        <v>100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1">
        <v>100</v>
      </c>
      <c r="BN49" s="13">
        <f t="shared" si="0"/>
        <v>100</v>
      </c>
      <c r="BO49" s="13">
        <f t="shared" si="1"/>
        <v>70</v>
      </c>
    </row>
    <row r="50" spans="1:67" x14ac:dyDescent="0.4">
      <c r="A50" s="5" t="s">
        <v>156</v>
      </c>
      <c r="B50" s="5" t="s">
        <v>200</v>
      </c>
      <c r="C50" s="5">
        <v>392578</v>
      </c>
      <c r="D50" s="6"/>
      <c r="E50" s="5" t="s">
        <v>30</v>
      </c>
      <c r="F50" s="5" t="s">
        <v>138</v>
      </c>
      <c r="G50" s="5" t="s">
        <v>50</v>
      </c>
      <c r="H50" s="7" t="s">
        <v>139</v>
      </c>
      <c r="I50" s="7" t="s">
        <v>201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1</v>
      </c>
      <c r="AF50" s="7">
        <v>100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1">
        <v>100</v>
      </c>
      <c r="BN50" s="13">
        <f t="shared" si="0"/>
        <v>100</v>
      </c>
      <c r="BO50" s="13">
        <f t="shared" si="1"/>
        <v>70</v>
      </c>
    </row>
    <row r="51" spans="1:67" x14ac:dyDescent="0.4">
      <c r="A51" s="5" t="s">
        <v>156</v>
      </c>
      <c r="B51" s="5" t="s">
        <v>56</v>
      </c>
      <c r="C51" s="5">
        <v>457807</v>
      </c>
      <c r="D51" s="6"/>
      <c r="E51" s="5" t="s">
        <v>30</v>
      </c>
      <c r="F51" s="5" t="s">
        <v>57</v>
      </c>
      <c r="G51" s="5" t="s">
        <v>50</v>
      </c>
      <c r="H51" s="7" t="s">
        <v>8</v>
      </c>
      <c r="I51" s="7" t="s">
        <v>58</v>
      </c>
      <c r="J51" s="7">
        <v>0</v>
      </c>
      <c r="K51" s="7">
        <v>4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7">
        <v>100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100</v>
      </c>
      <c r="BN51" s="13">
        <f t="shared" si="0"/>
        <v>100</v>
      </c>
      <c r="BO51" s="13">
        <f t="shared" si="1"/>
        <v>70</v>
      </c>
    </row>
    <row r="52" spans="1:67" x14ac:dyDescent="0.4">
      <c r="A52" s="5" t="s">
        <v>156</v>
      </c>
      <c r="B52" s="5" t="s">
        <v>122</v>
      </c>
      <c r="C52" s="5">
        <v>419744</v>
      </c>
      <c r="D52" s="6"/>
      <c r="E52" s="5" t="s">
        <v>30</v>
      </c>
      <c r="F52" s="5" t="s">
        <v>123</v>
      </c>
      <c r="G52" s="5" t="s">
        <v>11</v>
      </c>
      <c r="H52" s="7" t="s">
        <v>7</v>
      </c>
      <c r="I52" s="7" t="s">
        <v>124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7">
        <v>100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1">
        <v>100</v>
      </c>
      <c r="BN52" s="13">
        <f t="shared" si="0"/>
        <v>100</v>
      </c>
      <c r="BO52" s="13">
        <f t="shared" si="1"/>
        <v>70</v>
      </c>
    </row>
    <row r="53" spans="1:67" x14ac:dyDescent="0.4">
      <c r="A53" s="5" t="s">
        <v>156</v>
      </c>
      <c r="B53" s="5" t="s">
        <v>71</v>
      </c>
      <c r="C53" s="5">
        <v>463946</v>
      </c>
      <c r="D53" s="6"/>
      <c r="E53" s="5" t="s">
        <v>30</v>
      </c>
      <c r="F53" s="5" t="s">
        <v>72</v>
      </c>
      <c r="G53" s="5" t="s">
        <v>11</v>
      </c>
      <c r="H53" s="7" t="s">
        <v>7</v>
      </c>
      <c r="I53" s="7" t="s">
        <v>73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</v>
      </c>
      <c r="AF53" s="7">
        <v>100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1">
        <v>100</v>
      </c>
      <c r="BN53" s="13">
        <f t="shared" si="0"/>
        <v>100</v>
      </c>
      <c r="BO53" s="13">
        <f t="shared" si="1"/>
        <v>70</v>
      </c>
    </row>
    <row r="54" spans="1:67" s="21" customFormat="1" x14ac:dyDescent="0.4">
      <c r="A54" s="16" t="s">
        <v>219</v>
      </c>
      <c r="B54" s="16" t="s">
        <v>43</v>
      </c>
      <c r="C54" s="16">
        <v>414278</v>
      </c>
      <c r="D54" s="17"/>
      <c r="E54" s="16" t="s">
        <v>30</v>
      </c>
      <c r="F54" s="16" t="s">
        <v>12</v>
      </c>
      <c r="G54" s="16" t="s">
        <v>11</v>
      </c>
      <c r="H54" s="18" t="s">
        <v>8</v>
      </c>
      <c r="I54" s="18" t="s">
        <v>44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10</v>
      </c>
      <c r="AF54" s="19">
        <v>32000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0">
        <v>32000</v>
      </c>
      <c r="BN54" s="20">
        <f t="shared" si="0"/>
        <v>32000</v>
      </c>
      <c r="BO54" s="20">
        <f t="shared" si="1"/>
        <v>22400</v>
      </c>
    </row>
    <row r="55" spans="1:67" x14ac:dyDescent="0.4">
      <c r="A55" s="5" t="s">
        <v>219</v>
      </c>
      <c r="B55" s="5" t="s">
        <v>158</v>
      </c>
      <c r="C55" s="5">
        <v>472512</v>
      </c>
      <c r="D55" s="6"/>
      <c r="E55" s="5" t="s">
        <v>30</v>
      </c>
      <c r="F55" s="5" t="s">
        <v>55</v>
      </c>
      <c r="G55" s="5" t="s">
        <v>11</v>
      </c>
      <c r="H55" s="7" t="s">
        <v>7</v>
      </c>
      <c r="I55" s="7" t="s">
        <v>159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167</v>
      </c>
      <c r="AF55" s="8">
        <v>13220</v>
      </c>
      <c r="AG55" s="8">
        <v>3500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38</v>
      </c>
      <c r="AR55" s="8">
        <v>3700</v>
      </c>
      <c r="AS55" s="7">
        <v>100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11</v>
      </c>
      <c r="BD55" s="8">
        <v>1320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79.2</v>
      </c>
      <c r="BM55" s="10">
        <v>21840</v>
      </c>
      <c r="BN55" s="13">
        <f t="shared" si="0"/>
        <v>21760.799999999999</v>
      </c>
      <c r="BO55" s="13">
        <f t="shared" si="1"/>
        <v>15232.559999999998</v>
      </c>
    </row>
    <row r="56" spans="1:67" x14ac:dyDescent="0.4">
      <c r="A56" s="5" t="s">
        <v>219</v>
      </c>
      <c r="B56" s="5" t="s">
        <v>160</v>
      </c>
      <c r="C56" s="5">
        <v>370935</v>
      </c>
      <c r="D56" s="6"/>
      <c r="E56" s="5" t="s">
        <v>30</v>
      </c>
      <c r="F56" s="5" t="s">
        <v>46</v>
      </c>
      <c r="G56" s="5" t="s">
        <v>11</v>
      </c>
      <c r="H56" s="7" t="s">
        <v>7</v>
      </c>
      <c r="I56" s="7" t="s">
        <v>161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8">
        <v>3200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5</v>
      </c>
      <c r="AR56" s="8">
        <v>15800</v>
      </c>
      <c r="AS56" s="7">
        <v>200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19200</v>
      </c>
      <c r="BN56" s="13">
        <f t="shared" si="0"/>
        <v>19200</v>
      </c>
      <c r="BO56" s="13">
        <f t="shared" si="1"/>
        <v>13440</v>
      </c>
    </row>
    <row r="57" spans="1:67" x14ac:dyDescent="0.4">
      <c r="A57" s="5" t="s">
        <v>219</v>
      </c>
      <c r="B57" s="5" t="s">
        <v>29</v>
      </c>
      <c r="C57" s="5">
        <v>465248</v>
      </c>
      <c r="D57" s="6"/>
      <c r="E57" s="5" t="s">
        <v>30</v>
      </c>
      <c r="F57" s="5" t="s">
        <v>31</v>
      </c>
      <c r="G57" s="5" t="s">
        <v>32</v>
      </c>
      <c r="H57" s="7" t="s">
        <v>10</v>
      </c>
      <c r="I57" s="7" t="s">
        <v>33</v>
      </c>
      <c r="J57" s="7">
        <v>27</v>
      </c>
      <c r="K57" s="7">
        <v>191</v>
      </c>
      <c r="L57" s="8">
        <v>2700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73</v>
      </c>
      <c r="AF57" s="8">
        <v>5940</v>
      </c>
      <c r="AG57" s="8">
        <v>1500</v>
      </c>
      <c r="AH57" s="7">
        <v>0</v>
      </c>
      <c r="AI57" s="7">
        <v>0</v>
      </c>
      <c r="AJ57" s="7">
        <v>0</v>
      </c>
      <c r="AK57" s="7">
        <v>2</v>
      </c>
      <c r="AL57" s="7">
        <v>0</v>
      </c>
      <c r="AM57" s="7">
        <v>200</v>
      </c>
      <c r="AN57" s="7">
        <v>0</v>
      </c>
      <c r="AO57" s="7">
        <v>0</v>
      </c>
      <c r="AP57" s="7">
        <v>0</v>
      </c>
      <c r="AQ57" s="7">
        <v>4</v>
      </c>
      <c r="AR57" s="7">
        <v>400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10740</v>
      </c>
      <c r="BN57" s="13">
        <f t="shared" si="0"/>
        <v>10740</v>
      </c>
      <c r="BO57" s="13">
        <f t="shared" si="1"/>
        <v>7517.9999999999991</v>
      </c>
    </row>
    <row r="58" spans="1:67" ht="19.2" x14ac:dyDescent="0.4">
      <c r="A58" s="5" t="s">
        <v>219</v>
      </c>
      <c r="B58" s="5" t="s">
        <v>54</v>
      </c>
      <c r="C58" s="5">
        <v>454534</v>
      </c>
      <c r="D58" s="6"/>
      <c r="E58" s="5" t="s">
        <v>30</v>
      </c>
      <c r="F58" s="5" t="s">
        <v>55</v>
      </c>
      <c r="G58" s="5" t="s">
        <v>11</v>
      </c>
      <c r="H58" s="7" t="s">
        <v>7</v>
      </c>
      <c r="I58" s="7" t="s">
        <v>159</v>
      </c>
      <c r="J58" s="7">
        <v>0</v>
      </c>
      <c r="K58" s="7">
        <v>275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89</v>
      </c>
      <c r="AF58" s="8">
        <v>7360</v>
      </c>
      <c r="AG58" s="8">
        <v>1600</v>
      </c>
      <c r="AH58" s="7">
        <v>0</v>
      </c>
      <c r="AI58" s="7">
        <v>0</v>
      </c>
      <c r="AJ58" s="7">
        <v>0</v>
      </c>
      <c r="AK58" s="7">
        <v>1</v>
      </c>
      <c r="AL58" s="7">
        <v>0</v>
      </c>
      <c r="AM58" s="7">
        <v>100</v>
      </c>
      <c r="AN58" s="7">
        <v>0</v>
      </c>
      <c r="AO58" s="7">
        <v>0</v>
      </c>
      <c r="AP58" s="7">
        <v>0</v>
      </c>
      <c r="AQ58" s="7">
        <v>4</v>
      </c>
      <c r="AR58" s="7">
        <v>300</v>
      </c>
      <c r="AS58" s="7">
        <v>100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1</v>
      </c>
      <c r="BD58" s="7">
        <v>120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7.2</v>
      </c>
      <c r="BM58" s="10">
        <v>9580</v>
      </c>
      <c r="BN58" s="13">
        <f t="shared" si="0"/>
        <v>9572.7999999999993</v>
      </c>
      <c r="BO58" s="13">
        <f t="shared" si="1"/>
        <v>6700.9599999999991</v>
      </c>
    </row>
    <row r="59" spans="1:67" x14ac:dyDescent="0.4">
      <c r="A59" s="5" t="s">
        <v>219</v>
      </c>
      <c r="B59" s="5" t="s">
        <v>140</v>
      </c>
      <c r="C59" s="5">
        <v>467494</v>
      </c>
      <c r="D59" s="6"/>
      <c r="E59" s="5" t="s">
        <v>30</v>
      </c>
      <c r="F59" s="5" t="s">
        <v>141</v>
      </c>
      <c r="G59" s="5" t="s">
        <v>50</v>
      </c>
      <c r="H59" s="7" t="s">
        <v>8</v>
      </c>
      <c r="I59" s="7" t="s">
        <v>36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2</v>
      </c>
      <c r="AF59" s="8">
        <v>7200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7200</v>
      </c>
      <c r="BN59" s="13">
        <f t="shared" si="0"/>
        <v>7200</v>
      </c>
      <c r="BO59" s="13">
        <f t="shared" si="1"/>
        <v>5040</v>
      </c>
    </row>
    <row r="60" spans="1:67" x14ac:dyDescent="0.4">
      <c r="A60" s="5" t="s">
        <v>219</v>
      </c>
      <c r="B60" s="5" t="s">
        <v>101</v>
      </c>
      <c r="C60" s="5">
        <v>469075</v>
      </c>
      <c r="D60" s="6"/>
      <c r="E60" s="5" t="s">
        <v>30</v>
      </c>
      <c r="F60" s="5" t="s">
        <v>75</v>
      </c>
      <c r="G60" s="5" t="s">
        <v>32</v>
      </c>
      <c r="H60" s="7" t="s">
        <v>10</v>
      </c>
      <c r="I60" s="7" t="s">
        <v>102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</v>
      </c>
      <c r="AF60" s="8">
        <v>4100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4100</v>
      </c>
      <c r="BN60" s="13">
        <f t="shared" si="0"/>
        <v>4100</v>
      </c>
      <c r="BO60" s="13">
        <f t="shared" si="1"/>
        <v>2870</v>
      </c>
    </row>
    <row r="61" spans="1:67" x14ac:dyDescent="0.4">
      <c r="A61" s="5" t="s">
        <v>219</v>
      </c>
      <c r="B61" s="5" t="s">
        <v>34</v>
      </c>
      <c r="C61" s="5">
        <v>463799</v>
      </c>
      <c r="D61" s="6"/>
      <c r="E61" s="5" t="s">
        <v>30</v>
      </c>
      <c r="F61" s="5" t="s">
        <v>35</v>
      </c>
      <c r="G61" s="5" t="s">
        <v>11</v>
      </c>
      <c r="H61" s="7" t="s">
        <v>7</v>
      </c>
      <c r="I61" s="7" t="s">
        <v>36</v>
      </c>
      <c r="J61" s="7">
        <v>0</v>
      </c>
      <c r="K61" s="7">
        <v>519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32</v>
      </c>
      <c r="AF61" s="8">
        <v>1000</v>
      </c>
      <c r="AG61" s="8">
        <v>2200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8</v>
      </c>
      <c r="AR61" s="7">
        <v>800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4000</v>
      </c>
      <c r="BN61" s="13">
        <f t="shared" si="0"/>
        <v>4000</v>
      </c>
      <c r="BO61" s="13">
        <f t="shared" si="1"/>
        <v>2800</v>
      </c>
    </row>
    <row r="62" spans="1:67" x14ac:dyDescent="0.4">
      <c r="A62" s="5" t="s">
        <v>219</v>
      </c>
      <c r="B62" s="5" t="s">
        <v>170</v>
      </c>
      <c r="C62" s="5">
        <v>387975</v>
      </c>
      <c r="D62" s="6"/>
      <c r="E62" s="5" t="s">
        <v>30</v>
      </c>
      <c r="F62" s="5" t="s">
        <v>114</v>
      </c>
      <c r="G62" s="5" t="s">
        <v>50</v>
      </c>
      <c r="H62" s="7" t="s">
        <v>139</v>
      </c>
      <c r="I62" s="7" t="s">
        <v>110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8">
        <v>3360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3360</v>
      </c>
      <c r="BN62" s="13">
        <f t="shared" si="0"/>
        <v>3360</v>
      </c>
      <c r="BO62" s="13">
        <f t="shared" si="1"/>
        <v>2352</v>
      </c>
    </row>
    <row r="63" spans="1:67" x14ac:dyDescent="0.4">
      <c r="A63" s="5" t="s">
        <v>219</v>
      </c>
      <c r="B63" s="5" t="s">
        <v>202</v>
      </c>
      <c r="C63" s="5">
        <v>422368</v>
      </c>
      <c r="D63" s="6"/>
      <c r="E63" s="5" t="s">
        <v>30</v>
      </c>
      <c r="F63" s="5" t="s">
        <v>203</v>
      </c>
      <c r="G63" s="5" t="s">
        <v>11</v>
      </c>
      <c r="H63" s="7" t="s">
        <v>7</v>
      </c>
      <c r="I63" s="7" t="s">
        <v>204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8">
        <v>3200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3200</v>
      </c>
      <c r="BN63" s="13">
        <f t="shared" si="0"/>
        <v>3200</v>
      </c>
      <c r="BO63" s="13">
        <f t="shared" si="1"/>
        <v>2240</v>
      </c>
    </row>
    <row r="64" spans="1:67" x14ac:dyDescent="0.4">
      <c r="A64" s="5" t="s">
        <v>219</v>
      </c>
      <c r="B64" s="5" t="s">
        <v>61</v>
      </c>
      <c r="C64" s="5">
        <v>324335</v>
      </c>
      <c r="D64" s="6"/>
      <c r="E64" s="5" t="s">
        <v>30</v>
      </c>
      <c r="F64" s="5" t="s">
        <v>46</v>
      </c>
      <c r="G64" s="5" t="s">
        <v>11</v>
      </c>
      <c r="H64" s="7" t="s">
        <v>10</v>
      </c>
      <c r="I64" s="7" t="s">
        <v>62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8">
        <v>3200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3200</v>
      </c>
      <c r="BN64" s="13">
        <f t="shared" si="0"/>
        <v>3200</v>
      </c>
      <c r="BO64" s="13">
        <f t="shared" si="1"/>
        <v>2240</v>
      </c>
    </row>
    <row r="65" spans="1:67" x14ac:dyDescent="0.4">
      <c r="A65" s="5" t="s">
        <v>219</v>
      </c>
      <c r="B65" s="5" t="s">
        <v>205</v>
      </c>
      <c r="C65" s="5">
        <v>395179</v>
      </c>
      <c r="D65" s="6"/>
      <c r="E65" s="5" t="s">
        <v>30</v>
      </c>
      <c r="F65" s="5" t="s">
        <v>183</v>
      </c>
      <c r="G65" s="5" t="s">
        <v>11</v>
      </c>
      <c r="H65" s="7" t="s">
        <v>7</v>
      </c>
      <c r="I65" s="7" t="s">
        <v>206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0</v>
      </c>
      <c r="AG65" s="8">
        <v>3200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3200</v>
      </c>
      <c r="BN65" s="13">
        <f t="shared" si="0"/>
        <v>3200</v>
      </c>
      <c r="BO65" s="13">
        <f t="shared" si="1"/>
        <v>2240</v>
      </c>
    </row>
    <row r="66" spans="1:67" x14ac:dyDescent="0.4">
      <c r="A66" s="5" t="s">
        <v>219</v>
      </c>
      <c r="B66" s="5" t="s">
        <v>52</v>
      </c>
      <c r="C66" s="5">
        <v>178856</v>
      </c>
      <c r="D66" s="6"/>
      <c r="E66" s="5" t="s">
        <v>30</v>
      </c>
      <c r="F66" s="5" t="s">
        <v>46</v>
      </c>
      <c r="G66" s="5" t="s">
        <v>11</v>
      </c>
      <c r="H66" s="7" t="s">
        <v>10</v>
      </c>
      <c r="I66" s="7" t="s">
        <v>53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10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11</v>
      </c>
      <c r="AF66" s="7">
        <v>900</v>
      </c>
      <c r="AG66" s="7">
        <v>200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15</v>
      </c>
      <c r="AR66" s="8">
        <v>1200</v>
      </c>
      <c r="AS66" s="7">
        <v>300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1</v>
      </c>
      <c r="BD66" s="7">
        <v>120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7.2</v>
      </c>
      <c r="BM66" s="10">
        <v>2720</v>
      </c>
      <c r="BN66" s="13">
        <f t="shared" si="0"/>
        <v>2712.8</v>
      </c>
      <c r="BO66" s="13">
        <f t="shared" si="1"/>
        <v>1898.96</v>
      </c>
    </row>
    <row r="67" spans="1:67" x14ac:dyDescent="0.4">
      <c r="A67" s="5" t="s">
        <v>219</v>
      </c>
      <c r="B67" s="5" t="s">
        <v>207</v>
      </c>
      <c r="C67" s="5">
        <v>458071</v>
      </c>
      <c r="D67" s="6"/>
      <c r="E67" s="5" t="s">
        <v>30</v>
      </c>
      <c r="F67" s="5" t="s">
        <v>143</v>
      </c>
      <c r="G67" s="5" t="s">
        <v>11</v>
      </c>
      <c r="H67" s="7" t="s">
        <v>7</v>
      </c>
      <c r="I67" s="7" t="s">
        <v>208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</v>
      </c>
      <c r="AF67" s="8">
        <v>2200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2200</v>
      </c>
      <c r="BN67" s="13">
        <f t="shared" ref="BN67:BN96" si="2">BM67-BL67</f>
        <v>2200</v>
      </c>
      <c r="BO67" s="13">
        <f t="shared" ref="BO67:BO130" si="3">BN67*70%</f>
        <v>1540</v>
      </c>
    </row>
    <row r="68" spans="1:67" ht="19.2" x14ac:dyDescent="0.4">
      <c r="A68" s="5" t="s">
        <v>219</v>
      </c>
      <c r="B68" s="5" t="s">
        <v>66</v>
      </c>
      <c r="C68" s="5">
        <v>459997</v>
      </c>
      <c r="D68" s="6"/>
      <c r="E68" s="5" t="s">
        <v>30</v>
      </c>
      <c r="F68" s="5" t="s">
        <v>67</v>
      </c>
      <c r="G68" s="5" t="s">
        <v>11</v>
      </c>
      <c r="H68" s="7" t="s">
        <v>7</v>
      </c>
      <c r="I68" s="7" t="s">
        <v>165</v>
      </c>
      <c r="J68" s="7">
        <v>0</v>
      </c>
      <c r="K68" s="7">
        <v>55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20</v>
      </c>
      <c r="AF68" s="7">
        <v>200</v>
      </c>
      <c r="AG68" s="8">
        <v>1800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2000</v>
      </c>
      <c r="BN68" s="13">
        <f t="shared" si="2"/>
        <v>2000</v>
      </c>
      <c r="BO68" s="13">
        <f t="shared" si="3"/>
        <v>1400</v>
      </c>
    </row>
    <row r="69" spans="1:67" x14ac:dyDescent="0.4">
      <c r="A69" s="5" t="s">
        <v>219</v>
      </c>
      <c r="B69" s="5" t="s">
        <v>37</v>
      </c>
      <c r="C69" s="5">
        <v>445688</v>
      </c>
      <c r="D69" s="6"/>
      <c r="E69" s="5" t="s">
        <v>30</v>
      </c>
      <c r="F69" s="5" t="s">
        <v>38</v>
      </c>
      <c r="G69" s="5" t="s">
        <v>11</v>
      </c>
      <c r="H69" s="7" t="s">
        <v>7</v>
      </c>
      <c r="I69" s="7" t="s">
        <v>39</v>
      </c>
      <c r="J69" s="7">
        <v>0</v>
      </c>
      <c r="K69" s="7">
        <v>145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10</v>
      </c>
      <c r="AF69" s="7">
        <v>320</v>
      </c>
      <c r="AG69" s="7">
        <v>700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1020</v>
      </c>
      <c r="BN69" s="13">
        <f t="shared" si="2"/>
        <v>1020</v>
      </c>
      <c r="BO69" s="13">
        <f t="shared" si="3"/>
        <v>714</v>
      </c>
    </row>
    <row r="70" spans="1:67" x14ac:dyDescent="0.4">
      <c r="A70" s="5" t="s">
        <v>219</v>
      </c>
      <c r="B70" s="5" t="s">
        <v>85</v>
      </c>
      <c r="C70" s="5">
        <v>442274</v>
      </c>
      <c r="D70" s="6"/>
      <c r="E70" s="5" t="s">
        <v>30</v>
      </c>
      <c r="F70" s="5" t="s">
        <v>86</v>
      </c>
      <c r="G70" s="5" t="s">
        <v>11</v>
      </c>
      <c r="H70" s="7" t="s">
        <v>7</v>
      </c>
      <c r="I70" s="7" t="s">
        <v>87</v>
      </c>
      <c r="J70" s="7">
        <v>0</v>
      </c>
      <c r="K70" s="7">
        <v>22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7</v>
      </c>
      <c r="AF70" s="7">
        <v>700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2</v>
      </c>
      <c r="AR70" s="7">
        <v>200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1">
        <v>900</v>
      </c>
      <c r="BN70" s="13">
        <f t="shared" si="2"/>
        <v>900</v>
      </c>
      <c r="BO70" s="13">
        <f t="shared" si="3"/>
        <v>630</v>
      </c>
    </row>
    <row r="71" spans="1:67" x14ac:dyDescent="0.4">
      <c r="A71" s="5" t="s">
        <v>219</v>
      </c>
      <c r="B71" s="5" t="s">
        <v>59</v>
      </c>
      <c r="C71" s="5">
        <v>321812</v>
      </c>
      <c r="D71" s="6"/>
      <c r="E71" s="5" t="s">
        <v>30</v>
      </c>
      <c r="F71" s="5" t="s">
        <v>46</v>
      </c>
      <c r="G71" s="5" t="s">
        <v>11</v>
      </c>
      <c r="H71" s="7" t="s">
        <v>7</v>
      </c>
      <c r="I71" s="7" t="s">
        <v>60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8</v>
      </c>
      <c r="AF71" s="7">
        <v>840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1">
        <v>840</v>
      </c>
      <c r="BN71" s="13">
        <f t="shared" si="2"/>
        <v>840</v>
      </c>
      <c r="BO71" s="13">
        <f t="shared" si="3"/>
        <v>588</v>
      </c>
    </row>
    <row r="72" spans="1:67" x14ac:dyDescent="0.4">
      <c r="A72" s="5" t="s">
        <v>219</v>
      </c>
      <c r="B72" s="5" t="s">
        <v>48</v>
      </c>
      <c r="C72" s="5">
        <v>395270</v>
      </c>
      <c r="D72" s="6"/>
      <c r="E72" s="5" t="s">
        <v>30</v>
      </c>
      <c r="F72" s="5" t="s">
        <v>49</v>
      </c>
      <c r="G72" s="5" t="s">
        <v>50</v>
      </c>
      <c r="H72" s="7" t="s">
        <v>8</v>
      </c>
      <c r="I72" s="7" t="s">
        <v>51</v>
      </c>
      <c r="J72" s="7">
        <v>0</v>
      </c>
      <c r="K72" s="7">
        <v>274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6</v>
      </c>
      <c r="AF72" s="7">
        <v>400</v>
      </c>
      <c r="AG72" s="7">
        <v>200</v>
      </c>
      <c r="AH72" s="7">
        <v>0</v>
      </c>
      <c r="AI72" s="7">
        <v>0</v>
      </c>
      <c r="AJ72" s="7">
        <v>0</v>
      </c>
      <c r="AK72" s="7">
        <v>1</v>
      </c>
      <c r="AL72" s="7">
        <v>0</v>
      </c>
      <c r="AM72" s="7">
        <v>100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1</v>
      </c>
      <c r="BD72" s="7">
        <v>120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7.2</v>
      </c>
      <c r="BM72" s="11">
        <v>820</v>
      </c>
      <c r="BN72" s="13">
        <f t="shared" si="2"/>
        <v>812.8</v>
      </c>
      <c r="BO72" s="13">
        <f t="shared" si="3"/>
        <v>568.95999999999992</v>
      </c>
    </row>
    <row r="73" spans="1:67" x14ac:dyDescent="0.4">
      <c r="A73" s="5" t="s">
        <v>219</v>
      </c>
      <c r="B73" s="5" t="s">
        <v>56</v>
      </c>
      <c r="C73" s="5">
        <v>457807</v>
      </c>
      <c r="D73" s="6"/>
      <c r="E73" s="5" t="s">
        <v>30</v>
      </c>
      <c r="F73" s="5" t="s">
        <v>57</v>
      </c>
      <c r="G73" s="5" t="s">
        <v>50</v>
      </c>
      <c r="H73" s="7" t="s">
        <v>8</v>
      </c>
      <c r="I73" s="7" t="s">
        <v>58</v>
      </c>
      <c r="J73" s="7">
        <v>0</v>
      </c>
      <c r="K73" s="7">
        <v>40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8</v>
      </c>
      <c r="AF73" s="7">
        <v>800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1">
        <v>800</v>
      </c>
      <c r="BN73" s="13">
        <f t="shared" si="2"/>
        <v>800</v>
      </c>
      <c r="BO73" s="13">
        <f t="shared" si="3"/>
        <v>560</v>
      </c>
    </row>
    <row r="74" spans="1:67" ht="19.2" x14ac:dyDescent="0.4">
      <c r="A74" s="5" t="s">
        <v>219</v>
      </c>
      <c r="B74" s="5" t="s">
        <v>172</v>
      </c>
      <c r="C74" s="5">
        <v>472228</v>
      </c>
      <c r="D74" s="6"/>
      <c r="E74" s="5" t="s">
        <v>30</v>
      </c>
      <c r="F74" s="5" t="s">
        <v>173</v>
      </c>
      <c r="G74" s="5" t="s">
        <v>32</v>
      </c>
      <c r="H74" s="7" t="s">
        <v>8</v>
      </c>
      <c r="I74" s="7" t="s">
        <v>174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7</v>
      </c>
      <c r="AF74" s="7">
        <v>700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1">
        <v>700</v>
      </c>
      <c r="BN74" s="13">
        <f t="shared" si="2"/>
        <v>700</v>
      </c>
      <c r="BO74" s="13">
        <f t="shared" si="3"/>
        <v>489.99999999999994</v>
      </c>
    </row>
    <row r="75" spans="1:67" x14ac:dyDescent="0.4">
      <c r="A75" s="5" t="s">
        <v>219</v>
      </c>
      <c r="B75" s="5" t="s">
        <v>40</v>
      </c>
      <c r="C75" s="5">
        <v>449889</v>
      </c>
      <c r="D75" s="6"/>
      <c r="E75" s="5" t="s">
        <v>30</v>
      </c>
      <c r="F75" s="5" t="s">
        <v>41</v>
      </c>
      <c r="G75" s="5" t="s">
        <v>11</v>
      </c>
      <c r="H75" s="7" t="s">
        <v>7</v>
      </c>
      <c r="I75" s="7" t="s">
        <v>42</v>
      </c>
      <c r="J75" s="7">
        <v>0</v>
      </c>
      <c r="K75" s="7">
        <v>126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6</v>
      </c>
      <c r="AF75" s="7">
        <v>300</v>
      </c>
      <c r="AG75" s="7">
        <v>300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1</v>
      </c>
      <c r="AR75" s="7">
        <v>100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1">
        <v>700</v>
      </c>
      <c r="BN75" s="13">
        <f t="shared" si="2"/>
        <v>700</v>
      </c>
      <c r="BO75" s="13">
        <f t="shared" si="3"/>
        <v>489.99999999999994</v>
      </c>
    </row>
    <row r="76" spans="1:67" x14ac:dyDescent="0.4">
      <c r="A76" s="5" t="s">
        <v>219</v>
      </c>
      <c r="B76" s="5" t="s">
        <v>63</v>
      </c>
      <c r="C76" s="5">
        <v>412919</v>
      </c>
      <c r="D76" s="6"/>
      <c r="E76" s="5" t="s">
        <v>30</v>
      </c>
      <c r="F76" s="5" t="s">
        <v>64</v>
      </c>
      <c r="G76" s="5" t="s">
        <v>50</v>
      </c>
      <c r="H76" s="7" t="s">
        <v>8</v>
      </c>
      <c r="I76" s="7" t="s">
        <v>65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6</v>
      </c>
      <c r="AF76" s="7">
        <v>620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1">
        <v>620</v>
      </c>
      <c r="BN76" s="13">
        <f t="shared" si="2"/>
        <v>620</v>
      </c>
      <c r="BO76" s="13">
        <f t="shared" si="3"/>
        <v>434</v>
      </c>
    </row>
    <row r="77" spans="1:67" x14ac:dyDescent="0.4">
      <c r="A77" s="5" t="s">
        <v>219</v>
      </c>
      <c r="B77" s="5" t="s">
        <v>74</v>
      </c>
      <c r="C77" s="5">
        <v>464776</v>
      </c>
      <c r="D77" s="6"/>
      <c r="E77" s="5" t="s">
        <v>30</v>
      </c>
      <c r="F77" s="5" t="s">
        <v>75</v>
      </c>
      <c r="G77" s="5" t="s">
        <v>32</v>
      </c>
      <c r="H77" s="7" t="s">
        <v>10</v>
      </c>
      <c r="I77" s="7" t="s">
        <v>76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4</v>
      </c>
      <c r="AF77" s="7">
        <v>400</v>
      </c>
      <c r="AG77" s="7">
        <v>0</v>
      </c>
      <c r="AH77" s="7">
        <v>0</v>
      </c>
      <c r="AI77" s="7">
        <v>0</v>
      </c>
      <c r="AJ77" s="7">
        <v>0</v>
      </c>
      <c r="AK77" s="7">
        <v>1</v>
      </c>
      <c r="AL77" s="7">
        <v>120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36</v>
      </c>
      <c r="BM77" s="11">
        <v>520</v>
      </c>
      <c r="BN77" s="13">
        <f t="shared" si="2"/>
        <v>484</v>
      </c>
      <c r="BO77" s="13">
        <f t="shared" si="3"/>
        <v>338.79999999999995</v>
      </c>
    </row>
    <row r="78" spans="1:67" x14ac:dyDescent="0.4">
      <c r="A78" s="5" t="s">
        <v>219</v>
      </c>
      <c r="B78" s="5" t="s">
        <v>79</v>
      </c>
      <c r="C78" s="5">
        <v>386960</v>
      </c>
      <c r="D78" s="6"/>
      <c r="E78" s="5" t="s">
        <v>30</v>
      </c>
      <c r="F78" s="5" t="s">
        <v>80</v>
      </c>
      <c r="G78" s="5" t="s">
        <v>11</v>
      </c>
      <c r="H78" s="7" t="s">
        <v>7</v>
      </c>
      <c r="I78" s="7" t="s">
        <v>81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4</v>
      </c>
      <c r="AF78" s="7">
        <v>100</v>
      </c>
      <c r="AG78" s="7">
        <v>300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1</v>
      </c>
      <c r="AR78" s="7">
        <v>100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1">
        <v>500</v>
      </c>
      <c r="BN78" s="13">
        <f t="shared" si="2"/>
        <v>500</v>
      </c>
      <c r="BO78" s="13">
        <f t="shared" si="3"/>
        <v>350</v>
      </c>
    </row>
    <row r="79" spans="1:67" x14ac:dyDescent="0.4">
      <c r="A79" s="5" t="s">
        <v>219</v>
      </c>
      <c r="B79" s="5" t="s">
        <v>88</v>
      </c>
      <c r="C79" s="5">
        <v>219203</v>
      </c>
      <c r="D79" s="6"/>
      <c r="E79" s="5" t="s">
        <v>30</v>
      </c>
      <c r="F79" s="5" t="s">
        <v>89</v>
      </c>
      <c r="G79" s="5" t="s">
        <v>11</v>
      </c>
      <c r="H79" s="7" t="s">
        <v>7</v>
      </c>
      <c r="I79" s="7" t="s">
        <v>90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2</v>
      </c>
      <c r="AC79" s="7">
        <v>200</v>
      </c>
      <c r="AD79" s="7">
        <v>0</v>
      </c>
      <c r="AE79" s="7">
        <v>1</v>
      </c>
      <c r="AF79" s="7">
        <v>300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1">
        <v>500</v>
      </c>
      <c r="BN79" s="13">
        <f t="shared" si="2"/>
        <v>500</v>
      </c>
      <c r="BO79" s="13">
        <f t="shared" si="3"/>
        <v>350</v>
      </c>
    </row>
    <row r="80" spans="1:67" x14ac:dyDescent="0.4">
      <c r="A80" s="5" t="s">
        <v>219</v>
      </c>
      <c r="B80" s="5" t="s">
        <v>77</v>
      </c>
      <c r="C80" s="5">
        <v>245889</v>
      </c>
      <c r="D80" s="6"/>
      <c r="E80" s="5" t="s">
        <v>30</v>
      </c>
      <c r="F80" s="5" t="s">
        <v>46</v>
      </c>
      <c r="G80" s="5" t="s">
        <v>11</v>
      </c>
      <c r="H80" s="7" t="s">
        <v>7</v>
      </c>
      <c r="I80" s="7" t="s">
        <v>78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4</v>
      </c>
      <c r="AF80" s="7">
        <v>400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1">
        <v>400</v>
      </c>
      <c r="BN80" s="13">
        <f t="shared" si="2"/>
        <v>400</v>
      </c>
      <c r="BO80" s="13">
        <f t="shared" si="3"/>
        <v>280</v>
      </c>
    </row>
    <row r="81" spans="1:67" x14ac:dyDescent="0.4">
      <c r="A81" s="5" t="s">
        <v>219</v>
      </c>
      <c r="B81" s="5" t="s">
        <v>91</v>
      </c>
      <c r="C81" s="5">
        <v>465250</v>
      </c>
      <c r="D81" s="6"/>
      <c r="E81" s="5" t="s">
        <v>30</v>
      </c>
      <c r="F81" s="5" t="s">
        <v>92</v>
      </c>
      <c r="G81" s="5" t="s">
        <v>32</v>
      </c>
      <c r="H81" s="7" t="s">
        <v>7</v>
      </c>
      <c r="I81" s="7" t="s">
        <v>93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4</v>
      </c>
      <c r="AR81" s="7">
        <v>400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1">
        <v>400</v>
      </c>
      <c r="BN81" s="13">
        <f t="shared" si="2"/>
        <v>400</v>
      </c>
      <c r="BO81" s="13">
        <f t="shared" si="3"/>
        <v>280</v>
      </c>
    </row>
    <row r="82" spans="1:67" x14ac:dyDescent="0.4">
      <c r="A82" s="5" t="s">
        <v>219</v>
      </c>
      <c r="B82" s="5" t="s">
        <v>162</v>
      </c>
      <c r="C82" s="5">
        <v>471707</v>
      </c>
      <c r="D82" s="6"/>
      <c r="E82" s="5" t="s">
        <v>30</v>
      </c>
      <c r="F82" s="5" t="s">
        <v>163</v>
      </c>
      <c r="G82" s="5" t="s">
        <v>11</v>
      </c>
      <c r="H82" s="7" t="s">
        <v>7</v>
      </c>
      <c r="I82" s="7" t="s">
        <v>164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4</v>
      </c>
      <c r="AF82" s="7">
        <v>400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1">
        <v>400</v>
      </c>
      <c r="BN82" s="13">
        <f t="shared" si="2"/>
        <v>400</v>
      </c>
      <c r="BO82" s="13">
        <f t="shared" si="3"/>
        <v>280</v>
      </c>
    </row>
    <row r="83" spans="1:67" x14ac:dyDescent="0.4">
      <c r="A83" s="5" t="s">
        <v>219</v>
      </c>
      <c r="B83" s="5" t="s">
        <v>82</v>
      </c>
      <c r="C83" s="5">
        <v>387417</v>
      </c>
      <c r="D83" s="6"/>
      <c r="E83" s="5" t="s">
        <v>30</v>
      </c>
      <c r="F83" s="5" t="s">
        <v>83</v>
      </c>
      <c r="G83" s="5" t="s">
        <v>11</v>
      </c>
      <c r="H83" s="7" t="s">
        <v>7</v>
      </c>
      <c r="I83" s="7" t="s">
        <v>84</v>
      </c>
      <c r="J83" s="7">
        <v>0</v>
      </c>
      <c r="K83" s="7">
        <v>7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2</v>
      </c>
      <c r="AF83" s="7">
        <v>200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2</v>
      </c>
      <c r="AR83" s="7">
        <v>200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1">
        <v>400</v>
      </c>
      <c r="BN83" s="13">
        <f t="shared" si="2"/>
        <v>400</v>
      </c>
      <c r="BO83" s="13">
        <f t="shared" si="3"/>
        <v>280</v>
      </c>
    </row>
    <row r="84" spans="1:67" x14ac:dyDescent="0.4">
      <c r="A84" s="5" t="s">
        <v>219</v>
      </c>
      <c r="B84" s="5" t="s">
        <v>209</v>
      </c>
      <c r="C84" s="5">
        <v>387822</v>
      </c>
      <c r="D84" s="6"/>
      <c r="E84" s="5" t="s">
        <v>30</v>
      </c>
      <c r="F84" s="5" t="s">
        <v>210</v>
      </c>
      <c r="G84" s="5" t="s">
        <v>50</v>
      </c>
      <c r="H84" s="7" t="s">
        <v>8</v>
      </c>
      <c r="I84" s="7" t="s">
        <v>211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4</v>
      </c>
      <c r="AF84" s="7">
        <v>400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1">
        <v>400</v>
      </c>
      <c r="BN84" s="13">
        <f t="shared" si="2"/>
        <v>400</v>
      </c>
      <c r="BO84" s="13">
        <f t="shared" si="3"/>
        <v>280</v>
      </c>
    </row>
    <row r="85" spans="1:67" x14ac:dyDescent="0.4">
      <c r="A85" s="5" t="s">
        <v>219</v>
      </c>
      <c r="B85" s="5" t="s">
        <v>68</v>
      </c>
      <c r="C85" s="5">
        <v>369720</v>
      </c>
      <c r="D85" s="6"/>
      <c r="E85" s="5" t="s">
        <v>30</v>
      </c>
      <c r="F85" s="5" t="s">
        <v>69</v>
      </c>
      <c r="G85" s="5" t="s">
        <v>50</v>
      </c>
      <c r="H85" s="7" t="s">
        <v>8</v>
      </c>
      <c r="I85" s="7" t="s">
        <v>70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3</v>
      </c>
      <c r="AF85" s="7">
        <v>300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1">
        <v>300</v>
      </c>
      <c r="BN85" s="13">
        <f t="shared" si="2"/>
        <v>300</v>
      </c>
      <c r="BO85" s="13">
        <f t="shared" si="3"/>
        <v>210</v>
      </c>
    </row>
    <row r="86" spans="1:67" x14ac:dyDescent="0.4">
      <c r="A86" s="5" t="s">
        <v>219</v>
      </c>
      <c r="B86" s="5" t="s">
        <v>188</v>
      </c>
      <c r="C86" s="5">
        <v>401516</v>
      </c>
      <c r="D86" s="6"/>
      <c r="E86" s="5" t="s">
        <v>30</v>
      </c>
      <c r="F86" s="5" t="s">
        <v>138</v>
      </c>
      <c r="G86" s="5" t="s">
        <v>50</v>
      </c>
      <c r="H86" s="7" t="s">
        <v>139</v>
      </c>
      <c r="I86" s="7" t="s">
        <v>62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</v>
      </c>
      <c r="AF86" s="7">
        <v>200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1">
        <v>200</v>
      </c>
      <c r="BN86" s="13">
        <f t="shared" si="2"/>
        <v>200</v>
      </c>
      <c r="BO86" s="13">
        <f t="shared" si="3"/>
        <v>140</v>
      </c>
    </row>
    <row r="87" spans="1:67" x14ac:dyDescent="0.4">
      <c r="A87" s="5" t="s">
        <v>219</v>
      </c>
      <c r="B87" s="5" t="s">
        <v>125</v>
      </c>
      <c r="C87" s="5">
        <v>423328</v>
      </c>
      <c r="D87" s="6"/>
      <c r="E87" s="5" t="s">
        <v>30</v>
      </c>
      <c r="F87" s="5" t="s">
        <v>46</v>
      </c>
      <c r="G87" s="5" t="s">
        <v>11</v>
      </c>
      <c r="H87" s="7" t="s">
        <v>7</v>
      </c>
      <c r="I87" s="7" t="s">
        <v>126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2</v>
      </c>
      <c r="AF87" s="7">
        <v>200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1">
        <v>200</v>
      </c>
      <c r="BN87" s="13">
        <f t="shared" si="2"/>
        <v>200</v>
      </c>
      <c r="BO87" s="13">
        <f t="shared" si="3"/>
        <v>140</v>
      </c>
    </row>
    <row r="88" spans="1:67" x14ac:dyDescent="0.4">
      <c r="A88" s="5" t="s">
        <v>219</v>
      </c>
      <c r="B88" s="5" t="s">
        <v>212</v>
      </c>
      <c r="C88" s="5">
        <v>469950</v>
      </c>
      <c r="D88" s="6"/>
      <c r="E88" s="5" t="s">
        <v>30</v>
      </c>
      <c r="F88" s="5" t="s">
        <v>141</v>
      </c>
      <c r="G88" s="5" t="s">
        <v>50</v>
      </c>
      <c r="H88" s="7" t="s">
        <v>8</v>
      </c>
      <c r="I88" s="7" t="s">
        <v>213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2</v>
      </c>
      <c r="AF88" s="7">
        <v>200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1">
        <v>200</v>
      </c>
      <c r="BN88" s="13">
        <f t="shared" si="2"/>
        <v>200</v>
      </c>
      <c r="BO88" s="13">
        <f t="shared" si="3"/>
        <v>140</v>
      </c>
    </row>
    <row r="89" spans="1:67" x14ac:dyDescent="0.4">
      <c r="A89" s="5" t="s">
        <v>219</v>
      </c>
      <c r="B89" s="5" t="s">
        <v>179</v>
      </c>
      <c r="C89" s="5">
        <v>434847</v>
      </c>
      <c r="D89" s="6"/>
      <c r="E89" s="5" t="s">
        <v>30</v>
      </c>
      <c r="F89" s="5" t="s">
        <v>180</v>
      </c>
      <c r="G89" s="5" t="s">
        <v>11</v>
      </c>
      <c r="H89" s="7" t="s">
        <v>7</v>
      </c>
      <c r="I89" s="7" t="s">
        <v>181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1</v>
      </c>
      <c r="AL89" s="7">
        <v>120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36</v>
      </c>
      <c r="BM89" s="11">
        <v>120</v>
      </c>
      <c r="BN89" s="13">
        <f t="shared" si="2"/>
        <v>84</v>
      </c>
      <c r="BO89" s="13">
        <f t="shared" si="3"/>
        <v>58.8</v>
      </c>
    </row>
    <row r="90" spans="1:67" x14ac:dyDescent="0.4">
      <c r="A90" s="5" t="s">
        <v>219</v>
      </c>
      <c r="B90" s="5" t="s">
        <v>175</v>
      </c>
      <c r="C90" s="5">
        <v>390809</v>
      </c>
      <c r="D90" s="6"/>
      <c r="E90" s="5" t="s">
        <v>30</v>
      </c>
      <c r="F90" s="5" t="s">
        <v>176</v>
      </c>
      <c r="G90" s="5" t="s">
        <v>50</v>
      </c>
      <c r="H90" s="7" t="s">
        <v>8</v>
      </c>
      <c r="I90" s="7" t="s">
        <v>51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1</v>
      </c>
      <c r="BD90" s="7">
        <v>120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7.2</v>
      </c>
      <c r="BM90" s="11">
        <v>120</v>
      </c>
      <c r="BN90" s="13">
        <f t="shared" si="2"/>
        <v>112.8</v>
      </c>
      <c r="BO90" s="13">
        <f t="shared" si="3"/>
        <v>78.959999999999994</v>
      </c>
    </row>
    <row r="91" spans="1:67" x14ac:dyDescent="0.4">
      <c r="A91" s="5" t="s">
        <v>219</v>
      </c>
      <c r="B91" s="5" t="s">
        <v>214</v>
      </c>
      <c r="C91" s="5">
        <v>278898</v>
      </c>
      <c r="D91" s="6"/>
      <c r="E91" s="5" t="s">
        <v>30</v>
      </c>
      <c r="F91" s="5" t="s">
        <v>215</v>
      </c>
      <c r="G91" s="5" t="s">
        <v>11</v>
      </c>
      <c r="H91" s="7" t="s">
        <v>7</v>
      </c>
      <c r="I91" s="7" t="s">
        <v>216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</v>
      </c>
      <c r="AF91" s="7">
        <v>100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1">
        <v>100</v>
      </c>
      <c r="BN91" s="13">
        <f t="shared" si="2"/>
        <v>100</v>
      </c>
      <c r="BO91" s="13">
        <f t="shared" si="3"/>
        <v>70</v>
      </c>
    </row>
    <row r="92" spans="1:67" x14ac:dyDescent="0.4">
      <c r="A92" s="5" t="s">
        <v>219</v>
      </c>
      <c r="B92" s="5" t="s">
        <v>113</v>
      </c>
      <c r="C92" s="5">
        <v>350894</v>
      </c>
      <c r="D92" s="6"/>
      <c r="E92" s="5" t="s">
        <v>30</v>
      </c>
      <c r="F92" s="5" t="s">
        <v>114</v>
      </c>
      <c r="G92" s="5" t="s">
        <v>50</v>
      </c>
      <c r="H92" s="7" t="s">
        <v>8</v>
      </c>
      <c r="I92" s="7" t="s">
        <v>115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</v>
      </c>
      <c r="AF92" s="7">
        <v>100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1">
        <v>100</v>
      </c>
      <c r="BN92" s="13">
        <f t="shared" si="2"/>
        <v>100</v>
      </c>
      <c r="BO92" s="13">
        <f t="shared" si="3"/>
        <v>70</v>
      </c>
    </row>
    <row r="93" spans="1:67" x14ac:dyDescent="0.4">
      <c r="A93" s="5" t="s">
        <v>219</v>
      </c>
      <c r="B93" s="5" t="s">
        <v>171</v>
      </c>
      <c r="C93" s="5">
        <v>359912</v>
      </c>
      <c r="D93" s="6"/>
      <c r="E93" s="5" t="s">
        <v>30</v>
      </c>
      <c r="F93" s="5" t="s">
        <v>109</v>
      </c>
      <c r="G93" s="5" t="s">
        <v>50</v>
      </c>
      <c r="H93" s="7" t="s">
        <v>8</v>
      </c>
      <c r="I93" s="7" t="s">
        <v>159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</v>
      </c>
      <c r="AF93" s="7">
        <v>100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1">
        <v>100</v>
      </c>
      <c r="BN93" s="13">
        <f t="shared" si="2"/>
        <v>100</v>
      </c>
      <c r="BO93" s="13">
        <f t="shared" si="3"/>
        <v>70</v>
      </c>
    </row>
    <row r="94" spans="1:67" x14ac:dyDescent="0.4">
      <c r="A94" s="5" t="s">
        <v>219</v>
      </c>
      <c r="B94" s="5" t="s">
        <v>166</v>
      </c>
      <c r="C94" s="5">
        <v>425414</v>
      </c>
      <c r="D94" s="6"/>
      <c r="E94" s="5" t="s">
        <v>30</v>
      </c>
      <c r="F94" s="5" t="s">
        <v>103</v>
      </c>
      <c r="G94" s="5" t="s">
        <v>11</v>
      </c>
      <c r="H94" s="7" t="s">
        <v>7</v>
      </c>
      <c r="I94" s="7" t="s">
        <v>167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</v>
      </c>
      <c r="AF94" s="7">
        <v>100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11">
        <v>100</v>
      </c>
      <c r="BN94" s="13">
        <f t="shared" si="2"/>
        <v>100</v>
      </c>
      <c r="BO94" s="13">
        <f t="shared" si="3"/>
        <v>70</v>
      </c>
    </row>
    <row r="95" spans="1:67" x14ac:dyDescent="0.4">
      <c r="A95" s="5" t="s">
        <v>219</v>
      </c>
      <c r="B95" s="5" t="s">
        <v>119</v>
      </c>
      <c r="C95" s="5">
        <v>429496</v>
      </c>
      <c r="D95" s="6"/>
      <c r="E95" s="5" t="s">
        <v>30</v>
      </c>
      <c r="F95" s="5" t="s">
        <v>120</v>
      </c>
      <c r="G95" s="5" t="s">
        <v>11</v>
      </c>
      <c r="H95" s="7" t="s">
        <v>7</v>
      </c>
      <c r="I95" s="7" t="s">
        <v>121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</v>
      </c>
      <c r="AF95" s="7">
        <v>0</v>
      </c>
      <c r="AG95" s="7">
        <v>100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1">
        <v>100</v>
      </c>
      <c r="BN95" s="13">
        <f t="shared" si="2"/>
        <v>100</v>
      </c>
      <c r="BO95" s="13">
        <f t="shared" si="3"/>
        <v>70</v>
      </c>
    </row>
    <row r="96" spans="1:67" x14ac:dyDescent="0.4">
      <c r="A96" s="5" t="s">
        <v>219</v>
      </c>
      <c r="B96" s="5" t="s">
        <v>217</v>
      </c>
      <c r="C96" s="5">
        <v>378409</v>
      </c>
      <c r="D96" s="6"/>
      <c r="E96" s="5" t="s">
        <v>30</v>
      </c>
      <c r="F96" s="5" t="s">
        <v>64</v>
      </c>
      <c r="G96" s="5" t="s">
        <v>50</v>
      </c>
      <c r="H96" s="7" t="s">
        <v>8</v>
      </c>
      <c r="I96" s="7" t="s">
        <v>218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</v>
      </c>
      <c r="AF96" s="7">
        <v>100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1">
        <v>100</v>
      </c>
      <c r="BN96" s="13">
        <f t="shared" si="2"/>
        <v>100</v>
      </c>
      <c r="BO96" s="13">
        <f t="shared" si="3"/>
        <v>70</v>
      </c>
    </row>
    <row r="97" spans="1:67" ht="19.2" x14ac:dyDescent="0.4">
      <c r="A97" s="5" t="s">
        <v>155</v>
      </c>
      <c r="B97" s="5" t="s">
        <v>149</v>
      </c>
      <c r="C97" s="5">
        <v>383234</v>
      </c>
      <c r="D97" s="6"/>
      <c r="E97" s="5" t="s">
        <v>30</v>
      </c>
      <c r="F97" s="5" t="s">
        <v>107</v>
      </c>
      <c r="G97" s="5" t="s">
        <v>50</v>
      </c>
      <c r="H97" s="7" t="s">
        <v>139</v>
      </c>
      <c r="I97" s="7" t="s">
        <v>108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3</v>
      </c>
      <c r="AF97" s="8">
        <v>6400</v>
      </c>
      <c r="AG97" s="8">
        <v>3200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9600</v>
      </c>
      <c r="BN97" s="13">
        <f t="shared" ref="BN97:BN123" si="4">BM97-BL97</f>
        <v>9600</v>
      </c>
      <c r="BO97" s="13">
        <f t="shared" si="3"/>
        <v>6720</v>
      </c>
    </row>
    <row r="98" spans="1:67" x14ac:dyDescent="0.4">
      <c r="A98" s="5" t="s">
        <v>155</v>
      </c>
      <c r="B98" s="5" t="s">
        <v>220</v>
      </c>
      <c r="C98" s="5">
        <v>426259</v>
      </c>
      <c r="D98" s="6"/>
      <c r="E98" s="5" t="s">
        <v>30</v>
      </c>
      <c r="F98" s="5" t="s">
        <v>107</v>
      </c>
      <c r="G98" s="5" t="s">
        <v>50</v>
      </c>
      <c r="H98" s="7" t="s">
        <v>139</v>
      </c>
      <c r="I98" s="7" t="s">
        <v>221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2</v>
      </c>
      <c r="AF98" s="8">
        <v>6160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1</v>
      </c>
      <c r="BD98" s="8">
        <v>3360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201.6</v>
      </c>
      <c r="BM98" s="10">
        <v>9520</v>
      </c>
      <c r="BN98" s="13">
        <f t="shared" si="4"/>
        <v>9318.4</v>
      </c>
      <c r="BO98" s="13">
        <f t="shared" si="3"/>
        <v>6522.8799999999992</v>
      </c>
    </row>
    <row r="99" spans="1:67" ht="19.2" x14ac:dyDescent="0.4">
      <c r="A99" s="5" t="s">
        <v>155</v>
      </c>
      <c r="B99" s="5" t="s">
        <v>145</v>
      </c>
      <c r="C99" s="5">
        <v>458432</v>
      </c>
      <c r="D99" s="6"/>
      <c r="E99" s="5" t="s">
        <v>30</v>
      </c>
      <c r="F99" s="5" t="s">
        <v>107</v>
      </c>
      <c r="G99" s="5" t="s">
        <v>50</v>
      </c>
      <c r="H99" s="7" t="s">
        <v>139</v>
      </c>
      <c r="I99" s="7" t="s">
        <v>146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3</v>
      </c>
      <c r="AF99" s="8">
        <v>6000</v>
      </c>
      <c r="AG99" s="8">
        <v>3000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9000</v>
      </c>
      <c r="BN99" s="13">
        <f t="shared" si="4"/>
        <v>9000</v>
      </c>
      <c r="BO99" s="13">
        <f t="shared" si="3"/>
        <v>6300</v>
      </c>
    </row>
    <row r="100" spans="1:67" x14ac:dyDescent="0.4">
      <c r="A100" s="5" t="s">
        <v>155</v>
      </c>
      <c r="B100" s="5" t="s">
        <v>222</v>
      </c>
      <c r="C100" s="5">
        <v>431788</v>
      </c>
      <c r="D100" s="6"/>
      <c r="E100" s="5" t="s">
        <v>30</v>
      </c>
      <c r="F100" s="5" t="s">
        <v>107</v>
      </c>
      <c r="G100" s="5" t="s">
        <v>50</v>
      </c>
      <c r="H100" s="7" t="s">
        <v>139</v>
      </c>
      <c r="I100" s="7" t="s">
        <v>223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2</v>
      </c>
      <c r="AF100" s="8">
        <v>6000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1</v>
      </c>
      <c r="AR100" s="8">
        <v>3000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9000</v>
      </c>
      <c r="BN100" s="13">
        <f t="shared" si="4"/>
        <v>9000</v>
      </c>
      <c r="BO100" s="13">
        <f t="shared" si="3"/>
        <v>6300</v>
      </c>
    </row>
    <row r="101" spans="1:67" x14ac:dyDescent="0.4">
      <c r="A101" s="5" t="s">
        <v>155</v>
      </c>
      <c r="B101" s="5" t="s">
        <v>147</v>
      </c>
      <c r="C101" s="5">
        <v>377683</v>
      </c>
      <c r="D101" s="6"/>
      <c r="E101" s="5" t="s">
        <v>30</v>
      </c>
      <c r="F101" s="5" t="s">
        <v>49</v>
      </c>
      <c r="G101" s="5" t="s">
        <v>50</v>
      </c>
      <c r="H101" s="7" t="s">
        <v>139</v>
      </c>
      <c r="I101" s="7" t="s">
        <v>148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2</v>
      </c>
      <c r="AF101" s="8">
        <v>6000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6000</v>
      </c>
      <c r="BN101" s="13">
        <f t="shared" si="4"/>
        <v>6000</v>
      </c>
      <c r="BO101" s="13">
        <f t="shared" si="3"/>
        <v>4200</v>
      </c>
    </row>
    <row r="102" spans="1:67" ht="19.2" x14ac:dyDescent="0.4">
      <c r="A102" s="5" t="s">
        <v>155</v>
      </c>
      <c r="B102" s="5" t="s">
        <v>116</v>
      </c>
      <c r="C102" s="5">
        <v>467470</v>
      </c>
      <c r="D102" s="6"/>
      <c r="E102" s="5" t="s">
        <v>30</v>
      </c>
      <c r="F102" s="5" t="s">
        <v>117</v>
      </c>
      <c r="G102" s="5" t="s">
        <v>50</v>
      </c>
      <c r="H102" s="7" t="s">
        <v>8</v>
      </c>
      <c r="I102" s="7" t="s">
        <v>118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</v>
      </c>
      <c r="AF102" s="8">
        <v>6000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6000</v>
      </c>
      <c r="BN102" s="13">
        <f t="shared" si="4"/>
        <v>6000</v>
      </c>
      <c r="BO102" s="13">
        <f t="shared" si="3"/>
        <v>4200</v>
      </c>
    </row>
    <row r="103" spans="1:67" x14ac:dyDescent="0.4">
      <c r="A103" s="5" t="s">
        <v>155</v>
      </c>
      <c r="B103" s="5" t="s">
        <v>224</v>
      </c>
      <c r="C103" s="5">
        <v>473531</v>
      </c>
      <c r="D103" s="6"/>
      <c r="E103" s="5" t="s">
        <v>30</v>
      </c>
      <c r="F103" s="5" t="s">
        <v>225</v>
      </c>
      <c r="G103" s="5" t="s">
        <v>50</v>
      </c>
      <c r="H103" s="7" t="s">
        <v>139</v>
      </c>
      <c r="I103" s="7" t="s">
        <v>226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</v>
      </c>
      <c r="AF103" s="8">
        <v>3000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1</v>
      </c>
      <c r="AR103" s="8">
        <v>3000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6000</v>
      </c>
      <c r="BN103" s="13">
        <f t="shared" si="4"/>
        <v>6000</v>
      </c>
      <c r="BO103" s="13">
        <f t="shared" si="3"/>
        <v>4200</v>
      </c>
    </row>
    <row r="104" spans="1:67" x14ac:dyDescent="0.4">
      <c r="A104" s="5" t="s">
        <v>155</v>
      </c>
      <c r="B104" s="5" t="s">
        <v>227</v>
      </c>
      <c r="C104" s="5">
        <v>428408</v>
      </c>
      <c r="D104" s="6"/>
      <c r="E104" s="5" t="s">
        <v>30</v>
      </c>
      <c r="F104" s="5" t="s">
        <v>57</v>
      </c>
      <c r="G104" s="5" t="s">
        <v>50</v>
      </c>
      <c r="H104" s="7" t="s">
        <v>139</v>
      </c>
      <c r="I104" s="7" t="s">
        <v>228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2</v>
      </c>
      <c r="AF104" s="8">
        <v>5200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5200</v>
      </c>
      <c r="BN104" s="13">
        <f t="shared" si="4"/>
        <v>5200</v>
      </c>
      <c r="BO104" s="13">
        <f t="shared" si="3"/>
        <v>3639.9999999999995</v>
      </c>
    </row>
    <row r="105" spans="1:67" x14ac:dyDescent="0.4">
      <c r="A105" s="5" t="s">
        <v>155</v>
      </c>
      <c r="B105" s="5" t="s">
        <v>229</v>
      </c>
      <c r="C105" s="5">
        <v>397392</v>
      </c>
      <c r="D105" s="6"/>
      <c r="E105" s="5" t="s">
        <v>30</v>
      </c>
      <c r="F105" s="5" t="s">
        <v>107</v>
      </c>
      <c r="G105" s="5" t="s">
        <v>50</v>
      </c>
      <c r="H105" s="7" t="s">
        <v>139</v>
      </c>
      <c r="I105" s="7" t="s">
        <v>230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2</v>
      </c>
      <c r="AL105" s="8">
        <v>2640</v>
      </c>
      <c r="AM105" s="8">
        <v>2200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792</v>
      </c>
      <c r="BM105" s="10">
        <v>4840</v>
      </c>
      <c r="BN105" s="13">
        <f t="shared" si="4"/>
        <v>4048</v>
      </c>
      <c r="BO105" s="13">
        <f t="shared" si="3"/>
        <v>2833.6</v>
      </c>
    </row>
    <row r="106" spans="1:67" x14ac:dyDescent="0.4">
      <c r="A106" s="5" t="s">
        <v>155</v>
      </c>
      <c r="B106" s="5" t="s">
        <v>231</v>
      </c>
      <c r="C106" s="5">
        <v>431802</v>
      </c>
      <c r="D106" s="6"/>
      <c r="E106" s="5" t="s">
        <v>30</v>
      </c>
      <c r="F106" s="5" t="s">
        <v>107</v>
      </c>
      <c r="G106" s="5" t="s">
        <v>50</v>
      </c>
      <c r="H106" s="7" t="s">
        <v>139</v>
      </c>
      <c r="I106" s="7" t="s">
        <v>232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2</v>
      </c>
      <c r="AF106" s="8">
        <v>4800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4800</v>
      </c>
      <c r="BN106" s="13">
        <f t="shared" si="4"/>
        <v>4800</v>
      </c>
      <c r="BO106" s="13">
        <f t="shared" si="3"/>
        <v>3360</v>
      </c>
    </row>
    <row r="107" spans="1:67" x14ac:dyDescent="0.4">
      <c r="A107" s="5" t="s">
        <v>157</v>
      </c>
      <c r="B107" s="5" t="s">
        <v>233</v>
      </c>
      <c r="C107" s="5">
        <v>413284</v>
      </c>
      <c r="D107" s="6"/>
      <c r="E107" s="5" t="s">
        <v>30</v>
      </c>
      <c r="F107" s="5" t="s">
        <v>234</v>
      </c>
      <c r="G107" s="5" t="s">
        <v>11</v>
      </c>
      <c r="H107" s="7" t="s">
        <v>7</v>
      </c>
      <c r="I107" s="7" t="s">
        <v>235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1</v>
      </c>
      <c r="BD107" s="8">
        <v>4200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252</v>
      </c>
      <c r="BM107" s="10">
        <v>4200</v>
      </c>
      <c r="BN107" s="13">
        <f t="shared" si="4"/>
        <v>3948</v>
      </c>
      <c r="BO107" s="13">
        <f t="shared" si="3"/>
        <v>2763.6</v>
      </c>
    </row>
    <row r="108" spans="1:67" x14ac:dyDescent="0.4">
      <c r="A108" s="5" t="s">
        <v>155</v>
      </c>
      <c r="B108" s="5" t="s">
        <v>142</v>
      </c>
      <c r="C108" s="5">
        <v>418302</v>
      </c>
      <c r="D108" s="6"/>
      <c r="E108" s="5" t="s">
        <v>30</v>
      </c>
      <c r="F108" s="5" t="s">
        <v>49</v>
      </c>
      <c r="G108" s="5" t="s">
        <v>50</v>
      </c>
      <c r="H108" s="7" t="s">
        <v>139</v>
      </c>
      <c r="I108" s="7" t="s">
        <v>51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1</v>
      </c>
      <c r="AL108" s="8">
        <v>4200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1260</v>
      </c>
      <c r="BM108" s="10">
        <v>4200</v>
      </c>
      <c r="BN108" s="13">
        <f t="shared" si="4"/>
        <v>2940</v>
      </c>
      <c r="BO108" s="13">
        <f t="shared" si="3"/>
        <v>2058</v>
      </c>
    </row>
    <row r="109" spans="1:67" x14ac:dyDescent="0.4">
      <c r="A109" s="5" t="s">
        <v>155</v>
      </c>
      <c r="B109" s="5" t="s">
        <v>140</v>
      </c>
      <c r="C109" s="5">
        <v>467494</v>
      </c>
      <c r="D109" s="6"/>
      <c r="E109" s="5" t="s">
        <v>30</v>
      </c>
      <c r="F109" s="5" t="s">
        <v>141</v>
      </c>
      <c r="G109" s="5" t="s">
        <v>50</v>
      </c>
      <c r="H109" s="7" t="s">
        <v>8</v>
      </c>
      <c r="I109" s="7" t="s">
        <v>36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8">
        <v>3600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3600</v>
      </c>
      <c r="BN109" s="13">
        <f t="shared" si="4"/>
        <v>3600</v>
      </c>
      <c r="BO109" s="13">
        <f t="shared" si="3"/>
        <v>2520</v>
      </c>
    </row>
    <row r="110" spans="1:67" x14ac:dyDescent="0.4">
      <c r="A110" s="5" t="s">
        <v>155</v>
      </c>
      <c r="B110" s="5" t="s">
        <v>236</v>
      </c>
      <c r="C110" s="5">
        <v>454879</v>
      </c>
      <c r="D110" s="6"/>
      <c r="E110" s="5" t="s">
        <v>30</v>
      </c>
      <c r="F110" s="5" t="s">
        <v>129</v>
      </c>
      <c r="G110" s="5" t="s">
        <v>50</v>
      </c>
      <c r="H110" s="7" t="s">
        <v>139</v>
      </c>
      <c r="I110" s="7" t="s">
        <v>237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8">
        <v>3600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3600</v>
      </c>
      <c r="BN110" s="13">
        <f t="shared" si="4"/>
        <v>3600</v>
      </c>
      <c r="BO110" s="13">
        <f t="shared" si="3"/>
        <v>2520</v>
      </c>
    </row>
    <row r="111" spans="1:67" x14ac:dyDescent="0.4">
      <c r="A111" s="5" t="s">
        <v>155</v>
      </c>
      <c r="B111" s="5" t="s">
        <v>131</v>
      </c>
      <c r="C111" s="5">
        <v>429534</v>
      </c>
      <c r="D111" s="6"/>
      <c r="E111" s="5" t="s">
        <v>30</v>
      </c>
      <c r="F111" s="5" t="s">
        <v>120</v>
      </c>
      <c r="G111" s="5" t="s">
        <v>11</v>
      </c>
      <c r="H111" s="7" t="s">
        <v>7</v>
      </c>
      <c r="I111" s="7" t="s">
        <v>132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1</v>
      </c>
      <c r="AL111" s="8">
        <v>3360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9">
        <v>1008</v>
      </c>
      <c r="BM111" s="10">
        <v>3360</v>
      </c>
      <c r="BN111" s="13">
        <f t="shared" si="4"/>
        <v>2352</v>
      </c>
      <c r="BO111" s="13">
        <f t="shared" si="3"/>
        <v>1646.3999999999999</v>
      </c>
    </row>
    <row r="112" spans="1:67" x14ac:dyDescent="0.4">
      <c r="A112" s="5" t="s">
        <v>155</v>
      </c>
      <c r="B112" s="5" t="s">
        <v>238</v>
      </c>
      <c r="C112" s="5">
        <v>418305</v>
      </c>
      <c r="D112" s="6"/>
      <c r="E112" s="5" t="s">
        <v>30</v>
      </c>
      <c r="F112" s="5" t="s">
        <v>176</v>
      </c>
      <c r="G112" s="5" t="s">
        <v>50</v>
      </c>
      <c r="H112" s="7" t="s">
        <v>139</v>
      </c>
      <c r="I112" s="7" t="s">
        <v>239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</v>
      </c>
      <c r="AF112" s="8">
        <v>3300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3300</v>
      </c>
      <c r="BN112" s="13">
        <f t="shared" si="4"/>
        <v>3300</v>
      </c>
      <c r="BO112" s="13">
        <f t="shared" si="3"/>
        <v>2310</v>
      </c>
    </row>
    <row r="113" spans="1:67" x14ac:dyDescent="0.4">
      <c r="A113" s="5" t="s">
        <v>155</v>
      </c>
      <c r="B113" s="5" t="s">
        <v>240</v>
      </c>
      <c r="C113" s="5">
        <v>410142</v>
      </c>
      <c r="D113" s="6"/>
      <c r="E113" s="5" t="s">
        <v>30</v>
      </c>
      <c r="F113" s="5" t="s">
        <v>80</v>
      </c>
      <c r="G113" s="5" t="s">
        <v>11</v>
      </c>
      <c r="H113" s="7" t="s">
        <v>7</v>
      </c>
      <c r="I113" s="7" t="s">
        <v>241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</v>
      </c>
      <c r="AF113" s="8">
        <v>2800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1</v>
      </c>
      <c r="BD113" s="7">
        <v>480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28.8</v>
      </c>
      <c r="BM113" s="10">
        <v>3280</v>
      </c>
      <c r="BN113" s="13">
        <f t="shared" si="4"/>
        <v>3251.2</v>
      </c>
      <c r="BO113" s="13">
        <f t="shared" si="3"/>
        <v>2275.8399999999997</v>
      </c>
    </row>
    <row r="114" spans="1:67" x14ac:dyDescent="0.4">
      <c r="A114" s="5" t="s">
        <v>155</v>
      </c>
      <c r="B114" s="5" t="s">
        <v>61</v>
      </c>
      <c r="C114" s="5">
        <v>324335</v>
      </c>
      <c r="D114" s="6"/>
      <c r="E114" s="5" t="s">
        <v>30</v>
      </c>
      <c r="F114" s="5" t="s">
        <v>46</v>
      </c>
      <c r="G114" s="5" t="s">
        <v>11</v>
      </c>
      <c r="H114" s="7" t="s">
        <v>10</v>
      </c>
      <c r="I114" s="7" t="s">
        <v>62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</v>
      </c>
      <c r="AF114" s="8">
        <v>3200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3200</v>
      </c>
      <c r="BN114" s="13">
        <f t="shared" si="4"/>
        <v>3200</v>
      </c>
      <c r="BO114" s="13">
        <f t="shared" si="3"/>
        <v>2240</v>
      </c>
    </row>
    <row r="115" spans="1:67" x14ac:dyDescent="0.4">
      <c r="A115" s="5" t="s">
        <v>155</v>
      </c>
      <c r="B115" s="5" t="s">
        <v>202</v>
      </c>
      <c r="C115" s="5">
        <v>422368</v>
      </c>
      <c r="D115" s="6"/>
      <c r="E115" s="5" t="s">
        <v>30</v>
      </c>
      <c r="F115" s="5" t="s">
        <v>203</v>
      </c>
      <c r="G115" s="5" t="s">
        <v>11</v>
      </c>
      <c r="H115" s="7" t="s">
        <v>7</v>
      </c>
      <c r="I115" s="7" t="s">
        <v>204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</v>
      </c>
      <c r="AF115" s="8">
        <v>3200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3200</v>
      </c>
      <c r="BN115" s="13">
        <f t="shared" si="4"/>
        <v>3200</v>
      </c>
      <c r="BO115" s="13">
        <f t="shared" si="3"/>
        <v>2240</v>
      </c>
    </row>
    <row r="116" spans="1:67" ht="19.2" x14ac:dyDescent="0.4">
      <c r="A116" s="5" t="s">
        <v>157</v>
      </c>
      <c r="B116" s="5" t="s">
        <v>242</v>
      </c>
      <c r="C116" s="5">
        <v>470379</v>
      </c>
      <c r="D116" s="6"/>
      <c r="E116" s="5" t="s">
        <v>30</v>
      </c>
      <c r="F116" s="5" t="s">
        <v>92</v>
      </c>
      <c r="G116" s="5" t="s">
        <v>11</v>
      </c>
      <c r="H116" s="7" t="s">
        <v>7</v>
      </c>
      <c r="I116" s="7" t="s">
        <v>33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1</v>
      </c>
      <c r="AC116" s="8">
        <v>2800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2800</v>
      </c>
      <c r="BN116" s="13">
        <f t="shared" si="4"/>
        <v>2800</v>
      </c>
      <c r="BO116" s="13">
        <f t="shared" si="3"/>
        <v>1959.9999999999998</v>
      </c>
    </row>
    <row r="117" spans="1:67" x14ac:dyDescent="0.4">
      <c r="A117" s="5" t="s">
        <v>155</v>
      </c>
      <c r="B117" s="5" t="s">
        <v>243</v>
      </c>
      <c r="C117" s="5">
        <v>473532</v>
      </c>
      <c r="D117" s="6"/>
      <c r="E117" s="5" t="s">
        <v>30</v>
      </c>
      <c r="F117" s="5" t="s">
        <v>225</v>
      </c>
      <c r="G117" s="5" t="s">
        <v>50</v>
      </c>
      <c r="H117" s="7" t="s">
        <v>139</v>
      </c>
      <c r="I117" s="7" t="s">
        <v>226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</v>
      </c>
      <c r="AF117" s="8">
        <v>2700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2700</v>
      </c>
      <c r="BN117" s="13">
        <f t="shared" si="4"/>
        <v>2700</v>
      </c>
      <c r="BO117" s="13">
        <f t="shared" si="3"/>
        <v>1889.9999999999998</v>
      </c>
    </row>
    <row r="118" spans="1:67" x14ac:dyDescent="0.4">
      <c r="A118" s="5" t="s">
        <v>155</v>
      </c>
      <c r="B118" s="5" t="s">
        <v>150</v>
      </c>
      <c r="C118" s="5">
        <v>444217</v>
      </c>
      <c r="D118" s="6"/>
      <c r="E118" s="5" t="s">
        <v>30</v>
      </c>
      <c r="F118" s="5" t="s">
        <v>107</v>
      </c>
      <c r="G118" s="5" t="s">
        <v>50</v>
      </c>
      <c r="H118" s="7" t="s">
        <v>139</v>
      </c>
      <c r="I118" s="7" t="s">
        <v>151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</v>
      </c>
      <c r="AF118" s="8">
        <v>2500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2500</v>
      </c>
      <c r="BN118" s="13">
        <f t="shared" si="4"/>
        <v>2500</v>
      </c>
      <c r="BO118" s="13">
        <f t="shared" si="3"/>
        <v>1750</v>
      </c>
    </row>
    <row r="119" spans="1:67" x14ac:dyDescent="0.4">
      <c r="A119" s="5" t="s">
        <v>155</v>
      </c>
      <c r="B119" s="5" t="s">
        <v>152</v>
      </c>
      <c r="C119" s="5">
        <v>467498</v>
      </c>
      <c r="D119" s="6"/>
      <c r="E119" s="5" t="s">
        <v>30</v>
      </c>
      <c r="F119" s="5" t="s">
        <v>141</v>
      </c>
      <c r="G119" s="5" t="s">
        <v>50</v>
      </c>
      <c r="H119" s="7" t="s">
        <v>8</v>
      </c>
      <c r="I119" s="7" t="s">
        <v>36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8">
        <v>1800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1800</v>
      </c>
      <c r="BN119" s="13">
        <f t="shared" si="4"/>
        <v>1800</v>
      </c>
      <c r="BO119" s="13">
        <f t="shared" si="3"/>
        <v>1260</v>
      </c>
    </row>
    <row r="120" spans="1:67" ht="19.2" x14ac:dyDescent="0.4">
      <c r="A120" s="5" t="s">
        <v>155</v>
      </c>
      <c r="B120" s="5" t="s">
        <v>106</v>
      </c>
      <c r="C120" s="5">
        <v>383229</v>
      </c>
      <c r="D120" s="6"/>
      <c r="E120" s="5" t="s">
        <v>30</v>
      </c>
      <c r="F120" s="5" t="s">
        <v>107</v>
      </c>
      <c r="G120" s="5" t="s">
        <v>50</v>
      </c>
      <c r="H120" s="7" t="s">
        <v>8</v>
      </c>
      <c r="I120" s="7" t="s">
        <v>108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15</v>
      </c>
      <c r="AF120" s="8">
        <v>1400</v>
      </c>
      <c r="AG120" s="7">
        <v>100</v>
      </c>
      <c r="AH120" s="7">
        <v>0</v>
      </c>
      <c r="AI120" s="7">
        <v>0</v>
      </c>
      <c r="AJ120" s="7">
        <v>0</v>
      </c>
      <c r="AK120" s="7">
        <v>1</v>
      </c>
      <c r="AL120" s="7">
        <v>128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1</v>
      </c>
      <c r="BD120" s="7">
        <v>120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45.6</v>
      </c>
      <c r="BM120" s="10">
        <v>1748</v>
      </c>
      <c r="BN120" s="13">
        <f t="shared" si="4"/>
        <v>1702.4</v>
      </c>
      <c r="BO120" s="13">
        <f t="shared" si="3"/>
        <v>1191.68</v>
      </c>
    </row>
    <row r="121" spans="1:67" x14ac:dyDescent="0.4">
      <c r="A121" s="5" t="s">
        <v>155</v>
      </c>
      <c r="B121" s="5" t="s">
        <v>29</v>
      </c>
      <c r="C121" s="5">
        <v>465248</v>
      </c>
      <c r="D121" s="6"/>
      <c r="E121" s="5" t="s">
        <v>30</v>
      </c>
      <c r="F121" s="5" t="s">
        <v>31</v>
      </c>
      <c r="G121" s="5" t="s">
        <v>32</v>
      </c>
      <c r="H121" s="7" t="s">
        <v>10</v>
      </c>
      <c r="I121" s="7" t="s">
        <v>33</v>
      </c>
      <c r="J121" s="7">
        <v>0</v>
      </c>
      <c r="K121" s="7">
        <v>9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17</v>
      </c>
      <c r="AF121" s="8">
        <v>1700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1700</v>
      </c>
      <c r="BN121" s="13">
        <f t="shared" si="4"/>
        <v>1700</v>
      </c>
      <c r="BO121" s="13">
        <f t="shared" si="3"/>
        <v>1190</v>
      </c>
    </row>
    <row r="122" spans="1:67" x14ac:dyDescent="0.4">
      <c r="A122" s="5" t="s">
        <v>155</v>
      </c>
      <c r="B122" s="5" t="s">
        <v>244</v>
      </c>
      <c r="C122" s="5">
        <v>426261</v>
      </c>
      <c r="D122" s="6"/>
      <c r="E122" s="5" t="s">
        <v>30</v>
      </c>
      <c r="F122" s="5" t="s">
        <v>107</v>
      </c>
      <c r="G122" s="5" t="s">
        <v>50</v>
      </c>
      <c r="H122" s="7" t="s">
        <v>139</v>
      </c>
      <c r="I122" s="7" t="s">
        <v>221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2</v>
      </c>
      <c r="AF122" s="8">
        <v>1100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1</v>
      </c>
      <c r="AR122" s="7">
        <v>500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1600</v>
      </c>
      <c r="BN122" s="13">
        <f t="shared" si="4"/>
        <v>1600</v>
      </c>
      <c r="BO122" s="13">
        <f t="shared" si="3"/>
        <v>1120</v>
      </c>
    </row>
    <row r="123" spans="1:67" x14ac:dyDescent="0.4">
      <c r="A123" s="5" t="s">
        <v>155</v>
      </c>
      <c r="B123" s="5" t="s">
        <v>245</v>
      </c>
      <c r="C123" s="5">
        <v>462657</v>
      </c>
      <c r="D123" s="6"/>
      <c r="E123" s="5" t="s">
        <v>30</v>
      </c>
      <c r="F123" s="5" t="s">
        <v>138</v>
      </c>
      <c r="G123" s="5" t="s">
        <v>50</v>
      </c>
      <c r="H123" s="7" t="s">
        <v>139</v>
      </c>
      <c r="I123" s="7" t="s">
        <v>169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1</v>
      </c>
      <c r="AL123" s="8">
        <v>1200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360</v>
      </c>
      <c r="BM123" s="10">
        <v>1200</v>
      </c>
      <c r="BN123" s="13">
        <f t="shared" si="4"/>
        <v>840</v>
      </c>
      <c r="BO123" s="13">
        <f t="shared" si="3"/>
        <v>588</v>
      </c>
    </row>
    <row r="124" spans="1:67" x14ac:dyDescent="0.4">
      <c r="A124" s="5" t="s">
        <v>155</v>
      </c>
      <c r="B124" s="5" t="s">
        <v>91</v>
      </c>
      <c r="C124" s="5">
        <v>465250</v>
      </c>
      <c r="D124" s="6"/>
      <c r="E124" s="5" t="s">
        <v>30</v>
      </c>
      <c r="F124" s="5" t="s">
        <v>92</v>
      </c>
      <c r="G124" s="5" t="s">
        <v>32</v>
      </c>
      <c r="H124" s="7" t="s">
        <v>7</v>
      </c>
      <c r="I124" s="7" t="s">
        <v>93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12</v>
      </c>
      <c r="AF124" s="8">
        <v>1200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1200</v>
      </c>
      <c r="BN124" s="13">
        <f t="shared" ref="BN124:BN147" si="5">BM124-BL124</f>
        <v>1200</v>
      </c>
      <c r="BO124" s="13">
        <f t="shared" si="3"/>
        <v>840</v>
      </c>
    </row>
    <row r="125" spans="1:67" x14ac:dyDescent="0.4">
      <c r="A125" s="5" t="s">
        <v>155</v>
      </c>
      <c r="B125" s="5" t="s">
        <v>40</v>
      </c>
      <c r="C125" s="5">
        <v>449889</v>
      </c>
      <c r="D125" s="6"/>
      <c r="E125" s="5" t="s">
        <v>30</v>
      </c>
      <c r="F125" s="5" t="s">
        <v>41</v>
      </c>
      <c r="G125" s="5" t="s">
        <v>11</v>
      </c>
      <c r="H125" s="7" t="s">
        <v>7</v>
      </c>
      <c r="I125" s="7" t="s">
        <v>42</v>
      </c>
      <c r="J125" s="7">
        <v>0</v>
      </c>
      <c r="K125" s="7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9</v>
      </c>
      <c r="AF125" s="7">
        <v>800</v>
      </c>
      <c r="AG125" s="7">
        <v>100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1">
        <v>900</v>
      </c>
      <c r="BN125" s="13">
        <f t="shared" si="5"/>
        <v>900</v>
      </c>
      <c r="BO125" s="13">
        <f t="shared" si="3"/>
        <v>630</v>
      </c>
    </row>
    <row r="126" spans="1:67" ht="19.2" x14ac:dyDescent="0.4">
      <c r="A126" s="5" t="s">
        <v>155</v>
      </c>
      <c r="B126" s="5" t="s">
        <v>54</v>
      </c>
      <c r="C126" s="5">
        <v>454534</v>
      </c>
      <c r="D126" s="6"/>
      <c r="E126" s="5" t="s">
        <v>30</v>
      </c>
      <c r="F126" s="5" t="s">
        <v>55</v>
      </c>
      <c r="G126" s="5" t="s">
        <v>11</v>
      </c>
      <c r="H126" s="7" t="s">
        <v>7</v>
      </c>
      <c r="I126" s="7" t="s">
        <v>159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7</v>
      </c>
      <c r="AF126" s="7">
        <v>700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1">
        <v>700</v>
      </c>
      <c r="BN126" s="13">
        <f t="shared" si="5"/>
        <v>700</v>
      </c>
      <c r="BO126" s="13">
        <f t="shared" si="3"/>
        <v>489.99999999999994</v>
      </c>
    </row>
    <row r="127" spans="1:67" x14ac:dyDescent="0.4">
      <c r="A127" s="5" t="s">
        <v>155</v>
      </c>
      <c r="B127" s="5" t="s">
        <v>59</v>
      </c>
      <c r="C127" s="5">
        <v>321812</v>
      </c>
      <c r="D127" s="6"/>
      <c r="E127" s="5" t="s">
        <v>30</v>
      </c>
      <c r="F127" s="5" t="s">
        <v>46</v>
      </c>
      <c r="G127" s="5" t="s">
        <v>11</v>
      </c>
      <c r="H127" s="7" t="s">
        <v>7</v>
      </c>
      <c r="I127" s="7" t="s">
        <v>60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5</v>
      </c>
      <c r="AF127" s="7">
        <v>400</v>
      </c>
      <c r="AG127" s="7">
        <v>100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1">
        <v>500</v>
      </c>
      <c r="BN127" s="13">
        <f t="shared" si="5"/>
        <v>500</v>
      </c>
      <c r="BO127" s="13">
        <f t="shared" si="3"/>
        <v>350</v>
      </c>
    </row>
    <row r="128" spans="1:67" x14ac:dyDescent="0.4">
      <c r="A128" s="5" t="s">
        <v>155</v>
      </c>
      <c r="B128" s="5" t="s">
        <v>52</v>
      </c>
      <c r="C128" s="5">
        <v>178856</v>
      </c>
      <c r="D128" s="6"/>
      <c r="E128" s="5" t="s">
        <v>30</v>
      </c>
      <c r="F128" s="5" t="s">
        <v>46</v>
      </c>
      <c r="G128" s="5" t="s">
        <v>11</v>
      </c>
      <c r="H128" s="7" t="s">
        <v>10</v>
      </c>
      <c r="I128" s="7" t="s">
        <v>53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1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4</v>
      </c>
      <c r="AF128" s="7">
        <v>320</v>
      </c>
      <c r="AG128" s="7">
        <v>100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1">
        <v>420</v>
      </c>
      <c r="BN128" s="13">
        <f t="shared" si="5"/>
        <v>420</v>
      </c>
      <c r="BO128" s="13">
        <f t="shared" si="3"/>
        <v>294</v>
      </c>
    </row>
    <row r="129" spans="1:67" ht="19.2" x14ac:dyDescent="0.4">
      <c r="A129" s="5" t="s">
        <v>155</v>
      </c>
      <c r="B129" s="5" t="s">
        <v>153</v>
      </c>
      <c r="C129" s="5">
        <v>383236</v>
      </c>
      <c r="D129" s="6"/>
      <c r="E129" s="5" t="s">
        <v>30</v>
      </c>
      <c r="F129" s="5" t="s">
        <v>107</v>
      </c>
      <c r="G129" s="5" t="s">
        <v>50</v>
      </c>
      <c r="H129" s="7" t="s">
        <v>139</v>
      </c>
      <c r="I129" s="7" t="s">
        <v>108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7">
        <v>0</v>
      </c>
      <c r="AG129" s="7">
        <v>400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1">
        <v>400</v>
      </c>
      <c r="BN129" s="13">
        <f t="shared" si="5"/>
        <v>400</v>
      </c>
      <c r="BO129" s="13">
        <f t="shared" si="3"/>
        <v>280</v>
      </c>
    </row>
    <row r="130" spans="1:67" x14ac:dyDescent="0.4">
      <c r="A130" s="5" t="s">
        <v>155</v>
      </c>
      <c r="B130" s="5" t="s">
        <v>246</v>
      </c>
      <c r="C130" s="5">
        <v>428409</v>
      </c>
      <c r="D130" s="6"/>
      <c r="E130" s="5" t="s">
        <v>30</v>
      </c>
      <c r="F130" s="5" t="s">
        <v>57</v>
      </c>
      <c r="G130" s="5" t="s">
        <v>50</v>
      </c>
      <c r="H130" s="7" t="s">
        <v>139</v>
      </c>
      <c r="I130" s="7" t="s">
        <v>228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</v>
      </c>
      <c r="AF130" s="7">
        <v>400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1">
        <v>400</v>
      </c>
      <c r="BN130" s="13">
        <f t="shared" si="5"/>
        <v>400</v>
      </c>
      <c r="BO130" s="13">
        <f t="shared" si="3"/>
        <v>280</v>
      </c>
    </row>
    <row r="131" spans="1:67" x14ac:dyDescent="0.4">
      <c r="A131" s="5" t="s">
        <v>155</v>
      </c>
      <c r="B131" s="5" t="s">
        <v>197</v>
      </c>
      <c r="C131" s="5">
        <v>471701</v>
      </c>
      <c r="D131" s="6"/>
      <c r="E131" s="5" t="s">
        <v>30</v>
      </c>
      <c r="F131" s="5" t="s">
        <v>198</v>
      </c>
      <c r="G131" s="5" t="s">
        <v>11</v>
      </c>
      <c r="H131" s="7" t="s">
        <v>10</v>
      </c>
      <c r="I131" s="7" t="s">
        <v>199</v>
      </c>
      <c r="J131" s="7">
        <v>0</v>
      </c>
      <c r="K131" s="7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</v>
      </c>
      <c r="AF131" s="7">
        <v>100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3</v>
      </c>
      <c r="AR131" s="7">
        <v>300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1">
        <v>400</v>
      </c>
      <c r="BN131" s="13">
        <f t="shared" si="5"/>
        <v>400</v>
      </c>
      <c r="BO131" s="13">
        <f t="shared" ref="BO131:BO147" si="6">BN131*70%</f>
        <v>280</v>
      </c>
    </row>
    <row r="132" spans="1:67" x14ac:dyDescent="0.4">
      <c r="A132" s="5" t="s">
        <v>155</v>
      </c>
      <c r="B132" s="5" t="s">
        <v>158</v>
      </c>
      <c r="C132" s="5">
        <v>472512</v>
      </c>
      <c r="D132" s="6"/>
      <c r="E132" s="5" t="s">
        <v>30</v>
      </c>
      <c r="F132" s="5" t="s">
        <v>55</v>
      </c>
      <c r="G132" s="5" t="s">
        <v>11</v>
      </c>
      <c r="H132" s="7" t="s">
        <v>7</v>
      </c>
      <c r="I132" s="7" t="s">
        <v>159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4</v>
      </c>
      <c r="AF132" s="7">
        <v>200</v>
      </c>
      <c r="AG132" s="7">
        <v>200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1">
        <v>400</v>
      </c>
      <c r="BN132" s="13">
        <f t="shared" si="5"/>
        <v>400</v>
      </c>
      <c r="BO132" s="13">
        <f t="shared" si="6"/>
        <v>280</v>
      </c>
    </row>
    <row r="133" spans="1:67" x14ac:dyDescent="0.4">
      <c r="A133" s="5" t="s">
        <v>155</v>
      </c>
      <c r="B133" s="5" t="s">
        <v>247</v>
      </c>
      <c r="C133" s="5">
        <v>444218</v>
      </c>
      <c r="D133" s="6"/>
      <c r="E133" s="5" t="s">
        <v>30</v>
      </c>
      <c r="F133" s="5" t="s">
        <v>107</v>
      </c>
      <c r="G133" s="5" t="s">
        <v>50</v>
      </c>
      <c r="H133" s="7" t="s">
        <v>139</v>
      </c>
      <c r="I133" s="7" t="s">
        <v>151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1</v>
      </c>
      <c r="AF133" s="7">
        <v>300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1">
        <v>300</v>
      </c>
      <c r="BN133" s="13">
        <f t="shared" si="5"/>
        <v>300</v>
      </c>
      <c r="BO133" s="13">
        <f t="shared" si="6"/>
        <v>210</v>
      </c>
    </row>
    <row r="134" spans="1:67" ht="19.2" x14ac:dyDescent="0.4">
      <c r="A134" s="5" t="s">
        <v>155</v>
      </c>
      <c r="B134" s="5" t="s">
        <v>45</v>
      </c>
      <c r="C134" s="5">
        <v>369220</v>
      </c>
      <c r="D134" s="6"/>
      <c r="E134" s="5" t="s">
        <v>30</v>
      </c>
      <c r="F134" s="5" t="s">
        <v>46</v>
      </c>
      <c r="G134" s="5" t="s">
        <v>11</v>
      </c>
      <c r="H134" s="7" t="s">
        <v>7</v>
      </c>
      <c r="I134" s="7" t="s">
        <v>47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100</v>
      </c>
      <c r="AG134" s="7">
        <v>0</v>
      </c>
      <c r="AH134" s="7">
        <v>0</v>
      </c>
      <c r="AI134" s="7">
        <v>0</v>
      </c>
      <c r="AJ134" s="7">
        <v>0</v>
      </c>
      <c r="AK134" s="7">
        <v>1</v>
      </c>
      <c r="AL134" s="7">
        <v>120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36</v>
      </c>
      <c r="BM134" s="11">
        <v>220</v>
      </c>
      <c r="BN134" s="13">
        <f t="shared" si="5"/>
        <v>184</v>
      </c>
      <c r="BO134" s="13">
        <f t="shared" si="6"/>
        <v>128.79999999999998</v>
      </c>
    </row>
    <row r="135" spans="1:67" x14ac:dyDescent="0.4">
      <c r="A135" s="5" t="s">
        <v>155</v>
      </c>
      <c r="B135" s="5" t="s">
        <v>48</v>
      </c>
      <c r="C135" s="5">
        <v>395270</v>
      </c>
      <c r="D135" s="6"/>
      <c r="E135" s="5" t="s">
        <v>30</v>
      </c>
      <c r="F135" s="5" t="s">
        <v>49</v>
      </c>
      <c r="G135" s="5" t="s">
        <v>50</v>
      </c>
      <c r="H135" s="7" t="s">
        <v>8</v>
      </c>
      <c r="I135" s="7" t="s">
        <v>51</v>
      </c>
      <c r="J135" s="7">
        <v>0</v>
      </c>
      <c r="K135" s="7">
        <v>89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2</v>
      </c>
      <c r="AF135" s="7">
        <v>200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1">
        <v>200</v>
      </c>
      <c r="BN135" s="13">
        <f t="shared" si="5"/>
        <v>200</v>
      </c>
      <c r="BO135" s="13">
        <f t="shared" si="6"/>
        <v>140</v>
      </c>
    </row>
    <row r="136" spans="1:67" ht="19.2" x14ac:dyDescent="0.4">
      <c r="A136" s="5" t="s">
        <v>155</v>
      </c>
      <c r="B136" s="5" t="s">
        <v>172</v>
      </c>
      <c r="C136" s="5">
        <v>472228</v>
      </c>
      <c r="D136" s="6"/>
      <c r="E136" s="5" t="s">
        <v>30</v>
      </c>
      <c r="F136" s="5" t="s">
        <v>173</v>
      </c>
      <c r="G136" s="5" t="s">
        <v>32</v>
      </c>
      <c r="H136" s="7" t="s">
        <v>8</v>
      </c>
      <c r="I136" s="7" t="s">
        <v>174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1</v>
      </c>
      <c r="BD136" s="7">
        <v>120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7.2</v>
      </c>
      <c r="BM136" s="11">
        <v>120</v>
      </c>
      <c r="BN136" s="13">
        <f t="shared" si="5"/>
        <v>112.8</v>
      </c>
      <c r="BO136" s="13">
        <f t="shared" si="6"/>
        <v>78.959999999999994</v>
      </c>
    </row>
    <row r="137" spans="1:67" x14ac:dyDescent="0.4">
      <c r="A137" s="5" t="s">
        <v>155</v>
      </c>
      <c r="B137" s="5" t="s">
        <v>68</v>
      </c>
      <c r="C137" s="5">
        <v>369720</v>
      </c>
      <c r="D137" s="6"/>
      <c r="E137" s="5" t="s">
        <v>30</v>
      </c>
      <c r="F137" s="5" t="s">
        <v>69</v>
      </c>
      <c r="G137" s="5" t="s">
        <v>50</v>
      </c>
      <c r="H137" s="7" t="s">
        <v>8</v>
      </c>
      <c r="I137" s="7" t="s">
        <v>70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1</v>
      </c>
      <c r="AF137" s="7">
        <v>100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1">
        <v>100</v>
      </c>
      <c r="BN137" s="13">
        <f t="shared" si="5"/>
        <v>100</v>
      </c>
      <c r="BO137" s="13">
        <f t="shared" si="6"/>
        <v>70</v>
      </c>
    </row>
    <row r="138" spans="1:67" x14ac:dyDescent="0.4">
      <c r="A138" s="5" t="s">
        <v>155</v>
      </c>
      <c r="B138" s="5" t="s">
        <v>79</v>
      </c>
      <c r="C138" s="5">
        <v>386960</v>
      </c>
      <c r="D138" s="6"/>
      <c r="E138" s="5" t="s">
        <v>30</v>
      </c>
      <c r="F138" s="5" t="s">
        <v>80</v>
      </c>
      <c r="G138" s="5" t="s">
        <v>11</v>
      </c>
      <c r="H138" s="7" t="s">
        <v>7</v>
      </c>
      <c r="I138" s="7" t="s">
        <v>81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</v>
      </c>
      <c r="AF138" s="7">
        <v>100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1">
        <v>100</v>
      </c>
      <c r="BN138" s="13">
        <f t="shared" si="5"/>
        <v>100</v>
      </c>
      <c r="BO138" s="13">
        <f t="shared" si="6"/>
        <v>70</v>
      </c>
    </row>
    <row r="139" spans="1:67" x14ac:dyDescent="0.4">
      <c r="A139" s="5" t="s">
        <v>155</v>
      </c>
      <c r="B139" s="5" t="s">
        <v>200</v>
      </c>
      <c r="C139" s="5">
        <v>392578</v>
      </c>
      <c r="D139" s="6"/>
      <c r="E139" s="5" t="s">
        <v>30</v>
      </c>
      <c r="F139" s="5" t="s">
        <v>138</v>
      </c>
      <c r="G139" s="5" t="s">
        <v>50</v>
      </c>
      <c r="H139" s="7" t="s">
        <v>139</v>
      </c>
      <c r="I139" s="7" t="s">
        <v>201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1</v>
      </c>
      <c r="AL139" s="7">
        <v>0</v>
      </c>
      <c r="AM139" s="7">
        <v>100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1">
        <v>100</v>
      </c>
      <c r="BN139" s="13">
        <f t="shared" si="5"/>
        <v>100</v>
      </c>
      <c r="BO139" s="13">
        <f t="shared" si="6"/>
        <v>70</v>
      </c>
    </row>
    <row r="140" spans="1:67" ht="19.2" x14ac:dyDescent="0.4">
      <c r="A140" s="5" t="s">
        <v>155</v>
      </c>
      <c r="B140" s="5" t="s">
        <v>134</v>
      </c>
      <c r="C140" s="5">
        <v>469072</v>
      </c>
      <c r="D140" s="6"/>
      <c r="E140" s="5" t="s">
        <v>30</v>
      </c>
      <c r="F140" s="5" t="s">
        <v>117</v>
      </c>
      <c r="G140" s="5" t="s">
        <v>50</v>
      </c>
      <c r="H140" s="7" t="s">
        <v>8</v>
      </c>
      <c r="I140" s="7" t="s">
        <v>135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7">
        <v>100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1">
        <v>100</v>
      </c>
      <c r="BN140" s="13">
        <f t="shared" si="5"/>
        <v>100</v>
      </c>
      <c r="BO140" s="13">
        <f t="shared" si="6"/>
        <v>70</v>
      </c>
    </row>
    <row r="141" spans="1:67" x14ac:dyDescent="0.4">
      <c r="A141" s="5" t="s">
        <v>155</v>
      </c>
      <c r="B141" s="5" t="s">
        <v>136</v>
      </c>
      <c r="C141" s="5">
        <v>400251</v>
      </c>
      <c r="D141" s="6"/>
      <c r="E141" s="5" t="s">
        <v>30</v>
      </c>
      <c r="F141" s="5" t="s">
        <v>57</v>
      </c>
      <c r="G141" s="5" t="s">
        <v>50</v>
      </c>
      <c r="H141" s="7" t="s">
        <v>8</v>
      </c>
      <c r="I141" s="7" t="s">
        <v>137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</v>
      </c>
      <c r="AF141" s="7">
        <v>100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1">
        <v>100</v>
      </c>
      <c r="BN141" s="13">
        <f t="shared" si="5"/>
        <v>100</v>
      </c>
      <c r="BO141" s="13">
        <f t="shared" si="6"/>
        <v>70</v>
      </c>
    </row>
    <row r="142" spans="1:67" x14ac:dyDescent="0.4">
      <c r="A142" s="5" t="s">
        <v>155</v>
      </c>
      <c r="B142" s="5" t="s">
        <v>248</v>
      </c>
      <c r="C142" s="5">
        <v>407003</v>
      </c>
      <c r="D142" s="6"/>
      <c r="E142" s="5" t="s">
        <v>30</v>
      </c>
      <c r="F142" s="5" t="s">
        <v>249</v>
      </c>
      <c r="G142" s="5" t="s">
        <v>50</v>
      </c>
      <c r="H142" s="7" t="s">
        <v>139</v>
      </c>
      <c r="I142" s="7" t="s">
        <v>250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100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1">
        <v>100</v>
      </c>
      <c r="BN142" s="13">
        <f t="shared" si="5"/>
        <v>100</v>
      </c>
      <c r="BO142" s="13">
        <f t="shared" si="6"/>
        <v>70</v>
      </c>
    </row>
    <row r="143" spans="1:67" x14ac:dyDescent="0.4">
      <c r="A143" s="5" t="s">
        <v>155</v>
      </c>
      <c r="B143" s="5" t="s">
        <v>63</v>
      </c>
      <c r="C143" s="5">
        <v>412919</v>
      </c>
      <c r="D143" s="6"/>
      <c r="E143" s="5" t="s">
        <v>30</v>
      </c>
      <c r="F143" s="5" t="s">
        <v>64</v>
      </c>
      <c r="G143" s="5" t="s">
        <v>50</v>
      </c>
      <c r="H143" s="7" t="s">
        <v>8</v>
      </c>
      <c r="I143" s="7" t="s">
        <v>65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1</v>
      </c>
      <c r="AF143" s="7">
        <v>100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1">
        <v>100</v>
      </c>
      <c r="BN143" s="13">
        <f t="shared" si="5"/>
        <v>100</v>
      </c>
      <c r="BO143" s="13">
        <f t="shared" si="6"/>
        <v>70</v>
      </c>
    </row>
    <row r="144" spans="1:67" x14ac:dyDescent="0.4">
      <c r="A144" s="5" t="s">
        <v>155</v>
      </c>
      <c r="B144" s="5" t="s">
        <v>88</v>
      </c>
      <c r="C144" s="5">
        <v>219203</v>
      </c>
      <c r="D144" s="6"/>
      <c r="E144" s="5" t="s">
        <v>30</v>
      </c>
      <c r="F144" s="5" t="s">
        <v>89</v>
      </c>
      <c r="G144" s="5" t="s">
        <v>11</v>
      </c>
      <c r="H144" s="7" t="s">
        <v>7</v>
      </c>
      <c r="I144" s="7" t="s">
        <v>90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1</v>
      </c>
      <c r="AC144" s="7">
        <v>100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11">
        <v>100</v>
      </c>
      <c r="BN144" s="13">
        <f t="shared" si="5"/>
        <v>100</v>
      </c>
      <c r="BO144" s="13">
        <f t="shared" si="6"/>
        <v>70</v>
      </c>
    </row>
    <row r="145" spans="1:67" x14ac:dyDescent="0.4">
      <c r="A145" s="5" t="s">
        <v>155</v>
      </c>
      <c r="B145" s="5" t="s">
        <v>56</v>
      </c>
      <c r="C145" s="5">
        <v>457807</v>
      </c>
      <c r="D145" s="6"/>
      <c r="E145" s="5" t="s">
        <v>30</v>
      </c>
      <c r="F145" s="5" t="s">
        <v>57</v>
      </c>
      <c r="G145" s="5" t="s">
        <v>50</v>
      </c>
      <c r="H145" s="7" t="s">
        <v>8</v>
      </c>
      <c r="I145" s="7" t="s">
        <v>58</v>
      </c>
      <c r="J145" s="7">
        <v>0</v>
      </c>
      <c r="K145" s="7">
        <v>36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11">
        <v>0</v>
      </c>
      <c r="BN145" s="13">
        <f t="shared" si="5"/>
        <v>0</v>
      </c>
      <c r="BO145" s="13">
        <f t="shared" si="6"/>
        <v>0</v>
      </c>
    </row>
    <row r="146" spans="1:67" ht="19.2" x14ac:dyDescent="0.4">
      <c r="A146" s="5" t="s">
        <v>155</v>
      </c>
      <c r="B146" s="5" t="s">
        <v>66</v>
      </c>
      <c r="C146" s="5">
        <v>459997</v>
      </c>
      <c r="D146" s="6"/>
      <c r="E146" s="5" t="s">
        <v>30</v>
      </c>
      <c r="F146" s="5" t="s">
        <v>67</v>
      </c>
      <c r="G146" s="5" t="s">
        <v>11</v>
      </c>
      <c r="H146" s="7" t="s">
        <v>7</v>
      </c>
      <c r="I146" s="7" t="s">
        <v>165</v>
      </c>
      <c r="J146" s="7">
        <v>0</v>
      </c>
      <c r="K146" s="7">
        <v>66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1">
        <v>0</v>
      </c>
      <c r="BN146" s="13">
        <f t="shared" si="5"/>
        <v>0</v>
      </c>
      <c r="BO146" s="13">
        <f t="shared" si="6"/>
        <v>0</v>
      </c>
    </row>
    <row r="147" spans="1:67" x14ac:dyDescent="0.4">
      <c r="A147" s="5" t="s">
        <v>155</v>
      </c>
      <c r="B147" s="5" t="s">
        <v>34</v>
      </c>
      <c r="C147" s="5">
        <v>463799</v>
      </c>
      <c r="D147" s="6"/>
      <c r="E147" s="5" t="s">
        <v>30</v>
      </c>
      <c r="F147" s="5" t="s">
        <v>35</v>
      </c>
      <c r="G147" s="5" t="s">
        <v>11</v>
      </c>
      <c r="H147" s="7" t="s">
        <v>7</v>
      </c>
      <c r="I147" s="7" t="s">
        <v>36</v>
      </c>
      <c r="J147" s="7">
        <v>0</v>
      </c>
      <c r="K147" s="7">
        <v>16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11">
        <v>0</v>
      </c>
      <c r="BN147" s="13">
        <f t="shared" si="5"/>
        <v>0</v>
      </c>
      <c r="BO147" s="13">
        <f t="shared" si="6"/>
        <v>0</v>
      </c>
    </row>
    <row r="148" spans="1:67" x14ac:dyDescent="0.4">
      <c r="BL148" s="13">
        <f>SUM(BL2:BL147)</f>
        <v>27175.200000000001</v>
      </c>
      <c r="BM148" s="13">
        <f t="shared" ref="BM148:BO148" si="7">SUM(BM2:BM147)</f>
        <v>1844348</v>
      </c>
      <c r="BN148" s="13">
        <f t="shared" si="7"/>
        <v>1817172.8</v>
      </c>
      <c r="BO148" s="15">
        <f t="shared" si="7"/>
        <v>1272020.9599999997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2022-07-05T10:24:12Z</dcterms:modified>
</cp:coreProperties>
</file>