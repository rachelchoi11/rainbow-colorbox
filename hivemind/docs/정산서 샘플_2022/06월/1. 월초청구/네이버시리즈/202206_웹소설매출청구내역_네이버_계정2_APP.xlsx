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6월매출\1. 월초청구(0415)\네이버시리즈\"/>
    </mc:Choice>
  </mc:AlternateContent>
  <bookViews>
    <workbookView xWindow="0" yWindow="0" windowWidth="23040" windowHeight="8952" tabRatio="766"/>
  </bookViews>
  <sheets>
    <sheet name="합계 (6)" sheetId="412" r:id="rId1"/>
  </sheets>
  <definedNames>
    <definedName name="_xlnm._FilterDatabase" localSheetId="0" hidden="1">'합계 (6)'!$A$1:$BO$477</definedName>
    <definedName name="_xlnm.Extract" localSheetId="0">'합계 (6)'!#REF!</definedName>
  </definedNames>
  <calcPr calcId="152511"/>
</workbook>
</file>

<file path=xl/calcChain.xml><?xml version="1.0" encoding="utf-8"?>
<calcChain xmlns="http://schemas.openxmlformats.org/spreadsheetml/2006/main">
  <c r="BN345" i="412" l="1"/>
  <c r="BO345" i="412" s="1"/>
  <c r="BN346" i="412"/>
  <c r="BO346" i="412" s="1"/>
  <c r="BN347" i="412"/>
  <c r="BO347" i="412" s="1"/>
  <c r="BN348" i="412"/>
  <c r="BO348" i="412"/>
  <c r="BN349" i="412"/>
  <c r="BO349" i="412" s="1"/>
  <c r="BN350" i="412"/>
  <c r="BO350" i="412" s="1"/>
  <c r="BN351" i="412"/>
  <c r="BO351" i="412" s="1"/>
  <c r="BN352" i="412"/>
  <c r="BO352" i="412"/>
  <c r="BN353" i="412"/>
  <c r="BO353" i="412" s="1"/>
  <c r="BN354" i="412"/>
  <c r="BO354" i="412" s="1"/>
  <c r="BN355" i="412"/>
  <c r="BO355" i="412"/>
  <c r="BN356" i="412"/>
  <c r="BO356" i="412"/>
  <c r="BN357" i="412"/>
  <c r="BO357" i="412" s="1"/>
  <c r="BN358" i="412"/>
  <c r="BO358" i="412" s="1"/>
  <c r="BN359" i="412"/>
  <c r="BO359" i="412" s="1"/>
  <c r="BN360" i="412"/>
  <c r="BO360" i="412" s="1"/>
  <c r="BN361" i="412"/>
  <c r="BO361" i="412" s="1"/>
  <c r="BN362" i="412"/>
  <c r="BO362" i="412" s="1"/>
  <c r="BN363" i="412"/>
  <c r="BO363" i="412"/>
  <c r="BN364" i="412"/>
  <c r="BO364" i="412"/>
  <c r="BN365" i="412"/>
  <c r="BO365" i="412" s="1"/>
  <c r="BN366" i="412"/>
  <c r="BO366" i="412" s="1"/>
  <c r="BN367" i="412"/>
  <c r="BO367" i="412"/>
  <c r="BN368" i="412"/>
  <c r="BO368" i="412" s="1"/>
  <c r="BN369" i="412"/>
  <c r="BO369" i="412" s="1"/>
  <c r="BN370" i="412"/>
  <c r="BO370" i="412" s="1"/>
  <c r="BN371" i="412"/>
  <c r="BO371" i="412" s="1"/>
  <c r="BN372" i="412"/>
  <c r="BO372" i="412"/>
  <c r="BN373" i="412"/>
  <c r="BO373" i="412"/>
  <c r="BN374" i="412"/>
  <c r="BO374" i="412" s="1"/>
  <c r="BN375" i="412"/>
  <c r="BO375" i="412" s="1"/>
  <c r="BN376" i="412"/>
  <c r="BO376" i="412"/>
  <c r="BN377" i="412"/>
  <c r="BO377" i="412" s="1"/>
  <c r="BN378" i="412"/>
  <c r="BO378" i="412" s="1"/>
  <c r="BN379" i="412"/>
  <c r="BO379" i="412" s="1"/>
  <c r="BN380" i="412"/>
  <c r="BO380" i="412" s="1"/>
  <c r="BN381" i="412"/>
  <c r="BO381" i="412"/>
  <c r="BN382" i="412"/>
  <c r="BO382" i="412" s="1"/>
  <c r="BN383" i="412"/>
  <c r="BO383" i="412" s="1"/>
  <c r="BN384" i="412"/>
  <c r="BO384" i="412" s="1"/>
  <c r="BN385" i="412"/>
  <c r="BO385" i="412"/>
  <c r="BN386" i="412"/>
  <c r="BO386" i="412" s="1"/>
  <c r="BN387" i="412"/>
  <c r="BO387" i="412"/>
  <c r="BN388" i="412"/>
  <c r="BO388" i="412"/>
  <c r="BN389" i="412"/>
  <c r="BO389" i="412" s="1"/>
  <c r="BN390" i="412"/>
  <c r="BO390" i="412" s="1"/>
  <c r="BN391" i="412"/>
  <c r="BO391" i="412" s="1"/>
  <c r="BN392" i="412"/>
  <c r="BO392" i="412" s="1"/>
  <c r="BN393" i="412"/>
  <c r="BO393" i="412" s="1"/>
  <c r="BN394" i="412"/>
  <c r="BO394" i="412" s="1"/>
  <c r="BN395" i="412"/>
  <c r="BO395" i="412"/>
  <c r="BN396" i="412"/>
  <c r="BO396" i="412"/>
  <c r="BN397" i="412"/>
  <c r="BO397" i="412" s="1"/>
  <c r="BN398" i="412"/>
  <c r="BO398" i="412" s="1"/>
  <c r="BN399" i="412"/>
  <c r="BO399" i="412"/>
  <c r="BN400" i="412"/>
  <c r="BO400" i="412" s="1"/>
  <c r="BN401" i="412"/>
  <c r="BO401" i="412" s="1"/>
  <c r="BN402" i="412"/>
  <c r="BO402" i="412" s="1"/>
  <c r="BN403" i="412"/>
  <c r="BO403" i="412" s="1"/>
  <c r="BN404" i="412"/>
  <c r="BO404" i="412"/>
  <c r="BN405" i="412"/>
  <c r="BO405" i="412"/>
  <c r="BN406" i="412"/>
  <c r="BO406" i="412" s="1"/>
  <c r="BN407" i="412"/>
  <c r="BO407" i="412" s="1"/>
  <c r="BN408" i="412"/>
  <c r="BO408" i="412"/>
  <c r="BN409" i="412"/>
  <c r="BO409" i="412" s="1"/>
  <c r="BN410" i="412"/>
  <c r="BO410" i="412" s="1"/>
  <c r="BN411" i="412"/>
  <c r="BO411" i="412"/>
  <c r="BN412" i="412"/>
  <c r="BO412" i="412" s="1"/>
  <c r="BN413" i="412"/>
  <c r="BO413" i="412"/>
  <c r="BN414" i="412"/>
  <c r="BO414" i="412" s="1"/>
  <c r="BN415" i="412"/>
  <c r="BO415" i="412" s="1"/>
  <c r="BN416" i="412"/>
  <c r="BO416" i="412" s="1"/>
  <c r="BN417" i="412"/>
  <c r="BO417" i="412"/>
  <c r="BN418" i="412"/>
  <c r="BO418" i="412" s="1"/>
  <c r="BN419" i="412"/>
  <c r="BO419" i="412"/>
  <c r="BN420" i="412"/>
  <c r="BO420" i="412" s="1"/>
  <c r="BN421" i="412"/>
  <c r="BO421" i="412" s="1"/>
  <c r="BN422" i="412"/>
  <c r="BO422" i="412" s="1"/>
  <c r="BN423" i="412"/>
  <c r="BO423" i="412" s="1"/>
  <c r="BN424" i="412"/>
  <c r="BO424" i="412" s="1"/>
  <c r="BN425" i="412"/>
  <c r="BO425" i="412" s="1"/>
  <c r="BN426" i="412"/>
  <c r="BO426" i="412" s="1"/>
  <c r="BN427" i="412"/>
  <c r="BO427" i="412"/>
  <c r="BN428" i="412"/>
  <c r="BO428" i="412"/>
  <c r="BN429" i="412"/>
  <c r="BO429" i="412" s="1"/>
  <c r="BN430" i="412"/>
  <c r="BO430" i="412" s="1"/>
  <c r="BN431" i="412"/>
  <c r="BO431" i="412"/>
  <c r="BN432" i="412"/>
  <c r="BO432" i="412" s="1"/>
  <c r="BN433" i="412"/>
  <c r="BO433" i="412" s="1"/>
  <c r="BN434" i="412"/>
  <c r="BO434" i="412" s="1"/>
  <c r="BN435" i="412"/>
  <c r="BO435" i="412" s="1"/>
  <c r="BN436" i="412"/>
  <c r="BO436" i="412"/>
  <c r="BN437" i="412"/>
  <c r="BO437" i="412"/>
  <c r="BN438" i="412"/>
  <c r="BO438" i="412" s="1"/>
  <c r="BN439" i="412"/>
  <c r="BO439" i="412" s="1"/>
  <c r="BN440" i="412"/>
  <c r="BO440" i="412"/>
  <c r="BN441" i="412"/>
  <c r="BO441" i="412" s="1"/>
  <c r="BN442" i="412"/>
  <c r="BO442" i="412" s="1"/>
  <c r="BN443" i="412"/>
  <c r="BO443" i="412"/>
  <c r="BN444" i="412"/>
  <c r="BO444" i="412" s="1"/>
  <c r="BN445" i="412"/>
  <c r="BO445" i="412"/>
  <c r="BN446" i="412"/>
  <c r="BO446" i="412" s="1"/>
  <c r="BN447" i="412"/>
  <c r="BO447" i="412" s="1"/>
  <c r="BN448" i="412"/>
  <c r="BO448" i="412" s="1"/>
  <c r="BN449" i="412"/>
  <c r="BO449" i="412"/>
  <c r="BN450" i="412"/>
  <c r="BO450" i="412" s="1"/>
  <c r="BN451" i="412"/>
  <c r="BO451" i="412"/>
  <c r="BN452" i="412"/>
  <c r="BO452" i="412"/>
  <c r="BN453" i="412"/>
  <c r="BO453" i="412"/>
  <c r="BN454" i="412"/>
  <c r="BO454" i="412" s="1"/>
  <c r="BN455" i="412"/>
  <c r="BO455" i="412" s="1"/>
  <c r="BN456" i="412"/>
  <c r="BO456" i="412" s="1"/>
  <c r="BN457" i="412"/>
  <c r="BO457" i="412" s="1"/>
  <c r="BN458" i="412"/>
  <c r="BO458" i="412" s="1"/>
  <c r="BN459" i="412"/>
  <c r="BO459" i="412"/>
  <c r="BN460" i="412"/>
  <c r="BO460" i="412"/>
  <c r="BN461" i="412"/>
  <c r="BO461" i="412"/>
  <c r="BN462" i="412"/>
  <c r="BO462" i="412" s="1"/>
  <c r="BN463" i="412"/>
  <c r="BO463" i="412"/>
  <c r="BN464" i="412"/>
  <c r="BO464" i="412" s="1"/>
  <c r="BN465" i="412"/>
  <c r="BO465" i="412" s="1"/>
  <c r="BN466" i="412"/>
  <c r="BO466" i="412" s="1"/>
  <c r="BN467" i="412"/>
  <c r="BO467" i="412" s="1"/>
  <c r="BN468" i="412"/>
  <c r="BO468" i="412"/>
  <c r="BN469" i="412"/>
  <c r="BO469" i="412" s="1"/>
  <c r="BN470" i="412"/>
  <c r="BO470" i="412" s="1"/>
  <c r="BN471" i="412"/>
  <c r="BO471" i="412" s="1"/>
  <c r="BN472" i="412"/>
  <c r="BO472" i="412" s="1"/>
  <c r="BN473" i="412"/>
  <c r="BO473" i="412" s="1"/>
  <c r="BN474" i="412"/>
  <c r="BO474" i="412" s="1"/>
  <c r="BN475" i="412"/>
  <c r="BO475" i="412"/>
  <c r="BN476" i="412"/>
  <c r="BO476" i="412" s="1"/>
  <c r="BM477" i="412" l="1"/>
  <c r="BL477" i="412" l="1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9" i="412"/>
  <c r="BO29" i="412" s="1"/>
  <c r="BN30" i="412"/>
  <c r="BO30" i="412" s="1"/>
  <c r="BN31" i="412"/>
  <c r="BO31" i="412" s="1"/>
  <c r="BN32" i="412"/>
  <c r="BO32" i="412" s="1"/>
  <c r="BN33" i="412"/>
  <c r="BO33" i="412" s="1"/>
  <c r="BN34" i="412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43" i="412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59" i="412"/>
  <c r="BO59" i="412" s="1"/>
  <c r="BN60" i="412"/>
  <c r="BO60" i="412" s="1"/>
  <c r="BN61" i="412"/>
  <c r="BO61" i="412" s="1"/>
  <c r="BN62" i="412"/>
  <c r="BO62" i="412" s="1"/>
  <c r="BN63" i="412"/>
  <c r="BO63" i="412" s="1"/>
  <c r="BN64" i="412"/>
  <c r="BO64" i="412" s="1"/>
  <c r="BN65" i="412"/>
  <c r="BO65" i="412" s="1"/>
  <c r="BN66" i="412"/>
  <c r="BO66" i="412" s="1"/>
  <c r="BN67" i="412"/>
  <c r="BO67" i="412" s="1"/>
  <c r="BN68" i="412"/>
  <c r="BO68" i="412" s="1"/>
  <c r="BN69" i="412"/>
  <c r="BO69" i="412" s="1"/>
  <c r="BN70" i="412"/>
  <c r="BO70" i="412" s="1"/>
  <c r="BN71" i="412"/>
  <c r="BO71" i="412" s="1"/>
  <c r="BN72" i="412"/>
  <c r="BO72" i="412" s="1"/>
  <c r="BN73" i="412"/>
  <c r="BO73" i="412" s="1"/>
  <c r="BN74" i="412"/>
  <c r="BO74" i="412" s="1"/>
  <c r="BN75" i="412"/>
  <c r="BO75" i="412" s="1"/>
  <c r="BN76" i="412"/>
  <c r="BO76" i="412" s="1"/>
  <c r="BN77" i="412"/>
  <c r="BO77" i="412" s="1"/>
  <c r="BN78" i="412"/>
  <c r="BO78" i="412" s="1"/>
  <c r="BN79" i="412"/>
  <c r="BO79" i="412" s="1"/>
  <c r="BN80" i="412"/>
  <c r="BO80" i="412" s="1"/>
  <c r="BN81" i="412"/>
  <c r="BO81" i="412" s="1"/>
  <c r="BN82" i="412"/>
  <c r="BO82" i="412" s="1"/>
  <c r="BN83" i="412"/>
  <c r="BO83" i="412" s="1"/>
  <c r="BN84" i="412"/>
  <c r="BO84" i="412" s="1"/>
  <c r="BN85" i="412"/>
  <c r="BO85" i="412" s="1"/>
  <c r="BN86" i="412"/>
  <c r="BO86" i="412" s="1"/>
  <c r="BN87" i="412"/>
  <c r="BO87" i="412" s="1"/>
  <c r="BN88" i="412"/>
  <c r="BO88" i="412" s="1"/>
  <c r="BN89" i="412"/>
  <c r="BO89" i="412" s="1"/>
  <c r="BN90" i="412"/>
  <c r="BO90" i="412" s="1"/>
  <c r="BN91" i="412"/>
  <c r="BO91" i="412" s="1"/>
  <c r="BN92" i="412"/>
  <c r="BO92" i="412" s="1"/>
  <c r="BN93" i="412"/>
  <c r="BO93" i="412" s="1"/>
  <c r="BN94" i="412"/>
  <c r="BO94" i="412" s="1"/>
  <c r="BN95" i="412"/>
  <c r="BO95" i="412" s="1"/>
  <c r="BN96" i="412"/>
  <c r="BO96" i="412" s="1"/>
  <c r="BN97" i="412"/>
  <c r="BO97" i="412" s="1"/>
  <c r="BN98" i="412"/>
  <c r="BO98" i="412" s="1"/>
  <c r="BN99" i="412"/>
  <c r="BO99" i="412" s="1"/>
  <c r="BN100" i="412"/>
  <c r="BO100" i="412" s="1"/>
  <c r="BN101" i="412"/>
  <c r="BO101" i="412" s="1"/>
  <c r="BN102" i="412"/>
  <c r="BO102" i="412" s="1"/>
  <c r="BN103" i="412"/>
  <c r="BO103" i="412" s="1"/>
  <c r="BN104" i="412"/>
  <c r="BO104" i="412" s="1"/>
  <c r="BN105" i="412"/>
  <c r="BO105" i="412" s="1"/>
  <c r="BN106" i="412"/>
  <c r="BO106" i="412" s="1"/>
  <c r="BN107" i="412"/>
  <c r="BO107" i="412" s="1"/>
  <c r="BN108" i="412"/>
  <c r="BO108" i="412" s="1"/>
  <c r="BN109" i="412"/>
  <c r="BO109" i="412" s="1"/>
  <c r="BN110" i="412"/>
  <c r="BO110" i="412" s="1"/>
  <c r="BN111" i="412"/>
  <c r="BO111" i="412" s="1"/>
  <c r="BN112" i="412"/>
  <c r="BO112" i="412" s="1"/>
  <c r="BN113" i="412"/>
  <c r="BO113" i="412" s="1"/>
  <c r="BN114" i="412"/>
  <c r="BO114" i="412" s="1"/>
  <c r="BN115" i="412"/>
  <c r="BO115" i="412" s="1"/>
  <c r="BN116" i="412"/>
  <c r="BO116" i="412" s="1"/>
  <c r="BN117" i="412"/>
  <c r="BO117" i="412" s="1"/>
  <c r="BN118" i="412"/>
  <c r="BO118" i="412" s="1"/>
  <c r="BN119" i="412"/>
  <c r="BO119" i="412" s="1"/>
  <c r="BN120" i="412"/>
  <c r="BO120" i="412" s="1"/>
  <c r="BN121" i="412"/>
  <c r="BO121" i="412" s="1"/>
  <c r="BN122" i="412"/>
  <c r="BO122" i="412" s="1"/>
  <c r="BN123" i="412"/>
  <c r="BO123" i="412" s="1"/>
  <c r="BN124" i="412"/>
  <c r="BO124" i="412" s="1"/>
  <c r="BN125" i="412"/>
  <c r="BO125" i="412" s="1"/>
  <c r="BN126" i="412"/>
  <c r="BO126" i="412" s="1"/>
  <c r="BN127" i="412"/>
  <c r="BO127" i="412" s="1"/>
  <c r="BN128" i="412"/>
  <c r="BO128" i="412" s="1"/>
  <c r="BN129" i="412"/>
  <c r="BO129" i="412" s="1"/>
  <c r="BN130" i="412"/>
  <c r="BO130" i="412" s="1"/>
  <c r="BN131" i="412"/>
  <c r="BO131" i="412" s="1"/>
  <c r="BN132" i="412"/>
  <c r="BO132" i="412" s="1"/>
  <c r="BN133" i="412"/>
  <c r="BO133" i="412" s="1"/>
  <c r="BN134" i="412"/>
  <c r="BO134" i="412" s="1"/>
  <c r="BN135" i="412"/>
  <c r="BO135" i="412" s="1"/>
  <c r="BN136" i="412"/>
  <c r="BO136" i="412" s="1"/>
  <c r="BN137" i="412"/>
  <c r="BO137" i="412" s="1"/>
  <c r="BN138" i="412"/>
  <c r="BO138" i="412" s="1"/>
  <c r="BN139" i="412"/>
  <c r="BO139" i="412" s="1"/>
  <c r="BN140" i="412"/>
  <c r="BO140" i="412" s="1"/>
  <c r="BN141" i="412"/>
  <c r="BO141" i="412" s="1"/>
  <c r="BN142" i="412"/>
  <c r="BO142" i="412" s="1"/>
  <c r="BN143" i="412"/>
  <c r="BO143" i="412" s="1"/>
  <c r="BN144" i="412"/>
  <c r="BO144" i="412" s="1"/>
  <c r="BN145" i="412"/>
  <c r="BO145" i="412" s="1"/>
  <c r="BN146" i="412"/>
  <c r="BO146" i="412" s="1"/>
  <c r="BN147" i="412"/>
  <c r="BO147" i="412" s="1"/>
  <c r="BN148" i="412"/>
  <c r="BO148" i="412" s="1"/>
  <c r="BN149" i="412"/>
  <c r="BO149" i="412" s="1"/>
  <c r="BN150" i="412"/>
  <c r="BO150" i="412" s="1"/>
  <c r="BN151" i="412"/>
  <c r="BO151" i="412" s="1"/>
  <c r="BN152" i="412"/>
  <c r="BO152" i="412" s="1"/>
  <c r="BN153" i="412"/>
  <c r="BO153" i="412" s="1"/>
  <c r="BN154" i="412"/>
  <c r="BO154" i="412" s="1"/>
  <c r="BN155" i="412"/>
  <c r="BO155" i="412" s="1"/>
  <c r="BN156" i="412"/>
  <c r="BO156" i="412" s="1"/>
  <c r="BN157" i="412"/>
  <c r="BO157" i="412" s="1"/>
  <c r="BN158" i="412"/>
  <c r="BO158" i="412" s="1"/>
  <c r="BN159" i="412"/>
  <c r="BO159" i="412" s="1"/>
  <c r="BN160" i="412"/>
  <c r="BO160" i="412" s="1"/>
  <c r="BN161" i="412"/>
  <c r="BO161" i="412" s="1"/>
  <c r="BN162" i="412"/>
  <c r="BO162" i="412" s="1"/>
  <c r="BN163" i="412"/>
  <c r="BO163" i="412" s="1"/>
  <c r="BN164" i="412"/>
  <c r="BO164" i="412" s="1"/>
  <c r="BN165" i="412"/>
  <c r="BO165" i="412" s="1"/>
  <c r="BN166" i="412"/>
  <c r="BO166" i="412" s="1"/>
  <c r="BN167" i="412"/>
  <c r="BO167" i="412" s="1"/>
  <c r="BN168" i="412"/>
  <c r="BO168" i="412" s="1"/>
  <c r="BN169" i="412"/>
  <c r="BO169" i="412" s="1"/>
  <c r="BN170" i="412"/>
  <c r="BO170" i="412" s="1"/>
  <c r="BN171" i="412"/>
  <c r="BO171" i="412" s="1"/>
  <c r="BN172" i="412"/>
  <c r="BO172" i="412" s="1"/>
  <c r="BN173" i="412"/>
  <c r="BO173" i="412" s="1"/>
  <c r="BN174" i="412"/>
  <c r="BO174" i="412" s="1"/>
  <c r="BN175" i="412"/>
  <c r="BO175" i="412" s="1"/>
  <c r="BN176" i="412"/>
  <c r="BO176" i="412" s="1"/>
  <c r="BN177" i="412"/>
  <c r="BO177" i="412" s="1"/>
  <c r="BN178" i="412"/>
  <c r="BO178" i="412" s="1"/>
  <c r="BN179" i="412"/>
  <c r="BO179" i="412" s="1"/>
  <c r="BN180" i="412"/>
  <c r="BO180" i="412" s="1"/>
  <c r="BN181" i="412"/>
  <c r="BO181" i="412" s="1"/>
  <c r="BN182" i="412"/>
  <c r="BO182" i="412" s="1"/>
  <c r="BN183" i="412"/>
  <c r="BO183" i="412" s="1"/>
  <c r="BN184" i="412"/>
  <c r="BO184" i="412" s="1"/>
  <c r="BN185" i="412"/>
  <c r="BO185" i="412" s="1"/>
  <c r="BN186" i="412"/>
  <c r="BO186" i="412" s="1"/>
  <c r="BN187" i="412"/>
  <c r="BO187" i="412" s="1"/>
  <c r="BN188" i="412"/>
  <c r="BO188" i="412" s="1"/>
  <c r="BN189" i="412"/>
  <c r="BO189" i="412" s="1"/>
  <c r="BN190" i="412"/>
  <c r="BO190" i="412" s="1"/>
  <c r="BN191" i="412"/>
  <c r="BO191" i="412" s="1"/>
  <c r="BN192" i="412"/>
  <c r="BO192" i="412" s="1"/>
  <c r="BN193" i="412"/>
  <c r="BO193" i="412" s="1"/>
  <c r="BN194" i="412"/>
  <c r="BO194" i="412" s="1"/>
  <c r="BN195" i="412"/>
  <c r="BO195" i="412" s="1"/>
  <c r="BN196" i="412"/>
  <c r="BO196" i="412" s="1"/>
  <c r="BN197" i="412"/>
  <c r="BO197" i="412" s="1"/>
  <c r="BN198" i="412"/>
  <c r="BO198" i="412" s="1"/>
  <c r="BN199" i="412"/>
  <c r="BO199" i="412" s="1"/>
  <c r="BN200" i="412"/>
  <c r="BO200" i="412" s="1"/>
  <c r="BN201" i="412"/>
  <c r="BO201" i="412" s="1"/>
  <c r="BN202" i="412"/>
  <c r="BO202" i="412" s="1"/>
  <c r="BN203" i="412"/>
  <c r="BO203" i="412" s="1"/>
  <c r="BN204" i="412"/>
  <c r="BO204" i="412" s="1"/>
  <c r="BN205" i="412"/>
  <c r="BO205" i="412" s="1"/>
  <c r="BN206" i="412"/>
  <c r="BO206" i="412" s="1"/>
  <c r="BN207" i="412"/>
  <c r="BO207" i="412" s="1"/>
  <c r="BN208" i="412"/>
  <c r="BO208" i="412" s="1"/>
  <c r="BN209" i="412"/>
  <c r="BO209" i="412" s="1"/>
  <c r="BN210" i="412"/>
  <c r="BO210" i="412" s="1"/>
  <c r="BN211" i="412"/>
  <c r="BO211" i="412" s="1"/>
  <c r="BN212" i="412"/>
  <c r="BO212" i="412" s="1"/>
  <c r="BN213" i="412"/>
  <c r="BO213" i="412" s="1"/>
  <c r="BN214" i="412"/>
  <c r="BO214" i="412" s="1"/>
  <c r="BN215" i="412"/>
  <c r="BO215" i="412" s="1"/>
  <c r="BN216" i="412"/>
  <c r="BO216" i="412" s="1"/>
  <c r="BN217" i="412"/>
  <c r="BO217" i="412" s="1"/>
  <c r="BN218" i="412"/>
  <c r="BO218" i="412" s="1"/>
  <c r="BN219" i="412"/>
  <c r="BO219" i="412" s="1"/>
  <c r="BN220" i="412"/>
  <c r="BO220" i="412" s="1"/>
  <c r="BN221" i="412"/>
  <c r="BO221" i="412" s="1"/>
  <c r="BN222" i="412"/>
  <c r="BO222" i="412" s="1"/>
  <c r="BN223" i="412"/>
  <c r="BO223" i="412" s="1"/>
  <c r="BN224" i="412"/>
  <c r="BO224" i="412" s="1"/>
  <c r="BN225" i="412"/>
  <c r="BO225" i="412" s="1"/>
  <c r="BN226" i="412"/>
  <c r="BO226" i="412" s="1"/>
  <c r="BN227" i="412"/>
  <c r="BO227" i="412" s="1"/>
  <c r="BN228" i="412"/>
  <c r="BO228" i="412" s="1"/>
  <c r="BN229" i="412"/>
  <c r="BO229" i="412" s="1"/>
  <c r="BN230" i="412"/>
  <c r="BO230" i="412" s="1"/>
  <c r="BN231" i="412"/>
  <c r="BO231" i="412" s="1"/>
  <c r="BN232" i="412"/>
  <c r="BO232" i="412" s="1"/>
  <c r="BN233" i="412"/>
  <c r="BO233" i="412" s="1"/>
  <c r="BN234" i="412"/>
  <c r="BO234" i="412" s="1"/>
  <c r="BN235" i="412"/>
  <c r="BO235" i="412" s="1"/>
  <c r="BN236" i="412"/>
  <c r="BO236" i="412" s="1"/>
  <c r="BN237" i="412"/>
  <c r="BO237" i="412" s="1"/>
  <c r="BN238" i="412"/>
  <c r="BO238" i="412" s="1"/>
  <c r="BN239" i="412"/>
  <c r="BO239" i="412" s="1"/>
  <c r="BN240" i="412"/>
  <c r="BO240" i="412" s="1"/>
  <c r="BN241" i="412"/>
  <c r="BO241" i="412" s="1"/>
  <c r="BN242" i="412"/>
  <c r="BO242" i="412" s="1"/>
  <c r="BN243" i="412"/>
  <c r="BO243" i="412" s="1"/>
  <c r="BN244" i="412"/>
  <c r="BO244" i="412" s="1"/>
  <c r="BN245" i="412"/>
  <c r="BO245" i="412" s="1"/>
  <c r="BN246" i="412"/>
  <c r="BO246" i="412" s="1"/>
  <c r="BN247" i="412"/>
  <c r="BO247" i="412" s="1"/>
  <c r="BN248" i="412"/>
  <c r="BO248" i="412" s="1"/>
  <c r="BN249" i="412"/>
  <c r="BO249" i="412" s="1"/>
  <c r="BN250" i="412"/>
  <c r="BO250" i="412" s="1"/>
  <c r="BN251" i="412"/>
  <c r="BO251" i="412" s="1"/>
  <c r="BN252" i="412"/>
  <c r="BO252" i="412" s="1"/>
  <c r="BN253" i="412"/>
  <c r="BO253" i="412" s="1"/>
  <c r="BN254" i="412"/>
  <c r="BO254" i="412" s="1"/>
  <c r="BN255" i="412"/>
  <c r="BO255" i="412" s="1"/>
  <c r="BN256" i="412"/>
  <c r="BO256" i="412" s="1"/>
  <c r="BN257" i="412"/>
  <c r="BO257" i="412" s="1"/>
  <c r="BN258" i="412"/>
  <c r="BO258" i="412" s="1"/>
  <c r="BN259" i="412"/>
  <c r="BO259" i="412" s="1"/>
  <c r="BN260" i="412"/>
  <c r="BO260" i="412" s="1"/>
  <c r="BN261" i="412"/>
  <c r="BO261" i="412" s="1"/>
  <c r="BN262" i="412"/>
  <c r="BO262" i="412" s="1"/>
  <c r="BN263" i="412"/>
  <c r="BO263" i="412" s="1"/>
  <c r="BN264" i="412"/>
  <c r="BO264" i="412" s="1"/>
  <c r="BN265" i="412"/>
  <c r="BO265" i="412" s="1"/>
  <c r="BN266" i="412"/>
  <c r="BO266" i="412" s="1"/>
  <c r="BN267" i="412"/>
  <c r="BO267" i="412" s="1"/>
  <c r="BN268" i="412"/>
  <c r="BO268" i="412" s="1"/>
  <c r="BN269" i="412"/>
  <c r="BO269" i="412" s="1"/>
  <c r="BN270" i="412"/>
  <c r="BO270" i="412" s="1"/>
  <c r="BN271" i="412"/>
  <c r="BO271" i="412" s="1"/>
  <c r="BN272" i="412"/>
  <c r="BO272" i="412" s="1"/>
  <c r="BN273" i="412"/>
  <c r="BO273" i="412" s="1"/>
  <c r="BN274" i="412"/>
  <c r="BO274" i="412" s="1"/>
  <c r="BN275" i="412"/>
  <c r="BO275" i="412" s="1"/>
  <c r="BN276" i="412"/>
  <c r="BO276" i="412" s="1"/>
  <c r="BN277" i="412"/>
  <c r="BO277" i="412" s="1"/>
  <c r="BN278" i="412"/>
  <c r="BO278" i="412" s="1"/>
  <c r="BN279" i="412"/>
  <c r="BO279" i="412" s="1"/>
  <c r="BN280" i="412"/>
  <c r="BO280" i="412" s="1"/>
  <c r="BN281" i="412"/>
  <c r="BO281" i="412" s="1"/>
  <c r="BN282" i="412"/>
  <c r="BO282" i="412" s="1"/>
  <c r="BN283" i="412"/>
  <c r="BO283" i="412" s="1"/>
  <c r="BN284" i="412"/>
  <c r="BO284" i="412" s="1"/>
  <c r="BN285" i="412"/>
  <c r="BO285" i="412" s="1"/>
  <c r="BN286" i="412"/>
  <c r="BO286" i="412" s="1"/>
  <c r="BN287" i="412"/>
  <c r="BO287" i="412" s="1"/>
  <c r="BN288" i="412"/>
  <c r="BO288" i="412" s="1"/>
  <c r="BN289" i="412"/>
  <c r="BO289" i="412" s="1"/>
  <c r="BN290" i="412"/>
  <c r="BO290" i="412" s="1"/>
  <c r="BN291" i="412"/>
  <c r="BO291" i="412" s="1"/>
  <c r="BN292" i="412"/>
  <c r="BO292" i="412" s="1"/>
  <c r="BN293" i="412"/>
  <c r="BO293" i="412" s="1"/>
  <c r="BN294" i="412"/>
  <c r="BO294" i="412" s="1"/>
  <c r="BN295" i="412"/>
  <c r="BO295" i="412" s="1"/>
  <c r="BN296" i="412"/>
  <c r="BO296" i="412" s="1"/>
  <c r="BN297" i="412"/>
  <c r="BO297" i="412" s="1"/>
  <c r="BN298" i="412"/>
  <c r="BO298" i="412" s="1"/>
  <c r="BN299" i="412"/>
  <c r="BO299" i="412" s="1"/>
  <c r="BN300" i="412"/>
  <c r="BO300" i="412" s="1"/>
  <c r="BN301" i="412"/>
  <c r="BO301" i="412" s="1"/>
  <c r="BN302" i="412"/>
  <c r="BO302" i="412" s="1"/>
  <c r="BN303" i="412"/>
  <c r="BO303" i="412" s="1"/>
  <c r="BN304" i="412"/>
  <c r="BO304" i="412" s="1"/>
  <c r="BN305" i="412"/>
  <c r="BO305" i="412" s="1"/>
  <c r="BN306" i="412"/>
  <c r="BO306" i="412" s="1"/>
  <c r="BN307" i="412"/>
  <c r="BO307" i="412" s="1"/>
  <c r="BN308" i="412"/>
  <c r="BO308" i="412" s="1"/>
  <c r="BN309" i="412"/>
  <c r="BO309" i="412" s="1"/>
  <c r="BN310" i="412"/>
  <c r="BO310" i="412" s="1"/>
  <c r="BN311" i="412"/>
  <c r="BO311" i="412" s="1"/>
  <c r="BN312" i="412"/>
  <c r="BO312" i="412" s="1"/>
  <c r="BN313" i="412"/>
  <c r="BO313" i="412" s="1"/>
  <c r="BN314" i="412"/>
  <c r="BO314" i="412" s="1"/>
  <c r="BN315" i="412"/>
  <c r="BO315" i="412" s="1"/>
  <c r="BN316" i="412"/>
  <c r="BO316" i="412" s="1"/>
  <c r="BN317" i="412"/>
  <c r="BO317" i="412" s="1"/>
  <c r="BN318" i="412"/>
  <c r="BO318" i="412" s="1"/>
  <c r="BN319" i="412"/>
  <c r="BO319" i="412" s="1"/>
  <c r="BN320" i="412"/>
  <c r="BO320" i="412" s="1"/>
  <c r="BN321" i="412"/>
  <c r="BO321" i="412" s="1"/>
  <c r="BN322" i="412"/>
  <c r="BO322" i="412" s="1"/>
  <c r="BN323" i="412"/>
  <c r="BO323" i="412" s="1"/>
  <c r="BN324" i="412"/>
  <c r="BO324" i="412" s="1"/>
  <c r="BN325" i="412"/>
  <c r="BO325" i="412" s="1"/>
  <c r="BN326" i="412"/>
  <c r="BO326" i="412" s="1"/>
  <c r="BN327" i="412"/>
  <c r="BO327" i="412" s="1"/>
  <c r="BN328" i="412"/>
  <c r="BO328" i="412" s="1"/>
  <c r="BN329" i="412"/>
  <c r="BO329" i="412" s="1"/>
  <c r="BN330" i="412"/>
  <c r="BO330" i="412" s="1"/>
  <c r="BN331" i="412"/>
  <c r="BO331" i="412" s="1"/>
  <c r="BN332" i="412"/>
  <c r="BO332" i="412" s="1"/>
  <c r="BN333" i="412"/>
  <c r="BO333" i="412" s="1"/>
  <c r="BN334" i="412"/>
  <c r="BO334" i="412" s="1"/>
  <c r="BN335" i="412"/>
  <c r="BO335" i="412" s="1"/>
  <c r="BN336" i="412"/>
  <c r="BO336" i="412" s="1"/>
  <c r="BN337" i="412"/>
  <c r="BO337" i="412" s="1"/>
  <c r="BN338" i="412"/>
  <c r="BO338" i="412" s="1"/>
  <c r="BN339" i="412"/>
  <c r="BO339" i="412" s="1"/>
  <c r="BN340" i="412"/>
  <c r="BO340" i="412" s="1"/>
  <c r="BN341" i="412"/>
  <c r="BO341" i="412" s="1"/>
  <c r="BN342" i="412"/>
  <c r="BO342" i="412" s="1"/>
  <c r="BN343" i="412"/>
  <c r="BO343" i="412" s="1"/>
  <c r="BN344" i="412"/>
  <c r="BO344" i="412" s="1"/>
  <c r="BN2" i="412"/>
  <c r="BN477" i="412" l="1"/>
  <c r="BO2" i="412"/>
  <c r="BO477" i="412" s="1"/>
</calcChain>
</file>

<file path=xl/sharedStrings.xml><?xml version="1.0" encoding="utf-8"?>
<sst xmlns="http://schemas.openxmlformats.org/spreadsheetml/2006/main" count="3397" uniqueCount="539">
  <si>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</si>
  <si>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</si>
  <si>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</si>
  <si>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</si>
  <si>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</si>
  <si>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</si>
  <si>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</si>
  <si>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</si>
  <si>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</si>
  <si>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</si>
  <si>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12세 이상 이용가능</t>
  </si>
  <si>
    <t>스토리위즈</t>
  </si>
  <si>
    <t>김광수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</si>
  <si>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</si>
  <si>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</si>
  <si>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</si>
  <si>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</si>
  <si>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</si>
  <si>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</si>
  <si>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</si>
  <si>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</si>
  <si>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</si>
  <si>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</si>
  <si>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</si>
  <si>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합계</t>
  </si>
  <si>
    <t>순매출(합계-수수료)</t>
    <phoneticPr fontId="20" type="noConversion"/>
  </si>
  <si>
    <t>SW 매출</t>
    <phoneticPr fontId="20" type="noConversion"/>
  </si>
  <si>
    <t>앱마켓수수료</t>
  </si>
  <si>
    <t>나이제한</t>
    <phoneticPr fontId="20" type="noConversion"/>
  </si>
  <si>
    <t>시리즈APP</t>
    <phoneticPr fontId="20" type="noConversion"/>
  </si>
  <si>
    <t>구원, 그 잔혹함에 대하여 [선공개]</t>
  </si>
  <si>
    <t>스토리위즈_1</t>
  </si>
  <si>
    <t>한보연</t>
  </si>
  <si>
    <t>블레슈</t>
  </si>
  <si>
    <t>2022.06.02</t>
  </si>
  <si>
    <t>디버프 마스터</t>
  </si>
  <si>
    <t>담화공</t>
  </si>
  <si>
    <t>2022.05.04</t>
  </si>
  <si>
    <t>위대한 가문의 망나니가 되다 [독점]</t>
  </si>
  <si>
    <t>바나바다</t>
  </si>
  <si>
    <t>2022.04.17</t>
  </si>
  <si>
    <t>나 혼자 스킬융합 [독점]</t>
  </si>
  <si>
    <t>붕어빵</t>
  </si>
  <si>
    <t>2022.05.06</t>
  </si>
  <si>
    <t>회귀의 전설 [단행본]</t>
  </si>
  <si>
    <t>2021.02.19</t>
  </si>
  <si>
    <t>최종 보스 : 빛을 향해 달리는 그림자 [독점]</t>
  </si>
  <si>
    <t>무장</t>
  </si>
  <si>
    <t>2021.03.06</t>
  </si>
  <si>
    <t>사랑도 없이 결혼</t>
  </si>
  <si>
    <t>차홍주</t>
  </si>
  <si>
    <t>도서출판 태랑</t>
  </si>
  <si>
    <t>2020.12.07</t>
  </si>
  <si>
    <t>갓 오브 블랙필드</t>
  </si>
  <si>
    <t>2017.02.27</t>
  </si>
  <si>
    <t>신입사원이 이렇게 일을 잘했다고? [독점]</t>
  </si>
  <si>
    <t>왕십리글쟁이</t>
  </si>
  <si>
    <t>결혼의 함정 [선공개]</t>
  </si>
  <si>
    <t>블랙커피</t>
  </si>
  <si>
    <t>2022.05.10</t>
  </si>
  <si>
    <t>로드 오브 머니</t>
  </si>
  <si>
    <t>2018.08.02</t>
  </si>
  <si>
    <t>갓 오브 블랙필드 [개정판][단행본]</t>
  </si>
  <si>
    <t>2020.06.24</t>
  </si>
  <si>
    <t>어쩌다 계약 아내 [선공개]</t>
  </si>
  <si>
    <t>아슈크림</t>
  </si>
  <si>
    <t>2022.03.21</t>
  </si>
  <si>
    <t>전생자가 용병단장으로 살아가는 법 [독점]</t>
  </si>
  <si>
    <t>새우깡조아</t>
  </si>
  <si>
    <t>바랑둥이 내 남자</t>
  </si>
  <si>
    <t>밈스</t>
  </si>
  <si>
    <t>2022.05.25</t>
  </si>
  <si>
    <t>원코인 게이머 아포칼립스</t>
  </si>
  <si>
    <t>이한애비</t>
  </si>
  <si>
    <t>2022.03.23</t>
  </si>
  <si>
    <t>다정할수록 불순한 [외전 선공개]</t>
  </si>
  <si>
    <t>은지유</t>
  </si>
  <si>
    <t>2022.04.04</t>
  </si>
  <si>
    <t>형사의 게임</t>
  </si>
  <si>
    <t>2017.04.11</t>
  </si>
  <si>
    <t>간신이 나라를 살림</t>
  </si>
  <si>
    <t>루이세</t>
  </si>
  <si>
    <t>2020.01.22</t>
  </si>
  <si>
    <t>BJ소드마스터 [독점]</t>
  </si>
  <si>
    <t>이동열</t>
  </si>
  <si>
    <t>2020.07.24</t>
  </si>
  <si>
    <t>회귀자의 슬기로운 복수생활 [독점]</t>
  </si>
  <si>
    <t>구공</t>
  </si>
  <si>
    <t>2022.03.30</t>
  </si>
  <si>
    <t>위험한 신혼부부 [독점]</t>
  </si>
  <si>
    <t>박수정(방울마마)</t>
  </si>
  <si>
    <t>2016.07.20</t>
  </si>
  <si>
    <t>돌아온 막내 영애님을 조심하세요</t>
  </si>
  <si>
    <t>윈델</t>
  </si>
  <si>
    <t>2022.05.13</t>
  </si>
  <si>
    <t>기사가문 망나니는 10클래스</t>
  </si>
  <si>
    <t>예로나</t>
  </si>
  <si>
    <t>2020.03.11</t>
  </si>
  <si>
    <t>공작가의 남루한 신부</t>
  </si>
  <si>
    <t>무성매직</t>
  </si>
  <si>
    <t>2021.04.08</t>
  </si>
  <si>
    <t>로드 오브 머니 [단행본]</t>
  </si>
  <si>
    <t>2019.08.05</t>
  </si>
  <si>
    <t>절대자의 귀환</t>
  </si>
  <si>
    <t>장유진</t>
  </si>
  <si>
    <t>2021.01.19</t>
  </si>
  <si>
    <t>SSS급 마왕의 귀환</t>
  </si>
  <si>
    <t>구유</t>
  </si>
  <si>
    <t>2019.06.14</t>
  </si>
  <si>
    <t>슈퍼스타의 비밀 어플</t>
  </si>
  <si>
    <t>2022.03.11</t>
  </si>
  <si>
    <t>그라운드의 지배자</t>
  </si>
  <si>
    <t>2016.05.30</t>
  </si>
  <si>
    <t>삼국지 호접몽전 [단행본]</t>
  </si>
  <si>
    <t>청빙</t>
  </si>
  <si>
    <t>2020.05.05</t>
  </si>
  <si>
    <t>말빨</t>
  </si>
  <si>
    <t>2020.02.12</t>
  </si>
  <si>
    <t>그라운드의 지배자 [단행본]</t>
  </si>
  <si>
    <t>2017.09.06</t>
  </si>
  <si>
    <t>시크릿 맨 [개정판][삽화본]</t>
  </si>
  <si>
    <t>2020.04.10</t>
  </si>
  <si>
    <t>격렬하게, 다시 한번</t>
  </si>
  <si>
    <t>허니레몬</t>
  </si>
  <si>
    <t>2019.07.24</t>
  </si>
  <si>
    <t>임신부터 할까요?</t>
  </si>
  <si>
    <t>온서</t>
  </si>
  <si>
    <t>2021.03.26</t>
  </si>
  <si>
    <t>문답무용 - 삼국지 유비의 모사가 되었다</t>
  </si>
  <si>
    <t>2021.02.24</t>
  </si>
  <si>
    <t>다정할수록 불순한 [단행본]</t>
  </si>
  <si>
    <t>2022.05.20</t>
  </si>
  <si>
    <t>게임 속 유닛 [단행본]</t>
  </si>
  <si>
    <t>찬동</t>
  </si>
  <si>
    <t>2021.01.21</t>
  </si>
  <si>
    <t>뜨거운 항해</t>
  </si>
  <si>
    <t>2021.08.16</t>
  </si>
  <si>
    <t>화산검제 [은천검제 2부 연재]</t>
  </si>
  <si>
    <t>2020.03.24</t>
  </si>
  <si>
    <t>흔적</t>
  </si>
  <si>
    <t>꽃잠</t>
  </si>
  <si>
    <t>망작 리메이커 [독점]</t>
  </si>
  <si>
    <t>덕킹</t>
  </si>
  <si>
    <t>2021.08.03</t>
  </si>
  <si>
    <t>월급 주는 남편</t>
  </si>
  <si>
    <t>블 루 스 카 이</t>
  </si>
  <si>
    <t>2020.04.13</t>
  </si>
  <si>
    <t>형사의 게임 [단행본]</t>
  </si>
  <si>
    <t>2017.10.27</t>
  </si>
  <si>
    <t>야쿠자가 사랑을 한다면 [개정판][BL]</t>
  </si>
  <si>
    <t>모리미</t>
  </si>
  <si>
    <t>2019.12.05</t>
  </si>
  <si>
    <t>구애</t>
  </si>
  <si>
    <t>셔틀</t>
  </si>
  <si>
    <t>2019.11.22</t>
  </si>
  <si>
    <t>게임 속 유닛</t>
  </si>
  <si>
    <t>2020.08.18</t>
  </si>
  <si>
    <t>그땐 미처</t>
  </si>
  <si>
    <t>2018.12.26</t>
  </si>
  <si>
    <t>적왕의 깊은 밤</t>
  </si>
  <si>
    <t>엘리신</t>
  </si>
  <si>
    <t>2020.11.02</t>
  </si>
  <si>
    <t>기어이 사랑</t>
  </si>
  <si>
    <t>2020.01.31</t>
  </si>
  <si>
    <t>사랑을 놓치고</t>
  </si>
  <si>
    <t>2018.11.09</t>
  </si>
  <si>
    <t>SSS급 마왕의 귀환 [단행본]</t>
  </si>
  <si>
    <t>2020.03.19</t>
  </si>
  <si>
    <t>이과생 둘이 회귀했다 [단행본]</t>
  </si>
  <si>
    <t>하이후</t>
  </si>
  <si>
    <t>라스트 서바이버 : 진화로 살아남아라!</t>
  </si>
  <si>
    <t>친구의 고백</t>
  </si>
  <si>
    <t>빵양이</t>
  </si>
  <si>
    <t>2019.02.01</t>
  </si>
  <si>
    <t>내 남자 길들이기</t>
  </si>
  <si>
    <t>2020.11.16</t>
  </si>
  <si>
    <t>칵테일로 레벨업 [독점]</t>
  </si>
  <si>
    <t>서강후</t>
  </si>
  <si>
    <t>2021.11.01</t>
  </si>
  <si>
    <t>너는 내 숨결이니까</t>
  </si>
  <si>
    <t>2020.09.14</t>
  </si>
  <si>
    <t>On the air [BL]</t>
  </si>
  <si>
    <t>DION(디온)</t>
  </si>
  <si>
    <t>2021.02.03</t>
  </si>
  <si>
    <t>영원한 1위 [BL][단행본]</t>
  </si>
  <si>
    <t>羽宸寰(Uchenhu), 林珮瑜(Lin Peiyu)</t>
  </si>
  <si>
    <t>2022.05.02</t>
  </si>
  <si>
    <t>처음이어도 좋아</t>
  </si>
  <si>
    <t>테레자</t>
  </si>
  <si>
    <t>2020.05.18</t>
  </si>
  <si>
    <t>이과생 둘이 회귀했다</t>
  </si>
  <si>
    <t>2020.07.10</t>
  </si>
  <si>
    <t>컬러 러쉬 [BL]</t>
  </si>
  <si>
    <t>세상</t>
  </si>
  <si>
    <t>2021.04.07</t>
  </si>
  <si>
    <t>회귀했는데 FFF급 부두술사 [독점]</t>
  </si>
  <si>
    <t>빡선생</t>
  </si>
  <si>
    <t>2021.11.17</t>
  </si>
  <si>
    <t>나 혼자만 일일 보상</t>
  </si>
  <si>
    <t>2018.12.20</t>
  </si>
  <si>
    <t>욕망에 눈뜨다</t>
  </si>
  <si>
    <t>2020.05.15</t>
  </si>
  <si>
    <t>이 비서 다리 좀 치워 [BL]</t>
  </si>
  <si>
    <t>2019.05.16</t>
  </si>
  <si>
    <t>살 떨리는 동거</t>
  </si>
  <si>
    <t>2021.01.14</t>
  </si>
  <si>
    <t>도폐풍운록</t>
  </si>
  <si>
    <t>2021.01.29</t>
  </si>
  <si>
    <t>성군이십니다 [독점]</t>
  </si>
  <si>
    <t>이준영</t>
  </si>
  <si>
    <t>2019.04.17</t>
  </si>
  <si>
    <t>2위의 역습 [BL][단행본]</t>
  </si>
  <si>
    <t>사랑한다 윤혜영 [개정판][삽화본]</t>
  </si>
  <si>
    <t>2021.01.18</t>
  </si>
  <si>
    <t>어쩌다 계약 아내 [단행본]</t>
  </si>
  <si>
    <t>2021.09.17</t>
  </si>
  <si>
    <t>리얼 머니 [독점]</t>
  </si>
  <si>
    <t>진문</t>
  </si>
  <si>
    <t>2020.06.03</t>
  </si>
  <si>
    <t>선유문주 [단행본]</t>
  </si>
  <si>
    <t>2022.01.27</t>
  </si>
  <si>
    <t>도폐풍운록 [단행본]</t>
  </si>
  <si>
    <t>2020.10.29</t>
  </si>
  <si>
    <t>내 사랑 스토커</t>
  </si>
  <si>
    <t>디버스 대도서관</t>
  </si>
  <si>
    <t>2019.04.01</t>
  </si>
  <si>
    <t>네가 뭔데 그러세요 [BL]</t>
  </si>
  <si>
    <t>주이서</t>
  </si>
  <si>
    <t>2021.01.13</t>
  </si>
  <si>
    <t>우리야, 이리온</t>
  </si>
  <si>
    <t>김온별(러브마인)</t>
  </si>
  <si>
    <t>2022.04.08</t>
  </si>
  <si>
    <t>베리타 (verità)</t>
  </si>
  <si>
    <t>2021.04.02</t>
  </si>
  <si>
    <t>강호유정</t>
  </si>
  <si>
    <t>2020.08.25</t>
  </si>
  <si>
    <t>2020.09.08</t>
  </si>
  <si>
    <t>버그 걸린 드래곤 [독점]</t>
  </si>
  <si>
    <t>폴딩</t>
  </si>
  <si>
    <t>2021.10.15</t>
  </si>
  <si>
    <t>올마스터가 된 비전서고 [독점]</t>
  </si>
  <si>
    <t>글면증</t>
  </si>
  <si>
    <t>2021.11.18</t>
  </si>
  <si>
    <t>나는 너를, 너는 나를 [BL]</t>
  </si>
  <si>
    <t>라비니안느</t>
  </si>
  <si>
    <t>2019.03.07</t>
  </si>
  <si>
    <t>나쁜 이혼 [선공개]</t>
  </si>
  <si>
    <t>진숙</t>
  </si>
  <si>
    <t>2021.03.02</t>
  </si>
  <si>
    <t>비서의 유혹</t>
  </si>
  <si>
    <t>2020.02.14</t>
  </si>
  <si>
    <t>기사가문 망나니는 10클래스 [단행본]</t>
  </si>
  <si>
    <t>2020.08.26</t>
  </si>
  <si>
    <t>컬러 러쉬 [BL][단행본]</t>
  </si>
  <si>
    <t>2021.04.13</t>
  </si>
  <si>
    <t>강호유정 [단행본]</t>
  </si>
  <si>
    <t>131100761</t>
  </si>
  <si>
    <t>2013.11.15</t>
  </si>
  <si>
    <t>유성하소월 [1~83화]</t>
  </si>
  <si>
    <t>se1392001</t>
  </si>
  <si>
    <t>2019.01.31</t>
  </si>
  <si>
    <t>사랑, 흘러간다 [BL]</t>
  </si>
  <si>
    <t>사냥:꿈 [BL]</t>
  </si>
  <si>
    <t>2018.02.22</t>
  </si>
  <si>
    <t>선유문주</t>
  </si>
  <si>
    <t>짝사랑 이별곡 [BL]</t>
  </si>
  <si>
    <t>2019.01.24</t>
  </si>
  <si>
    <t>던전 공략 LIVE</t>
  </si>
  <si>
    <t>2018.06.20</t>
  </si>
  <si>
    <t>슈퍼스타의 비밀 어플 [단행본]</t>
  </si>
  <si>
    <t>2022.03.10</t>
  </si>
  <si>
    <t>영원한 1위 &amp; 2위의 역습 [BL]</t>
  </si>
  <si>
    <t>2022.05.19</t>
  </si>
  <si>
    <t>트리거 [BL]</t>
  </si>
  <si>
    <t>2020.06.05</t>
  </si>
  <si>
    <t>내 안에 흑염룡이 산다! [독점]</t>
  </si>
  <si>
    <t>리세마라</t>
  </si>
  <si>
    <t>2022.02.10</t>
  </si>
  <si>
    <t>여왕 아델</t>
  </si>
  <si>
    <t>이린비</t>
  </si>
  <si>
    <t>2018.01.25</t>
  </si>
  <si>
    <t>위층 아이 아빠 [BL]</t>
  </si>
  <si>
    <t>2019.03.05</t>
  </si>
  <si>
    <t>은천검제(2부 화산검제) [단행본]</t>
  </si>
  <si>
    <t>리얼 머니 [단행본]</t>
  </si>
  <si>
    <t>2020.12.11</t>
  </si>
  <si>
    <t>골 때리는 사랑 [BL]</t>
  </si>
  <si>
    <t>2020.04.17</t>
  </si>
  <si>
    <t>낚싯대 하나로 세계최강 [독점]</t>
  </si>
  <si>
    <t>단팥크림빵7</t>
  </si>
  <si>
    <t>2021.08.20</t>
  </si>
  <si>
    <t>궁성</t>
  </si>
  <si>
    <t>스내치</t>
  </si>
  <si>
    <t>2020.12.21</t>
  </si>
  <si>
    <t>신인류 좀비의 아포칼립스 [독점]</t>
  </si>
  <si>
    <t>모험왕선우</t>
  </si>
  <si>
    <t>2021.12.08</t>
  </si>
  <si>
    <t>푸르디푸른 내 달빛</t>
  </si>
  <si>
    <t>모리미J</t>
  </si>
  <si>
    <t>2020.11.30</t>
  </si>
  <si>
    <t>그 여름 네 입술</t>
  </si>
  <si>
    <t>레드트러블</t>
  </si>
  <si>
    <t>그땐 그랬었다 [BL]</t>
  </si>
  <si>
    <t>2018.09.07</t>
  </si>
  <si>
    <t>완벽한 계략 남편</t>
  </si>
  <si>
    <t>2021.01.04</t>
  </si>
  <si>
    <t>얼어 죽어도, 겨울</t>
  </si>
  <si>
    <t>진새벽</t>
  </si>
  <si>
    <t>2020.11.27</t>
  </si>
  <si>
    <t>야릇한 그놈</t>
  </si>
  <si>
    <t>해달화영</t>
  </si>
  <si>
    <t>2020.07.22</t>
  </si>
  <si>
    <t>격렬하게, 다시 한번 [단행본]</t>
  </si>
  <si>
    <t>2020.03.20</t>
  </si>
  <si>
    <t>그 알파 내 오메가 만들기 [BL]</t>
  </si>
  <si>
    <t>2018.09.20</t>
  </si>
  <si>
    <t>나 혼자만 일일 보상 [단행본]</t>
  </si>
  <si>
    <t>2020.03.05</t>
  </si>
  <si>
    <t>욕과 정이 깨어날 때</t>
  </si>
  <si>
    <t>김너울</t>
  </si>
  <si>
    <t>2019.12.27</t>
  </si>
  <si>
    <t>어쩌다 계약 아내 외전 [단행본]</t>
  </si>
  <si>
    <t>두 형사 [개정판][삽화본]</t>
  </si>
  <si>
    <t>2021.03.12</t>
  </si>
  <si>
    <t>더 라스트 웨어울프</t>
  </si>
  <si>
    <t>2020.11.11</t>
  </si>
  <si>
    <t>아프오 안 아프오 나는 [BL]</t>
  </si>
  <si>
    <t>내 남편의 열렬한 구애</t>
  </si>
  <si>
    <t>아이리스</t>
  </si>
  <si>
    <t>2019.12.09</t>
  </si>
  <si>
    <t>구애 [단행본]</t>
  </si>
  <si>
    <t>19세 이상 이용가능</t>
  </si>
  <si>
    <t>충동적인 결혼</t>
  </si>
  <si>
    <t>2019.11.29</t>
  </si>
  <si>
    <t>SOTUS [BL][단행본]</t>
  </si>
  <si>
    <t>BitterSweet</t>
  </si>
  <si>
    <t>본능에 눈뜨다 [개정증보판]</t>
  </si>
  <si>
    <t>2019.11.15</t>
  </si>
  <si>
    <t>절대자의 귀환 [단행본]</t>
  </si>
  <si>
    <t>2021.04.15</t>
  </si>
  <si>
    <t>사랑도 없이 결혼 [단행본]</t>
  </si>
  <si>
    <t>아래층에 전남편이 산다</t>
  </si>
  <si>
    <t>2021.10.01</t>
  </si>
  <si>
    <t>우리 [개정판][삽화본]</t>
  </si>
  <si>
    <t>2020.09.28</t>
  </si>
  <si>
    <t>호랑이 신을 길들여 버렸다</t>
  </si>
  <si>
    <t>부엉이콩</t>
  </si>
  <si>
    <t>2021.11.19</t>
  </si>
  <si>
    <t>꿈속의 보스</t>
  </si>
  <si>
    <t>2021.01.12</t>
  </si>
  <si>
    <t>나만의 스타</t>
  </si>
  <si>
    <t>2018.11.07</t>
  </si>
  <si>
    <t>게이 하우스 [BL]</t>
  </si>
  <si>
    <t>빨강뽀뽀</t>
  </si>
  <si>
    <t>2019.06.26</t>
  </si>
  <si>
    <t>보좌관</t>
  </si>
  <si>
    <t>2019.04.11</t>
  </si>
  <si>
    <t>유성하소월 [84~122화]</t>
  </si>
  <si>
    <t>se1392084</t>
  </si>
  <si>
    <t>2014.09.12</t>
  </si>
  <si>
    <t>레이디 스칼렛</t>
  </si>
  <si>
    <t>불고기자리</t>
  </si>
  <si>
    <t>2020.08.20</t>
  </si>
  <si>
    <t>라지에르의 서</t>
  </si>
  <si>
    <t>공든탑</t>
  </si>
  <si>
    <t>2017.07.03</t>
  </si>
  <si>
    <t>내일은 이혼해요</t>
  </si>
  <si>
    <t>윤비밀</t>
  </si>
  <si>
    <t>2020.02.24</t>
  </si>
  <si>
    <t>시무(蒔舞)</t>
  </si>
  <si>
    <t>살 떨리는 동거 [단행본]</t>
  </si>
  <si>
    <t>The Siren [BL][단행본]</t>
  </si>
  <si>
    <t>헬로미니</t>
  </si>
  <si>
    <t>2021.04.22</t>
  </si>
  <si>
    <t>복수하는 회귀 사서 [독점]</t>
  </si>
  <si>
    <t>백일하</t>
  </si>
  <si>
    <t>SOTUS S [BL]</t>
  </si>
  <si>
    <t>2022.05.27</t>
  </si>
  <si>
    <t>얼굴 천재 교주가 되었다</t>
  </si>
  <si>
    <t>비고</t>
  </si>
  <si>
    <t>사라족의 간택 [삽화본][BL]</t>
  </si>
  <si>
    <t>납치</t>
  </si>
  <si>
    <t>컬러 러쉬 외전 [BL][단행본]</t>
  </si>
  <si>
    <t>중독</t>
  </si>
  <si>
    <t>문스톤</t>
  </si>
  <si>
    <t>2019.12.18</t>
  </si>
  <si>
    <t>스타의 연애 [BL]</t>
  </si>
  <si>
    <t>퇴마사(巫者) [BL]</t>
  </si>
  <si>
    <t>2021.12.03</t>
  </si>
  <si>
    <t>내 몸을 돌려줘요</t>
  </si>
  <si>
    <t>박도아</t>
  </si>
  <si>
    <t>2020.04.22</t>
  </si>
  <si>
    <t>사랑은 내가, 너는 행복만</t>
  </si>
  <si>
    <t>아타락시아</t>
  </si>
  <si>
    <t>2021.02.15</t>
  </si>
  <si>
    <t>완벽한 타인과</t>
  </si>
  <si>
    <t>2020.01.28</t>
  </si>
  <si>
    <t>베놈 마스터</t>
  </si>
  <si>
    <t>시계태엽오란씨</t>
  </si>
  <si>
    <t>2020.02.03</t>
  </si>
  <si>
    <t>바빌로니아의 검은 책</t>
  </si>
  <si>
    <t>펌킨몬</t>
  </si>
  <si>
    <t>2018.07.14</t>
  </si>
  <si>
    <t>아저씨, 내 기분 왜 이래요?</t>
  </si>
  <si>
    <t>Livingston</t>
  </si>
  <si>
    <t>2021.03.29</t>
  </si>
  <si>
    <t>시리즈완전판(APP)</t>
    <phoneticPr fontId="20" type="noConversion"/>
  </si>
  <si>
    <t>시리즈완전판(APP)</t>
    <phoneticPr fontId="20" type="noConversion"/>
  </si>
  <si>
    <t>우리야, 이리온 [단행본]</t>
  </si>
  <si>
    <t>2021.12.20</t>
  </si>
  <si>
    <t>바랑둥이 내 남자 [단행본]</t>
  </si>
  <si>
    <t>나쁜 이혼 [단행본]</t>
  </si>
  <si>
    <t>야쿠자가 사랑을 한다면 2 [개정판][BL][단행본]</t>
  </si>
  <si>
    <t>2022.01.28</t>
  </si>
  <si>
    <t>너는 내 숨결이니까 [단행본]</t>
  </si>
  <si>
    <t>2021.04.09</t>
  </si>
  <si>
    <t>이 비서 다리 좀 치워 [BL][단행본]</t>
  </si>
  <si>
    <t>2020.05.08</t>
  </si>
  <si>
    <t>선택된 남자 [BL][단행본]</t>
  </si>
  <si>
    <t>2021.05.21</t>
  </si>
  <si>
    <t>시크릿 맨 [개정판][삽화본][단행본]</t>
  </si>
  <si>
    <t>2020.05.29</t>
  </si>
  <si>
    <t>아래층에 전남편이 산다 [단행본]</t>
  </si>
  <si>
    <t>사랑을 놓치고 [단행본]</t>
  </si>
  <si>
    <t>2019.10.11</t>
  </si>
  <si>
    <t>야쿠자가 사랑을 한다면 [개정판][BL][단행본]</t>
  </si>
  <si>
    <t>중독 [단행본]</t>
  </si>
  <si>
    <t>2020.01.02</t>
  </si>
  <si>
    <t>썸원(Someone) [단행본]</t>
  </si>
  <si>
    <t>2020.11.23</t>
  </si>
  <si>
    <t>아이 컨택 [BL][단행본]</t>
  </si>
  <si>
    <t>2021.05.18</t>
  </si>
  <si>
    <t>매혹적인 상사 [단행본]</t>
  </si>
  <si>
    <t>친구의 고백 [단행본]</t>
  </si>
  <si>
    <t>그 알파 내 오메가 만들기 [개정판][BL][단행본]</t>
  </si>
  <si>
    <t>2018.10.30</t>
  </si>
  <si>
    <t>완벽한 타인과 [단행본]</t>
  </si>
  <si>
    <t>2020.12.22</t>
  </si>
  <si>
    <t>너를 삼키다 [BL][단행본]</t>
  </si>
  <si>
    <t>2021.09.08</t>
  </si>
  <si>
    <t>흔적 [단행본]</t>
  </si>
  <si>
    <t>2020.12.08</t>
  </si>
  <si>
    <t>심장이 뛰면 [단행본]</t>
  </si>
  <si>
    <t>Yulia</t>
  </si>
  <si>
    <t>2021.03.11</t>
  </si>
  <si>
    <t>그대를 탐하다 [BL][단행본]</t>
  </si>
  <si>
    <t>2021.03.03</t>
  </si>
  <si>
    <t>Only you [BL][단행본]</t>
  </si>
  <si>
    <t>2021.09.09</t>
  </si>
  <si>
    <t>너는 내 숨결이니까 외전 [단행본]</t>
  </si>
  <si>
    <t>매혹적인 상사</t>
  </si>
  <si>
    <t>2022.03.04</t>
  </si>
  <si>
    <t>나쁜 이혼 외전 [단행본]</t>
  </si>
  <si>
    <t>간신이 나라를 살림 [단행본]</t>
  </si>
  <si>
    <t>아래층에 전남편이 산다 외전 [단행본]</t>
  </si>
  <si>
    <t>골 때리는 사랑 [BL][단행본]</t>
  </si>
  <si>
    <t>2021.03.10</t>
  </si>
  <si>
    <t>숨결을 삼키다</t>
  </si>
  <si>
    <t>2020.08.17</t>
  </si>
  <si>
    <t>사랑을 놓치고 외전 [단행본]</t>
  </si>
  <si>
    <t>이 비서 다리 좀 치워 외전 [BL][단행본]</t>
  </si>
  <si>
    <t>2020.05.10</t>
  </si>
  <si>
    <t>야쿠자가 사랑을 한다면 외전 [개정판][BL][단행본]</t>
  </si>
  <si>
    <t>썸원(Someone)</t>
  </si>
  <si>
    <t>선택된 남자 외전 [BL][단행본]</t>
  </si>
  <si>
    <t>골 때리는 사랑 외전 [BL][단행본]</t>
  </si>
  <si>
    <t>베리타 (verità) 외전 [단행본]</t>
  </si>
  <si>
    <t>아로새긴</t>
  </si>
  <si>
    <t>SOTUS 특별 외전 [BL][단행본]</t>
  </si>
  <si>
    <t>사냥 [삽화본]</t>
  </si>
  <si>
    <t>2019.11.07</t>
  </si>
  <si>
    <t>임신부터 할까요? [단행본]</t>
  </si>
  <si>
    <t>2022.01.26</t>
  </si>
  <si>
    <t>여왕 아델 [단행본]</t>
  </si>
  <si>
    <t>2020.10.21</t>
  </si>
  <si>
    <t>기어이 사랑 [단행본]</t>
  </si>
  <si>
    <t>라지에르의 서 [단행본]</t>
  </si>
  <si>
    <t>2018.01.05</t>
  </si>
  <si>
    <t>시리즈완전판(APP)</t>
    <phoneticPr fontId="20" type="noConversion"/>
  </si>
  <si>
    <t>이혼 후 로또 1등 감독님</t>
  </si>
  <si>
    <t>2022.07.04</t>
  </si>
  <si>
    <t>신들의 알바나라</t>
  </si>
  <si>
    <t>갓띵작</t>
  </si>
  <si>
    <t>2022.06.10</t>
  </si>
  <si>
    <t>나의 시고르자브종 [BL]</t>
  </si>
  <si>
    <t>두나래</t>
  </si>
  <si>
    <t>2022.06.16</t>
  </si>
  <si>
    <t>돌아온 막내 영애님을 조심하세요 [단행본]</t>
  </si>
  <si>
    <t>대표님께 매우 진심인 편 [외전 선공개]</t>
  </si>
  <si>
    <t>블루문</t>
  </si>
  <si>
    <t>2022.06.15</t>
  </si>
  <si>
    <t>남이 되어 주세요</t>
  </si>
  <si>
    <t>한서나</t>
  </si>
  <si>
    <t>2018.12.10</t>
  </si>
  <si>
    <t>바빌로니아의 검은 책 [단행본]</t>
  </si>
  <si>
    <t>2019.02.20</t>
  </si>
  <si>
    <t>드래곤은 나 혼자 잡는다 [단행본]</t>
  </si>
  <si>
    <t>2019.05.29</t>
  </si>
  <si>
    <t>꿈은 이루어진다</t>
  </si>
  <si>
    <t>벗우</t>
  </si>
  <si>
    <t>2019.12.11</t>
  </si>
  <si>
    <t>2022.06.24</t>
  </si>
  <si>
    <t>야릇한 그놈 외전 [단행본]</t>
  </si>
  <si>
    <t>내게만 악마 같은 놈 [삽화본]</t>
  </si>
  <si>
    <t>2020.09.07</t>
  </si>
  <si>
    <t>연애는 아래로부터</t>
  </si>
  <si>
    <t>2018.12.21</t>
  </si>
  <si>
    <t>심장이 뛰면</t>
  </si>
  <si>
    <t>2019.05.01</t>
  </si>
  <si>
    <t>나의 시고르자브종 1~2권 [BL][단행본]</t>
  </si>
  <si>
    <t>앰퍼샌드B</t>
  </si>
  <si>
    <t>2022.06.22</t>
  </si>
  <si>
    <t>꽃잎, 흩날리는 [BL][단행본]</t>
  </si>
  <si>
    <t>마용출</t>
  </si>
  <si>
    <t>2022.06.27</t>
  </si>
  <si>
    <t>나의 시고르자브종 3권 [BL][단행본]</t>
  </si>
  <si>
    <t>꽃잎, 흩날리는 외전 [BL][단행본]</t>
  </si>
  <si>
    <t>얼어 죽어도, 겨울 [단행본]</t>
  </si>
  <si>
    <t>2020.12.14</t>
  </si>
  <si>
    <t>마침내, 열애 중 [BL][단행본]</t>
  </si>
  <si>
    <t>김사라</t>
  </si>
  <si>
    <t>2021.04.14</t>
  </si>
  <si>
    <t>숨결을 삼키다 [외전증보판][단행본]</t>
  </si>
  <si>
    <t>2021.05.12</t>
  </si>
  <si>
    <t>그땐 미처 [외전증보판][단행본]</t>
  </si>
  <si>
    <t>2020.02.07</t>
  </si>
  <si>
    <t>완벽한 계략 남편 외전 [단행본]</t>
  </si>
  <si>
    <t>월급 주는 남편 외전 [단행본]</t>
  </si>
  <si>
    <t>구애 외전 [단행본]</t>
  </si>
  <si>
    <t>마침내, 열애 중 외전 [BL][단행본]</t>
  </si>
  <si>
    <t>황설</t>
  </si>
  <si>
    <t>2018.03.09</t>
  </si>
  <si>
    <t>내 몸을 돌려줘요 [단행본]</t>
  </si>
  <si>
    <t>2021.05.11</t>
  </si>
  <si>
    <t>베리타 (verità) [단행본]</t>
  </si>
  <si>
    <t>살 떨리는 동거 외전 [단행본]</t>
  </si>
  <si>
    <t>말빨 [단행본]</t>
  </si>
  <si>
    <t>시리즈(iOS)</t>
    <phoneticPr fontId="20" type="noConversion"/>
  </si>
  <si>
    <t>2022.07.05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</si>
</sst>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7"/>
      <color rgb="FF333333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41" fontId="0" fillId="0" borderId="0" xfId="42" applyFont="1" applyFill="1">
      <alignment vertical="center"/>
    </xf>
    <xf numFmtId="0" fontId="18" fillId="33" borderId="0" xfId="0" applyFont="1" applyFill="1" applyAlignment="1">
      <alignment vertical="center" wrapText="1"/>
    </xf>
    <xf numFmtId="43" fontId="0" fillId="0" borderId="0" xfId="42" applyNumberFormat="1" applyFont="1">
      <alignment vertical="center"/>
    </xf>
    <xf numFmtId="3" fontId="22" fillId="0" borderId="0" xfId="0" applyNumberFormat="1" applyFont="1">
      <alignment vertical="center"/>
    </xf>
    <xf numFmtId="41" fontId="0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O479"/>
  <sheetViews>
    <sheetView tabSelected="1" zoomScale="115" zoomScaleNormal="115" workbookViewId="0">
      <pane xSplit="9" ySplit="1" topLeftCell="BL463" activePane="bottomRight" state="frozen"/>
      <selection pane="topRight" activeCell="J1" sqref="J1"/>
      <selection pane="bottomLeft" activeCell="A2" sqref="A2"/>
      <selection pane="bottomRight" activeCell="BO477" sqref="BO477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4" max="64" width="11.69921875" bestFit="1" customWidth="1"/>
    <col min="65" max="65" width="12.69921875" bestFit="1" customWidth="1"/>
    <col min="66" max="66" width="13.5" bestFit="1" customWidth="1"/>
    <col min="67" max="67" width="13.3984375" style="13" customWidth="1"/>
  </cols>
  <sheetData>
    <row r="1" spans="1:67" ht="38.4" x14ac:dyDescent="0.4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28</v>
      </c>
      <c r="I1" s="15" t="s">
        <v>6</v>
      </c>
      <c r="J1" s="12" t="s">
        <v>13</v>
      </c>
      <c r="K1" s="12" t="s">
        <v>14</v>
      </c>
      <c r="L1" s="12" t="s">
        <v>15</v>
      </c>
      <c r="M1" s="12" t="s">
        <v>16</v>
      </c>
      <c r="N1" s="12" t="s">
        <v>17</v>
      </c>
      <c r="O1" s="12" t="s">
        <v>18</v>
      </c>
      <c r="P1" s="12" t="s">
        <v>19</v>
      </c>
      <c r="Q1" s="12" t="s">
        <v>20</v>
      </c>
      <c r="R1" s="12" t="s">
        <v>21</v>
      </c>
      <c r="S1" s="12" t="s">
        <v>13</v>
      </c>
      <c r="T1" s="12" t="s">
        <v>14</v>
      </c>
      <c r="U1" s="12" t="s">
        <v>15</v>
      </c>
      <c r="V1" s="12" t="s">
        <v>16</v>
      </c>
      <c r="W1" s="12" t="s">
        <v>17</v>
      </c>
      <c r="X1" s="12" t="s">
        <v>18</v>
      </c>
      <c r="Y1" s="12" t="s">
        <v>19</v>
      </c>
      <c r="Z1" s="12" t="s">
        <v>20</v>
      </c>
      <c r="AA1" s="12" t="s">
        <v>21</v>
      </c>
      <c r="AB1" s="12" t="s">
        <v>13</v>
      </c>
      <c r="AC1" s="12" t="s">
        <v>22</v>
      </c>
      <c r="AD1" s="12" t="s">
        <v>23</v>
      </c>
      <c r="AE1" s="12" t="s">
        <v>13</v>
      </c>
      <c r="AF1" s="12" t="s">
        <v>22</v>
      </c>
      <c r="AG1" s="12" t="s">
        <v>23</v>
      </c>
      <c r="AH1" s="12" t="s">
        <v>13</v>
      </c>
      <c r="AI1" s="12" t="s">
        <v>22</v>
      </c>
      <c r="AJ1" s="12" t="s">
        <v>23</v>
      </c>
      <c r="AK1" s="12" t="s">
        <v>13</v>
      </c>
      <c r="AL1" s="12" t="s">
        <v>22</v>
      </c>
      <c r="AM1" s="12" t="s">
        <v>23</v>
      </c>
      <c r="AN1" s="12" t="s">
        <v>13</v>
      </c>
      <c r="AO1" s="12" t="s">
        <v>22</v>
      </c>
      <c r="AP1" s="12" t="s">
        <v>23</v>
      </c>
      <c r="AQ1" s="12" t="s">
        <v>13</v>
      </c>
      <c r="AR1" s="12" t="s">
        <v>22</v>
      </c>
      <c r="AS1" s="12" t="s">
        <v>23</v>
      </c>
      <c r="AT1" s="12" t="s">
        <v>13</v>
      </c>
      <c r="AU1" s="12" t="s">
        <v>22</v>
      </c>
      <c r="AV1" s="12" t="s">
        <v>23</v>
      </c>
      <c r="AW1" s="12" t="s">
        <v>13</v>
      </c>
      <c r="AX1" s="12" t="s">
        <v>22</v>
      </c>
      <c r="AY1" s="12" t="s">
        <v>23</v>
      </c>
      <c r="AZ1" s="12" t="s">
        <v>13</v>
      </c>
      <c r="BA1" s="12" t="s">
        <v>22</v>
      </c>
      <c r="BB1" s="12" t="s">
        <v>23</v>
      </c>
      <c r="BC1" s="12" t="s">
        <v>13</v>
      </c>
      <c r="BD1" s="12" t="s">
        <v>22</v>
      </c>
      <c r="BE1" s="12" t="s">
        <v>23</v>
      </c>
      <c r="BF1" s="12" t="s">
        <v>13</v>
      </c>
      <c r="BG1" s="12" t="s">
        <v>22</v>
      </c>
      <c r="BH1" s="12" t="s">
        <v>23</v>
      </c>
      <c r="BI1" s="12" t="s">
        <v>13</v>
      </c>
      <c r="BJ1" s="12" t="s">
        <v>22</v>
      </c>
      <c r="BK1" s="12" t="s">
        <v>23</v>
      </c>
      <c r="BL1" s="12" t="s">
        <v>27</v>
      </c>
      <c r="BM1" s="12" t="s">
        <v>24</v>
      </c>
      <c r="BN1" s="12" t="s">
        <v>25</v>
      </c>
      <c r="BO1" s="12" t="s">
        <v>26</v>
      </c>
    </row>
    <row r="2" spans="1:67" x14ac:dyDescent="0.4">
      <c r="A2" s="5" t="s">
        <v>29</v>
      </c>
      <c r="B2" s="5" t="s">
        <v>35</v>
      </c>
      <c r="C2" s="5">
        <v>463799</v>
      </c>
      <c r="D2" s="6"/>
      <c r="E2" s="5" t="s">
        <v>31</v>
      </c>
      <c r="F2" s="5" t="s">
        <v>36</v>
      </c>
      <c r="G2" s="5" t="s">
        <v>11</v>
      </c>
      <c r="H2" s="7" t="s">
        <v>7</v>
      </c>
      <c r="I2" s="7" t="s">
        <v>37</v>
      </c>
      <c r="J2" s="7">
        <v>17</v>
      </c>
      <c r="K2" s="8">
        <v>107160</v>
      </c>
      <c r="L2" s="8">
        <v>1700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8">
        <v>8837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8">
        <v>71772</v>
      </c>
      <c r="AF2" s="8">
        <v>6707540</v>
      </c>
      <c r="AG2" s="8">
        <v>913600</v>
      </c>
      <c r="AH2" s="7">
        <v>0</v>
      </c>
      <c r="AI2" s="7">
        <v>0</v>
      </c>
      <c r="AJ2" s="7">
        <v>0</v>
      </c>
      <c r="AK2" s="7">
        <v>205</v>
      </c>
      <c r="AL2" s="8">
        <v>3360</v>
      </c>
      <c r="AM2" s="8">
        <v>17700</v>
      </c>
      <c r="AN2" s="7">
        <v>0</v>
      </c>
      <c r="AO2" s="7">
        <v>0</v>
      </c>
      <c r="AP2" s="7">
        <v>0</v>
      </c>
      <c r="AQ2" s="8">
        <v>32222</v>
      </c>
      <c r="AR2" s="8">
        <v>3116400</v>
      </c>
      <c r="AS2" s="8">
        <v>105800</v>
      </c>
      <c r="AT2" s="7">
        <v>0</v>
      </c>
      <c r="AU2" s="7">
        <v>0</v>
      </c>
      <c r="AV2" s="7">
        <v>0</v>
      </c>
      <c r="AW2" s="8">
        <v>14952</v>
      </c>
      <c r="AX2" s="8">
        <v>1790467</v>
      </c>
      <c r="AY2" s="8">
        <v>5000</v>
      </c>
      <c r="AZ2" s="7">
        <v>0</v>
      </c>
      <c r="BA2" s="7">
        <v>0</v>
      </c>
      <c r="BB2" s="7">
        <v>0</v>
      </c>
      <c r="BC2" s="8">
        <v>58199</v>
      </c>
      <c r="BD2" s="8">
        <v>6955080</v>
      </c>
      <c r="BE2" s="8">
        <v>24000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9">
        <v>597359.5</v>
      </c>
      <c r="BM2" s="10">
        <v>19640647</v>
      </c>
      <c r="BN2" s="13">
        <f>BM2-BL2</f>
        <v>19043287.5</v>
      </c>
      <c r="BO2" s="14">
        <f>BN2*70%</f>
        <v>13330301.25</v>
      </c>
    </row>
    <row r="3" spans="1:67" x14ac:dyDescent="0.4">
      <c r="A3" s="5" t="s">
        <v>29</v>
      </c>
      <c r="B3" s="5" t="s">
        <v>30</v>
      </c>
      <c r="C3" s="5">
        <v>465248</v>
      </c>
      <c r="D3" s="6"/>
      <c r="E3" s="5" t="s">
        <v>31</v>
      </c>
      <c r="F3" s="5" t="s">
        <v>32</v>
      </c>
      <c r="G3" s="5" t="s">
        <v>33</v>
      </c>
      <c r="H3" s="7" t="s">
        <v>10</v>
      </c>
      <c r="I3" s="7" t="s">
        <v>34</v>
      </c>
      <c r="J3" s="8">
        <v>5290</v>
      </c>
      <c r="K3" s="8">
        <v>33251</v>
      </c>
      <c r="L3" s="8">
        <v>529000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8">
        <v>42628</v>
      </c>
      <c r="AF3" s="8">
        <v>2708240</v>
      </c>
      <c r="AG3" s="8">
        <v>1683300</v>
      </c>
      <c r="AH3" s="7">
        <v>0</v>
      </c>
      <c r="AI3" s="7">
        <v>0</v>
      </c>
      <c r="AJ3" s="7">
        <v>0</v>
      </c>
      <c r="AK3" s="7">
        <v>78</v>
      </c>
      <c r="AL3" s="8">
        <v>4543</v>
      </c>
      <c r="AM3" s="8">
        <v>4100</v>
      </c>
      <c r="AN3" s="7">
        <v>0</v>
      </c>
      <c r="AO3" s="7">
        <v>0</v>
      </c>
      <c r="AP3" s="7">
        <v>0</v>
      </c>
      <c r="AQ3" s="8">
        <v>11000</v>
      </c>
      <c r="AR3" s="8">
        <v>1074400</v>
      </c>
      <c r="AS3" s="8">
        <v>25600</v>
      </c>
      <c r="AT3" s="7">
        <v>0</v>
      </c>
      <c r="AU3" s="7">
        <v>0</v>
      </c>
      <c r="AV3" s="7">
        <v>0</v>
      </c>
      <c r="AW3" s="8">
        <v>2736</v>
      </c>
      <c r="AX3" s="8">
        <v>329282</v>
      </c>
      <c r="AY3" s="8">
        <v>1100</v>
      </c>
      <c r="AZ3" s="7">
        <v>0</v>
      </c>
      <c r="BA3" s="7">
        <v>0</v>
      </c>
      <c r="BB3" s="7">
        <v>0</v>
      </c>
      <c r="BC3" s="8">
        <v>26997</v>
      </c>
      <c r="BD3" s="8">
        <v>3223320</v>
      </c>
      <c r="BE3" s="8">
        <v>13600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9">
        <v>227690.3</v>
      </c>
      <c r="BM3" s="10">
        <v>9596485</v>
      </c>
      <c r="BN3" s="13">
        <f t="shared" ref="BN3:BN66" si="0">BM3-BL3</f>
        <v>9368794.6999999993</v>
      </c>
      <c r="BO3" s="14">
        <f t="shared" ref="BO3:BO66" si="1">BN3*70%</f>
        <v>6558156.2899999991</v>
      </c>
    </row>
    <row r="4" spans="1:67" x14ac:dyDescent="0.4">
      <c r="A4" s="5" t="s">
        <v>29</v>
      </c>
      <c r="B4" s="5" t="s">
        <v>479</v>
      </c>
      <c r="C4" s="5">
        <v>472512</v>
      </c>
      <c r="D4" s="6"/>
      <c r="E4" s="5" t="s">
        <v>31</v>
      </c>
      <c r="F4" s="5" t="s">
        <v>56</v>
      </c>
      <c r="G4" s="5" t="s">
        <v>11</v>
      </c>
      <c r="H4" s="7" t="s">
        <v>7</v>
      </c>
      <c r="I4" s="7" t="s">
        <v>538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36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8">
        <v>25901</v>
      </c>
      <c r="AF4" s="8">
        <v>2058380</v>
      </c>
      <c r="AG4" s="8">
        <v>633800</v>
      </c>
      <c r="AH4" s="7">
        <v>0</v>
      </c>
      <c r="AI4" s="7">
        <v>0</v>
      </c>
      <c r="AJ4" s="7">
        <v>0</v>
      </c>
      <c r="AK4" s="7">
        <v>72</v>
      </c>
      <c r="AL4" s="8">
        <v>7440</v>
      </c>
      <c r="AM4" s="8">
        <v>1000</v>
      </c>
      <c r="AN4" s="7">
        <v>0</v>
      </c>
      <c r="AO4" s="7">
        <v>0</v>
      </c>
      <c r="AP4" s="7">
        <v>0</v>
      </c>
      <c r="AQ4" s="8">
        <v>13577</v>
      </c>
      <c r="AR4" s="8">
        <v>1317900</v>
      </c>
      <c r="AS4" s="8">
        <v>39800</v>
      </c>
      <c r="AT4" s="7">
        <v>0</v>
      </c>
      <c r="AU4" s="7">
        <v>0</v>
      </c>
      <c r="AV4" s="7">
        <v>0</v>
      </c>
      <c r="AW4" s="8">
        <v>3685</v>
      </c>
      <c r="AX4" s="8">
        <v>441050</v>
      </c>
      <c r="AY4" s="8">
        <v>3000</v>
      </c>
      <c r="AZ4" s="7">
        <v>0</v>
      </c>
      <c r="BA4" s="7">
        <v>0</v>
      </c>
      <c r="BB4" s="7">
        <v>0</v>
      </c>
      <c r="BC4" s="8">
        <v>21955</v>
      </c>
      <c r="BD4" s="8">
        <v>2624160</v>
      </c>
      <c r="BE4" s="8">
        <v>8700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9">
        <v>203786.6</v>
      </c>
      <c r="BM4" s="10">
        <v>7135230</v>
      </c>
      <c r="BN4" s="13">
        <f t="shared" si="0"/>
        <v>6931443.4000000004</v>
      </c>
      <c r="BO4" s="14">
        <f t="shared" si="1"/>
        <v>4852010.38</v>
      </c>
    </row>
    <row r="5" spans="1:67" ht="19.2" x14ac:dyDescent="0.4">
      <c r="A5" s="5" t="s">
        <v>29</v>
      </c>
      <c r="B5" s="5" t="s">
        <v>55</v>
      </c>
      <c r="C5" s="5">
        <v>454534</v>
      </c>
      <c r="D5" s="6"/>
      <c r="E5" s="5" t="s">
        <v>31</v>
      </c>
      <c r="F5" s="5" t="s">
        <v>56</v>
      </c>
      <c r="G5" s="5" t="s">
        <v>11</v>
      </c>
      <c r="H5" s="7" t="s">
        <v>7</v>
      </c>
      <c r="I5" s="7" t="s">
        <v>480</v>
      </c>
      <c r="J5" s="7">
        <v>0</v>
      </c>
      <c r="K5" s="8">
        <v>29537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388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8">
        <v>16691</v>
      </c>
      <c r="AF5" s="8">
        <v>1178420</v>
      </c>
      <c r="AG5" s="8">
        <v>555000</v>
      </c>
      <c r="AH5" s="7">
        <v>0</v>
      </c>
      <c r="AI5" s="7">
        <v>0</v>
      </c>
      <c r="AJ5" s="7">
        <v>0</v>
      </c>
      <c r="AK5" s="7">
        <v>120</v>
      </c>
      <c r="AL5" s="8">
        <v>9360</v>
      </c>
      <c r="AM5" s="8">
        <v>4200</v>
      </c>
      <c r="AN5" s="7">
        <v>0</v>
      </c>
      <c r="AO5" s="7">
        <v>0</v>
      </c>
      <c r="AP5" s="7">
        <v>0</v>
      </c>
      <c r="AQ5" s="8">
        <v>4989</v>
      </c>
      <c r="AR5" s="8">
        <v>485000</v>
      </c>
      <c r="AS5" s="8">
        <v>13900</v>
      </c>
      <c r="AT5" s="7">
        <v>0</v>
      </c>
      <c r="AU5" s="7">
        <v>0</v>
      </c>
      <c r="AV5" s="7">
        <v>0</v>
      </c>
      <c r="AW5" s="8">
        <v>1985</v>
      </c>
      <c r="AX5" s="8">
        <v>237760</v>
      </c>
      <c r="AY5" s="7">
        <v>600</v>
      </c>
      <c r="AZ5" s="7">
        <v>0</v>
      </c>
      <c r="BA5" s="7">
        <v>0</v>
      </c>
      <c r="BB5" s="7">
        <v>0</v>
      </c>
      <c r="BC5" s="8">
        <v>8908</v>
      </c>
      <c r="BD5" s="8">
        <v>1063800</v>
      </c>
      <c r="BE5" s="8">
        <v>4300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9">
        <v>90412</v>
      </c>
      <c r="BM5" s="10">
        <v>3552340</v>
      </c>
      <c r="BN5" s="13">
        <f t="shared" si="0"/>
        <v>3461928</v>
      </c>
      <c r="BO5" s="14">
        <f t="shared" si="1"/>
        <v>2423349.5999999996</v>
      </c>
    </row>
    <row r="6" spans="1:67" x14ac:dyDescent="0.4">
      <c r="A6" s="5" t="s">
        <v>29</v>
      </c>
      <c r="B6" s="5" t="s">
        <v>49</v>
      </c>
      <c r="C6" s="5">
        <v>395270</v>
      </c>
      <c r="D6" s="6"/>
      <c r="E6" s="5" t="s">
        <v>31</v>
      </c>
      <c r="F6" s="5" t="s">
        <v>50</v>
      </c>
      <c r="G6" s="5" t="s">
        <v>51</v>
      </c>
      <c r="H6" s="7" t="s">
        <v>8</v>
      </c>
      <c r="I6" s="7" t="s">
        <v>52</v>
      </c>
      <c r="J6" s="7">
        <v>0</v>
      </c>
      <c r="K6" s="8">
        <v>67946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649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8">
        <v>17471</v>
      </c>
      <c r="AF6" s="8">
        <v>1275140</v>
      </c>
      <c r="AG6" s="8">
        <v>519700</v>
      </c>
      <c r="AH6" s="7">
        <v>0</v>
      </c>
      <c r="AI6" s="7">
        <v>0</v>
      </c>
      <c r="AJ6" s="7">
        <v>0</v>
      </c>
      <c r="AK6" s="7">
        <v>131</v>
      </c>
      <c r="AL6" s="8">
        <v>8280</v>
      </c>
      <c r="AM6" s="8">
        <v>6200</v>
      </c>
      <c r="AN6" s="7">
        <v>0</v>
      </c>
      <c r="AO6" s="7">
        <v>0</v>
      </c>
      <c r="AP6" s="7">
        <v>0</v>
      </c>
      <c r="AQ6" s="8">
        <v>2687</v>
      </c>
      <c r="AR6" s="8">
        <v>259500</v>
      </c>
      <c r="AS6" s="8">
        <v>9200</v>
      </c>
      <c r="AT6" s="7">
        <v>0</v>
      </c>
      <c r="AU6" s="7">
        <v>0</v>
      </c>
      <c r="AV6" s="7">
        <v>0</v>
      </c>
      <c r="AW6" s="7">
        <v>647</v>
      </c>
      <c r="AX6" s="8">
        <v>76440</v>
      </c>
      <c r="AY6" s="8">
        <v>1000</v>
      </c>
      <c r="AZ6" s="7">
        <v>0</v>
      </c>
      <c r="BA6" s="7">
        <v>0</v>
      </c>
      <c r="BB6" s="7">
        <v>0</v>
      </c>
      <c r="BC6" s="8">
        <v>5672</v>
      </c>
      <c r="BD6" s="8">
        <v>679440</v>
      </c>
      <c r="BE6" s="8">
        <v>1000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9">
        <v>50894.400000000001</v>
      </c>
      <c r="BM6" s="10">
        <v>2835900</v>
      </c>
      <c r="BN6" s="13">
        <f t="shared" si="0"/>
        <v>2785005.6</v>
      </c>
      <c r="BO6" s="14">
        <f t="shared" si="1"/>
        <v>1949503.92</v>
      </c>
    </row>
    <row r="7" spans="1:67" ht="19.2" x14ac:dyDescent="0.4">
      <c r="A7" s="5" t="s">
        <v>29</v>
      </c>
      <c r="B7" s="5" t="s">
        <v>46</v>
      </c>
      <c r="C7" s="5">
        <v>369220</v>
      </c>
      <c r="D7" s="6"/>
      <c r="E7" s="5" t="s">
        <v>31</v>
      </c>
      <c r="F7" s="5" t="s">
        <v>47</v>
      </c>
      <c r="G7" s="5" t="s">
        <v>11</v>
      </c>
      <c r="H7" s="7" t="s">
        <v>7</v>
      </c>
      <c r="I7" s="7" t="s">
        <v>48</v>
      </c>
      <c r="J7" s="7">
        <v>0</v>
      </c>
      <c r="K7" s="7">
        <v>282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956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8">
        <v>12008</v>
      </c>
      <c r="AF7" s="8">
        <v>1000220</v>
      </c>
      <c r="AG7" s="8">
        <v>247300</v>
      </c>
      <c r="AH7" s="7">
        <v>0</v>
      </c>
      <c r="AI7" s="7">
        <v>0</v>
      </c>
      <c r="AJ7" s="7">
        <v>0</v>
      </c>
      <c r="AK7" s="7">
        <v>22</v>
      </c>
      <c r="AL7" s="7">
        <v>600</v>
      </c>
      <c r="AM7" s="8">
        <v>1700</v>
      </c>
      <c r="AN7" s="7">
        <v>0</v>
      </c>
      <c r="AO7" s="7">
        <v>0</v>
      </c>
      <c r="AP7" s="7">
        <v>0</v>
      </c>
      <c r="AQ7" s="8">
        <v>3119</v>
      </c>
      <c r="AR7" s="8">
        <v>304800</v>
      </c>
      <c r="AS7" s="8">
        <v>7100</v>
      </c>
      <c r="AT7" s="7">
        <v>0</v>
      </c>
      <c r="AU7" s="7">
        <v>0</v>
      </c>
      <c r="AV7" s="7">
        <v>0</v>
      </c>
      <c r="AW7" s="7">
        <v>583</v>
      </c>
      <c r="AX7" s="8">
        <v>70292</v>
      </c>
      <c r="AY7" s="7">
        <v>0</v>
      </c>
      <c r="AZ7" s="7">
        <v>0</v>
      </c>
      <c r="BA7" s="7">
        <v>0</v>
      </c>
      <c r="BB7" s="7">
        <v>0</v>
      </c>
      <c r="BC7" s="8">
        <v>8358</v>
      </c>
      <c r="BD7" s="8">
        <v>995640</v>
      </c>
      <c r="BE7" s="8">
        <v>6100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9">
        <v>66947.600000000006</v>
      </c>
      <c r="BM7" s="10">
        <v>2633752</v>
      </c>
      <c r="BN7" s="13">
        <f t="shared" si="0"/>
        <v>2566804.4</v>
      </c>
      <c r="BO7" s="14">
        <f t="shared" si="1"/>
        <v>1796763.0799999998</v>
      </c>
    </row>
    <row r="8" spans="1:67" x14ac:dyDescent="0.4">
      <c r="A8" s="5" t="s">
        <v>29</v>
      </c>
      <c r="B8" s="5" t="s">
        <v>53</v>
      </c>
      <c r="C8" s="5">
        <v>178856</v>
      </c>
      <c r="D8" s="6"/>
      <c r="E8" s="5" t="s">
        <v>31</v>
      </c>
      <c r="F8" s="5" t="s">
        <v>47</v>
      </c>
      <c r="G8" s="5" t="s">
        <v>11</v>
      </c>
      <c r="H8" s="7" t="s">
        <v>10</v>
      </c>
      <c r="I8" s="7" t="s">
        <v>54</v>
      </c>
      <c r="J8" s="7">
        <v>0</v>
      </c>
      <c r="K8" s="7">
        <v>52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32</v>
      </c>
      <c r="T8" s="8">
        <v>3702</v>
      </c>
      <c r="U8" s="7">
        <v>0</v>
      </c>
      <c r="V8" s="8">
        <v>3200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8">
        <v>11003</v>
      </c>
      <c r="AF8" s="8">
        <v>859580</v>
      </c>
      <c r="AG8" s="8">
        <v>301600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8">
        <v>3857</v>
      </c>
      <c r="AR8" s="8">
        <v>380700</v>
      </c>
      <c r="AS8" s="8">
        <v>5000</v>
      </c>
      <c r="AT8" s="7">
        <v>0</v>
      </c>
      <c r="AU8" s="7">
        <v>0</v>
      </c>
      <c r="AV8" s="7">
        <v>0</v>
      </c>
      <c r="AW8" s="7">
        <v>135</v>
      </c>
      <c r="AX8" s="8">
        <v>16200</v>
      </c>
      <c r="AY8" s="7">
        <v>0</v>
      </c>
      <c r="AZ8" s="7">
        <v>0</v>
      </c>
      <c r="BA8" s="7">
        <v>0</v>
      </c>
      <c r="BB8" s="7">
        <v>0</v>
      </c>
      <c r="BC8" s="8">
        <v>7186</v>
      </c>
      <c r="BD8" s="8">
        <v>856920</v>
      </c>
      <c r="BE8" s="8">
        <v>4500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9">
        <v>53035.199999999997</v>
      </c>
      <c r="BM8" s="10">
        <v>2427700</v>
      </c>
      <c r="BN8" s="13">
        <f t="shared" si="0"/>
        <v>2374664.7999999998</v>
      </c>
      <c r="BO8" s="14">
        <f t="shared" si="1"/>
        <v>1662265.3599999999</v>
      </c>
    </row>
    <row r="9" spans="1:67" x14ac:dyDescent="0.4">
      <c r="A9" s="5" t="s">
        <v>29</v>
      </c>
      <c r="B9" s="5" t="s">
        <v>83</v>
      </c>
      <c r="C9" s="5">
        <v>387417</v>
      </c>
      <c r="D9" s="6"/>
      <c r="E9" s="5" t="s">
        <v>31</v>
      </c>
      <c r="F9" s="5" t="s">
        <v>84</v>
      </c>
      <c r="G9" s="5" t="s">
        <v>11</v>
      </c>
      <c r="H9" s="7" t="s">
        <v>7</v>
      </c>
      <c r="I9" s="7" t="s">
        <v>85</v>
      </c>
      <c r="J9" s="7">
        <v>0</v>
      </c>
      <c r="K9" s="8">
        <v>1976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4</v>
      </c>
      <c r="T9" s="7">
        <v>574</v>
      </c>
      <c r="U9" s="7">
        <v>0</v>
      </c>
      <c r="V9" s="7">
        <v>0</v>
      </c>
      <c r="W9" s="7">
        <v>400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8">
        <v>5862</v>
      </c>
      <c r="AF9" s="8">
        <v>460460</v>
      </c>
      <c r="AG9" s="8">
        <v>144300</v>
      </c>
      <c r="AH9" s="7">
        <v>0</v>
      </c>
      <c r="AI9" s="7">
        <v>0</v>
      </c>
      <c r="AJ9" s="7">
        <v>0</v>
      </c>
      <c r="AK9" s="7">
        <v>6</v>
      </c>
      <c r="AL9" s="7">
        <v>0</v>
      </c>
      <c r="AM9" s="7">
        <v>600</v>
      </c>
      <c r="AN9" s="7">
        <v>0</v>
      </c>
      <c r="AO9" s="7">
        <v>0</v>
      </c>
      <c r="AP9" s="7">
        <v>0</v>
      </c>
      <c r="AQ9" s="8">
        <v>3607</v>
      </c>
      <c r="AR9" s="8">
        <v>354900</v>
      </c>
      <c r="AS9" s="8">
        <v>5800</v>
      </c>
      <c r="AT9" s="7">
        <v>0</v>
      </c>
      <c r="AU9" s="7">
        <v>0</v>
      </c>
      <c r="AV9" s="7">
        <v>0</v>
      </c>
      <c r="AW9" s="8">
        <v>1748</v>
      </c>
      <c r="AX9" s="8">
        <v>208560</v>
      </c>
      <c r="AY9" s="8">
        <v>1000</v>
      </c>
      <c r="AZ9" s="7">
        <v>0</v>
      </c>
      <c r="BA9" s="7">
        <v>0</v>
      </c>
      <c r="BB9" s="7">
        <v>0</v>
      </c>
      <c r="BC9" s="8">
        <v>2374</v>
      </c>
      <c r="BD9" s="8">
        <v>281880</v>
      </c>
      <c r="BE9" s="8">
        <v>2500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9">
        <v>37768.800000000003</v>
      </c>
      <c r="BM9" s="10">
        <v>1460400</v>
      </c>
      <c r="BN9" s="13">
        <f t="shared" si="0"/>
        <v>1422631.2</v>
      </c>
      <c r="BO9" s="14">
        <f t="shared" si="1"/>
        <v>995841.83999999985</v>
      </c>
    </row>
    <row r="10" spans="1:67" x14ac:dyDescent="0.4">
      <c r="A10" s="5" t="s">
        <v>29</v>
      </c>
      <c r="B10" s="5" t="s">
        <v>62</v>
      </c>
      <c r="C10" s="5">
        <v>324335</v>
      </c>
      <c r="D10" s="6"/>
      <c r="E10" s="5" t="s">
        <v>31</v>
      </c>
      <c r="F10" s="5" t="s">
        <v>47</v>
      </c>
      <c r="G10" s="5" t="s">
        <v>11</v>
      </c>
      <c r="H10" s="7" t="s">
        <v>10</v>
      </c>
      <c r="I10" s="7" t="s">
        <v>63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180</v>
      </c>
      <c r="AF10" s="8">
        <v>509620</v>
      </c>
      <c r="AG10" s="8">
        <v>78300</v>
      </c>
      <c r="AH10" s="7">
        <v>0</v>
      </c>
      <c r="AI10" s="7">
        <v>0</v>
      </c>
      <c r="AJ10" s="7">
        <v>0</v>
      </c>
      <c r="AK10" s="7">
        <v>12</v>
      </c>
      <c r="AL10" s="8">
        <v>25613</v>
      </c>
      <c r="AM10" s="8">
        <v>17200</v>
      </c>
      <c r="AN10" s="7">
        <v>0</v>
      </c>
      <c r="AO10" s="7">
        <v>0</v>
      </c>
      <c r="AP10" s="7">
        <v>0</v>
      </c>
      <c r="AQ10" s="7">
        <v>21</v>
      </c>
      <c r="AR10" s="8">
        <v>54100</v>
      </c>
      <c r="AS10" s="7">
        <v>100</v>
      </c>
      <c r="AT10" s="7">
        <v>0</v>
      </c>
      <c r="AU10" s="7">
        <v>0</v>
      </c>
      <c r="AV10" s="7">
        <v>0</v>
      </c>
      <c r="AW10" s="7">
        <v>25</v>
      </c>
      <c r="AX10" s="8">
        <v>87304</v>
      </c>
      <c r="AY10" s="8">
        <v>1000</v>
      </c>
      <c r="AZ10" s="7">
        <v>0</v>
      </c>
      <c r="BA10" s="7">
        <v>0</v>
      </c>
      <c r="BB10" s="7">
        <v>0</v>
      </c>
      <c r="BC10" s="7">
        <v>184</v>
      </c>
      <c r="BD10" s="8">
        <v>680640</v>
      </c>
      <c r="BE10" s="8">
        <v>1000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9">
        <v>57252.7</v>
      </c>
      <c r="BM10" s="10">
        <v>1454877</v>
      </c>
      <c r="BN10" s="13">
        <f t="shared" si="0"/>
        <v>1397624.3</v>
      </c>
      <c r="BO10" s="14">
        <f t="shared" si="1"/>
        <v>978337.01</v>
      </c>
    </row>
    <row r="11" spans="1:67" x14ac:dyDescent="0.4">
      <c r="A11" s="5" t="s">
        <v>29</v>
      </c>
      <c r="B11" s="5" t="s">
        <v>44</v>
      </c>
      <c r="C11" s="5">
        <v>414278</v>
      </c>
      <c r="D11" s="6"/>
      <c r="E11" s="5" t="s">
        <v>31</v>
      </c>
      <c r="F11" s="5" t="s">
        <v>12</v>
      </c>
      <c r="G11" s="5" t="s">
        <v>11</v>
      </c>
      <c r="H11" s="7" t="s">
        <v>8</v>
      </c>
      <c r="I11" s="7" t="s">
        <v>45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194</v>
      </c>
      <c r="AF11" s="8">
        <v>584460</v>
      </c>
      <c r="AG11" s="8">
        <v>54500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78</v>
      </c>
      <c r="AR11" s="8">
        <v>230100</v>
      </c>
      <c r="AS11" s="8">
        <v>9100</v>
      </c>
      <c r="AT11" s="7">
        <v>0</v>
      </c>
      <c r="AU11" s="7">
        <v>0</v>
      </c>
      <c r="AV11" s="7">
        <v>0</v>
      </c>
      <c r="AW11" s="7">
        <v>25</v>
      </c>
      <c r="AX11" s="8">
        <v>90480</v>
      </c>
      <c r="AY11" s="7">
        <v>0</v>
      </c>
      <c r="AZ11" s="7">
        <v>0</v>
      </c>
      <c r="BA11" s="7">
        <v>0</v>
      </c>
      <c r="BB11" s="7">
        <v>0</v>
      </c>
      <c r="BC11" s="7">
        <v>130</v>
      </c>
      <c r="BD11" s="8">
        <v>478560</v>
      </c>
      <c r="BE11" s="8">
        <v>1000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9">
        <v>37761.599999999999</v>
      </c>
      <c r="BM11" s="10">
        <v>1448200</v>
      </c>
      <c r="BN11" s="13">
        <f t="shared" si="0"/>
        <v>1410438.4</v>
      </c>
      <c r="BO11" s="14">
        <f t="shared" si="1"/>
        <v>987306.87999999989</v>
      </c>
    </row>
    <row r="12" spans="1:67" ht="19.2" x14ac:dyDescent="0.4">
      <c r="A12" s="5" t="s">
        <v>29</v>
      </c>
      <c r="B12" s="5" t="s">
        <v>67</v>
      </c>
      <c r="C12" s="5">
        <v>459997</v>
      </c>
      <c r="D12" s="6"/>
      <c r="E12" s="5" t="s">
        <v>31</v>
      </c>
      <c r="F12" s="5" t="s">
        <v>68</v>
      </c>
      <c r="G12" s="5" t="s">
        <v>11</v>
      </c>
      <c r="H12" s="7" t="s">
        <v>7</v>
      </c>
      <c r="I12" s="7" t="s">
        <v>538</v>
      </c>
      <c r="J12" s="8">
        <v>3893</v>
      </c>
      <c r="K12" s="8">
        <v>38084</v>
      </c>
      <c r="L12" s="8">
        <v>389300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172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8">
        <v>6745</v>
      </c>
      <c r="AF12" s="8">
        <v>508660</v>
      </c>
      <c r="AG12" s="8">
        <v>188600</v>
      </c>
      <c r="AH12" s="7">
        <v>0</v>
      </c>
      <c r="AI12" s="7">
        <v>0</v>
      </c>
      <c r="AJ12" s="7">
        <v>0</v>
      </c>
      <c r="AK12" s="7">
        <v>18</v>
      </c>
      <c r="AL12" s="8">
        <v>1320</v>
      </c>
      <c r="AM12" s="7">
        <v>700</v>
      </c>
      <c r="AN12" s="7">
        <v>0</v>
      </c>
      <c r="AO12" s="7">
        <v>0</v>
      </c>
      <c r="AP12" s="7">
        <v>0</v>
      </c>
      <c r="AQ12" s="8">
        <v>1570</v>
      </c>
      <c r="AR12" s="8">
        <v>149100</v>
      </c>
      <c r="AS12" s="8">
        <v>7900</v>
      </c>
      <c r="AT12" s="7">
        <v>0</v>
      </c>
      <c r="AU12" s="7">
        <v>0</v>
      </c>
      <c r="AV12" s="7">
        <v>0</v>
      </c>
      <c r="AW12" s="7">
        <v>247</v>
      </c>
      <c r="AX12" s="8">
        <v>29640</v>
      </c>
      <c r="AY12" s="7">
        <v>0</v>
      </c>
      <c r="AZ12" s="7">
        <v>0</v>
      </c>
      <c r="BA12" s="7">
        <v>0</v>
      </c>
      <c r="BB12" s="7">
        <v>0</v>
      </c>
      <c r="BC12" s="8">
        <v>1247</v>
      </c>
      <c r="BD12" s="8">
        <v>148440</v>
      </c>
      <c r="BE12" s="8">
        <v>1000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9">
        <v>12266.4</v>
      </c>
      <c r="BM12" s="10">
        <v>1424660</v>
      </c>
      <c r="BN12" s="13">
        <f t="shared" si="0"/>
        <v>1412393.6</v>
      </c>
      <c r="BO12" s="14">
        <f t="shared" si="1"/>
        <v>988675.52</v>
      </c>
    </row>
    <row r="13" spans="1:67" x14ac:dyDescent="0.4">
      <c r="A13" s="5" t="s">
        <v>29</v>
      </c>
      <c r="B13" s="5" t="s">
        <v>41</v>
      </c>
      <c r="C13" s="5">
        <v>449889</v>
      </c>
      <c r="D13" s="6"/>
      <c r="E13" s="5" t="s">
        <v>31</v>
      </c>
      <c r="F13" s="5" t="s">
        <v>42</v>
      </c>
      <c r="G13" s="5" t="s">
        <v>11</v>
      </c>
      <c r="H13" s="7" t="s">
        <v>7</v>
      </c>
      <c r="I13" s="7" t="s">
        <v>43</v>
      </c>
      <c r="J13" s="7">
        <v>0</v>
      </c>
      <c r="K13" s="8">
        <v>13287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378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8">
        <v>6778</v>
      </c>
      <c r="AF13" s="8">
        <v>534460</v>
      </c>
      <c r="AG13" s="8">
        <v>159500</v>
      </c>
      <c r="AH13" s="7">
        <v>0</v>
      </c>
      <c r="AI13" s="7">
        <v>0</v>
      </c>
      <c r="AJ13" s="7">
        <v>0</v>
      </c>
      <c r="AK13" s="7">
        <v>6</v>
      </c>
      <c r="AL13" s="7">
        <v>120</v>
      </c>
      <c r="AM13" s="7">
        <v>500</v>
      </c>
      <c r="AN13" s="7">
        <v>0</v>
      </c>
      <c r="AO13" s="7">
        <v>0</v>
      </c>
      <c r="AP13" s="7">
        <v>0</v>
      </c>
      <c r="AQ13" s="8">
        <v>2364</v>
      </c>
      <c r="AR13" s="8">
        <v>230900</v>
      </c>
      <c r="AS13" s="8">
        <v>5500</v>
      </c>
      <c r="AT13" s="7">
        <v>0</v>
      </c>
      <c r="AU13" s="7">
        <v>0</v>
      </c>
      <c r="AV13" s="7">
        <v>0</v>
      </c>
      <c r="AW13" s="7">
        <v>712</v>
      </c>
      <c r="AX13" s="8">
        <v>84480</v>
      </c>
      <c r="AY13" s="7">
        <v>800</v>
      </c>
      <c r="AZ13" s="7">
        <v>0</v>
      </c>
      <c r="BA13" s="7">
        <v>0</v>
      </c>
      <c r="BB13" s="7">
        <v>0</v>
      </c>
      <c r="BC13" s="8">
        <v>2972</v>
      </c>
      <c r="BD13" s="8">
        <v>352440</v>
      </c>
      <c r="BE13" s="8">
        <v>3500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9">
        <v>29630.400000000001</v>
      </c>
      <c r="BM13" s="10">
        <v>1372200</v>
      </c>
      <c r="BN13" s="13">
        <f t="shared" si="0"/>
        <v>1342569.6</v>
      </c>
      <c r="BO13" s="14">
        <f t="shared" si="1"/>
        <v>939798.72</v>
      </c>
    </row>
    <row r="14" spans="1:67" x14ac:dyDescent="0.4">
      <c r="A14" s="5" t="s">
        <v>29</v>
      </c>
      <c r="B14" s="5" t="s">
        <v>60</v>
      </c>
      <c r="C14" s="5">
        <v>321812</v>
      </c>
      <c r="D14" s="6"/>
      <c r="E14" s="5" t="s">
        <v>31</v>
      </c>
      <c r="F14" s="5" t="s">
        <v>47</v>
      </c>
      <c r="G14" s="5" t="s">
        <v>11</v>
      </c>
      <c r="H14" s="7" t="s">
        <v>7</v>
      </c>
      <c r="I14" s="7" t="s">
        <v>61</v>
      </c>
      <c r="J14" s="7">
        <v>0</v>
      </c>
      <c r="K14" s="7">
        <v>18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323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8">
        <v>5116</v>
      </c>
      <c r="AF14" s="8">
        <v>433360</v>
      </c>
      <c r="AG14" s="8">
        <v>121600</v>
      </c>
      <c r="AH14" s="7">
        <v>0</v>
      </c>
      <c r="AI14" s="7">
        <v>0</v>
      </c>
      <c r="AJ14" s="7">
        <v>0</v>
      </c>
      <c r="AK14" s="7">
        <v>180</v>
      </c>
      <c r="AL14" s="8">
        <v>21960</v>
      </c>
      <c r="AM14" s="7">
        <v>0</v>
      </c>
      <c r="AN14" s="7">
        <v>0</v>
      </c>
      <c r="AO14" s="7">
        <v>0</v>
      </c>
      <c r="AP14" s="7">
        <v>0</v>
      </c>
      <c r="AQ14" s="8">
        <v>1612</v>
      </c>
      <c r="AR14" s="8">
        <v>156100</v>
      </c>
      <c r="AS14" s="8">
        <v>5100</v>
      </c>
      <c r="AT14" s="7">
        <v>0</v>
      </c>
      <c r="AU14" s="7">
        <v>0</v>
      </c>
      <c r="AV14" s="7">
        <v>0</v>
      </c>
      <c r="AW14" s="7">
        <v>277</v>
      </c>
      <c r="AX14" s="8">
        <v>32040</v>
      </c>
      <c r="AY14" s="8">
        <v>1000</v>
      </c>
      <c r="AZ14" s="7">
        <v>0</v>
      </c>
      <c r="BA14" s="7">
        <v>0</v>
      </c>
      <c r="BB14" s="7">
        <v>0</v>
      </c>
      <c r="BC14" s="8">
        <v>3200</v>
      </c>
      <c r="BD14" s="8">
        <v>382200</v>
      </c>
      <c r="BE14" s="8">
        <v>1500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9">
        <v>32724</v>
      </c>
      <c r="BM14" s="10">
        <v>1154860</v>
      </c>
      <c r="BN14" s="13">
        <f t="shared" si="0"/>
        <v>1122136</v>
      </c>
      <c r="BO14" s="14">
        <f t="shared" si="1"/>
        <v>785495.2</v>
      </c>
    </row>
    <row r="15" spans="1:67" x14ac:dyDescent="0.4">
      <c r="A15" s="5" t="s">
        <v>29</v>
      </c>
      <c r="B15" s="5" t="s">
        <v>57</v>
      </c>
      <c r="C15" s="5">
        <v>457807</v>
      </c>
      <c r="D15" s="6"/>
      <c r="E15" s="5" t="s">
        <v>31</v>
      </c>
      <c r="F15" s="5" t="s">
        <v>58</v>
      </c>
      <c r="G15" s="5" t="s">
        <v>51</v>
      </c>
      <c r="H15" s="7" t="s">
        <v>8</v>
      </c>
      <c r="I15" s="7" t="s">
        <v>59</v>
      </c>
      <c r="J15" s="7">
        <v>250</v>
      </c>
      <c r="K15" s="8">
        <v>5491</v>
      </c>
      <c r="L15" s="8">
        <v>25000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197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8">
        <v>4229</v>
      </c>
      <c r="AF15" s="8">
        <v>348540</v>
      </c>
      <c r="AG15" s="8">
        <v>88100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795</v>
      </c>
      <c r="AR15" s="8">
        <v>77800</v>
      </c>
      <c r="AS15" s="8">
        <v>1700</v>
      </c>
      <c r="AT15" s="7">
        <v>0</v>
      </c>
      <c r="AU15" s="7">
        <v>0</v>
      </c>
      <c r="AV15" s="7">
        <v>0</v>
      </c>
      <c r="AW15" s="7">
        <v>116</v>
      </c>
      <c r="AX15" s="8">
        <v>13920</v>
      </c>
      <c r="AY15" s="7">
        <v>0</v>
      </c>
      <c r="AZ15" s="7">
        <v>0</v>
      </c>
      <c r="BA15" s="7">
        <v>0</v>
      </c>
      <c r="BB15" s="7">
        <v>0</v>
      </c>
      <c r="BC15" s="8">
        <v>1885</v>
      </c>
      <c r="BD15" s="8">
        <v>225720</v>
      </c>
      <c r="BE15" s="7">
        <v>400</v>
      </c>
      <c r="BF15" s="7">
        <v>0</v>
      </c>
      <c r="BG15" s="7">
        <v>0</v>
      </c>
      <c r="BH15" s="7">
        <v>0</v>
      </c>
      <c r="BI15" s="7">
        <v>1</v>
      </c>
      <c r="BJ15" s="7">
        <v>120</v>
      </c>
      <c r="BK15" s="7">
        <v>0</v>
      </c>
      <c r="BL15" s="9">
        <v>14941.2</v>
      </c>
      <c r="BM15" s="10">
        <v>781300</v>
      </c>
      <c r="BN15" s="13">
        <f t="shared" si="0"/>
        <v>766358.8</v>
      </c>
      <c r="BO15" s="14">
        <f t="shared" si="1"/>
        <v>536451.16</v>
      </c>
    </row>
    <row r="16" spans="1:67" x14ac:dyDescent="0.4">
      <c r="A16" s="5" t="s">
        <v>29</v>
      </c>
      <c r="B16" s="5" t="s">
        <v>38</v>
      </c>
      <c r="C16" s="5">
        <v>445688</v>
      </c>
      <c r="D16" s="6"/>
      <c r="E16" s="5" t="s">
        <v>31</v>
      </c>
      <c r="F16" s="5" t="s">
        <v>39</v>
      </c>
      <c r="G16" s="5" t="s">
        <v>11</v>
      </c>
      <c r="H16" s="7" t="s">
        <v>7</v>
      </c>
      <c r="I16" s="7" t="s">
        <v>40</v>
      </c>
      <c r="J16" s="7">
        <v>0</v>
      </c>
      <c r="K16" s="8">
        <v>2249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8">
        <v>2117</v>
      </c>
      <c r="AF16" s="8">
        <v>188560</v>
      </c>
      <c r="AG16" s="8">
        <v>37400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215</v>
      </c>
      <c r="AR16" s="8">
        <v>21100</v>
      </c>
      <c r="AS16" s="7">
        <v>400</v>
      </c>
      <c r="AT16" s="7">
        <v>0</v>
      </c>
      <c r="AU16" s="7">
        <v>0</v>
      </c>
      <c r="AV16" s="7">
        <v>0</v>
      </c>
      <c r="AW16" s="7">
        <v>187</v>
      </c>
      <c r="AX16" s="8">
        <v>22440</v>
      </c>
      <c r="AY16" s="7">
        <v>0</v>
      </c>
      <c r="AZ16" s="7">
        <v>0</v>
      </c>
      <c r="BA16" s="7">
        <v>0</v>
      </c>
      <c r="BB16" s="7">
        <v>0</v>
      </c>
      <c r="BC16" s="8">
        <v>1853</v>
      </c>
      <c r="BD16" s="8">
        <v>221400</v>
      </c>
      <c r="BE16" s="7">
        <v>800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9">
        <v>15528</v>
      </c>
      <c r="BM16" s="10">
        <v>492100</v>
      </c>
      <c r="BN16" s="13">
        <f t="shared" si="0"/>
        <v>476572</v>
      </c>
      <c r="BO16" s="14">
        <f t="shared" si="1"/>
        <v>333600.39999999997</v>
      </c>
    </row>
    <row r="17" spans="1:67" x14ac:dyDescent="0.4">
      <c r="A17" s="5" t="s">
        <v>29</v>
      </c>
      <c r="B17" s="5" t="s">
        <v>481</v>
      </c>
      <c r="C17" s="5">
        <v>471707</v>
      </c>
      <c r="D17" s="6"/>
      <c r="E17" s="5" t="s">
        <v>31</v>
      </c>
      <c r="F17" s="5" t="s">
        <v>482</v>
      </c>
      <c r="G17" s="5" t="s">
        <v>11</v>
      </c>
      <c r="H17" s="7" t="s">
        <v>7</v>
      </c>
      <c r="I17" s="7" t="s">
        <v>483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8">
        <v>1411</v>
      </c>
      <c r="AF17" s="8">
        <v>139640</v>
      </c>
      <c r="AG17" s="8">
        <v>7700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205</v>
      </c>
      <c r="AR17" s="8">
        <v>18500</v>
      </c>
      <c r="AS17" s="8">
        <v>2000</v>
      </c>
      <c r="AT17" s="7">
        <v>0</v>
      </c>
      <c r="AU17" s="7">
        <v>0</v>
      </c>
      <c r="AV17" s="7">
        <v>0</v>
      </c>
      <c r="AW17" s="7">
        <v>263</v>
      </c>
      <c r="AX17" s="8">
        <v>31560</v>
      </c>
      <c r="AY17" s="7">
        <v>0</v>
      </c>
      <c r="AZ17" s="7">
        <v>0</v>
      </c>
      <c r="BA17" s="7">
        <v>0</v>
      </c>
      <c r="BB17" s="7">
        <v>0</v>
      </c>
      <c r="BC17" s="8">
        <v>2262</v>
      </c>
      <c r="BD17" s="8">
        <v>269040</v>
      </c>
      <c r="BE17" s="8">
        <v>2000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9">
        <v>19298.400000000001</v>
      </c>
      <c r="BM17" s="10">
        <v>470440</v>
      </c>
      <c r="BN17" s="13">
        <f t="shared" si="0"/>
        <v>451141.6</v>
      </c>
      <c r="BO17" s="14">
        <f t="shared" si="1"/>
        <v>315799.11999999994</v>
      </c>
    </row>
    <row r="18" spans="1:67" x14ac:dyDescent="0.4">
      <c r="A18" s="5" t="s">
        <v>29</v>
      </c>
      <c r="B18" s="5" t="s">
        <v>78</v>
      </c>
      <c r="C18" s="5">
        <v>245889</v>
      </c>
      <c r="D18" s="6"/>
      <c r="E18" s="5" t="s">
        <v>31</v>
      </c>
      <c r="F18" s="5" t="s">
        <v>47</v>
      </c>
      <c r="G18" s="5" t="s">
        <v>11</v>
      </c>
      <c r="H18" s="7" t="s">
        <v>7</v>
      </c>
      <c r="I18" s="7" t="s">
        <v>79</v>
      </c>
      <c r="J18" s="7">
        <v>6</v>
      </c>
      <c r="K18" s="7">
        <v>0</v>
      </c>
      <c r="L18" s="7">
        <v>600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154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8">
        <v>2193</v>
      </c>
      <c r="AF18" s="8">
        <v>202300</v>
      </c>
      <c r="AG18" s="8">
        <v>44900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474</v>
      </c>
      <c r="AR18" s="8">
        <v>47300</v>
      </c>
      <c r="AS18" s="7">
        <v>100</v>
      </c>
      <c r="AT18" s="7">
        <v>0</v>
      </c>
      <c r="AU18" s="7">
        <v>0</v>
      </c>
      <c r="AV18" s="7">
        <v>0</v>
      </c>
      <c r="AW18" s="7">
        <v>124</v>
      </c>
      <c r="AX18" s="8">
        <v>14880</v>
      </c>
      <c r="AY18" s="7">
        <v>0</v>
      </c>
      <c r="AZ18" s="7">
        <v>0</v>
      </c>
      <c r="BA18" s="7">
        <v>0</v>
      </c>
      <c r="BB18" s="7">
        <v>0</v>
      </c>
      <c r="BC18" s="8">
        <v>1035</v>
      </c>
      <c r="BD18" s="8">
        <v>123000</v>
      </c>
      <c r="BE18" s="8">
        <v>1000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9">
        <v>8868</v>
      </c>
      <c r="BM18" s="10">
        <v>434080</v>
      </c>
      <c r="BN18" s="13">
        <f t="shared" si="0"/>
        <v>425212</v>
      </c>
      <c r="BO18" s="14">
        <f t="shared" si="1"/>
        <v>297648.39999999997</v>
      </c>
    </row>
    <row r="19" spans="1:67" x14ac:dyDescent="0.4">
      <c r="A19" s="5" t="s">
        <v>29</v>
      </c>
      <c r="B19" s="5" t="s">
        <v>64</v>
      </c>
      <c r="C19" s="5">
        <v>412919</v>
      </c>
      <c r="D19" s="6"/>
      <c r="E19" s="5" t="s">
        <v>31</v>
      </c>
      <c r="F19" s="5" t="s">
        <v>65</v>
      </c>
      <c r="G19" s="5" t="s">
        <v>51</v>
      </c>
      <c r="H19" s="7" t="s">
        <v>8</v>
      </c>
      <c r="I19" s="7" t="s">
        <v>66</v>
      </c>
      <c r="J19" s="7">
        <v>3</v>
      </c>
      <c r="K19" s="7">
        <v>66</v>
      </c>
      <c r="L19" s="7">
        <v>300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87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8">
        <v>1989</v>
      </c>
      <c r="AF19" s="8">
        <v>153620</v>
      </c>
      <c r="AG19" s="8">
        <v>53100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172</v>
      </c>
      <c r="AR19" s="8">
        <v>17000</v>
      </c>
      <c r="AS19" s="7">
        <v>200</v>
      </c>
      <c r="AT19" s="7">
        <v>0</v>
      </c>
      <c r="AU19" s="7">
        <v>0</v>
      </c>
      <c r="AV19" s="7">
        <v>0</v>
      </c>
      <c r="AW19" s="7">
        <v>324</v>
      </c>
      <c r="AX19" s="8">
        <v>38880</v>
      </c>
      <c r="AY19" s="7">
        <v>0</v>
      </c>
      <c r="AZ19" s="7">
        <v>0</v>
      </c>
      <c r="BA19" s="7">
        <v>0</v>
      </c>
      <c r="BB19" s="7">
        <v>0</v>
      </c>
      <c r="BC19" s="8">
        <v>1056</v>
      </c>
      <c r="BD19" s="8">
        <v>125520</v>
      </c>
      <c r="BE19" s="8">
        <v>1000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9">
        <v>11419.2</v>
      </c>
      <c r="BM19" s="10">
        <v>389620</v>
      </c>
      <c r="BN19" s="13">
        <f t="shared" si="0"/>
        <v>378200.8</v>
      </c>
      <c r="BO19" s="14">
        <f t="shared" si="1"/>
        <v>264740.56</v>
      </c>
    </row>
    <row r="20" spans="1:67" x14ac:dyDescent="0.4">
      <c r="A20" s="5" t="s">
        <v>29</v>
      </c>
      <c r="B20" s="5" t="s">
        <v>80</v>
      </c>
      <c r="C20" s="5">
        <v>386960</v>
      </c>
      <c r="D20" s="6"/>
      <c r="E20" s="5" t="s">
        <v>31</v>
      </c>
      <c r="F20" s="5" t="s">
        <v>81</v>
      </c>
      <c r="G20" s="5" t="s">
        <v>11</v>
      </c>
      <c r="H20" s="7" t="s">
        <v>7</v>
      </c>
      <c r="I20" s="7" t="s">
        <v>82</v>
      </c>
      <c r="J20" s="7">
        <v>0</v>
      </c>
      <c r="K20" s="7">
        <v>20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137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8">
        <v>2028</v>
      </c>
      <c r="AF20" s="8">
        <v>179920</v>
      </c>
      <c r="AG20" s="8">
        <v>34600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183</v>
      </c>
      <c r="AR20" s="8">
        <v>17900</v>
      </c>
      <c r="AS20" s="7">
        <v>400</v>
      </c>
      <c r="AT20" s="7">
        <v>0</v>
      </c>
      <c r="AU20" s="7">
        <v>0</v>
      </c>
      <c r="AV20" s="7">
        <v>0</v>
      </c>
      <c r="AW20" s="7">
        <v>551</v>
      </c>
      <c r="AX20" s="8">
        <v>64650</v>
      </c>
      <c r="AY20" s="7">
        <v>500</v>
      </c>
      <c r="AZ20" s="7">
        <v>0</v>
      </c>
      <c r="BA20" s="7">
        <v>0</v>
      </c>
      <c r="BB20" s="7">
        <v>0</v>
      </c>
      <c r="BC20" s="7">
        <v>261</v>
      </c>
      <c r="BD20" s="8">
        <v>31320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9">
        <v>8344.2000000000007</v>
      </c>
      <c r="BM20" s="10">
        <v>329290</v>
      </c>
      <c r="BN20" s="13">
        <f t="shared" si="0"/>
        <v>320945.8</v>
      </c>
      <c r="BO20" s="14">
        <f t="shared" si="1"/>
        <v>224662.05999999997</v>
      </c>
    </row>
    <row r="21" spans="1:67" x14ac:dyDescent="0.4">
      <c r="A21" s="5" t="s">
        <v>29</v>
      </c>
      <c r="B21" s="5" t="s">
        <v>106</v>
      </c>
      <c r="C21" s="5">
        <v>364724</v>
      </c>
      <c r="D21" s="6"/>
      <c r="E21" s="5" t="s">
        <v>31</v>
      </c>
      <c r="F21" s="5" t="s">
        <v>107</v>
      </c>
      <c r="G21" s="5" t="s">
        <v>11</v>
      </c>
      <c r="H21" s="7" t="s">
        <v>7</v>
      </c>
      <c r="I21" s="7" t="s">
        <v>108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50</v>
      </c>
      <c r="T21" s="7">
        <v>75</v>
      </c>
      <c r="U21" s="7">
        <v>0</v>
      </c>
      <c r="V21" s="8">
        <v>5000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8">
        <v>1329</v>
      </c>
      <c r="AF21" s="8">
        <v>137700</v>
      </c>
      <c r="AG21" s="8">
        <v>4900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72</v>
      </c>
      <c r="AR21" s="8">
        <v>7200</v>
      </c>
      <c r="AS21" s="7">
        <v>0</v>
      </c>
      <c r="AT21" s="7">
        <v>0</v>
      </c>
      <c r="AU21" s="7">
        <v>0</v>
      </c>
      <c r="AV21" s="7">
        <v>0</v>
      </c>
      <c r="AW21" s="7">
        <v>169</v>
      </c>
      <c r="AX21" s="8">
        <v>20280</v>
      </c>
      <c r="AY21" s="7">
        <v>0</v>
      </c>
      <c r="AZ21" s="7">
        <v>0</v>
      </c>
      <c r="BA21" s="7">
        <v>0</v>
      </c>
      <c r="BB21" s="7">
        <v>0</v>
      </c>
      <c r="BC21" s="7">
        <v>862</v>
      </c>
      <c r="BD21" s="8">
        <v>101760</v>
      </c>
      <c r="BE21" s="8">
        <v>1400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9">
        <v>8133.6</v>
      </c>
      <c r="BM21" s="10">
        <v>278240</v>
      </c>
      <c r="BN21" s="13">
        <f t="shared" si="0"/>
        <v>270106.40000000002</v>
      </c>
      <c r="BO21" s="14">
        <f t="shared" si="1"/>
        <v>189074.48</v>
      </c>
    </row>
    <row r="22" spans="1:67" x14ac:dyDescent="0.4">
      <c r="A22" s="5" t="s">
        <v>29</v>
      </c>
      <c r="B22" s="5" t="s">
        <v>95</v>
      </c>
      <c r="C22" s="5">
        <v>387942</v>
      </c>
      <c r="D22" s="6"/>
      <c r="E22" s="5" t="s">
        <v>31</v>
      </c>
      <c r="F22" s="5" t="s">
        <v>96</v>
      </c>
      <c r="G22" s="5" t="s">
        <v>11</v>
      </c>
      <c r="H22" s="7" t="s">
        <v>7</v>
      </c>
      <c r="I22" s="7" t="s">
        <v>97</v>
      </c>
      <c r="J22" s="7">
        <v>0</v>
      </c>
      <c r="K22" s="7">
        <v>1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67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862</v>
      </c>
      <c r="AF22" s="8">
        <v>90120</v>
      </c>
      <c r="AG22" s="7">
        <v>700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402</v>
      </c>
      <c r="AR22" s="8">
        <v>39900</v>
      </c>
      <c r="AS22" s="7">
        <v>300</v>
      </c>
      <c r="AT22" s="7">
        <v>0</v>
      </c>
      <c r="AU22" s="7">
        <v>0</v>
      </c>
      <c r="AV22" s="7">
        <v>0</v>
      </c>
      <c r="AW22" s="7">
        <v>211</v>
      </c>
      <c r="AX22" s="8">
        <v>25320</v>
      </c>
      <c r="AY22" s="7">
        <v>0</v>
      </c>
      <c r="AZ22" s="7">
        <v>0</v>
      </c>
      <c r="BA22" s="7">
        <v>0</v>
      </c>
      <c r="BB22" s="7">
        <v>0</v>
      </c>
      <c r="BC22" s="7">
        <v>959</v>
      </c>
      <c r="BD22" s="8">
        <v>114480</v>
      </c>
      <c r="BE22" s="7">
        <v>500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9">
        <v>9400.7999999999993</v>
      </c>
      <c r="BM22" s="10">
        <v>271320</v>
      </c>
      <c r="BN22" s="13">
        <f t="shared" si="0"/>
        <v>261919.2</v>
      </c>
      <c r="BO22" s="14">
        <f t="shared" si="1"/>
        <v>183343.44</v>
      </c>
    </row>
    <row r="23" spans="1:67" x14ac:dyDescent="0.4">
      <c r="A23" s="5" t="s">
        <v>29</v>
      </c>
      <c r="B23" s="5" t="s">
        <v>69</v>
      </c>
      <c r="C23" s="5">
        <v>369720</v>
      </c>
      <c r="D23" s="6"/>
      <c r="E23" s="5" t="s">
        <v>31</v>
      </c>
      <c r="F23" s="5" t="s">
        <v>70</v>
      </c>
      <c r="G23" s="5" t="s">
        <v>51</v>
      </c>
      <c r="H23" s="7" t="s">
        <v>8</v>
      </c>
      <c r="I23" s="7" t="s">
        <v>71</v>
      </c>
      <c r="J23" s="7">
        <v>0</v>
      </c>
      <c r="K23" s="7">
        <v>316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92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8">
        <v>1579</v>
      </c>
      <c r="AF23" s="8">
        <v>125720</v>
      </c>
      <c r="AG23" s="8">
        <v>35800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122</v>
      </c>
      <c r="AR23" s="8">
        <v>11900</v>
      </c>
      <c r="AS23" s="7">
        <v>300</v>
      </c>
      <c r="AT23" s="7">
        <v>0</v>
      </c>
      <c r="AU23" s="7">
        <v>0</v>
      </c>
      <c r="AV23" s="7">
        <v>0</v>
      </c>
      <c r="AW23" s="7">
        <v>171</v>
      </c>
      <c r="AX23" s="8">
        <v>20520</v>
      </c>
      <c r="AY23" s="7">
        <v>0</v>
      </c>
      <c r="AZ23" s="7">
        <v>0</v>
      </c>
      <c r="BA23" s="7">
        <v>0</v>
      </c>
      <c r="BB23" s="7">
        <v>0</v>
      </c>
      <c r="BC23" s="7">
        <v>594</v>
      </c>
      <c r="BD23" s="8">
        <v>70680</v>
      </c>
      <c r="BE23" s="7">
        <v>500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9">
        <v>6292.8</v>
      </c>
      <c r="BM23" s="10">
        <v>265420</v>
      </c>
      <c r="BN23" s="13">
        <f t="shared" si="0"/>
        <v>259127.2</v>
      </c>
      <c r="BO23" s="14">
        <f t="shared" si="1"/>
        <v>181389.04</v>
      </c>
    </row>
    <row r="24" spans="1:67" x14ac:dyDescent="0.4">
      <c r="A24" s="5" t="s">
        <v>29</v>
      </c>
      <c r="B24" s="5" t="s">
        <v>111</v>
      </c>
      <c r="C24" s="5">
        <v>211158</v>
      </c>
      <c r="D24" s="6"/>
      <c r="E24" s="5" t="s">
        <v>31</v>
      </c>
      <c r="F24" s="5" t="s">
        <v>47</v>
      </c>
      <c r="G24" s="5" t="s">
        <v>11</v>
      </c>
      <c r="H24" s="7" t="s">
        <v>7</v>
      </c>
      <c r="I24" s="7" t="s">
        <v>112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831</v>
      </c>
      <c r="AF24" s="8">
        <v>59880</v>
      </c>
      <c r="AG24" s="8">
        <v>28000</v>
      </c>
      <c r="AH24" s="7">
        <v>0</v>
      </c>
      <c r="AI24" s="7">
        <v>0</v>
      </c>
      <c r="AJ24" s="7">
        <v>0</v>
      </c>
      <c r="AK24" s="7">
        <v>90</v>
      </c>
      <c r="AL24" s="7">
        <v>0</v>
      </c>
      <c r="AM24" s="8">
        <v>9000</v>
      </c>
      <c r="AN24" s="7">
        <v>0</v>
      </c>
      <c r="AO24" s="7">
        <v>0</v>
      </c>
      <c r="AP24" s="7">
        <v>0</v>
      </c>
      <c r="AQ24" s="7">
        <v>166</v>
      </c>
      <c r="AR24" s="8">
        <v>15200</v>
      </c>
      <c r="AS24" s="8">
        <v>1400</v>
      </c>
      <c r="AT24" s="7">
        <v>0</v>
      </c>
      <c r="AU24" s="7">
        <v>0</v>
      </c>
      <c r="AV24" s="7">
        <v>0</v>
      </c>
      <c r="AW24" s="7">
        <v>11</v>
      </c>
      <c r="AX24" s="8">
        <v>1320</v>
      </c>
      <c r="AY24" s="7">
        <v>0</v>
      </c>
      <c r="AZ24" s="7">
        <v>0</v>
      </c>
      <c r="BA24" s="7">
        <v>0</v>
      </c>
      <c r="BB24" s="7">
        <v>0</v>
      </c>
      <c r="BC24" s="7">
        <v>546</v>
      </c>
      <c r="BD24" s="8">
        <v>64920</v>
      </c>
      <c r="BE24" s="7">
        <v>500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9">
        <v>4027.2</v>
      </c>
      <c r="BM24" s="10">
        <v>180220</v>
      </c>
      <c r="BN24" s="13">
        <f t="shared" si="0"/>
        <v>176192.8</v>
      </c>
      <c r="BO24" s="14">
        <f t="shared" si="1"/>
        <v>123334.95999999998</v>
      </c>
    </row>
    <row r="25" spans="1:67" x14ac:dyDescent="0.4">
      <c r="A25" s="5" t="s">
        <v>29</v>
      </c>
      <c r="B25" s="5" t="s">
        <v>86</v>
      </c>
      <c r="C25" s="5">
        <v>442274</v>
      </c>
      <c r="D25" s="6"/>
      <c r="E25" s="5" t="s">
        <v>31</v>
      </c>
      <c r="F25" s="5" t="s">
        <v>87</v>
      </c>
      <c r="G25" s="5" t="s">
        <v>11</v>
      </c>
      <c r="H25" s="7" t="s">
        <v>7</v>
      </c>
      <c r="I25" s="7" t="s">
        <v>88</v>
      </c>
      <c r="J25" s="7">
        <v>0</v>
      </c>
      <c r="K25" s="8">
        <v>1800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845</v>
      </c>
      <c r="AF25" s="8">
        <v>58800</v>
      </c>
      <c r="AG25" s="8">
        <v>26700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240</v>
      </c>
      <c r="AR25" s="8">
        <v>24000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588</v>
      </c>
      <c r="BD25" s="8">
        <v>69960</v>
      </c>
      <c r="BE25" s="7">
        <v>500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9">
        <v>4197.6000000000004</v>
      </c>
      <c r="BM25" s="10">
        <v>179960</v>
      </c>
      <c r="BN25" s="13">
        <f t="shared" si="0"/>
        <v>175762.4</v>
      </c>
      <c r="BO25" s="14">
        <f t="shared" si="1"/>
        <v>123033.68</v>
      </c>
    </row>
    <row r="26" spans="1:67" x14ac:dyDescent="0.4">
      <c r="A26" s="5" t="s">
        <v>29</v>
      </c>
      <c r="B26" s="5" t="s">
        <v>92</v>
      </c>
      <c r="C26" s="5">
        <v>465250</v>
      </c>
      <c r="D26" s="6"/>
      <c r="E26" s="5" t="s">
        <v>31</v>
      </c>
      <c r="F26" s="5" t="s">
        <v>93</v>
      </c>
      <c r="G26" s="5" t="s">
        <v>33</v>
      </c>
      <c r="H26" s="7" t="s">
        <v>7</v>
      </c>
      <c r="I26" s="7" t="s">
        <v>94</v>
      </c>
      <c r="J26" s="7">
        <v>0</v>
      </c>
      <c r="K26" s="7">
        <v>66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771</v>
      </c>
      <c r="AF26" s="8">
        <v>72600</v>
      </c>
      <c r="AG26" s="8">
        <v>8200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90</v>
      </c>
      <c r="AR26" s="8">
        <v>8800</v>
      </c>
      <c r="AS26" s="7">
        <v>200</v>
      </c>
      <c r="AT26" s="7">
        <v>0</v>
      </c>
      <c r="AU26" s="7">
        <v>0</v>
      </c>
      <c r="AV26" s="7">
        <v>0</v>
      </c>
      <c r="AW26" s="7">
        <v>16</v>
      </c>
      <c r="AX26" s="8">
        <v>1920</v>
      </c>
      <c r="AY26" s="7">
        <v>0</v>
      </c>
      <c r="AZ26" s="7">
        <v>0</v>
      </c>
      <c r="BA26" s="7">
        <v>0</v>
      </c>
      <c r="BB26" s="7">
        <v>0</v>
      </c>
      <c r="BC26" s="7">
        <v>689</v>
      </c>
      <c r="BD26" s="8">
        <v>82680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9">
        <v>5152.8</v>
      </c>
      <c r="BM26" s="10">
        <v>174400</v>
      </c>
      <c r="BN26" s="13">
        <f t="shared" si="0"/>
        <v>169247.2</v>
      </c>
      <c r="BO26" s="14">
        <f t="shared" si="1"/>
        <v>118473.04</v>
      </c>
    </row>
    <row r="27" spans="1:67" x14ac:dyDescent="0.4">
      <c r="A27" s="5" t="s">
        <v>29</v>
      </c>
      <c r="B27" s="5" t="s">
        <v>75</v>
      </c>
      <c r="C27" s="5">
        <v>464776</v>
      </c>
      <c r="D27" s="6"/>
      <c r="E27" s="5" t="s">
        <v>31</v>
      </c>
      <c r="F27" s="5" t="s">
        <v>76</v>
      </c>
      <c r="G27" s="5" t="s">
        <v>33</v>
      </c>
      <c r="H27" s="7" t="s">
        <v>10</v>
      </c>
      <c r="I27" s="7" t="s">
        <v>77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596</v>
      </c>
      <c r="AF27" s="8">
        <v>43400</v>
      </c>
      <c r="AG27" s="8">
        <v>17600</v>
      </c>
      <c r="AH27" s="7">
        <v>0</v>
      </c>
      <c r="AI27" s="7">
        <v>0</v>
      </c>
      <c r="AJ27" s="7">
        <v>0</v>
      </c>
      <c r="AK27" s="7">
        <v>35</v>
      </c>
      <c r="AL27" s="8">
        <v>4365</v>
      </c>
      <c r="AM27" s="7">
        <v>0</v>
      </c>
      <c r="AN27" s="7">
        <v>0</v>
      </c>
      <c r="AO27" s="7">
        <v>0</v>
      </c>
      <c r="AP27" s="7">
        <v>0</v>
      </c>
      <c r="AQ27" s="7">
        <v>446</v>
      </c>
      <c r="AR27" s="8">
        <v>44400</v>
      </c>
      <c r="AS27" s="7">
        <v>200</v>
      </c>
      <c r="AT27" s="7">
        <v>0</v>
      </c>
      <c r="AU27" s="7">
        <v>0</v>
      </c>
      <c r="AV27" s="7">
        <v>0</v>
      </c>
      <c r="AW27" s="7">
        <v>60</v>
      </c>
      <c r="AX27" s="8">
        <v>7200</v>
      </c>
      <c r="AY27" s="7">
        <v>0</v>
      </c>
      <c r="AZ27" s="7">
        <v>0</v>
      </c>
      <c r="BA27" s="7">
        <v>0</v>
      </c>
      <c r="BB27" s="7">
        <v>0</v>
      </c>
      <c r="BC27" s="7">
        <v>460</v>
      </c>
      <c r="BD27" s="8">
        <v>54600</v>
      </c>
      <c r="BE27" s="7">
        <v>500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9">
        <v>5305.5</v>
      </c>
      <c r="BM27" s="10">
        <v>172265</v>
      </c>
      <c r="BN27" s="13">
        <f t="shared" si="0"/>
        <v>166959.5</v>
      </c>
      <c r="BO27" s="14">
        <f t="shared" si="1"/>
        <v>116871.65</v>
      </c>
    </row>
    <row r="28" spans="1:67" x14ac:dyDescent="0.4">
      <c r="A28" s="5" t="s">
        <v>29</v>
      </c>
      <c r="B28" s="5" t="s">
        <v>139</v>
      </c>
      <c r="C28" s="5">
        <v>390809</v>
      </c>
      <c r="D28" s="6"/>
      <c r="E28" s="5" t="s">
        <v>31</v>
      </c>
      <c r="F28" s="5" t="s">
        <v>140</v>
      </c>
      <c r="G28" s="5" t="s">
        <v>51</v>
      </c>
      <c r="H28" s="7" t="s">
        <v>8</v>
      </c>
      <c r="I28" s="7" t="s">
        <v>52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23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318</v>
      </c>
      <c r="AF28" s="8">
        <v>32440</v>
      </c>
      <c r="AG28" s="8">
        <v>2500</v>
      </c>
      <c r="AH28" s="7">
        <v>0</v>
      </c>
      <c r="AI28" s="7">
        <v>0</v>
      </c>
      <c r="AJ28" s="7">
        <v>0</v>
      </c>
      <c r="AK28" s="7">
        <v>4</v>
      </c>
      <c r="AL28" s="7">
        <v>0</v>
      </c>
      <c r="AM28" s="7">
        <v>400</v>
      </c>
      <c r="AN28" s="7">
        <v>0</v>
      </c>
      <c r="AO28" s="7">
        <v>0</v>
      </c>
      <c r="AP28" s="7">
        <v>0</v>
      </c>
      <c r="AQ28" s="7">
        <v>185</v>
      </c>
      <c r="AR28" s="8">
        <v>18500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826</v>
      </c>
      <c r="BD28" s="8">
        <v>98520</v>
      </c>
      <c r="BE28" s="7">
        <v>500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9">
        <v>5911.2</v>
      </c>
      <c r="BM28" s="10">
        <v>152860</v>
      </c>
      <c r="BN28" s="13">
        <f t="shared" si="0"/>
        <v>146948.79999999999</v>
      </c>
      <c r="BO28" s="14">
        <f t="shared" si="1"/>
        <v>102864.15999999999</v>
      </c>
    </row>
    <row r="29" spans="1:67" x14ac:dyDescent="0.4">
      <c r="A29" s="5" t="s">
        <v>29</v>
      </c>
      <c r="B29" s="5" t="s">
        <v>135</v>
      </c>
      <c r="C29" s="5">
        <v>415710</v>
      </c>
      <c r="D29" s="6"/>
      <c r="E29" s="5" t="s">
        <v>31</v>
      </c>
      <c r="F29" s="5" t="s">
        <v>70</v>
      </c>
      <c r="G29" s="5" t="s">
        <v>51</v>
      </c>
      <c r="H29" s="7" t="s">
        <v>8</v>
      </c>
      <c r="I29" s="7" t="s">
        <v>136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6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455</v>
      </c>
      <c r="AF29" s="8">
        <v>48520</v>
      </c>
      <c r="AG29" s="8">
        <v>1800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83</v>
      </c>
      <c r="AR29" s="8">
        <v>8300</v>
      </c>
      <c r="AS29" s="7">
        <v>0</v>
      </c>
      <c r="AT29" s="7">
        <v>0</v>
      </c>
      <c r="AU29" s="7">
        <v>0</v>
      </c>
      <c r="AV29" s="7">
        <v>0</v>
      </c>
      <c r="AW29" s="7">
        <v>5</v>
      </c>
      <c r="AX29" s="7">
        <v>600</v>
      </c>
      <c r="AY29" s="7">
        <v>0</v>
      </c>
      <c r="AZ29" s="7">
        <v>0</v>
      </c>
      <c r="BA29" s="7">
        <v>0</v>
      </c>
      <c r="BB29" s="7">
        <v>0</v>
      </c>
      <c r="BC29" s="7">
        <v>627</v>
      </c>
      <c r="BD29" s="8">
        <v>75240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9">
        <v>4574.3999999999996</v>
      </c>
      <c r="BM29" s="10">
        <v>134460</v>
      </c>
      <c r="BN29" s="13">
        <f t="shared" si="0"/>
        <v>129885.6</v>
      </c>
      <c r="BO29" s="14">
        <f t="shared" si="1"/>
        <v>90919.92</v>
      </c>
    </row>
    <row r="30" spans="1:67" x14ac:dyDescent="0.4">
      <c r="A30" s="5" t="s">
        <v>29</v>
      </c>
      <c r="B30" s="5" t="s">
        <v>109</v>
      </c>
      <c r="C30" s="5">
        <v>462353</v>
      </c>
      <c r="D30" s="6"/>
      <c r="E30" s="5" t="s">
        <v>31</v>
      </c>
      <c r="F30" s="5" t="s">
        <v>56</v>
      </c>
      <c r="G30" s="5" t="s">
        <v>11</v>
      </c>
      <c r="H30" s="7" t="s">
        <v>7</v>
      </c>
      <c r="I30" s="7" t="s">
        <v>110</v>
      </c>
      <c r="J30" s="7">
        <v>4</v>
      </c>
      <c r="K30" s="7">
        <v>0</v>
      </c>
      <c r="L30" s="7">
        <v>400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34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387</v>
      </c>
      <c r="AF30" s="8">
        <v>23960</v>
      </c>
      <c r="AG30" s="8">
        <v>14800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132</v>
      </c>
      <c r="AR30" s="8">
        <v>13200</v>
      </c>
      <c r="AS30" s="7">
        <v>0</v>
      </c>
      <c r="AT30" s="7">
        <v>0</v>
      </c>
      <c r="AU30" s="7">
        <v>0</v>
      </c>
      <c r="AV30" s="7">
        <v>0</v>
      </c>
      <c r="AW30" s="7">
        <v>246</v>
      </c>
      <c r="AX30" s="8">
        <v>29520</v>
      </c>
      <c r="AY30" s="7">
        <v>0</v>
      </c>
      <c r="AZ30" s="7">
        <v>0</v>
      </c>
      <c r="BA30" s="7">
        <v>0</v>
      </c>
      <c r="BB30" s="7">
        <v>0</v>
      </c>
      <c r="BC30" s="7">
        <v>432</v>
      </c>
      <c r="BD30" s="8">
        <v>51840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9">
        <v>6062.4</v>
      </c>
      <c r="BM30" s="10">
        <v>133720</v>
      </c>
      <c r="BN30" s="13">
        <f t="shared" si="0"/>
        <v>127657.60000000001</v>
      </c>
      <c r="BO30" s="14">
        <f t="shared" si="1"/>
        <v>89360.319999999992</v>
      </c>
    </row>
    <row r="31" spans="1:67" x14ac:dyDescent="0.4">
      <c r="A31" s="5" t="s">
        <v>29</v>
      </c>
      <c r="B31" s="5" t="s">
        <v>214</v>
      </c>
      <c r="C31" s="5">
        <v>445861</v>
      </c>
      <c r="D31" s="6"/>
      <c r="E31" s="5" t="s">
        <v>31</v>
      </c>
      <c r="F31" s="5" t="s">
        <v>65</v>
      </c>
      <c r="G31" s="5" t="s">
        <v>51</v>
      </c>
      <c r="H31" s="7" t="s">
        <v>8</v>
      </c>
      <c r="I31" s="7" t="s">
        <v>215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12</v>
      </c>
      <c r="AC31" s="8">
        <v>21580</v>
      </c>
      <c r="AD31" s="8">
        <v>3400</v>
      </c>
      <c r="AE31" s="7">
        <v>15</v>
      </c>
      <c r="AF31" s="8">
        <v>23740</v>
      </c>
      <c r="AG31" s="8">
        <v>17700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1</v>
      </c>
      <c r="AO31" s="8">
        <v>2200</v>
      </c>
      <c r="AP31" s="7">
        <v>0</v>
      </c>
      <c r="AQ31" s="7">
        <v>4</v>
      </c>
      <c r="AR31" s="8">
        <v>11200</v>
      </c>
      <c r="AS31" s="7">
        <v>0</v>
      </c>
      <c r="AT31" s="7">
        <v>3</v>
      </c>
      <c r="AU31" s="8">
        <v>7920</v>
      </c>
      <c r="AV31" s="7">
        <v>0</v>
      </c>
      <c r="AW31" s="7">
        <v>3</v>
      </c>
      <c r="AX31" s="8">
        <v>10080</v>
      </c>
      <c r="AY31" s="7">
        <v>0</v>
      </c>
      <c r="AZ31" s="7">
        <v>7</v>
      </c>
      <c r="BA31" s="8">
        <v>15480</v>
      </c>
      <c r="BB31" s="7">
        <v>0</v>
      </c>
      <c r="BC31" s="7">
        <v>5</v>
      </c>
      <c r="BD31" s="8">
        <v>14760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9">
        <v>3614.4</v>
      </c>
      <c r="BM31" s="10">
        <v>128060</v>
      </c>
      <c r="BN31" s="13">
        <f t="shared" si="0"/>
        <v>124445.6</v>
      </c>
      <c r="BO31" s="14">
        <f t="shared" si="1"/>
        <v>87111.92</v>
      </c>
    </row>
    <row r="32" spans="1:67" x14ac:dyDescent="0.4">
      <c r="A32" s="5" t="s">
        <v>29</v>
      </c>
      <c r="B32" s="5" t="s">
        <v>147</v>
      </c>
      <c r="C32" s="5">
        <v>290890</v>
      </c>
      <c r="D32" s="6"/>
      <c r="E32" s="5" t="s">
        <v>31</v>
      </c>
      <c r="F32" s="5" t="s">
        <v>47</v>
      </c>
      <c r="G32" s="5" t="s">
        <v>11</v>
      </c>
      <c r="H32" s="7" t="s">
        <v>7</v>
      </c>
      <c r="I32" s="7" t="s">
        <v>148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11</v>
      </c>
      <c r="AC32" s="8">
        <v>10400</v>
      </c>
      <c r="AD32" s="7">
        <v>0</v>
      </c>
      <c r="AE32" s="7">
        <v>10</v>
      </c>
      <c r="AF32" s="8">
        <v>26300</v>
      </c>
      <c r="AG32" s="8">
        <v>5100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25</v>
      </c>
      <c r="BA32" s="8">
        <v>26280</v>
      </c>
      <c r="BB32" s="7">
        <v>0</v>
      </c>
      <c r="BC32" s="7">
        <v>13</v>
      </c>
      <c r="BD32" s="8">
        <v>45600</v>
      </c>
      <c r="BE32" s="8">
        <v>1000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9">
        <v>4312.8</v>
      </c>
      <c r="BM32" s="10">
        <v>114680</v>
      </c>
      <c r="BN32" s="13">
        <f t="shared" si="0"/>
        <v>110367.2</v>
      </c>
      <c r="BO32" s="14">
        <f t="shared" si="1"/>
        <v>77257.039999999994</v>
      </c>
    </row>
    <row r="33" spans="1:67" x14ac:dyDescent="0.4">
      <c r="A33" s="5" t="s">
        <v>29</v>
      </c>
      <c r="B33" s="5" t="s">
        <v>312</v>
      </c>
      <c r="C33" s="5">
        <v>392673</v>
      </c>
      <c r="D33" s="6"/>
      <c r="E33" s="5" t="s">
        <v>31</v>
      </c>
      <c r="F33" s="5" t="s">
        <v>123</v>
      </c>
      <c r="G33" s="5" t="s">
        <v>51</v>
      </c>
      <c r="H33" s="7" t="s">
        <v>8</v>
      </c>
      <c r="I33" s="7" t="s">
        <v>313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16</v>
      </c>
      <c r="AF33" s="8">
        <v>39560</v>
      </c>
      <c r="AG33" s="8">
        <v>8000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5</v>
      </c>
      <c r="AR33" s="8">
        <v>14000</v>
      </c>
      <c r="AS33" s="7">
        <v>0</v>
      </c>
      <c r="AT33" s="7">
        <v>0</v>
      </c>
      <c r="AU33" s="7">
        <v>0</v>
      </c>
      <c r="AV33" s="7">
        <v>0</v>
      </c>
      <c r="AW33" s="7">
        <v>2</v>
      </c>
      <c r="AX33" s="8">
        <v>7680</v>
      </c>
      <c r="AY33" s="7">
        <v>0</v>
      </c>
      <c r="AZ33" s="7">
        <v>0</v>
      </c>
      <c r="BA33" s="7">
        <v>0</v>
      </c>
      <c r="BB33" s="7">
        <v>0</v>
      </c>
      <c r="BC33" s="7">
        <v>13</v>
      </c>
      <c r="BD33" s="8">
        <v>44400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9">
        <v>3432</v>
      </c>
      <c r="BM33" s="10">
        <v>113640</v>
      </c>
      <c r="BN33" s="13">
        <f t="shared" si="0"/>
        <v>110208</v>
      </c>
      <c r="BO33" s="14">
        <f t="shared" si="1"/>
        <v>77145.599999999991</v>
      </c>
    </row>
    <row r="34" spans="1:67" x14ac:dyDescent="0.4">
      <c r="A34" s="5" t="s">
        <v>29</v>
      </c>
      <c r="B34" s="5" t="s">
        <v>120</v>
      </c>
      <c r="C34" s="5">
        <v>394830</v>
      </c>
      <c r="D34" s="6"/>
      <c r="E34" s="5" t="s">
        <v>31</v>
      </c>
      <c r="F34" s="5" t="s">
        <v>58</v>
      </c>
      <c r="G34" s="5" t="s">
        <v>51</v>
      </c>
      <c r="H34" s="7" t="s">
        <v>8</v>
      </c>
      <c r="I34" s="7" t="s">
        <v>121</v>
      </c>
      <c r="J34" s="7">
        <v>0</v>
      </c>
      <c r="K34" s="7">
        <v>5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31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398</v>
      </c>
      <c r="AF34" s="8">
        <v>34260</v>
      </c>
      <c r="AG34" s="8">
        <v>8400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84</v>
      </c>
      <c r="AR34" s="8">
        <v>8400</v>
      </c>
      <c r="AS34" s="7">
        <v>0</v>
      </c>
      <c r="AT34" s="7">
        <v>0</v>
      </c>
      <c r="AU34" s="7">
        <v>0</v>
      </c>
      <c r="AV34" s="7">
        <v>0</v>
      </c>
      <c r="AW34" s="7">
        <v>94</v>
      </c>
      <c r="AX34" s="8">
        <v>10800</v>
      </c>
      <c r="AY34" s="7">
        <v>400</v>
      </c>
      <c r="AZ34" s="7">
        <v>0</v>
      </c>
      <c r="BA34" s="7">
        <v>0</v>
      </c>
      <c r="BB34" s="7">
        <v>0</v>
      </c>
      <c r="BC34" s="7">
        <v>422</v>
      </c>
      <c r="BD34" s="8">
        <v>50640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9">
        <v>4118.3999999999996</v>
      </c>
      <c r="BM34" s="10">
        <v>112900</v>
      </c>
      <c r="BN34" s="13">
        <f t="shared" si="0"/>
        <v>108781.6</v>
      </c>
      <c r="BO34" s="14">
        <f t="shared" si="1"/>
        <v>76147.12</v>
      </c>
    </row>
    <row r="35" spans="1:67" x14ac:dyDescent="0.4">
      <c r="A35" s="5" t="s">
        <v>29</v>
      </c>
      <c r="B35" s="5" t="s">
        <v>101</v>
      </c>
      <c r="C35" s="5">
        <v>370935</v>
      </c>
      <c r="D35" s="6"/>
      <c r="E35" s="5" t="s">
        <v>31</v>
      </c>
      <c r="F35" s="5" t="s">
        <v>47</v>
      </c>
      <c r="G35" s="5" t="s">
        <v>11</v>
      </c>
      <c r="H35" s="7" t="s">
        <v>7</v>
      </c>
      <c r="I35" s="7" t="s">
        <v>102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5</v>
      </c>
      <c r="AF35" s="8">
        <v>12500</v>
      </c>
      <c r="AG35" s="8">
        <v>3200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13</v>
      </c>
      <c r="AR35" s="8">
        <v>39600</v>
      </c>
      <c r="AS35" s="8">
        <v>2000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15</v>
      </c>
      <c r="BD35" s="8">
        <v>54120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9">
        <v>3247.2</v>
      </c>
      <c r="BM35" s="10">
        <v>111420</v>
      </c>
      <c r="BN35" s="13">
        <f t="shared" si="0"/>
        <v>108172.8</v>
      </c>
      <c r="BO35" s="14">
        <f t="shared" si="1"/>
        <v>75720.959999999992</v>
      </c>
    </row>
    <row r="36" spans="1:67" x14ac:dyDescent="0.4">
      <c r="A36" s="5" t="s">
        <v>29</v>
      </c>
      <c r="B36" s="5" t="s">
        <v>89</v>
      </c>
      <c r="C36" s="5">
        <v>219203</v>
      </c>
      <c r="D36" s="6"/>
      <c r="E36" s="5" t="s">
        <v>31</v>
      </c>
      <c r="F36" s="5" t="s">
        <v>90</v>
      </c>
      <c r="G36" s="5" t="s">
        <v>11</v>
      </c>
      <c r="H36" s="7" t="s">
        <v>7</v>
      </c>
      <c r="I36" s="7" t="s">
        <v>91</v>
      </c>
      <c r="J36" s="7">
        <v>15</v>
      </c>
      <c r="K36" s="7">
        <v>18</v>
      </c>
      <c r="L36" s="8">
        <v>1500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381</v>
      </c>
      <c r="AC36" s="8">
        <v>21860</v>
      </c>
      <c r="AD36" s="8">
        <v>17100</v>
      </c>
      <c r="AE36" s="7">
        <v>85</v>
      </c>
      <c r="AF36" s="8">
        <v>10900</v>
      </c>
      <c r="AG36" s="8">
        <v>14600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77</v>
      </c>
      <c r="AO36" s="8">
        <v>7700</v>
      </c>
      <c r="AP36" s="7">
        <v>0</v>
      </c>
      <c r="AQ36" s="7">
        <v>1</v>
      </c>
      <c r="AR36" s="7">
        <v>300</v>
      </c>
      <c r="AS36" s="7">
        <v>0</v>
      </c>
      <c r="AT36" s="7">
        <v>4</v>
      </c>
      <c r="AU36" s="7">
        <v>480</v>
      </c>
      <c r="AV36" s="7">
        <v>0</v>
      </c>
      <c r="AW36" s="7">
        <v>0</v>
      </c>
      <c r="AX36" s="7">
        <v>0</v>
      </c>
      <c r="AY36" s="7">
        <v>0</v>
      </c>
      <c r="AZ36" s="7">
        <v>302</v>
      </c>
      <c r="BA36" s="8">
        <v>36240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9">
        <v>2222.4</v>
      </c>
      <c r="BM36" s="10">
        <v>110680</v>
      </c>
      <c r="BN36" s="13">
        <f t="shared" si="0"/>
        <v>108457.60000000001</v>
      </c>
      <c r="BO36" s="14">
        <f t="shared" si="1"/>
        <v>75920.319999999992</v>
      </c>
    </row>
    <row r="37" spans="1:67" x14ac:dyDescent="0.4">
      <c r="A37" s="5" t="s">
        <v>29</v>
      </c>
      <c r="B37" s="5" t="s">
        <v>113</v>
      </c>
      <c r="C37" s="5">
        <v>395179</v>
      </c>
      <c r="D37" s="6"/>
      <c r="E37" s="5" t="s">
        <v>31</v>
      </c>
      <c r="F37" s="5" t="s">
        <v>114</v>
      </c>
      <c r="G37" s="5" t="s">
        <v>11</v>
      </c>
      <c r="H37" s="7" t="s">
        <v>7</v>
      </c>
      <c r="I37" s="7" t="s">
        <v>115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15</v>
      </c>
      <c r="AF37" s="8">
        <v>30800</v>
      </c>
      <c r="AG37" s="8">
        <v>18800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12</v>
      </c>
      <c r="AX37" s="8">
        <v>46080</v>
      </c>
      <c r="AY37" s="7">
        <v>0</v>
      </c>
      <c r="AZ37" s="7">
        <v>0</v>
      </c>
      <c r="BA37" s="7">
        <v>0</v>
      </c>
      <c r="BB37" s="7">
        <v>0</v>
      </c>
      <c r="BC37" s="7">
        <v>4</v>
      </c>
      <c r="BD37" s="8">
        <v>13800</v>
      </c>
      <c r="BE37" s="7">
        <v>500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9">
        <v>5436</v>
      </c>
      <c r="BM37" s="10">
        <v>109980</v>
      </c>
      <c r="BN37" s="13">
        <f t="shared" si="0"/>
        <v>104544</v>
      </c>
      <c r="BO37" s="14">
        <f t="shared" si="1"/>
        <v>73180.799999999988</v>
      </c>
    </row>
    <row r="38" spans="1:67" x14ac:dyDescent="0.4">
      <c r="A38" s="5" t="s">
        <v>29</v>
      </c>
      <c r="B38" s="5" t="s">
        <v>162</v>
      </c>
      <c r="C38" s="5">
        <v>367994</v>
      </c>
      <c r="D38" s="6"/>
      <c r="E38" s="5" t="s">
        <v>31</v>
      </c>
      <c r="F38" s="5" t="s">
        <v>50</v>
      </c>
      <c r="G38" s="5" t="s">
        <v>51</v>
      </c>
      <c r="H38" s="7" t="s">
        <v>8</v>
      </c>
      <c r="I38" s="7" t="s">
        <v>163</v>
      </c>
      <c r="J38" s="7">
        <v>0</v>
      </c>
      <c r="K38" s="7">
        <v>1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25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294</v>
      </c>
      <c r="AF38" s="8">
        <v>29620</v>
      </c>
      <c r="AG38" s="8">
        <v>1100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150</v>
      </c>
      <c r="AR38" s="8">
        <v>15000</v>
      </c>
      <c r="AS38" s="7">
        <v>0</v>
      </c>
      <c r="AT38" s="7">
        <v>0</v>
      </c>
      <c r="AU38" s="7">
        <v>0</v>
      </c>
      <c r="AV38" s="7">
        <v>0</v>
      </c>
      <c r="AW38" s="7">
        <v>1</v>
      </c>
      <c r="AX38" s="7">
        <v>120</v>
      </c>
      <c r="AY38" s="7">
        <v>0</v>
      </c>
      <c r="AZ38" s="7">
        <v>0</v>
      </c>
      <c r="BA38" s="7">
        <v>0</v>
      </c>
      <c r="BB38" s="7">
        <v>0</v>
      </c>
      <c r="BC38" s="7">
        <v>494</v>
      </c>
      <c r="BD38" s="8">
        <v>58800</v>
      </c>
      <c r="BE38" s="7">
        <v>400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9">
        <v>3540</v>
      </c>
      <c r="BM38" s="10">
        <v>105040</v>
      </c>
      <c r="BN38" s="13">
        <f t="shared" si="0"/>
        <v>101500</v>
      </c>
      <c r="BO38" s="14">
        <f t="shared" si="1"/>
        <v>71050</v>
      </c>
    </row>
    <row r="39" spans="1:67" x14ac:dyDescent="0.4">
      <c r="A39" s="5" t="s">
        <v>29</v>
      </c>
      <c r="B39" s="5" t="s">
        <v>152</v>
      </c>
      <c r="C39" s="5">
        <v>359912</v>
      </c>
      <c r="D39" s="6"/>
      <c r="E39" s="5" t="s">
        <v>31</v>
      </c>
      <c r="F39" s="5" t="s">
        <v>153</v>
      </c>
      <c r="G39" s="5" t="s">
        <v>51</v>
      </c>
      <c r="H39" s="7" t="s">
        <v>8</v>
      </c>
      <c r="I39" s="7" t="s">
        <v>480</v>
      </c>
      <c r="J39" s="7">
        <v>0</v>
      </c>
      <c r="K39" s="7">
        <v>2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47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474</v>
      </c>
      <c r="AF39" s="8">
        <v>34960</v>
      </c>
      <c r="AG39" s="8">
        <v>13100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240</v>
      </c>
      <c r="AR39" s="8">
        <v>24000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231</v>
      </c>
      <c r="BD39" s="8">
        <v>27720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9">
        <v>1663.2</v>
      </c>
      <c r="BM39" s="10">
        <v>99780</v>
      </c>
      <c r="BN39" s="13">
        <f t="shared" si="0"/>
        <v>98116.800000000003</v>
      </c>
      <c r="BO39" s="14">
        <f t="shared" si="1"/>
        <v>68681.759999999995</v>
      </c>
    </row>
    <row r="40" spans="1:67" x14ac:dyDescent="0.4">
      <c r="A40" s="5" t="s">
        <v>29</v>
      </c>
      <c r="B40" s="5" t="s">
        <v>103</v>
      </c>
      <c r="C40" s="5">
        <v>422032</v>
      </c>
      <c r="D40" s="6"/>
      <c r="E40" s="5" t="s">
        <v>31</v>
      </c>
      <c r="F40" s="5" t="s">
        <v>104</v>
      </c>
      <c r="G40" s="5" t="s">
        <v>11</v>
      </c>
      <c r="H40" s="7" t="s">
        <v>10</v>
      </c>
      <c r="I40" s="7" t="s">
        <v>105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13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573</v>
      </c>
      <c r="AF40" s="8">
        <v>46000</v>
      </c>
      <c r="AG40" s="8">
        <v>12600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31</v>
      </c>
      <c r="AR40" s="8">
        <v>3100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278</v>
      </c>
      <c r="BD40" s="8">
        <v>33360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9">
        <v>2001.6</v>
      </c>
      <c r="BM40" s="10">
        <v>95060</v>
      </c>
      <c r="BN40" s="13">
        <f t="shared" si="0"/>
        <v>93058.4</v>
      </c>
      <c r="BO40" s="14">
        <f t="shared" si="1"/>
        <v>65140.87999999999</v>
      </c>
    </row>
    <row r="41" spans="1:67" x14ac:dyDescent="0.4">
      <c r="A41" s="5" t="s">
        <v>29</v>
      </c>
      <c r="B41" s="5" t="s">
        <v>125</v>
      </c>
      <c r="C41" s="5">
        <v>428379</v>
      </c>
      <c r="D41" s="6"/>
      <c r="E41" s="5" t="s">
        <v>31</v>
      </c>
      <c r="F41" s="5" t="s">
        <v>126</v>
      </c>
      <c r="G41" s="5" t="s">
        <v>11</v>
      </c>
      <c r="H41" s="7" t="s">
        <v>8</v>
      </c>
      <c r="I41" s="7" t="s">
        <v>127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3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249</v>
      </c>
      <c r="AF41" s="8">
        <v>19920</v>
      </c>
      <c r="AG41" s="8">
        <v>5700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47</v>
      </c>
      <c r="AR41" s="8">
        <v>4600</v>
      </c>
      <c r="AS41" s="7">
        <v>100</v>
      </c>
      <c r="AT41" s="7">
        <v>0</v>
      </c>
      <c r="AU41" s="7">
        <v>0</v>
      </c>
      <c r="AV41" s="7">
        <v>0</v>
      </c>
      <c r="AW41" s="7">
        <v>115</v>
      </c>
      <c r="AX41" s="8">
        <v>13800</v>
      </c>
      <c r="AY41" s="7">
        <v>0</v>
      </c>
      <c r="AZ41" s="7">
        <v>0</v>
      </c>
      <c r="BA41" s="7">
        <v>0</v>
      </c>
      <c r="BB41" s="7">
        <v>0</v>
      </c>
      <c r="BC41" s="7">
        <v>394</v>
      </c>
      <c r="BD41" s="8">
        <v>47160</v>
      </c>
      <c r="BE41" s="7">
        <v>100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9">
        <v>4209.6000000000004</v>
      </c>
      <c r="BM41" s="10">
        <v>91380</v>
      </c>
      <c r="BN41" s="13">
        <f t="shared" si="0"/>
        <v>87170.4</v>
      </c>
      <c r="BO41" s="14">
        <f t="shared" si="1"/>
        <v>61019.279999999992</v>
      </c>
    </row>
    <row r="42" spans="1:67" x14ac:dyDescent="0.4">
      <c r="A42" s="5" t="s">
        <v>29</v>
      </c>
      <c r="B42" s="5" t="s">
        <v>132</v>
      </c>
      <c r="C42" s="5">
        <v>422368</v>
      </c>
      <c r="D42" s="6"/>
      <c r="E42" s="5" t="s">
        <v>31</v>
      </c>
      <c r="F42" s="5" t="s">
        <v>133</v>
      </c>
      <c r="G42" s="5" t="s">
        <v>11</v>
      </c>
      <c r="H42" s="7" t="s">
        <v>7</v>
      </c>
      <c r="I42" s="7" t="s">
        <v>134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6</v>
      </c>
      <c r="AF42" s="8">
        <v>19200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2</v>
      </c>
      <c r="AR42" s="8">
        <v>6400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17</v>
      </c>
      <c r="BD42" s="8">
        <v>64680</v>
      </c>
      <c r="BE42" s="7">
        <v>500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9">
        <v>3880.8</v>
      </c>
      <c r="BM42" s="10">
        <v>90780</v>
      </c>
      <c r="BN42" s="13">
        <f t="shared" si="0"/>
        <v>86899.199999999997</v>
      </c>
      <c r="BO42" s="14">
        <f t="shared" si="1"/>
        <v>60829.439999999995</v>
      </c>
    </row>
    <row r="43" spans="1:67" x14ac:dyDescent="0.4">
      <c r="A43" s="5" t="s">
        <v>29</v>
      </c>
      <c r="B43" s="5" t="s">
        <v>98</v>
      </c>
      <c r="C43" s="5">
        <v>429621</v>
      </c>
      <c r="D43" s="6"/>
      <c r="E43" s="5" t="s">
        <v>31</v>
      </c>
      <c r="F43" s="5" t="s">
        <v>99</v>
      </c>
      <c r="G43" s="5" t="s">
        <v>11</v>
      </c>
      <c r="H43" s="7" t="s">
        <v>8</v>
      </c>
      <c r="I43" s="7" t="s">
        <v>100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17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112</v>
      </c>
      <c r="AF43" s="8">
        <v>5480</v>
      </c>
      <c r="AG43" s="8">
        <v>6200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98</v>
      </c>
      <c r="AR43" s="8">
        <v>9600</v>
      </c>
      <c r="AS43" s="7">
        <v>200</v>
      </c>
      <c r="AT43" s="7">
        <v>0</v>
      </c>
      <c r="AU43" s="7">
        <v>0</v>
      </c>
      <c r="AV43" s="7">
        <v>0</v>
      </c>
      <c r="AW43" s="7">
        <v>9</v>
      </c>
      <c r="AX43" s="8">
        <v>1080</v>
      </c>
      <c r="AY43" s="7">
        <v>0</v>
      </c>
      <c r="AZ43" s="7">
        <v>0</v>
      </c>
      <c r="BA43" s="7">
        <v>0</v>
      </c>
      <c r="BB43" s="7">
        <v>0</v>
      </c>
      <c r="BC43" s="7">
        <v>562</v>
      </c>
      <c r="BD43" s="8">
        <v>66840</v>
      </c>
      <c r="BE43" s="7">
        <v>500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9">
        <v>4118.3999999999996</v>
      </c>
      <c r="BM43" s="10">
        <v>89900</v>
      </c>
      <c r="BN43" s="13">
        <f t="shared" si="0"/>
        <v>85781.6</v>
      </c>
      <c r="BO43" s="14">
        <f t="shared" si="1"/>
        <v>60047.12</v>
      </c>
    </row>
    <row r="44" spans="1:67" x14ac:dyDescent="0.4">
      <c r="A44" s="5" t="s">
        <v>29</v>
      </c>
      <c r="B44" s="5" t="s">
        <v>118</v>
      </c>
      <c r="C44" s="5">
        <v>287641</v>
      </c>
      <c r="D44" s="6"/>
      <c r="E44" s="5" t="s">
        <v>31</v>
      </c>
      <c r="F44" s="5" t="s">
        <v>47</v>
      </c>
      <c r="G44" s="5" t="s">
        <v>11</v>
      </c>
      <c r="H44" s="7" t="s">
        <v>7</v>
      </c>
      <c r="I44" s="7" t="s">
        <v>119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13</v>
      </c>
      <c r="AF44" s="8">
        <v>47380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1</v>
      </c>
      <c r="AX44" s="8">
        <v>3840</v>
      </c>
      <c r="AY44" s="7">
        <v>0</v>
      </c>
      <c r="AZ44" s="7">
        <v>0</v>
      </c>
      <c r="BA44" s="7">
        <v>0</v>
      </c>
      <c r="BB44" s="7">
        <v>0</v>
      </c>
      <c r="BC44" s="7">
        <v>10</v>
      </c>
      <c r="BD44" s="8">
        <v>35880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9">
        <v>2536.8000000000002</v>
      </c>
      <c r="BM44" s="10">
        <v>87100</v>
      </c>
      <c r="BN44" s="13">
        <f t="shared" si="0"/>
        <v>84563.199999999997</v>
      </c>
      <c r="BO44" s="14">
        <f t="shared" si="1"/>
        <v>59194.239999999991</v>
      </c>
    </row>
    <row r="45" spans="1:67" ht="19.2" x14ac:dyDescent="0.4">
      <c r="A45" s="5" t="s">
        <v>29</v>
      </c>
      <c r="B45" s="5" t="s">
        <v>128</v>
      </c>
      <c r="C45" s="5">
        <v>425289</v>
      </c>
      <c r="D45" s="6"/>
      <c r="E45" s="5" t="s">
        <v>31</v>
      </c>
      <c r="F45" s="5" t="s">
        <v>114</v>
      </c>
      <c r="G45" s="5" t="s">
        <v>11</v>
      </c>
      <c r="H45" s="7" t="s">
        <v>7</v>
      </c>
      <c r="I45" s="7" t="s">
        <v>129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10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326</v>
      </c>
      <c r="AF45" s="8">
        <v>28020</v>
      </c>
      <c r="AG45" s="8">
        <v>6000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30</v>
      </c>
      <c r="AR45" s="8">
        <v>3000</v>
      </c>
      <c r="AS45" s="7">
        <v>0</v>
      </c>
      <c r="AT45" s="7">
        <v>0</v>
      </c>
      <c r="AU45" s="7">
        <v>0</v>
      </c>
      <c r="AV45" s="7">
        <v>0</v>
      </c>
      <c r="AW45" s="7">
        <v>7</v>
      </c>
      <c r="AX45" s="7">
        <v>240</v>
      </c>
      <c r="AY45" s="7">
        <v>500</v>
      </c>
      <c r="AZ45" s="7">
        <v>0</v>
      </c>
      <c r="BA45" s="7">
        <v>0</v>
      </c>
      <c r="BB45" s="7">
        <v>0</v>
      </c>
      <c r="BC45" s="7">
        <v>393</v>
      </c>
      <c r="BD45" s="8">
        <v>47160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9">
        <v>2853.6</v>
      </c>
      <c r="BM45" s="10">
        <v>84920</v>
      </c>
      <c r="BN45" s="13">
        <f t="shared" si="0"/>
        <v>82066.399999999994</v>
      </c>
      <c r="BO45" s="14">
        <f t="shared" si="1"/>
        <v>57446.479999999989</v>
      </c>
    </row>
    <row r="46" spans="1:67" x14ac:dyDescent="0.4">
      <c r="A46" s="5" t="s">
        <v>29</v>
      </c>
      <c r="B46" s="5" t="s">
        <v>137</v>
      </c>
      <c r="C46" s="5">
        <v>379813</v>
      </c>
      <c r="D46" s="6"/>
      <c r="E46" s="5" t="s">
        <v>31</v>
      </c>
      <c r="F46" s="5" t="s">
        <v>47</v>
      </c>
      <c r="G46" s="5" t="s">
        <v>11</v>
      </c>
      <c r="H46" s="7" t="s">
        <v>7</v>
      </c>
      <c r="I46" s="7" t="s">
        <v>138</v>
      </c>
      <c r="J46" s="7">
        <v>0</v>
      </c>
      <c r="K46" s="7">
        <v>6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28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479</v>
      </c>
      <c r="AF46" s="8">
        <v>33620</v>
      </c>
      <c r="AG46" s="8">
        <v>17200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25</v>
      </c>
      <c r="AR46" s="8">
        <v>2500</v>
      </c>
      <c r="AS46" s="7">
        <v>0</v>
      </c>
      <c r="AT46" s="7">
        <v>0</v>
      </c>
      <c r="AU46" s="7">
        <v>0</v>
      </c>
      <c r="AV46" s="7">
        <v>0</v>
      </c>
      <c r="AW46" s="7">
        <v>47</v>
      </c>
      <c r="AX46" s="8">
        <v>5781</v>
      </c>
      <c r="AY46" s="7">
        <v>0</v>
      </c>
      <c r="AZ46" s="7">
        <v>0</v>
      </c>
      <c r="BA46" s="7">
        <v>0</v>
      </c>
      <c r="BB46" s="7">
        <v>0</v>
      </c>
      <c r="BC46" s="7">
        <v>194</v>
      </c>
      <c r="BD46" s="8">
        <v>23280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9">
        <v>1974.9</v>
      </c>
      <c r="BM46" s="10">
        <v>82381</v>
      </c>
      <c r="BN46" s="13">
        <f t="shared" si="0"/>
        <v>80406.100000000006</v>
      </c>
      <c r="BO46" s="14">
        <f t="shared" si="1"/>
        <v>56284.270000000004</v>
      </c>
    </row>
    <row r="47" spans="1:67" x14ac:dyDescent="0.4">
      <c r="A47" s="5" t="s">
        <v>29</v>
      </c>
      <c r="B47" s="5" t="s">
        <v>168</v>
      </c>
      <c r="C47" s="5">
        <v>422374</v>
      </c>
      <c r="D47" s="6"/>
      <c r="E47" s="5" t="s">
        <v>31</v>
      </c>
      <c r="F47" s="5" t="s">
        <v>169</v>
      </c>
      <c r="G47" s="5" t="s">
        <v>11</v>
      </c>
      <c r="H47" s="7" t="s">
        <v>7</v>
      </c>
      <c r="I47" s="7" t="s">
        <v>134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3</v>
      </c>
      <c r="AF47" s="8">
        <v>6600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3</v>
      </c>
      <c r="AR47" s="8">
        <v>9600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17</v>
      </c>
      <c r="BD47" s="8">
        <v>65040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9">
        <v>3902.4</v>
      </c>
      <c r="BM47" s="10">
        <v>81240</v>
      </c>
      <c r="BN47" s="13">
        <f t="shared" si="0"/>
        <v>77337.600000000006</v>
      </c>
      <c r="BO47" s="14">
        <f t="shared" si="1"/>
        <v>54136.32</v>
      </c>
    </row>
    <row r="48" spans="1:67" ht="19.2" x14ac:dyDescent="0.4">
      <c r="A48" s="5" t="s">
        <v>29</v>
      </c>
      <c r="B48" s="5" t="s">
        <v>251</v>
      </c>
      <c r="C48" s="5">
        <v>408593</v>
      </c>
      <c r="D48" s="6"/>
      <c r="E48" s="5" t="s">
        <v>31</v>
      </c>
      <c r="F48" s="5" t="s">
        <v>96</v>
      </c>
      <c r="G48" s="5" t="s">
        <v>11</v>
      </c>
      <c r="H48" s="7" t="s">
        <v>7</v>
      </c>
      <c r="I48" s="7" t="s">
        <v>252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14</v>
      </c>
      <c r="AF48" s="8">
        <v>43060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4</v>
      </c>
      <c r="AR48" s="8">
        <v>12800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5</v>
      </c>
      <c r="BD48" s="8">
        <v>17760</v>
      </c>
      <c r="BE48" s="7">
        <v>500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9">
        <v>1065.5999999999999</v>
      </c>
      <c r="BM48" s="10">
        <v>74120</v>
      </c>
      <c r="BN48" s="13">
        <f t="shared" si="0"/>
        <v>73054.399999999994</v>
      </c>
      <c r="BO48" s="14">
        <f t="shared" si="1"/>
        <v>51138.079999999994</v>
      </c>
    </row>
    <row r="49" spans="1:67" x14ac:dyDescent="0.4">
      <c r="A49" s="5" t="s">
        <v>29</v>
      </c>
      <c r="B49" s="5" t="s">
        <v>171</v>
      </c>
      <c r="C49" s="5">
        <v>350894</v>
      </c>
      <c r="D49" s="6"/>
      <c r="E49" s="5" t="s">
        <v>31</v>
      </c>
      <c r="F49" s="5" t="s">
        <v>172</v>
      </c>
      <c r="G49" s="5" t="s">
        <v>51</v>
      </c>
      <c r="H49" s="7" t="s">
        <v>8</v>
      </c>
      <c r="I49" s="7" t="s">
        <v>173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19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269</v>
      </c>
      <c r="AF49" s="8">
        <v>22340</v>
      </c>
      <c r="AG49" s="8">
        <v>6000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44</v>
      </c>
      <c r="AR49" s="8">
        <v>4400</v>
      </c>
      <c r="AS49" s="7">
        <v>0</v>
      </c>
      <c r="AT49" s="7">
        <v>0</v>
      </c>
      <c r="AU49" s="7">
        <v>0</v>
      </c>
      <c r="AV49" s="7">
        <v>0</v>
      </c>
      <c r="AW49" s="7">
        <v>229</v>
      </c>
      <c r="AX49" s="8">
        <v>26880</v>
      </c>
      <c r="AY49" s="7">
        <v>500</v>
      </c>
      <c r="AZ49" s="7">
        <v>0</v>
      </c>
      <c r="BA49" s="7">
        <v>0</v>
      </c>
      <c r="BB49" s="7">
        <v>0</v>
      </c>
      <c r="BC49" s="7">
        <v>109</v>
      </c>
      <c r="BD49" s="8">
        <v>13080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9">
        <v>3472.8</v>
      </c>
      <c r="BM49" s="10">
        <v>73200</v>
      </c>
      <c r="BN49" s="13">
        <f t="shared" si="0"/>
        <v>69727.199999999997</v>
      </c>
      <c r="BO49" s="14">
        <f t="shared" si="1"/>
        <v>48809.039999999994</v>
      </c>
    </row>
    <row r="50" spans="1:67" x14ac:dyDescent="0.4">
      <c r="A50" s="5" t="s">
        <v>29</v>
      </c>
      <c r="B50" s="5" t="s">
        <v>200</v>
      </c>
      <c r="C50" s="5">
        <v>370192</v>
      </c>
      <c r="D50" s="6"/>
      <c r="E50" s="5" t="s">
        <v>31</v>
      </c>
      <c r="F50" s="5" t="s">
        <v>153</v>
      </c>
      <c r="G50" s="5" t="s">
        <v>51</v>
      </c>
      <c r="H50" s="7" t="s">
        <v>8</v>
      </c>
      <c r="I50" s="7" t="s">
        <v>201</v>
      </c>
      <c r="J50" s="7">
        <v>0</v>
      </c>
      <c r="K50" s="7">
        <v>3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11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251</v>
      </c>
      <c r="AF50" s="8">
        <v>26680</v>
      </c>
      <c r="AG50" s="7">
        <v>700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27</v>
      </c>
      <c r="AR50" s="8">
        <v>2700</v>
      </c>
      <c r="AS50" s="7">
        <v>0</v>
      </c>
      <c r="AT50" s="7">
        <v>0</v>
      </c>
      <c r="AU50" s="7">
        <v>0</v>
      </c>
      <c r="AV50" s="7">
        <v>0</v>
      </c>
      <c r="AW50" s="7">
        <v>36</v>
      </c>
      <c r="AX50" s="8">
        <v>4320</v>
      </c>
      <c r="AY50" s="7">
        <v>0</v>
      </c>
      <c r="AZ50" s="7">
        <v>0</v>
      </c>
      <c r="BA50" s="7">
        <v>0</v>
      </c>
      <c r="BB50" s="7">
        <v>0</v>
      </c>
      <c r="BC50" s="7">
        <v>316</v>
      </c>
      <c r="BD50" s="8">
        <v>37920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9">
        <v>2707.2</v>
      </c>
      <c r="BM50" s="10">
        <v>72320</v>
      </c>
      <c r="BN50" s="13">
        <f t="shared" si="0"/>
        <v>69612.800000000003</v>
      </c>
      <c r="BO50" s="14">
        <f t="shared" si="1"/>
        <v>48728.959999999999</v>
      </c>
    </row>
    <row r="51" spans="1:67" x14ac:dyDescent="0.4">
      <c r="A51" s="5" t="s">
        <v>29</v>
      </c>
      <c r="B51" s="5" t="s">
        <v>164</v>
      </c>
      <c r="C51" s="5">
        <v>328404</v>
      </c>
      <c r="D51" s="6"/>
      <c r="E51" s="5" t="s">
        <v>31</v>
      </c>
      <c r="F51" s="5" t="s">
        <v>50</v>
      </c>
      <c r="G51" s="5" t="s">
        <v>51</v>
      </c>
      <c r="H51" s="7" t="s">
        <v>8</v>
      </c>
      <c r="I51" s="7" t="s">
        <v>165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14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365</v>
      </c>
      <c r="AF51" s="8">
        <v>29140</v>
      </c>
      <c r="AG51" s="8">
        <v>10200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87</v>
      </c>
      <c r="AR51" s="8">
        <v>8700</v>
      </c>
      <c r="AS51" s="7">
        <v>0</v>
      </c>
      <c r="AT51" s="7">
        <v>0</v>
      </c>
      <c r="AU51" s="7">
        <v>0</v>
      </c>
      <c r="AV51" s="7">
        <v>0</v>
      </c>
      <c r="AW51" s="7">
        <v>27</v>
      </c>
      <c r="AX51" s="8">
        <v>3240</v>
      </c>
      <c r="AY51" s="7">
        <v>0</v>
      </c>
      <c r="AZ51" s="7">
        <v>0</v>
      </c>
      <c r="BA51" s="7">
        <v>0</v>
      </c>
      <c r="BB51" s="7">
        <v>0</v>
      </c>
      <c r="BC51" s="7">
        <v>169</v>
      </c>
      <c r="BD51" s="8">
        <v>20280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9">
        <v>1540.8</v>
      </c>
      <c r="BM51" s="10">
        <v>71560</v>
      </c>
      <c r="BN51" s="13">
        <f t="shared" si="0"/>
        <v>70019.199999999997</v>
      </c>
      <c r="BO51" s="14">
        <f t="shared" si="1"/>
        <v>49013.439999999995</v>
      </c>
    </row>
    <row r="52" spans="1:67" x14ac:dyDescent="0.4">
      <c r="A52" s="5" t="s">
        <v>29</v>
      </c>
      <c r="B52" s="5" t="s">
        <v>155</v>
      </c>
      <c r="C52" s="5">
        <v>406849</v>
      </c>
      <c r="D52" s="6"/>
      <c r="E52" s="5" t="s">
        <v>31</v>
      </c>
      <c r="F52" s="5" t="s">
        <v>133</v>
      </c>
      <c r="G52" s="5" t="s">
        <v>11</v>
      </c>
      <c r="H52" s="7" t="s">
        <v>7</v>
      </c>
      <c r="I52" s="7" t="s">
        <v>156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35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82</v>
      </c>
      <c r="AF52" s="8">
        <v>8260</v>
      </c>
      <c r="AG52" s="7">
        <v>100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410</v>
      </c>
      <c r="AR52" s="8">
        <v>40400</v>
      </c>
      <c r="AS52" s="7">
        <v>600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174</v>
      </c>
      <c r="BD52" s="8">
        <v>20880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9">
        <v>1252.8</v>
      </c>
      <c r="BM52" s="10">
        <v>70240</v>
      </c>
      <c r="BN52" s="13">
        <f t="shared" si="0"/>
        <v>68987.199999999997</v>
      </c>
      <c r="BO52" s="14">
        <f t="shared" si="1"/>
        <v>48291.039999999994</v>
      </c>
    </row>
    <row r="53" spans="1:67" x14ac:dyDescent="0.4">
      <c r="A53" s="5" t="s">
        <v>29</v>
      </c>
      <c r="B53" s="5" t="s">
        <v>72</v>
      </c>
      <c r="C53" s="5">
        <v>463946</v>
      </c>
      <c r="D53" s="6"/>
      <c r="E53" s="5" t="s">
        <v>31</v>
      </c>
      <c r="F53" s="5" t="s">
        <v>73</v>
      </c>
      <c r="G53" s="5" t="s">
        <v>11</v>
      </c>
      <c r="H53" s="7" t="s">
        <v>7</v>
      </c>
      <c r="I53" s="7" t="s">
        <v>74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12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408</v>
      </c>
      <c r="AF53" s="8">
        <v>32800</v>
      </c>
      <c r="AG53" s="8">
        <v>8000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126</v>
      </c>
      <c r="AR53" s="8">
        <v>12600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87</v>
      </c>
      <c r="BD53" s="8">
        <v>10440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626.4</v>
      </c>
      <c r="BM53" s="10">
        <v>63840</v>
      </c>
      <c r="BN53" s="13">
        <f t="shared" si="0"/>
        <v>63213.599999999999</v>
      </c>
      <c r="BO53" s="14">
        <f t="shared" si="1"/>
        <v>44249.52</v>
      </c>
    </row>
    <row r="54" spans="1:67" x14ac:dyDescent="0.4">
      <c r="A54" s="5" t="s">
        <v>29</v>
      </c>
      <c r="B54" s="5" t="s">
        <v>122</v>
      </c>
      <c r="C54" s="5">
        <v>359539</v>
      </c>
      <c r="D54" s="6"/>
      <c r="E54" s="5" t="s">
        <v>31</v>
      </c>
      <c r="F54" s="5" t="s">
        <v>123</v>
      </c>
      <c r="G54" s="5" t="s">
        <v>51</v>
      </c>
      <c r="H54" s="7" t="s">
        <v>8</v>
      </c>
      <c r="I54" s="7" t="s">
        <v>124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12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223</v>
      </c>
      <c r="AF54" s="8">
        <v>24180</v>
      </c>
      <c r="AG54" s="7">
        <v>400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190</v>
      </c>
      <c r="AR54" s="8">
        <v>18800</v>
      </c>
      <c r="AS54" s="7">
        <v>200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162</v>
      </c>
      <c r="BD54" s="8">
        <v>18840</v>
      </c>
      <c r="BE54" s="7">
        <v>500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9">
        <v>1130.4000000000001</v>
      </c>
      <c r="BM54" s="10">
        <v>62920</v>
      </c>
      <c r="BN54" s="13">
        <f t="shared" si="0"/>
        <v>61789.599999999999</v>
      </c>
      <c r="BO54" s="14">
        <f t="shared" si="1"/>
        <v>43252.719999999994</v>
      </c>
    </row>
    <row r="55" spans="1:67" x14ac:dyDescent="0.4">
      <c r="A55" s="5" t="s">
        <v>29</v>
      </c>
      <c r="B55" s="5" t="s">
        <v>208</v>
      </c>
      <c r="C55" s="5">
        <v>325640</v>
      </c>
      <c r="D55" s="6"/>
      <c r="E55" s="5" t="s">
        <v>31</v>
      </c>
      <c r="F55" s="5" t="s">
        <v>209</v>
      </c>
      <c r="G55" s="5" t="s">
        <v>11</v>
      </c>
      <c r="H55" s="7" t="s">
        <v>7</v>
      </c>
      <c r="I55" s="7" t="s">
        <v>210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24</v>
      </c>
      <c r="T55" s="7">
        <v>18</v>
      </c>
      <c r="U55" s="7">
        <v>0</v>
      </c>
      <c r="V55" s="8">
        <v>2200</v>
      </c>
      <c r="W55" s="7">
        <v>200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360</v>
      </c>
      <c r="AF55" s="8">
        <v>21500</v>
      </c>
      <c r="AG55" s="8">
        <v>14500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23</v>
      </c>
      <c r="AX55" s="8">
        <v>2760</v>
      </c>
      <c r="AY55" s="7">
        <v>0</v>
      </c>
      <c r="AZ55" s="7">
        <v>0</v>
      </c>
      <c r="BA55" s="7">
        <v>0</v>
      </c>
      <c r="BB55" s="7">
        <v>0</v>
      </c>
      <c r="BC55" s="7">
        <v>175</v>
      </c>
      <c r="BD55" s="8">
        <v>21000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9">
        <v>1536</v>
      </c>
      <c r="BM55" s="10">
        <v>62160</v>
      </c>
      <c r="BN55" s="13">
        <f t="shared" si="0"/>
        <v>60624</v>
      </c>
      <c r="BO55" s="14">
        <f t="shared" si="1"/>
        <v>42436.799999999996</v>
      </c>
    </row>
    <row r="56" spans="1:67" x14ac:dyDescent="0.4">
      <c r="A56" s="5" t="s">
        <v>29</v>
      </c>
      <c r="B56" s="5" t="s">
        <v>116</v>
      </c>
      <c r="C56" s="5">
        <v>388999</v>
      </c>
      <c r="D56" s="6"/>
      <c r="E56" s="5" t="s">
        <v>31</v>
      </c>
      <c r="F56" s="5" t="s">
        <v>84</v>
      </c>
      <c r="G56" s="5" t="s">
        <v>11</v>
      </c>
      <c r="H56" s="7" t="s">
        <v>7</v>
      </c>
      <c r="I56" s="7" t="s">
        <v>117</v>
      </c>
      <c r="J56" s="7">
        <v>0</v>
      </c>
      <c r="K56" s="7">
        <v>16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8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215</v>
      </c>
      <c r="AF56" s="8">
        <v>21620</v>
      </c>
      <c r="AG56" s="7">
        <v>200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328</v>
      </c>
      <c r="BD56" s="8">
        <v>39360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9">
        <v>2361.6</v>
      </c>
      <c r="BM56" s="10">
        <v>61180</v>
      </c>
      <c r="BN56" s="13">
        <f t="shared" si="0"/>
        <v>58818.400000000001</v>
      </c>
      <c r="BO56" s="14">
        <f t="shared" si="1"/>
        <v>41172.879999999997</v>
      </c>
    </row>
    <row r="57" spans="1:67" x14ac:dyDescent="0.4">
      <c r="A57" s="5" t="s">
        <v>29</v>
      </c>
      <c r="B57" s="5" t="s">
        <v>484</v>
      </c>
      <c r="C57" s="5">
        <v>471701</v>
      </c>
      <c r="D57" s="6"/>
      <c r="E57" s="5" t="s">
        <v>31</v>
      </c>
      <c r="F57" s="5" t="s">
        <v>485</v>
      </c>
      <c r="G57" s="5" t="s">
        <v>11</v>
      </c>
      <c r="H57" s="7" t="s">
        <v>10</v>
      </c>
      <c r="I57" s="7" t="s">
        <v>486</v>
      </c>
      <c r="J57" s="7">
        <v>0</v>
      </c>
      <c r="K57" s="7">
        <v>140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377</v>
      </c>
      <c r="AF57" s="8">
        <v>6800</v>
      </c>
      <c r="AG57" s="8">
        <v>30900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98</v>
      </c>
      <c r="AR57" s="8">
        <v>9800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69</v>
      </c>
      <c r="BD57" s="8">
        <v>8280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496.8</v>
      </c>
      <c r="BM57" s="10">
        <v>55780</v>
      </c>
      <c r="BN57" s="13">
        <f t="shared" si="0"/>
        <v>55283.199999999997</v>
      </c>
      <c r="BO57" s="14">
        <f t="shared" si="1"/>
        <v>38698.239999999998</v>
      </c>
    </row>
    <row r="58" spans="1:67" x14ac:dyDescent="0.4">
      <c r="A58" s="5" t="s">
        <v>29</v>
      </c>
      <c r="B58" s="5" t="s">
        <v>157</v>
      </c>
      <c r="C58" s="5">
        <v>337887</v>
      </c>
      <c r="D58" s="6"/>
      <c r="E58" s="5" t="s">
        <v>31</v>
      </c>
      <c r="F58" s="5" t="s">
        <v>153</v>
      </c>
      <c r="G58" s="5" t="s">
        <v>51</v>
      </c>
      <c r="H58" s="7" t="s">
        <v>8</v>
      </c>
      <c r="I58" s="7" t="s">
        <v>158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9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145</v>
      </c>
      <c r="AF58" s="8">
        <v>7520</v>
      </c>
      <c r="AG58" s="8">
        <v>7500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12</v>
      </c>
      <c r="AR58" s="8">
        <v>1200</v>
      </c>
      <c r="AS58" s="7">
        <v>0</v>
      </c>
      <c r="AT58" s="7">
        <v>0</v>
      </c>
      <c r="AU58" s="7">
        <v>0</v>
      </c>
      <c r="AV58" s="7">
        <v>0</v>
      </c>
      <c r="AW58" s="7">
        <v>40</v>
      </c>
      <c r="AX58" s="8">
        <v>4800</v>
      </c>
      <c r="AY58" s="7">
        <v>0</v>
      </c>
      <c r="AZ58" s="7">
        <v>0</v>
      </c>
      <c r="BA58" s="7">
        <v>0</v>
      </c>
      <c r="BB58" s="7">
        <v>0</v>
      </c>
      <c r="BC58" s="7">
        <v>283</v>
      </c>
      <c r="BD58" s="8">
        <v>33960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9">
        <v>2517.6</v>
      </c>
      <c r="BM58" s="10">
        <v>54980</v>
      </c>
      <c r="BN58" s="13">
        <f t="shared" si="0"/>
        <v>52462.400000000001</v>
      </c>
      <c r="BO58" s="14">
        <f t="shared" si="1"/>
        <v>36723.68</v>
      </c>
    </row>
    <row r="59" spans="1:67" ht="19.2" x14ac:dyDescent="0.4">
      <c r="A59" s="5" t="s">
        <v>29</v>
      </c>
      <c r="B59" s="5" t="s">
        <v>184</v>
      </c>
      <c r="C59" s="5">
        <v>467470</v>
      </c>
      <c r="D59" s="6"/>
      <c r="E59" s="5" t="s">
        <v>31</v>
      </c>
      <c r="F59" s="5" t="s">
        <v>185</v>
      </c>
      <c r="G59" s="5" t="s">
        <v>51</v>
      </c>
      <c r="H59" s="7" t="s">
        <v>8</v>
      </c>
      <c r="I59" s="7" t="s">
        <v>186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8</v>
      </c>
      <c r="AF59" s="8">
        <v>13100</v>
      </c>
      <c r="AG59" s="8">
        <v>8300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1</v>
      </c>
      <c r="AX59" s="7">
        <v>840</v>
      </c>
      <c r="AY59" s="7">
        <v>0</v>
      </c>
      <c r="AZ59" s="7">
        <v>0</v>
      </c>
      <c r="BA59" s="7">
        <v>0</v>
      </c>
      <c r="BB59" s="7">
        <v>0</v>
      </c>
      <c r="BC59" s="7">
        <v>9</v>
      </c>
      <c r="BD59" s="8">
        <v>31800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9">
        <v>1992</v>
      </c>
      <c r="BM59" s="10">
        <v>54040</v>
      </c>
      <c r="BN59" s="13">
        <f t="shared" si="0"/>
        <v>52048</v>
      </c>
      <c r="BO59" s="14">
        <f t="shared" si="1"/>
        <v>36433.599999999999</v>
      </c>
    </row>
    <row r="60" spans="1:67" x14ac:dyDescent="0.4">
      <c r="A60" s="5" t="s">
        <v>29</v>
      </c>
      <c r="B60" s="5" t="s">
        <v>174</v>
      </c>
      <c r="C60" s="5">
        <v>394079</v>
      </c>
      <c r="D60" s="6"/>
      <c r="E60" s="5" t="s">
        <v>31</v>
      </c>
      <c r="F60" s="5" t="s">
        <v>70</v>
      </c>
      <c r="G60" s="5" t="s">
        <v>51</v>
      </c>
      <c r="H60" s="7" t="s">
        <v>8</v>
      </c>
      <c r="I60" s="7" t="s">
        <v>175</v>
      </c>
      <c r="J60" s="7">
        <v>0</v>
      </c>
      <c r="K60" s="7">
        <v>3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15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164</v>
      </c>
      <c r="AF60" s="8">
        <v>17160</v>
      </c>
      <c r="AG60" s="7">
        <v>100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290</v>
      </c>
      <c r="BD60" s="8">
        <v>34800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9">
        <v>2088</v>
      </c>
      <c r="BM60" s="10">
        <v>52060</v>
      </c>
      <c r="BN60" s="13">
        <f t="shared" si="0"/>
        <v>49972</v>
      </c>
      <c r="BO60" s="14">
        <f t="shared" si="1"/>
        <v>34980.399999999994</v>
      </c>
    </row>
    <row r="61" spans="1:67" ht="19.2" x14ac:dyDescent="0.4">
      <c r="A61" s="5" t="s">
        <v>29</v>
      </c>
      <c r="B61" s="5" t="s">
        <v>487</v>
      </c>
      <c r="C61" s="5">
        <v>470379</v>
      </c>
      <c r="D61" s="6"/>
      <c r="E61" s="5" t="s">
        <v>31</v>
      </c>
      <c r="F61" s="5" t="s">
        <v>93</v>
      </c>
      <c r="G61" s="5" t="s">
        <v>11</v>
      </c>
      <c r="H61" s="7" t="s">
        <v>7</v>
      </c>
      <c r="I61" s="7" t="s">
        <v>34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2</v>
      </c>
      <c r="AC61" s="8">
        <v>3360</v>
      </c>
      <c r="AD61" s="8">
        <v>1000</v>
      </c>
      <c r="AE61" s="7">
        <v>4</v>
      </c>
      <c r="AF61" s="8">
        <v>14000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4</v>
      </c>
      <c r="BA61" s="8">
        <v>12240</v>
      </c>
      <c r="BB61" s="7">
        <v>0</v>
      </c>
      <c r="BC61" s="7">
        <v>5</v>
      </c>
      <c r="BD61" s="8">
        <v>21000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9">
        <v>1994.4</v>
      </c>
      <c r="BM61" s="10">
        <v>51600</v>
      </c>
      <c r="BN61" s="13">
        <f t="shared" si="0"/>
        <v>49605.599999999999</v>
      </c>
      <c r="BO61" s="14">
        <f t="shared" si="1"/>
        <v>34723.919999999998</v>
      </c>
    </row>
    <row r="62" spans="1:67" x14ac:dyDescent="0.4">
      <c r="A62" s="5" t="s">
        <v>29</v>
      </c>
      <c r="B62" s="5" t="s">
        <v>206</v>
      </c>
      <c r="C62" s="5">
        <v>423328</v>
      </c>
      <c r="D62" s="6"/>
      <c r="E62" s="5" t="s">
        <v>31</v>
      </c>
      <c r="F62" s="5" t="s">
        <v>47</v>
      </c>
      <c r="G62" s="5" t="s">
        <v>11</v>
      </c>
      <c r="H62" s="7" t="s">
        <v>7</v>
      </c>
      <c r="I62" s="7" t="s">
        <v>207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17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170</v>
      </c>
      <c r="AF62" s="8">
        <v>17740</v>
      </c>
      <c r="AG62" s="8">
        <v>1000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115</v>
      </c>
      <c r="AR62" s="8">
        <v>11500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161</v>
      </c>
      <c r="BD62" s="8">
        <v>19320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9">
        <v>1159.2</v>
      </c>
      <c r="BM62" s="10">
        <v>49560</v>
      </c>
      <c r="BN62" s="13">
        <f t="shared" si="0"/>
        <v>48400.800000000003</v>
      </c>
      <c r="BO62" s="14">
        <f t="shared" si="1"/>
        <v>33880.559999999998</v>
      </c>
    </row>
    <row r="63" spans="1:67" x14ac:dyDescent="0.4">
      <c r="A63" s="5" t="s">
        <v>29</v>
      </c>
      <c r="B63" s="5" t="s">
        <v>166</v>
      </c>
      <c r="C63" s="5">
        <v>392777</v>
      </c>
      <c r="D63" s="6"/>
      <c r="E63" s="5" t="s">
        <v>31</v>
      </c>
      <c r="F63" s="5" t="s">
        <v>107</v>
      </c>
      <c r="G63" s="5" t="s">
        <v>11</v>
      </c>
      <c r="H63" s="7" t="s">
        <v>7</v>
      </c>
      <c r="I63" s="7" t="s">
        <v>167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6</v>
      </c>
      <c r="AF63" s="8">
        <v>17280</v>
      </c>
      <c r="AG63" s="8">
        <v>3200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7</v>
      </c>
      <c r="AX63" s="8">
        <v>26880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9">
        <v>2688</v>
      </c>
      <c r="BM63" s="10">
        <v>47360</v>
      </c>
      <c r="BN63" s="13">
        <f t="shared" si="0"/>
        <v>44672</v>
      </c>
      <c r="BO63" s="14">
        <f t="shared" si="1"/>
        <v>31270.399999999998</v>
      </c>
    </row>
    <row r="64" spans="1:67" x14ac:dyDescent="0.4">
      <c r="A64" s="5" t="s">
        <v>29</v>
      </c>
      <c r="B64" s="5" t="s">
        <v>195</v>
      </c>
      <c r="C64" s="5">
        <v>419744</v>
      </c>
      <c r="D64" s="6"/>
      <c r="E64" s="5" t="s">
        <v>31</v>
      </c>
      <c r="F64" s="5" t="s">
        <v>196</v>
      </c>
      <c r="G64" s="5" t="s">
        <v>11</v>
      </c>
      <c r="H64" s="7" t="s">
        <v>7</v>
      </c>
      <c r="I64" s="7" t="s">
        <v>197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107</v>
      </c>
      <c r="AF64" s="8">
        <v>11820</v>
      </c>
      <c r="AG64" s="7">
        <v>500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337</v>
      </c>
      <c r="AR64" s="8">
        <v>33400</v>
      </c>
      <c r="AS64" s="7">
        <v>300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10">
        <v>46020</v>
      </c>
      <c r="BN64" s="13">
        <f t="shared" si="0"/>
        <v>46020</v>
      </c>
      <c r="BO64" s="14">
        <f t="shared" si="1"/>
        <v>32213.999999999996</v>
      </c>
    </row>
    <row r="65" spans="1:67" x14ac:dyDescent="0.4">
      <c r="A65" s="5" t="s">
        <v>29</v>
      </c>
      <c r="B65" s="5" t="s">
        <v>176</v>
      </c>
      <c r="C65" s="5">
        <v>433508</v>
      </c>
      <c r="D65" s="6"/>
      <c r="E65" s="5" t="s">
        <v>31</v>
      </c>
      <c r="F65" s="5" t="s">
        <v>177</v>
      </c>
      <c r="G65" s="5" t="s">
        <v>11</v>
      </c>
      <c r="H65" s="7" t="s">
        <v>7</v>
      </c>
      <c r="I65" s="7" t="s">
        <v>178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4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104</v>
      </c>
      <c r="AF65" s="8">
        <v>2200</v>
      </c>
      <c r="AG65" s="8">
        <v>8200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249</v>
      </c>
      <c r="AR65" s="8">
        <v>24800</v>
      </c>
      <c r="AS65" s="7">
        <v>100</v>
      </c>
      <c r="AT65" s="7">
        <v>0</v>
      </c>
      <c r="AU65" s="7">
        <v>0</v>
      </c>
      <c r="AV65" s="7">
        <v>0</v>
      </c>
      <c r="AW65" s="7">
        <v>84</v>
      </c>
      <c r="AX65" s="8">
        <v>10080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9">
        <v>1008</v>
      </c>
      <c r="BM65" s="10">
        <v>45380</v>
      </c>
      <c r="BN65" s="13">
        <f t="shared" si="0"/>
        <v>44372</v>
      </c>
      <c r="BO65" s="14">
        <f t="shared" si="1"/>
        <v>31060.399999999998</v>
      </c>
    </row>
    <row r="66" spans="1:67" ht="19.2" x14ac:dyDescent="0.4">
      <c r="A66" s="5" t="s">
        <v>29</v>
      </c>
      <c r="B66" s="5" t="s">
        <v>149</v>
      </c>
      <c r="C66" s="5">
        <v>383229</v>
      </c>
      <c r="D66" s="6"/>
      <c r="E66" s="5" t="s">
        <v>31</v>
      </c>
      <c r="F66" s="5" t="s">
        <v>150</v>
      </c>
      <c r="G66" s="5" t="s">
        <v>51</v>
      </c>
      <c r="H66" s="7" t="s">
        <v>8</v>
      </c>
      <c r="I66" s="7" t="s">
        <v>151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1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302</v>
      </c>
      <c r="AF66" s="8">
        <v>4520</v>
      </c>
      <c r="AG66" s="8">
        <v>25700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20</v>
      </c>
      <c r="AR66" s="8">
        <v>2000</v>
      </c>
      <c r="AS66" s="7">
        <v>0</v>
      </c>
      <c r="AT66" s="7">
        <v>0</v>
      </c>
      <c r="AU66" s="7">
        <v>0</v>
      </c>
      <c r="AV66" s="7">
        <v>0</v>
      </c>
      <c r="AW66" s="7">
        <v>26</v>
      </c>
      <c r="AX66" s="8">
        <v>3120</v>
      </c>
      <c r="AY66" s="7">
        <v>0</v>
      </c>
      <c r="AZ66" s="7">
        <v>0</v>
      </c>
      <c r="BA66" s="7">
        <v>0</v>
      </c>
      <c r="BB66" s="7">
        <v>0</v>
      </c>
      <c r="BC66" s="7">
        <v>79</v>
      </c>
      <c r="BD66" s="8">
        <v>9360</v>
      </c>
      <c r="BE66" s="7">
        <v>100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873.6</v>
      </c>
      <c r="BM66" s="10">
        <v>44800</v>
      </c>
      <c r="BN66" s="13">
        <f t="shared" si="0"/>
        <v>43926.400000000001</v>
      </c>
      <c r="BO66" s="14">
        <f t="shared" si="1"/>
        <v>30748.48</v>
      </c>
    </row>
    <row r="67" spans="1:67" x14ac:dyDescent="0.4">
      <c r="A67" s="5" t="s">
        <v>29</v>
      </c>
      <c r="B67" s="5" t="s">
        <v>141</v>
      </c>
      <c r="C67" s="5">
        <v>425414</v>
      </c>
      <c r="D67" s="6"/>
      <c r="E67" s="5" t="s">
        <v>31</v>
      </c>
      <c r="F67" s="5" t="s">
        <v>142</v>
      </c>
      <c r="G67" s="5" t="s">
        <v>11</v>
      </c>
      <c r="H67" s="7" t="s">
        <v>7</v>
      </c>
      <c r="I67" s="7" t="s">
        <v>143</v>
      </c>
      <c r="J67" s="7">
        <v>4</v>
      </c>
      <c r="K67" s="7">
        <v>0</v>
      </c>
      <c r="L67" s="7">
        <v>400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16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401</v>
      </c>
      <c r="AF67" s="8">
        <v>25000</v>
      </c>
      <c r="AG67" s="8">
        <v>15100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19</v>
      </c>
      <c r="AX67" s="8">
        <v>2280</v>
      </c>
      <c r="AY67" s="7">
        <v>0</v>
      </c>
      <c r="AZ67" s="7">
        <v>0</v>
      </c>
      <c r="BA67" s="7">
        <v>0</v>
      </c>
      <c r="BB67" s="7">
        <v>0</v>
      </c>
      <c r="BC67" s="7">
        <v>4</v>
      </c>
      <c r="BD67" s="7">
        <v>480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256.8</v>
      </c>
      <c r="BM67" s="10">
        <v>43260</v>
      </c>
      <c r="BN67" s="13">
        <f t="shared" ref="BN67:BN130" si="2">BM67-BL67</f>
        <v>43003.199999999997</v>
      </c>
      <c r="BO67" s="14">
        <f t="shared" ref="BO67:BO130" si="3">BN67*70%</f>
        <v>30102.239999999994</v>
      </c>
    </row>
    <row r="68" spans="1:67" x14ac:dyDescent="0.4">
      <c r="A68" s="5" t="s">
        <v>29</v>
      </c>
      <c r="B68" s="5" t="s">
        <v>221</v>
      </c>
      <c r="C68" s="5">
        <v>458568</v>
      </c>
      <c r="D68" s="6"/>
      <c r="E68" s="5" t="s">
        <v>31</v>
      </c>
      <c r="F68" s="5" t="s">
        <v>47</v>
      </c>
      <c r="G68" s="5" t="s">
        <v>11</v>
      </c>
      <c r="H68" s="7" t="s">
        <v>7</v>
      </c>
      <c r="I68" s="7" t="s">
        <v>220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8</v>
      </c>
      <c r="AF68" s="8">
        <v>24980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5</v>
      </c>
      <c r="BD68" s="8">
        <v>18120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9">
        <v>1087.2</v>
      </c>
      <c r="BM68" s="10">
        <v>43100</v>
      </c>
      <c r="BN68" s="13">
        <f t="shared" si="2"/>
        <v>42012.800000000003</v>
      </c>
      <c r="BO68" s="14">
        <f t="shared" si="3"/>
        <v>29408.959999999999</v>
      </c>
    </row>
    <row r="69" spans="1:67" x14ac:dyDescent="0.4">
      <c r="A69" s="5" t="s">
        <v>29</v>
      </c>
      <c r="B69" s="5" t="s">
        <v>159</v>
      </c>
      <c r="C69" s="5">
        <v>399034</v>
      </c>
      <c r="D69" s="6"/>
      <c r="E69" s="5" t="s">
        <v>31</v>
      </c>
      <c r="F69" s="5" t="s">
        <v>160</v>
      </c>
      <c r="G69" s="5" t="s">
        <v>51</v>
      </c>
      <c r="H69" s="7" t="s">
        <v>8</v>
      </c>
      <c r="I69" s="7" t="s">
        <v>161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18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256</v>
      </c>
      <c r="AF69" s="8">
        <v>12740</v>
      </c>
      <c r="AG69" s="8">
        <v>14400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7</v>
      </c>
      <c r="AR69" s="7">
        <v>700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112</v>
      </c>
      <c r="BD69" s="8">
        <v>13440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806.4</v>
      </c>
      <c r="BM69" s="10">
        <v>41280</v>
      </c>
      <c r="BN69" s="13">
        <f t="shared" si="2"/>
        <v>40473.599999999999</v>
      </c>
      <c r="BO69" s="14">
        <f t="shared" si="3"/>
        <v>28331.519999999997</v>
      </c>
    </row>
    <row r="70" spans="1:67" x14ac:dyDescent="0.4">
      <c r="A70" s="5" t="s">
        <v>29</v>
      </c>
      <c r="B70" s="5" t="s">
        <v>300</v>
      </c>
      <c r="C70" s="5">
        <v>358724</v>
      </c>
      <c r="D70" s="6"/>
      <c r="E70" s="5" t="s">
        <v>31</v>
      </c>
      <c r="F70" s="5" t="s">
        <v>301</v>
      </c>
      <c r="G70" s="5" t="s">
        <v>51</v>
      </c>
      <c r="H70" s="7" t="s">
        <v>8</v>
      </c>
      <c r="I70" s="7" t="s">
        <v>124</v>
      </c>
      <c r="J70" s="7">
        <v>44</v>
      </c>
      <c r="K70" s="7">
        <v>0</v>
      </c>
      <c r="L70" s="8">
        <v>4400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15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104</v>
      </c>
      <c r="AF70" s="8">
        <v>10960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4</v>
      </c>
      <c r="AR70" s="7">
        <v>400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202</v>
      </c>
      <c r="BD70" s="8">
        <v>24240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9">
        <v>1454.4</v>
      </c>
      <c r="BM70" s="10">
        <v>40000</v>
      </c>
      <c r="BN70" s="13">
        <f t="shared" si="2"/>
        <v>38545.599999999999</v>
      </c>
      <c r="BO70" s="14">
        <f t="shared" si="3"/>
        <v>26981.919999999998</v>
      </c>
    </row>
    <row r="71" spans="1:67" x14ac:dyDescent="0.4">
      <c r="A71" s="5" t="s">
        <v>29</v>
      </c>
      <c r="B71" s="5" t="s">
        <v>316</v>
      </c>
      <c r="C71" s="5">
        <v>391329</v>
      </c>
      <c r="D71" s="6"/>
      <c r="E71" s="5" t="s">
        <v>31</v>
      </c>
      <c r="F71" s="5" t="s">
        <v>84</v>
      </c>
      <c r="G71" s="5" t="s">
        <v>11</v>
      </c>
      <c r="H71" s="7" t="s">
        <v>7</v>
      </c>
      <c r="I71" s="7" t="s">
        <v>317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1</v>
      </c>
      <c r="AF71" s="8">
        <v>3200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3</v>
      </c>
      <c r="AR71" s="8">
        <v>8200</v>
      </c>
      <c r="AS71" s="7">
        <v>0</v>
      </c>
      <c r="AT71" s="7">
        <v>0</v>
      </c>
      <c r="AU71" s="7">
        <v>0</v>
      </c>
      <c r="AV71" s="7">
        <v>0</v>
      </c>
      <c r="AW71" s="7">
        <v>9</v>
      </c>
      <c r="AX71" s="8">
        <v>28560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9">
        <v>2856</v>
      </c>
      <c r="BM71" s="10">
        <v>39960</v>
      </c>
      <c r="BN71" s="13">
        <f t="shared" si="2"/>
        <v>37104</v>
      </c>
      <c r="BO71" s="14">
        <f t="shared" si="3"/>
        <v>25972.799999999999</v>
      </c>
    </row>
    <row r="72" spans="1:67" x14ac:dyDescent="0.4">
      <c r="A72" s="5" t="s">
        <v>29</v>
      </c>
      <c r="B72" s="5" t="s">
        <v>219</v>
      </c>
      <c r="C72" s="5">
        <v>458566</v>
      </c>
      <c r="D72" s="6"/>
      <c r="E72" s="5" t="s">
        <v>31</v>
      </c>
      <c r="F72" s="5" t="s">
        <v>47</v>
      </c>
      <c r="G72" s="5" t="s">
        <v>11</v>
      </c>
      <c r="H72" s="7" t="s">
        <v>7</v>
      </c>
      <c r="I72" s="7" t="s">
        <v>220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6</v>
      </c>
      <c r="AF72" s="8">
        <v>4500</v>
      </c>
      <c r="AG72" s="8">
        <v>12800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5</v>
      </c>
      <c r="BD72" s="8">
        <v>17640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9">
        <v>1058.4000000000001</v>
      </c>
      <c r="BM72" s="10">
        <v>34940</v>
      </c>
      <c r="BN72" s="13">
        <f t="shared" si="2"/>
        <v>33881.599999999999</v>
      </c>
      <c r="BO72" s="14">
        <f t="shared" si="3"/>
        <v>23717.119999999999</v>
      </c>
    </row>
    <row r="73" spans="1:67" x14ac:dyDescent="0.4">
      <c r="A73" s="5" t="s">
        <v>29</v>
      </c>
      <c r="B73" s="5" t="s">
        <v>198</v>
      </c>
      <c r="C73" s="5">
        <v>316658</v>
      </c>
      <c r="D73" s="6"/>
      <c r="E73" s="5" t="s">
        <v>31</v>
      </c>
      <c r="F73" s="5" t="s">
        <v>84</v>
      </c>
      <c r="G73" s="5" t="s">
        <v>11</v>
      </c>
      <c r="H73" s="7" t="s">
        <v>7</v>
      </c>
      <c r="I73" s="7" t="s">
        <v>199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1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238</v>
      </c>
      <c r="AF73" s="8">
        <v>24080</v>
      </c>
      <c r="AG73" s="8">
        <v>2200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33</v>
      </c>
      <c r="AR73" s="8">
        <v>3100</v>
      </c>
      <c r="AS73" s="7">
        <v>200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37</v>
      </c>
      <c r="BD73" s="8">
        <v>4440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266.39999999999998</v>
      </c>
      <c r="BM73" s="10">
        <v>34020</v>
      </c>
      <c r="BN73" s="13">
        <f t="shared" si="2"/>
        <v>33753.599999999999</v>
      </c>
      <c r="BO73" s="14">
        <f t="shared" si="3"/>
        <v>23627.519999999997</v>
      </c>
    </row>
    <row r="74" spans="1:67" x14ac:dyDescent="0.4">
      <c r="A74" s="5" t="s">
        <v>29</v>
      </c>
      <c r="B74" s="5" t="s">
        <v>341</v>
      </c>
      <c r="C74" s="5">
        <v>431330</v>
      </c>
      <c r="D74" s="6"/>
      <c r="E74" s="5" t="s">
        <v>31</v>
      </c>
      <c r="F74" s="5" t="s">
        <v>292</v>
      </c>
      <c r="G74" s="5" t="s">
        <v>51</v>
      </c>
      <c r="H74" s="7" t="s">
        <v>8</v>
      </c>
      <c r="I74" s="7" t="s">
        <v>342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5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137</v>
      </c>
      <c r="AF74" s="8">
        <v>15340</v>
      </c>
      <c r="AG74" s="7">
        <v>100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11</v>
      </c>
      <c r="AR74" s="8">
        <v>1100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144</v>
      </c>
      <c r="BD74" s="8">
        <v>17280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9">
        <v>1036.8</v>
      </c>
      <c r="BM74" s="10">
        <v>33820</v>
      </c>
      <c r="BN74" s="13">
        <f t="shared" si="2"/>
        <v>32783.199999999997</v>
      </c>
      <c r="BO74" s="14">
        <f t="shared" si="3"/>
        <v>22948.239999999998</v>
      </c>
    </row>
    <row r="75" spans="1:67" x14ac:dyDescent="0.4">
      <c r="A75" s="5" t="s">
        <v>29</v>
      </c>
      <c r="B75" s="5" t="s">
        <v>249</v>
      </c>
      <c r="C75" s="5">
        <v>382446</v>
      </c>
      <c r="D75" s="6"/>
      <c r="E75" s="5" t="s">
        <v>31</v>
      </c>
      <c r="F75" s="5" t="s">
        <v>70</v>
      </c>
      <c r="G75" s="5" t="s">
        <v>51</v>
      </c>
      <c r="H75" s="7" t="s">
        <v>8</v>
      </c>
      <c r="I75" s="7" t="s">
        <v>250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8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50</v>
      </c>
      <c r="AF75" s="8">
        <v>5000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4</v>
      </c>
      <c r="AX75" s="7">
        <v>480</v>
      </c>
      <c r="AY75" s="7">
        <v>0</v>
      </c>
      <c r="AZ75" s="7">
        <v>0</v>
      </c>
      <c r="BA75" s="7">
        <v>0</v>
      </c>
      <c r="BB75" s="7">
        <v>0</v>
      </c>
      <c r="BC75" s="7">
        <v>236</v>
      </c>
      <c r="BD75" s="8">
        <v>28320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9">
        <v>1747.2</v>
      </c>
      <c r="BM75" s="10">
        <v>33800</v>
      </c>
      <c r="BN75" s="13">
        <f t="shared" si="2"/>
        <v>32052.799999999999</v>
      </c>
      <c r="BO75" s="14">
        <f t="shared" si="3"/>
        <v>22436.959999999999</v>
      </c>
    </row>
    <row r="76" spans="1:67" x14ac:dyDescent="0.4">
      <c r="A76" s="5" t="s">
        <v>29</v>
      </c>
      <c r="B76" s="5" t="s">
        <v>453</v>
      </c>
      <c r="C76" s="5">
        <v>410142</v>
      </c>
      <c r="D76" s="6"/>
      <c r="E76" s="5" t="s">
        <v>31</v>
      </c>
      <c r="F76" s="5" t="s">
        <v>81</v>
      </c>
      <c r="G76" s="5" t="s">
        <v>11</v>
      </c>
      <c r="H76" s="7" t="s">
        <v>7</v>
      </c>
      <c r="I76" s="7" t="s">
        <v>236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3</v>
      </c>
      <c r="AF76" s="8">
        <v>8600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4</v>
      </c>
      <c r="AX76" s="8">
        <v>12000</v>
      </c>
      <c r="AY76" s="7">
        <v>0</v>
      </c>
      <c r="AZ76" s="7">
        <v>0</v>
      </c>
      <c r="BA76" s="7">
        <v>0</v>
      </c>
      <c r="BB76" s="7">
        <v>0</v>
      </c>
      <c r="BC76" s="7">
        <v>4</v>
      </c>
      <c r="BD76" s="8">
        <v>11640</v>
      </c>
      <c r="BE76" s="7">
        <v>500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9">
        <v>1898.4</v>
      </c>
      <c r="BM76" s="10">
        <v>32740</v>
      </c>
      <c r="BN76" s="13">
        <f t="shared" si="2"/>
        <v>30841.599999999999</v>
      </c>
      <c r="BO76" s="14">
        <f t="shared" si="3"/>
        <v>21589.119999999999</v>
      </c>
    </row>
    <row r="77" spans="1:67" ht="19.2" x14ac:dyDescent="0.4">
      <c r="A77" s="5" t="s">
        <v>29</v>
      </c>
      <c r="B77" s="5" t="s">
        <v>488</v>
      </c>
      <c r="C77" s="5">
        <v>472228</v>
      </c>
      <c r="D77" s="6"/>
      <c r="E77" s="5" t="s">
        <v>31</v>
      </c>
      <c r="F77" s="5" t="s">
        <v>489</v>
      </c>
      <c r="G77" s="5" t="s">
        <v>33</v>
      </c>
      <c r="H77" s="7" t="s">
        <v>8</v>
      </c>
      <c r="I77" s="7" t="s">
        <v>490</v>
      </c>
      <c r="J77" s="7">
        <v>0</v>
      </c>
      <c r="K77" s="7">
        <v>203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117</v>
      </c>
      <c r="AF77" s="8">
        <v>3340</v>
      </c>
      <c r="AG77" s="8">
        <v>8900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14</v>
      </c>
      <c r="AR77" s="8">
        <v>1400</v>
      </c>
      <c r="AS77" s="7">
        <v>0</v>
      </c>
      <c r="AT77" s="7">
        <v>0</v>
      </c>
      <c r="AU77" s="7">
        <v>0</v>
      </c>
      <c r="AV77" s="7">
        <v>0</v>
      </c>
      <c r="AW77" s="7">
        <v>39</v>
      </c>
      <c r="AX77" s="8">
        <v>4680</v>
      </c>
      <c r="AY77" s="7">
        <v>0</v>
      </c>
      <c r="AZ77" s="7">
        <v>0</v>
      </c>
      <c r="BA77" s="7">
        <v>0</v>
      </c>
      <c r="BB77" s="7">
        <v>0</v>
      </c>
      <c r="BC77" s="7">
        <v>115</v>
      </c>
      <c r="BD77" s="8">
        <v>13800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9">
        <v>1296</v>
      </c>
      <c r="BM77" s="10">
        <v>32120</v>
      </c>
      <c r="BN77" s="13">
        <f t="shared" si="2"/>
        <v>30824</v>
      </c>
      <c r="BO77" s="14">
        <f t="shared" si="3"/>
        <v>21576.799999999999</v>
      </c>
    </row>
    <row r="78" spans="1:67" ht="19.2" x14ac:dyDescent="0.4">
      <c r="A78" s="5" t="s">
        <v>29</v>
      </c>
      <c r="B78" s="5" t="s">
        <v>271</v>
      </c>
      <c r="C78" s="5">
        <v>469072</v>
      </c>
      <c r="D78" s="6"/>
      <c r="E78" s="5" t="s">
        <v>31</v>
      </c>
      <c r="F78" s="5" t="s">
        <v>185</v>
      </c>
      <c r="G78" s="5" t="s">
        <v>51</v>
      </c>
      <c r="H78" s="7" t="s">
        <v>8</v>
      </c>
      <c r="I78" s="7" t="s">
        <v>272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205</v>
      </c>
      <c r="AF78" s="8">
        <v>4600</v>
      </c>
      <c r="AG78" s="8">
        <v>15900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3</v>
      </c>
      <c r="AR78" s="7">
        <v>300</v>
      </c>
      <c r="AS78" s="7">
        <v>0</v>
      </c>
      <c r="AT78" s="7">
        <v>0</v>
      </c>
      <c r="AU78" s="7">
        <v>0</v>
      </c>
      <c r="AV78" s="7">
        <v>0</v>
      </c>
      <c r="AW78" s="7">
        <v>1</v>
      </c>
      <c r="AX78" s="7">
        <v>120</v>
      </c>
      <c r="AY78" s="7">
        <v>0</v>
      </c>
      <c r="AZ78" s="7">
        <v>0</v>
      </c>
      <c r="BA78" s="7">
        <v>0</v>
      </c>
      <c r="BB78" s="7">
        <v>0</v>
      </c>
      <c r="BC78" s="7">
        <v>86</v>
      </c>
      <c r="BD78" s="8">
        <v>9720</v>
      </c>
      <c r="BE78" s="7">
        <v>500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595.20000000000005</v>
      </c>
      <c r="BM78" s="10">
        <v>31140</v>
      </c>
      <c r="BN78" s="13">
        <f t="shared" si="2"/>
        <v>30544.799999999999</v>
      </c>
      <c r="BO78" s="14">
        <f t="shared" si="3"/>
        <v>21381.359999999997</v>
      </c>
    </row>
    <row r="79" spans="1:67" x14ac:dyDescent="0.4">
      <c r="A79" s="5" t="s">
        <v>29</v>
      </c>
      <c r="B79" s="5" t="s">
        <v>216</v>
      </c>
      <c r="C79" s="5">
        <v>371774</v>
      </c>
      <c r="D79" s="6"/>
      <c r="E79" s="5" t="s">
        <v>31</v>
      </c>
      <c r="F79" s="5" t="s">
        <v>217</v>
      </c>
      <c r="G79" s="5" t="s">
        <v>11</v>
      </c>
      <c r="H79" s="7" t="s">
        <v>7</v>
      </c>
      <c r="I79" s="7" t="s">
        <v>218</v>
      </c>
      <c r="J79" s="7">
        <v>0</v>
      </c>
      <c r="K79" s="7">
        <v>5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97</v>
      </c>
      <c r="AF79" s="8">
        <v>11200</v>
      </c>
      <c r="AG79" s="7">
        <v>200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14</v>
      </c>
      <c r="AR79" s="8">
        <v>1400</v>
      </c>
      <c r="AS79" s="7">
        <v>0</v>
      </c>
      <c r="AT79" s="7">
        <v>0</v>
      </c>
      <c r="AU79" s="7">
        <v>0</v>
      </c>
      <c r="AV79" s="7">
        <v>0</v>
      </c>
      <c r="AW79" s="7">
        <v>48</v>
      </c>
      <c r="AX79" s="8">
        <v>5760</v>
      </c>
      <c r="AY79" s="7">
        <v>0</v>
      </c>
      <c r="AZ79" s="7">
        <v>0</v>
      </c>
      <c r="BA79" s="7">
        <v>0</v>
      </c>
      <c r="BB79" s="7">
        <v>0</v>
      </c>
      <c r="BC79" s="7">
        <v>104</v>
      </c>
      <c r="BD79" s="8">
        <v>12480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9">
        <v>1324.8</v>
      </c>
      <c r="BM79" s="10">
        <v>31040</v>
      </c>
      <c r="BN79" s="13">
        <f t="shared" si="2"/>
        <v>29715.200000000001</v>
      </c>
      <c r="BO79" s="14">
        <f t="shared" si="3"/>
        <v>20800.64</v>
      </c>
    </row>
    <row r="80" spans="1:67" x14ac:dyDescent="0.4">
      <c r="A80" s="5" t="s">
        <v>29</v>
      </c>
      <c r="B80" s="5" t="s">
        <v>234</v>
      </c>
      <c r="C80" s="5">
        <v>407733</v>
      </c>
      <c r="D80" s="6"/>
      <c r="E80" s="5" t="s">
        <v>31</v>
      </c>
      <c r="F80" s="5" t="s">
        <v>47</v>
      </c>
      <c r="G80" s="5" t="s">
        <v>11</v>
      </c>
      <c r="H80" s="7" t="s">
        <v>7</v>
      </c>
      <c r="I80" s="7" t="s">
        <v>235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187</v>
      </c>
      <c r="AF80" s="8">
        <v>11860</v>
      </c>
      <c r="AG80" s="8">
        <v>8800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44</v>
      </c>
      <c r="AR80" s="8">
        <v>4400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44</v>
      </c>
      <c r="BD80" s="8">
        <v>5280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316.8</v>
      </c>
      <c r="BM80" s="10">
        <v>30340</v>
      </c>
      <c r="BN80" s="13">
        <f t="shared" si="2"/>
        <v>30023.200000000001</v>
      </c>
      <c r="BO80" s="14">
        <f t="shared" si="3"/>
        <v>21016.239999999998</v>
      </c>
    </row>
    <row r="81" spans="1:67" x14ac:dyDescent="0.4">
      <c r="A81" s="5" t="s">
        <v>29</v>
      </c>
      <c r="B81" s="5" t="s">
        <v>202</v>
      </c>
      <c r="C81" s="5">
        <v>359006</v>
      </c>
      <c r="D81" s="6"/>
      <c r="E81" s="5" t="s">
        <v>31</v>
      </c>
      <c r="F81" s="5" t="s">
        <v>150</v>
      </c>
      <c r="G81" s="5" t="s">
        <v>51</v>
      </c>
      <c r="H81" s="7" t="s">
        <v>8</v>
      </c>
      <c r="I81" s="7" t="s">
        <v>203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11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73</v>
      </c>
      <c r="AF81" s="8">
        <v>6500</v>
      </c>
      <c r="AG81" s="8">
        <v>1400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40</v>
      </c>
      <c r="AR81" s="8">
        <v>4000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148</v>
      </c>
      <c r="BD81" s="8">
        <v>17760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9">
        <v>1065.5999999999999</v>
      </c>
      <c r="BM81" s="10">
        <v>29660</v>
      </c>
      <c r="BN81" s="13">
        <f t="shared" si="2"/>
        <v>28594.400000000001</v>
      </c>
      <c r="BO81" s="14">
        <f t="shared" si="3"/>
        <v>20016.079999999998</v>
      </c>
    </row>
    <row r="82" spans="1:67" x14ac:dyDescent="0.4">
      <c r="A82" s="5" t="s">
        <v>29</v>
      </c>
      <c r="B82" s="5" t="s">
        <v>336</v>
      </c>
      <c r="C82" s="5">
        <v>363413</v>
      </c>
      <c r="D82" s="6"/>
      <c r="E82" s="5" t="s">
        <v>31</v>
      </c>
      <c r="F82" s="5" t="s">
        <v>123</v>
      </c>
      <c r="G82" s="5" t="s">
        <v>51</v>
      </c>
      <c r="H82" s="7" t="s">
        <v>8</v>
      </c>
      <c r="I82" s="7" t="s">
        <v>337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11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117</v>
      </c>
      <c r="AF82" s="8">
        <v>12040</v>
      </c>
      <c r="AG82" s="8">
        <v>1500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3</v>
      </c>
      <c r="AX82" s="7">
        <v>360</v>
      </c>
      <c r="AY82" s="7">
        <v>0</v>
      </c>
      <c r="AZ82" s="7">
        <v>0</v>
      </c>
      <c r="BA82" s="7">
        <v>0</v>
      </c>
      <c r="BB82" s="7">
        <v>0</v>
      </c>
      <c r="BC82" s="7">
        <v>121</v>
      </c>
      <c r="BD82" s="8">
        <v>14520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907.2</v>
      </c>
      <c r="BM82" s="10">
        <v>28420</v>
      </c>
      <c r="BN82" s="13">
        <f t="shared" si="2"/>
        <v>27512.799999999999</v>
      </c>
      <c r="BO82" s="14">
        <f t="shared" si="3"/>
        <v>19258.96</v>
      </c>
    </row>
    <row r="83" spans="1:67" x14ac:dyDescent="0.4">
      <c r="A83" s="5" t="s">
        <v>29</v>
      </c>
      <c r="B83" s="5" t="s">
        <v>275</v>
      </c>
      <c r="C83" s="5">
        <v>434853</v>
      </c>
      <c r="D83" s="6"/>
      <c r="E83" s="5" t="s">
        <v>31</v>
      </c>
      <c r="F83" s="5" t="s">
        <v>276</v>
      </c>
      <c r="G83" s="5" t="s">
        <v>11</v>
      </c>
      <c r="H83" s="7" t="s">
        <v>7</v>
      </c>
      <c r="I83" s="7" t="s">
        <v>277</v>
      </c>
      <c r="J83" s="7">
        <v>2</v>
      </c>
      <c r="K83" s="7">
        <v>0</v>
      </c>
      <c r="L83" s="7">
        <v>200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1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1</v>
      </c>
      <c r="AF83" s="7">
        <v>0</v>
      </c>
      <c r="AG83" s="7">
        <v>100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174</v>
      </c>
      <c r="AR83" s="8">
        <v>17000</v>
      </c>
      <c r="AS83" s="7">
        <v>400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78</v>
      </c>
      <c r="BD83" s="8">
        <v>9360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561.6</v>
      </c>
      <c r="BM83" s="10">
        <v>27060</v>
      </c>
      <c r="BN83" s="13">
        <f t="shared" si="2"/>
        <v>26498.400000000001</v>
      </c>
      <c r="BO83" s="14">
        <f t="shared" si="3"/>
        <v>18548.88</v>
      </c>
    </row>
    <row r="84" spans="1:67" x14ac:dyDescent="0.4">
      <c r="A84" s="5" t="s">
        <v>29</v>
      </c>
      <c r="B84" s="5" t="s">
        <v>403</v>
      </c>
      <c r="C84" s="5">
        <v>424589</v>
      </c>
      <c r="D84" s="6"/>
      <c r="E84" s="5" t="s">
        <v>31</v>
      </c>
      <c r="F84" s="5" t="s">
        <v>404</v>
      </c>
      <c r="G84" s="5" t="s">
        <v>11</v>
      </c>
      <c r="H84" s="7" t="s">
        <v>8</v>
      </c>
      <c r="I84" s="7" t="s">
        <v>405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2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72</v>
      </c>
      <c r="AF84" s="8">
        <v>3900</v>
      </c>
      <c r="AG84" s="8">
        <v>3300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17</v>
      </c>
      <c r="AR84" s="8">
        <v>1700</v>
      </c>
      <c r="AS84" s="7">
        <v>0</v>
      </c>
      <c r="AT84" s="7">
        <v>0</v>
      </c>
      <c r="AU84" s="7">
        <v>0</v>
      </c>
      <c r="AV84" s="7">
        <v>0</v>
      </c>
      <c r="AW84" s="7">
        <v>52</v>
      </c>
      <c r="AX84" s="8">
        <v>6240</v>
      </c>
      <c r="AY84" s="7">
        <v>0</v>
      </c>
      <c r="AZ84" s="7">
        <v>0</v>
      </c>
      <c r="BA84" s="7">
        <v>0</v>
      </c>
      <c r="BB84" s="7">
        <v>0</v>
      </c>
      <c r="BC84" s="7">
        <v>95</v>
      </c>
      <c r="BD84" s="8">
        <v>11400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9">
        <v>1308</v>
      </c>
      <c r="BM84" s="10">
        <v>26540</v>
      </c>
      <c r="BN84" s="13">
        <f t="shared" si="2"/>
        <v>25232</v>
      </c>
      <c r="BO84" s="14">
        <f t="shared" si="3"/>
        <v>17662.399999999998</v>
      </c>
    </row>
    <row r="85" spans="1:67" x14ac:dyDescent="0.4">
      <c r="A85" s="5" t="s">
        <v>29</v>
      </c>
      <c r="B85" s="5" t="s">
        <v>229</v>
      </c>
      <c r="C85" s="5">
        <v>393598</v>
      </c>
      <c r="D85" s="6"/>
      <c r="E85" s="5" t="s">
        <v>31</v>
      </c>
      <c r="F85" s="5" t="s">
        <v>230</v>
      </c>
      <c r="G85" s="5" t="s">
        <v>51</v>
      </c>
      <c r="H85" s="7" t="s">
        <v>8</v>
      </c>
      <c r="I85" s="7" t="s">
        <v>231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37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231</v>
      </c>
      <c r="AF85" s="8">
        <v>19680</v>
      </c>
      <c r="AG85" s="8">
        <v>6700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10">
        <v>26380</v>
      </c>
      <c r="BN85" s="13">
        <f t="shared" si="2"/>
        <v>26380</v>
      </c>
      <c r="BO85" s="14">
        <f t="shared" si="3"/>
        <v>18466</v>
      </c>
    </row>
    <row r="86" spans="1:67" x14ac:dyDescent="0.4">
      <c r="A86" s="5" t="s">
        <v>29</v>
      </c>
      <c r="B86" s="5" t="s">
        <v>204</v>
      </c>
      <c r="C86" s="5">
        <v>378409</v>
      </c>
      <c r="D86" s="6"/>
      <c r="E86" s="5" t="s">
        <v>31</v>
      </c>
      <c r="F86" s="5" t="s">
        <v>65</v>
      </c>
      <c r="G86" s="5" t="s">
        <v>51</v>
      </c>
      <c r="H86" s="7" t="s">
        <v>8</v>
      </c>
      <c r="I86" s="7" t="s">
        <v>205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5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225</v>
      </c>
      <c r="AF86" s="8">
        <v>22820</v>
      </c>
      <c r="AG86" s="7">
        <v>400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2</v>
      </c>
      <c r="AR86" s="7">
        <v>200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24</v>
      </c>
      <c r="BD86" s="8">
        <v>2880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172.8</v>
      </c>
      <c r="BM86" s="10">
        <v>26300</v>
      </c>
      <c r="BN86" s="13">
        <f t="shared" si="2"/>
        <v>26127.200000000001</v>
      </c>
      <c r="BO86" s="14">
        <f t="shared" si="3"/>
        <v>18289.04</v>
      </c>
    </row>
    <row r="87" spans="1:67" x14ac:dyDescent="0.4">
      <c r="A87" s="5" t="s">
        <v>29</v>
      </c>
      <c r="B87" s="5" t="s">
        <v>212</v>
      </c>
      <c r="C87" s="5">
        <v>402649</v>
      </c>
      <c r="D87" s="6"/>
      <c r="E87" s="5" t="s">
        <v>31</v>
      </c>
      <c r="F87" s="5" t="s">
        <v>58</v>
      </c>
      <c r="G87" s="5" t="s">
        <v>51</v>
      </c>
      <c r="H87" s="7" t="s">
        <v>8</v>
      </c>
      <c r="I87" s="7" t="s">
        <v>213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4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125</v>
      </c>
      <c r="AF87" s="8">
        <v>11600</v>
      </c>
      <c r="AG87" s="7">
        <v>900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27</v>
      </c>
      <c r="AR87" s="8">
        <v>2700</v>
      </c>
      <c r="AS87" s="7">
        <v>0</v>
      </c>
      <c r="AT87" s="7">
        <v>0</v>
      </c>
      <c r="AU87" s="7">
        <v>0</v>
      </c>
      <c r="AV87" s="7">
        <v>0</v>
      </c>
      <c r="AW87" s="7">
        <v>4</v>
      </c>
      <c r="AX87" s="7">
        <v>480</v>
      </c>
      <c r="AY87" s="7">
        <v>0</v>
      </c>
      <c r="AZ87" s="7">
        <v>0</v>
      </c>
      <c r="BA87" s="7">
        <v>0</v>
      </c>
      <c r="BB87" s="7">
        <v>0</v>
      </c>
      <c r="BC87" s="7">
        <v>85</v>
      </c>
      <c r="BD87" s="8">
        <v>10200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660</v>
      </c>
      <c r="BM87" s="10">
        <v>25880</v>
      </c>
      <c r="BN87" s="13">
        <f t="shared" si="2"/>
        <v>25220</v>
      </c>
      <c r="BO87" s="14">
        <f t="shared" si="3"/>
        <v>17654</v>
      </c>
    </row>
    <row r="88" spans="1:67" x14ac:dyDescent="0.4">
      <c r="A88" s="5" t="s">
        <v>29</v>
      </c>
      <c r="B88" s="5" t="s">
        <v>246</v>
      </c>
      <c r="C88" s="5">
        <v>399878</v>
      </c>
      <c r="D88" s="6"/>
      <c r="E88" s="5" t="s">
        <v>31</v>
      </c>
      <c r="F88" s="5" t="s">
        <v>247</v>
      </c>
      <c r="G88" s="5" t="s">
        <v>51</v>
      </c>
      <c r="H88" s="7" t="s">
        <v>8</v>
      </c>
      <c r="I88" s="7" t="s">
        <v>248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7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111</v>
      </c>
      <c r="AF88" s="8">
        <v>12500</v>
      </c>
      <c r="AG88" s="7">
        <v>300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4</v>
      </c>
      <c r="AX88" s="7">
        <v>480</v>
      </c>
      <c r="AY88" s="7">
        <v>0</v>
      </c>
      <c r="AZ88" s="7">
        <v>0</v>
      </c>
      <c r="BA88" s="7">
        <v>0</v>
      </c>
      <c r="BB88" s="7">
        <v>0</v>
      </c>
      <c r="BC88" s="7">
        <v>100</v>
      </c>
      <c r="BD88" s="8">
        <v>12000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768</v>
      </c>
      <c r="BM88" s="10">
        <v>25280</v>
      </c>
      <c r="BN88" s="13">
        <f t="shared" si="2"/>
        <v>24512</v>
      </c>
      <c r="BO88" s="14">
        <f t="shared" si="3"/>
        <v>17158.399999999998</v>
      </c>
    </row>
    <row r="89" spans="1:67" x14ac:dyDescent="0.4">
      <c r="A89" s="5" t="s">
        <v>29</v>
      </c>
      <c r="B89" s="5" t="s">
        <v>179</v>
      </c>
      <c r="C89" s="5">
        <v>376361</v>
      </c>
      <c r="D89" s="6"/>
      <c r="E89" s="5" t="s">
        <v>31</v>
      </c>
      <c r="F89" s="5" t="s">
        <v>65</v>
      </c>
      <c r="G89" s="5" t="s">
        <v>51</v>
      </c>
      <c r="H89" s="7" t="s">
        <v>8</v>
      </c>
      <c r="I89" s="7" t="s">
        <v>180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14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130</v>
      </c>
      <c r="AF89" s="8">
        <v>10720</v>
      </c>
      <c r="AG89" s="8">
        <v>2300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25</v>
      </c>
      <c r="AR89" s="8">
        <v>2000</v>
      </c>
      <c r="AS89" s="7">
        <v>500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78</v>
      </c>
      <c r="BD89" s="8">
        <v>9360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561.6</v>
      </c>
      <c r="BM89" s="10">
        <v>24880</v>
      </c>
      <c r="BN89" s="13">
        <f t="shared" si="2"/>
        <v>24318.400000000001</v>
      </c>
      <c r="BO89" s="14">
        <f t="shared" si="3"/>
        <v>17022.88</v>
      </c>
    </row>
    <row r="90" spans="1:67" x14ac:dyDescent="0.4">
      <c r="A90" s="5" t="s">
        <v>29</v>
      </c>
      <c r="B90" s="5" t="s">
        <v>264</v>
      </c>
      <c r="C90" s="5">
        <v>458561</v>
      </c>
      <c r="D90" s="6"/>
      <c r="E90" s="5" t="s">
        <v>31</v>
      </c>
      <c r="F90" s="5" t="s">
        <v>47</v>
      </c>
      <c r="G90" s="5" t="s">
        <v>11</v>
      </c>
      <c r="H90" s="7" t="s">
        <v>7</v>
      </c>
      <c r="I90" s="7" t="s">
        <v>220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202</v>
      </c>
      <c r="AF90" s="8">
        <v>12160</v>
      </c>
      <c r="AG90" s="8">
        <v>9700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29</v>
      </c>
      <c r="AR90" s="8">
        <v>2900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10">
        <v>24760</v>
      </c>
      <c r="BN90" s="13">
        <f t="shared" si="2"/>
        <v>24760</v>
      </c>
      <c r="BO90" s="14">
        <f t="shared" si="3"/>
        <v>17332</v>
      </c>
    </row>
    <row r="91" spans="1:67" x14ac:dyDescent="0.4">
      <c r="A91" s="5" t="s">
        <v>29</v>
      </c>
      <c r="B91" s="5" t="s">
        <v>269</v>
      </c>
      <c r="C91" s="5">
        <v>462361</v>
      </c>
      <c r="D91" s="6"/>
      <c r="E91" s="5" t="s">
        <v>31</v>
      </c>
      <c r="F91" s="5" t="s">
        <v>56</v>
      </c>
      <c r="G91" s="5" t="s">
        <v>11</v>
      </c>
      <c r="H91" s="7" t="s">
        <v>7</v>
      </c>
      <c r="I91" s="7" t="s">
        <v>270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4</v>
      </c>
      <c r="AF91" s="7">
        <v>0</v>
      </c>
      <c r="AG91" s="8">
        <v>11200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4</v>
      </c>
      <c r="AX91" s="8">
        <v>9360</v>
      </c>
      <c r="AY91" s="7">
        <v>0</v>
      </c>
      <c r="AZ91" s="7">
        <v>0</v>
      </c>
      <c r="BA91" s="7">
        <v>0</v>
      </c>
      <c r="BB91" s="7">
        <v>0</v>
      </c>
      <c r="BC91" s="7">
        <v>2</v>
      </c>
      <c r="BD91" s="8">
        <v>4080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9">
        <v>1180.8</v>
      </c>
      <c r="BM91" s="10">
        <v>24640</v>
      </c>
      <c r="BN91" s="13">
        <f t="shared" si="2"/>
        <v>23459.200000000001</v>
      </c>
      <c r="BO91" s="14">
        <f t="shared" si="3"/>
        <v>16421.439999999999</v>
      </c>
    </row>
    <row r="92" spans="1:67" x14ac:dyDescent="0.4">
      <c r="A92" s="5" t="s">
        <v>29</v>
      </c>
      <c r="B92" s="5" t="s">
        <v>181</v>
      </c>
      <c r="C92" s="5">
        <v>423577</v>
      </c>
      <c r="D92" s="6"/>
      <c r="E92" s="5" t="s">
        <v>31</v>
      </c>
      <c r="F92" s="5" t="s">
        <v>182</v>
      </c>
      <c r="G92" s="5" t="s">
        <v>51</v>
      </c>
      <c r="H92" s="7" t="s">
        <v>8</v>
      </c>
      <c r="I92" s="7" t="s">
        <v>183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2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81</v>
      </c>
      <c r="AF92" s="8">
        <v>6380</v>
      </c>
      <c r="AG92" s="8">
        <v>2700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2</v>
      </c>
      <c r="AX92" s="7">
        <v>240</v>
      </c>
      <c r="AY92" s="7">
        <v>0</v>
      </c>
      <c r="AZ92" s="7">
        <v>0</v>
      </c>
      <c r="BA92" s="7">
        <v>0</v>
      </c>
      <c r="BB92" s="7">
        <v>0</v>
      </c>
      <c r="BC92" s="7">
        <v>127</v>
      </c>
      <c r="BD92" s="8">
        <v>15240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938.4</v>
      </c>
      <c r="BM92" s="10">
        <v>24560</v>
      </c>
      <c r="BN92" s="13">
        <f t="shared" si="2"/>
        <v>23621.599999999999</v>
      </c>
      <c r="BO92" s="14">
        <f t="shared" si="3"/>
        <v>16535.12</v>
      </c>
    </row>
    <row r="93" spans="1:67" x14ac:dyDescent="0.4">
      <c r="A93" s="5" t="s">
        <v>29</v>
      </c>
      <c r="B93" s="5" t="s">
        <v>314</v>
      </c>
      <c r="C93" s="5">
        <v>328894</v>
      </c>
      <c r="D93" s="6"/>
      <c r="E93" s="5" t="s">
        <v>31</v>
      </c>
      <c r="F93" s="5" t="s">
        <v>227</v>
      </c>
      <c r="G93" s="5" t="s">
        <v>51</v>
      </c>
      <c r="H93" s="7" t="s">
        <v>8</v>
      </c>
      <c r="I93" s="7" t="s">
        <v>315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8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87</v>
      </c>
      <c r="AF93" s="8">
        <v>8620</v>
      </c>
      <c r="AG93" s="7">
        <v>800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43</v>
      </c>
      <c r="AR93" s="8">
        <v>4100</v>
      </c>
      <c r="AS93" s="7">
        <v>200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82</v>
      </c>
      <c r="BD93" s="8">
        <v>9840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590.4</v>
      </c>
      <c r="BM93" s="10">
        <v>23560</v>
      </c>
      <c r="BN93" s="13">
        <f t="shared" si="2"/>
        <v>22969.599999999999</v>
      </c>
      <c r="BO93" s="14">
        <f t="shared" si="3"/>
        <v>16078.719999999998</v>
      </c>
    </row>
    <row r="94" spans="1:67" x14ac:dyDescent="0.4">
      <c r="A94" s="5" t="s">
        <v>29</v>
      </c>
      <c r="B94" s="5" t="s">
        <v>273</v>
      </c>
      <c r="C94" s="5">
        <v>400251</v>
      </c>
      <c r="D94" s="6"/>
      <c r="E94" s="5" t="s">
        <v>31</v>
      </c>
      <c r="F94" s="5" t="s">
        <v>58</v>
      </c>
      <c r="G94" s="5" t="s">
        <v>51</v>
      </c>
      <c r="H94" s="7" t="s">
        <v>8</v>
      </c>
      <c r="I94" s="7" t="s">
        <v>274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3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189</v>
      </c>
      <c r="AF94" s="8">
        <v>9400</v>
      </c>
      <c r="AG94" s="8">
        <v>9500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6</v>
      </c>
      <c r="AX94" s="7">
        <v>720</v>
      </c>
      <c r="AY94" s="7">
        <v>0</v>
      </c>
      <c r="AZ94" s="7">
        <v>0</v>
      </c>
      <c r="BA94" s="7">
        <v>0</v>
      </c>
      <c r="BB94" s="7">
        <v>0</v>
      </c>
      <c r="BC94" s="7">
        <v>31</v>
      </c>
      <c r="BD94" s="8">
        <v>3600</v>
      </c>
      <c r="BE94" s="7">
        <v>100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288</v>
      </c>
      <c r="BM94" s="10">
        <v>23320</v>
      </c>
      <c r="BN94" s="13">
        <f t="shared" si="2"/>
        <v>23032</v>
      </c>
      <c r="BO94" s="14">
        <f t="shared" si="3"/>
        <v>16122.4</v>
      </c>
    </row>
    <row r="95" spans="1:67" x14ac:dyDescent="0.4">
      <c r="A95" s="5" t="s">
        <v>29</v>
      </c>
      <c r="B95" s="5" t="s">
        <v>265</v>
      </c>
      <c r="C95" s="5">
        <v>341374</v>
      </c>
      <c r="D95" s="6"/>
      <c r="E95" s="5" t="s">
        <v>31</v>
      </c>
      <c r="F95" s="5" t="s">
        <v>150</v>
      </c>
      <c r="G95" s="5" t="s">
        <v>51</v>
      </c>
      <c r="H95" s="7" t="s">
        <v>8</v>
      </c>
      <c r="I95" s="7" t="s">
        <v>266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2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125</v>
      </c>
      <c r="AF95" s="8">
        <v>10040</v>
      </c>
      <c r="AG95" s="8">
        <v>3600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80</v>
      </c>
      <c r="BD95" s="8">
        <v>9600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576</v>
      </c>
      <c r="BM95" s="10">
        <v>23240</v>
      </c>
      <c r="BN95" s="13">
        <f t="shared" si="2"/>
        <v>22664</v>
      </c>
      <c r="BO95" s="14">
        <f t="shared" si="3"/>
        <v>15864.8</v>
      </c>
    </row>
    <row r="96" spans="1:67" x14ac:dyDescent="0.4">
      <c r="A96" s="5" t="s">
        <v>29</v>
      </c>
      <c r="B96" s="5" t="s">
        <v>376</v>
      </c>
      <c r="C96" s="5">
        <v>469950</v>
      </c>
      <c r="D96" s="6"/>
      <c r="E96" s="5" t="s">
        <v>31</v>
      </c>
      <c r="F96" s="5" t="s">
        <v>335</v>
      </c>
      <c r="G96" s="5" t="s">
        <v>51</v>
      </c>
      <c r="H96" s="7" t="s">
        <v>8</v>
      </c>
      <c r="I96" s="7" t="s">
        <v>377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215</v>
      </c>
      <c r="AF96" s="8">
        <v>6200</v>
      </c>
      <c r="AG96" s="8">
        <v>15300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3</v>
      </c>
      <c r="AX96" s="7">
        <v>360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36</v>
      </c>
      <c r="BM96" s="10">
        <v>21860</v>
      </c>
      <c r="BN96" s="13">
        <f t="shared" si="2"/>
        <v>21824</v>
      </c>
      <c r="BO96" s="14">
        <f t="shared" si="3"/>
        <v>15276.8</v>
      </c>
    </row>
    <row r="97" spans="1:67" x14ac:dyDescent="0.4">
      <c r="A97" s="5" t="s">
        <v>29</v>
      </c>
      <c r="B97" s="5" t="s">
        <v>309</v>
      </c>
      <c r="C97" s="5">
        <v>404148</v>
      </c>
      <c r="D97" s="6"/>
      <c r="E97" s="5" t="s">
        <v>31</v>
      </c>
      <c r="F97" s="5" t="s">
        <v>310</v>
      </c>
      <c r="G97" s="5" t="s">
        <v>51</v>
      </c>
      <c r="H97" s="7" t="s">
        <v>8</v>
      </c>
      <c r="I97" s="7" t="s">
        <v>311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114</v>
      </c>
      <c r="AF97" s="8">
        <v>7400</v>
      </c>
      <c r="AG97" s="8">
        <v>4000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75</v>
      </c>
      <c r="BD97" s="8">
        <v>9000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540</v>
      </c>
      <c r="BM97" s="10">
        <v>20400</v>
      </c>
      <c r="BN97" s="13">
        <f t="shared" si="2"/>
        <v>19860</v>
      </c>
      <c r="BO97" s="14">
        <f t="shared" si="3"/>
        <v>13902</v>
      </c>
    </row>
    <row r="98" spans="1:67" x14ac:dyDescent="0.4">
      <c r="A98" s="5" t="s">
        <v>29</v>
      </c>
      <c r="B98" s="5" t="s">
        <v>332</v>
      </c>
      <c r="C98" s="5">
        <v>382325</v>
      </c>
      <c r="D98" s="6"/>
      <c r="E98" s="5" t="s">
        <v>31</v>
      </c>
      <c r="F98" s="5" t="s">
        <v>50</v>
      </c>
      <c r="G98" s="5" t="s">
        <v>51</v>
      </c>
      <c r="H98" s="7" t="s">
        <v>8</v>
      </c>
      <c r="I98" s="7" t="s">
        <v>333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6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116</v>
      </c>
      <c r="AF98" s="8">
        <v>6960</v>
      </c>
      <c r="AG98" s="8">
        <v>5100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65</v>
      </c>
      <c r="AR98" s="8">
        <v>6500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11</v>
      </c>
      <c r="BD98" s="8">
        <v>1320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79.2</v>
      </c>
      <c r="BM98" s="10">
        <v>19880</v>
      </c>
      <c r="BN98" s="13">
        <f t="shared" si="2"/>
        <v>19800.8</v>
      </c>
      <c r="BO98" s="14">
        <f t="shared" si="3"/>
        <v>13860.56</v>
      </c>
    </row>
    <row r="99" spans="1:67" x14ac:dyDescent="0.4">
      <c r="A99" s="5" t="s">
        <v>29</v>
      </c>
      <c r="B99" s="5" t="s">
        <v>321</v>
      </c>
      <c r="C99" s="5">
        <v>445862</v>
      </c>
      <c r="D99" s="6"/>
      <c r="E99" s="5" t="s">
        <v>31</v>
      </c>
      <c r="F99" s="5" t="s">
        <v>65</v>
      </c>
      <c r="G99" s="5" t="s">
        <v>51</v>
      </c>
      <c r="H99" s="7" t="s">
        <v>8</v>
      </c>
      <c r="I99" s="7" t="s">
        <v>215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5</v>
      </c>
      <c r="AF99" s="8">
        <v>9240</v>
      </c>
      <c r="AG99" s="8">
        <v>2200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1</v>
      </c>
      <c r="AX99" s="8">
        <v>2640</v>
      </c>
      <c r="AY99" s="7">
        <v>0</v>
      </c>
      <c r="AZ99" s="7">
        <v>0</v>
      </c>
      <c r="BA99" s="7">
        <v>0</v>
      </c>
      <c r="BB99" s="7">
        <v>0</v>
      </c>
      <c r="BC99" s="7">
        <v>2</v>
      </c>
      <c r="BD99" s="8">
        <v>5280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580.79999999999995</v>
      </c>
      <c r="BM99" s="10">
        <v>19360</v>
      </c>
      <c r="BN99" s="13">
        <f t="shared" si="2"/>
        <v>18779.2</v>
      </c>
      <c r="BO99" s="14">
        <f t="shared" si="3"/>
        <v>13145.44</v>
      </c>
    </row>
    <row r="100" spans="1:67" x14ac:dyDescent="0.4">
      <c r="A100" s="5" t="s">
        <v>29</v>
      </c>
      <c r="B100" s="5" t="s">
        <v>378</v>
      </c>
      <c r="C100" s="5">
        <v>463949</v>
      </c>
      <c r="D100" s="6"/>
      <c r="E100" s="5" t="s">
        <v>31</v>
      </c>
      <c r="F100" s="5" t="s">
        <v>379</v>
      </c>
      <c r="G100" s="5" t="s">
        <v>11</v>
      </c>
      <c r="H100" s="7" t="s">
        <v>7</v>
      </c>
      <c r="I100" s="7" t="s">
        <v>74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168</v>
      </c>
      <c r="AF100" s="8">
        <v>18480</v>
      </c>
      <c r="AG100" s="7">
        <v>200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10">
        <v>18680</v>
      </c>
      <c r="BN100" s="13">
        <f t="shared" si="2"/>
        <v>18680</v>
      </c>
      <c r="BO100" s="14">
        <f t="shared" si="3"/>
        <v>13076</v>
      </c>
    </row>
    <row r="101" spans="1:67" x14ac:dyDescent="0.4">
      <c r="A101" s="5" t="s">
        <v>29</v>
      </c>
      <c r="B101" s="5" t="s">
        <v>286</v>
      </c>
      <c r="C101" s="5">
        <v>395192</v>
      </c>
      <c r="D101" s="6"/>
      <c r="E101" s="5" t="s">
        <v>31</v>
      </c>
      <c r="F101" s="5" t="s">
        <v>150</v>
      </c>
      <c r="G101" s="5" t="s">
        <v>51</v>
      </c>
      <c r="H101" s="7" t="s">
        <v>8</v>
      </c>
      <c r="I101" s="7" t="s">
        <v>287</v>
      </c>
      <c r="J101" s="7">
        <v>0</v>
      </c>
      <c r="K101" s="7">
        <v>1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10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120</v>
      </c>
      <c r="AF101" s="8">
        <v>4400</v>
      </c>
      <c r="AG101" s="8">
        <v>7600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1</v>
      </c>
      <c r="AR101" s="7">
        <v>100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55</v>
      </c>
      <c r="BD101" s="8">
        <v>6000</v>
      </c>
      <c r="BE101" s="7">
        <v>500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360</v>
      </c>
      <c r="BM101" s="10">
        <v>18600</v>
      </c>
      <c r="BN101" s="13">
        <f t="shared" si="2"/>
        <v>18240</v>
      </c>
      <c r="BO101" s="14">
        <f t="shared" si="3"/>
        <v>12768</v>
      </c>
    </row>
    <row r="102" spans="1:67" x14ac:dyDescent="0.4">
      <c r="A102" s="5" t="s">
        <v>29</v>
      </c>
      <c r="B102" s="5" t="s">
        <v>243</v>
      </c>
      <c r="C102" s="5">
        <v>353981</v>
      </c>
      <c r="D102" s="6"/>
      <c r="E102" s="5" t="s">
        <v>31</v>
      </c>
      <c r="F102" s="5" t="s">
        <v>244</v>
      </c>
      <c r="G102" s="5" t="s">
        <v>51</v>
      </c>
      <c r="H102" s="7" t="s">
        <v>8</v>
      </c>
      <c r="I102" s="7" t="s">
        <v>245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12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69</v>
      </c>
      <c r="AF102" s="8">
        <v>2800</v>
      </c>
      <c r="AG102" s="8">
        <v>4100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97</v>
      </c>
      <c r="BD102" s="8">
        <v>11640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698.4</v>
      </c>
      <c r="BM102" s="10">
        <v>18540</v>
      </c>
      <c r="BN102" s="13">
        <f t="shared" si="2"/>
        <v>17841.599999999999</v>
      </c>
      <c r="BO102" s="14">
        <f t="shared" si="3"/>
        <v>12489.119999999999</v>
      </c>
    </row>
    <row r="103" spans="1:67" x14ac:dyDescent="0.4">
      <c r="A103" s="5" t="s">
        <v>29</v>
      </c>
      <c r="B103" s="5" t="s">
        <v>343</v>
      </c>
      <c r="C103" s="5">
        <v>414120</v>
      </c>
      <c r="D103" s="6"/>
      <c r="E103" s="5" t="s">
        <v>31</v>
      </c>
      <c r="F103" s="5" t="s">
        <v>58</v>
      </c>
      <c r="G103" s="5" t="s">
        <v>51</v>
      </c>
      <c r="H103" s="7" t="s">
        <v>8</v>
      </c>
      <c r="I103" s="7" t="s">
        <v>222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87</v>
      </c>
      <c r="AF103" s="8">
        <v>7160</v>
      </c>
      <c r="AG103" s="8">
        <v>2200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24</v>
      </c>
      <c r="AX103" s="8">
        <v>2880</v>
      </c>
      <c r="AY103" s="7">
        <v>0</v>
      </c>
      <c r="AZ103" s="7">
        <v>0</v>
      </c>
      <c r="BA103" s="7">
        <v>0</v>
      </c>
      <c r="BB103" s="7">
        <v>0</v>
      </c>
      <c r="BC103" s="7">
        <v>46</v>
      </c>
      <c r="BD103" s="8">
        <v>5520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619.20000000000005</v>
      </c>
      <c r="BM103" s="10">
        <v>17760</v>
      </c>
      <c r="BN103" s="13">
        <f t="shared" si="2"/>
        <v>17140.8</v>
      </c>
      <c r="BO103" s="14">
        <f t="shared" si="3"/>
        <v>11998.56</v>
      </c>
    </row>
    <row r="104" spans="1:67" x14ac:dyDescent="0.4">
      <c r="A104" s="5" t="s">
        <v>29</v>
      </c>
      <c r="B104" s="5" t="s">
        <v>267</v>
      </c>
      <c r="C104" s="5">
        <v>251205</v>
      </c>
      <c r="D104" s="6"/>
      <c r="E104" s="5" t="s">
        <v>31</v>
      </c>
      <c r="F104" s="5" t="s">
        <v>84</v>
      </c>
      <c r="G104" s="5" t="s">
        <v>11</v>
      </c>
      <c r="H104" s="7" t="s">
        <v>7</v>
      </c>
      <c r="I104" s="7" t="s">
        <v>268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8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100</v>
      </c>
      <c r="AF104" s="8">
        <v>10000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72</v>
      </c>
      <c r="AR104" s="8">
        <v>7000</v>
      </c>
      <c r="AS104" s="7">
        <v>200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10">
        <v>17200</v>
      </c>
      <c r="BN104" s="13">
        <f t="shared" si="2"/>
        <v>17200</v>
      </c>
      <c r="BO104" s="14">
        <f t="shared" si="3"/>
        <v>12040</v>
      </c>
    </row>
    <row r="105" spans="1:67" x14ac:dyDescent="0.4">
      <c r="A105" s="5" t="s">
        <v>29</v>
      </c>
      <c r="B105" s="5" t="s">
        <v>297</v>
      </c>
      <c r="C105" s="5">
        <v>417258</v>
      </c>
      <c r="D105" s="6"/>
      <c r="E105" s="5" t="s">
        <v>31</v>
      </c>
      <c r="F105" s="5" t="s">
        <v>298</v>
      </c>
      <c r="G105" s="5" t="s">
        <v>51</v>
      </c>
      <c r="H105" s="7" t="s">
        <v>8</v>
      </c>
      <c r="I105" s="7" t="s">
        <v>299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4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9</v>
      </c>
      <c r="AF105" s="7">
        <v>700</v>
      </c>
      <c r="AG105" s="7">
        <v>200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10</v>
      </c>
      <c r="AR105" s="8">
        <v>1000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123</v>
      </c>
      <c r="BD105" s="8">
        <v>14760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885.6</v>
      </c>
      <c r="BM105" s="10">
        <v>16660</v>
      </c>
      <c r="BN105" s="13">
        <f t="shared" si="2"/>
        <v>15774.4</v>
      </c>
      <c r="BO105" s="14">
        <f t="shared" si="3"/>
        <v>11042.08</v>
      </c>
    </row>
    <row r="106" spans="1:67" x14ac:dyDescent="0.4">
      <c r="A106" s="5" t="s">
        <v>29</v>
      </c>
      <c r="B106" s="5" t="s">
        <v>283</v>
      </c>
      <c r="C106" s="5">
        <v>408579</v>
      </c>
      <c r="D106" s="6"/>
      <c r="E106" s="5" t="s">
        <v>31</v>
      </c>
      <c r="F106" s="5" t="s">
        <v>47</v>
      </c>
      <c r="G106" s="5" t="s">
        <v>11</v>
      </c>
      <c r="H106" s="7" t="s">
        <v>7</v>
      </c>
      <c r="I106" s="7" t="s">
        <v>252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1</v>
      </c>
      <c r="AF106" s="8">
        <v>3200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3</v>
      </c>
      <c r="AR106" s="8">
        <v>9600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1</v>
      </c>
      <c r="BD106" s="8">
        <v>3840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230.4</v>
      </c>
      <c r="BM106" s="10">
        <v>16640</v>
      </c>
      <c r="BN106" s="13">
        <f t="shared" si="2"/>
        <v>16409.599999999999</v>
      </c>
      <c r="BO106" s="14">
        <f t="shared" si="3"/>
        <v>11486.719999999998</v>
      </c>
    </row>
    <row r="107" spans="1:67" x14ac:dyDescent="0.4">
      <c r="A107" s="5" t="s">
        <v>29</v>
      </c>
      <c r="B107" s="5" t="s">
        <v>304</v>
      </c>
      <c r="C107" s="5">
        <v>416378</v>
      </c>
      <c r="D107" s="6"/>
      <c r="E107" s="5" t="s">
        <v>31</v>
      </c>
      <c r="F107" s="5" t="s">
        <v>145</v>
      </c>
      <c r="G107" s="5" t="s">
        <v>51</v>
      </c>
      <c r="H107" s="7" t="s">
        <v>8</v>
      </c>
      <c r="I107" s="7" t="s">
        <v>305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4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44</v>
      </c>
      <c r="AF107" s="8">
        <v>4200</v>
      </c>
      <c r="AG107" s="7">
        <v>200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1</v>
      </c>
      <c r="AR107" s="7">
        <v>100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98</v>
      </c>
      <c r="BD107" s="8">
        <v>11760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705.6</v>
      </c>
      <c r="BM107" s="10">
        <v>16260</v>
      </c>
      <c r="BN107" s="13">
        <f t="shared" si="2"/>
        <v>15554.4</v>
      </c>
      <c r="BO107" s="14">
        <f t="shared" si="3"/>
        <v>10888.08</v>
      </c>
    </row>
    <row r="108" spans="1:67" x14ac:dyDescent="0.4">
      <c r="A108" s="5" t="s">
        <v>29</v>
      </c>
      <c r="B108" s="5" t="s">
        <v>281</v>
      </c>
      <c r="C108" s="5">
        <v>353788</v>
      </c>
      <c r="D108" s="6"/>
      <c r="E108" s="5" t="s">
        <v>31</v>
      </c>
      <c r="F108" s="5" t="s">
        <v>227</v>
      </c>
      <c r="G108" s="5" t="s">
        <v>51</v>
      </c>
      <c r="H108" s="7" t="s">
        <v>8</v>
      </c>
      <c r="I108" s="7" t="s">
        <v>282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5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25</v>
      </c>
      <c r="AF108" s="7">
        <v>0</v>
      </c>
      <c r="AG108" s="8">
        <v>2500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1</v>
      </c>
      <c r="AX108" s="7">
        <v>120</v>
      </c>
      <c r="AY108" s="7">
        <v>0</v>
      </c>
      <c r="AZ108" s="7">
        <v>0</v>
      </c>
      <c r="BA108" s="7">
        <v>0</v>
      </c>
      <c r="BB108" s="7">
        <v>0</v>
      </c>
      <c r="BC108" s="7">
        <v>113</v>
      </c>
      <c r="BD108" s="8">
        <v>13560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825.6</v>
      </c>
      <c r="BM108" s="10">
        <v>16180</v>
      </c>
      <c r="BN108" s="13">
        <f t="shared" si="2"/>
        <v>15354.4</v>
      </c>
      <c r="BO108" s="14">
        <f t="shared" si="3"/>
        <v>10748.08</v>
      </c>
    </row>
    <row r="109" spans="1:67" x14ac:dyDescent="0.4">
      <c r="A109" s="5" t="s">
        <v>29</v>
      </c>
      <c r="B109" s="5" t="s">
        <v>324</v>
      </c>
      <c r="C109" s="5">
        <v>391008</v>
      </c>
      <c r="D109" s="6"/>
      <c r="E109" s="5" t="s">
        <v>31</v>
      </c>
      <c r="F109" s="5" t="s">
        <v>145</v>
      </c>
      <c r="G109" s="5" t="s">
        <v>51</v>
      </c>
      <c r="H109" s="7" t="s">
        <v>8</v>
      </c>
      <c r="I109" s="7" t="s">
        <v>325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31</v>
      </c>
      <c r="AF109" s="7">
        <v>100</v>
      </c>
      <c r="AG109" s="8">
        <v>3000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22</v>
      </c>
      <c r="AR109" s="8">
        <v>2200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90</v>
      </c>
      <c r="BD109" s="8">
        <v>10800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648</v>
      </c>
      <c r="BM109" s="10">
        <v>16100</v>
      </c>
      <c r="BN109" s="13">
        <f t="shared" si="2"/>
        <v>15452</v>
      </c>
      <c r="BO109" s="14">
        <f t="shared" si="3"/>
        <v>10816.4</v>
      </c>
    </row>
    <row r="110" spans="1:67" x14ac:dyDescent="0.4">
      <c r="A110" s="5" t="s">
        <v>29</v>
      </c>
      <c r="B110" s="5" t="s">
        <v>306</v>
      </c>
      <c r="C110" s="5">
        <v>381070</v>
      </c>
      <c r="D110" s="6"/>
      <c r="E110" s="5" t="s">
        <v>31</v>
      </c>
      <c r="F110" s="5" t="s">
        <v>307</v>
      </c>
      <c r="G110" s="5" t="s">
        <v>51</v>
      </c>
      <c r="H110" s="7" t="s">
        <v>8</v>
      </c>
      <c r="I110" s="7" t="s">
        <v>308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14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1</v>
      </c>
      <c r="AF110" s="7">
        <v>100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64</v>
      </c>
      <c r="AR110" s="8">
        <v>6400</v>
      </c>
      <c r="AS110" s="7">
        <v>0</v>
      </c>
      <c r="AT110" s="7">
        <v>0</v>
      </c>
      <c r="AU110" s="7">
        <v>0</v>
      </c>
      <c r="AV110" s="7">
        <v>0</v>
      </c>
      <c r="AW110" s="7">
        <v>2</v>
      </c>
      <c r="AX110" s="7">
        <v>226</v>
      </c>
      <c r="AY110" s="7">
        <v>0</v>
      </c>
      <c r="AZ110" s="7">
        <v>0</v>
      </c>
      <c r="BA110" s="7">
        <v>0</v>
      </c>
      <c r="BB110" s="7">
        <v>0</v>
      </c>
      <c r="BC110" s="7">
        <v>76</v>
      </c>
      <c r="BD110" s="8">
        <v>9120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569.79999999999995</v>
      </c>
      <c r="BM110" s="10">
        <v>15846</v>
      </c>
      <c r="BN110" s="13">
        <f t="shared" si="2"/>
        <v>15276.2</v>
      </c>
      <c r="BO110" s="14">
        <f t="shared" si="3"/>
        <v>10693.34</v>
      </c>
    </row>
    <row r="111" spans="1:67" x14ac:dyDescent="0.4">
      <c r="A111" s="5" t="s">
        <v>29</v>
      </c>
      <c r="B111" s="5" t="s">
        <v>258</v>
      </c>
      <c r="C111" s="5">
        <v>351033</v>
      </c>
      <c r="D111" s="6" t="s">
        <v>259</v>
      </c>
      <c r="E111" s="5" t="s">
        <v>31</v>
      </c>
      <c r="F111" s="5" t="s">
        <v>47</v>
      </c>
      <c r="G111" s="5" t="s">
        <v>11</v>
      </c>
      <c r="H111" s="7" t="s">
        <v>7</v>
      </c>
      <c r="I111" s="7" t="s">
        <v>260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91</v>
      </c>
      <c r="AF111" s="8">
        <v>7700</v>
      </c>
      <c r="AG111" s="8">
        <v>1800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8</v>
      </c>
      <c r="AR111" s="7">
        <v>800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39</v>
      </c>
      <c r="BD111" s="8">
        <v>4680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280.8</v>
      </c>
      <c r="BM111" s="10">
        <v>14980</v>
      </c>
      <c r="BN111" s="13">
        <f t="shared" si="2"/>
        <v>14699.2</v>
      </c>
      <c r="BO111" s="14">
        <f t="shared" si="3"/>
        <v>10289.44</v>
      </c>
    </row>
    <row r="112" spans="1:67" x14ac:dyDescent="0.4">
      <c r="A112" s="5" t="s">
        <v>29</v>
      </c>
      <c r="B112" s="5" t="s">
        <v>278</v>
      </c>
      <c r="C112" s="5">
        <v>297776</v>
      </c>
      <c r="D112" s="6"/>
      <c r="E112" s="5" t="s">
        <v>31</v>
      </c>
      <c r="F112" s="5" t="s">
        <v>279</v>
      </c>
      <c r="G112" s="5" t="s">
        <v>11</v>
      </c>
      <c r="H112" s="7" t="s">
        <v>10</v>
      </c>
      <c r="I112" s="7" t="s">
        <v>280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32</v>
      </c>
      <c r="AF112" s="8">
        <v>1500</v>
      </c>
      <c r="AG112" s="8">
        <v>1700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95</v>
      </c>
      <c r="BD112" s="8">
        <v>11400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684</v>
      </c>
      <c r="BM112" s="10">
        <v>14600</v>
      </c>
      <c r="BN112" s="13">
        <f t="shared" si="2"/>
        <v>13916</v>
      </c>
      <c r="BO112" s="14">
        <f t="shared" si="3"/>
        <v>9741.1999999999989</v>
      </c>
    </row>
    <row r="113" spans="1:67" x14ac:dyDescent="0.4">
      <c r="A113" s="5" t="s">
        <v>29</v>
      </c>
      <c r="B113" s="5" t="s">
        <v>253</v>
      </c>
      <c r="C113" s="5">
        <v>429534</v>
      </c>
      <c r="D113" s="6"/>
      <c r="E113" s="5" t="s">
        <v>31</v>
      </c>
      <c r="F113" s="5" t="s">
        <v>193</v>
      </c>
      <c r="G113" s="5" t="s">
        <v>11</v>
      </c>
      <c r="H113" s="7" t="s">
        <v>7</v>
      </c>
      <c r="I113" s="7" t="s">
        <v>254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4</v>
      </c>
      <c r="AF113" s="8">
        <v>8300</v>
      </c>
      <c r="AG113" s="8">
        <v>2900</v>
      </c>
      <c r="AH113" s="7">
        <v>0</v>
      </c>
      <c r="AI113" s="7">
        <v>0</v>
      </c>
      <c r="AJ113" s="7">
        <v>0</v>
      </c>
      <c r="AK113" s="7">
        <v>1</v>
      </c>
      <c r="AL113" s="8">
        <v>3360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9">
        <v>1008</v>
      </c>
      <c r="BM113" s="10">
        <v>14560</v>
      </c>
      <c r="BN113" s="13">
        <f t="shared" si="2"/>
        <v>13552</v>
      </c>
      <c r="BO113" s="14">
        <f t="shared" si="3"/>
        <v>9486.4</v>
      </c>
    </row>
    <row r="114" spans="1:67" ht="19.2" x14ac:dyDescent="0.4">
      <c r="A114" s="5" t="s">
        <v>29</v>
      </c>
      <c r="B114" s="5" t="s">
        <v>211</v>
      </c>
      <c r="C114" s="5">
        <v>467503</v>
      </c>
      <c r="D114" s="6"/>
      <c r="E114" s="5" t="s">
        <v>31</v>
      </c>
      <c r="F114" s="5" t="s">
        <v>185</v>
      </c>
      <c r="G114" s="5" t="s">
        <v>51</v>
      </c>
      <c r="H114" s="7" t="s">
        <v>8</v>
      </c>
      <c r="I114" s="7" t="s">
        <v>43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2</v>
      </c>
      <c r="AF114" s="7">
        <v>200</v>
      </c>
      <c r="AG114" s="8">
        <v>3200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1</v>
      </c>
      <c r="AR114" s="8">
        <v>3000</v>
      </c>
      <c r="AS114" s="7">
        <v>200</v>
      </c>
      <c r="AT114" s="7">
        <v>0</v>
      </c>
      <c r="AU114" s="7">
        <v>0</v>
      </c>
      <c r="AV114" s="7">
        <v>0</v>
      </c>
      <c r="AW114" s="7">
        <v>1</v>
      </c>
      <c r="AX114" s="8">
        <v>3600</v>
      </c>
      <c r="AY114" s="7">
        <v>0</v>
      </c>
      <c r="AZ114" s="7">
        <v>0</v>
      </c>
      <c r="BA114" s="7">
        <v>0</v>
      </c>
      <c r="BB114" s="7">
        <v>0</v>
      </c>
      <c r="BC114" s="7">
        <v>1</v>
      </c>
      <c r="BD114" s="8">
        <v>3840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590.4</v>
      </c>
      <c r="BM114" s="10">
        <v>14040</v>
      </c>
      <c r="BN114" s="13">
        <f t="shared" si="2"/>
        <v>13449.6</v>
      </c>
      <c r="BO114" s="14">
        <f t="shared" si="3"/>
        <v>9414.7199999999993</v>
      </c>
    </row>
    <row r="115" spans="1:67" x14ac:dyDescent="0.4">
      <c r="A115" s="5" t="s">
        <v>29</v>
      </c>
      <c r="B115" s="5" t="s">
        <v>467</v>
      </c>
      <c r="C115" s="5">
        <v>383716</v>
      </c>
      <c r="D115" s="6"/>
      <c r="E115" s="5" t="s">
        <v>31</v>
      </c>
      <c r="F115" s="5" t="s">
        <v>292</v>
      </c>
      <c r="G115" s="5" t="s">
        <v>51</v>
      </c>
      <c r="H115" s="7" t="s">
        <v>331</v>
      </c>
      <c r="I115" s="7" t="s">
        <v>385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3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43</v>
      </c>
      <c r="AF115" s="7">
        <v>240</v>
      </c>
      <c r="AG115" s="8">
        <v>4100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44</v>
      </c>
      <c r="AR115" s="8">
        <v>4400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44</v>
      </c>
      <c r="BD115" s="8">
        <v>5280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316.8</v>
      </c>
      <c r="BM115" s="10">
        <v>14020</v>
      </c>
      <c r="BN115" s="13">
        <f t="shared" si="2"/>
        <v>13703.2</v>
      </c>
      <c r="BO115" s="14">
        <f t="shared" si="3"/>
        <v>9592.24</v>
      </c>
    </row>
    <row r="116" spans="1:67" x14ac:dyDescent="0.4">
      <c r="A116" s="5" t="s">
        <v>29</v>
      </c>
      <c r="B116" s="5" t="s">
        <v>476</v>
      </c>
      <c r="C116" s="5">
        <v>299970</v>
      </c>
      <c r="D116" s="6"/>
      <c r="E116" s="5" t="s">
        <v>31</v>
      </c>
      <c r="F116" s="5" t="s">
        <v>364</v>
      </c>
      <c r="G116" s="5" t="s">
        <v>11</v>
      </c>
      <c r="H116" s="7" t="s">
        <v>7</v>
      </c>
      <c r="I116" s="7" t="s">
        <v>477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6</v>
      </c>
      <c r="AC116" s="8">
        <v>5400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6</v>
      </c>
      <c r="AO116" s="8">
        <v>5400</v>
      </c>
      <c r="AP116" s="7">
        <v>0</v>
      </c>
      <c r="AQ116" s="7">
        <v>1</v>
      </c>
      <c r="AR116" s="8">
        <v>3200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10">
        <v>14000</v>
      </c>
      <c r="BN116" s="13">
        <f t="shared" si="2"/>
        <v>14000</v>
      </c>
      <c r="BO116" s="14">
        <f t="shared" si="3"/>
        <v>9800</v>
      </c>
    </row>
    <row r="117" spans="1:67" x14ac:dyDescent="0.4">
      <c r="A117" s="5" t="s">
        <v>29</v>
      </c>
      <c r="B117" s="5" t="s">
        <v>237</v>
      </c>
      <c r="C117" s="5">
        <v>434877</v>
      </c>
      <c r="D117" s="6"/>
      <c r="E117" s="5" t="s">
        <v>31</v>
      </c>
      <c r="F117" s="5" t="s">
        <v>238</v>
      </c>
      <c r="G117" s="5" t="s">
        <v>11</v>
      </c>
      <c r="H117" s="7" t="s">
        <v>7</v>
      </c>
      <c r="I117" s="7" t="s">
        <v>239</v>
      </c>
      <c r="J117" s="7">
        <v>3</v>
      </c>
      <c r="K117" s="7">
        <v>0</v>
      </c>
      <c r="L117" s="7">
        <v>300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8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20</v>
      </c>
      <c r="AF117" s="8">
        <v>2060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92</v>
      </c>
      <c r="BD117" s="8">
        <v>11040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662.4</v>
      </c>
      <c r="BM117" s="10">
        <v>13400</v>
      </c>
      <c r="BN117" s="13">
        <f t="shared" si="2"/>
        <v>12737.6</v>
      </c>
      <c r="BO117" s="14">
        <f t="shared" si="3"/>
        <v>8916.32</v>
      </c>
    </row>
    <row r="118" spans="1:67" x14ac:dyDescent="0.4">
      <c r="A118" s="5" t="s">
        <v>29</v>
      </c>
      <c r="B118" s="5" t="s">
        <v>232</v>
      </c>
      <c r="C118" s="5">
        <v>415992</v>
      </c>
      <c r="D118" s="6"/>
      <c r="E118" s="5" t="s">
        <v>31</v>
      </c>
      <c r="F118" s="5" t="s">
        <v>58</v>
      </c>
      <c r="G118" s="5" t="s">
        <v>51</v>
      </c>
      <c r="H118" s="7" t="s">
        <v>8</v>
      </c>
      <c r="I118" s="7" t="s">
        <v>233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2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58</v>
      </c>
      <c r="AF118" s="8">
        <v>3300</v>
      </c>
      <c r="AG118" s="8">
        <v>2500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61</v>
      </c>
      <c r="BD118" s="8">
        <v>7320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439.2</v>
      </c>
      <c r="BM118" s="10">
        <v>13120</v>
      </c>
      <c r="BN118" s="13">
        <f t="shared" si="2"/>
        <v>12680.8</v>
      </c>
      <c r="BO118" s="14">
        <f t="shared" si="3"/>
        <v>8876.56</v>
      </c>
    </row>
    <row r="119" spans="1:67" x14ac:dyDescent="0.4">
      <c r="A119" s="5" t="s">
        <v>29</v>
      </c>
      <c r="B119" s="5" t="s">
        <v>302</v>
      </c>
      <c r="C119" s="5">
        <v>327548</v>
      </c>
      <c r="D119" s="6"/>
      <c r="E119" s="5" t="s">
        <v>31</v>
      </c>
      <c r="F119" s="5" t="s">
        <v>227</v>
      </c>
      <c r="G119" s="5" t="s">
        <v>51</v>
      </c>
      <c r="H119" s="7" t="s">
        <v>8</v>
      </c>
      <c r="I119" s="7" t="s">
        <v>303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35</v>
      </c>
      <c r="AF119" s="8">
        <v>1800</v>
      </c>
      <c r="AG119" s="8">
        <v>1700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80</v>
      </c>
      <c r="BD119" s="8">
        <v>9600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576</v>
      </c>
      <c r="BM119" s="10">
        <v>13100</v>
      </c>
      <c r="BN119" s="13">
        <f t="shared" si="2"/>
        <v>12524</v>
      </c>
      <c r="BO119" s="14">
        <f t="shared" si="3"/>
        <v>8766.7999999999993</v>
      </c>
    </row>
    <row r="120" spans="1:67" x14ac:dyDescent="0.4">
      <c r="A120" s="5" t="s">
        <v>29</v>
      </c>
      <c r="B120" s="5" t="s">
        <v>262</v>
      </c>
      <c r="C120" s="5">
        <v>305522</v>
      </c>
      <c r="D120" s="6"/>
      <c r="E120" s="5" t="s">
        <v>31</v>
      </c>
      <c r="F120" s="5" t="s">
        <v>58</v>
      </c>
      <c r="G120" s="5" t="s">
        <v>51</v>
      </c>
      <c r="H120" s="7" t="s">
        <v>8</v>
      </c>
      <c r="I120" s="7" t="s">
        <v>263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106</v>
      </c>
      <c r="AF120" s="8">
        <v>11240</v>
      </c>
      <c r="AG120" s="7">
        <v>200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7</v>
      </c>
      <c r="AX120" s="7">
        <v>840</v>
      </c>
      <c r="AY120" s="7">
        <v>0</v>
      </c>
      <c r="AZ120" s="7">
        <v>0</v>
      </c>
      <c r="BA120" s="7">
        <v>0</v>
      </c>
      <c r="BB120" s="7">
        <v>0</v>
      </c>
      <c r="BC120" s="7">
        <v>6</v>
      </c>
      <c r="BD120" s="7">
        <v>720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127.2</v>
      </c>
      <c r="BM120" s="10">
        <v>13000</v>
      </c>
      <c r="BN120" s="13">
        <f t="shared" si="2"/>
        <v>12872.8</v>
      </c>
      <c r="BO120" s="14">
        <f t="shared" si="3"/>
        <v>9010.9599999999991</v>
      </c>
    </row>
    <row r="121" spans="1:67" x14ac:dyDescent="0.4">
      <c r="A121" s="5" t="s">
        <v>29</v>
      </c>
      <c r="B121" s="5" t="s">
        <v>338</v>
      </c>
      <c r="C121" s="5">
        <v>430085</v>
      </c>
      <c r="D121" s="6"/>
      <c r="E121" s="5" t="s">
        <v>31</v>
      </c>
      <c r="F121" s="5" t="s">
        <v>104</v>
      </c>
      <c r="G121" s="5" t="s">
        <v>11</v>
      </c>
      <c r="H121" s="7" t="s">
        <v>10</v>
      </c>
      <c r="I121" s="7" t="s">
        <v>339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4</v>
      </c>
      <c r="AF121" s="8">
        <v>12300</v>
      </c>
      <c r="AG121" s="7">
        <v>500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10">
        <v>12800</v>
      </c>
      <c r="BN121" s="13">
        <f t="shared" si="2"/>
        <v>12800</v>
      </c>
      <c r="BO121" s="14">
        <f t="shared" si="3"/>
        <v>8960</v>
      </c>
    </row>
    <row r="122" spans="1:67" x14ac:dyDescent="0.4">
      <c r="A122" s="5" t="s">
        <v>29</v>
      </c>
      <c r="B122" s="5" t="s">
        <v>473</v>
      </c>
      <c r="C122" s="5">
        <v>413284</v>
      </c>
      <c r="D122" s="6"/>
      <c r="E122" s="5" t="s">
        <v>31</v>
      </c>
      <c r="F122" s="5" t="s">
        <v>279</v>
      </c>
      <c r="G122" s="5" t="s">
        <v>11</v>
      </c>
      <c r="H122" s="7" t="s">
        <v>7</v>
      </c>
      <c r="I122" s="7" t="s">
        <v>474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3</v>
      </c>
      <c r="AF122" s="8">
        <v>12600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10">
        <v>12600</v>
      </c>
      <c r="BN122" s="13">
        <f t="shared" si="2"/>
        <v>12600</v>
      </c>
      <c r="BO122" s="14">
        <f t="shared" si="3"/>
        <v>8820</v>
      </c>
    </row>
    <row r="123" spans="1:67" x14ac:dyDescent="0.4">
      <c r="A123" s="5" t="s">
        <v>29</v>
      </c>
      <c r="B123" s="5" t="s">
        <v>240</v>
      </c>
      <c r="C123" s="5">
        <v>434558</v>
      </c>
      <c r="D123" s="6"/>
      <c r="E123" s="5" t="s">
        <v>31</v>
      </c>
      <c r="F123" s="5" t="s">
        <v>241</v>
      </c>
      <c r="G123" s="5" t="s">
        <v>11</v>
      </c>
      <c r="H123" s="7" t="s">
        <v>7</v>
      </c>
      <c r="I123" s="7" t="s">
        <v>242</v>
      </c>
      <c r="J123" s="7">
        <v>7</v>
      </c>
      <c r="K123" s="7">
        <v>46</v>
      </c>
      <c r="L123" s="7">
        <v>700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73</v>
      </c>
      <c r="AF123" s="8">
        <v>7300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38</v>
      </c>
      <c r="AX123" s="8">
        <v>4560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456</v>
      </c>
      <c r="BM123" s="10">
        <v>12560</v>
      </c>
      <c r="BN123" s="13">
        <f t="shared" si="2"/>
        <v>12104</v>
      </c>
      <c r="BO123" s="14">
        <f t="shared" si="3"/>
        <v>8472.7999999999993</v>
      </c>
    </row>
    <row r="124" spans="1:67" x14ac:dyDescent="0.4">
      <c r="A124" s="5" t="s">
        <v>29</v>
      </c>
      <c r="B124" s="5" t="s">
        <v>130</v>
      </c>
      <c r="C124" s="5">
        <v>469075</v>
      </c>
      <c r="D124" s="6"/>
      <c r="E124" s="5" t="s">
        <v>31</v>
      </c>
      <c r="F124" s="5" t="s">
        <v>76</v>
      </c>
      <c r="G124" s="5" t="s">
        <v>33</v>
      </c>
      <c r="H124" s="7" t="s">
        <v>10</v>
      </c>
      <c r="I124" s="7" t="s">
        <v>131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2</v>
      </c>
      <c r="AF124" s="8">
        <v>4100</v>
      </c>
      <c r="AG124" s="7">
        <v>300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2</v>
      </c>
      <c r="AR124" s="8">
        <v>7700</v>
      </c>
      <c r="AS124" s="7">
        <v>200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10">
        <v>12300</v>
      </c>
      <c r="BN124" s="13">
        <f t="shared" si="2"/>
        <v>12300</v>
      </c>
      <c r="BO124" s="14">
        <f t="shared" si="3"/>
        <v>8610</v>
      </c>
    </row>
    <row r="125" spans="1:67" x14ac:dyDescent="0.4">
      <c r="A125" s="5" t="s">
        <v>29</v>
      </c>
      <c r="B125" s="5" t="s">
        <v>387</v>
      </c>
      <c r="C125" s="5">
        <v>452403</v>
      </c>
      <c r="D125" s="6"/>
      <c r="E125" s="5" t="s">
        <v>31</v>
      </c>
      <c r="F125" s="5" t="s">
        <v>369</v>
      </c>
      <c r="G125" s="5" t="s">
        <v>51</v>
      </c>
      <c r="H125" s="7" t="s">
        <v>8</v>
      </c>
      <c r="I125" s="7" t="s">
        <v>388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12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54</v>
      </c>
      <c r="AF125" s="8">
        <v>5400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3</v>
      </c>
      <c r="AX125" s="7">
        <v>360</v>
      </c>
      <c r="AY125" s="7">
        <v>0</v>
      </c>
      <c r="AZ125" s="7">
        <v>0</v>
      </c>
      <c r="BA125" s="7">
        <v>0</v>
      </c>
      <c r="BB125" s="7">
        <v>0</v>
      </c>
      <c r="BC125" s="7">
        <v>54</v>
      </c>
      <c r="BD125" s="8">
        <v>6480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424.8</v>
      </c>
      <c r="BM125" s="10">
        <v>12240</v>
      </c>
      <c r="BN125" s="13">
        <f t="shared" si="2"/>
        <v>11815.2</v>
      </c>
      <c r="BO125" s="14">
        <f t="shared" si="3"/>
        <v>8270.64</v>
      </c>
    </row>
    <row r="126" spans="1:67" x14ac:dyDescent="0.4">
      <c r="A126" s="5" t="s">
        <v>29</v>
      </c>
      <c r="B126" s="5" t="s">
        <v>226</v>
      </c>
      <c r="C126" s="5">
        <v>421661</v>
      </c>
      <c r="D126" s="6"/>
      <c r="E126" s="5" t="s">
        <v>31</v>
      </c>
      <c r="F126" s="5" t="s">
        <v>227</v>
      </c>
      <c r="G126" s="5" t="s">
        <v>51</v>
      </c>
      <c r="H126" s="7" t="s">
        <v>8</v>
      </c>
      <c r="I126" s="7" t="s">
        <v>228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4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74</v>
      </c>
      <c r="AF126" s="8">
        <v>1220</v>
      </c>
      <c r="AG126" s="8">
        <v>6200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42</v>
      </c>
      <c r="AR126" s="8">
        <v>4200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2</v>
      </c>
      <c r="BD126" s="7">
        <v>240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14.4</v>
      </c>
      <c r="BM126" s="10">
        <v>11860</v>
      </c>
      <c r="BN126" s="13">
        <f t="shared" si="2"/>
        <v>11845.6</v>
      </c>
      <c r="BO126" s="14">
        <f t="shared" si="3"/>
        <v>8291.92</v>
      </c>
    </row>
    <row r="127" spans="1:67" x14ac:dyDescent="0.4">
      <c r="A127" s="5" t="s">
        <v>29</v>
      </c>
      <c r="B127" s="5" t="s">
        <v>471</v>
      </c>
      <c r="C127" s="5">
        <v>441966</v>
      </c>
      <c r="D127" s="6"/>
      <c r="E127" s="5" t="s">
        <v>31</v>
      </c>
      <c r="F127" s="5" t="s">
        <v>126</v>
      </c>
      <c r="G127" s="5" t="s">
        <v>11</v>
      </c>
      <c r="H127" s="7" t="s">
        <v>8</v>
      </c>
      <c r="I127" s="7" t="s">
        <v>472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4</v>
      </c>
      <c r="BD127" s="8">
        <v>10920</v>
      </c>
      <c r="BE127" s="7">
        <v>500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655.20000000000005</v>
      </c>
      <c r="BM127" s="10">
        <v>11420</v>
      </c>
      <c r="BN127" s="13">
        <f t="shared" si="2"/>
        <v>10764.8</v>
      </c>
      <c r="BO127" s="14">
        <f t="shared" si="3"/>
        <v>7535.3599999999988</v>
      </c>
    </row>
    <row r="128" spans="1:67" x14ac:dyDescent="0.4">
      <c r="A128" s="5" t="s">
        <v>29</v>
      </c>
      <c r="B128" s="5" t="s">
        <v>284</v>
      </c>
      <c r="C128" s="5">
        <v>418689</v>
      </c>
      <c r="D128" s="6"/>
      <c r="E128" s="5" t="s">
        <v>31</v>
      </c>
      <c r="F128" s="5" t="s">
        <v>217</v>
      </c>
      <c r="G128" s="5" t="s">
        <v>11</v>
      </c>
      <c r="H128" s="7" t="s">
        <v>7</v>
      </c>
      <c r="I128" s="7" t="s">
        <v>285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3</v>
      </c>
      <c r="AF128" s="8">
        <v>10560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10">
        <v>10560</v>
      </c>
      <c r="BN128" s="13">
        <f t="shared" si="2"/>
        <v>10560</v>
      </c>
      <c r="BO128" s="14">
        <f t="shared" si="3"/>
        <v>7391.9999999999991</v>
      </c>
    </row>
    <row r="129" spans="1:67" x14ac:dyDescent="0.4">
      <c r="A129" s="5" t="s">
        <v>29</v>
      </c>
      <c r="B129" s="5" t="s">
        <v>491</v>
      </c>
      <c r="C129" s="5">
        <v>336316</v>
      </c>
      <c r="D129" s="6"/>
      <c r="E129" s="5" t="s">
        <v>31</v>
      </c>
      <c r="F129" s="5" t="s">
        <v>492</v>
      </c>
      <c r="G129" s="5" t="s">
        <v>51</v>
      </c>
      <c r="H129" s="7" t="s">
        <v>8</v>
      </c>
      <c r="I129" s="7" t="s">
        <v>493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3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27</v>
      </c>
      <c r="AF129" s="8">
        <v>2500</v>
      </c>
      <c r="AG129" s="7">
        <v>200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65</v>
      </c>
      <c r="AX129" s="8">
        <v>7800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780</v>
      </c>
      <c r="BM129" s="10">
        <v>10500</v>
      </c>
      <c r="BN129" s="13">
        <f t="shared" si="2"/>
        <v>9720</v>
      </c>
      <c r="BO129" s="14">
        <f t="shared" si="3"/>
        <v>6804</v>
      </c>
    </row>
    <row r="130" spans="1:67" x14ac:dyDescent="0.4">
      <c r="A130" s="5" t="s">
        <v>29</v>
      </c>
      <c r="B130" s="5" t="s">
        <v>261</v>
      </c>
      <c r="C130" s="5">
        <v>356295</v>
      </c>
      <c r="D130" s="6"/>
      <c r="E130" s="5" t="s">
        <v>31</v>
      </c>
      <c r="F130" s="5" t="s">
        <v>58</v>
      </c>
      <c r="G130" s="5" t="s">
        <v>51</v>
      </c>
      <c r="H130" s="7" t="s">
        <v>8</v>
      </c>
      <c r="I130" s="7" t="s">
        <v>225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7</v>
      </c>
      <c r="AF130" s="7">
        <v>0</v>
      </c>
      <c r="AG130" s="7">
        <v>700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33</v>
      </c>
      <c r="AR130" s="8">
        <v>3300</v>
      </c>
      <c r="AS130" s="7">
        <v>0</v>
      </c>
      <c r="AT130" s="7">
        <v>0</v>
      </c>
      <c r="AU130" s="7">
        <v>0</v>
      </c>
      <c r="AV130" s="7">
        <v>0</v>
      </c>
      <c r="AW130" s="7">
        <v>1</v>
      </c>
      <c r="AX130" s="7">
        <v>120</v>
      </c>
      <c r="AY130" s="7">
        <v>0</v>
      </c>
      <c r="AZ130" s="7">
        <v>0</v>
      </c>
      <c r="BA130" s="7">
        <v>0</v>
      </c>
      <c r="BB130" s="7">
        <v>0</v>
      </c>
      <c r="BC130" s="7">
        <v>47</v>
      </c>
      <c r="BD130" s="8">
        <v>5640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350.4</v>
      </c>
      <c r="BM130" s="10">
        <v>9760</v>
      </c>
      <c r="BN130" s="13">
        <f t="shared" si="2"/>
        <v>9409.6</v>
      </c>
      <c r="BO130" s="14">
        <f t="shared" si="3"/>
        <v>6586.72</v>
      </c>
    </row>
    <row r="131" spans="1:67" x14ac:dyDescent="0.4">
      <c r="A131" s="5" t="s">
        <v>29</v>
      </c>
      <c r="B131" s="5" t="s">
        <v>294</v>
      </c>
      <c r="C131" s="5">
        <v>434847</v>
      </c>
      <c r="D131" s="6"/>
      <c r="E131" s="5" t="s">
        <v>31</v>
      </c>
      <c r="F131" s="5" t="s">
        <v>295</v>
      </c>
      <c r="G131" s="5" t="s">
        <v>11</v>
      </c>
      <c r="H131" s="7" t="s">
        <v>7</v>
      </c>
      <c r="I131" s="7" t="s">
        <v>296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3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58</v>
      </c>
      <c r="AF131" s="8">
        <v>5640</v>
      </c>
      <c r="AG131" s="8">
        <v>1100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17</v>
      </c>
      <c r="BD131" s="8">
        <v>2040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122.4</v>
      </c>
      <c r="BM131" s="10">
        <v>8780</v>
      </c>
      <c r="BN131" s="13">
        <f t="shared" ref="BN131:BN194" si="4">BM131-BL131</f>
        <v>8657.6</v>
      </c>
      <c r="BO131" s="14">
        <f t="shared" ref="BO131:BO194" si="5">BN131*70%</f>
        <v>6060.32</v>
      </c>
    </row>
    <row r="132" spans="1:67" x14ac:dyDescent="0.4">
      <c r="A132" s="5" t="s">
        <v>29</v>
      </c>
      <c r="B132" s="5" t="s">
        <v>450</v>
      </c>
      <c r="C132" s="5">
        <v>447222</v>
      </c>
      <c r="D132" s="6"/>
      <c r="E132" s="5" t="s">
        <v>31</v>
      </c>
      <c r="F132" s="5" t="s">
        <v>292</v>
      </c>
      <c r="G132" s="5" t="s">
        <v>51</v>
      </c>
      <c r="H132" s="7" t="s">
        <v>8</v>
      </c>
      <c r="I132" s="7" t="s">
        <v>451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39</v>
      </c>
      <c r="AF132" s="8">
        <v>3900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38</v>
      </c>
      <c r="BD132" s="8">
        <v>4560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273.60000000000002</v>
      </c>
      <c r="BM132" s="10">
        <v>8460</v>
      </c>
      <c r="BN132" s="13">
        <f t="shared" si="4"/>
        <v>8186.4</v>
      </c>
      <c r="BO132" s="14">
        <f t="shared" si="5"/>
        <v>5730.48</v>
      </c>
    </row>
    <row r="133" spans="1:67" x14ac:dyDescent="0.4">
      <c r="A133" s="5" t="s">
        <v>29</v>
      </c>
      <c r="B133" s="5" t="s">
        <v>350</v>
      </c>
      <c r="C133" s="5">
        <v>332935</v>
      </c>
      <c r="D133" s="6"/>
      <c r="E133" s="5" t="s">
        <v>31</v>
      </c>
      <c r="F133" s="5" t="s">
        <v>292</v>
      </c>
      <c r="G133" s="5" t="s">
        <v>51</v>
      </c>
      <c r="H133" s="7" t="s">
        <v>8</v>
      </c>
      <c r="I133" s="7" t="s">
        <v>351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2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74</v>
      </c>
      <c r="AF133" s="8">
        <v>4000</v>
      </c>
      <c r="AG133" s="8">
        <v>3400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6</v>
      </c>
      <c r="BD133" s="7">
        <v>720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43.2</v>
      </c>
      <c r="BM133" s="10">
        <v>8120</v>
      </c>
      <c r="BN133" s="13">
        <f t="shared" si="4"/>
        <v>8076.8</v>
      </c>
      <c r="BO133" s="14">
        <f t="shared" si="5"/>
        <v>5653.76</v>
      </c>
    </row>
    <row r="134" spans="1:67" x14ac:dyDescent="0.4">
      <c r="A134" s="5" t="s">
        <v>29</v>
      </c>
      <c r="B134" s="5" t="s">
        <v>326</v>
      </c>
      <c r="C134" s="5">
        <v>385169</v>
      </c>
      <c r="D134" s="6"/>
      <c r="E134" s="5" t="s">
        <v>31</v>
      </c>
      <c r="F134" s="5" t="s">
        <v>227</v>
      </c>
      <c r="G134" s="5" t="s">
        <v>51</v>
      </c>
      <c r="H134" s="7" t="s">
        <v>8</v>
      </c>
      <c r="I134" s="7" t="s">
        <v>320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7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45</v>
      </c>
      <c r="AF134" s="7">
        <v>0</v>
      </c>
      <c r="AG134" s="8">
        <v>4500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1</v>
      </c>
      <c r="AR134" s="7">
        <v>100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27</v>
      </c>
      <c r="BD134" s="8">
        <v>3240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194.4</v>
      </c>
      <c r="BM134" s="10">
        <v>7840</v>
      </c>
      <c r="BN134" s="13">
        <f t="shared" si="4"/>
        <v>7645.6</v>
      </c>
      <c r="BO134" s="14">
        <f t="shared" si="5"/>
        <v>5351.92</v>
      </c>
    </row>
    <row r="135" spans="1:67" x14ac:dyDescent="0.4">
      <c r="A135" s="5" t="s">
        <v>29</v>
      </c>
      <c r="B135" s="5" t="s">
        <v>395</v>
      </c>
      <c r="C135" s="5">
        <v>387687</v>
      </c>
      <c r="D135" s="6"/>
      <c r="E135" s="5" t="s">
        <v>31</v>
      </c>
      <c r="F135" s="5" t="s">
        <v>140</v>
      </c>
      <c r="G135" s="5" t="s">
        <v>51</v>
      </c>
      <c r="H135" s="7" t="s">
        <v>8</v>
      </c>
      <c r="I135" s="7" t="s">
        <v>396</v>
      </c>
      <c r="J135" s="7">
        <v>0</v>
      </c>
      <c r="K135" s="7">
        <v>1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3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35</v>
      </c>
      <c r="AF135" s="8">
        <v>3500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38</v>
      </c>
      <c r="AR135" s="8">
        <v>3800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2</v>
      </c>
      <c r="BD135" s="7">
        <v>240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14.4</v>
      </c>
      <c r="BM135" s="10">
        <v>7540</v>
      </c>
      <c r="BN135" s="13">
        <f t="shared" si="4"/>
        <v>7525.6</v>
      </c>
      <c r="BO135" s="14">
        <f t="shared" si="5"/>
        <v>5267.92</v>
      </c>
    </row>
    <row r="136" spans="1:67" x14ac:dyDescent="0.4">
      <c r="A136" s="5" t="s">
        <v>29</v>
      </c>
      <c r="B136" s="5" t="s">
        <v>190</v>
      </c>
      <c r="C136" s="5">
        <v>382640</v>
      </c>
      <c r="D136" s="6"/>
      <c r="E136" s="5" t="s">
        <v>31</v>
      </c>
      <c r="F136" s="5" t="s">
        <v>169</v>
      </c>
      <c r="G136" s="5" t="s">
        <v>11</v>
      </c>
      <c r="H136" s="7" t="s">
        <v>7</v>
      </c>
      <c r="I136" s="7" t="s">
        <v>191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8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70</v>
      </c>
      <c r="AR136" s="8">
        <v>7000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1</v>
      </c>
      <c r="BD136" s="7">
        <v>120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7.2</v>
      </c>
      <c r="BM136" s="10">
        <v>7120</v>
      </c>
      <c r="BN136" s="13">
        <f t="shared" si="4"/>
        <v>7112.8</v>
      </c>
      <c r="BO136" s="14">
        <f t="shared" si="5"/>
        <v>4978.96</v>
      </c>
    </row>
    <row r="137" spans="1:67" x14ac:dyDescent="0.4">
      <c r="A137" s="5" t="s">
        <v>29</v>
      </c>
      <c r="B137" s="5" t="s">
        <v>192</v>
      </c>
      <c r="C137" s="5">
        <v>429496</v>
      </c>
      <c r="D137" s="6"/>
      <c r="E137" s="5" t="s">
        <v>31</v>
      </c>
      <c r="F137" s="5" t="s">
        <v>193</v>
      </c>
      <c r="G137" s="5" t="s">
        <v>11</v>
      </c>
      <c r="H137" s="7" t="s">
        <v>7</v>
      </c>
      <c r="I137" s="7" t="s">
        <v>194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70</v>
      </c>
      <c r="AF137" s="8">
        <v>4700</v>
      </c>
      <c r="AG137" s="8">
        <v>2300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10">
        <v>7000</v>
      </c>
      <c r="BN137" s="13">
        <f t="shared" si="4"/>
        <v>7000</v>
      </c>
      <c r="BO137" s="14">
        <f t="shared" si="5"/>
        <v>4900</v>
      </c>
    </row>
    <row r="138" spans="1:67" x14ac:dyDescent="0.4">
      <c r="A138" s="5" t="s">
        <v>29</v>
      </c>
      <c r="B138" s="5" t="s">
        <v>455</v>
      </c>
      <c r="C138" s="5">
        <v>426259</v>
      </c>
      <c r="D138" s="6"/>
      <c r="E138" s="5" t="s">
        <v>31</v>
      </c>
      <c r="F138" s="5" t="s">
        <v>150</v>
      </c>
      <c r="G138" s="5" t="s">
        <v>51</v>
      </c>
      <c r="H138" s="7" t="s">
        <v>331</v>
      </c>
      <c r="I138" s="7" t="s">
        <v>456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1</v>
      </c>
      <c r="AF138" s="8">
        <v>3360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1</v>
      </c>
      <c r="BD138" s="8">
        <v>3360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201.6</v>
      </c>
      <c r="BM138" s="10">
        <v>6720</v>
      </c>
      <c r="BN138" s="13">
        <f t="shared" si="4"/>
        <v>6518.4</v>
      </c>
      <c r="BO138" s="14">
        <f t="shared" si="5"/>
        <v>4562.8799999999992</v>
      </c>
    </row>
    <row r="139" spans="1:67" x14ac:dyDescent="0.4">
      <c r="A139" s="5" t="s">
        <v>29</v>
      </c>
      <c r="B139" s="5" t="s">
        <v>288</v>
      </c>
      <c r="C139" s="5">
        <v>428860</v>
      </c>
      <c r="D139" s="6"/>
      <c r="E139" s="5" t="s">
        <v>31</v>
      </c>
      <c r="F139" s="5" t="s">
        <v>289</v>
      </c>
      <c r="G139" s="5" t="s">
        <v>11</v>
      </c>
      <c r="H139" s="7" t="s">
        <v>7</v>
      </c>
      <c r="I139" s="7" t="s">
        <v>290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55</v>
      </c>
      <c r="AF139" s="8">
        <v>5640</v>
      </c>
      <c r="AG139" s="7">
        <v>800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10">
        <v>6440</v>
      </c>
      <c r="BN139" s="13">
        <f t="shared" si="4"/>
        <v>6440</v>
      </c>
      <c r="BO139" s="14">
        <f t="shared" si="5"/>
        <v>4508</v>
      </c>
    </row>
    <row r="140" spans="1:67" x14ac:dyDescent="0.4">
      <c r="A140" s="5" t="s">
        <v>29</v>
      </c>
      <c r="B140" s="5" t="s">
        <v>144</v>
      </c>
      <c r="C140" s="5">
        <v>386704</v>
      </c>
      <c r="D140" s="6"/>
      <c r="E140" s="5" t="s">
        <v>31</v>
      </c>
      <c r="F140" s="5" t="s">
        <v>145</v>
      </c>
      <c r="G140" s="5" t="s">
        <v>51</v>
      </c>
      <c r="H140" s="7" t="s">
        <v>8</v>
      </c>
      <c r="I140" s="7" t="s">
        <v>146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19</v>
      </c>
      <c r="AF140" s="8">
        <v>1700</v>
      </c>
      <c r="AG140" s="7">
        <v>400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36</v>
      </c>
      <c r="BD140" s="8">
        <v>4320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259.2</v>
      </c>
      <c r="BM140" s="10">
        <v>6420</v>
      </c>
      <c r="BN140" s="13">
        <f t="shared" si="4"/>
        <v>6160.8</v>
      </c>
      <c r="BO140" s="14">
        <f t="shared" si="5"/>
        <v>4312.5599999999995</v>
      </c>
    </row>
    <row r="141" spans="1:67" ht="19.2" x14ac:dyDescent="0.4">
      <c r="A141" s="5" t="s">
        <v>29</v>
      </c>
      <c r="B141" s="5" t="s">
        <v>412</v>
      </c>
      <c r="C141" s="5">
        <v>458432</v>
      </c>
      <c r="D141" s="6"/>
      <c r="E141" s="5" t="s">
        <v>31</v>
      </c>
      <c r="F141" s="5" t="s">
        <v>150</v>
      </c>
      <c r="G141" s="5" t="s">
        <v>51</v>
      </c>
      <c r="H141" s="7" t="s">
        <v>331</v>
      </c>
      <c r="I141" s="7" t="s">
        <v>413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2</v>
      </c>
      <c r="AF141" s="8">
        <v>3000</v>
      </c>
      <c r="AG141" s="8">
        <v>3000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10">
        <v>6000</v>
      </c>
      <c r="BN141" s="13">
        <f t="shared" si="4"/>
        <v>6000</v>
      </c>
      <c r="BO141" s="14">
        <f t="shared" si="5"/>
        <v>4200</v>
      </c>
    </row>
    <row r="142" spans="1:67" x14ac:dyDescent="0.4">
      <c r="A142" s="5" t="s">
        <v>29</v>
      </c>
      <c r="B142" s="5" t="s">
        <v>380</v>
      </c>
      <c r="C142" s="5">
        <v>408191</v>
      </c>
      <c r="D142" s="6"/>
      <c r="E142" s="5" t="s">
        <v>31</v>
      </c>
      <c r="F142" s="5" t="s">
        <v>150</v>
      </c>
      <c r="G142" s="5" t="s">
        <v>51</v>
      </c>
      <c r="H142" s="7" t="s">
        <v>8</v>
      </c>
      <c r="I142" s="7" t="s">
        <v>252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49</v>
      </c>
      <c r="BD142" s="8">
        <v>5640</v>
      </c>
      <c r="BE142" s="7">
        <v>200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338.4</v>
      </c>
      <c r="BM142" s="10">
        <v>5840</v>
      </c>
      <c r="BN142" s="13">
        <f t="shared" si="4"/>
        <v>5501.6</v>
      </c>
      <c r="BO142" s="14">
        <f t="shared" si="5"/>
        <v>3851.12</v>
      </c>
    </row>
    <row r="143" spans="1:67" x14ac:dyDescent="0.4">
      <c r="A143" s="5" t="s">
        <v>29</v>
      </c>
      <c r="B143" s="5" t="s">
        <v>360</v>
      </c>
      <c r="C143" s="5">
        <v>406872</v>
      </c>
      <c r="D143" s="6"/>
      <c r="E143" s="5" t="s">
        <v>31</v>
      </c>
      <c r="F143" s="5" t="s">
        <v>361</v>
      </c>
      <c r="G143" s="5" t="s">
        <v>11</v>
      </c>
      <c r="H143" s="7" t="s">
        <v>10</v>
      </c>
      <c r="I143" s="7" t="s">
        <v>362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19</v>
      </c>
      <c r="AF143" s="8">
        <v>1000</v>
      </c>
      <c r="AG143" s="7">
        <v>900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32</v>
      </c>
      <c r="BD143" s="8">
        <v>3840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230.4</v>
      </c>
      <c r="BM143" s="10">
        <v>5740</v>
      </c>
      <c r="BN143" s="13">
        <f t="shared" si="4"/>
        <v>5509.6</v>
      </c>
      <c r="BO143" s="14">
        <f t="shared" si="5"/>
        <v>3856.72</v>
      </c>
    </row>
    <row r="144" spans="1:67" x14ac:dyDescent="0.4">
      <c r="A144" s="5" t="s">
        <v>29</v>
      </c>
      <c r="B144" s="5" t="s">
        <v>345</v>
      </c>
      <c r="C144" s="5">
        <v>440303</v>
      </c>
      <c r="D144" s="6"/>
      <c r="E144" s="5" t="s">
        <v>31</v>
      </c>
      <c r="F144" s="5" t="s">
        <v>346</v>
      </c>
      <c r="G144" s="5" t="s">
        <v>11</v>
      </c>
      <c r="H144" s="7" t="s">
        <v>7</v>
      </c>
      <c r="I144" s="7" t="s">
        <v>347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54</v>
      </c>
      <c r="AF144" s="7">
        <v>0</v>
      </c>
      <c r="AG144" s="8">
        <v>5400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10">
        <v>5400</v>
      </c>
      <c r="BN144" s="13">
        <f t="shared" si="4"/>
        <v>5400</v>
      </c>
      <c r="BO144" s="14">
        <f t="shared" si="5"/>
        <v>3779.9999999999995</v>
      </c>
    </row>
    <row r="145" spans="1:67" x14ac:dyDescent="0.4">
      <c r="A145" s="5" t="s">
        <v>29</v>
      </c>
      <c r="B145" s="5" t="s">
        <v>223</v>
      </c>
      <c r="C145" s="5">
        <v>332138</v>
      </c>
      <c r="D145" s="6"/>
      <c r="E145" s="5" t="s">
        <v>31</v>
      </c>
      <c r="F145" s="5" t="s">
        <v>224</v>
      </c>
      <c r="G145" s="5" t="s">
        <v>51</v>
      </c>
      <c r="H145" s="7" t="s">
        <v>10</v>
      </c>
      <c r="I145" s="7" t="s">
        <v>225</v>
      </c>
      <c r="J145" s="7">
        <v>7</v>
      </c>
      <c r="K145" s="7">
        <v>0</v>
      </c>
      <c r="L145" s="7">
        <v>700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3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39</v>
      </c>
      <c r="AF145" s="8">
        <v>3000</v>
      </c>
      <c r="AG145" s="7">
        <v>900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2</v>
      </c>
      <c r="BD145" s="7">
        <v>240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14.4</v>
      </c>
      <c r="BM145" s="10">
        <v>4840</v>
      </c>
      <c r="BN145" s="13">
        <f t="shared" si="4"/>
        <v>4825.6000000000004</v>
      </c>
      <c r="BO145" s="14">
        <f t="shared" si="5"/>
        <v>3377.92</v>
      </c>
    </row>
    <row r="146" spans="1:67" x14ac:dyDescent="0.4">
      <c r="A146" s="5" t="s">
        <v>29</v>
      </c>
      <c r="B146" s="5" t="s">
        <v>494</v>
      </c>
      <c r="C146" s="5">
        <v>352505</v>
      </c>
      <c r="D146" s="6"/>
      <c r="E146" s="5" t="s">
        <v>31</v>
      </c>
      <c r="F146" s="5" t="s">
        <v>401</v>
      </c>
      <c r="G146" s="5" t="s">
        <v>11</v>
      </c>
      <c r="H146" s="7" t="s">
        <v>7</v>
      </c>
      <c r="I146" s="7" t="s">
        <v>495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1</v>
      </c>
      <c r="AF146" s="8">
        <v>4400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10">
        <v>4400</v>
      </c>
      <c r="BN146" s="13">
        <f t="shared" si="4"/>
        <v>4400</v>
      </c>
      <c r="BO146" s="14">
        <f t="shared" si="5"/>
        <v>3080</v>
      </c>
    </row>
    <row r="147" spans="1:67" x14ac:dyDescent="0.4">
      <c r="A147" s="5" t="s">
        <v>29</v>
      </c>
      <c r="B147" s="5" t="s">
        <v>291</v>
      </c>
      <c r="C147" s="5">
        <v>407159</v>
      </c>
      <c r="D147" s="6"/>
      <c r="E147" s="5" t="s">
        <v>31</v>
      </c>
      <c r="F147" s="5" t="s">
        <v>292</v>
      </c>
      <c r="G147" s="5" t="s">
        <v>51</v>
      </c>
      <c r="H147" s="7" t="s">
        <v>8</v>
      </c>
      <c r="I147" s="7" t="s">
        <v>293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35</v>
      </c>
      <c r="BD147" s="8">
        <v>4200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252</v>
      </c>
      <c r="BM147" s="10">
        <v>4200</v>
      </c>
      <c r="BN147" s="13">
        <f t="shared" si="4"/>
        <v>3948</v>
      </c>
      <c r="BO147" s="14">
        <f t="shared" si="5"/>
        <v>2763.6</v>
      </c>
    </row>
    <row r="148" spans="1:67" x14ac:dyDescent="0.4">
      <c r="A148" s="5" t="s">
        <v>29</v>
      </c>
      <c r="B148" s="5" t="s">
        <v>440</v>
      </c>
      <c r="C148" s="5">
        <v>418305</v>
      </c>
      <c r="D148" s="6"/>
      <c r="E148" s="5" t="s">
        <v>31</v>
      </c>
      <c r="F148" s="5" t="s">
        <v>140</v>
      </c>
      <c r="G148" s="5" t="s">
        <v>51</v>
      </c>
      <c r="H148" s="7" t="s">
        <v>331</v>
      </c>
      <c r="I148" s="7" t="s">
        <v>441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1</v>
      </c>
      <c r="BD148" s="8">
        <v>3960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237.6</v>
      </c>
      <c r="BM148" s="10">
        <v>3960</v>
      </c>
      <c r="BN148" s="13">
        <f t="shared" si="4"/>
        <v>3722.4</v>
      </c>
      <c r="BO148" s="14">
        <f t="shared" si="5"/>
        <v>2605.6799999999998</v>
      </c>
    </row>
    <row r="149" spans="1:67" x14ac:dyDescent="0.4">
      <c r="A149" s="5" t="s">
        <v>29</v>
      </c>
      <c r="B149" s="5" t="s">
        <v>496</v>
      </c>
      <c r="C149" s="5">
        <v>363126</v>
      </c>
      <c r="D149" s="6"/>
      <c r="E149" s="5" t="s">
        <v>31</v>
      </c>
      <c r="F149" s="5" t="s">
        <v>217</v>
      </c>
      <c r="G149" s="5" t="s">
        <v>11</v>
      </c>
      <c r="H149" s="7" t="s">
        <v>7</v>
      </c>
      <c r="I149" s="7" t="s">
        <v>497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1</v>
      </c>
      <c r="AF149" s="7">
        <v>240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1</v>
      </c>
      <c r="BD149" s="8">
        <v>3600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216</v>
      </c>
      <c r="BM149" s="10">
        <v>3840</v>
      </c>
      <c r="BN149" s="13">
        <f t="shared" si="4"/>
        <v>3624</v>
      </c>
      <c r="BO149" s="14">
        <f t="shared" si="5"/>
        <v>2536.7999999999997</v>
      </c>
    </row>
    <row r="150" spans="1:67" x14ac:dyDescent="0.4">
      <c r="A150" s="5" t="s">
        <v>29</v>
      </c>
      <c r="B150" s="5" t="s">
        <v>334</v>
      </c>
      <c r="C150" s="5">
        <v>467494</v>
      </c>
      <c r="D150" s="6"/>
      <c r="E150" s="5" t="s">
        <v>31</v>
      </c>
      <c r="F150" s="5" t="s">
        <v>335</v>
      </c>
      <c r="G150" s="5" t="s">
        <v>51</v>
      </c>
      <c r="H150" s="7" t="s">
        <v>8</v>
      </c>
      <c r="I150" s="7" t="s">
        <v>37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1</v>
      </c>
      <c r="AF150" s="8">
        <v>3600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10">
        <v>3600</v>
      </c>
      <c r="BN150" s="13">
        <f t="shared" si="4"/>
        <v>3600</v>
      </c>
      <c r="BO150" s="14">
        <f t="shared" si="5"/>
        <v>2520</v>
      </c>
    </row>
    <row r="151" spans="1:67" x14ac:dyDescent="0.4">
      <c r="A151" s="5" t="s">
        <v>29</v>
      </c>
      <c r="B151" s="5" t="s">
        <v>400</v>
      </c>
      <c r="C151" s="5">
        <v>321027</v>
      </c>
      <c r="D151" s="6"/>
      <c r="E151" s="5" t="s">
        <v>31</v>
      </c>
      <c r="F151" s="5" t="s">
        <v>401</v>
      </c>
      <c r="G151" s="5" t="s">
        <v>11</v>
      </c>
      <c r="H151" s="7" t="s">
        <v>7</v>
      </c>
      <c r="I151" s="7" t="s">
        <v>402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5</v>
      </c>
      <c r="AF151" s="7">
        <v>500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28</v>
      </c>
      <c r="AR151" s="8">
        <v>2800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10">
        <v>3300</v>
      </c>
      <c r="BN151" s="13">
        <f t="shared" si="4"/>
        <v>3300</v>
      </c>
      <c r="BO151" s="14">
        <f t="shared" si="5"/>
        <v>2310</v>
      </c>
    </row>
    <row r="152" spans="1:67" ht="19.2" x14ac:dyDescent="0.4">
      <c r="A152" s="5" t="s">
        <v>29</v>
      </c>
      <c r="B152" s="5" t="s">
        <v>425</v>
      </c>
      <c r="C152" s="5">
        <v>383234</v>
      </c>
      <c r="D152" s="6"/>
      <c r="E152" s="5" t="s">
        <v>31</v>
      </c>
      <c r="F152" s="5" t="s">
        <v>150</v>
      </c>
      <c r="G152" s="5" t="s">
        <v>51</v>
      </c>
      <c r="H152" s="7" t="s">
        <v>331</v>
      </c>
      <c r="I152" s="7" t="s">
        <v>151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1</v>
      </c>
      <c r="AF152" s="7">
        <v>0</v>
      </c>
      <c r="AG152" s="8">
        <v>3200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10">
        <v>3200</v>
      </c>
      <c r="BN152" s="13">
        <f t="shared" si="4"/>
        <v>3200</v>
      </c>
      <c r="BO152" s="14">
        <f t="shared" si="5"/>
        <v>2240</v>
      </c>
    </row>
    <row r="153" spans="1:67" x14ac:dyDescent="0.4">
      <c r="A153" s="5" t="s">
        <v>29</v>
      </c>
      <c r="B153" s="5" t="s">
        <v>255</v>
      </c>
      <c r="C153" s="5">
        <v>134596</v>
      </c>
      <c r="D153" s="6" t="s">
        <v>256</v>
      </c>
      <c r="E153" s="5" t="s">
        <v>31</v>
      </c>
      <c r="F153" s="5" t="s">
        <v>47</v>
      </c>
      <c r="G153" s="5" t="s">
        <v>11</v>
      </c>
      <c r="H153" s="7" t="s">
        <v>7</v>
      </c>
      <c r="I153" s="7" t="s">
        <v>257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1</v>
      </c>
      <c r="AF153" s="8">
        <v>3200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10">
        <v>3200</v>
      </c>
      <c r="BN153" s="13">
        <f t="shared" si="4"/>
        <v>3200</v>
      </c>
      <c r="BO153" s="14">
        <f t="shared" si="5"/>
        <v>2240</v>
      </c>
    </row>
    <row r="154" spans="1:67" ht="19.2" x14ac:dyDescent="0.4">
      <c r="A154" s="5" t="s">
        <v>29</v>
      </c>
      <c r="B154" s="5" t="s">
        <v>170</v>
      </c>
      <c r="C154" s="5">
        <v>428319</v>
      </c>
      <c r="D154" s="6"/>
      <c r="E154" s="5" t="s">
        <v>31</v>
      </c>
      <c r="F154" s="5" t="s">
        <v>114</v>
      </c>
      <c r="G154" s="5" t="s">
        <v>11</v>
      </c>
      <c r="H154" s="7" t="s">
        <v>7</v>
      </c>
      <c r="I154" s="7" t="s">
        <v>127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30</v>
      </c>
      <c r="AF154" s="8">
        <v>3000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10">
        <v>3000</v>
      </c>
      <c r="BN154" s="13">
        <f t="shared" si="4"/>
        <v>3000</v>
      </c>
      <c r="BO154" s="14">
        <f t="shared" si="5"/>
        <v>2100</v>
      </c>
    </row>
    <row r="155" spans="1:67" x14ac:dyDescent="0.4">
      <c r="A155" s="5" t="s">
        <v>29</v>
      </c>
      <c r="B155" s="5" t="s">
        <v>327</v>
      </c>
      <c r="C155" s="5">
        <v>377088</v>
      </c>
      <c r="D155" s="6"/>
      <c r="E155" s="5" t="s">
        <v>31</v>
      </c>
      <c r="F155" s="5" t="s">
        <v>328</v>
      </c>
      <c r="G155" s="5" t="s">
        <v>51</v>
      </c>
      <c r="H155" s="7" t="s">
        <v>8</v>
      </c>
      <c r="I155" s="7" t="s">
        <v>329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29</v>
      </c>
      <c r="AF155" s="8">
        <v>2900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10">
        <v>2900</v>
      </c>
      <c r="BN155" s="13">
        <f t="shared" si="4"/>
        <v>2900</v>
      </c>
      <c r="BO155" s="14">
        <f t="shared" si="5"/>
        <v>2029.9999999999998</v>
      </c>
    </row>
    <row r="156" spans="1:67" x14ac:dyDescent="0.4">
      <c r="A156" s="5" t="s">
        <v>29</v>
      </c>
      <c r="B156" s="5" t="s">
        <v>322</v>
      </c>
      <c r="C156" s="5">
        <v>427091</v>
      </c>
      <c r="D156" s="6"/>
      <c r="E156" s="5" t="s">
        <v>31</v>
      </c>
      <c r="F156" s="5" t="s">
        <v>58</v>
      </c>
      <c r="G156" s="5" t="s">
        <v>51</v>
      </c>
      <c r="H156" s="7" t="s">
        <v>8</v>
      </c>
      <c r="I156" s="7" t="s">
        <v>323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18</v>
      </c>
      <c r="AF156" s="7">
        <v>700</v>
      </c>
      <c r="AG156" s="8">
        <v>1100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5</v>
      </c>
      <c r="BD156" s="7">
        <v>600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36</v>
      </c>
      <c r="BM156" s="10">
        <v>2400</v>
      </c>
      <c r="BN156" s="13">
        <f t="shared" si="4"/>
        <v>2364</v>
      </c>
      <c r="BO156" s="14">
        <f t="shared" si="5"/>
        <v>1654.8</v>
      </c>
    </row>
    <row r="157" spans="1:67" x14ac:dyDescent="0.4">
      <c r="A157" s="5" t="s">
        <v>29</v>
      </c>
      <c r="B157" s="5" t="s">
        <v>357</v>
      </c>
      <c r="C157" s="5">
        <v>157002</v>
      </c>
      <c r="D157" s="6" t="s">
        <v>358</v>
      </c>
      <c r="E157" s="5" t="s">
        <v>31</v>
      </c>
      <c r="F157" s="5" t="s">
        <v>47</v>
      </c>
      <c r="G157" s="5" t="s">
        <v>11</v>
      </c>
      <c r="H157" s="7" t="s">
        <v>7</v>
      </c>
      <c r="I157" s="7" t="s">
        <v>359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1</v>
      </c>
      <c r="AF157" s="7">
        <v>100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19</v>
      </c>
      <c r="AR157" s="8">
        <v>1900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10">
        <v>2000</v>
      </c>
      <c r="BN157" s="13">
        <f t="shared" si="4"/>
        <v>2000</v>
      </c>
      <c r="BO157" s="14">
        <f t="shared" si="5"/>
        <v>1400</v>
      </c>
    </row>
    <row r="158" spans="1:67" x14ac:dyDescent="0.4">
      <c r="A158" s="5" t="s">
        <v>29</v>
      </c>
      <c r="B158" s="5" t="s">
        <v>187</v>
      </c>
      <c r="C158" s="5">
        <v>387822</v>
      </c>
      <c r="D158" s="6"/>
      <c r="E158" s="5" t="s">
        <v>31</v>
      </c>
      <c r="F158" s="5" t="s">
        <v>188</v>
      </c>
      <c r="G158" s="5" t="s">
        <v>51</v>
      </c>
      <c r="H158" s="7" t="s">
        <v>8</v>
      </c>
      <c r="I158" s="7" t="s">
        <v>189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16</v>
      </c>
      <c r="AF158" s="8">
        <v>1600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1</v>
      </c>
      <c r="BD158" s="7">
        <v>120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7.2</v>
      </c>
      <c r="BM158" s="10">
        <v>1720</v>
      </c>
      <c r="BN158" s="13">
        <f t="shared" si="4"/>
        <v>1712.8</v>
      </c>
      <c r="BO158" s="14">
        <f t="shared" si="5"/>
        <v>1198.9599999999998</v>
      </c>
    </row>
    <row r="159" spans="1:67" x14ac:dyDescent="0.4">
      <c r="A159" s="5" t="s">
        <v>29</v>
      </c>
      <c r="B159" s="5" t="s">
        <v>348</v>
      </c>
      <c r="C159" s="5">
        <v>389960</v>
      </c>
      <c r="D159" s="6"/>
      <c r="E159" s="5" t="s">
        <v>31</v>
      </c>
      <c r="F159" s="5" t="s">
        <v>126</v>
      </c>
      <c r="G159" s="5" t="s">
        <v>11</v>
      </c>
      <c r="H159" s="7" t="s">
        <v>10</v>
      </c>
      <c r="I159" s="7" t="s">
        <v>349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2</v>
      </c>
      <c r="AF159" s="7">
        <v>0</v>
      </c>
      <c r="AG159" s="7">
        <v>200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10</v>
      </c>
      <c r="AX159" s="8">
        <v>1200</v>
      </c>
      <c r="AY159" s="7">
        <v>0</v>
      </c>
      <c r="AZ159" s="7">
        <v>0</v>
      </c>
      <c r="BA159" s="7">
        <v>0</v>
      </c>
      <c r="BB159" s="7">
        <v>0</v>
      </c>
      <c r="BC159" s="7">
        <v>2</v>
      </c>
      <c r="BD159" s="7">
        <v>240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134.4</v>
      </c>
      <c r="BM159" s="10">
        <v>1640</v>
      </c>
      <c r="BN159" s="13">
        <f t="shared" si="4"/>
        <v>1505.6</v>
      </c>
      <c r="BO159" s="14">
        <f t="shared" si="5"/>
        <v>1053.9199999999998</v>
      </c>
    </row>
    <row r="160" spans="1:67" x14ac:dyDescent="0.4">
      <c r="A160" s="5" t="s">
        <v>29</v>
      </c>
      <c r="B160" s="5" t="s">
        <v>386</v>
      </c>
      <c r="C160" s="5">
        <v>356294</v>
      </c>
      <c r="D160" s="6"/>
      <c r="E160" s="5" t="s">
        <v>31</v>
      </c>
      <c r="F160" s="5" t="s">
        <v>58</v>
      </c>
      <c r="G160" s="5" t="s">
        <v>51</v>
      </c>
      <c r="H160" s="7" t="s">
        <v>8</v>
      </c>
      <c r="I160" s="7" t="s">
        <v>225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13</v>
      </c>
      <c r="AF160" s="8">
        <v>1300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10">
        <v>1300</v>
      </c>
      <c r="BN160" s="13">
        <f t="shared" si="4"/>
        <v>1300</v>
      </c>
      <c r="BO160" s="14">
        <f t="shared" si="5"/>
        <v>909.99999999999989</v>
      </c>
    </row>
    <row r="161" spans="1:67" x14ac:dyDescent="0.4">
      <c r="A161" s="5" t="s">
        <v>29</v>
      </c>
      <c r="B161" s="5" t="s">
        <v>366</v>
      </c>
      <c r="C161" s="5">
        <v>388508</v>
      </c>
      <c r="D161" s="6"/>
      <c r="E161" s="5" t="s">
        <v>31</v>
      </c>
      <c r="F161" s="5" t="s">
        <v>367</v>
      </c>
      <c r="G161" s="5" t="s">
        <v>11</v>
      </c>
      <c r="H161" s="7" t="s">
        <v>7</v>
      </c>
      <c r="I161" s="7" t="s">
        <v>368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2</v>
      </c>
      <c r="AF161" s="7">
        <v>0</v>
      </c>
      <c r="AG161" s="7">
        <v>200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4</v>
      </c>
      <c r="AR161" s="7">
        <v>400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5</v>
      </c>
      <c r="BD161" s="7">
        <v>600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36</v>
      </c>
      <c r="BM161" s="10">
        <v>1200</v>
      </c>
      <c r="BN161" s="13">
        <f t="shared" si="4"/>
        <v>1164</v>
      </c>
      <c r="BO161" s="14">
        <f t="shared" si="5"/>
        <v>814.8</v>
      </c>
    </row>
    <row r="162" spans="1:67" x14ac:dyDescent="0.4">
      <c r="A162" s="5" t="s">
        <v>29</v>
      </c>
      <c r="B162" s="5" t="s">
        <v>498</v>
      </c>
      <c r="C162" s="5">
        <v>373610</v>
      </c>
      <c r="D162" s="6"/>
      <c r="E162" s="5" t="s">
        <v>31</v>
      </c>
      <c r="F162" s="5" t="s">
        <v>499</v>
      </c>
      <c r="G162" s="5" t="s">
        <v>11</v>
      </c>
      <c r="H162" s="7" t="s">
        <v>7</v>
      </c>
      <c r="I162" s="7" t="s">
        <v>500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2</v>
      </c>
      <c r="AF162" s="7">
        <v>200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8</v>
      </c>
      <c r="BD162" s="7">
        <v>960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57.6</v>
      </c>
      <c r="BM162" s="10">
        <v>1160</v>
      </c>
      <c r="BN162" s="13">
        <f t="shared" si="4"/>
        <v>1102.4000000000001</v>
      </c>
      <c r="BO162" s="14">
        <f t="shared" si="5"/>
        <v>771.68000000000006</v>
      </c>
    </row>
    <row r="163" spans="1:67" x14ac:dyDescent="0.4">
      <c r="A163" s="5" t="s">
        <v>29</v>
      </c>
      <c r="B163" s="5" t="s">
        <v>382</v>
      </c>
      <c r="C163" s="5">
        <v>429538</v>
      </c>
      <c r="D163" s="6"/>
      <c r="E163" s="5" t="s">
        <v>31</v>
      </c>
      <c r="F163" s="5" t="s">
        <v>193</v>
      </c>
      <c r="G163" s="5" t="s">
        <v>11</v>
      </c>
      <c r="H163" s="7" t="s">
        <v>7</v>
      </c>
      <c r="I163" s="7" t="s">
        <v>254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1</v>
      </c>
      <c r="AF163" s="8">
        <v>1000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10">
        <v>1000</v>
      </c>
      <c r="BN163" s="13">
        <f t="shared" si="4"/>
        <v>1000</v>
      </c>
      <c r="BO163" s="14">
        <f t="shared" si="5"/>
        <v>700</v>
      </c>
    </row>
    <row r="164" spans="1:67" x14ac:dyDescent="0.4">
      <c r="A164" s="5" t="s">
        <v>29</v>
      </c>
      <c r="B164" s="5" t="s">
        <v>389</v>
      </c>
      <c r="C164" s="5">
        <v>395497</v>
      </c>
      <c r="D164" s="6"/>
      <c r="E164" s="5" t="s">
        <v>31</v>
      </c>
      <c r="F164" s="5" t="s">
        <v>390</v>
      </c>
      <c r="G164" s="5" t="s">
        <v>51</v>
      </c>
      <c r="H164" s="7" t="s">
        <v>8</v>
      </c>
      <c r="I164" s="7" t="s">
        <v>391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1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9</v>
      </c>
      <c r="AF164" s="7">
        <v>0</v>
      </c>
      <c r="AG164" s="7">
        <v>900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11">
        <v>900</v>
      </c>
      <c r="BN164" s="13">
        <f t="shared" si="4"/>
        <v>900</v>
      </c>
      <c r="BO164" s="14">
        <f t="shared" si="5"/>
        <v>630</v>
      </c>
    </row>
    <row r="165" spans="1:67" x14ac:dyDescent="0.4">
      <c r="A165" s="5" t="s">
        <v>29</v>
      </c>
      <c r="B165" s="5" t="s">
        <v>318</v>
      </c>
      <c r="C165" s="5">
        <v>355320</v>
      </c>
      <c r="D165" s="6"/>
      <c r="E165" s="5" t="s">
        <v>31</v>
      </c>
      <c r="F165" s="5" t="s">
        <v>319</v>
      </c>
      <c r="G165" s="5" t="s">
        <v>51</v>
      </c>
      <c r="H165" s="7" t="s">
        <v>8</v>
      </c>
      <c r="I165" s="7" t="s">
        <v>320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9</v>
      </c>
      <c r="AR165" s="7">
        <v>900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11">
        <v>900</v>
      </c>
      <c r="BN165" s="13">
        <f t="shared" si="4"/>
        <v>900</v>
      </c>
      <c r="BO165" s="14">
        <f t="shared" si="5"/>
        <v>630</v>
      </c>
    </row>
    <row r="166" spans="1:67" x14ac:dyDescent="0.4">
      <c r="A166" s="5" t="s">
        <v>29</v>
      </c>
      <c r="B166" s="5" t="s">
        <v>352</v>
      </c>
      <c r="C166" s="5">
        <v>366144</v>
      </c>
      <c r="D166" s="6"/>
      <c r="E166" s="5" t="s">
        <v>31</v>
      </c>
      <c r="F166" s="5" t="s">
        <v>353</v>
      </c>
      <c r="G166" s="5" t="s">
        <v>51</v>
      </c>
      <c r="H166" s="7" t="s">
        <v>8</v>
      </c>
      <c r="I166" s="7" t="s">
        <v>354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6</v>
      </c>
      <c r="BD166" s="7">
        <v>720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43.2</v>
      </c>
      <c r="BM166" s="11">
        <v>720</v>
      </c>
      <c r="BN166" s="13">
        <f t="shared" si="4"/>
        <v>676.8</v>
      </c>
      <c r="BO166" s="14">
        <f t="shared" si="5"/>
        <v>473.75999999999993</v>
      </c>
    </row>
    <row r="167" spans="1:67" x14ac:dyDescent="0.4">
      <c r="A167" s="5" t="s">
        <v>29</v>
      </c>
      <c r="B167" s="5" t="s">
        <v>469</v>
      </c>
      <c r="C167" s="5">
        <v>380275</v>
      </c>
      <c r="D167" s="6"/>
      <c r="E167" s="5" t="s">
        <v>31</v>
      </c>
      <c r="F167" s="5" t="s">
        <v>58</v>
      </c>
      <c r="G167" s="5" t="s">
        <v>51</v>
      </c>
      <c r="H167" s="7" t="s">
        <v>331</v>
      </c>
      <c r="I167" s="7" t="s">
        <v>470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5</v>
      </c>
      <c r="AF167" s="7">
        <v>480</v>
      </c>
      <c r="AG167" s="7">
        <v>100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11">
        <v>580</v>
      </c>
      <c r="BN167" s="13">
        <f t="shared" si="4"/>
        <v>580</v>
      </c>
      <c r="BO167" s="14">
        <f t="shared" si="5"/>
        <v>406</v>
      </c>
    </row>
    <row r="168" spans="1:67" x14ac:dyDescent="0.4">
      <c r="A168" s="5" t="s">
        <v>29</v>
      </c>
      <c r="B168" s="5" t="s">
        <v>374</v>
      </c>
      <c r="C168" s="5">
        <v>450457</v>
      </c>
      <c r="D168" s="6"/>
      <c r="E168" s="5" t="s">
        <v>31</v>
      </c>
      <c r="F168" s="5" t="s">
        <v>375</v>
      </c>
      <c r="G168" s="5" t="s">
        <v>11</v>
      </c>
      <c r="H168" s="7" t="s">
        <v>7</v>
      </c>
      <c r="I168" s="7" t="s">
        <v>501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1</v>
      </c>
      <c r="AF168" s="7">
        <v>0</v>
      </c>
      <c r="AG168" s="7">
        <v>100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2</v>
      </c>
      <c r="AR168" s="7">
        <v>200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1</v>
      </c>
      <c r="BD168" s="7">
        <v>120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7.2</v>
      </c>
      <c r="BM168" s="11">
        <v>420</v>
      </c>
      <c r="BN168" s="13">
        <f t="shared" si="4"/>
        <v>412.8</v>
      </c>
      <c r="BO168" s="14">
        <f t="shared" si="5"/>
        <v>288.95999999999998</v>
      </c>
    </row>
    <row r="169" spans="1:67" x14ac:dyDescent="0.4">
      <c r="A169" s="5" t="s">
        <v>29</v>
      </c>
      <c r="B169" s="5" t="s">
        <v>355</v>
      </c>
      <c r="C169" s="5">
        <v>358202</v>
      </c>
      <c r="D169" s="6"/>
      <c r="E169" s="5" t="s">
        <v>31</v>
      </c>
      <c r="F169" s="5" t="s">
        <v>292</v>
      </c>
      <c r="G169" s="5" t="s">
        <v>51</v>
      </c>
      <c r="H169" s="7" t="s">
        <v>8</v>
      </c>
      <c r="I169" s="7" t="s">
        <v>356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4</v>
      </c>
      <c r="AR169" s="7">
        <v>400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11">
        <v>400</v>
      </c>
      <c r="BN169" s="13">
        <f t="shared" si="4"/>
        <v>400</v>
      </c>
      <c r="BO169" s="14">
        <f t="shared" si="5"/>
        <v>280</v>
      </c>
    </row>
    <row r="170" spans="1:67" x14ac:dyDescent="0.4">
      <c r="A170" s="5" t="s">
        <v>29</v>
      </c>
      <c r="B170" s="5" t="s">
        <v>502</v>
      </c>
      <c r="C170" s="5">
        <v>416217</v>
      </c>
      <c r="D170" s="6"/>
      <c r="E170" s="5" t="s">
        <v>31</v>
      </c>
      <c r="F170" s="5" t="s">
        <v>310</v>
      </c>
      <c r="G170" s="5" t="s">
        <v>51</v>
      </c>
      <c r="H170" s="7" t="s">
        <v>8</v>
      </c>
      <c r="I170" s="7" t="s">
        <v>175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1</v>
      </c>
      <c r="BD170" s="7">
        <v>360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21.6</v>
      </c>
      <c r="BM170" s="11">
        <v>360</v>
      </c>
      <c r="BN170" s="13">
        <f t="shared" si="4"/>
        <v>338.4</v>
      </c>
      <c r="BO170" s="14">
        <f t="shared" si="5"/>
        <v>236.87999999999997</v>
      </c>
    </row>
    <row r="171" spans="1:67" x14ac:dyDescent="0.4">
      <c r="A171" s="5" t="s">
        <v>29</v>
      </c>
      <c r="B171" s="5" t="s">
        <v>363</v>
      </c>
      <c r="C171" s="5">
        <v>278898</v>
      </c>
      <c r="D171" s="6"/>
      <c r="E171" s="5" t="s">
        <v>31</v>
      </c>
      <c r="F171" s="5" t="s">
        <v>364</v>
      </c>
      <c r="G171" s="5" t="s">
        <v>11</v>
      </c>
      <c r="H171" s="7" t="s">
        <v>7</v>
      </c>
      <c r="I171" s="7" t="s">
        <v>365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1</v>
      </c>
      <c r="AF171" s="7">
        <v>100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2</v>
      </c>
      <c r="AR171" s="7">
        <v>200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11">
        <v>300</v>
      </c>
      <c r="BN171" s="13">
        <f t="shared" si="4"/>
        <v>300</v>
      </c>
      <c r="BO171" s="14">
        <f t="shared" si="5"/>
        <v>210</v>
      </c>
    </row>
    <row r="172" spans="1:67" x14ac:dyDescent="0.4">
      <c r="A172" s="5" t="s">
        <v>29</v>
      </c>
      <c r="B172" s="5" t="s">
        <v>468</v>
      </c>
      <c r="C172" s="5">
        <v>467500</v>
      </c>
      <c r="D172" s="6"/>
      <c r="E172" s="5" t="s">
        <v>31</v>
      </c>
      <c r="F172" s="5" t="s">
        <v>335</v>
      </c>
      <c r="G172" s="5" t="s">
        <v>51</v>
      </c>
      <c r="H172" s="7" t="s">
        <v>8</v>
      </c>
      <c r="I172" s="7" t="s">
        <v>37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1</v>
      </c>
      <c r="AF172" s="7">
        <v>300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11">
        <v>300</v>
      </c>
      <c r="BN172" s="13">
        <f t="shared" si="4"/>
        <v>300</v>
      </c>
      <c r="BO172" s="14">
        <f t="shared" si="5"/>
        <v>210</v>
      </c>
    </row>
    <row r="173" spans="1:67" x14ac:dyDescent="0.4">
      <c r="A173" s="5" t="s">
        <v>29</v>
      </c>
      <c r="B173" s="5" t="s">
        <v>397</v>
      </c>
      <c r="C173" s="5">
        <v>385872</v>
      </c>
      <c r="D173" s="6"/>
      <c r="E173" s="5" t="s">
        <v>31</v>
      </c>
      <c r="F173" s="5" t="s">
        <v>398</v>
      </c>
      <c r="G173" s="5" t="s">
        <v>11</v>
      </c>
      <c r="H173" s="7" t="s">
        <v>7</v>
      </c>
      <c r="I173" s="7" t="s">
        <v>399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1</v>
      </c>
      <c r="AF173" s="7">
        <v>100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1</v>
      </c>
      <c r="AR173" s="7">
        <v>100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11">
        <v>200</v>
      </c>
      <c r="BN173" s="13">
        <f t="shared" si="4"/>
        <v>200</v>
      </c>
      <c r="BO173" s="14">
        <f t="shared" si="5"/>
        <v>140</v>
      </c>
    </row>
    <row r="174" spans="1:67" x14ac:dyDescent="0.4">
      <c r="A174" s="5" t="s">
        <v>29</v>
      </c>
      <c r="B174" s="5" t="s">
        <v>503</v>
      </c>
      <c r="C174" s="5">
        <v>408471</v>
      </c>
      <c r="D174" s="6"/>
      <c r="E174" s="5" t="s">
        <v>31</v>
      </c>
      <c r="F174" s="5" t="s">
        <v>227</v>
      </c>
      <c r="G174" s="5" t="s">
        <v>51</v>
      </c>
      <c r="H174" s="7" t="s">
        <v>8</v>
      </c>
      <c r="I174" s="7" t="s">
        <v>504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1</v>
      </c>
      <c r="BD174" s="7">
        <v>120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7.2</v>
      </c>
      <c r="BM174" s="11">
        <v>120</v>
      </c>
      <c r="BN174" s="13">
        <f t="shared" si="4"/>
        <v>112.8</v>
      </c>
      <c r="BO174" s="14">
        <f t="shared" si="5"/>
        <v>78.959999999999994</v>
      </c>
    </row>
    <row r="175" spans="1:67" x14ac:dyDescent="0.4">
      <c r="A175" s="5" t="s">
        <v>29</v>
      </c>
      <c r="B175" s="5" t="s">
        <v>392</v>
      </c>
      <c r="C175" s="5">
        <v>414859</v>
      </c>
      <c r="D175" s="6"/>
      <c r="E175" s="5" t="s">
        <v>31</v>
      </c>
      <c r="F175" s="5" t="s">
        <v>393</v>
      </c>
      <c r="G175" s="5" t="s">
        <v>51</v>
      </c>
      <c r="H175" s="7" t="s">
        <v>8</v>
      </c>
      <c r="I175" s="7" t="s">
        <v>394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1</v>
      </c>
      <c r="AF175" s="7">
        <v>120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11">
        <v>120</v>
      </c>
      <c r="BN175" s="13">
        <f t="shared" si="4"/>
        <v>120</v>
      </c>
      <c r="BO175" s="14">
        <f t="shared" si="5"/>
        <v>84</v>
      </c>
    </row>
    <row r="176" spans="1:67" x14ac:dyDescent="0.4">
      <c r="A176" s="5" t="s">
        <v>29</v>
      </c>
      <c r="B176" s="5" t="s">
        <v>507</v>
      </c>
      <c r="C176" s="5">
        <v>360192</v>
      </c>
      <c r="D176" s="6"/>
      <c r="E176" s="5" t="s">
        <v>31</v>
      </c>
      <c r="F176" s="5" t="s">
        <v>443</v>
      </c>
      <c r="G176" s="5" t="s">
        <v>51</v>
      </c>
      <c r="H176" s="7" t="s">
        <v>8</v>
      </c>
      <c r="I176" s="7" t="s">
        <v>508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1</v>
      </c>
      <c r="AF176" s="7">
        <v>120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11">
        <v>120</v>
      </c>
      <c r="BN176" s="13">
        <f t="shared" si="4"/>
        <v>120</v>
      </c>
      <c r="BO176" s="14">
        <f t="shared" si="5"/>
        <v>84</v>
      </c>
    </row>
    <row r="177" spans="1:67" x14ac:dyDescent="0.4">
      <c r="A177" s="5" t="s">
        <v>29</v>
      </c>
      <c r="B177" s="5" t="s">
        <v>505</v>
      </c>
      <c r="C177" s="5">
        <v>336995</v>
      </c>
      <c r="D177" s="6"/>
      <c r="E177" s="5" t="s">
        <v>31</v>
      </c>
      <c r="F177" s="5" t="s">
        <v>160</v>
      </c>
      <c r="G177" s="5" t="s">
        <v>51</v>
      </c>
      <c r="H177" s="7" t="s">
        <v>8</v>
      </c>
      <c r="I177" s="7" t="s">
        <v>506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1</v>
      </c>
      <c r="BD177" s="7">
        <v>120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7.2</v>
      </c>
      <c r="BM177" s="11">
        <v>120</v>
      </c>
      <c r="BN177" s="13">
        <f t="shared" si="4"/>
        <v>112.8</v>
      </c>
      <c r="BO177" s="14">
        <f t="shared" si="5"/>
        <v>78.959999999999994</v>
      </c>
    </row>
    <row r="178" spans="1:67" x14ac:dyDescent="0.4">
      <c r="A178" s="5" t="s">
        <v>29</v>
      </c>
      <c r="B178" s="5" t="s">
        <v>457</v>
      </c>
      <c r="C178" s="5">
        <v>407003</v>
      </c>
      <c r="D178" s="6"/>
      <c r="E178" s="5" t="s">
        <v>31</v>
      </c>
      <c r="F178" s="5" t="s">
        <v>384</v>
      </c>
      <c r="G178" s="5" t="s">
        <v>51</v>
      </c>
      <c r="H178" s="7" t="s">
        <v>331</v>
      </c>
      <c r="I178" s="7" t="s">
        <v>458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1</v>
      </c>
      <c r="AF178" s="7">
        <v>100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11">
        <v>100</v>
      </c>
      <c r="BN178" s="13">
        <f t="shared" si="4"/>
        <v>100</v>
      </c>
      <c r="BO178" s="14">
        <f t="shared" si="5"/>
        <v>70</v>
      </c>
    </row>
    <row r="179" spans="1:67" ht="19.2" x14ac:dyDescent="0.4">
      <c r="A179" s="5" t="s">
        <v>407</v>
      </c>
      <c r="B179" s="5" t="s">
        <v>30</v>
      </c>
      <c r="C179" s="5">
        <v>465248</v>
      </c>
      <c r="D179" s="6"/>
      <c r="E179" s="5" t="s">
        <v>31</v>
      </c>
      <c r="F179" s="5" t="s">
        <v>32</v>
      </c>
      <c r="G179" s="5" t="s">
        <v>33</v>
      </c>
      <c r="H179" s="7" t="s">
        <v>10</v>
      </c>
      <c r="I179" s="7" t="s">
        <v>34</v>
      </c>
      <c r="J179" s="8">
        <v>1992</v>
      </c>
      <c r="K179" s="8">
        <v>10707</v>
      </c>
      <c r="L179" s="8">
        <v>199200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8">
        <v>23511</v>
      </c>
      <c r="AF179" s="8">
        <v>1919300</v>
      </c>
      <c r="AG179" s="8">
        <v>623500</v>
      </c>
      <c r="AH179" s="7">
        <v>0</v>
      </c>
      <c r="AI179" s="7">
        <v>0</v>
      </c>
      <c r="AJ179" s="7">
        <v>0</v>
      </c>
      <c r="AK179" s="7">
        <v>44</v>
      </c>
      <c r="AL179" s="7">
        <v>640</v>
      </c>
      <c r="AM179" s="8">
        <v>3900</v>
      </c>
      <c r="AN179" s="7">
        <v>0</v>
      </c>
      <c r="AO179" s="7">
        <v>0</v>
      </c>
      <c r="AP179" s="7">
        <v>0</v>
      </c>
      <c r="AQ179" s="8">
        <v>2806</v>
      </c>
      <c r="AR179" s="8">
        <v>264900</v>
      </c>
      <c r="AS179" s="8">
        <v>15700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4</v>
      </c>
      <c r="BD179" s="7">
        <v>480</v>
      </c>
      <c r="BE179" s="7">
        <v>0</v>
      </c>
      <c r="BF179" s="7">
        <v>0</v>
      </c>
      <c r="BG179" s="7">
        <v>0</v>
      </c>
      <c r="BH179" s="7">
        <v>0</v>
      </c>
      <c r="BI179" s="8">
        <v>1216</v>
      </c>
      <c r="BJ179" s="8">
        <v>143280</v>
      </c>
      <c r="BK179" s="8">
        <v>2200</v>
      </c>
      <c r="BL179" s="9">
        <v>7384.8</v>
      </c>
      <c r="BM179" s="10">
        <v>3173100</v>
      </c>
      <c r="BN179" s="13">
        <f t="shared" si="4"/>
        <v>3165715.2</v>
      </c>
      <c r="BO179" s="14">
        <f t="shared" si="5"/>
        <v>2216000.64</v>
      </c>
    </row>
    <row r="180" spans="1:67" ht="19.2" x14ac:dyDescent="0.4">
      <c r="A180" s="5" t="s">
        <v>407</v>
      </c>
      <c r="B180" s="5" t="s">
        <v>35</v>
      </c>
      <c r="C180" s="5">
        <v>463799</v>
      </c>
      <c r="D180" s="6"/>
      <c r="E180" s="5" t="s">
        <v>31</v>
      </c>
      <c r="F180" s="5" t="s">
        <v>36</v>
      </c>
      <c r="G180" s="5" t="s">
        <v>11</v>
      </c>
      <c r="H180" s="7" t="s">
        <v>7</v>
      </c>
      <c r="I180" s="7" t="s">
        <v>37</v>
      </c>
      <c r="J180" s="7">
        <v>1</v>
      </c>
      <c r="K180" s="8">
        <v>3948</v>
      </c>
      <c r="L180" s="7">
        <v>100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326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8">
        <v>3760</v>
      </c>
      <c r="AF180" s="8">
        <v>403580</v>
      </c>
      <c r="AG180" s="8">
        <v>19400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8">
        <v>4376</v>
      </c>
      <c r="AR180" s="8">
        <v>416600</v>
      </c>
      <c r="AS180" s="8">
        <v>21000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8">
        <v>1068</v>
      </c>
      <c r="BJ180" s="8">
        <v>127560</v>
      </c>
      <c r="BK180" s="7">
        <v>500</v>
      </c>
      <c r="BL180" s="9">
        <v>6378</v>
      </c>
      <c r="BM180" s="10">
        <v>988740</v>
      </c>
      <c r="BN180" s="13">
        <f t="shared" si="4"/>
        <v>982362</v>
      </c>
      <c r="BO180" s="14">
        <f t="shared" si="5"/>
        <v>687653.39999999991</v>
      </c>
    </row>
    <row r="181" spans="1:67" ht="19.2" x14ac:dyDescent="0.4">
      <c r="A181" s="5" t="s">
        <v>407</v>
      </c>
      <c r="B181" s="5" t="s">
        <v>479</v>
      </c>
      <c r="C181" s="5">
        <v>472512</v>
      </c>
      <c r="D181" s="6"/>
      <c r="E181" s="5" t="s">
        <v>31</v>
      </c>
      <c r="F181" s="5" t="s">
        <v>56</v>
      </c>
      <c r="G181" s="5" t="s">
        <v>11</v>
      </c>
      <c r="H181" s="7" t="s">
        <v>7</v>
      </c>
      <c r="I181" s="7" t="s">
        <v>538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7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8">
        <v>3946</v>
      </c>
      <c r="AF181" s="8">
        <v>357800</v>
      </c>
      <c r="AG181" s="8">
        <v>81200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8">
        <v>1325</v>
      </c>
      <c r="AR181" s="8">
        <v>130300</v>
      </c>
      <c r="AS181" s="8">
        <v>2200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56</v>
      </c>
      <c r="BD181" s="8">
        <v>6720</v>
      </c>
      <c r="BE181" s="7">
        <v>0</v>
      </c>
      <c r="BF181" s="7">
        <v>0</v>
      </c>
      <c r="BG181" s="7">
        <v>0</v>
      </c>
      <c r="BH181" s="7">
        <v>0</v>
      </c>
      <c r="BI181" s="7">
        <v>841</v>
      </c>
      <c r="BJ181" s="8">
        <v>100920</v>
      </c>
      <c r="BK181" s="7">
        <v>0</v>
      </c>
      <c r="BL181" s="9">
        <v>5449.2</v>
      </c>
      <c r="BM181" s="10">
        <v>679140</v>
      </c>
      <c r="BN181" s="13">
        <f t="shared" si="4"/>
        <v>673690.8</v>
      </c>
      <c r="BO181" s="14">
        <f t="shared" si="5"/>
        <v>471583.56</v>
      </c>
    </row>
    <row r="182" spans="1:67" ht="19.2" x14ac:dyDescent="0.4">
      <c r="A182" s="5" t="s">
        <v>407</v>
      </c>
      <c r="B182" s="5" t="s">
        <v>55</v>
      </c>
      <c r="C182" s="5">
        <v>454534</v>
      </c>
      <c r="D182" s="6"/>
      <c r="E182" s="5" t="s">
        <v>31</v>
      </c>
      <c r="F182" s="5" t="s">
        <v>56</v>
      </c>
      <c r="G182" s="5" t="s">
        <v>11</v>
      </c>
      <c r="H182" s="7" t="s">
        <v>7</v>
      </c>
      <c r="I182" s="7" t="s">
        <v>480</v>
      </c>
      <c r="J182" s="7">
        <v>0</v>
      </c>
      <c r="K182" s="8">
        <v>2765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64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8">
        <v>2591</v>
      </c>
      <c r="AF182" s="8">
        <v>206300</v>
      </c>
      <c r="AG182" s="8">
        <v>73500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712</v>
      </c>
      <c r="AR182" s="8">
        <v>69300</v>
      </c>
      <c r="AS182" s="8">
        <v>1900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7</v>
      </c>
      <c r="BD182" s="7">
        <v>840</v>
      </c>
      <c r="BE182" s="7">
        <v>0</v>
      </c>
      <c r="BF182" s="7">
        <v>0</v>
      </c>
      <c r="BG182" s="7">
        <v>0</v>
      </c>
      <c r="BH182" s="7">
        <v>0</v>
      </c>
      <c r="BI182" s="7">
        <v>397</v>
      </c>
      <c r="BJ182" s="8">
        <v>47640</v>
      </c>
      <c r="BK182" s="7">
        <v>0</v>
      </c>
      <c r="BL182" s="9">
        <v>2432.4</v>
      </c>
      <c r="BM182" s="10">
        <v>399480</v>
      </c>
      <c r="BN182" s="13">
        <f t="shared" si="4"/>
        <v>397047.6</v>
      </c>
      <c r="BO182" s="14">
        <f t="shared" si="5"/>
        <v>277933.31999999995</v>
      </c>
    </row>
    <row r="183" spans="1:67" ht="19.2" x14ac:dyDescent="0.4">
      <c r="A183" s="5" t="s">
        <v>407</v>
      </c>
      <c r="B183" s="5" t="s">
        <v>49</v>
      </c>
      <c r="C183" s="5">
        <v>395270</v>
      </c>
      <c r="D183" s="6"/>
      <c r="E183" s="5" t="s">
        <v>31</v>
      </c>
      <c r="F183" s="5" t="s">
        <v>50</v>
      </c>
      <c r="G183" s="5" t="s">
        <v>51</v>
      </c>
      <c r="H183" s="7" t="s">
        <v>8</v>
      </c>
      <c r="I183" s="7" t="s">
        <v>52</v>
      </c>
      <c r="J183" s="7">
        <v>0</v>
      </c>
      <c r="K183" s="8">
        <v>12079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114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8">
        <v>2845</v>
      </c>
      <c r="AF183" s="8">
        <v>206820</v>
      </c>
      <c r="AG183" s="8">
        <v>93000</v>
      </c>
      <c r="AH183" s="7">
        <v>0</v>
      </c>
      <c r="AI183" s="7">
        <v>0</v>
      </c>
      <c r="AJ183" s="7">
        <v>0</v>
      </c>
      <c r="AK183" s="7">
        <v>7</v>
      </c>
      <c r="AL183" s="7">
        <v>0</v>
      </c>
      <c r="AM183" s="7">
        <v>700</v>
      </c>
      <c r="AN183" s="7">
        <v>0</v>
      </c>
      <c r="AO183" s="7">
        <v>0</v>
      </c>
      <c r="AP183" s="7">
        <v>0</v>
      </c>
      <c r="AQ183" s="7">
        <v>482</v>
      </c>
      <c r="AR183" s="8">
        <v>47200</v>
      </c>
      <c r="AS183" s="8">
        <v>1000</v>
      </c>
      <c r="AT183" s="7">
        <v>0</v>
      </c>
      <c r="AU183" s="7">
        <v>0</v>
      </c>
      <c r="AV183" s="7">
        <v>0</v>
      </c>
      <c r="AW183" s="7">
        <v>10</v>
      </c>
      <c r="AX183" s="8">
        <v>1230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63</v>
      </c>
      <c r="BJ183" s="8">
        <v>7560</v>
      </c>
      <c r="BK183" s="7">
        <v>0</v>
      </c>
      <c r="BL183" s="7">
        <v>501</v>
      </c>
      <c r="BM183" s="10">
        <v>357510</v>
      </c>
      <c r="BN183" s="13">
        <f t="shared" si="4"/>
        <v>357009</v>
      </c>
      <c r="BO183" s="14">
        <f t="shared" si="5"/>
        <v>249906.3</v>
      </c>
    </row>
    <row r="184" spans="1:67" ht="19.2" x14ac:dyDescent="0.4">
      <c r="A184" s="5" t="s">
        <v>407</v>
      </c>
      <c r="B184" s="5" t="s">
        <v>44</v>
      </c>
      <c r="C184" s="5">
        <v>414278</v>
      </c>
      <c r="D184" s="6"/>
      <c r="E184" s="5" t="s">
        <v>31</v>
      </c>
      <c r="F184" s="5" t="s">
        <v>12</v>
      </c>
      <c r="G184" s="5" t="s">
        <v>11</v>
      </c>
      <c r="H184" s="7" t="s">
        <v>8</v>
      </c>
      <c r="I184" s="7" t="s">
        <v>45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74</v>
      </c>
      <c r="AF184" s="8">
        <v>259920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8</v>
      </c>
      <c r="AR184" s="8">
        <v>23200</v>
      </c>
      <c r="AS184" s="7">
        <v>700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17</v>
      </c>
      <c r="BJ184" s="8">
        <v>64920</v>
      </c>
      <c r="BK184" s="7">
        <v>0</v>
      </c>
      <c r="BL184" s="9">
        <v>3246</v>
      </c>
      <c r="BM184" s="10">
        <v>348740</v>
      </c>
      <c r="BN184" s="13">
        <f t="shared" si="4"/>
        <v>345494</v>
      </c>
      <c r="BO184" s="14">
        <f t="shared" si="5"/>
        <v>241845.8</v>
      </c>
    </row>
    <row r="185" spans="1:67" ht="19.2" x14ac:dyDescent="0.4">
      <c r="A185" s="5" t="s">
        <v>407</v>
      </c>
      <c r="B185" s="5" t="s">
        <v>46</v>
      </c>
      <c r="C185" s="5">
        <v>369220</v>
      </c>
      <c r="D185" s="6"/>
      <c r="E185" s="5" t="s">
        <v>31</v>
      </c>
      <c r="F185" s="5" t="s">
        <v>47</v>
      </c>
      <c r="G185" s="5" t="s">
        <v>11</v>
      </c>
      <c r="H185" s="7" t="s">
        <v>7</v>
      </c>
      <c r="I185" s="7" t="s">
        <v>48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93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8">
        <v>1320</v>
      </c>
      <c r="AF185" s="8">
        <v>58900</v>
      </c>
      <c r="AG185" s="8">
        <v>81500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428</v>
      </c>
      <c r="AR185" s="8">
        <v>42200</v>
      </c>
      <c r="AS185" s="7">
        <v>600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364</v>
      </c>
      <c r="BJ185" s="8">
        <v>43680</v>
      </c>
      <c r="BK185" s="7">
        <v>0</v>
      </c>
      <c r="BL185" s="9">
        <v>2184</v>
      </c>
      <c r="BM185" s="10">
        <v>226880</v>
      </c>
      <c r="BN185" s="13">
        <f t="shared" si="4"/>
        <v>224696</v>
      </c>
      <c r="BO185" s="14">
        <f t="shared" si="5"/>
        <v>157287.19999999998</v>
      </c>
    </row>
    <row r="186" spans="1:67" ht="19.2" x14ac:dyDescent="0.4">
      <c r="A186" s="5" t="s">
        <v>407</v>
      </c>
      <c r="B186" s="5" t="s">
        <v>67</v>
      </c>
      <c r="C186" s="5">
        <v>459997</v>
      </c>
      <c r="D186" s="6"/>
      <c r="E186" s="5" t="s">
        <v>31</v>
      </c>
      <c r="F186" s="5" t="s">
        <v>68</v>
      </c>
      <c r="G186" s="5" t="s">
        <v>11</v>
      </c>
      <c r="H186" s="7" t="s">
        <v>7</v>
      </c>
      <c r="I186" s="7" t="s">
        <v>538</v>
      </c>
      <c r="J186" s="8">
        <v>1261</v>
      </c>
      <c r="K186" s="8">
        <v>18704</v>
      </c>
      <c r="L186" s="8">
        <v>126100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6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824</v>
      </c>
      <c r="AF186" s="8">
        <v>34900</v>
      </c>
      <c r="AG186" s="8">
        <v>47700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44</v>
      </c>
      <c r="AR186" s="8">
        <v>4300</v>
      </c>
      <c r="AS186" s="7">
        <v>100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8</v>
      </c>
      <c r="BJ186" s="7">
        <v>960</v>
      </c>
      <c r="BK186" s="7">
        <v>0</v>
      </c>
      <c r="BL186" s="7">
        <v>48</v>
      </c>
      <c r="BM186" s="10">
        <v>214060</v>
      </c>
      <c r="BN186" s="13">
        <f t="shared" si="4"/>
        <v>214012</v>
      </c>
      <c r="BO186" s="14">
        <f t="shared" si="5"/>
        <v>149808.4</v>
      </c>
    </row>
    <row r="187" spans="1:67" ht="19.2" x14ac:dyDescent="0.4">
      <c r="A187" s="5" t="s">
        <v>407</v>
      </c>
      <c r="B187" s="5" t="s">
        <v>53</v>
      </c>
      <c r="C187" s="5">
        <v>178856</v>
      </c>
      <c r="D187" s="6"/>
      <c r="E187" s="5" t="s">
        <v>31</v>
      </c>
      <c r="F187" s="5" t="s">
        <v>47</v>
      </c>
      <c r="G187" s="5" t="s">
        <v>11</v>
      </c>
      <c r="H187" s="7" t="s">
        <v>10</v>
      </c>
      <c r="I187" s="7" t="s">
        <v>54</v>
      </c>
      <c r="J187" s="7">
        <v>0</v>
      </c>
      <c r="K187" s="7">
        <v>5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251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8">
        <v>1305</v>
      </c>
      <c r="AF187" s="8">
        <v>56180</v>
      </c>
      <c r="AG187" s="8">
        <v>81800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561</v>
      </c>
      <c r="AR187" s="8">
        <v>54600</v>
      </c>
      <c r="AS187" s="8">
        <v>1500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93</v>
      </c>
      <c r="BJ187" s="8">
        <v>11160</v>
      </c>
      <c r="BK187" s="7">
        <v>0</v>
      </c>
      <c r="BL187" s="7">
        <v>558</v>
      </c>
      <c r="BM187" s="10">
        <v>205240</v>
      </c>
      <c r="BN187" s="13">
        <f t="shared" si="4"/>
        <v>204682</v>
      </c>
      <c r="BO187" s="14">
        <f t="shared" si="5"/>
        <v>143277.4</v>
      </c>
    </row>
    <row r="188" spans="1:67" ht="19.2" x14ac:dyDescent="0.4">
      <c r="A188" s="5" t="s">
        <v>407</v>
      </c>
      <c r="B188" s="5" t="s">
        <v>57</v>
      </c>
      <c r="C188" s="5">
        <v>457807</v>
      </c>
      <c r="D188" s="6"/>
      <c r="E188" s="5" t="s">
        <v>31</v>
      </c>
      <c r="F188" s="5" t="s">
        <v>58</v>
      </c>
      <c r="G188" s="5" t="s">
        <v>51</v>
      </c>
      <c r="H188" s="7" t="s">
        <v>8</v>
      </c>
      <c r="I188" s="7" t="s">
        <v>59</v>
      </c>
      <c r="J188" s="7">
        <v>74</v>
      </c>
      <c r="K188" s="8">
        <v>4571</v>
      </c>
      <c r="L188" s="8">
        <v>7400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95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8">
        <v>1446</v>
      </c>
      <c r="AF188" s="8">
        <v>110600</v>
      </c>
      <c r="AG188" s="8">
        <v>42800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280</v>
      </c>
      <c r="AR188" s="8">
        <v>25800</v>
      </c>
      <c r="AS188" s="8">
        <v>2200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109</v>
      </c>
      <c r="BJ188" s="8">
        <v>13080</v>
      </c>
      <c r="BK188" s="7">
        <v>0</v>
      </c>
      <c r="BL188" s="7">
        <v>654</v>
      </c>
      <c r="BM188" s="10">
        <v>201880</v>
      </c>
      <c r="BN188" s="13">
        <f t="shared" si="4"/>
        <v>201226</v>
      </c>
      <c r="BO188" s="14">
        <f t="shared" si="5"/>
        <v>140858.19999999998</v>
      </c>
    </row>
    <row r="189" spans="1:67" ht="19.2" x14ac:dyDescent="0.4">
      <c r="A189" s="5" t="s">
        <v>407</v>
      </c>
      <c r="B189" s="5" t="s">
        <v>83</v>
      </c>
      <c r="C189" s="5">
        <v>387417</v>
      </c>
      <c r="D189" s="6"/>
      <c r="E189" s="5" t="s">
        <v>31</v>
      </c>
      <c r="F189" s="5" t="s">
        <v>84</v>
      </c>
      <c r="G189" s="5" t="s">
        <v>11</v>
      </c>
      <c r="H189" s="7" t="s">
        <v>7</v>
      </c>
      <c r="I189" s="7" t="s">
        <v>85</v>
      </c>
      <c r="J189" s="7">
        <v>0</v>
      </c>
      <c r="K189" s="7">
        <v>194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71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8">
        <v>1352</v>
      </c>
      <c r="AF189" s="8">
        <v>99160</v>
      </c>
      <c r="AG189" s="8">
        <v>46700</v>
      </c>
      <c r="AH189" s="7">
        <v>0</v>
      </c>
      <c r="AI189" s="7">
        <v>0</v>
      </c>
      <c r="AJ189" s="7">
        <v>0</v>
      </c>
      <c r="AK189" s="7">
        <v>4</v>
      </c>
      <c r="AL189" s="7">
        <v>0</v>
      </c>
      <c r="AM189" s="7">
        <v>400</v>
      </c>
      <c r="AN189" s="7">
        <v>0</v>
      </c>
      <c r="AO189" s="7">
        <v>0</v>
      </c>
      <c r="AP189" s="7">
        <v>0</v>
      </c>
      <c r="AQ189" s="7">
        <v>250</v>
      </c>
      <c r="AR189" s="8">
        <v>24700</v>
      </c>
      <c r="AS189" s="7">
        <v>300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52</v>
      </c>
      <c r="BJ189" s="8">
        <v>6240</v>
      </c>
      <c r="BK189" s="7">
        <v>0</v>
      </c>
      <c r="BL189" s="7">
        <v>312</v>
      </c>
      <c r="BM189" s="10">
        <v>177500</v>
      </c>
      <c r="BN189" s="13">
        <f t="shared" si="4"/>
        <v>177188</v>
      </c>
      <c r="BO189" s="14">
        <f t="shared" si="5"/>
        <v>124031.59999999999</v>
      </c>
    </row>
    <row r="190" spans="1:67" ht="19.2" x14ac:dyDescent="0.4">
      <c r="A190" s="5" t="s">
        <v>407</v>
      </c>
      <c r="B190" s="5" t="s">
        <v>41</v>
      </c>
      <c r="C190" s="5">
        <v>449889</v>
      </c>
      <c r="D190" s="6"/>
      <c r="E190" s="5" t="s">
        <v>31</v>
      </c>
      <c r="F190" s="5" t="s">
        <v>42</v>
      </c>
      <c r="G190" s="5" t="s">
        <v>11</v>
      </c>
      <c r="H190" s="7" t="s">
        <v>7</v>
      </c>
      <c r="I190" s="7" t="s">
        <v>43</v>
      </c>
      <c r="J190" s="7">
        <v>0</v>
      </c>
      <c r="K190" s="7">
        <v>966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28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451</v>
      </c>
      <c r="AF190" s="8">
        <v>40480</v>
      </c>
      <c r="AG190" s="8">
        <v>8500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285</v>
      </c>
      <c r="AR190" s="8">
        <v>28200</v>
      </c>
      <c r="AS190" s="7">
        <v>300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259</v>
      </c>
      <c r="BJ190" s="8">
        <v>30240</v>
      </c>
      <c r="BK190" s="7">
        <v>700</v>
      </c>
      <c r="BL190" s="9">
        <v>1512</v>
      </c>
      <c r="BM190" s="10">
        <v>108420</v>
      </c>
      <c r="BN190" s="13">
        <f t="shared" si="4"/>
        <v>106908</v>
      </c>
      <c r="BO190" s="14">
        <f t="shared" si="5"/>
        <v>74835.599999999991</v>
      </c>
    </row>
    <row r="191" spans="1:67" ht="19.2" x14ac:dyDescent="0.4">
      <c r="A191" s="5" t="s">
        <v>407</v>
      </c>
      <c r="B191" s="5" t="s">
        <v>92</v>
      </c>
      <c r="C191" s="5">
        <v>465250</v>
      </c>
      <c r="D191" s="6"/>
      <c r="E191" s="5" t="s">
        <v>31</v>
      </c>
      <c r="F191" s="5" t="s">
        <v>93</v>
      </c>
      <c r="G191" s="5" t="s">
        <v>33</v>
      </c>
      <c r="H191" s="7" t="s">
        <v>7</v>
      </c>
      <c r="I191" s="7" t="s">
        <v>94</v>
      </c>
      <c r="J191" s="7">
        <v>0</v>
      </c>
      <c r="K191" s="7">
        <v>41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577</v>
      </c>
      <c r="AF191" s="8">
        <v>45400</v>
      </c>
      <c r="AG191" s="8">
        <v>18300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190</v>
      </c>
      <c r="AR191" s="8">
        <v>18600</v>
      </c>
      <c r="AS191" s="7">
        <v>400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10">
        <v>82700</v>
      </c>
      <c r="BN191" s="13">
        <f t="shared" si="4"/>
        <v>82700</v>
      </c>
      <c r="BO191" s="14">
        <f t="shared" si="5"/>
        <v>57889.999999999993</v>
      </c>
    </row>
    <row r="192" spans="1:67" ht="19.2" x14ac:dyDescent="0.4">
      <c r="A192" s="5" t="s">
        <v>407</v>
      </c>
      <c r="B192" s="5" t="s">
        <v>60</v>
      </c>
      <c r="C192" s="5">
        <v>321812</v>
      </c>
      <c r="D192" s="6"/>
      <c r="E192" s="5" t="s">
        <v>31</v>
      </c>
      <c r="F192" s="5" t="s">
        <v>47</v>
      </c>
      <c r="G192" s="5" t="s">
        <v>11</v>
      </c>
      <c r="H192" s="7" t="s">
        <v>7</v>
      </c>
      <c r="I192" s="7" t="s">
        <v>61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40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539</v>
      </c>
      <c r="AF192" s="8">
        <v>31900</v>
      </c>
      <c r="AG192" s="8">
        <v>22800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216</v>
      </c>
      <c r="AR192" s="8">
        <v>21400</v>
      </c>
      <c r="AS192" s="7">
        <v>200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10">
        <v>76300</v>
      </c>
      <c r="BN192" s="13">
        <f t="shared" si="4"/>
        <v>76300</v>
      </c>
      <c r="BO192" s="14">
        <f t="shared" si="5"/>
        <v>53410</v>
      </c>
    </row>
    <row r="193" spans="1:67" ht="19.2" x14ac:dyDescent="0.4">
      <c r="A193" s="5" t="s">
        <v>407</v>
      </c>
      <c r="B193" s="5" t="s">
        <v>64</v>
      </c>
      <c r="C193" s="5">
        <v>412919</v>
      </c>
      <c r="D193" s="6"/>
      <c r="E193" s="5" t="s">
        <v>31</v>
      </c>
      <c r="F193" s="5" t="s">
        <v>65</v>
      </c>
      <c r="G193" s="5" t="s">
        <v>51</v>
      </c>
      <c r="H193" s="7" t="s">
        <v>8</v>
      </c>
      <c r="I193" s="7" t="s">
        <v>66</v>
      </c>
      <c r="J193" s="7">
        <v>0</v>
      </c>
      <c r="K193" s="7">
        <v>12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19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629</v>
      </c>
      <c r="AF193" s="8">
        <v>59280</v>
      </c>
      <c r="AG193" s="8">
        <v>9400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2</v>
      </c>
      <c r="AR193" s="7">
        <v>100</v>
      </c>
      <c r="AS193" s="7">
        <v>100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59</v>
      </c>
      <c r="BJ193" s="8">
        <v>7080</v>
      </c>
      <c r="BK193" s="7">
        <v>0</v>
      </c>
      <c r="BL193" s="7">
        <v>354</v>
      </c>
      <c r="BM193" s="10">
        <v>75960</v>
      </c>
      <c r="BN193" s="13">
        <f t="shared" si="4"/>
        <v>75606</v>
      </c>
      <c r="BO193" s="14">
        <f t="shared" si="5"/>
        <v>52924.2</v>
      </c>
    </row>
    <row r="194" spans="1:67" ht="19.2" x14ac:dyDescent="0.4">
      <c r="A194" s="5" t="s">
        <v>407</v>
      </c>
      <c r="B194" s="5" t="s">
        <v>62</v>
      </c>
      <c r="C194" s="5">
        <v>324335</v>
      </c>
      <c r="D194" s="6"/>
      <c r="E194" s="5" t="s">
        <v>31</v>
      </c>
      <c r="F194" s="5" t="s">
        <v>47</v>
      </c>
      <c r="G194" s="5" t="s">
        <v>11</v>
      </c>
      <c r="H194" s="7" t="s">
        <v>10</v>
      </c>
      <c r="I194" s="7" t="s">
        <v>63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19</v>
      </c>
      <c r="AF194" s="8">
        <v>56220</v>
      </c>
      <c r="AG194" s="8">
        <v>2000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3</v>
      </c>
      <c r="AR194" s="8">
        <v>5700</v>
      </c>
      <c r="AS194" s="8">
        <v>2100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1</v>
      </c>
      <c r="BJ194" s="8">
        <v>3120</v>
      </c>
      <c r="BK194" s="7">
        <v>0</v>
      </c>
      <c r="BL194" s="7">
        <v>156</v>
      </c>
      <c r="BM194" s="10">
        <v>69140</v>
      </c>
      <c r="BN194" s="13">
        <f t="shared" si="4"/>
        <v>68984</v>
      </c>
      <c r="BO194" s="14">
        <f t="shared" si="5"/>
        <v>48288.799999999996</v>
      </c>
    </row>
    <row r="195" spans="1:67" ht="19.2" x14ac:dyDescent="0.4">
      <c r="A195" s="5" t="s">
        <v>407</v>
      </c>
      <c r="B195" s="5" t="s">
        <v>340</v>
      </c>
      <c r="C195" s="5">
        <v>418302</v>
      </c>
      <c r="D195" s="6"/>
      <c r="E195" s="5" t="s">
        <v>31</v>
      </c>
      <c r="F195" s="5" t="s">
        <v>50</v>
      </c>
      <c r="G195" s="5" t="s">
        <v>51</v>
      </c>
      <c r="H195" s="7" t="s">
        <v>331</v>
      </c>
      <c r="I195" s="7" t="s">
        <v>52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13</v>
      </c>
      <c r="AF195" s="8">
        <v>44440</v>
      </c>
      <c r="AG195" s="8">
        <v>5500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1</v>
      </c>
      <c r="AR195" s="8">
        <v>1500</v>
      </c>
      <c r="AS195" s="7">
        <v>0</v>
      </c>
      <c r="AT195" s="7">
        <v>0</v>
      </c>
      <c r="AU195" s="7">
        <v>0</v>
      </c>
      <c r="AV195" s="7">
        <v>0</v>
      </c>
      <c r="AW195" s="7">
        <v>2</v>
      </c>
      <c r="AX195" s="8">
        <v>8610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861</v>
      </c>
      <c r="BM195" s="10">
        <v>60050</v>
      </c>
      <c r="BN195" s="13">
        <f t="shared" ref="BN195:BN258" si="6">BM195-BL195</f>
        <v>59189</v>
      </c>
      <c r="BO195" s="14">
        <f t="shared" ref="BO195:BO258" si="7">BN195*70%</f>
        <v>41432.299999999996</v>
      </c>
    </row>
    <row r="196" spans="1:67" ht="19.2" x14ac:dyDescent="0.4">
      <c r="A196" s="5" t="s">
        <v>407</v>
      </c>
      <c r="B196" s="5" t="s">
        <v>69</v>
      </c>
      <c r="C196" s="5">
        <v>369720</v>
      </c>
      <c r="D196" s="6"/>
      <c r="E196" s="5" t="s">
        <v>31</v>
      </c>
      <c r="F196" s="5" t="s">
        <v>70</v>
      </c>
      <c r="G196" s="5" t="s">
        <v>51</v>
      </c>
      <c r="H196" s="7" t="s">
        <v>8</v>
      </c>
      <c r="I196" s="7" t="s">
        <v>71</v>
      </c>
      <c r="J196" s="7">
        <v>0</v>
      </c>
      <c r="K196" s="7">
        <v>145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22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490</v>
      </c>
      <c r="AF196" s="8">
        <v>36740</v>
      </c>
      <c r="AG196" s="8">
        <v>16100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37</v>
      </c>
      <c r="AR196" s="8">
        <v>3700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7</v>
      </c>
      <c r="BJ196" s="7">
        <v>840</v>
      </c>
      <c r="BK196" s="7">
        <v>0</v>
      </c>
      <c r="BL196" s="7">
        <v>42</v>
      </c>
      <c r="BM196" s="10">
        <v>57380</v>
      </c>
      <c r="BN196" s="13">
        <f t="shared" si="6"/>
        <v>57338</v>
      </c>
      <c r="BO196" s="14">
        <f t="shared" si="7"/>
        <v>40136.6</v>
      </c>
    </row>
    <row r="197" spans="1:67" ht="19.2" x14ac:dyDescent="0.4">
      <c r="A197" s="5" t="s">
        <v>407</v>
      </c>
      <c r="B197" s="5" t="s">
        <v>89</v>
      </c>
      <c r="C197" s="5">
        <v>219203</v>
      </c>
      <c r="D197" s="6"/>
      <c r="E197" s="5" t="s">
        <v>31</v>
      </c>
      <c r="F197" s="5" t="s">
        <v>90</v>
      </c>
      <c r="G197" s="5" t="s">
        <v>11</v>
      </c>
      <c r="H197" s="7" t="s">
        <v>7</v>
      </c>
      <c r="I197" s="7" t="s">
        <v>91</v>
      </c>
      <c r="J197" s="7">
        <v>7</v>
      </c>
      <c r="K197" s="7">
        <v>10</v>
      </c>
      <c r="L197" s="7">
        <v>700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85</v>
      </c>
      <c r="AC197" s="8">
        <v>8380</v>
      </c>
      <c r="AD197" s="7">
        <v>800</v>
      </c>
      <c r="AE197" s="7">
        <v>96</v>
      </c>
      <c r="AF197" s="7">
        <v>300</v>
      </c>
      <c r="AG197" s="8">
        <v>28600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168</v>
      </c>
      <c r="AO197" s="8">
        <v>14600</v>
      </c>
      <c r="AP197" s="8">
        <v>2200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10">
        <v>55580</v>
      </c>
      <c r="BN197" s="13">
        <f t="shared" si="6"/>
        <v>55580</v>
      </c>
      <c r="BO197" s="14">
        <f t="shared" si="7"/>
        <v>38906</v>
      </c>
    </row>
    <row r="198" spans="1:67" ht="19.2" x14ac:dyDescent="0.4">
      <c r="A198" s="5" t="s">
        <v>407</v>
      </c>
      <c r="B198" s="5" t="s">
        <v>38</v>
      </c>
      <c r="C198" s="5">
        <v>445688</v>
      </c>
      <c r="D198" s="6"/>
      <c r="E198" s="5" t="s">
        <v>31</v>
      </c>
      <c r="F198" s="5" t="s">
        <v>39</v>
      </c>
      <c r="G198" s="5" t="s">
        <v>11</v>
      </c>
      <c r="H198" s="7" t="s">
        <v>7</v>
      </c>
      <c r="I198" s="7" t="s">
        <v>40</v>
      </c>
      <c r="J198" s="7">
        <v>0</v>
      </c>
      <c r="K198" s="7">
        <v>235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289</v>
      </c>
      <c r="AF198" s="8">
        <v>17620</v>
      </c>
      <c r="AG198" s="8">
        <v>13200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239</v>
      </c>
      <c r="AR198" s="8">
        <v>23900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10">
        <v>54720</v>
      </c>
      <c r="BN198" s="13">
        <f t="shared" si="6"/>
        <v>54720</v>
      </c>
      <c r="BO198" s="14">
        <f t="shared" si="7"/>
        <v>38304</v>
      </c>
    </row>
    <row r="199" spans="1:67" ht="19.2" x14ac:dyDescent="0.4">
      <c r="A199" s="5" t="s">
        <v>407</v>
      </c>
      <c r="B199" s="5" t="s">
        <v>101</v>
      </c>
      <c r="C199" s="5">
        <v>370935</v>
      </c>
      <c r="D199" s="6"/>
      <c r="E199" s="5" t="s">
        <v>31</v>
      </c>
      <c r="F199" s="5" t="s">
        <v>47</v>
      </c>
      <c r="G199" s="5" t="s">
        <v>11</v>
      </c>
      <c r="H199" s="7" t="s">
        <v>7</v>
      </c>
      <c r="I199" s="7" t="s">
        <v>102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14</v>
      </c>
      <c r="AF199" s="8">
        <v>53760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10">
        <v>53760</v>
      </c>
      <c r="BN199" s="13">
        <f t="shared" si="6"/>
        <v>53760</v>
      </c>
      <c r="BO199" s="14">
        <f t="shared" si="7"/>
        <v>37632</v>
      </c>
    </row>
    <row r="200" spans="1:67" ht="19.2" x14ac:dyDescent="0.4">
      <c r="A200" s="5" t="s">
        <v>407</v>
      </c>
      <c r="B200" s="5" t="s">
        <v>214</v>
      </c>
      <c r="C200" s="5">
        <v>445861</v>
      </c>
      <c r="D200" s="6"/>
      <c r="E200" s="5" t="s">
        <v>31</v>
      </c>
      <c r="F200" s="5" t="s">
        <v>65</v>
      </c>
      <c r="G200" s="5" t="s">
        <v>51</v>
      </c>
      <c r="H200" s="7" t="s">
        <v>8</v>
      </c>
      <c r="I200" s="7" t="s">
        <v>215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7</v>
      </c>
      <c r="AC200" s="8">
        <v>15840</v>
      </c>
      <c r="AD200" s="7">
        <v>0</v>
      </c>
      <c r="AE200" s="7">
        <v>7</v>
      </c>
      <c r="AF200" s="8">
        <v>14120</v>
      </c>
      <c r="AG200" s="8">
        <v>6600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3</v>
      </c>
      <c r="AO200" s="8">
        <v>4400</v>
      </c>
      <c r="AP200" s="8">
        <v>2200</v>
      </c>
      <c r="AQ200" s="7">
        <v>3</v>
      </c>
      <c r="AR200" s="8">
        <v>8400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10">
        <v>51560</v>
      </c>
      <c r="BN200" s="13">
        <f t="shared" si="6"/>
        <v>51560</v>
      </c>
      <c r="BO200" s="14">
        <f t="shared" si="7"/>
        <v>36092</v>
      </c>
    </row>
    <row r="201" spans="1:67" ht="19.2" x14ac:dyDescent="0.4">
      <c r="A201" s="5" t="s">
        <v>407</v>
      </c>
      <c r="B201" s="5" t="s">
        <v>75</v>
      </c>
      <c r="C201" s="5">
        <v>464776</v>
      </c>
      <c r="D201" s="6"/>
      <c r="E201" s="5" t="s">
        <v>31</v>
      </c>
      <c r="F201" s="5" t="s">
        <v>76</v>
      </c>
      <c r="G201" s="5" t="s">
        <v>33</v>
      </c>
      <c r="H201" s="7" t="s">
        <v>10</v>
      </c>
      <c r="I201" s="7" t="s">
        <v>77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343</v>
      </c>
      <c r="AF201" s="8">
        <v>32220</v>
      </c>
      <c r="AG201" s="8">
        <v>4200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10</v>
      </c>
      <c r="AR201" s="8">
        <v>1000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39</v>
      </c>
      <c r="BJ201" s="8">
        <v>4680</v>
      </c>
      <c r="BK201" s="7">
        <v>0</v>
      </c>
      <c r="BL201" s="7">
        <v>234</v>
      </c>
      <c r="BM201" s="10">
        <v>42100</v>
      </c>
      <c r="BN201" s="13">
        <f t="shared" si="6"/>
        <v>41866</v>
      </c>
      <c r="BO201" s="14">
        <f t="shared" si="7"/>
        <v>29306.199999999997</v>
      </c>
    </row>
    <row r="202" spans="1:67" ht="19.2" x14ac:dyDescent="0.4">
      <c r="A202" s="5" t="s">
        <v>407</v>
      </c>
      <c r="B202" s="5" t="s">
        <v>330</v>
      </c>
      <c r="C202" s="5">
        <v>381684</v>
      </c>
      <c r="D202" s="6"/>
      <c r="E202" s="5" t="s">
        <v>31</v>
      </c>
      <c r="F202" s="5" t="s">
        <v>153</v>
      </c>
      <c r="G202" s="5" t="s">
        <v>51</v>
      </c>
      <c r="H202" s="7" t="s">
        <v>331</v>
      </c>
      <c r="I202" s="7" t="s">
        <v>154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3</v>
      </c>
      <c r="AC202" s="8">
        <v>9000</v>
      </c>
      <c r="AD202" s="8">
        <v>1000</v>
      </c>
      <c r="AE202" s="7">
        <v>3</v>
      </c>
      <c r="AF202" s="8">
        <v>2900</v>
      </c>
      <c r="AG202" s="8">
        <v>5800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2</v>
      </c>
      <c r="AO202" s="8">
        <v>6000</v>
      </c>
      <c r="AP202" s="7">
        <v>0</v>
      </c>
      <c r="AQ202" s="7">
        <v>4</v>
      </c>
      <c r="AR202" s="8">
        <v>13000</v>
      </c>
      <c r="AS202" s="8">
        <v>1100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10">
        <v>38800</v>
      </c>
      <c r="BN202" s="13">
        <f t="shared" si="6"/>
        <v>38800</v>
      </c>
      <c r="BO202" s="14">
        <f t="shared" si="7"/>
        <v>27160</v>
      </c>
    </row>
    <row r="203" spans="1:67" ht="19.2" x14ac:dyDescent="0.4">
      <c r="A203" s="5" t="s">
        <v>407</v>
      </c>
      <c r="B203" s="5" t="s">
        <v>139</v>
      </c>
      <c r="C203" s="5">
        <v>390809</v>
      </c>
      <c r="D203" s="6"/>
      <c r="E203" s="5" t="s">
        <v>31</v>
      </c>
      <c r="F203" s="5" t="s">
        <v>140</v>
      </c>
      <c r="G203" s="5" t="s">
        <v>51</v>
      </c>
      <c r="H203" s="7" t="s">
        <v>8</v>
      </c>
      <c r="I203" s="7" t="s">
        <v>52</v>
      </c>
      <c r="J203" s="7">
        <v>0</v>
      </c>
      <c r="K203" s="7">
        <v>1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5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305</v>
      </c>
      <c r="AF203" s="8">
        <v>35740</v>
      </c>
      <c r="AG203" s="7">
        <v>200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6</v>
      </c>
      <c r="AR203" s="7">
        <v>600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2</v>
      </c>
      <c r="BJ203" s="7">
        <v>240</v>
      </c>
      <c r="BK203" s="7">
        <v>0</v>
      </c>
      <c r="BL203" s="7">
        <v>12</v>
      </c>
      <c r="BM203" s="10">
        <v>36780</v>
      </c>
      <c r="BN203" s="13">
        <f t="shared" si="6"/>
        <v>36768</v>
      </c>
      <c r="BO203" s="14">
        <f t="shared" si="7"/>
        <v>25737.599999999999</v>
      </c>
    </row>
    <row r="204" spans="1:67" ht="19.2" x14ac:dyDescent="0.4">
      <c r="A204" s="5" t="s">
        <v>407</v>
      </c>
      <c r="B204" s="5" t="s">
        <v>219</v>
      </c>
      <c r="C204" s="5">
        <v>458566</v>
      </c>
      <c r="D204" s="6"/>
      <c r="E204" s="5" t="s">
        <v>31</v>
      </c>
      <c r="F204" s="5" t="s">
        <v>47</v>
      </c>
      <c r="G204" s="5" t="s">
        <v>11</v>
      </c>
      <c r="H204" s="7" t="s">
        <v>7</v>
      </c>
      <c r="I204" s="7" t="s">
        <v>220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8</v>
      </c>
      <c r="AF204" s="8">
        <v>21460</v>
      </c>
      <c r="AG204" s="8">
        <v>4900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1</v>
      </c>
      <c r="BJ204" s="8">
        <v>3360</v>
      </c>
      <c r="BK204" s="7">
        <v>0</v>
      </c>
      <c r="BL204" s="7">
        <v>168</v>
      </c>
      <c r="BM204" s="10">
        <v>29720</v>
      </c>
      <c r="BN204" s="13">
        <f t="shared" si="6"/>
        <v>29552</v>
      </c>
      <c r="BO204" s="14">
        <f t="shared" si="7"/>
        <v>20686.399999999998</v>
      </c>
    </row>
    <row r="205" spans="1:67" ht="19.2" x14ac:dyDescent="0.4">
      <c r="A205" s="5" t="s">
        <v>407</v>
      </c>
      <c r="B205" s="5" t="s">
        <v>412</v>
      </c>
      <c r="C205" s="5">
        <v>458432</v>
      </c>
      <c r="D205" s="6"/>
      <c r="E205" s="5" t="s">
        <v>31</v>
      </c>
      <c r="F205" s="5" t="s">
        <v>150</v>
      </c>
      <c r="G205" s="5" t="s">
        <v>51</v>
      </c>
      <c r="H205" s="7" t="s">
        <v>331</v>
      </c>
      <c r="I205" s="7" t="s">
        <v>413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8</v>
      </c>
      <c r="AF205" s="8">
        <v>27360</v>
      </c>
      <c r="AG205" s="7">
        <v>200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10">
        <v>27560</v>
      </c>
      <c r="BN205" s="13">
        <f t="shared" si="6"/>
        <v>27560</v>
      </c>
      <c r="BO205" s="14">
        <f t="shared" si="7"/>
        <v>19292</v>
      </c>
    </row>
    <row r="206" spans="1:67" ht="19.2" x14ac:dyDescent="0.4">
      <c r="A206" s="5" t="s">
        <v>407</v>
      </c>
      <c r="B206" s="5" t="s">
        <v>128</v>
      </c>
      <c r="C206" s="5">
        <v>425289</v>
      </c>
      <c r="D206" s="6"/>
      <c r="E206" s="5" t="s">
        <v>31</v>
      </c>
      <c r="F206" s="5" t="s">
        <v>114</v>
      </c>
      <c r="G206" s="5" t="s">
        <v>11</v>
      </c>
      <c r="H206" s="7" t="s">
        <v>7</v>
      </c>
      <c r="I206" s="7" t="s">
        <v>129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222</v>
      </c>
      <c r="AF206" s="8">
        <v>26600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10">
        <v>26600</v>
      </c>
      <c r="BN206" s="13">
        <f t="shared" si="6"/>
        <v>26600</v>
      </c>
      <c r="BO206" s="14">
        <f t="shared" si="7"/>
        <v>18620</v>
      </c>
    </row>
    <row r="207" spans="1:67" ht="19.2" x14ac:dyDescent="0.4">
      <c r="A207" s="5" t="s">
        <v>407</v>
      </c>
      <c r="B207" s="5" t="s">
        <v>80</v>
      </c>
      <c r="C207" s="5">
        <v>386960</v>
      </c>
      <c r="D207" s="6"/>
      <c r="E207" s="5" t="s">
        <v>31</v>
      </c>
      <c r="F207" s="5" t="s">
        <v>81</v>
      </c>
      <c r="G207" s="5" t="s">
        <v>11</v>
      </c>
      <c r="H207" s="7" t="s">
        <v>7</v>
      </c>
      <c r="I207" s="7" t="s">
        <v>82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260</v>
      </c>
      <c r="AF207" s="8">
        <v>26000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10">
        <v>26000</v>
      </c>
      <c r="BN207" s="13">
        <f t="shared" si="6"/>
        <v>26000</v>
      </c>
      <c r="BO207" s="14">
        <f t="shared" si="7"/>
        <v>18200</v>
      </c>
    </row>
    <row r="208" spans="1:67" ht="19.2" x14ac:dyDescent="0.4">
      <c r="A208" s="5" t="s">
        <v>407</v>
      </c>
      <c r="B208" s="5" t="s">
        <v>202</v>
      </c>
      <c r="C208" s="5">
        <v>359006</v>
      </c>
      <c r="D208" s="6"/>
      <c r="E208" s="5" t="s">
        <v>31</v>
      </c>
      <c r="F208" s="5" t="s">
        <v>150</v>
      </c>
      <c r="G208" s="5" t="s">
        <v>51</v>
      </c>
      <c r="H208" s="7" t="s">
        <v>8</v>
      </c>
      <c r="I208" s="7" t="s">
        <v>203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29</v>
      </c>
      <c r="T208" s="7">
        <v>13</v>
      </c>
      <c r="U208" s="7">
        <v>0</v>
      </c>
      <c r="V208" s="7">
        <v>0</v>
      </c>
      <c r="W208" s="8">
        <v>2900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191</v>
      </c>
      <c r="AF208" s="8">
        <v>14500</v>
      </c>
      <c r="AG208" s="8">
        <v>6100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15</v>
      </c>
      <c r="AR208" s="7">
        <v>600</v>
      </c>
      <c r="AS208" s="7">
        <v>900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8</v>
      </c>
      <c r="BJ208" s="7">
        <v>960</v>
      </c>
      <c r="BK208" s="7">
        <v>0</v>
      </c>
      <c r="BL208" s="7">
        <v>48</v>
      </c>
      <c r="BM208" s="10">
        <v>25960</v>
      </c>
      <c r="BN208" s="13">
        <f t="shared" si="6"/>
        <v>25912</v>
      </c>
      <c r="BO208" s="14">
        <f t="shared" si="7"/>
        <v>18138.399999999998</v>
      </c>
    </row>
    <row r="209" spans="1:67" ht="19.2" x14ac:dyDescent="0.4">
      <c r="A209" s="5" t="s">
        <v>407</v>
      </c>
      <c r="B209" s="5" t="s">
        <v>149</v>
      </c>
      <c r="C209" s="5">
        <v>383229</v>
      </c>
      <c r="D209" s="6"/>
      <c r="E209" s="5" t="s">
        <v>31</v>
      </c>
      <c r="F209" s="5" t="s">
        <v>150</v>
      </c>
      <c r="G209" s="5" t="s">
        <v>51</v>
      </c>
      <c r="H209" s="7" t="s">
        <v>8</v>
      </c>
      <c r="I209" s="7" t="s">
        <v>151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13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164</v>
      </c>
      <c r="AF209" s="8">
        <v>16860</v>
      </c>
      <c r="AG209" s="8">
        <v>1800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56</v>
      </c>
      <c r="BJ209" s="8">
        <v>6720</v>
      </c>
      <c r="BK209" s="7">
        <v>0</v>
      </c>
      <c r="BL209" s="7">
        <v>336</v>
      </c>
      <c r="BM209" s="10">
        <v>25380</v>
      </c>
      <c r="BN209" s="13">
        <f t="shared" si="6"/>
        <v>25044</v>
      </c>
      <c r="BO209" s="14">
        <f t="shared" si="7"/>
        <v>17530.8</v>
      </c>
    </row>
    <row r="210" spans="1:67" ht="19.2" x14ac:dyDescent="0.4">
      <c r="A210" s="5" t="s">
        <v>407</v>
      </c>
      <c r="B210" s="5" t="s">
        <v>271</v>
      </c>
      <c r="C210" s="5">
        <v>469072</v>
      </c>
      <c r="D210" s="6"/>
      <c r="E210" s="5" t="s">
        <v>31</v>
      </c>
      <c r="F210" s="5" t="s">
        <v>185</v>
      </c>
      <c r="G210" s="5" t="s">
        <v>51</v>
      </c>
      <c r="H210" s="7" t="s">
        <v>8</v>
      </c>
      <c r="I210" s="7" t="s">
        <v>272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221</v>
      </c>
      <c r="AF210" s="8">
        <v>8840</v>
      </c>
      <c r="AG210" s="8">
        <v>14700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1</v>
      </c>
      <c r="AR210" s="7">
        <v>100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8</v>
      </c>
      <c r="BJ210" s="7">
        <v>960</v>
      </c>
      <c r="BK210" s="7">
        <v>0</v>
      </c>
      <c r="BL210" s="7">
        <v>48</v>
      </c>
      <c r="BM210" s="10">
        <v>24600</v>
      </c>
      <c r="BN210" s="13">
        <f t="shared" si="6"/>
        <v>24552</v>
      </c>
      <c r="BO210" s="14">
        <f t="shared" si="7"/>
        <v>17186.399999999998</v>
      </c>
    </row>
    <row r="211" spans="1:67" ht="19.2" x14ac:dyDescent="0.4">
      <c r="A211" s="5" t="s">
        <v>407</v>
      </c>
      <c r="B211" s="5" t="s">
        <v>414</v>
      </c>
      <c r="C211" s="5">
        <v>428126</v>
      </c>
      <c r="D211" s="6"/>
      <c r="E211" s="5" t="s">
        <v>31</v>
      </c>
      <c r="F211" s="5" t="s">
        <v>65</v>
      </c>
      <c r="G211" s="5" t="s">
        <v>51</v>
      </c>
      <c r="H211" s="7" t="s">
        <v>331</v>
      </c>
      <c r="I211" s="7" t="s">
        <v>415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2</v>
      </c>
      <c r="AF211" s="8">
        <v>7000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5</v>
      </c>
      <c r="AR211" s="8">
        <v>17500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10">
        <v>24500</v>
      </c>
      <c r="BN211" s="13">
        <f t="shared" si="6"/>
        <v>24500</v>
      </c>
      <c r="BO211" s="14">
        <f t="shared" si="7"/>
        <v>17150</v>
      </c>
    </row>
    <row r="212" spans="1:67" ht="19.2" x14ac:dyDescent="0.4">
      <c r="A212" s="5" t="s">
        <v>407</v>
      </c>
      <c r="B212" s="5" t="s">
        <v>106</v>
      </c>
      <c r="C212" s="5">
        <v>364724</v>
      </c>
      <c r="D212" s="6"/>
      <c r="E212" s="5" t="s">
        <v>31</v>
      </c>
      <c r="F212" s="5" t="s">
        <v>107</v>
      </c>
      <c r="G212" s="5" t="s">
        <v>11</v>
      </c>
      <c r="H212" s="7" t="s">
        <v>7</v>
      </c>
      <c r="I212" s="7" t="s">
        <v>108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201</v>
      </c>
      <c r="AF212" s="8">
        <v>24120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10">
        <v>24120</v>
      </c>
      <c r="BN212" s="13">
        <f t="shared" si="6"/>
        <v>24120</v>
      </c>
      <c r="BO212" s="14">
        <f t="shared" si="7"/>
        <v>16884</v>
      </c>
    </row>
    <row r="213" spans="1:67" ht="19.2" x14ac:dyDescent="0.4">
      <c r="A213" s="5" t="s">
        <v>407</v>
      </c>
      <c r="B213" s="5" t="s">
        <v>475</v>
      </c>
      <c r="C213" s="5">
        <v>387972</v>
      </c>
      <c r="D213" s="6"/>
      <c r="E213" s="5" t="s">
        <v>31</v>
      </c>
      <c r="F213" s="5" t="s">
        <v>50</v>
      </c>
      <c r="G213" s="5" t="s">
        <v>51</v>
      </c>
      <c r="H213" s="7" t="s">
        <v>331</v>
      </c>
      <c r="I213" s="7" t="s">
        <v>163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6</v>
      </c>
      <c r="AF213" s="8">
        <v>23040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10">
        <v>23040</v>
      </c>
      <c r="BN213" s="13">
        <f t="shared" si="6"/>
        <v>23040</v>
      </c>
      <c r="BO213" s="14">
        <f t="shared" si="7"/>
        <v>16127.999999999998</v>
      </c>
    </row>
    <row r="214" spans="1:67" ht="19.2" x14ac:dyDescent="0.4">
      <c r="A214" s="5" t="s">
        <v>407</v>
      </c>
      <c r="B214" s="5" t="s">
        <v>410</v>
      </c>
      <c r="C214" s="5">
        <v>392658</v>
      </c>
      <c r="D214" s="6"/>
      <c r="E214" s="5" t="s">
        <v>31</v>
      </c>
      <c r="F214" s="5" t="s">
        <v>70</v>
      </c>
      <c r="G214" s="5" t="s">
        <v>51</v>
      </c>
      <c r="H214" s="7" t="s">
        <v>331</v>
      </c>
      <c r="I214" s="7" t="s">
        <v>313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5</v>
      </c>
      <c r="AF214" s="8">
        <v>19200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1</v>
      </c>
      <c r="AR214" s="8">
        <v>3200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10">
        <v>22400</v>
      </c>
      <c r="BN214" s="13">
        <f t="shared" si="6"/>
        <v>22400</v>
      </c>
      <c r="BO214" s="14">
        <f t="shared" si="7"/>
        <v>15679.999999999998</v>
      </c>
    </row>
    <row r="215" spans="1:67" ht="19.2" x14ac:dyDescent="0.4">
      <c r="A215" s="5" t="s">
        <v>407</v>
      </c>
      <c r="B215" s="5" t="s">
        <v>481</v>
      </c>
      <c r="C215" s="5">
        <v>471707</v>
      </c>
      <c r="D215" s="6"/>
      <c r="E215" s="5" t="s">
        <v>31</v>
      </c>
      <c r="F215" s="5" t="s">
        <v>482</v>
      </c>
      <c r="G215" s="5" t="s">
        <v>11</v>
      </c>
      <c r="H215" s="7" t="s">
        <v>7</v>
      </c>
      <c r="I215" s="7" t="s">
        <v>483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138</v>
      </c>
      <c r="AF215" s="8">
        <v>14780</v>
      </c>
      <c r="AG215" s="7">
        <v>100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26</v>
      </c>
      <c r="BD215" s="8">
        <v>3120</v>
      </c>
      <c r="BE215" s="7">
        <v>0</v>
      </c>
      <c r="BF215" s="7">
        <v>0</v>
      </c>
      <c r="BG215" s="7">
        <v>0</v>
      </c>
      <c r="BH215" s="7">
        <v>0</v>
      </c>
      <c r="BI215" s="7">
        <v>36</v>
      </c>
      <c r="BJ215" s="8">
        <v>4320</v>
      </c>
      <c r="BK215" s="7">
        <v>0</v>
      </c>
      <c r="BL215" s="7">
        <v>403.2</v>
      </c>
      <c r="BM215" s="10">
        <v>22320</v>
      </c>
      <c r="BN215" s="13">
        <f t="shared" si="6"/>
        <v>21916.799999999999</v>
      </c>
      <c r="BO215" s="14">
        <f t="shared" si="7"/>
        <v>15341.759999999998</v>
      </c>
    </row>
    <row r="216" spans="1:67" ht="19.2" x14ac:dyDescent="0.4">
      <c r="A216" s="5" t="s">
        <v>407</v>
      </c>
      <c r="B216" s="5" t="s">
        <v>120</v>
      </c>
      <c r="C216" s="5">
        <v>394830</v>
      </c>
      <c r="D216" s="6"/>
      <c r="E216" s="5" t="s">
        <v>31</v>
      </c>
      <c r="F216" s="5" t="s">
        <v>58</v>
      </c>
      <c r="G216" s="5" t="s">
        <v>51</v>
      </c>
      <c r="H216" s="7" t="s">
        <v>8</v>
      </c>
      <c r="I216" s="7" t="s">
        <v>121</v>
      </c>
      <c r="J216" s="7">
        <v>0</v>
      </c>
      <c r="K216" s="7">
        <v>5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179</v>
      </c>
      <c r="AF216" s="8">
        <v>21420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10">
        <v>21420</v>
      </c>
      <c r="BN216" s="13">
        <f t="shared" si="6"/>
        <v>21420</v>
      </c>
      <c r="BO216" s="14">
        <f t="shared" si="7"/>
        <v>14993.999999999998</v>
      </c>
    </row>
    <row r="217" spans="1:67" ht="19.2" x14ac:dyDescent="0.4">
      <c r="A217" s="5" t="s">
        <v>407</v>
      </c>
      <c r="B217" s="5" t="s">
        <v>111</v>
      </c>
      <c r="C217" s="5">
        <v>211158</v>
      </c>
      <c r="D217" s="6"/>
      <c r="E217" s="5" t="s">
        <v>31</v>
      </c>
      <c r="F217" s="5" t="s">
        <v>47</v>
      </c>
      <c r="G217" s="5" t="s">
        <v>11</v>
      </c>
      <c r="H217" s="7" t="s">
        <v>7</v>
      </c>
      <c r="I217" s="7" t="s">
        <v>112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178</v>
      </c>
      <c r="AF217" s="8">
        <v>21240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10">
        <v>21240</v>
      </c>
      <c r="BN217" s="13">
        <f t="shared" si="6"/>
        <v>21240</v>
      </c>
      <c r="BO217" s="14">
        <f t="shared" si="7"/>
        <v>14867.999999999998</v>
      </c>
    </row>
    <row r="218" spans="1:67" ht="19.2" x14ac:dyDescent="0.4">
      <c r="A218" s="5" t="s">
        <v>407</v>
      </c>
      <c r="B218" s="5" t="s">
        <v>312</v>
      </c>
      <c r="C218" s="5">
        <v>392673</v>
      </c>
      <c r="D218" s="6"/>
      <c r="E218" s="5" t="s">
        <v>31</v>
      </c>
      <c r="F218" s="5" t="s">
        <v>123</v>
      </c>
      <c r="G218" s="5" t="s">
        <v>51</v>
      </c>
      <c r="H218" s="7" t="s">
        <v>8</v>
      </c>
      <c r="I218" s="7" t="s">
        <v>313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3</v>
      </c>
      <c r="AF218" s="8">
        <v>9900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1</v>
      </c>
      <c r="AR218" s="8">
        <v>3200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2</v>
      </c>
      <c r="BJ218" s="8">
        <v>7680</v>
      </c>
      <c r="BK218" s="7">
        <v>0</v>
      </c>
      <c r="BL218" s="7">
        <v>384</v>
      </c>
      <c r="BM218" s="10">
        <v>20780</v>
      </c>
      <c r="BN218" s="13">
        <f t="shared" si="6"/>
        <v>20396</v>
      </c>
      <c r="BO218" s="14">
        <f t="shared" si="7"/>
        <v>14277.199999999999</v>
      </c>
    </row>
    <row r="219" spans="1:67" ht="19.2" x14ac:dyDescent="0.4">
      <c r="A219" s="5" t="s">
        <v>407</v>
      </c>
      <c r="B219" s="5" t="s">
        <v>273</v>
      </c>
      <c r="C219" s="5">
        <v>400251</v>
      </c>
      <c r="D219" s="6"/>
      <c r="E219" s="5" t="s">
        <v>31</v>
      </c>
      <c r="F219" s="5" t="s">
        <v>58</v>
      </c>
      <c r="G219" s="5" t="s">
        <v>51</v>
      </c>
      <c r="H219" s="7" t="s">
        <v>8</v>
      </c>
      <c r="I219" s="7" t="s">
        <v>274</v>
      </c>
      <c r="J219" s="7">
        <v>0</v>
      </c>
      <c r="K219" s="7">
        <v>2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16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166</v>
      </c>
      <c r="AF219" s="8">
        <v>9960</v>
      </c>
      <c r="AG219" s="8">
        <v>8200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20</v>
      </c>
      <c r="AR219" s="8">
        <v>1900</v>
      </c>
      <c r="AS219" s="7">
        <v>100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10">
        <v>20160</v>
      </c>
      <c r="BN219" s="13">
        <f t="shared" si="6"/>
        <v>20160</v>
      </c>
      <c r="BO219" s="14">
        <f t="shared" si="7"/>
        <v>14112</v>
      </c>
    </row>
    <row r="220" spans="1:67" ht="19.2" x14ac:dyDescent="0.4">
      <c r="A220" s="5" t="s">
        <v>407</v>
      </c>
      <c r="B220" s="5" t="s">
        <v>487</v>
      </c>
      <c r="C220" s="5">
        <v>470379</v>
      </c>
      <c r="D220" s="6"/>
      <c r="E220" s="5" t="s">
        <v>31</v>
      </c>
      <c r="F220" s="5" t="s">
        <v>93</v>
      </c>
      <c r="G220" s="5" t="s">
        <v>11</v>
      </c>
      <c r="H220" s="7" t="s">
        <v>7</v>
      </c>
      <c r="I220" s="7" t="s">
        <v>34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6</v>
      </c>
      <c r="AC220" s="8">
        <v>18960</v>
      </c>
      <c r="AD220" s="8">
        <v>1000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10">
        <v>19960</v>
      </c>
      <c r="BN220" s="13">
        <f t="shared" si="6"/>
        <v>19960</v>
      </c>
      <c r="BO220" s="14">
        <f t="shared" si="7"/>
        <v>13972</v>
      </c>
    </row>
    <row r="221" spans="1:67" ht="19.2" x14ac:dyDescent="0.4">
      <c r="A221" s="5" t="s">
        <v>407</v>
      </c>
      <c r="B221" s="5" t="s">
        <v>95</v>
      </c>
      <c r="C221" s="5">
        <v>387942</v>
      </c>
      <c r="D221" s="6"/>
      <c r="E221" s="5" t="s">
        <v>31</v>
      </c>
      <c r="F221" s="5" t="s">
        <v>96</v>
      </c>
      <c r="G221" s="5" t="s">
        <v>11</v>
      </c>
      <c r="H221" s="7" t="s">
        <v>7</v>
      </c>
      <c r="I221" s="7" t="s">
        <v>97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11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33</v>
      </c>
      <c r="AF221" s="8">
        <v>3440</v>
      </c>
      <c r="AG221" s="7">
        <v>300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161</v>
      </c>
      <c r="AR221" s="8">
        <v>16100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10">
        <v>19840</v>
      </c>
      <c r="BN221" s="13">
        <f t="shared" si="6"/>
        <v>19840</v>
      </c>
      <c r="BO221" s="14">
        <f t="shared" si="7"/>
        <v>13888</v>
      </c>
    </row>
    <row r="222" spans="1:67" ht="19.2" x14ac:dyDescent="0.4">
      <c r="A222" s="5" t="s">
        <v>407</v>
      </c>
      <c r="B222" s="5" t="s">
        <v>184</v>
      </c>
      <c r="C222" s="5">
        <v>467470</v>
      </c>
      <c r="D222" s="6"/>
      <c r="E222" s="5" t="s">
        <v>31</v>
      </c>
      <c r="F222" s="5" t="s">
        <v>185</v>
      </c>
      <c r="G222" s="5" t="s">
        <v>51</v>
      </c>
      <c r="H222" s="7" t="s">
        <v>8</v>
      </c>
      <c r="I222" s="7" t="s">
        <v>186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5</v>
      </c>
      <c r="AF222" s="8">
        <v>13200</v>
      </c>
      <c r="AG222" s="8">
        <v>3000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1</v>
      </c>
      <c r="AR222" s="8">
        <v>3000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10">
        <v>19200</v>
      </c>
      <c r="BN222" s="13">
        <f t="shared" si="6"/>
        <v>19200</v>
      </c>
      <c r="BO222" s="14">
        <f t="shared" si="7"/>
        <v>13440</v>
      </c>
    </row>
    <row r="223" spans="1:67" ht="19.2" x14ac:dyDescent="0.4">
      <c r="A223" s="5" t="s">
        <v>407</v>
      </c>
      <c r="B223" s="5" t="s">
        <v>229</v>
      </c>
      <c r="C223" s="5">
        <v>393598</v>
      </c>
      <c r="D223" s="6"/>
      <c r="E223" s="5" t="s">
        <v>31</v>
      </c>
      <c r="F223" s="5" t="s">
        <v>230</v>
      </c>
      <c r="G223" s="5" t="s">
        <v>51</v>
      </c>
      <c r="H223" s="7" t="s">
        <v>8</v>
      </c>
      <c r="I223" s="7" t="s">
        <v>231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19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189</v>
      </c>
      <c r="AF223" s="8">
        <v>18220</v>
      </c>
      <c r="AG223" s="7">
        <v>900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10">
        <v>19120</v>
      </c>
      <c r="BN223" s="13">
        <f t="shared" si="6"/>
        <v>19120</v>
      </c>
      <c r="BO223" s="14">
        <f t="shared" si="7"/>
        <v>13384</v>
      </c>
    </row>
    <row r="224" spans="1:67" ht="19.2" x14ac:dyDescent="0.4">
      <c r="A224" s="5" t="s">
        <v>407</v>
      </c>
      <c r="B224" s="5" t="s">
        <v>152</v>
      </c>
      <c r="C224" s="5">
        <v>359912</v>
      </c>
      <c r="D224" s="6"/>
      <c r="E224" s="5" t="s">
        <v>31</v>
      </c>
      <c r="F224" s="5" t="s">
        <v>153</v>
      </c>
      <c r="G224" s="5" t="s">
        <v>51</v>
      </c>
      <c r="H224" s="7" t="s">
        <v>8</v>
      </c>
      <c r="I224" s="7" t="s">
        <v>480</v>
      </c>
      <c r="J224" s="7">
        <v>0</v>
      </c>
      <c r="K224" s="7">
        <v>3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7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159</v>
      </c>
      <c r="AF224" s="8">
        <v>17240</v>
      </c>
      <c r="AG224" s="8">
        <v>1500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2</v>
      </c>
      <c r="AR224" s="7">
        <v>200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10">
        <v>18940</v>
      </c>
      <c r="BN224" s="13">
        <f t="shared" si="6"/>
        <v>18940</v>
      </c>
      <c r="BO224" s="14">
        <f t="shared" si="7"/>
        <v>13258</v>
      </c>
    </row>
    <row r="225" spans="1:67" ht="19.2" x14ac:dyDescent="0.4">
      <c r="A225" s="5" t="s">
        <v>407</v>
      </c>
      <c r="B225" s="5" t="s">
        <v>467</v>
      </c>
      <c r="C225" s="5">
        <v>383716</v>
      </c>
      <c r="D225" s="6"/>
      <c r="E225" s="5" t="s">
        <v>31</v>
      </c>
      <c r="F225" s="5" t="s">
        <v>292</v>
      </c>
      <c r="G225" s="5" t="s">
        <v>51</v>
      </c>
      <c r="H225" s="7" t="s">
        <v>331</v>
      </c>
      <c r="I225" s="7" t="s">
        <v>385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10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99</v>
      </c>
      <c r="AF225" s="8">
        <v>6760</v>
      </c>
      <c r="AG225" s="8">
        <v>4100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38</v>
      </c>
      <c r="AR225" s="8">
        <v>3800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34</v>
      </c>
      <c r="BJ225" s="8">
        <v>4080</v>
      </c>
      <c r="BK225" s="7">
        <v>0</v>
      </c>
      <c r="BL225" s="7">
        <v>204</v>
      </c>
      <c r="BM225" s="10">
        <v>18740</v>
      </c>
      <c r="BN225" s="13">
        <f t="shared" si="6"/>
        <v>18536</v>
      </c>
      <c r="BO225" s="14">
        <f t="shared" si="7"/>
        <v>12975.199999999999</v>
      </c>
    </row>
    <row r="226" spans="1:67" ht="19.2" x14ac:dyDescent="0.4">
      <c r="A226" s="5" t="s">
        <v>407</v>
      </c>
      <c r="B226" s="5" t="s">
        <v>509</v>
      </c>
      <c r="C226" s="5">
        <v>473172</v>
      </c>
      <c r="D226" s="6"/>
      <c r="E226" s="5" t="s">
        <v>31</v>
      </c>
      <c r="F226" s="5" t="s">
        <v>485</v>
      </c>
      <c r="G226" s="5" t="s">
        <v>510</v>
      </c>
      <c r="H226" s="7" t="s">
        <v>10</v>
      </c>
      <c r="I226" s="7" t="s">
        <v>511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6</v>
      </c>
      <c r="AF226" s="8">
        <v>11880</v>
      </c>
      <c r="AG226" s="8">
        <v>5400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10">
        <v>17280</v>
      </c>
      <c r="BN226" s="13">
        <f t="shared" si="6"/>
        <v>17280</v>
      </c>
      <c r="BO226" s="14">
        <f t="shared" si="7"/>
        <v>12096</v>
      </c>
    </row>
    <row r="227" spans="1:67" ht="19.2" x14ac:dyDescent="0.4">
      <c r="A227" s="5" t="s">
        <v>407</v>
      </c>
      <c r="B227" s="5" t="s">
        <v>162</v>
      </c>
      <c r="C227" s="5">
        <v>367994</v>
      </c>
      <c r="D227" s="6"/>
      <c r="E227" s="5" t="s">
        <v>31</v>
      </c>
      <c r="F227" s="5" t="s">
        <v>50</v>
      </c>
      <c r="G227" s="5" t="s">
        <v>51</v>
      </c>
      <c r="H227" s="7" t="s">
        <v>8</v>
      </c>
      <c r="I227" s="7" t="s">
        <v>163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141</v>
      </c>
      <c r="AF227" s="8">
        <v>15600</v>
      </c>
      <c r="AG227" s="8">
        <v>1100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2</v>
      </c>
      <c r="BJ227" s="7">
        <v>240</v>
      </c>
      <c r="BK227" s="7">
        <v>0</v>
      </c>
      <c r="BL227" s="7">
        <v>12</v>
      </c>
      <c r="BM227" s="10">
        <v>16940</v>
      </c>
      <c r="BN227" s="13">
        <f t="shared" si="6"/>
        <v>16928</v>
      </c>
      <c r="BO227" s="14">
        <f t="shared" si="7"/>
        <v>11849.599999999999</v>
      </c>
    </row>
    <row r="228" spans="1:67" ht="19.2" x14ac:dyDescent="0.4">
      <c r="A228" s="5" t="s">
        <v>407</v>
      </c>
      <c r="B228" s="5" t="s">
        <v>455</v>
      </c>
      <c r="C228" s="5">
        <v>426259</v>
      </c>
      <c r="D228" s="6"/>
      <c r="E228" s="5" t="s">
        <v>31</v>
      </c>
      <c r="F228" s="5" t="s">
        <v>150</v>
      </c>
      <c r="G228" s="5" t="s">
        <v>51</v>
      </c>
      <c r="H228" s="7" t="s">
        <v>331</v>
      </c>
      <c r="I228" s="7" t="s">
        <v>456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5</v>
      </c>
      <c r="AF228" s="8">
        <v>16780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10">
        <v>16780</v>
      </c>
      <c r="BN228" s="13">
        <f t="shared" si="6"/>
        <v>16780</v>
      </c>
      <c r="BO228" s="14">
        <f t="shared" si="7"/>
        <v>11746</v>
      </c>
    </row>
    <row r="229" spans="1:67" ht="19.2" x14ac:dyDescent="0.4">
      <c r="A229" s="5" t="s">
        <v>407</v>
      </c>
      <c r="B229" s="5" t="s">
        <v>416</v>
      </c>
      <c r="C229" s="5">
        <v>397392</v>
      </c>
      <c r="D229" s="6"/>
      <c r="E229" s="5" t="s">
        <v>31</v>
      </c>
      <c r="F229" s="5" t="s">
        <v>150</v>
      </c>
      <c r="G229" s="5" t="s">
        <v>51</v>
      </c>
      <c r="H229" s="7" t="s">
        <v>331</v>
      </c>
      <c r="I229" s="7" t="s">
        <v>417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7</v>
      </c>
      <c r="AF229" s="8">
        <v>5280</v>
      </c>
      <c r="AG229" s="8">
        <v>9400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1</v>
      </c>
      <c r="AR229" s="8">
        <v>1600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10">
        <v>16280</v>
      </c>
      <c r="BN229" s="13">
        <f t="shared" si="6"/>
        <v>16280</v>
      </c>
      <c r="BO229" s="14">
        <f t="shared" si="7"/>
        <v>11396</v>
      </c>
    </row>
    <row r="230" spans="1:67" ht="19.2" x14ac:dyDescent="0.4">
      <c r="A230" s="5" t="s">
        <v>407</v>
      </c>
      <c r="B230" s="5" t="s">
        <v>484</v>
      </c>
      <c r="C230" s="5">
        <v>471701</v>
      </c>
      <c r="D230" s="6"/>
      <c r="E230" s="5" t="s">
        <v>31</v>
      </c>
      <c r="F230" s="5" t="s">
        <v>485</v>
      </c>
      <c r="G230" s="5" t="s">
        <v>11</v>
      </c>
      <c r="H230" s="7" t="s">
        <v>10</v>
      </c>
      <c r="I230" s="7" t="s">
        <v>486</v>
      </c>
      <c r="J230" s="7">
        <v>0</v>
      </c>
      <c r="K230" s="7">
        <v>58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154</v>
      </c>
      <c r="AF230" s="8">
        <v>4200</v>
      </c>
      <c r="AG230" s="8">
        <v>11900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10">
        <v>16100</v>
      </c>
      <c r="BN230" s="13">
        <f t="shared" si="6"/>
        <v>16100</v>
      </c>
      <c r="BO230" s="14">
        <f t="shared" si="7"/>
        <v>11270</v>
      </c>
    </row>
    <row r="231" spans="1:67" ht="19.2" x14ac:dyDescent="0.4">
      <c r="A231" s="5" t="s">
        <v>407</v>
      </c>
      <c r="B231" s="5" t="s">
        <v>433</v>
      </c>
      <c r="C231" s="5">
        <v>387975</v>
      </c>
      <c r="D231" s="6"/>
      <c r="E231" s="5" t="s">
        <v>31</v>
      </c>
      <c r="F231" s="5" t="s">
        <v>172</v>
      </c>
      <c r="G231" s="5" t="s">
        <v>51</v>
      </c>
      <c r="H231" s="7" t="s">
        <v>331</v>
      </c>
      <c r="I231" s="7" t="s">
        <v>163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2</v>
      </c>
      <c r="AF231" s="8">
        <v>6720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3</v>
      </c>
      <c r="AR231" s="8">
        <v>8400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10">
        <v>15120</v>
      </c>
      <c r="BN231" s="13">
        <f t="shared" si="6"/>
        <v>15120</v>
      </c>
      <c r="BO231" s="14">
        <f t="shared" si="7"/>
        <v>10584</v>
      </c>
    </row>
    <row r="232" spans="1:67" ht="19.2" x14ac:dyDescent="0.4">
      <c r="A232" s="5" t="s">
        <v>407</v>
      </c>
      <c r="B232" s="5" t="s">
        <v>512</v>
      </c>
      <c r="C232" s="5">
        <v>473531</v>
      </c>
      <c r="D232" s="6"/>
      <c r="E232" s="5" t="s">
        <v>31</v>
      </c>
      <c r="F232" s="5" t="s">
        <v>513</v>
      </c>
      <c r="G232" s="5" t="s">
        <v>51</v>
      </c>
      <c r="H232" s="7" t="s">
        <v>331</v>
      </c>
      <c r="I232" s="7" t="s">
        <v>514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4</v>
      </c>
      <c r="AF232" s="8">
        <v>14400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10">
        <v>14400</v>
      </c>
      <c r="BN232" s="13">
        <f t="shared" si="6"/>
        <v>14400</v>
      </c>
      <c r="BO232" s="14">
        <f t="shared" si="7"/>
        <v>10080</v>
      </c>
    </row>
    <row r="233" spans="1:67" ht="19.2" x14ac:dyDescent="0.4">
      <c r="A233" s="5" t="s">
        <v>407</v>
      </c>
      <c r="B233" s="5" t="s">
        <v>408</v>
      </c>
      <c r="C233" s="5">
        <v>454879</v>
      </c>
      <c r="D233" s="6"/>
      <c r="E233" s="5" t="s">
        <v>31</v>
      </c>
      <c r="F233" s="5" t="s">
        <v>230</v>
      </c>
      <c r="G233" s="5" t="s">
        <v>51</v>
      </c>
      <c r="H233" s="7" t="s">
        <v>331</v>
      </c>
      <c r="I233" s="7" t="s">
        <v>409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4</v>
      </c>
      <c r="AF233" s="7">
        <v>0</v>
      </c>
      <c r="AG233" s="8">
        <v>7400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2</v>
      </c>
      <c r="AR233" s="8">
        <v>7000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10">
        <v>14400</v>
      </c>
      <c r="BN233" s="13">
        <f t="shared" si="6"/>
        <v>14400</v>
      </c>
      <c r="BO233" s="14">
        <f t="shared" si="7"/>
        <v>10080</v>
      </c>
    </row>
    <row r="234" spans="1:67" ht="19.2" x14ac:dyDescent="0.4">
      <c r="A234" s="5" t="s">
        <v>407</v>
      </c>
      <c r="B234" s="5" t="s">
        <v>171</v>
      </c>
      <c r="C234" s="5">
        <v>350894</v>
      </c>
      <c r="D234" s="6"/>
      <c r="E234" s="5" t="s">
        <v>31</v>
      </c>
      <c r="F234" s="5" t="s">
        <v>172</v>
      </c>
      <c r="G234" s="5" t="s">
        <v>51</v>
      </c>
      <c r="H234" s="7" t="s">
        <v>8</v>
      </c>
      <c r="I234" s="7" t="s">
        <v>173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1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45</v>
      </c>
      <c r="AF234" s="8">
        <v>4480</v>
      </c>
      <c r="AG234" s="7">
        <v>700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86</v>
      </c>
      <c r="AR234" s="8">
        <v>8500</v>
      </c>
      <c r="AS234" s="7">
        <v>100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4</v>
      </c>
      <c r="BJ234" s="7">
        <v>480</v>
      </c>
      <c r="BK234" s="7">
        <v>0</v>
      </c>
      <c r="BL234" s="7">
        <v>24</v>
      </c>
      <c r="BM234" s="10">
        <v>14260</v>
      </c>
      <c r="BN234" s="13">
        <f t="shared" si="6"/>
        <v>14236</v>
      </c>
      <c r="BO234" s="14">
        <f t="shared" si="7"/>
        <v>9965.1999999999989</v>
      </c>
    </row>
    <row r="235" spans="1:67" ht="19.2" x14ac:dyDescent="0.4">
      <c r="A235" s="5" t="s">
        <v>407</v>
      </c>
      <c r="B235" s="5" t="s">
        <v>125</v>
      </c>
      <c r="C235" s="5">
        <v>428379</v>
      </c>
      <c r="D235" s="6"/>
      <c r="E235" s="5" t="s">
        <v>31</v>
      </c>
      <c r="F235" s="5" t="s">
        <v>126</v>
      </c>
      <c r="G235" s="5" t="s">
        <v>11</v>
      </c>
      <c r="H235" s="7" t="s">
        <v>8</v>
      </c>
      <c r="I235" s="7" t="s">
        <v>127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120</v>
      </c>
      <c r="AF235" s="8">
        <v>11620</v>
      </c>
      <c r="AG235" s="7">
        <v>500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9</v>
      </c>
      <c r="BJ235" s="8">
        <v>1080</v>
      </c>
      <c r="BK235" s="7">
        <v>0</v>
      </c>
      <c r="BL235" s="7">
        <v>54</v>
      </c>
      <c r="BM235" s="10">
        <v>13200</v>
      </c>
      <c r="BN235" s="13">
        <f t="shared" si="6"/>
        <v>13146</v>
      </c>
      <c r="BO235" s="14">
        <f t="shared" si="7"/>
        <v>9202.1999999999989</v>
      </c>
    </row>
    <row r="236" spans="1:67" ht="19.2" x14ac:dyDescent="0.4">
      <c r="A236" s="5" t="s">
        <v>407</v>
      </c>
      <c r="B236" s="5" t="s">
        <v>314</v>
      </c>
      <c r="C236" s="5">
        <v>328894</v>
      </c>
      <c r="D236" s="6"/>
      <c r="E236" s="5" t="s">
        <v>31</v>
      </c>
      <c r="F236" s="5" t="s">
        <v>227</v>
      </c>
      <c r="G236" s="5" t="s">
        <v>51</v>
      </c>
      <c r="H236" s="7" t="s">
        <v>8</v>
      </c>
      <c r="I236" s="7" t="s">
        <v>315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4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66</v>
      </c>
      <c r="AF236" s="8">
        <v>6360</v>
      </c>
      <c r="AG236" s="8">
        <v>1300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6</v>
      </c>
      <c r="AR236" s="7">
        <v>400</v>
      </c>
      <c r="AS236" s="7">
        <v>200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41</v>
      </c>
      <c r="BJ236" s="8">
        <v>4920</v>
      </c>
      <c r="BK236" s="7">
        <v>0</v>
      </c>
      <c r="BL236" s="7">
        <v>246</v>
      </c>
      <c r="BM236" s="10">
        <v>13180</v>
      </c>
      <c r="BN236" s="13">
        <f t="shared" si="6"/>
        <v>12934</v>
      </c>
      <c r="BO236" s="14">
        <f t="shared" si="7"/>
        <v>9053.7999999999993</v>
      </c>
    </row>
    <row r="237" spans="1:67" ht="19.2" x14ac:dyDescent="0.4">
      <c r="A237" s="5" t="s">
        <v>407</v>
      </c>
      <c r="B237" s="5" t="s">
        <v>109</v>
      </c>
      <c r="C237" s="5">
        <v>462353</v>
      </c>
      <c r="D237" s="6"/>
      <c r="E237" s="5" t="s">
        <v>31</v>
      </c>
      <c r="F237" s="5" t="s">
        <v>56</v>
      </c>
      <c r="G237" s="5" t="s">
        <v>11</v>
      </c>
      <c r="H237" s="7" t="s">
        <v>7</v>
      </c>
      <c r="I237" s="7" t="s">
        <v>110</v>
      </c>
      <c r="J237" s="7">
        <v>1</v>
      </c>
      <c r="K237" s="7">
        <v>0</v>
      </c>
      <c r="L237" s="7">
        <v>100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127</v>
      </c>
      <c r="AR237" s="8">
        <v>12500</v>
      </c>
      <c r="AS237" s="7">
        <v>200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10">
        <v>12800</v>
      </c>
      <c r="BN237" s="13">
        <f t="shared" si="6"/>
        <v>12800</v>
      </c>
      <c r="BO237" s="14">
        <f t="shared" si="7"/>
        <v>8960</v>
      </c>
    </row>
    <row r="238" spans="1:67" ht="19.2" x14ac:dyDescent="0.4">
      <c r="A238" s="5" t="s">
        <v>407</v>
      </c>
      <c r="B238" s="5" t="s">
        <v>122</v>
      </c>
      <c r="C238" s="5">
        <v>359539</v>
      </c>
      <c r="D238" s="6"/>
      <c r="E238" s="5" t="s">
        <v>31</v>
      </c>
      <c r="F238" s="5" t="s">
        <v>123</v>
      </c>
      <c r="G238" s="5" t="s">
        <v>51</v>
      </c>
      <c r="H238" s="7" t="s">
        <v>8</v>
      </c>
      <c r="I238" s="7" t="s">
        <v>124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37</v>
      </c>
      <c r="AF238" s="8">
        <v>4140</v>
      </c>
      <c r="AG238" s="7">
        <v>200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3</v>
      </c>
      <c r="AR238" s="7">
        <v>300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66</v>
      </c>
      <c r="BJ238" s="8">
        <v>7920</v>
      </c>
      <c r="BK238" s="7">
        <v>0</v>
      </c>
      <c r="BL238" s="7">
        <v>396</v>
      </c>
      <c r="BM238" s="10">
        <v>12560</v>
      </c>
      <c r="BN238" s="13">
        <f t="shared" si="6"/>
        <v>12164</v>
      </c>
      <c r="BO238" s="14">
        <f t="shared" si="7"/>
        <v>8514.7999999999993</v>
      </c>
    </row>
    <row r="239" spans="1:67" ht="19.2" x14ac:dyDescent="0.4">
      <c r="A239" s="5" t="s">
        <v>407</v>
      </c>
      <c r="B239" s="5" t="s">
        <v>432</v>
      </c>
      <c r="C239" s="5">
        <v>462656</v>
      </c>
      <c r="D239" s="6"/>
      <c r="E239" s="5" t="s">
        <v>31</v>
      </c>
      <c r="F239" s="5" t="s">
        <v>292</v>
      </c>
      <c r="G239" s="5" t="s">
        <v>51</v>
      </c>
      <c r="H239" s="7" t="s">
        <v>331</v>
      </c>
      <c r="I239" s="7" t="s">
        <v>110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3</v>
      </c>
      <c r="AF239" s="8">
        <v>12160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10">
        <v>12160</v>
      </c>
      <c r="BN239" s="13">
        <f t="shared" si="6"/>
        <v>12160</v>
      </c>
      <c r="BO239" s="14">
        <f t="shared" si="7"/>
        <v>8512</v>
      </c>
    </row>
    <row r="240" spans="1:67" ht="19.2" x14ac:dyDescent="0.4">
      <c r="A240" s="5" t="s">
        <v>407</v>
      </c>
      <c r="B240" s="5" t="s">
        <v>422</v>
      </c>
      <c r="C240" s="5">
        <v>446880</v>
      </c>
      <c r="D240" s="6"/>
      <c r="E240" s="5" t="s">
        <v>31</v>
      </c>
      <c r="F240" s="5" t="s">
        <v>292</v>
      </c>
      <c r="G240" s="5" t="s">
        <v>51</v>
      </c>
      <c r="H240" s="7" t="s">
        <v>331</v>
      </c>
      <c r="I240" s="7" t="s">
        <v>342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2</v>
      </c>
      <c r="AF240" s="8">
        <v>8400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1</v>
      </c>
      <c r="AR240" s="8">
        <v>3500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10">
        <v>11900</v>
      </c>
      <c r="BN240" s="13">
        <f t="shared" si="6"/>
        <v>11900</v>
      </c>
      <c r="BO240" s="14">
        <f t="shared" si="7"/>
        <v>8330</v>
      </c>
    </row>
    <row r="241" spans="1:67" ht="19.2" x14ac:dyDescent="0.4">
      <c r="A241" s="5" t="s">
        <v>407</v>
      </c>
      <c r="B241" s="5" t="s">
        <v>147</v>
      </c>
      <c r="C241" s="5">
        <v>290890</v>
      </c>
      <c r="D241" s="6"/>
      <c r="E241" s="5" t="s">
        <v>31</v>
      </c>
      <c r="F241" s="5" t="s">
        <v>47</v>
      </c>
      <c r="G241" s="5" t="s">
        <v>11</v>
      </c>
      <c r="H241" s="7" t="s">
        <v>7</v>
      </c>
      <c r="I241" s="7" t="s">
        <v>148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11</v>
      </c>
      <c r="AC241" s="8">
        <v>11880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10">
        <v>11880</v>
      </c>
      <c r="BN241" s="13">
        <f t="shared" si="6"/>
        <v>11880</v>
      </c>
      <c r="BO241" s="14">
        <f t="shared" si="7"/>
        <v>8316</v>
      </c>
    </row>
    <row r="242" spans="1:67" ht="19.2" x14ac:dyDescent="0.4">
      <c r="A242" s="5" t="s">
        <v>407</v>
      </c>
      <c r="B242" s="5" t="s">
        <v>515</v>
      </c>
      <c r="C242" s="5">
        <v>473173</v>
      </c>
      <c r="D242" s="6"/>
      <c r="E242" s="5" t="s">
        <v>31</v>
      </c>
      <c r="F242" s="5" t="s">
        <v>485</v>
      </c>
      <c r="G242" s="5" t="s">
        <v>510</v>
      </c>
      <c r="H242" s="7" t="s">
        <v>10</v>
      </c>
      <c r="I242" s="7" t="s">
        <v>511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3</v>
      </c>
      <c r="AF242" s="8">
        <v>6040</v>
      </c>
      <c r="AG242" s="8">
        <v>3700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1</v>
      </c>
      <c r="AR242" s="7">
        <v>100</v>
      </c>
      <c r="AS242" s="8">
        <v>2000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10">
        <v>11840</v>
      </c>
      <c r="BN242" s="13">
        <f t="shared" si="6"/>
        <v>11840</v>
      </c>
      <c r="BO242" s="14">
        <f t="shared" si="7"/>
        <v>8288</v>
      </c>
    </row>
    <row r="243" spans="1:67" ht="19.2" x14ac:dyDescent="0.4">
      <c r="A243" s="5" t="s">
        <v>407</v>
      </c>
      <c r="B243" s="5" t="s">
        <v>434</v>
      </c>
      <c r="C243" s="5">
        <v>331748</v>
      </c>
      <c r="D243" s="6"/>
      <c r="E243" s="5" t="s">
        <v>31</v>
      </c>
      <c r="F243" s="5" t="s">
        <v>227</v>
      </c>
      <c r="G243" s="5" t="s">
        <v>51</v>
      </c>
      <c r="H243" s="7" t="s">
        <v>331</v>
      </c>
      <c r="I243" s="7" t="s">
        <v>435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2</v>
      </c>
      <c r="AF243" s="8">
        <v>11760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10">
        <v>11760</v>
      </c>
      <c r="BN243" s="13">
        <f t="shared" si="6"/>
        <v>11760</v>
      </c>
      <c r="BO243" s="14">
        <f t="shared" si="7"/>
        <v>8232</v>
      </c>
    </row>
    <row r="244" spans="1:67" ht="19.2" x14ac:dyDescent="0.4">
      <c r="A244" s="5" t="s">
        <v>407</v>
      </c>
      <c r="B244" s="5" t="s">
        <v>190</v>
      </c>
      <c r="C244" s="5">
        <v>382640</v>
      </c>
      <c r="D244" s="6"/>
      <c r="E244" s="5" t="s">
        <v>31</v>
      </c>
      <c r="F244" s="5" t="s">
        <v>169</v>
      </c>
      <c r="G244" s="5" t="s">
        <v>11</v>
      </c>
      <c r="H244" s="7" t="s">
        <v>7</v>
      </c>
      <c r="I244" s="7" t="s">
        <v>191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97</v>
      </c>
      <c r="AF244" s="8">
        <v>11240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1</v>
      </c>
      <c r="AR244" s="7">
        <v>100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10">
        <v>11340</v>
      </c>
      <c r="BN244" s="13">
        <f t="shared" si="6"/>
        <v>11340</v>
      </c>
      <c r="BO244" s="14">
        <f t="shared" si="7"/>
        <v>7937.9999999999991</v>
      </c>
    </row>
    <row r="245" spans="1:67" ht="19.2" x14ac:dyDescent="0.4">
      <c r="A245" s="5" t="s">
        <v>407</v>
      </c>
      <c r="B245" s="5" t="s">
        <v>281</v>
      </c>
      <c r="C245" s="5">
        <v>353788</v>
      </c>
      <c r="D245" s="6"/>
      <c r="E245" s="5" t="s">
        <v>31</v>
      </c>
      <c r="F245" s="5" t="s">
        <v>227</v>
      </c>
      <c r="G245" s="5" t="s">
        <v>51</v>
      </c>
      <c r="H245" s="7" t="s">
        <v>8</v>
      </c>
      <c r="I245" s="7" t="s">
        <v>282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8</v>
      </c>
      <c r="T245" s="7">
        <v>7</v>
      </c>
      <c r="U245" s="7">
        <v>0</v>
      </c>
      <c r="V245" s="7">
        <v>0</v>
      </c>
      <c r="W245" s="7">
        <v>800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82</v>
      </c>
      <c r="AF245" s="8">
        <v>6440</v>
      </c>
      <c r="AG245" s="8">
        <v>2800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13</v>
      </c>
      <c r="AR245" s="8">
        <v>1300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10">
        <v>11340</v>
      </c>
      <c r="BN245" s="13">
        <f t="shared" si="6"/>
        <v>11340</v>
      </c>
      <c r="BO245" s="14">
        <f t="shared" si="7"/>
        <v>7937.9999999999991</v>
      </c>
    </row>
    <row r="246" spans="1:67" ht="19.2" x14ac:dyDescent="0.4">
      <c r="A246" s="5" t="s">
        <v>407</v>
      </c>
      <c r="B246" s="5" t="s">
        <v>442</v>
      </c>
      <c r="C246" s="5">
        <v>426265</v>
      </c>
      <c r="D246" s="6"/>
      <c r="E246" s="5" t="s">
        <v>31</v>
      </c>
      <c r="F246" s="5" t="s">
        <v>443</v>
      </c>
      <c r="G246" s="5" t="s">
        <v>51</v>
      </c>
      <c r="H246" s="7" t="s">
        <v>331</v>
      </c>
      <c r="I246" s="7" t="s">
        <v>444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3</v>
      </c>
      <c r="AF246" s="8">
        <v>11060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10">
        <v>11060</v>
      </c>
      <c r="BN246" s="13">
        <f t="shared" si="6"/>
        <v>11060</v>
      </c>
      <c r="BO246" s="14">
        <f t="shared" si="7"/>
        <v>7741.9999999999991</v>
      </c>
    </row>
    <row r="247" spans="1:67" ht="19.2" x14ac:dyDescent="0.4">
      <c r="A247" s="5" t="s">
        <v>407</v>
      </c>
      <c r="B247" s="5" t="s">
        <v>380</v>
      </c>
      <c r="C247" s="5">
        <v>408191</v>
      </c>
      <c r="D247" s="6"/>
      <c r="E247" s="5" t="s">
        <v>31</v>
      </c>
      <c r="F247" s="5" t="s">
        <v>150</v>
      </c>
      <c r="G247" s="5" t="s">
        <v>51</v>
      </c>
      <c r="H247" s="7" t="s">
        <v>8</v>
      </c>
      <c r="I247" s="7" t="s">
        <v>252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2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101</v>
      </c>
      <c r="AF247" s="8">
        <v>5640</v>
      </c>
      <c r="AG247" s="8">
        <v>5400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10">
        <v>11040</v>
      </c>
      <c r="BN247" s="13">
        <f t="shared" si="6"/>
        <v>11040</v>
      </c>
      <c r="BO247" s="14">
        <f t="shared" si="7"/>
        <v>7727.9999999999991</v>
      </c>
    </row>
    <row r="248" spans="1:67" ht="19.2" x14ac:dyDescent="0.4">
      <c r="A248" s="5" t="s">
        <v>407</v>
      </c>
      <c r="B248" s="5" t="s">
        <v>425</v>
      </c>
      <c r="C248" s="5">
        <v>383234</v>
      </c>
      <c r="D248" s="6"/>
      <c r="E248" s="5" t="s">
        <v>31</v>
      </c>
      <c r="F248" s="5" t="s">
        <v>150</v>
      </c>
      <c r="G248" s="5" t="s">
        <v>51</v>
      </c>
      <c r="H248" s="7" t="s">
        <v>331</v>
      </c>
      <c r="I248" s="7" t="s">
        <v>151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3</v>
      </c>
      <c r="AF248" s="8">
        <v>7680</v>
      </c>
      <c r="AG248" s="8">
        <v>3200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10">
        <v>10880</v>
      </c>
      <c r="BN248" s="13">
        <f t="shared" si="6"/>
        <v>10880</v>
      </c>
      <c r="BO248" s="14">
        <f t="shared" si="7"/>
        <v>7615.9999999999991</v>
      </c>
    </row>
    <row r="249" spans="1:67" ht="19.2" x14ac:dyDescent="0.4">
      <c r="A249" s="5" t="s">
        <v>407</v>
      </c>
      <c r="B249" s="5" t="s">
        <v>420</v>
      </c>
      <c r="C249" s="5">
        <v>399402</v>
      </c>
      <c r="D249" s="6"/>
      <c r="E249" s="5" t="s">
        <v>31</v>
      </c>
      <c r="F249" s="5" t="s">
        <v>58</v>
      </c>
      <c r="G249" s="5" t="s">
        <v>51</v>
      </c>
      <c r="H249" s="7" t="s">
        <v>331</v>
      </c>
      <c r="I249" s="7" t="s">
        <v>421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3</v>
      </c>
      <c r="AF249" s="8">
        <v>10800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10">
        <v>10800</v>
      </c>
      <c r="BN249" s="13">
        <f t="shared" si="6"/>
        <v>10800</v>
      </c>
      <c r="BO249" s="14">
        <f t="shared" si="7"/>
        <v>7559.9999999999991</v>
      </c>
    </row>
    <row r="250" spans="1:67" ht="19.2" x14ac:dyDescent="0.4">
      <c r="A250" s="5" t="s">
        <v>407</v>
      </c>
      <c r="B250" s="5" t="s">
        <v>324</v>
      </c>
      <c r="C250" s="5">
        <v>391008</v>
      </c>
      <c r="D250" s="6"/>
      <c r="E250" s="5" t="s">
        <v>31</v>
      </c>
      <c r="F250" s="5" t="s">
        <v>145</v>
      </c>
      <c r="G250" s="5" t="s">
        <v>51</v>
      </c>
      <c r="H250" s="7" t="s">
        <v>8</v>
      </c>
      <c r="I250" s="7" t="s">
        <v>325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3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88</v>
      </c>
      <c r="BJ250" s="8">
        <v>10560</v>
      </c>
      <c r="BK250" s="7">
        <v>0</v>
      </c>
      <c r="BL250" s="7">
        <v>528</v>
      </c>
      <c r="BM250" s="10">
        <v>10560</v>
      </c>
      <c r="BN250" s="13">
        <f t="shared" si="6"/>
        <v>10032</v>
      </c>
      <c r="BO250" s="14">
        <f t="shared" si="7"/>
        <v>7022.4</v>
      </c>
    </row>
    <row r="251" spans="1:67" ht="19.2" x14ac:dyDescent="0.4">
      <c r="A251" s="5" t="s">
        <v>407</v>
      </c>
      <c r="B251" s="5" t="s">
        <v>418</v>
      </c>
      <c r="C251" s="5">
        <v>431802</v>
      </c>
      <c r="D251" s="6"/>
      <c r="E251" s="5" t="s">
        <v>31</v>
      </c>
      <c r="F251" s="5" t="s">
        <v>150</v>
      </c>
      <c r="G251" s="5" t="s">
        <v>51</v>
      </c>
      <c r="H251" s="7" t="s">
        <v>331</v>
      </c>
      <c r="I251" s="7" t="s">
        <v>419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4</v>
      </c>
      <c r="AF251" s="8">
        <v>5280</v>
      </c>
      <c r="AG251" s="8">
        <v>4800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10">
        <v>10080</v>
      </c>
      <c r="BN251" s="13">
        <f t="shared" si="6"/>
        <v>10080</v>
      </c>
      <c r="BO251" s="14">
        <f t="shared" si="7"/>
        <v>7056</v>
      </c>
    </row>
    <row r="252" spans="1:67" ht="19.2" x14ac:dyDescent="0.4">
      <c r="A252" s="5" t="s">
        <v>407</v>
      </c>
      <c r="B252" s="5" t="s">
        <v>516</v>
      </c>
      <c r="C252" s="5">
        <v>473532</v>
      </c>
      <c r="D252" s="6"/>
      <c r="E252" s="5" t="s">
        <v>31</v>
      </c>
      <c r="F252" s="5" t="s">
        <v>513</v>
      </c>
      <c r="G252" s="5" t="s">
        <v>51</v>
      </c>
      <c r="H252" s="7" t="s">
        <v>331</v>
      </c>
      <c r="I252" s="7" t="s">
        <v>514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3</v>
      </c>
      <c r="AF252" s="8">
        <v>9720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10">
        <v>9720</v>
      </c>
      <c r="BN252" s="13">
        <f t="shared" si="6"/>
        <v>9720</v>
      </c>
      <c r="BO252" s="14">
        <f t="shared" si="7"/>
        <v>6804</v>
      </c>
    </row>
    <row r="253" spans="1:67" ht="19.2" x14ac:dyDescent="0.4">
      <c r="A253" s="5" t="s">
        <v>407</v>
      </c>
      <c r="B253" s="5" t="s">
        <v>423</v>
      </c>
      <c r="C253" s="5">
        <v>377683</v>
      </c>
      <c r="D253" s="6"/>
      <c r="E253" s="5" t="s">
        <v>31</v>
      </c>
      <c r="F253" s="5" t="s">
        <v>50</v>
      </c>
      <c r="G253" s="5" t="s">
        <v>51</v>
      </c>
      <c r="H253" s="7" t="s">
        <v>331</v>
      </c>
      <c r="I253" s="7" t="s">
        <v>424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1</v>
      </c>
      <c r="AF253" s="8">
        <v>3600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2</v>
      </c>
      <c r="AR253" s="8">
        <v>5800</v>
      </c>
      <c r="AS253" s="7">
        <v>200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10">
        <v>9600</v>
      </c>
      <c r="BN253" s="13">
        <f t="shared" si="6"/>
        <v>9600</v>
      </c>
      <c r="BO253" s="14">
        <f t="shared" si="7"/>
        <v>6720</v>
      </c>
    </row>
    <row r="254" spans="1:67" ht="19.2" x14ac:dyDescent="0.4">
      <c r="A254" s="5" t="s">
        <v>407</v>
      </c>
      <c r="B254" s="5" t="s">
        <v>221</v>
      </c>
      <c r="C254" s="5">
        <v>458568</v>
      </c>
      <c r="D254" s="6"/>
      <c r="E254" s="5" t="s">
        <v>31</v>
      </c>
      <c r="F254" s="5" t="s">
        <v>47</v>
      </c>
      <c r="G254" s="5" t="s">
        <v>11</v>
      </c>
      <c r="H254" s="7" t="s">
        <v>7</v>
      </c>
      <c r="I254" s="7" t="s">
        <v>220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3</v>
      </c>
      <c r="AF254" s="8">
        <v>9600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10">
        <v>9600</v>
      </c>
      <c r="BN254" s="13">
        <f t="shared" si="6"/>
        <v>9600</v>
      </c>
      <c r="BO254" s="14">
        <f t="shared" si="7"/>
        <v>6720</v>
      </c>
    </row>
    <row r="255" spans="1:67" ht="19.2" x14ac:dyDescent="0.4">
      <c r="A255" s="5" t="s">
        <v>407</v>
      </c>
      <c r="B255" s="5" t="s">
        <v>130</v>
      </c>
      <c r="C255" s="5">
        <v>469075</v>
      </c>
      <c r="D255" s="6"/>
      <c r="E255" s="5" t="s">
        <v>31</v>
      </c>
      <c r="F255" s="5" t="s">
        <v>76</v>
      </c>
      <c r="G255" s="5" t="s">
        <v>33</v>
      </c>
      <c r="H255" s="7" t="s">
        <v>10</v>
      </c>
      <c r="I255" s="7" t="s">
        <v>131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2</v>
      </c>
      <c r="AF255" s="8">
        <v>8400</v>
      </c>
      <c r="AG255" s="8">
        <v>1000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10">
        <v>9400</v>
      </c>
      <c r="BN255" s="13">
        <f t="shared" si="6"/>
        <v>9400</v>
      </c>
      <c r="BO255" s="14">
        <f t="shared" si="7"/>
        <v>6580</v>
      </c>
    </row>
    <row r="256" spans="1:67" ht="19.2" x14ac:dyDescent="0.4">
      <c r="A256" s="5" t="s">
        <v>407</v>
      </c>
      <c r="B256" s="5" t="s">
        <v>403</v>
      </c>
      <c r="C256" s="5">
        <v>424589</v>
      </c>
      <c r="D256" s="6"/>
      <c r="E256" s="5" t="s">
        <v>31</v>
      </c>
      <c r="F256" s="5" t="s">
        <v>404</v>
      </c>
      <c r="G256" s="5" t="s">
        <v>11</v>
      </c>
      <c r="H256" s="7" t="s">
        <v>8</v>
      </c>
      <c r="I256" s="7" t="s">
        <v>405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9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28</v>
      </c>
      <c r="AF256" s="8">
        <v>2800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66</v>
      </c>
      <c r="AR256" s="8">
        <v>6600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10">
        <v>9400</v>
      </c>
      <c r="BN256" s="13">
        <f t="shared" si="6"/>
        <v>9400</v>
      </c>
      <c r="BO256" s="14">
        <f t="shared" si="7"/>
        <v>6580</v>
      </c>
    </row>
    <row r="257" spans="1:67" ht="19.2" x14ac:dyDescent="0.4">
      <c r="A257" s="5" t="s">
        <v>407</v>
      </c>
      <c r="B257" s="5" t="s">
        <v>488</v>
      </c>
      <c r="C257" s="5">
        <v>472228</v>
      </c>
      <c r="D257" s="6"/>
      <c r="E257" s="5" t="s">
        <v>31</v>
      </c>
      <c r="F257" s="5" t="s">
        <v>489</v>
      </c>
      <c r="G257" s="5" t="s">
        <v>33</v>
      </c>
      <c r="H257" s="7" t="s">
        <v>8</v>
      </c>
      <c r="I257" s="7" t="s">
        <v>490</v>
      </c>
      <c r="J257" s="7">
        <v>0</v>
      </c>
      <c r="K257" s="7">
        <v>37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12</v>
      </c>
      <c r="AF257" s="8">
        <v>1200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30</v>
      </c>
      <c r="AR257" s="8">
        <v>3000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35</v>
      </c>
      <c r="BJ257" s="8">
        <v>4200</v>
      </c>
      <c r="BK257" s="7">
        <v>0</v>
      </c>
      <c r="BL257" s="7">
        <v>210</v>
      </c>
      <c r="BM257" s="10">
        <v>8400</v>
      </c>
      <c r="BN257" s="13">
        <f t="shared" si="6"/>
        <v>8190</v>
      </c>
      <c r="BO257" s="14">
        <f t="shared" si="7"/>
        <v>5733</v>
      </c>
    </row>
    <row r="258" spans="1:67" ht="19.2" x14ac:dyDescent="0.4">
      <c r="A258" s="5" t="s">
        <v>407</v>
      </c>
      <c r="B258" s="5" t="s">
        <v>428</v>
      </c>
      <c r="C258" s="5">
        <v>416208</v>
      </c>
      <c r="D258" s="6"/>
      <c r="E258" s="5" t="s">
        <v>31</v>
      </c>
      <c r="F258" s="5" t="s">
        <v>292</v>
      </c>
      <c r="G258" s="5" t="s">
        <v>51</v>
      </c>
      <c r="H258" s="7" t="s">
        <v>331</v>
      </c>
      <c r="I258" s="7" t="s">
        <v>429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2</v>
      </c>
      <c r="AF258" s="8">
        <v>8400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10">
        <v>8400</v>
      </c>
      <c r="BN258" s="13">
        <f t="shared" si="6"/>
        <v>8400</v>
      </c>
      <c r="BO258" s="14">
        <f t="shared" si="7"/>
        <v>5880</v>
      </c>
    </row>
    <row r="259" spans="1:67" ht="19.2" x14ac:dyDescent="0.4">
      <c r="A259" s="5" t="s">
        <v>407</v>
      </c>
      <c r="B259" s="5" t="s">
        <v>438</v>
      </c>
      <c r="C259" s="5">
        <v>444215</v>
      </c>
      <c r="D259" s="6"/>
      <c r="E259" s="5" t="s">
        <v>31</v>
      </c>
      <c r="F259" s="5" t="s">
        <v>244</v>
      </c>
      <c r="G259" s="5" t="s">
        <v>51</v>
      </c>
      <c r="H259" s="7" t="s">
        <v>331</v>
      </c>
      <c r="I259" s="7" t="s">
        <v>439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2</v>
      </c>
      <c r="AF259" s="8">
        <v>8160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10">
        <v>8160</v>
      </c>
      <c r="BN259" s="13">
        <f t="shared" ref="BN259:BN322" si="8">BM259-BL259</f>
        <v>8160</v>
      </c>
      <c r="BO259" s="14">
        <f t="shared" ref="BO259:BO322" si="9">BN259*70%</f>
        <v>5712</v>
      </c>
    </row>
    <row r="260" spans="1:67" ht="19.2" x14ac:dyDescent="0.4">
      <c r="A260" s="5" t="s">
        <v>407</v>
      </c>
      <c r="B260" s="5" t="s">
        <v>200</v>
      </c>
      <c r="C260" s="5">
        <v>370192</v>
      </c>
      <c r="D260" s="6"/>
      <c r="E260" s="5" t="s">
        <v>31</v>
      </c>
      <c r="F260" s="5" t="s">
        <v>153</v>
      </c>
      <c r="G260" s="5" t="s">
        <v>51</v>
      </c>
      <c r="H260" s="7" t="s">
        <v>8</v>
      </c>
      <c r="I260" s="7" t="s">
        <v>201</v>
      </c>
      <c r="J260" s="7">
        <v>0</v>
      </c>
      <c r="K260" s="7">
        <v>1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7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65</v>
      </c>
      <c r="AF260" s="8">
        <v>7560</v>
      </c>
      <c r="AG260" s="7">
        <v>200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10">
        <v>7760</v>
      </c>
      <c r="BN260" s="13">
        <f t="shared" si="8"/>
        <v>7760</v>
      </c>
      <c r="BO260" s="14">
        <f t="shared" si="9"/>
        <v>5432</v>
      </c>
    </row>
    <row r="261" spans="1:67" ht="19.2" x14ac:dyDescent="0.4">
      <c r="A261" s="5" t="s">
        <v>407</v>
      </c>
      <c r="B261" s="5" t="s">
        <v>113</v>
      </c>
      <c r="C261" s="5">
        <v>395179</v>
      </c>
      <c r="D261" s="6"/>
      <c r="E261" s="5" t="s">
        <v>31</v>
      </c>
      <c r="F261" s="5" t="s">
        <v>114</v>
      </c>
      <c r="G261" s="5" t="s">
        <v>11</v>
      </c>
      <c r="H261" s="7" t="s">
        <v>7</v>
      </c>
      <c r="I261" s="7" t="s">
        <v>115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2</v>
      </c>
      <c r="BD261" s="8">
        <v>7680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460.8</v>
      </c>
      <c r="BM261" s="10">
        <v>7680</v>
      </c>
      <c r="BN261" s="13">
        <f t="shared" si="8"/>
        <v>7219.2</v>
      </c>
      <c r="BO261" s="14">
        <f t="shared" si="9"/>
        <v>5053.4399999999996</v>
      </c>
    </row>
    <row r="262" spans="1:67" ht="19.2" x14ac:dyDescent="0.4">
      <c r="A262" s="5" t="s">
        <v>407</v>
      </c>
      <c r="B262" s="5" t="s">
        <v>447</v>
      </c>
      <c r="C262" s="5">
        <v>444217</v>
      </c>
      <c r="D262" s="6"/>
      <c r="E262" s="5" t="s">
        <v>31</v>
      </c>
      <c r="F262" s="5" t="s">
        <v>150</v>
      </c>
      <c r="G262" s="5" t="s">
        <v>51</v>
      </c>
      <c r="H262" s="7" t="s">
        <v>331</v>
      </c>
      <c r="I262" s="7" t="s">
        <v>448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2</v>
      </c>
      <c r="AF262" s="7">
        <v>0</v>
      </c>
      <c r="AG262" s="8">
        <v>5000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1</v>
      </c>
      <c r="AR262" s="8">
        <v>2500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10">
        <v>7500</v>
      </c>
      <c r="BN262" s="13">
        <f t="shared" si="8"/>
        <v>7500</v>
      </c>
      <c r="BO262" s="14">
        <f t="shared" si="9"/>
        <v>5250</v>
      </c>
    </row>
    <row r="263" spans="1:67" ht="19.2" x14ac:dyDescent="0.4">
      <c r="A263" s="5" t="s">
        <v>407</v>
      </c>
      <c r="B263" s="5" t="s">
        <v>174</v>
      </c>
      <c r="C263" s="5">
        <v>394079</v>
      </c>
      <c r="D263" s="6"/>
      <c r="E263" s="5" t="s">
        <v>31</v>
      </c>
      <c r="F263" s="5" t="s">
        <v>70</v>
      </c>
      <c r="G263" s="5" t="s">
        <v>51</v>
      </c>
      <c r="H263" s="7" t="s">
        <v>8</v>
      </c>
      <c r="I263" s="7" t="s">
        <v>175</v>
      </c>
      <c r="J263" s="7">
        <v>0</v>
      </c>
      <c r="K263" s="7">
        <v>6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6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75</v>
      </c>
      <c r="AF263" s="8">
        <v>7500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10">
        <v>7500</v>
      </c>
      <c r="BN263" s="13">
        <f t="shared" si="8"/>
        <v>7500</v>
      </c>
      <c r="BO263" s="14">
        <f t="shared" si="9"/>
        <v>5250</v>
      </c>
    </row>
    <row r="264" spans="1:67" ht="19.2" x14ac:dyDescent="0.4">
      <c r="A264" s="5" t="s">
        <v>407</v>
      </c>
      <c r="B264" s="5" t="s">
        <v>226</v>
      </c>
      <c r="C264" s="5">
        <v>421661</v>
      </c>
      <c r="D264" s="6"/>
      <c r="E264" s="5" t="s">
        <v>31</v>
      </c>
      <c r="F264" s="5" t="s">
        <v>227</v>
      </c>
      <c r="G264" s="5" t="s">
        <v>51</v>
      </c>
      <c r="H264" s="7" t="s">
        <v>8</v>
      </c>
      <c r="I264" s="7" t="s">
        <v>228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62</v>
      </c>
      <c r="AF264" s="8">
        <v>7200</v>
      </c>
      <c r="AG264" s="7">
        <v>200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10">
        <v>7400</v>
      </c>
      <c r="BN264" s="13">
        <f t="shared" si="8"/>
        <v>7400</v>
      </c>
      <c r="BO264" s="14">
        <f t="shared" si="9"/>
        <v>5180</v>
      </c>
    </row>
    <row r="265" spans="1:67" ht="19.2" x14ac:dyDescent="0.4">
      <c r="A265" s="5" t="s">
        <v>407</v>
      </c>
      <c r="B265" s="5" t="s">
        <v>234</v>
      </c>
      <c r="C265" s="5">
        <v>407733</v>
      </c>
      <c r="D265" s="6"/>
      <c r="E265" s="5" t="s">
        <v>31</v>
      </c>
      <c r="F265" s="5" t="s">
        <v>47</v>
      </c>
      <c r="G265" s="5" t="s">
        <v>11</v>
      </c>
      <c r="H265" s="7" t="s">
        <v>7</v>
      </c>
      <c r="I265" s="7" t="s">
        <v>235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71</v>
      </c>
      <c r="AF265" s="7">
        <v>0</v>
      </c>
      <c r="AG265" s="8">
        <v>7100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10">
        <v>7100</v>
      </c>
      <c r="BN265" s="13">
        <f t="shared" si="8"/>
        <v>7100</v>
      </c>
      <c r="BO265" s="14">
        <f t="shared" si="9"/>
        <v>4970</v>
      </c>
    </row>
    <row r="266" spans="1:67" ht="19.2" x14ac:dyDescent="0.4">
      <c r="A266" s="5" t="s">
        <v>407</v>
      </c>
      <c r="B266" s="5" t="s">
        <v>265</v>
      </c>
      <c r="C266" s="5">
        <v>341374</v>
      </c>
      <c r="D266" s="6"/>
      <c r="E266" s="5" t="s">
        <v>31</v>
      </c>
      <c r="F266" s="5" t="s">
        <v>150</v>
      </c>
      <c r="G266" s="5" t="s">
        <v>51</v>
      </c>
      <c r="H266" s="7" t="s">
        <v>8</v>
      </c>
      <c r="I266" s="7" t="s">
        <v>266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4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69</v>
      </c>
      <c r="AF266" s="7">
        <v>840</v>
      </c>
      <c r="AG266" s="8">
        <v>6200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10">
        <v>7040</v>
      </c>
      <c r="BN266" s="13">
        <f t="shared" si="8"/>
        <v>7040</v>
      </c>
      <c r="BO266" s="14">
        <f t="shared" si="9"/>
        <v>4928</v>
      </c>
    </row>
    <row r="267" spans="1:67" ht="19.2" x14ac:dyDescent="0.4">
      <c r="A267" s="5" t="s">
        <v>407</v>
      </c>
      <c r="B267" s="5" t="s">
        <v>517</v>
      </c>
      <c r="C267" s="5">
        <v>418307</v>
      </c>
      <c r="D267" s="6"/>
      <c r="E267" s="5" t="s">
        <v>31</v>
      </c>
      <c r="F267" s="5" t="s">
        <v>307</v>
      </c>
      <c r="G267" s="5" t="s">
        <v>51</v>
      </c>
      <c r="H267" s="7" t="s">
        <v>331</v>
      </c>
      <c r="I267" s="7" t="s">
        <v>518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2</v>
      </c>
      <c r="AF267" s="7">
        <v>0</v>
      </c>
      <c r="AG267" s="8">
        <v>7000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10">
        <v>7000</v>
      </c>
      <c r="BN267" s="13">
        <f t="shared" si="8"/>
        <v>7000</v>
      </c>
      <c r="BO267" s="14">
        <f t="shared" si="9"/>
        <v>4900</v>
      </c>
    </row>
    <row r="268" spans="1:67" ht="19.2" x14ac:dyDescent="0.4">
      <c r="A268" s="5" t="s">
        <v>407</v>
      </c>
      <c r="B268" s="5" t="s">
        <v>198</v>
      </c>
      <c r="C268" s="5">
        <v>316658</v>
      </c>
      <c r="D268" s="6"/>
      <c r="E268" s="5" t="s">
        <v>31</v>
      </c>
      <c r="F268" s="5" t="s">
        <v>84</v>
      </c>
      <c r="G268" s="5" t="s">
        <v>11</v>
      </c>
      <c r="H268" s="7" t="s">
        <v>7</v>
      </c>
      <c r="I268" s="7" t="s">
        <v>199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6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70</v>
      </c>
      <c r="AR268" s="8">
        <v>7000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10">
        <v>7000</v>
      </c>
      <c r="BN268" s="13">
        <f t="shared" si="8"/>
        <v>7000</v>
      </c>
      <c r="BO268" s="14">
        <f t="shared" si="9"/>
        <v>4900</v>
      </c>
    </row>
    <row r="269" spans="1:67" ht="19.2" x14ac:dyDescent="0.4">
      <c r="A269" s="5" t="s">
        <v>407</v>
      </c>
      <c r="B269" s="5" t="s">
        <v>430</v>
      </c>
      <c r="C269" s="5">
        <v>431788</v>
      </c>
      <c r="D269" s="6"/>
      <c r="E269" s="5" t="s">
        <v>31</v>
      </c>
      <c r="F269" s="5" t="s">
        <v>150</v>
      </c>
      <c r="G269" s="5" t="s">
        <v>51</v>
      </c>
      <c r="H269" s="7" t="s">
        <v>331</v>
      </c>
      <c r="I269" s="7" t="s">
        <v>431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1</v>
      </c>
      <c r="AR269" s="8">
        <v>3000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1</v>
      </c>
      <c r="BJ269" s="8">
        <v>3600</v>
      </c>
      <c r="BK269" s="7">
        <v>0</v>
      </c>
      <c r="BL269" s="7">
        <v>180</v>
      </c>
      <c r="BM269" s="10">
        <v>6600</v>
      </c>
      <c r="BN269" s="13">
        <f t="shared" si="8"/>
        <v>6420</v>
      </c>
      <c r="BO269" s="14">
        <f t="shared" si="9"/>
        <v>4494</v>
      </c>
    </row>
    <row r="270" spans="1:67" ht="19.2" x14ac:dyDescent="0.4">
      <c r="A270" s="5" t="s">
        <v>407</v>
      </c>
      <c r="B270" s="5" t="s">
        <v>411</v>
      </c>
      <c r="C270" s="5">
        <v>425648</v>
      </c>
      <c r="D270" s="6"/>
      <c r="E270" s="5" t="s">
        <v>31</v>
      </c>
      <c r="F270" s="5" t="s">
        <v>247</v>
      </c>
      <c r="G270" s="5" t="s">
        <v>51</v>
      </c>
      <c r="H270" s="7" t="s">
        <v>331</v>
      </c>
      <c r="I270" s="7" t="s">
        <v>248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2</v>
      </c>
      <c r="AF270" s="8">
        <v>3200</v>
      </c>
      <c r="AG270" s="8">
        <v>3200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10">
        <v>6400</v>
      </c>
      <c r="BN270" s="13">
        <f t="shared" si="8"/>
        <v>6400</v>
      </c>
      <c r="BO270" s="14">
        <f t="shared" si="9"/>
        <v>4480</v>
      </c>
    </row>
    <row r="271" spans="1:67" ht="19.2" x14ac:dyDescent="0.4">
      <c r="A271" s="5" t="s">
        <v>407</v>
      </c>
      <c r="B271" s="5" t="s">
        <v>211</v>
      </c>
      <c r="C271" s="5">
        <v>467503</v>
      </c>
      <c r="D271" s="6"/>
      <c r="E271" s="5" t="s">
        <v>31</v>
      </c>
      <c r="F271" s="5" t="s">
        <v>185</v>
      </c>
      <c r="G271" s="5" t="s">
        <v>51</v>
      </c>
      <c r="H271" s="7" t="s">
        <v>8</v>
      </c>
      <c r="I271" s="7" t="s">
        <v>43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2</v>
      </c>
      <c r="AF271" s="8">
        <v>3200</v>
      </c>
      <c r="AG271" s="8">
        <v>3200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10">
        <v>6400</v>
      </c>
      <c r="BN271" s="13">
        <f t="shared" si="8"/>
        <v>6400</v>
      </c>
      <c r="BO271" s="14">
        <f t="shared" si="9"/>
        <v>4480</v>
      </c>
    </row>
    <row r="272" spans="1:67" ht="19.2" x14ac:dyDescent="0.4">
      <c r="A272" s="5" t="s">
        <v>407</v>
      </c>
      <c r="B272" s="5" t="s">
        <v>445</v>
      </c>
      <c r="C272" s="5">
        <v>426251</v>
      </c>
      <c r="D272" s="6"/>
      <c r="E272" s="5" t="s">
        <v>31</v>
      </c>
      <c r="F272" s="5" t="s">
        <v>244</v>
      </c>
      <c r="G272" s="5" t="s">
        <v>51</v>
      </c>
      <c r="H272" s="7" t="s">
        <v>331</v>
      </c>
      <c r="I272" s="7" t="s">
        <v>446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2</v>
      </c>
      <c r="AF272" s="8">
        <v>6000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10">
        <v>6000</v>
      </c>
      <c r="BN272" s="13">
        <f t="shared" si="8"/>
        <v>6000</v>
      </c>
      <c r="BO272" s="14">
        <f t="shared" si="9"/>
        <v>4200</v>
      </c>
    </row>
    <row r="273" spans="1:67" ht="19.2" x14ac:dyDescent="0.4">
      <c r="A273" s="5" t="s">
        <v>407</v>
      </c>
      <c r="B273" s="5" t="s">
        <v>519</v>
      </c>
      <c r="C273" s="5">
        <v>428130</v>
      </c>
      <c r="D273" s="6"/>
      <c r="E273" s="5" t="s">
        <v>31</v>
      </c>
      <c r="F273" s="5" t="s">
        <v>520</v>
      </c>
      <c r="G273" s="5" t="s">
        <v>51</v>
      </c>
      <c r="H273" s="7" t="s">
        <v>331</v>
      </c>
      <c r="I273" s="7" t="s">
        <v>521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2</v>
      </c>
      <c r="AF273" s="7">
        <v>0</v>
      </c>
      <c r="AG273" s="8">
        <v>6000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10">
        <v>6000</v>
      </c>
      <c r="BN273" s="13">
        <f t="shared" si="8"/>
        <v>6000</v>
      </c>
      <c r="BO273" s="14">
        <f t="shared" si="9"/>
        <v>4200</v>
      </c>
    </row>
    <row r="274" spans="1:67" ht="19.2" x14ac:dyDescent="0.4">
      <c r="A274" s="5" t="s">
        <v>407</v>
      </c>
      <c r="B274" s="5" t="s">
        <v>371</v>
      </c>
      <c r="C274" s="5">
        <v>428735</v>
      </c>
      <c r="D274" s="6"/>
      <c r="E274" s="5" t="s">
        <v>31</v>
      </c>
      <c r="F274" s="5" t="s">
        <v>372</v>
      </c>
      <c r="G274" s="5" t="s">
        <v>51</v>
      </c>
      <c r="H274" s="7" t="s">
        <v>331</v>
      </c>
      <c r="I274" s="7" t="s">
        <v>373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1</v>
      </c>
      <c r="AF274" s="8">
        <v>2900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1</v>
      </c>
      <c r="AR274" s="8">
        <v>2900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10">
        <v>5800</v>
      </c>
      <c r="BN274" s="13">
        <f t="shared" si="8"/>
        <v>5800</v>
      </c>
      <c r="BO274" s="14">
        <f t="shared" si="9"/>
        <v>4059.9999999999995</v>
      </c>
    </row>
    <row r="275" spans="1:67" ht="19.2" x14ac:dyDescent="0.4">
      <c r="A275" s="5" t="s">
        <v>407</v>
      </c>
      <c r="B275" s="5" t="s">
        <v>306</v>
      </c>
      <c r="C275" s="5">
        <v>381070</v>
      </c>
      <c r="D275" s="6"/>
      <c r="E275" s="5" t="s">
        <v>31</v>
      </c>
      <c r="F275" s="5" t="s">
        <v>307</v>
      </c>
      <c r="G275" s="5" t="s">
        <v>51</v>
      </c>
      <c r="H275" s="7" t="s">
        <v>8</v>
      </c>
      <c r="I275" s="7" t="s">
        <v>308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44</v>
      </c>
      <c r="AF275" s="8">
        <v>5280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10">
        <v>5280</v>
      </c>
      <c r="BN275" s="13">
        <f t="shared" si="8"/>
        <v>5280</v>
      </c>
      <c r="BO275" s="14">
        <f t="shared" si="9"/>
        <v>3695.9999999999995</v>
      </c>
    </row>
    <row r="276" spans="1:67" ht="19.2" x14ac:dyDescent="0.4">
      <c r="A276" s="5" t="s">
        <v>407</v>
      </c>
      <c r="B276" s="5" t="s">
        <v>86</v>
      </c>
      <c r="C276" s="5">
        <v>442274</v>
      </c>
      <c r="D276" s="6"/>
      <c r="E276" s="5" t="s">
        <v>31</v>
      </c>
      <c r="F276" s="5" t="s">
        <v>87</v>
      </c>
      <c r="G276" s="5" t="s">
        <v>11</v>
      </c>
      <c r="H276" s="7" t="s">
        <v>7</v>
      </c>
      <c r="I276" s="7" t="s">
        <v>88</v>
      </c>
      <c r="J276" s="7">
        <v>0</v>
      </c>
      <c r="K276" s="7">
        <v>189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1</v>
      </c>
      <c r="AF276" s="7">
        <v>0</v>
      </c>
      <c r="AG276" s="7">
        <v>100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27</v>
      </c>
      <c r="AR276" s="8">
        <v>2700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20</v>
      </c>
      <c r="BJ276" s="8">
        <v>2400</v>
      </c>
      <c r="BK276" s="7">
        <v>0</v>
      </c>
      <c r="BL276" s="7">
        <v>120</v>
      </c>
      <c r="BM276" s="10">
        <v>5200</v>
      </c>
      <c r="BN276" s="13">
        <f t="shared" si="8"/>
        <v>5080</v>
      </c>
      <c r="BO276" s="14">
        <f t="shared" si="9"/>
        <v>3556</v>
      </c>
    </row>
    <row r="277" spans="1:67" ht="19.2" x14ac:dyDescent="0.4">
      <c r="A277" s="5" t="s">
        <v>407</v>
      </c>
      <c r="B277" s="5" t="s">
        <v>135</v>
      </c>
      <c r="C277" s="5">
        <v>415710</v>
      </c>
      <c r="D277" s="6"/>
      <c r="E277" s="5" t="s">
        <v>31</v>
      </c>
      <c r="F277" s="5" t="s">
        <v>70</v>
      </c>
      <c r="G277" s="5" t="s">
        <v>51</v>
      </c>
      <c r="H277" s="7" t="s">
        <v>8</v>
      </c>
      <c r="I277" s="7" t="s">
        <v>136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43</v>
      </c>
      <c r="AF277" s="8">
        <v>5020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1</v>
      </c>
      <c r="AR277" s="7">
        <v>100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10">
        <v>5120</v>
      </c>
      <c r="BN277" s="13">
        <f t="shared" si="8"/>
        <v>5120</v>
      </c>
      <c r="BO277" s="14">
        <f t="shared" si="9"/>
        <v>3584</v>
      </c>
    </row>
    <row r="278" spans="1:67" ht="19.2" x14ac:dyDescent="0.4">
      <c r="A278" s="5" t="s">
        <v>407</v>
      </c>
      <c r="B278" s="5" t="s">
        <v>436</v>
      </c>
      <c r="C278" s="5">
        <v>419418</v>
      </c>
      <c r="D278" s="6"/>
      <c r="E278" s="5" t="s">
        <v>31</v>
      </c>
      <c r="F278" s="5" t="s">
        <v>140</v>
      </c>
      <c r="G278" s="5" t="s">
        <v>51</v>
      </c>
      <c r="H278" s="7" t="s">
        <v>331</v>
      </c>
      <c r="I278" s="7" t="s">
        <v>437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1</v>
      </c>
      <c r="BJ278" s="8">
        <v>4800</v>
      </c>
      <c r="BK278" s="7">
        <v>0</v>
      </c>
      <c r="BL278" s="7">
        <v>240</v>
      </c>
      <c r="BM278" s="10">
        <v>4800</v>
      </c>
      <c r="BN278" s="13">
        <f t="shared" si="8"/>
        <v>4560</v>
      </c>
      <c r="BO278" s="14">
        <f t="shared" si="9"/>
        <v>3192</v>
      </c>
    </row>
    <row r="279" spans="1:67" ht="19.2" x14ac:dyDescent="0.4">
      <c r="A279" s="5" t="s">
        <v>407</v>
      </c>
      <c r="B279" s="5" t="s">
        <v>426</v>
      </c>
      <c r="C279" s="5">
        <v>384110</v>
      </c>
      <c r="D279" s="6"/>
      <c r="E279" s="5" t="s">
        <v>31</v>
      </c>
      <c r="F279" s="5" t="s">
        <v>384</v>
      </c>
      <c r="G279" s="5" t="s">
        <v>51</v>
      </c>
      <c r="H279" s="7" t="s">
        <v>331</v>
      </c>
      <c r="I279" s="7" t="s">
        <v>427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1</v>
      </c>
      <c r="AF279" s="8">
        <v>4800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10">
        <v>4800</v>
      </c>
      <c r="BN279" s="13">
        <f t="shared" si="8"/>
        <v>4800</v>
      </c>
      <c r="BO279" s="14">
        <f t="shared" si="9"/>
        <v>3360</v>
      </c>
    </row>
    <row r="280" spans="1:67" ht="19.2" x14ac:dyDescent="0.4">
      <c r="A280" s="5" t="s">
        <v>407</v>
      </c>
      <c r="B280" s="5" t="s">
        <v>463</v>
      </c>
      <c r="C280" s="5">
        <v>392578</v>
      </c>
      <c r="D280" s="6"/>
      <c r="E280" s="5" t="s">
        <v>31</v>
      </c>
      <c r="F280" s="5" t="s">
        <v>292</v>
      </c>
      <c r="G280" s="5" t="s">
        <v>51</v>
      </c>
      <c r="H280" s="7" t="s">
        <v>331</v>
      </c>
      <c r="I280" s="7" t="s">
        <v>429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1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16</v>
      </c>
      <c r="AF280" s="8">
        <v>1580</v>
      </c>
      <c r="AG280" s="7">
        <v>200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25</v>
      </c>
      <c r="BJ280" s="8">
        <v>3000</v>
      </c>
      <c r="BK280" s="7">
        <v>0</v>
      </c>
      <c r="BL280" s="7">
        <v>150</v>
      </c>
      <c r="BM280" s="10">
        <v>4780</v>
      </c>
      <c r="BN280" s="13">
        <f t="shared" si="8"/>
        <v>4630</v>
      </c>
      <c r="BO280" s="14">
        <f t="shared" si="9"/>
        <v>3241</v>
      </c>
    </row>
    <row r="281" spans="1:67" ht="19.2" x14ac:dyDescent="0.4">
      <c r="A281" s="5" t="s">
        <v>407</v>
      </c>
      <c r="B281" s="5" t="s">
        <v>318</v>
      </c>
      <c r="C281" s="5">
        <v>355320</v>
      </c>
      <c r="D281" s="6"/>
      <c r="E281" s="5" t="s">
        <v>31</v>
      </c>
      <c r="F281" s="5" t="s">
        <v>319</v>
      </c>
      <c r="G281" s="5" t="s">
        <v>51</v>
      </c>
      <c r="H281" s="7" t="s">
        <v>8</v>
      </c>
      <c r="I281" s="7" t="s">
        <v>320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4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2</v>
      </c>
      <c r="AF281" s="7">
        <v>0</v>
      </c>
      <c r="AG281" s="7">
        <v>200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38</v>
      </c>
      <c r="BJ281" s="8">
        <v>4560</v>
      </c>
      <c r="BK281" s="7">
        <v>0</v>
      </c>
      <c r="BL281" s="7">
        <v>228</v>
      </c>
      <c r="BM281" s="10">
        <v>4760</v>
      </c>
      <c r="BN281" s="13">
        <f t="shared" si="8"/>
        <v>4532</v>
      </c>
      <c r="BO281" s="14">
        <f t="shared" si="9"/>
        <v>3172.3999999999996</v>
      </c>
    </row>
    <row r="282" spans="1:67" ht="19.2" x14ac:dyDescent="0.4">
      <c r="A282" s="5" t="s">
        <v>407</v>
      </c>
      <c r="B282" s="5" t="s">
        <v>278</v>
      </c>
      <c r="C282" s="5">
        <v>297776</v>
      </c>
      <c r="D282" s="6"/>
      <c r="E282" s="5" t="s">
        <v>31</v>
      </c>
      <c r="F282" s="5" t="s">
        <v>279</v>
      </c>
      <c r="G282" s="5" t="s">
        <v>11</v>
      </c>
      <c r="H282" s="7" t="s">
        <v>10</v>
      </c>
      <c r="I282" s="7" t="s">
        <v>280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45</v>
      </c>
      <c r="AF282" s="7">
        <v>480</v>
      </c>
      <c r="AG282" s="8">
        <v>4100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10">
        <v>4580</v>
      </c>
      <c r="BN282" s="13">
        <f t="shared" si="8"/>
        <v>4580</v>
      </c>
      <c r="BO282" s="14">
        <f t="shared" si="9"/>
        <v>3206</v>
      </c>
    </row>
    <row r="283" spans="1:67" ht="19.2" x14ac:dyDescent="0.4">
      <c r="A283" s="5" t="s">
        <v>407</v>
      </c>
      <c r="B283" s="5" t="s">
        <v>522</v>
      </c>
      <c r="C283" s="5">
        <v>431780</v>
      </c>
      <c r="D283" s="6"/>
      <c r="E283" s="5" t="s">
        <v>31</v>
      </c>
      <c r="F283" s="5" t="s">
        <v>384</v>
      </c>
      <c r="G283" s="5" t="s">
        <v>51</v>
      </c>
      <c r="H283" s="7" t="s">
        <v>331</v>
      </c>
      <c r="I283" s="7" t="s">
        <v>523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1</v>
      </c>
      <c r="AF283" s="7">
        <v>0</v>
      </c>
      <c r="AG283" s="8">
        <v>4300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10">
        <v>4300</v>
      </c>
      <c r="BN283" s="13">
        <f t="shared" si="8"/>
        <v>4300</v>
      </c>
      <c r="BO283" s="14">
        <f t="shared" si="9"/>
        <v>3010</v>
      </c>
    </row>
    <row r="284" spans="1:67" ht="19.2" x14ac:dyDescent="0.4">
      <c r="A284" s="5" t="s">
        <v>407</v>
      </c>
      <c r="B284" s="5" t="s">
        <v>524</v>
      </c>
      <c r="C284" s="5">
        <v>388551</v>
      </c>
      <c r="D284" s="6"/>
      <c r="E284" s="5" t="s">
        <v>31</v>
      </c>
      <c r="F284" s="5" t="s">
        <v>153</v>
      </c>
      <c r="G284" s="5" t="s">
        <v>51</v>
      </c>
      <c r="H284" s="7" t="s">
        <v>331</v>
      </c>
      <c r="I284" s="7" t="s">
        <v>525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1</v>
      </c>
      <c r="AR284" s="8">
        <v>4000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10">
        <v>4000</v>
      </c>
      <c r="BN284" s="13">
        <f t="shared" si="8"/>
        <v>4000</v>
      </c>
      <c r="BO284" s="14">
        <f t="shared" si="9"/>
        <v>2800</v>
      </c>
    </row>
    <row r="285" spans="1:67" ht="19.2" x14ac:dyDescent="0.4">
      <c r="A285" s="5" t="s">
        <v>407</v>
      </c>
      <c r="B285" s="5" t="s">
        <v>208</v>
      </c>
      <c r="C285" s="5">
        <v>325640</v>
      </c>
      <c r="D285" s="6"/>
      <c r="E285" s="5" t="s">
        <v>31</v>
      </c>
      <c r="F285" s="5" t="s">
        <v>209</v>
      </c>
      <c r="G285" s="5" t="s">
        <v>11</v>
      </c>
      <c r="H285" s="7" t="s">
        <v>7</v>
      </c>
      <c r="I285" s="7" t="s">
        <v>210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1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34</v>
      </c>
      <c r="AF285" s="8">
        <v>3480</v>
      </c>
      <c r="AG285" s="7">
        <v>500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10">
        <v>3980</v>
      </c>
      <c r="BN285" s="13">
        <f t="shared" si="8"/>
        <v>3980</v>
      </c>
      <c r="BO285" s="14">
        <f t="shared" si="9"/>
        <v>2786</v>
      </c>
    </row>
    <row r="286" spans="1:67" ht="19.2" x14ac:dyDescent="0.4">
      <c r="A286" s="5" t="s">
        <v>407</v>
      </c>
      <c r="B286" s="5" t="s">
        <v>179</v>
      </c>
      <c r="C286" s="5">
        <v>376361</v>
      </c>
      <c r="D286" s="6"/>
      <c r="E286" s="5" t="s">
        <v>31</v>
      </c>
      <c r="F286" s="5" t="s">
        <v>65</v>
      </c>
      <c r="G286" s="5" t="s">
        <v>51</v>
      </c>
      <c r="H286" s="7" t="s">
        <v>8</v>
      </c>
      <c r="I286" s="7" t="s">
        <v>180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36</v>
      </c>
      <c r="AF286" s="8">
        <v>3500</v>
      </c>
      <c r="AG286" s="7">
        <v>100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3</v>
      </c>
      <c r="AR286" s="7">
        <v>300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10">
        <v>3900</v>
      </c>
      <c r="BN286" s="13">
        <f t="shared" si="8"/>
        <v>3900</v>
      </c>
      <c r="BO286" s="14">
        <f t="shared" si="9"/>
        <v>2730</v>
      </c>
    </row>
    <row r="287" spans="1:67" ht="19.2" x14ac:dyDescent="0.4">
      <c r="A287" s="5" t="s">
        <v>407</v>
      </c>
      <c r="B287" s="5" t="s">
        <v>78</v>
      </c>
      <c r="C287" s="5">
        <v>245889</v>
      </c>
      <c r="D287" s="6"/>
      <c r="E287" s="5" t="s">
        <v>31</v>
      </c>
      <c r="F287" s="5" t="s">
        <v>47</v>
      </c>
      <c r="G287" s="5" t="s">
        <v>11</v>
      </c>
      <c r="H287" s="7" t="s">
        <v>7</v>
      </c>
      <c r="I287" s="7" t="s">
        <v>79</v>
      </c>
      <c r="J287" s="7">
        <v>4</v>
      </c>
      <c r="K287" s="7">
        <v>0</v>
      </c>
      <c r="L287" s="7">
        <v>400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1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33</v>
      </c>
      <c r="AF287" s="7">
        <v>0</v>
      </c>
      <c r="AG287" s="8">
        <v>3300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10">
        <v>3700</v>
      </c>
      <c r="BN287" s="13">
        <f t="shared" si="8"/>
        <v>3700</v>
      </c>
      <c r="BO287" s="14">
        <f t="shared" si="9"/>
        <v>2590</v>
      </c>
    </row>
    <row r="288" spans="1:67" ht="19.2" x14ac:dyDescent="0.4">
      <c r="A288" s="5" t="s">
        <v>407</v>
      </c>
      <c r="B288" s="5" t="s">
        <v>454</v>
      </c>
      <c r="C288" s="5">
        <v>446882</v>
      </c>
      <c r="D288" s="6"/>
      <c r="E288" s="5" t="s">
        <v>31</v>
      </c>
      <c r="F288" s="5" t="s">
        <v>292</v>
      </c>
      <c r="G288" s="5" t="s">
        <v>51</v>
      </c>
      <c r="H288" s="7" t="s">
        <v>331</v>
      </c>
      <c r="I288" s="7" t="s">
        <v>342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3</v>
      </c>
      <c r="AF288" s="8">
        <v>3600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10">
        <v>3600</v>
      </c>
      <c r="BN288" s="13">
        <f t="shared" si="8"/>
        <v>3600</v>
      </c>
      <c r="BO288" s="14">
        <f t="shared" si="9"/>
        <v>2520</v>
      </c>
    </row>
    <row r="289" spans="1:67" ht="19.2" x14ac:dyDescent="0.4">
      <c r="A289" s="5" t="s">
        <v>407</v>
      </c>
      <c r="B289" s="5" t="s">
        <v>473</v>
      </c>
      <c r="C289" s="5">
        <v>413284</v>
      </c>
      <c r="D289" s="6"/>
      <c r="E289" s="5" t="s">
        <v>31</v>
      </c>
      <c r="F289" s="5" t="s">
        <v>279</v>
      </c>
      <c r="G289" s="5" t="s">
        <v>11</v>
      </c>
      <c r="H289" s="7" t="s">
        <v>7</v>
      </c>
      <c r="I289" s="7" t="s">
        <v>474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1</v>
      </c>
      <c r="AF289" s="7">
        <v>0</v>
      </c>
      <c r="AG289" s="8">
        <v>3500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10">
        <v>3500</v>
      </c>
      <c r="BN289" s="13">
        <f t="shared" si="8"/>
        <v>3500</v>
      </c>
      <c r="BO289" s="14">
        <f t="shared" si="9"/>
        <v>2450</v>
      </c>
    </row>
    <row r="290" spans="1:67" ht="19.2" x14ac:dyDescent="0.4">
      <c r="A290" s="5" t="s">
        <v>407</v>
      </c>
      <c r="B290" s="5" t="s">
        <v>360</v>
      </c>
      <c r="C290" s="5">
        <v>406872</v>
      </c>
      <c r="D290" s="6"/>
      <c r="E290" s="5" t="s">
        <v>31</v>
      </c>
      <c r="F290" s="5" t="s">
        <v>361</v>
      </c>
      <c r="G290" s="5" t="s">
        <v>11</v>
      </c>
      <c r="H290" s="7" t="s">
        <v>10</v>
      </c>
      <c r="I290" s="7" t="s">
        <v>362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3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3</v>
      </c>
      <c r="AF290" s="7">
        <v>300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27</v>
      </c>
      <c r="AR290" s="8">
        <v>2700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10">
        <v>3000</v>
      </c>
      <c r="BN290" s="13">
        <f t="shared" si="8"/>
        <v>3000</v>
      </c>
      <c r="BO290" s="14">
        <f t="shared" si="9"/>
        <v>2100</v>
      </c>
    </row>
    <row r="291" spans="1:67" ht="19.2" x14ac:dyDescent="0.4">
      <c r="A291" s="5" t="s">
        <v>407</v>
      </c>
      <c r="B291" s="5" t="s">
        <v>141</v>
      </c>
      <c r="C291" s="5">
        <v>425414</v>
      </c>
      <c r="D291" s="6"/>
      <c r="E291" s="5" t="s">
        <v>31</v>
      </c>
      <c r="F291" s="5" t="s">
        <v>142</v>
      </c>
      <c r="G291" s="5" t="s">
        <v>11</v>
      </c>
      <c r="H291" s="7" t="s">
        <v>7</v>
      </c>
      <c r="I291" s="7" t="s">
        <v>143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28</v>
      </c>
      <c r="AF291" s="7">
        <v>0</v>
      </c>
      <c r="AG291" s="8">
        <v>2800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2</v>
      </c>
      <c r="AR291" s="7">
        <v>200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10">
        <v>3000</v>
      </c>
      <c r="BN291" s="13">
        <f t="shared" si="8"/>
        <v>3000</v>
      </c>
      <c r="BO291" s="14">
        <f t="shared" si="9"/>
        <v>2100</v>
      </c>
    </row>
    <row r="292" spans="1:67" ht="19.2" x14ac:dyDescent="0.4">
      <c r="A292" s="5" t="s">
        <v>407</v>
      </c>
      <c r="B292" s="5" t="s">
        <v>262</v>
      </c>
      <c r="C292" s="5">
        <v>305522</v>
      </c>
      <c r="D292" s="6"/>
      <c r="E292" s="5" t="s">
        <v>31</v>
      </c>
      <c r="F292" s="5" t="s">
        <v>58</v>
      </c>
      <c r="G292" s="5" t="s">
        <v>51</v>
      </c>
      <c r="H292" s="7" t="s">
        <v>8</v>
      </c>
      <c r="I292" s="7" t="s">
        <v>263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26</v>
      </c>
      <c r="AF292" s="8">
        <v>2400</v>
      </c>
      <c r="AG292" s="7">
        <v>600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10">
        <v>3000</v>
      </c>
      <c r="BN292" s="13">
        <f t="shared" si="8"/>
        <v>3000</v>
      </c>
      <c r="BO292" s="14">
        <f t="shared" si="9"/>
        <v>2100</v>
      </c>
    </row>
    <row r="293" spans="1:67" ht="19.2" x14ac:dyDescent="0.4">
      <c r="A293" s="5" t="s">
        <v>407</v>
      </c>
      <c r="B293" s="5" t="s">
        <v>286</v>
      </c>
      <c r="C293" s="5">
        <v>395192</v>
      </c>
      <c r="D293" s="6"/>
      <c r="E293" s="5" t="s">
        <v>31</v>
      </c>
      <c r="F293" s="5" t="s">
        <v>150</v>
      </c>
      <c r="G293" s="5" t="s">
        <v>51</v>
      </c>
      <c r="H293" s="7" t="s">
        <v>8</v>
      </c>
      <c r="I293" s="7" t="s">
        <v>287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21</v>
      </c>
      <c r="AF293" s="8">
        <v>1600</v>
      </c>
      <c r="AG293" s="7">
        <v>500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8</v>
      </c>
      <c r="AR293" s="7">
        <v>800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10">
        <v>2900</v>
      </c>
      <c r="BN293" s="13">
        <f t="shared" si="8"/>
        <v>2900</v>
      </c>
      <c r="BO293" s="14">
        <f t="shared" si="9"/>
        <v>2029.9999999999998</v>
      </c>
    </row>
    <row r="294" spans="1:67" ht="19.2" x14ac:dyDescent="0.4">
      <c r="A294" s="5" t="s">
        <v>407</v>
      </c>
      <c r="B294" s="5" t="s">
        <v>449</v>
      </c>
      <c r="C294" s="5">
        <v>428129</v>
      </c>
      <c r="D294" s="6"/>
      <c r="E294" s="5" t="s">
        <v>31</v>
      </c>
      <c r="F294" s="5" t="s">
        <v>65</v>
      </c>
      <c r="G294" s="5" t="s">
        <v>51</v>
      </c>
      <c r="H294" s="7" t="s">
        <v>331</v>
      </c>
      <c r="I294" s="7" t="s">
        <v>415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2</v>
      </c>
      <c r="AR294" s="8">
        <v>2800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10">
        <v>2800</v>
      </c>
      <c r="BN294" s="13">
        <f t="shared" si="8"/>
        <v>2800</v>
      </c>
      <c r="BO294" s="14">
        <f t="shared" si="9"/>
        <v>1959.9999999999998</v>
      </c>
    </row>
    <row r="295" spans="1:67" ht="19.2" x14ac:dyDescent="0.4">
      <c r="A295" s="5" t="s">
        <v>407</v>
      </c>
      <c r="B295" s="5" t="s">
        <v>302</v>
      </c>
      <c r="C295" s="5">
        <v>327548</v>
      </c>
      <c r="D295" s="6"/>
      <c r="E295" s="5" t="s">
        <v>31</v>
      </c>
      <c r="F295" s="5" t="s">
        <v>227</v>
      </c>
      <c r="G295" s="5" t="s">
        <v>51</v>
      </c>
      <c r="H295" s="7" t="s">
        <v>8</v>
      </c>
      <c r="I295" s="7" t="s">
        <v>303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2</v>
      </c>
      <c r="AF295" s="7">
        <v>240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25</v>
      </c>
      <c r="AR295" s="8">
        <v>2500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10">
        <v>2740</v>
      </c>
      <c r="BN295" s="13">
        <f t="shared" si="8"/>
        <v>2740</v>
      </c>
      <c r="BO295" s="14">
        <f t="shared" si="9"/>
        <v>1917.9999999999998</v>
      </c>
    </row>
    <row r="296" spans="1:67" ht="19.2" x14ac:dyDescent="0.4">
      <c r="A296" s="5" t="s">
        <v>407</v>
      </c>
      <c r="B296" s="5" t="s">
        <v>144</v>
      </c>
      <c r="C296" s="5">
        <v>386704</v>
      </c>
      <c r="D296" s="6"/>
      <c r="E296" s="5" t="s">
        <v>31</v>
      </c>
      <c r="F296" s="5" t="s">
        <v>145</v>
      </c>
      <c r="G296" s="5" t="s">
        <v>51</v>
      </c>
      <c r="H296" s="7" t="s">
        <v>8</v>
      </c>
      <c r="I296" s="7" t="s">
        <v>146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22</v>
      </c>
      <c r="AF296" s="8">
        <v>2640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10">
        <v>2640</v>
      </c>
      <c r="BN296" s="13">
        <f t="shared" si="8"/>
        <v>2640</v>
      </c>
      <c r="BO296" s="14">
        <f t="shared" si="9"/>
        <v>1847.9999999999998</v>
      </c>
    </row>
    <row r="297" spans="1:67" ht="19.2" x14ac:dyDescent="0.4">
      <c r="A297" s="5" t="s">
        <v>407</v>
      </c>
      <c r="B297" s="5" t="s">
        <v>387</v>
      </c>
      <c r="C297" s="5">
        <v>452403</v>
      </c>
      <c r="D297" s="6"/>
      <c r="E297" s="5" t="s">
        <v>31</v>
      </c>
      <c r="F297" s="5" t="s">
        <v>369</v>
      </c>
      <c r="G297" s="5" t="s">
        <v>51</v>
      </c>
      <c r="H297" s="7" t="s">
        <v>8</v>
      </c>
      <c r="I297" s="7" t="s">
        <v>388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4</v>
      </c>
      <c r="AF297" s="7">
        <v>0</v>
      </c>
      <c r="AG297" s="7">
        <v>400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18</v>
      </c>
      <c r="BD297" s="8">
        <v>2160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129.6</v>
      </c>
      <c r="BM297" s="10">
        <v>2560</v>
      </c>
      <c r="BN297" s="13">
        <f t="shared" si="8"/>
        <v>2430.4</v>
      </c>
      <c r="BO297" s="14">
        <f t="shared" si="9"/>
        <v>1701.28</v>
      </c>
    </row>
    <row r="298" spans="1:67" ht="19.2" x14ac:dyDescent="0.4">
      <c r="A298" s="5" t="s">
        <v>407</v>
      </c>
      <c r="B298" s="5" t="s">
        <v>526</v>
      </c>
      <c r="C298" s="5">
        <v>420816</v>
      </c>
      <c r="D298" s="6"/>
      <c r="E298" s="5" t="s">
        <v>31</v>
      </c>
      <c r="F298" s="5" t="s">
        <v>145</v>
      </c>
      <c r="G298" s="5" t="s">
        <v>51</v>
      </c>
      <c r="H298" s="7" t="s">
        <v>331</v>
      </c>
      <c r="I298" s="7" t="s">
        <v>305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1</v>
      </c>
      <c r="AF298" s="8">
        <v>2160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10">
        <v>2160</v>
      </c>
      <c r="BN298" s="13">
        <f t="shared" si="8"/>
        <v>2160</v>
      </c>
      <c r="BO298" s="14">
        <f t="shared" si="9"/>
        <v>1512</v>
      </c>
    </row>
    <row r="299" spans="1:67" ht="19.2" x14ac:dyDescent="0.4">
      <c r="A299" s="5" t="s">
        <v>407</v>
      </c>
      <c r="B299" s="5" t="s">
        <v>187</v>
      </c>
      <c r="C299" s="5">
        <v>387822</v>
      </c>
      <c r="D299" s="6"/>
      <c r="E299" s="5" t="s">
        <v>31</v>
      </c>
      <c r="F299" s="5" t="s">
        <v>188</v>
      </c>
      <c r="G299" s="5" t="s">
        <v>51</v>
      </c>
      <c r="H299" s="7" t="s">
        <v>8</v>
      </c>
      <c r="I299" s="7" t="s">
        <v>189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21</v>
      </c>
      <c r="AF299" s="8">
        <v>2100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10">
        <v>2100</v>
      </c>
      <c r="BN299" s="13">
        <f t="shared" si="8"/>
        <v>2100</v>
      </c>
      <c r="BO299" s="14">
        <f t="shared" si="9"/>
        <v>1470</v>
      </c>
    </row>
    <row r="300" spans="1:67" ht="19.2" x14ac:dyDescent="0.4">
      <c r="A300" s="5" t="s">
        <v>407</v>
      </c>
      <c r="B300" s="5" t="s">
        <v>164</v>
      </c>
      <c r="C300" s="5">
        <v>328404</v>
      </c>
      <c r="D300" s="6"/>
      <c r="E300" s="5" t="s">
        <v>31</v>
      </c>
      <c r="F300" s="5" t="s">
        <v>50</v>
      </c>
      <c r="G300" s="5" t="s">
        <v>51</v>
      </c>
      <c r="H300" s="7" t="s">
        <v>8</v>
      </c>
      <c r="I300" s="7" t="s">
        <v>165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1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16</v>
      </c>
      <c r="AF300" s="8">
        <v>1680</v>
      </c>
      <c r="AG300" s="7">
        <v>200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1</v>
      </c>
      <c r="BJ300" s="7">
        <v>120</v>
      </c>
      <c r="BK300" s="7">
        <v>0</v>
      </c>
      <c r="BL300" s="7">
        <v>6</v>
      </c>
      <c r="BM300" s="10">
        <v>2000</v>
      </c>
      <c r="BN300" s="13">
        <f t="shared" si="8"/>
        <v>1994</v>
      </c>
      <c r="BO300" s="14">
        <f t="shared" si="9"/>
        <v>1395.8</v>
      </c>
    </row>
    <row r="301" spans="1:67" ht="19.2" x14ac:dyDescent="0.4">
      <c r="A301" s="5" t="s">
        <v>407</v>
      </c>
      <c r="B301" s="5" t="s">
        <v>72</v>
      </c>
      <c r="C301" s="5">
        <v>463946</v>
      </c>
      <c r="D301" s="6"/>
      <c r="E301" s="5" t="s">
        <v>31</v>
      </c>
      <c r="F301" s="5" t="s">
        <v>73</v>
      </c>
      <c r="G301" s="5" t="s">
        <v>11</v>
      </c>
      <c r="H301" s="7" t="s">
        <v>7</v>
      </c>
      <c r="I301" s="7" t="s">
        <v>74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19</v>
      </c>
      <c r="AF301" s="8">
        <v>1920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10">
        <v>1920</v>
      </c>
      <c r="BN301" s="13">
        <f t="shared" si="8"/>
        <v>1920</v>
      </c>
      <c r="BO301" s="14">
        <f t="shared" si="9"/>
        <v>1344</v>
      </c>
    </row>
    <row r="302" spans="1:67" ht="19.2" x14ac:dyDescent="0.4">
      <c r="A302" s="5" t="s">
        <v>407</v>
      </c>
      <c r="B302" s="5" t="s">
        <v>240</v>
      </c>
      <c r="C302" s="5">
        <v>434558</v>
      </c>
      <c r="D302" s="6"/>
      <c r="E302" s="5" t="s">
        <v>31</v>
      </c>
      <c r="F302" s="5" t="s">
        <v>241</v>
      </c>
      <c r="G302" s="5" t="s">
        <v>11</v>
      </c>
      <c r="H302" s="7" t="s">
        <v>7</v>
      </c>
      <c r="I302" s="7" t="s">
        <v>242</v>
      </c>
      <c r="J302" s="7">
        <v>1</v>
      </c>
      <c r="K302" s="7">
        <v>21</v>
      </c>
      <c r="L302" s="7">
        <v>100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17</v>
      </c>
      <c r="AF302" s="7">
        <v>0</v>
      </c>
      <c r="AG302" s="8">
        <v>1700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1</v>
      </c>
      <c r="AR302" s="7">
        <v>100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10">
        <v>1900</v>
      </c>
      <c r="BN302" s="13">
        <f t="shared" si="8"/>
        <v>1900</v>
      </c>
      <c r="BO302" s="14">
        <f t="shared" si="9"/>
        <v>1330</v>
      </c>
    </row>
    <row r="303" spans="1:67" ht="19.2" x14ac:dyDescent="0.4">
      <c r="A303" s="5" t="s">
        <v>407</v>
      </c>
      <c r="B303" s="5" t="s">
        <v>243</v>
      </c>
      <c r="C303" s="5">
        <v>353981</v>
      </c>
      <c r="D303" s="6"/>
      <c r="E303" s="5" t="s">
        <v>31</v>
      </c>
      <c r="F303" s="5" t="s">
        <v>244</v>
      </c>
      <c r="G303" s="5" t="s">
        <v>51</v>
      </c>
      <c r="H303" s="7" t="s">
        <v>8</v>
      </c>
      <c r="I303" s="7" t="s">
        <v>245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16</v>
      </c>
      <c r="AF303" s="7">
        <v>0</v>
      </c>
      <c r="AG303" s="8">
        <v>1600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10">
        <v>1600</v>
      </c>
      <c r="BN303" s="13">
        <f t="shared" si="8"/>
        <v>1600</v>
      </c>
      <c r="BO303" s="14">
        <f t="shared" si="9"/>
        <v>1120</v>
      </c>
    </row>
    <row r="304" spans="1:67" ht="19.2" x14ac:dyDescent="0.4">
      <c r="A304" s="5" t="s">
        <v>407</v>
      </c>
      <c r="B304" s="5" t="s">
        <v>206</v>
      </c>
      <c r="C304" s="5">
        <v>423328</v>
      </c>
      <c r="D304" s="6"/>
      <c r="E304" s="5" t="s">
        <v>31</v>
      </c>
      <c r="F304" s="5" t="s">
        <v>47</v>
      </c>
      <c r="G304" s="5" t="s">
        <v>11</v>
      </c>
      <c r="H304" s="7" t="s">
        <v>7</v>
      </c>
      <c r="I304" s="7" t="s">
        <v>207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3</v>
      </c>
      <c r="AF304" s="7">
        <v>360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12</v>
      </c>
      <c r="AR304" s="8">
        <v>1200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10">
        <v>1560</v>
      </c>
      <c r="BN304" s="13">
        <f t="shared" si="8"/>
        <v>1560</v>
      </c>
      <c r="BO304" s="14">
        <f t="shared" si="9"/>
        <v>1092</v>
      </c>
    </row>
    <row r="305" spans="1:67" ht="19.2" x14ac:dyDescent="0.4">
      <c r="A305" s="5" t="s">
        <v>407</v>
      </c>
      <c r="B305" s="5" t="s">
        <v>237</v>
      </c>
      <c r="C305" s="5">
        <v>434877</v>
      </c>
      <c r="D305" s="6"/>
      <c r="E305" s="5" t="s">
        <v>31</v>
      </c>
      <c r="F305" s="5" t="s">
        <v>238</v>
      </c>
      <c r="G305" s="5" t="s">
        <v>11</v>
      </c>
      <c r="H305" s="7" t="s">
        <v>7</v>
      </c>
      <c r="I305" s="7" t="s">
        <v>239</v>
      </c>
      <c r="J305" s="7">
        <v>2</v>
      </c>
      <c r="K305" s="7">
        <v>0</v>
      </c>
      <c r="L305" s="7">
        <v>200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13</v>
      </c>
      <c r="AR305" s="8">
        <v>1300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10">
        <v>1500</v>
      </c>
      <c r="BN305" s="13">
        <f t="shared" si="8"/>
        <v>1500</v>
      </c>
      <c r="BO305" s="14">
        <f t="shared" si="9"/>
        <v>1050</v>
      </c>
    </row>
    <row r="306" spans="1:67" ht="19.2" x14ac:dyDescent="0.4">
      <c r="A306" s="5" t="s">
        <v>407</v>
      </c>
      <c r="B306" s="5" t="s">
        <v>159</v>
      </c>
      <c r="C306" s="5">
        <v>399034</v>
      </c>
      <c r="D306" s="6"/>
      <c r="E306" s="5" t="s">
        <v>31</v>
      </c>
      <c r="F306" s="5" t="s">
        <v>160</v>
      </c>
      <c r="G306" s="5" t="s">
        <v>51</v>
      </c>
      <c r="H306" s="7" t="s">
        <v>8</v>
      </c>
      <c r="I306" s="7" t="s">
        <v>161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13</v>
      </c>
      <c r="AF306" s="7">
        <v>0</v>
      </c>
      <c r="AG306" s="8">
        <v>1300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10">
        <v>1300</v>
      </c>
      <c r="BN306" s="13">
        <f t="shared" si="8"/>
        <v>1300</v>
      </c>
      <c r="BO306" s="14">
        <f t="shared" si="9"/>
        <v>909.99999999999989</v>
      </c>
    </row>
    <row r="307" spans="1:67" ht="19.2" x14ac:dyDescent="0.4">
      <c r="A307" s="5" t="s">
        <v>407</v>
      </c>
      <c r="B307" s="5" t="s">
        <v>343</v>
      </c>
      <c r="C307" s="5">
        <v>414120</v>
      </c>
      <c r="D307" s="6"/>
      <c r="E307" s="5" t="s">
        <v>31</v>
      </c>
      <c r="F307" s="5" t="s">
        <v>58</v>
      </c>
      <c r="G307" s="5" t="s">
        <v>51</v>
      </c>
      <c r="H307" s="7" t="s">
        <v>8</v>
      </c>
      <c r="I307" s="7" t="s">
        <v>222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9</v>
      </c>
      <c r="AF307" s="8">
        <v>1080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2</v>
      </c>
      <c r="AR307" s="7">
        <v>200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10">
        <v>1280</v>
      </c>
      <c r="BN307" s="13">
        <f t="shared" si="8"/>
        <v>1280</v>
      </c>
      <c r="BO307" s="14">
        <f t="shared" si="9"/>
        <v>896</v>
      </c>
    </row>
    <row r="308" spans="1:67" ht="19.2" x14ac:dyDescent="0.4">
      <c r="A308" s="5" t="s">
        <v>407</v>
      </c>
      <c r="B308" s="5" t="s">
        <v>527</v>
      </c>
      <c r="C308" s="5">
        <v>411934</v>
      </c>
      <c r="D308" s="6"/>
      <c r="E308" s="5" t="s">
        <v>31</v>
      </c>
      <c r="F308" s="5" t="s">
        <v>145</v>
      </c>
      <c r="G308" s="5" t="s">
        <v>51</v>
      </c>
      <c r="H308" s="7" t="s">
        <v>331</v>
      </c>
      <c r="I308" s="7" t="s">
        <v>344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1</v>
      </c>
      <c r="AF308" s="8">
        <v>1200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10">
        <v>1200</v>
      </c>
      <c r="BN308" s="13">
        <f t="shared" si="8"/>
        <v>1200</v>
      </c>
      <c r="BO308" s="14">
        <f t="shared" si="9"/>
        <v>840</v>
      </c>
    </row>
    <row r="309" spans="1:67" ht="19.2" x14ac:dyDescent="0.4">
      <c r="A309" s="5" t="s">
        <v>407</v>
      </c>
      <c r="B309" s="5" t="s">
        <v>452</v>
      </c>
      <c r="C309" s="5">
        <v>425649</v>
      </c>
      <c r="D309" s="6"/>
      <c r="E309" s="5" t="s">
        <v>31</v>
      </c>
      <c r="F309" s="5" t="s">
        <v>247</v>
      </c>
      <c r="G309" s="5" t="s">
        <v>51</v>
      </c>
      <c r="H309" s="7" t="s">
        <v>331</v>
      </c>
      <c r="I309" s="7" t="s">
        <v>248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1</v>
      </c>
      <c r="AR309" s="7">
        <v>0</v>
      </c>
      <c r="AS309" s="8">
        <v>1100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10">
        <v>1100</v>
      </c>
      <c r="BN309" s="13">
        <f t="shared" si="8"/>
        <v>1100</v>
      </c>
      <c r="BO309" s="14">
        <f t="shared" si="9"/>
        <v>770</v>
      </c>
    </row>
    <row r="310" spans="1:67" ht="19.2" x14ac:dyDescent="0.4">
      <c r="A310" s="5" t="s">
        <v>407</v>
      </c>
      <c r="B310" s="5" t="s">
        <v>465</v>
      </c>
      <c r="C310" s="5">
        <v>426261</v>
      </c>
      <c r="D310" s="6"/>
      <c r="E310" s="5" t="s">
        <v>31</v>
      </c>
      <c r="F310" s="5" t="s">
        <v>150</v>
      </c>
      <c r="G310" s="5" t="s">
        <v>51</v>
      </c>
      <c r="H310" s="7" t="s">
        <v>331</v>
      </c>
      <c r="I310" s="7" t="s">
        <v>456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2</v>
      </c>
      <c r="AF310" s="8">
        <v>1100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10">
        <v>1100</v>
      </c>
      <c r="BN310" s="13">
        <f t="shared" si="8"/>
        <v>1100</v>
      </c>
      <c r="BO310" s="14">
        <f t="shared" si="9"/>
        <v>770</v>
      </c>
    </row>
    <row r="311" spans="1:67" ht="19.2" x14ac:dyDescent="0.4">
      <c r="A311" s="5" t="s">
        <v>407</v>
      </c>
      <c r="B311" s="5" t="s">
        <v>341</v>
      </c>
      <c r="C311" s="5">
        <v>431330</v>
      </c>
      <c r="D311" s="6"/>
      <c r="E311" s="5" t="s">
        <v>31</v>
      </c>
      <c r="F311" s="5" t="s">
        <v>292</v>
      </c>
      <c r="G311" s="5" t="s">
        <v>51</v>
      </c>
      <c r="H311" s="7" t="s">
        <v>8</v>
      </c>
      <c r="I311" s="7" t="s">
        <v>342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10</v>
      </c>
      <c r="AF311" s="8">
        <v>1060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10">
        <v>1060</v>
      </c>
      <c r="BN311" s="13">
        <f t="shared" si="8"/>
        <v>1060</v>
      </c>
      <c r="BO311" s="14">
        <f t="shared" si="9"/>
        <v>742</v>
      </c>
    </row>
    <row r="312" spans="1:67" ht="19.2" x14ac:dyDescent="0.4">
      <c r="A312" s="5" t="s">
        <v>407</v>
      </c>
      <c r="B312" s="5" t="s">
        <v>264</v>
      </c>
      <c r="C312" s="5">
        <v>458561</v>
      </c>
      <c r="D312" s="6"/>
      <c r="E312" s="5" t="s">
        <v>31</v>
      </c>
      <c r="F312" s="5" t="s">
        <v>47</v>
      </c>
      <c r="G312" s="5" t="s">
        <v>11</v>
      </c>
      <c r="H312" s="7" t="s">
        <v>7</v>
      </c>
      <c r="I312" s="7" t="s">
        <v>220</v>
      </c>
      <c r="J312" s="7">
        <v>1</v>
      </c>
      <c r="K312" s="7">
        <v>0</v>
      </c>
      <c r="L312" s="7">
        <v>100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8</v>
      </c>
      <c r="AF312" s="7">
        <v>960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10">
        <v>1060</v>
      </c>
      <c r="BN312" s="13">
        <f t="shared" si="8"/>
        <v>1060</v>
      </c>
      <c r="BO312" s="14">
        <f t="shared" si="9"/>
        <v>742</v>
      </c>
    </row>
    <row r="313" spans="1:67" ht="19.2" x14ac:dyDescent="0.4">
      <c r="A313" s="5" t="s">
        <v>407</v>
      </c>
      <c r="B313" s="5" t="s">
        <v>336</v>
      </c>
      <c r="C313" s="5">
        <v>363413</v>
      </c>
      <c r="D313" s="6"/>
      <c r="E313" s="5" t="s">
        <v>31</v>
      </c>
      <c r="F313" s="5" t="s">
        <v>123</v>
      </c>
      <c r="G313" s="5" t="s">
        <v>51</v>
      </c>
      <c r="H313" s="7" t="s">
        <v>8</v>
      </c>
      <c r="I313" s="7" t="s">
        <v>337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2</v>
      </c>
      <c r="AF313" s="7">
        <v>240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8</v>
      </c>
      <c r="AR313" s="7">
        <v>800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10">
        <v>1040</v>
      </c>
      <c r="BN313" s="13">
        <f t="shared" si="8"/>
        <v>1040</v>
      </c>
      <c r="BO313" s="14">
        <f t="shared" si="9"/>
        <v>728</v>
      </c>
    </row>
    <row r="314" spans="1:67" ht="19.2" x14ac:dyDescent="0.4">
      <c r="A314" s="5" t="s">
        <v>407</v>
      </c>
      <c r="B314" s="5" t="s">
        <v>204</v>
      </c>
      <c r="C314" s="5">
        <v>378409</v>
      </c>
      <c r="D314" s="6"/>
      <c r="E314" s="5" t="s">
        <v>31</v>
      </c>
      <c r="F314" s="5" t="s">
        <v>65</v>
      </c>
      <c r="G314" s="5" t="s">
        <v>51</v>
      </c>
      <c r="H314" s="7" t="s">
        <v>8</v>
      </c>
      <c r="I314" s="7" t="s">
        <v>205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8</v>
      </c>
      <c r="AF314" s="7">
        <v>960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11">
        <v>960</v>
      </c>
      <c r="BN314" s="13">
        <f t="shared" si="8"/>
        <v>960</v>
      </c>
      <c r="BO314" s="14">
        <f t="shared" si="9"/>
        <v>672</v>
      </c>
    </row>
    <row r="315" spans="1:67" ht="19.2" x14ac:dyDescent="0.4">
      <c r="A315" s="5" t="s">
        <v>407</v>
      </c>
      <c r="B315" s="5" t="s">
        <v>216</v>
      </c>
      <c r="C315" s="5">
        <v>371774</v>
      </c>
      <c r="D315" s="6"/>
      <c r="E315" s="5" t="s">
        <v>31</v>
      </c>
      <c r="F315" s="5" t="s">
        <v>217</v>
      </c>
      <c r="G315" s="5" t="s">
        <v>11</v>
      </c>
      <c r="H315" s="7" t="s">
        <v>7</v>
      </c>
      <c r="I315" s="7" t="s">
        <v>218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9</v>
      </c>
      <c r="AF315" s="7">
        <v>900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</v>
      </c>
      <c r="BM315" s="11">
        <v>900</v>
      </c>
      <c r="BN315" s="13">
        <f t="shared" si="8"/>
        <v>900</v>
      </c>
      <c r="BO315" s="14">
        <f t="shared" si="9"/>
        <v>630</v>
      </c>
    </row>
    <row r="316" spans="1:67" ht="19.2" x14ac:dyDescent="0.4">
      <c r="A316" s="5" t="s">
        <v>407</v>
      </c>
      <c r="B316" s="5" t="s">
        <v>462</v>
      </c>
      <c r="C316" s="5">
        <v>383236</v>
      </c>
      <c r="D316" s="6"/>
      <c r="E316" s="5" t="s">
        <v>31</v>
      </c>
      <c r="F316" s="5" t="s">
        <v>150</v>
      </c>
      <c r="G316" s="5" t="s">
        <v>51</v>
      </c>
      <c r="H316" s="7" t="s">
        <v>331</v>
      </c>
      <c r="I316" s="7" t="s">
        <v>151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2</v>
      </c>
      <c r="AF316" s="7">
        <v>880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11">
        <v>880</v>
      </c>
      <c r="BN316" s="13">
        <f t="shared" si="8"/>
        <v>880</v>
      </c>
      <c r="BO316" s="14">
        <f t="shared" si="9"/>
        <v>616</v>
      </c>
    </row>
    <row r="317" spans="1:67" ht="19.2" x14ac:dyDescent="0.4">
      <c r="A317" s="5" t="s">
        <v>407</v>
      </c>
      <c r="B317" s="5" t="s">
        <v>457</v>
      </c>
      <c r="C317" s="5">
        <v>407003</v>
      </c>
      <c r="D317" s="6"/>
      <c r="E317" s="5" t="s">
        <v>31</v>
      </c>
      <c r="F317" s="5" t="s">
        <v>384</v>
      </c>
      <c r="G317" s="5" t="s">
        <v>51</v>
      </c>
      <c r="H317" s="7" t="s">
        <v>331</v>
      </c>
      <c r="I317" s="7" t="s">
        <v>458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8</v>
      </c>
      <c r="AF317" s="7">
        <v>800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0</v>
      </c>
      <c r="BM317" s="11">
        <v>800</v>
      </c>
      <c r="BN317" s="13">
        <f t="shared" si="8"/>
        <v>800</v>
      </c>
      <c r="BO317" s="14">
        <f t="shared" si="9"/>
        <v>560</v>
      </c>
    </row>
    <row r="318" spans="1:67" ht="19.2" x14ac:dyDescent="0.4">
      <c r="A318" s="5" t="s">
        <v>407</v>
      </c>
      <c r="B318" s="5" t="s">
        <v>297</v>
      </c>
      <c r="C318" s="5">
        <v>417258</v>
      </c>
      <c r="D318" s="6"/>
      <c r="E318" s="5" t="s">
        <v>31</v>
      </c>
      <c r="F318" s="5" t="s">
        <v>298</v>
      </c>
      <c r="G318" s="5" t="s">
        <v>51</v>
      </c>
      <c r="H318" s="7" t="s">
        <v>8</v>
      </c>
      <c r="I318" s="7" t="s">
        <v>299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8</v>
      </c>
      <c r="AF318" s="7">
        <v>800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7">
        <v>0</v>
      </c>
      <c r="BK318" s="7">
        <v>0</v>
      </c>
      <c r="BL318" s="7">
        <v>0</v>
      </c>
      <c r="BM318" s="11">
        <v>800</v>
      </c>
      <c r="BN318" s="13">
        <f t="shared" si="8"/>
        <v>800</v>
      </c>
      <c r="BO318" s="14">
        <f t="shared" si="9"/>
        <v>560</v>
      </c>
    </row>
    <row r="319" spans="1:67" ht="19.2" x14ac:dyDescent="0.4">
      <c r="A319" s="5" t="s">
        <v>407</v>
      </c>
      <c r="B319" s="5" t="s">
        <v>300</v>
      </c>
      <c r="C319" s="5">
        <v>358724</v>
      </c>
      <c r="D319" s="6"/>
      <c r="E319" s="5" t="s">
        <v>31</v>
      </c>
      <c r="F319" s="5" t="s">
        <v>301</v>
      </c>
      <c r="G319" s="5" t="s">
        <v>51</v>
      </c>
      <c r="H319" s="7" t="s">
        <v>8</v>
      </c>
      <c r="I319" s="7" t="s">
        <v>124</v>
      </c>
      <c r="J319" s="7">
        <v>4</v>
      </c>
      <c r="K319" s="7">
        <v>0</v>
      </c>
      <c r="L319" s="7">
        <v>400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3</v>
      </c>
      <c r="AF319" s="7">
        <v>360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11">
        <v>760</v>
      </c>
      <c r="BN319" s="13">
        <f t="shared" si="8"/>
        <v>760</v>
      </c>
      <c r="BO319" s="14">
        <f t="shared" si="9"/>
        <v>532</v>
      </c>
    </row>
    <row r="320" spans="1:67" ht="19.2" x14ac:dyDescent="0.4">
      <c r="A320" s="5" t="s">
        <v>407</v>
      </c>
      <c r="B320" s="5" t="s">
        <v>98</v>
      </c>
      <c r="C320" s="5">
        <v>429621</v>
      </c>
      <c r="D320" s="6"/>
      <c r="E320" s="5" t="s">
        <v>31</v>
      </c>
      <c r="F320" s="5" t="s">
        <v>99</v>
      </c>
      <c r="G320" s="5" t="s">
        <v>11</v>
      </c>
      <c r="H320" s="7" t="s">
        <v>8</v>
      </c>
      <c r="I320" s="7" t="s">
        <v>100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1</v>
      </c>
      <c r="AF320" s="7">
        <v>0</v>
      </c>
      <c r="AG320" s="7">
        <v>100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5</v>
      </c>
      <c r="AR320" s="7">
        <v>500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11">
        <v>600</v>
      </c>
      <c r="BN320" s="13">
        <f t="shared" si="8"/>
        <v>600</v>
      </c>
      <c r="BO320" s="14">
        <f t="shared" si="9"/>
        <v>420</v>
      </c>
    </row>
    <row r="321" spans="1:67" ht="19.2" x14ac:dyDescent="0.4">
      <c r="A321" s="5" t="s">
        <v>407</v>
      </c>
      <c r="B321" s="5" t="s">
        <v>469</v>
      </c>
      <c r="C321" s="5">
        <v>380275</v>
      </c>
      <c r="D321" s="6"/>
      <c r="E321" s="5" t="s">
        <v>31</v>
      </c>
      <c r="F321" s="5" t="s">
        <v>58</v>
      </c>
      <c r="G321" s="5" t="s">
        <v>51</v>
      </c>
      <c r="H321" s="7" t="s">
        <v>331</v>
      </c>
      <c r="I321" s="7" t="s">
        <v>470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1</v>
      </c>
      <c r="AF321" s="7">
        <v>120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4</v>
      </c>
      <c r="AR321" s="7">
        <v>400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11">
        <v>520</v>
      </c>
      <c r="BN321" s="13">
        <f t="shared" si="8"/>
        <v>520</v>
      </c>
      <c r="BO321" s="14">
        <f t="shared" si="9"/>
        <v>364</v>
      </c>
    </row>
    <row r="322" spans="1:67" ht="19.2" x14ac:dyDescent="0.4">
      <c r="A322" s="5" t="s">
        <v>407</v>
      </c>
      <c r="B322" s="5" t="s">
        <v>459</v>
      </c>
      <c r="C322" s="5">
        <v>377684</v>
      </c>
      <c r="D322" s="6"/>
      <c r="E322" s="5" t="s">
        <v>31</v>
      </c>
      <c r="F322" s="5" t="s">
        <v>50</v>
      </c>
      <c r="G322" s="5" t="s">
        <v>51</v>
      </c>
      <c r="H322" s="7" t="s">
        <v>331</v>
      </c>
      <c r="I322" s="7" t="s">
        <v>424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1</v>
      </c>
      <c r="AF322" s="7">
        <v>520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11">
        <v>520</v>
      </c>
      <c r="BN322" s="13">
        <f t="shared" si="8"/>
        <v>520</v>
      </c>
      <c r="BO322" s="14">
        <f t="shared" si="9"/>
        <v>364</v>
      </c>
    </row>
    <row r="323" spans="1:67" ht="19.2" x14ac:dyDescent="0.4">
      <c r="A323" s="5" t="s">
        <v>407</v>
      </c>
      <c r="B323" s="5" t="s">
        <v>137</v>
      </c>
      <c r="C323" s="5">
        <v>379813</v>
      </c>
      <c r="D323" s="6"/>
      <c r="E323" s="5" t="s">
        <v>31</v>
      </c>
      <c r="F323" s="5" t="s">
        <v>47</v>
      </c>
      <c r="G323" s="5" t="s">
        <v>11</v>
      </c>
      <c r="H323" s="7" t="s">
        <v>7</v>
      </c>
      <c r="I323" s="7" t="s">
        <v>138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5</v>
      </c>
      <c r="AF323" s="7">
        <v>300</v>
      </c>
      <c r="AG323" s="7">
        <v>200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  <c r="BJ323" s="7">
        <v>0</v>
      </c>
      <c r="BK323" s="7">
        <v>0</v>
      </c>
      <c r="BL323" s="7">
        <v>0</v>
      </c>
      <c r="BM323" s="11">
        <v>500</v>
      </c>
      <c r="BN323" s="13">
        <f t="shared" ref="BN323:BN344" si="10">BM323-BL323</f>
        <v>500</v>
      </c>
      <c r="BO323" s="14">
        <f t="shared" ref="BO323:BO344" si="11">BN323*70%</f>
        <v>350</v>
      </c>
    </row>
    <row r="324" spans="1:67" ht="19.2" x14ac:dyDescent="0.4">
      <c r="A324" s="5" t="s">
        <v>407</v>
      </c>
      <c r="B324" s="5" t="s">
        <v>212</v>
      </c>
      <c r="C324" s="5">
        <v>402649</v>
      </c>
      <c r="D324" s="6"/>
      <c r="E324" s="5" t="s">
        <v>31</v>
      </c>
      <c r="F324" s="5" t="s">
        <v>58</v>
      </c>
      <c r="G324" s="5" t="s">
        <v>51</v>
      </c>
      <c r="H324" s="7" t="s">
        <v>8</v>
      </c>
      <c r="I324" s="7" t="s">
        <v>213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5</v>
      </c>
      <c r="AF324" s="7">
        <v>500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  <c r="BJ324" s="7">
        <v>0</v>
      </c>
      <c r="BK324" s="7">
        <v>0</v>
      </c>
      <c r="BL324" s="7">
        <v>0</v>
      </c>
      <c r="BM324" s="11">
        <v>500</v>
      </c>
      <c r="BN324" s="13">
        <f t="shared" si="10"/>
        <v>500</v>
      </c>
      <c r="BO324" s="14">
        <f t="shared" si="11"/>
        <v>350</v>
      </c>
    </row>
    <row r="325" spans="1:67" ht="19.2" x14ac:dyDescent="0.4">
      <c r="A325" s="5" t="s">
        <v>407</v>
      </c>
      <c r="B325" s="5" t="s">
        <v>181</v>
      </c>
      <c r="C325" s="5">
        <v>423577</v>
      </c>
      <c r="D325" s="6"/>
      <c r="E325" s="5" t="s">
        <v>31</v>
      </c>
      <c r="F325" s="5" t="s">
        <v>182</v>
      </c>
      <c r="G325" s="5" t="s">
        <v>51</v>
      </c>
      <c r="H325" s="7" t="s">
        <v>8</v>
      </c>
      <c r="I325" s="7" t="s">
        <v>183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5</v>
      </c>
      <c r="AR325" s="7">
        <v>500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11">
        <v>500</v>
      </c>
      <c r="BN325" s="13">
        <f t="shared" si="10"/>
        <v>500</v>
      </c>
      <c r="BO325" s="14">
        <f t="shared" si="11"/>
        <v>350</v>
      </c>
    </row>
    <row r="326" spans="1:67" ht="19.2" x14ac:dyDescent="0.4">
      <c r="A326" s="5" t="s">
        <v>407</v>
      </c>
      <c r="B326" s="5" t="s">
        <v>246</v>
      </c>
      <c r="C326" s="5">
        <v>399878</v>
      </c>
      <c r="D326" s="6"/>
      <c r="E326" s="5" t="s">
        <v>31</v>
      </c>
      <c r="F326" s="5" t="s">
        <v>247</v>
      </c>
      <c r="G326" s="5" t="s">
        <v>51</v>
      </c>
      <c r="H326" s="7" t="s">
        <v>8</v>
      </c>
      <c r="I326" s="7" t="s">
        <v>248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4</v>
      </c>
      <c r="AF326" s="7">
        <v>480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7">
        <v>0</v>
      </c>
      <c r="BK326" s="7">
        <v>0</v>
      </c>
      <c r="BL326" s="7">
        <v>0</v>
      </c>
      <c r="BM326" s="11">
        <v>480</v>
      </c>
      <c r="BN326" s="13">
        <f t="shared" si="10"/>
        <v>480</v>
      </c>
      <c r="BO326" s="14">
        <f t="shared" si="11"/>
        <v>336</v>
      </c>
    </row>
    <row r="327" spans="1:67" ht="19.2" x14ac:dyDescent="0.4">
      <c r="A327" s="5" t="s">
        <v>407</v>
      </c>
      <c r="B327" s="5" t="s">
        <v>528</v>
      </c>
      <c r="C327" s="5">
        <v>381693</v>
      </c>
      <c r="D327" s="6"/>
      <c r="E327" s="5" t="s">
        <v>31</v>
      </c>
      <c r="F327" s="5" t="s">
        <v>153</v>
      </c>
      <c r="G327" s="5" t="s">
        <v>51</v>
      </c>
      <c r="H327" s="7" t="s">
        <v>331</v>
      </c>
      <c r="I327" s="7" t="s">
        <v>154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1</v>
      </c>
      <c r="AR327" s="7">
        <v>400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7">
        <v>0</v>
      </c>
      <c r="BK327" s="7">
        <v>0</v>
      </c>
      <c r="BL327" s="7">
        <v>0</v>
      </c>
      <c r="BM327" s="11">
        <v>400</v>
      </c>
      <c r="BN327" s="13">
        <f t="shared" si="10"/>
        <v>400</v>
      </c>
      <c r="BO327" s="14">
        <f t="shared" si="11"/>
        <v>280</v>
      </c>
    </row>
    <row r="328" spans="1:67" ht="19.2" x14ac:dyDescent="0.4">
      <c r="A328" s="5" t="s">
        <v>407</v>
      </c>
      <c r="B328" s="5" t="s">
        <v>466</v>
      </c>
      <c r="C328" s="5">
        <v>428409</v>
      </c>
      <c r="D328" s="6"/>
      <c r="E328" s="5" t="s">
        <v>31</v>
      </c>
      <c r="F328" s="5" t="s">
        <v>58</v>
      </c>
      <c r="G328" s="5" t="s">
        <v>51</v>
      </c>
      <c r="H328" s="7" t="s">
        <v>331</v>
      </c>
      <c r="I328" s="7" t="s">
        <v>233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1</v>
      </c>
      <c r="AF328" s="7">
        <v>400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7">
        <v>0</v>
      </c>
      <c r="BK328" s="7">
        <v>0</v>
      </c>
      <c r="BL328" s="7">
        <v>0</v>
      </c>
      <c r="BM328" s="11">
        <v>400</v>
      </c>
      <c r="BN328" s="13">
        <f t="shared" si="10"/>
        <v>400</v>
      </c>
      <c r="BO328" s="14">
        <f t="shared" si="11"/>
        <v>280</v>
      </c>
    </row>
    <row r="329" spans="1:67" ht="19.2" x14ac:dyDescent="0.4">
      <c r="A329" s="5" t="s">
        <v>407</v>
      </c>
      <c r="B329" s="5" t="s">
        <v>261</v>
      </c>
      <c r="C329" s="5">
        <v>356295</v>
      </c>
      <c r="D329" s="6"/>
      <c r="E329" s="5" t="s">
        <v>31</v>
      </c>
      <c r="F329" s="5" t="s">
        <v>58</v>
      </c>
      <c r="G329" s="5" t="s">
        <v>51</v>
      </c>
      <c r="H329" s="7" t="s">
        <v>8</v>
      </c>
      <c r="I329" s="7" t="s">
        <v>225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3</v>
      </c>
      <c r="AF329" s="7">
        <v>360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11">
        <v>360</v>
      </c>
      <c r="BN329" s="13">
        <f t="shared" si="10"/>
        <v>360</v>
      </c>
      <c r="BO329" s="14">
        <f t="shared" si="11"/>
        <v>251.99999999999997</v>
      </c>
    </row>
    <row r="330" spans="1:67" ht="19.2" x14ac:dyDescent="0.4">
      <c r="A330" s="5" t="s">
        <v>406</v>
      </c>
      <c r="B330" s="5" t="s">
        <v>376</v>
      </c>
      <c r="C330" s="5">
        <v>469950</v>
      </c>
      <c r="D330" s="6"/>
      <c r="E330" s="5" t="s">
        <v>31</v>
      </c>
      <c r="F330" s="5" t="s">
        <v>335</v>
      </c>
      <c r="G330" s="5" t="s">
        <v>51</v>
      </c>
      <c r="H330" s="7" t="s">
        <v>8</v>
      </c>
      <c r="I330" s="7" t="s">
        <v>377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3</v>
      </c>
      <c r="AF330" s="7">
        <v>0</v>
      </c>
      <c r="AG330" s="7">
        <v>300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11">
        <v>300</v>
      </c>
      <c r="BN330" s="13">
        <f t="shared" si="10"/>
        <v>300</v>
      </c>
      <c r="BO330" s="14">
        <f t="shared" si="11"/>
        <v>210</v>
      </c>
    </row>
    <row r="331" spans="1:67" ht="19.2" x14ac:dyDescent="0.4">
      <c r="A331" s="5" t="s">
        <v>478</v>
      </c>
      <c r="B331" s="5" t="s">
        <v>464</v>
      </c>
      <c r="C331" s="5">
        <v>431805</v>
      </c>
      <c r="D331" s="6"/>
      <c r="E331" s="5" t="s">
        <v>31</v>
      </c>
      <c r="F331" s="5" t="s">
        <v>150</v>
      </c>
      <c r="G331" s="5" t="s">
        <v>51</v>
      </c>
      <c r="H331" s="7" t="s">
        <v>331</v>
      </c>
      <c r="I331" s="7" t="s">
        <v>419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1</v>
      </c>
      <c r="AF331" s="7">
        <v>0</v>
      </c>
      <c r="AG331" s="7">
        <v>300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11">
        <v>300</v>
      </c>
      <c r="BN331" s="13">
        <f t="shared" si="10"/>
        <v>300</v>
      </c>
      <c r="BO331" s="14">
        <f t="shared" si="11"/>
        <v>210</v>
      </c>
    </row>
    <row r="332" spans="1:67" ht="19.2" x14ac:dyDescent="0.4">
      <c r="A332" s="5" t="s">
        <v>406</v>
      </c>
      <c r="B332" s="5" t="s">
        <v>529</v>
      </c>
      <c r="C332" s="5">
        <v>428131</v>
      </c>
      <c r="D332" s="6"/>
      <c r="E332" s="5" t="s">
        <v>31</v>
      </c>
      <c r="F332" s="5" t="s">
        <v>520</v>
      </c>
      <c r="G332" s="5" t="s">
        <v>51</v>
      </c>
      <c r="H332" s="7" t="s">
        <v>331</v>
      </c>
      <c r="I332" s="7" t="s">
        <v>521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1</v>
      </c>
      <c r="AF332" s="7">
        <v>0</v>
      </c>
      <c r="AG332" s="7">
        <v>300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11">
        <v>300</v>
      </c>
      <c r="BN332" s="13">
        <f t="shared" si="10"/>
        <v>300</v>
      </c>
      <c r="BO332" s="14">
        <f t="shared" si="11"/>
        <v>210</v>
      </c>
    </row>
    <row r="333" spans="1:67" ht="19.2" x14ac:dyDescent="0.4">
      <c r="A333" s="5" t="s">
        <v>407</v>
      </c>
      <c r="B333" s="5" t="s">
        <v>386</v>
      </c>
      <c r="C333" s="5">
        <v>356294</v>
      </c>
      <c r="D333" s="6"/>
      <c r="E333" s="5" t="s">
        <v>31</v>
      </c>
      <c r="F333" s="5" t="s">
        <v>58</v>
      </c>
      <c r="G333" s="5" t="s">
        <v>51</v>
      </c>
      <c r="H333" s="7" t="s">
        <v>8</v>
      </c>
      <c r="I333" s="7" t="s">
        <v>225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3</v>
      </c>
      <c r="AF333" s="7">
        <v>0</v>
      </c>
      <c r="AG333" s="7">
        <v>300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11">
        <v>300</v>
      </c>
      <c r="BN333" s="13">
        <f t="shared" si="10"/>
        <v>300</v>
      </c>
      <c r="BO333" s="14">
        <f t="shared" si="11"/>
        <v>210</v>
      </c>
    </row>
    <row r="334" spans="1:67" ht="19.2" x14ac:dyDescent="0.4">
      <c r="A334" s="5" t="s">
        <v>406</v>
      </c>
      <c r="B334" s="5" t="s">
        <v>460</v>
      </c>
      <c r="C334" s="5">
        <v>397393</v>
      </c>
      <c r="D334" s="6"/>
      <c r="E334" s="5" t="s">
        <v>31</v>
      </c>
      <c r="F334" s="5" t="s">
        <v>150</v>
      </c>
      <c r="G334" s="5" t="s">
        <v>51</v>
      </c>
      <c r="H334" s="7" t="s">
        <v>331</v>
      </c>
      <c r="I334" s="7" t="s">
        <v>461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1</v>
      </c>
      <c r="T334" s="7">
        <v>0</v>
      </c>
      <c r="U334" s="7">
        <v>0</v>
      </c>
      <c r="V334" s="7">
        <v>0</v>
      </c>
      <c r="W334" s="7">
        <v>300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11">
        <v>300</v>
      </c>
      <c r="BN334" s="13">
        <f t="shared" si="10"/>
        <v>300</v>
      </c>
      <c r="BO334" s="14">
        <f t="shared" si="11"/>
        <v>210</v>
      </c>
    </row>
    <row r="335" spans="1:67" ht="19.2" x14ac:dyDescent="0.4">
      <c r="A335" s="5" t="s">
        <v>406</v>
      </c>
      <c r="B335" s="5" t="s">
        <v>157</v>
      </c>
      <c r="C335" s="5">
        <v>337887</v>
      </c>
      <c r="D335" s="6"/>
      <c r="E335" s="5" t="s">
        <v>31</v>
      </c>
      <c r="F335" s="5" t="s">
        <v>153</v>
      </c>
      <c r="G335" s="5" t="s">
        <v>51</v>
      </c>
      <c r="H335" s="7" t="s">
        <v>8</v>
      </c>
      <c r="I335" s="7" t="s">
        <v>158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2</v>
      </c>
      <c r="AF335" s="7">
        <v>240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11">
        <v>240</v>
      </c>
      <c r="BN335" s="13">
        <f t="shared" si="10"/>
        <v>240</v>
      </c>
      <c r="BO335" s="14">
        <f t="shared" si="11"/>
        <v>168</v>
      </c>
    </row>
    <row r="336" spans="1:67" ht="19.2" x14ac:dyDescent="0.4">
      <c r="A336" s="5" t="s">
        <v>406</v>
      </c>
      <c r="B336" s="5" t="s">
        <v>389</v>
      </c>
      <c r="C336" s="5">
        <v>395497</v>
      </c>
      <c r="D336" s="6"/>
      <c r="E336" s="5" t="s">
        <v>31</v>
      </c>
      <c r="F336" s="5" t="s">
        <v>390</v>
      </c>
      <c r="G336" s="5" t="s">
        <v>51</v>
      </c>
      <c r="H336" s="7" t="s">
        <v>8</v>
      </c>
      <c r="I336" s="7" t="s">
        <v>391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2</v>
      </c>
      <c r="AF336" s="7">
        <v>0</v>
      </c>
      <c r="AG336" s="7">
        <v>200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0</v>
      </c>
      <c r="AW336" s="7">
        <v>0</v>
      </c>
      <c r="AX336" s="7">
        <v>0</v>
      </c>
      <c r="AY336" s="7">
        <v>0</v>
      </c>
      <c r="AZ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F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11">
        <v>200</v>
      </c>
      <c r="BN336" s="13">
        <f t="shared" si="10"/>
        <v>200</v>
      </c>
      <c r="BO336" s="14">
        <f t="shared" si="11"/>
        <v>140</v>
      </c>
    </row>
    <row r="337" spans="1:67" ht="19.2" x14ac:dyDescent="0.4">
      <c r="A337" s="5" t="s">
        <v>406</v>
      </c>
      <c r="B337" s="5" t="s">
        <v>357</v>
      </c>
      <c r="C337" s="5">
        <v>157002</v>
      </c>
      <c r="D337" s="6" t="s">
        <v>358</v>
      </c>
      <c r="E337" s="5" t="s">
        <v>31</v>
      </c>
      <c r="F337" s="5" t="s">
        <v>47</v>
      </c>
      <c r="G337" s="5" t="s">
        <v>11</v>
      </c>
      <c r="H337" s="7" t="s">
        <v>7</v>
      </c>
      <c r="I337" s="7" t="s">
        <v>359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2</v>
      </c>
      <c r="AF337" s="7">
        <v>0</v>
      </c>
      <c r="AG337" s="7">
        <v>200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F337" s="7">
        <v>0</v>
      </c>
      <c r="BG337" s="7">
        <v>0</v>
      </c>
      <c r="BH337" s="7">
        <v>0</v>
      </c>
      <c r="BI337" s="7">
        <v>0</v>
      </c>
      <c r="BJ337" s="7">
        <v>0</v>
      </c>
      <c r="BK337" s="7">
        <v>0</v>
      </c>
      <c r="BL337" s="7">
        <v>0</v>
      </c>
      <c r="BM337" s="11">
        <v>200</v>
      </c>
      <c r="BN337" s="13">
        <f t="shared" si="10"/>
        <v>200</v>
      </c>
      <c r="BO337" s="14">
        <f t="shared" si="11"/>
        <v>140</v>
      </c>
    </row>
    <row r="338" spans="1:67" ht="19.2" x14ac:dyDescent="0.4">
      <c r="A338" s="5" t="s">
        <v>478</v>
      </c>
      <c r="B338" s="5" t="s">
        <v>348</v>
      </c>
      <c r="C338" s="5">
        <v>389960</v>
      </c>
      <c r="D338" s="6"/>
      <c r="E338" s="5" t="s">
        <v>31</v>
      </c>
      <c r="F338" s="5" t="s">
        <v>126</v>
      </c>
      <c r="G338" s="5" t="s">
        <v>11</v>
      </c>
      <c r="H338" s="7" t="s">
        <v>10</v>
      </c>
      <c r="I338" s="7" t="s">
        <v>349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2</v>
      </c>
      <c r="AF338" s="7">
        <v>0</v>
      </c>
      <c r="AG338" s="7">
        <v>200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11">
        <v>200</v>
      </c>
      <c r="BN338" s="13">
        <f t="shared" si="10"/>
        <v>200</v>
      </c>
      <c r="BO338" s="14">
        <f t="shared" si="11"/>
        <v>140</v>
      </c>
    </row>
    <row r="339" spans="1:67" ht="19.2" x14ac:dyDescent="0.4">
      <c r="A339" s="5" t="s">
        <v>478</v>
      </c>
      <c r="B339" s="5" t="s">
        <v>326</v>
      </c>
      <c r="C339" s="5">
        <v>385169</v>
      </c>
      <c r="D339" s="6"/>
      <c r="E339" s="5" t="s">
        <v>31</v>
      </c>
      <c r="F339" s="5" t="s">
        <v>227</v>
      </c>
      <c r="G339" s="5" t="s">
        <v>51</v>
      </c>
      <c r="H339" s="7" t="s">
        <v>8</v>
      </c>
      <c r="I339" s="7" t="s">
        <v>320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2</v>
      </c>
      <c r="AF339" s="7">
        <v>0</v>
      </c>
      <c r="AG339" s="7">
        <v>200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11">
        <v>200</v>
      </c>
      <c r="BN339" s="13">
        <f t="shared" si="10"/>
        <v>200</v>
      </c>
      <c r="BO339" s="14">
        <f t="shared" si="11"/>
        <v>140</v>
      </c>
    </row>
    <row r="340" spans="1:67" ht="19.2" x14ac:dyDescent="0.4">
      <c r="A340" s="5" t="s">
        <v>407</v>
      </c>
      <c r="B340" s="5" t="s">
        <v>530</v>
      </c>
      <c r="C340" s="5">
        <v>306913</v>
      </c>
      <c r="D340" s="6"/>
      <c r="E340" s="5" t="s">
        <v>31</v>
      </c>
      <c r="F340" s="5" t="s">
        <v>292</v>
      </c>
      <c r="G340" s="5" t="s">
        <v>51</v>
      </c>
      <c r="H340" s="7" t="s">
        <v>8</v>
      </c>
      <c r="I340" s="7" t="s">
        <v>531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1</v>
      </c>
      <c r="AF340" s="7">
        <v>120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S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AZ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F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11">
        <v>120</v>
      </c>
      <c r="BN340" s="13">
        <f t="shared" si="10"/>
        <v>120</v>
      </c>
      <c r="BO340" s="14">
        <f t="shared" si="11"/>
        <v>84</v>
      </c>
    </row>
    <row r="341" spans="1:67" ht="19.2" x14ac:dyDescent="0.4">
      <c r="A341" s="5" t="s">
        <v>407</v>
      </c>
      <c r="B341" s="5" t="s">
        <v>327</v>
      </c>
      <c r="C341" s="5">
        <v>377088</v>
      </c>
      <c r="D341" s="6"/>
      <c r="E341" s="5" t="s">
        <v>31</v>
      </c>
      <c r="F341" s="5" t="s">
        <v>328</v>
      </c>
      <c r="G341" s="5" t="s">
        <v>51</v>
      </c>
      <c r="H341" s="7" t="s">
        <v>8</v>
      </c>
      <c r="I341" s="7" t="s">
        <v>329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1</v>
      </c>
      <c r="AF341" s="7">
        <v>120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7">
        <v>0</v>
      </c>
      <c r="AR341" s="7">
        <v>0</v>
      </c>
      <c r="AS341" s="7">
        <v>0</v>
      </c>
      <c r="AT341" s="7">
        <v>0</v>
      </c>
      <c r="AU341" s="7">
        <v>0</v>
      </c>
      <c r="AV341" s="7">
        <v>0</v>
      </c>
      <c r="AW341" s="7">
        <v>0</v>
      </c>
      <c r="AX341" s="7">
        <v>0</v>
      </c>
      <c r="AY341" s="7">
        <v>0</v>
      </c>
      <c r="AZ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F341" s="7">
        <v>0</v>
      </c>
      <c r="BG341" s="7">
        <v>0</v>
      </c>
      <c r="BH341" s="7">
        <v>0</v>
      </c>
      <c r="BI341" s="7">
        <v>0</v>
      </c>
      <c r="BJ341" s="7">
        <v>0</v>
      </c>
      <c r="BK341" s="7">
        <v>0</v>
      </c>
      <c r="BL341" s="7">
        <v>0</v>
      </c>
      <c r="BM341" s="11">
        <v>120</v>
      </c>
      <c r="BN341" s="13">
        <f t="shared" si="10"/>
        <v>120</v>
      </c>
      <c r="BO341" s="14">
        <f t="shared" si="11"/>
        <v>84</v>
      </c>
    </row>
    <row r="342" spans="1:67" ht="19.2" x14ac:dyDescent="0.4">
      <c r="A342" s="5" t="s">
        <v>407</v>
      </c>
      <c r="B342" s="5" t="s">
        <v>232</v>
      </c>
      <c r="C342" s="5">
        <v>415992</v>
      </c>
      <c r="D342" s="6"/>
      <c r="E342" s="5" t="s">
        <v>31</v>
      </c>
      <c r="F342" s="5" t="s">
        <v>58</v>
      </c>
      <c r="G342" s="5" t="s">
        <v>51</v>
      </c>
      <c r="H342" s="7" t="s">
        <v>8</v>
      </c>
      <c r="I342" s="7" t="s">
        <v>233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1</v>
      </c>
      <c r="AF342" s="7">
        <v>120</v>
      </c>
      <c r="AG342" s="7">
        <v>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AZ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F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11">
        <v>120</v>
      </c>
      <c r="BN342" s="13">
        <f t="shared" si="10"/>
        <v>120</v>
      </c>
      <c r="BO342" s="14">
        <f t="shared" si="11"/>
        <v>84</v>
      </c>
    </row>
    <row r="343" spans="1:67" ht="19.2" x14ac:dyDescent="0.4">
      <c r="A343" s="5" t="s">
        <v>407</v>
      </c>
      <c r="B343" s="5" t="s">
        <v>223</v>
      </c>
      <c r="C343" s="5">
        <v>332138</v>
      </c>
      <c r="D343" s="6"/>
      <c r="E343" s="5" t="s">
        <v>31</v>
      </c>
      <c r="F343" s="5" t="s">
        <v>224</v>
      </c>
      <c r="G343" s="5" t="s">
        <v>51</v>
      </c>
      <c r="H343" s="7" t="s">
        <v>10</v>
      </c>
      <c r="I343" s="7" t="s">
        <v>225</v>
      </c>
      <c r="J343" s="7">
        <v>1</v>
      </c>
      <c r="K343" s="7">
        <v>0</v>
      </c>
      <c r="L343" s="7">
        <v>100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S343" s="7">
        <v>0</v>
      </c>
      <c r="AT343" s="7">
        <v>0</v>
      </c>
      <c r="AU343" s="7">
        <v>0</v>
      </c>
      <c r="AV343" s="7">
        <v>0</v>
      </c>
      <c r="AW343" s="7">
        <v>0</v>
      </c>
      <c r="AX343" s="7">
        <v>0</v>
      </c>
      <c r="AY343" s="7">
        <v>0</v>
      </c>
      <c r="AZ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0</v>
      </c>
      <c r="BF343" s="7">
        <v>0</v>
      </c>
      <c r="BG343" s="7">
        <v>0</v>
      </c>
      <c r="BH343" s="7">
        <v>0</v>
      </c>
      <c r="BI343" s="7">
        <v>0</v>
      </c>
      <c r="BJ343" s="7">
        <v>0</v>
      </c>
      <c r="BK343" s="7">
        <v>0</v>
      </c>
      <c r="BL343" s="7">
        <v>0</v>
      </c>
      <c r="BM343" s="11">
        <v>100</v>
      </c>
      <c r="BN343" s="13">
        <f t="shared" si="10"/>
        <v>100</v>
      </c>
      <c r="BO343" s="14">
        <f t="shared" si="11"/>
        <v>70</v>
      </c>
    </row>
    <row r="344" spans="1:67" ht="19.2" x14ac:dyDescent="0.4">
      <c r="A344" s="5" t="s">
        <v>407</v>
      </c>
      <c r="B344" s="5" t="s">
        <v>275</v>
      </c>
      <c r="C344" s="5">
        <v>434853</v>
      </c>
      <c r="D344" s="6"/>
      <c r="E344" s="5" t="s">
        <v>31</v>
      </c>
      <c r="F344" s="5" t="s">
        <v>276</v>
      </c>
      <c r="G344" s="5" t="s">
        <v>11</v>
      </c>
      <c r="H344" s="7" t="s">
        <v>7</v>
      </c>
      <c r="I344" s="7" t="s">
        <v>277</v>
      </c>
      <c r="J344" s="7">
        <v>1</v>
      </c>
      <c r="K344" s="7">
        <v>0</v>
      </c>
      <c r="L344" s="7">
        <v>100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S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AZ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F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11">
        <v>100</v>
      </c>
      <c r="BN344" s="13">
        <f t="shared" si="10"/>
        <v>100</v>
      </c>
      <c r="BO344" s="14">
        <f t="shared" si="11"/>
        <v>70</v>
      </c>
    </row>
    <row r="345" spans="1:67" x14ac:dyDescent="0.4">
      <c r="A345" s="5" t="s">
        <v>537</v>
      </c>
      <c r="B345" s="5" t="s">
        <v>35</v>
      </c>
      <c r="C345" s="5">
        <v>463799</v>
      </c>
      <c r="D345" s="6"/>
      <c r="E345" s="5" t="s">
        <v>31</v>
      </c>
      <c r="F345" s="5" t="s">
        <v>36</v>
      </c>
      <c r="G345" s="5" t="s">
        <v>11</v>
      </c>
      <c r="H345" s="7" t="s">
        <v>7</v>
      </c>
      <c r="I345" s="7" t="s">
        <v>37</v>
      </c>
      <c r="J345" s="7">
        <v>6</v>
      </c>
      <c r="K345" s="8">
        <v>22117</v>
      </c>
      <c r="L345" s="7">
        <v>600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8">
        <v>2534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8">
        <v>19737</v>
      </c>
      <c r="AF345" s="8">
        <v>1932060</v>
      </c>
      <c r="AG345" s="8">
        <v>42700</v>
      </c>
      <c r="AH345" s="7">
        <v>0</v>
      </c>
      <c r="AI345" s="7">
        <v>0</v>
      </c>
      <c r="AJ345" s="7">
        <v>0</v>
      </c>
      <c r="AK345" s="8">
        <v>20050</v>
      </c>
      <c r="AL345" s="8">
        <v>2248616</v>
      </c>
      <c r="AM345" s="8">
        <v>167900</v>
      </c>
      <c r="AN345" s="7">
        <v>0</v>
      </c>
      <c r="AO345" s="7">
        <v>0</v>
      </c>
      <c r="AP345" s="7">
        <v>0</v>
      </c>
      <c r="AQ345" s="8">
        <v>12590</v>
      </c>
      <c r="AR345" s="8">
        <v>1228300</v>
      </c>
      <c r="AS345" s="8">
        <v>30700</v>
      </c>
      <c r="AT345" s="7">
        <v>0</v>
      </c>
      <c r="AU345" s="7">
        <v>0</v>
      </c>
      <c r="AV345" s="7">
        <v>0</v>
      </c>
      <c r="AW345" s="7">
        <v>224</v>
      </c>
      <c r="AX345" s="8">
        <v>27608</v>
      </c>
      <c r="AY345" s="7">
        <v>0</v>
      </c>
      <c r="AZ345" s="7">
        <v>0</v>
      </c>
      <c r="BA345" s="7">
        <v>0</v>
      </c>
      <c r="BB345" s="7">
        <v>0</v>
      </c>
      <c r="BC345" s="7">
        <v>305</v>
      </c>
      <c r="BD345" s="8">
        <v>36000</v>
      </c>
      <c r="BE345" s="7">
        <v>500</v>
      </c>
      <c r="BF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9">
        <v>679505.6</v>
      </c>
      <c r="BM345" s="10">
        <v>5714984</v>
      </c>
      <c r="BN345" s="13">
        <f t="shared" ref="BN345:BN408" si="12">BM345-BL345</f>
        <v>5035478.4000000004</v>
      </c>
      <c r="BO345" s="14">
        <f t="shared" ref="BO345:BO408" si="13">BN345*70%</f>
        <v>3524834.88</v>
      </c>
    </row>
    <row r="346" spans="1:67" x14ac:dyDescent="0.4">
      <c r="A346" s="5" t="s">
        <v>537</v>
      </c>
      <c r="B346" s="5" t="s">
        <v>30</v>
      </c>
      <c r="C346" s="5">
        <v>465248</v>
      </c>
      <c r="D346" s="6"/>
      <c r="E346" s="5" t="s">
        <v>31</v>
      </c>
      <c r="F346" s="5" t="s">
        <v>32</v>
      </c>
      <c r="G346" s="5" t="s">
        <v>33</v>
      </c>
      <c r="H346" s="7" t="s">
        <v>10</v>
      </c>
      <c r="I346" s="7" t="s">
        <v>34</v>
      </c>
      <c r="J346" s="8">
        <v>1348</v>
      </c>
      <c r="K346" s="8">
        <v>9861</v>
      </c>
      <c r="L346" s="8">
        <v>134800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8">
        <v>17560</v>
      </c>
      <c r="AF346" s="8">
        <v>1593500</v>
      </c>
      <c r="AG346" s="8">
        <v>162600</v>
      </c>
      <c r="AH346" s="7">
        <v>0</v>
      </c>
      <c r="AI346" s="7">
        <v>0</v>
      </c>
      <c r="AJ346" s="7">
        <v>0</v>
      </c>
      <c r="AK346" s="8">
        <v>16378</v>
      </c>
      <c r="AL346" s="8">
        <v>1337675</v>
      </c>
      <c r="AM346" s="8">
        <v>529300</v>
      </c>
      <c r="AN346" s="7">
        <v>0</v>
      </c>
      <c r="AO346" s="7">
        <v>0</v>
      </c>
      <c r="AP346" s="7">
        <v>0</v>
      </c>
      <c r="AQ346" s="8">
        <v>4919</v>
      </c>
      <c r="AR346" s="8">
        <v>480300</v>
      </c>
      <c r="AS346" s="8">
        <v>11600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AZ346" s="7">
        <v>0</v>
      </c>
      <c r="BA346" s="7">
        <v>0</v>
      </c>
      <c r="BB346" s="7">
        <v>0</v>
      </c>
      <c r="BC346" s="7">
        <v>60</v>
      </c>
      <c r="BD346" s="8">
        <v>7200</v>
      </c>
      <c r="BE346" s="7">
        <v>0</v>
      </c>
      <c r="BF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9">
        <v>401734.5</v>
      </c>
      <c r="BM346" s="10">
        <v>4256975</v>
      </c>
      <c r="BN346" s="13">
        <f t="shared" si="12"/>
        <v>3855240.5</v>
      </c>
      <c r="BO346" s="14">
        <f t="shared" si="13"/>
        <v>2698668.3499999996</v>
      </c>
    </row>
    <row r="347" spans="1:67" x14ac:dyDescent="0.4">
      <c r="A347" s="5" t="s">
        <v>537</v>
      </c>
      <c r="B347" s="5" t="s">
        <v>479</v>
      </c>
      <c r="C347" s="5">
        <v>472512</v>
      </c>
      <c r="D347" s="6"/>
      <c r="E347" s="5" t="s">
        <v>31</v>
      </c>
      <c r="F347" s="5" t="s">
        <v>56</v>
      </c>
      <c r="G347" s="5" t="s">
        <v>11</v>
      </c>
      <c r="H347" s="7" t="s">
        <v>7</v>
      </c>
      <c r="I347" s="7" t="s">
        <v>538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8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8">
        <v>4440</v>
      </c>
      <c r="AF347" s="8">
        <v>415000</v>
      </c>
      <c r="AG347" s="8">
        <v>30100</v>
      </c>
      <c r="AH347" s="7">
        <v>0</v>
      </c>
      <c r="AI347" s="7">
        <v>0</v>
      </c>
      <c r="AJ347" s="7">
        <v>0</v>
      </c>
      <c r="AK347" s="8">
        <v>3068</v>
      </c>
      <c r="AL347" s="8">
        <v>302222</v>
      </c>
      <c r="AM347" s="8">
        <v>56000</v>
      </c>
      <c r="AN347" s="7">
        <v>0</v>
      </c>
      <c r="AO347" s="7">
        <v>0</v>
      </c>
      <c r="AP347" s="7">
        <v>0</v>
      </c>
      <c r="AQ347" s="8">
        <v>2833</v>
      </c>
      <c r="AR347" s="8">
        <v>274600</v>
      </c>
      <c r="AS347" s="8">
        <v>8700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AZ347" s="7">
        <v>0</v>
      </c>
      <c r="BA347" s="7">
        <v>0</v>
      </c>
      <c r="BB347" s="7">
        <v>0</v>
      </c>
      <c r="BC347" s="7">
        <v>199</v>
      </c>
      <c r="BD347" s="8">
        <v>23280</v>
      </c>
      <c r="BE347" s="7">
        <v>500</v>
      </c>
      <c r="BF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9">
        <v>92063.4</v>
      </c>
      <c r="BM347" s="10">
        <v>1110402</v>
      </c>
      <c r="BN347" s="13">
        <f t="shared" si="12"/>
        <v>1018338.6</v>
      </c>
      <c r="BO347" s="14">
        <f t="shared" si="13"/>
        <v>712837.0199999999</v>
      </c>
    </row>
    <row r="348" spans="1:67" x14ac:dyDescent="0.4">
      <c r="A348" s="5" t="s">
        <v>537</v>
      </c>
      <c r="B348" s="5" t="s">
        <v>49</v>
      </c>
      <c r="C348" s="5">
        <v>395270</v>
      </c>
      <c r="D348" s="6"/>
      <c r="E348" s="5" t="s">
        <v>31</v>
      </c>
      <c r="F348" s="5" t="s">
        <v>50</v>
      </c>
      <c r="G348" s="5" t="s">
        <v>51</v>
      </c>
      <c r="H348" s="7" t="s">
        <v>8</v>
      </c>
      <c r="I348" s="7" t="s">
        <v>52</v>
      </c>
      <c r="J348" s="7">
        <v>0</v>
      </c>
      <c r="K348" s="8">
        <v>17938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251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8">
        <v>2518</v>
      </c>
      <c r="AF348" s="8">
        <v>228020</v>
      </c>
      <c r="AG348" s="8">
        <v>23800</v>
      </c>
      <c r="AH348" s="7">
        <v>0</v>
      </c>
      <c r="AI348" s="7">
        <v>0</v>
      </c>
      <c r="AJ348" s="7">
        <v>0</v>
      </c>
      <c r="AK348" s="8">
        <v>4397</v>
      </c>
      <c r="AL348" s="8">
        <v>328882</v>
      </c>
      <c r="AM348" s="8">
        <v>166400</v>
      </c>
      <c r="AN348" s="7">
        <v>0</v>
      </c>
      <c r="AO348" s="7">
        <v>0</v>
      </c>
      <c r="AP348" s="7">
        <v>0</v>
      </c>
      <c r="AQ348" s="8">
        <v>1322</v>
      </c>
      <c r="AR348" s="8">
        <v>128400</v>
      </c>
      <c r="AS348" s="8">
        <v>3800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AZ348" s="7">
        <v>0</v>
      </c>
      <c r="BA348" s="7">
        <v>0</v>
      </c>
      <c r="BB348" s="7">
        <v>0</v>
      </c>
      <c r="BC348" s="7">
        <v>1</v>
      </c>
      <c r="BD348" s="7">
        <v>120</v>
      </c>
      <c r="BE348" s="7">
        <v>0</v>
      </c>
      <c r="BF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9">
        <v>98671.8</v>
      </c>
      <c r="BM348" s="10">
        <v>879422</v>
      </c>
      <c r="BN348" s="13">
        <f t="shared" si="12"/>
        <v>780750.2</v>
      </c>
      <c r="BO348" s="14">
        <f t="shared" si="13"/>
        <v>546525.1399999999</v>
      </c>
    </row>
    <row r="349" spans="1:67" x14ac:dyDescent="0.4">
      <c r="A349" s="5" t="s">
        <v>537</v>
      </c>
      <c r="B349" s="5" t="s">
        <v>62</v>
      </c>
      <c r="C349" s="5">
        <v>324335</v>
      </c>
      <c r="D349" s="6"/>
      <c r="E349" s="5" t="s">
        <v>31</v>
      </c>
      <c r="F349" s="5" t="s">
        <v>47</v>
      </c>
      <c r="G349" s="5" t="s">
        <v>11</v>
      </c>
      <c r="H349" s="7" t="s">
        <v>10</v>
      </c>
      <c r="I349" s="7" t="s">
        <v>63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75</v>
      </c>
      <c r="AF349" s="8">
        <v>229400</v>
      </c>
      <c r="AG349" s="8">
        <v>6700</v>
      </c>
      <c r="AH349" s="7">
        <v>0</v>
      </c>
      <c r="AI349" s="7">
        <v>0</v>
      </c>
      <c r="AJ349" s="7">
        <v>0</v>
      </c>
      <c r="AK349" s="7">
        <v>158</v>
      </c>
      <c r="AL349" s="8">
        <v>586896</v>
      </c>
      <c r="AM349" s="8">
        <v>4500</v>
      </c>
      <c r="AN349" s="7">
        <v>0</v>
      </c>
      <c r="AO349" s="7">
        <v>0</v>
      </c>
      <c r="AP349" s="7">
        <v>0</v>
      </c>
      <c r="AQ349" s="7">
        <v>2</v>
      </c>
      <c r="AR349" s="8">
        <v>6400</v>
      </c>
      <c r="AS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AZ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F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9">
        <v>176068.8</v>
      </c>
      <c r="BM349" s="10">
        <v>833896</v>
      </c>
      <c r="BN349" s="13">
        <f t="shared" si="12"/>
        <v>657827.19999999995</v>
      </c>
      <c r="BO349" s="14">
        <f t="shared" si="13"/>
        <v>460479.03999999992</v>
      </c>
    </row>
    <row r="350" spans="1:67" ht="19.2" x14ac:dyDescent="0.4">
      <c r="A350" s="5" t="s">
        <v>537</v>
      </c>
      <c r="B350" s="5" t="s">
        <v>55</v>
      </c>
      <c r="C350" s="5">
        <v>454534</v>
      </c>
      <c r="D350" s="6"/>
      <c r="E350" s="5" t="s">
        <v>31</v>
      </c>
      <c r="F350" s="5" t="s">
        <v>56</v>
      </c>
      <c r="G350" s="5" t="s">
        <v>11</v>
      </c>
      <c r="H350" s="7" t="s">
        <v>7</v>
      </c>
      <c r="I350" s="7" t="s">
        <v>480</v>
      </c>
      <c r="J350" s="7">
        <v>0</v>
      </c>
      <c r="K350" s="8">
        <v>3860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92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8">
        <v>1847</v>
      </c>
      <c r="AF350" s="8">
        <v>155680</v>
      </c>
      <c r="AG350" s="8">
        <v>29200</v>
      </c>
      <c r="AH350" s="7">
        <v>0</v>
      </c>
      <c r="AI350" s="7">
        <v>0</v>
      </c>
      <c r="AJ350" s="7">
        <v>0</v>
      </c>
      <c r="AK350" s="8">
        <v>3517</v>
      </c>
      <c r="AL350" s="8">
        <v>290021</v>
      </c>
      <c r="AM350" s="8">
        <v>110200</v>
      </c>
      <c r="AN350" s="7">
        <v>0</v>
      </c>
      <c r="AO350" s="7">
        <v>0</v>
      </c>
      <c r="AP350" s="7">
        <v>0</v>
      </c>
      <c r="AQ350" s="7">
        <v>975</v>
      </c>
      <c r="AR350" s="8">
        <v>95100</v>
      </c>
      <c r="AS350" s="8">
        <v>2400</v>
      </c>
      <c r="AT350" s="7">
        <v>0</v>
      </c>
      <c r="AU350" s="7">
        <v>0</v>
      </c>
      <c r="AV350" s="7">
        <v>0</v>
      </c>
      <c r="AW350" s="7">
        <v>10</v>
      </c>
      <c r="AX350" s="8">
        <v>1200</v>
      </c>
      <c r="AY350" s="7">
        <v>0</v>
      </c>
      <c r="AZ350" s="7">
        <v>0</v>
      </c>
      <c r="BA350" s="7">
        <v>0</v>
      </c>
      <c r="BB350" s="7">
        <v>0</v>
      </c>
      <c r="BC350" s="7">
        <v>113</v>
      </c>
      <c r="BD350" s="8">
        <v>13560</v>
      </c>
      <c r="BE350" s="7">
        <v>0</v>
      </c>
      <c r="BF350" s="7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0</v>
      </c>
      <c r="BL350" s="9">
        <v>87939.9</v>
      </c>
      <c r="BM350" s="10">
        <v>697361</v>
      </c>
      <c r="BN350" s="13">
        <f t="shared" si="12"/>
        <v>609421.1</v>
      </c>
      <c r="BO350" s="14">
        <f t="shared" si="13"/>
        <v>426594.76999999996</v>
      </c>
    </row>
    <row r="351" spans="1:67" x14ac:dyDescent="0.4">
      <c r="A351" s="5" t="s">
        <v>537</v>
      </c>
      <c r="B351" s="5" t="s">
        <v>53</v>
      </c>
      <c r="C351" s="5">
        <v>178856</v>
      </c>
      <c r="D351" s="6"/>
      <c r="E351" s="5" t="s">
        <v>31</v>
      </c>
      <c r="F351" s="5" t="s">
        <v>47</v>
      </c>
      <c r="G351" s="5" t="s">
        <v>11</v>
      </c>
      <c r="H351" s="7" t="s">
        <v>10</v>
      </c>
      <c r="I351" s="7" t="s">
        <v>54</v>
      </c>
      <c r="J351" s="7">
        <v>0</v>
      </c>
      <c r="K351" s="7">
        <v>1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713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8">
        <v>2208</v>
      </c>
      <c r="AF351" s="8">
        <v>195620</v>
      </c>
      <c r="AG351" s="8">
        <v>27500</v>
      </c>
      <c r="AH351" s="7">
        <v>0</v>
      </c>
      <c r="AI351" s="7">
        <v>0</v>
      </c>
      <c r="AJ351" s="7">
        <v>0</v>
      </c>
      <c r="AK351" s="8">
        <v>1995</v>
      </c>
      <c r="AL351" s="8">
        <v>192427</v>
      </c>
      <c r="AM351" s="8">
        <v>37100</v>
      </c>
      <c r="AN351" s="7">
        <v>0</v>
      </c>
      <c r="AO351" s="7">
        <v>0</v>
      </c>
      <c r="AP351" s="7">
        <v>0</v>
      </c>
      <c r="AQ351" s="8">
        <v>1181</v>
      </c>
      <c r="AR351" s="8">
        <v>114700</v>
      </c>
      <c r="AS351" s="8">
        <v>3400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AZ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F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9">
        <v>57728.1</v>
      </c>
      <c r="BM351" s="10">
        <v>570747</v>
      </c>
      <c r="BN351" s="13">
        <f t="shared" si="12"/>
        <v>513018.9</v>
      </c>
      <c r="BO351" s="14">
        <f t="shared" si="13"/>
        <v>359113.23</v>
      </c>
    </row>
    <row r="352" spans="1:67" ht="19.2" x14ac:dyDescent="0.4">
      <c r="A352" s="5" t="s">
        <v>537</v>
      </c>
      <c r="B352" s="5" t="s">
        <v>46</v>
      </c>
      <c r="C352" s="5">
        <v>369220</v>
      </c>
      <c r="D352" s="6"/>
      <c r="E352" s="5" t="s">
        <v>31</v>
      </c>
      <c r="F352" s="5" t="s">
        <v>47</v>
      </c>
      <c r="G352" s="5" t="s">
        <v>11</v>
      </c>
      <c r="H352" s="7" t="s">
        <v>7</v>
      </c>
      <c r="I352" s="7" t="s">
        <v>48</v>
      </c>
      <c r="J352" s="7">
        <v>1</v>
      </c>
      <c r="K352" s="7">
        <v>66</v>
      </c>
      <c r="L352" s="7">
        <v>100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107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8">
        <v>1146</v>
      </c>
      <c r="AF352" s="8">
        <v>98800</v>
      </c>
      <c r="AG352" s="8">
        <v>15800</v>
      </c>
      <c r="AH352" s="7">
        <v>0</v>
      </c>
      <c r="AI352" s="7">
        <v>0</v>
      </c>
      <c r="AJ352" s="7">
        <v>0</v>
      </c>
      <c r="AK352" s="8">
        <v>1403</v>
      </c>
      <c r="AL352" s="8">
        <v>111845</v>
      </c>
      <c r="AM352" s="8">
        <v>48100</v>
      </c>
      <c r="AN352" s="7">
        <v>0</v>
      </c>
      <c r="AO352" s="7">
        <v>0</v>
      </c>
      <c r="AP352" s="7">
        <v>0</v>
      </c>
      <c r="AQ352" s="7">
        <v>652</v>
      </c>
      <c r="AR352" s="8">
        <v>65000</v>
      </c>
      <c r="AS352" s="7">
        <v>200</v>
      </c>
      <c r="AT352" s="7">
        <v>0</v>
      </c>
      <c r="AU352" s="7">
        <v>0</v>
      </c>
      <c r="AV352" s="7">
        <v>0</v>
      </c>
      <c r="AW352" s="7">
        <v>0</v>
      </c>
      <c r="AX352" s="7">
        <v>0</v>
      </c>
      <c r="AY352" s="7">
        <v>0</v>
      </c>
      <c r="AZ352" s="7">
        <v>0</v>
      </c>
      <c r="BA352" s="7">
        <v>0</v>
      </c>
      <c r="BB352" s="7">
        <v>0</v>
      </c>
      <c r="BC352" s="7">
        <v>0</v>
      </c>
      <c r="BD352" s="7">
        <v>0</v>
      </c>
      <c r="BE352" s="7">
        <v>0</v>
      </c>
      <c r="BF352" s="7">
        <v>0</v>
      </c>
      <c r="BG352" s="7">
        <v>0</v>
      </c>
      <c r="BH352" s="7">
        <v>0</v>
      </c>
      <c r="BI352" s="7">
        <v>0</v>
      </c>
      <c r="BJ352" s="7">
        <v>0</v>
      </c>
      <c r="BK352" s="7">
        <v>0</v>
      </c>
      <c r="BL352" s="9">
        <v>33553.5</v>
      </c>
      <c r="BM352" s="10">
        <v>339845</v>
      </c>
      <c r="BN352" s="13">
        <f t="shared" si="12"/>
        <v>306291.5</v>
      </c>
      <c r="BO352" s="14">
        <f t="shared" si="13"/>
        <v>214404.05</v>
      </c>
    </row>
    <row r="353" spans="1:67" x14ac:dyDescent="0.4">
      <c r="A353" s="5" t="s">
        <v>537</v>
      </c>
      <c r="B353" s="5" t="s">
        <v>83</v>
      </c>
      <c r="C353" s="5">
        <v>387417</v>
      </c>
      <c r="D353" s="6"/>
      <c r="E353" s="5" t="s">
        <v>31</v>
      </c>
      <c r="F353" s="5" t="s">
        <v>84</v>
      </c>
      <c r="G353" s="5" t="s">
        <v>11</v>
      </c>
      <c r="H353" s="7" t="s">
        <v>7</v>
      </c>
      <c r="I353" s="7" t="s">
        <v>85</v>
      </c>
      <c r="J353" s="7">
        <v>0</v>
      </c>
      <c r="K353" s="7">
        <v>314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85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678</v>
      </c>
      <c r="AF353" s="8">
        <v>67500</v>
      </c>
      <c r="AG353" s="7">
        <v>300</v>
      </c>
      <c r="AH353" s="7">
        <v>0</v>
      </c>
      <c r="AI353" s="7">
        <v>0</v>
      </c>
      <c r="AJ353" s="7">
        <v>0</v>
      </c>
      <c r="AK353" s="8">
        <v>1019</v>
      </c>
      <c r="AL353" s="8">
        <v>95760</v>
      </c>
      <c r="AM353" s="8">
        <v>22100</v>
      </c>
      <c r="AN353" s="7">
        <v>0</v>
      </c>
      <c r="AO353" s="7">
        <v>0</v>
      </c>
      <c r="AP353" s="7">
        <v>0</v>
      </c>
      <c r="AQ353" s="7">
        <v>968</v>
      </c>
      <c r="AR353" s="8">
        <v>95700</v>
      </c>
      <c r="AS353" s="8">
        <v>1100</v>
      </c>
      <c r="AT353" s="7">
        <v>0</v>
      </c>
      <c r="AU353" s="7">
        <v>0</v>
      </c>
      <c r="AV353" s="7">
        <v>0</v>
      </c>
      <c r="AW353" s="7">
        <v>176</v>
      </c>
      <c r="AX353" s="8">
        <v>21120</v>
      </c>
      <c r="AY353" s="7">
        <v>0</v>
      </c>
      <c r="AZ353" s="7">
        <v>0</v>
      </c>
      <c r="BA353" s="7">
        <v>0</v>
      </c>
      <c r="BB353" s="7">
        <v>0</v>
      </c>
      <c r="BC353" s="7">
        <v>0</v>
      </c>
      <c r="BD353" s="7">
        <v>0</v>
      </c>
      <c r="BE353" s="7">
        <v>0</v>
      </c>
      <c r="BF353" s="7">
        <v>0</v>
      </c>
      <c r="BG353" s="7">
        <v>0</v>
      </c>
      <c r="BH353" s="7">
        <v>0</v>
      </c>
      <c r="BI353" s="7">
        <v>0</v>
      </c>
      <c r="BJ353" s="7">
        <v>0</v>
      </c>
      <c r="BK353" s="7">
        <v>0</v>
      </c>
      <c r="BL353" s="9">
        <v>30840</v>
      </c>
      <c r="BM353" s="10">
        <v>303580</v>
      </c>
      <c r="BN353" s="13">
        <f t="shared" si="12"/>
        <v>272740</v>
      </c>
      <c r="BO353" s="14">
        <f t="shared" si="13"/>
        <v>190918</v>
      </c>
    </row>
    <row r="354" spans="1:67" x14ac:dyDescent="0.4">
      <c r="A354" s="5" t="s">
        <v>537</v>
      </c>
      <c r="B354" s="5" t="s">
        <v>41</v>
      </c>
      <c r="C354" s="5">
        <v>449889</v>
      </c>
      <c r="D354" s="6"/>
      <c r="E354" s="5" t="s">
        <v>31</v>
      </c>
      <c r="F354" s="5" t="s">
        <v>42</v>
      </c>
      <c r="G354" s="5" t="s">
        <v>11</v>
      </c>
      <c r="H354" s="7" t="s">
        <v>7</v>
      </c>
      <c r="I354" s="7" t="s">
        <v>43</v>
      </c>
      <c r="J354" s="7">
        <v>0</v>
      </c>
      <c r="K354" s="8">
        <v>1572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93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620</v>
      </c>
      <c r="AF354" s="8">
        <v>59620</v>
      </c>
      <c r="AG354" s="8">
        <v>2700</v>
      </c>
      <c r="AH354" s="7">
        <v>0</v>
      </c>
      <c r="AI354" s="7">
        <v>0</v>
      </c>
      <c r="AJ354" s="7">
        <v>0</v>
      </c>
      <c r="AK354" s="8">
        <v>1102</v>
      </c>
      <c r="AL354" s="8">
        <v>119742</v>
      </c>
      <c r="AM354" s="8">
        <v>10900</v>
      </c>
      <c r="AN354" s="7">
        <v>0</v>
      </c>
      <c r="AO354" s="7">
        <v>0</v>
      </c>
      <c r="AP354" s="7">
        <v>0</v>
      </c>
      <c r="AQ354" s="7">
        <v>845</v>
      </c>
      <c r="AR354" s="8">
        <v>83500</v>
      </c>
      <c r="AS354" s="8">
        <v>1000</v>
      </c>
      <c r="AT354" s="7">
        <v>0</v>
      </c>
      <c r="AU354" s="7">
        <v>0</v>
      </c>
      <c r="AV354" s="7">
        <v>0</v>
      </c>
      <c r="AW354" s="7">
        <v>0</v>
      </c>
      <c r="AX354" s="7">
        <v>0</v>
      </c>
      <c r="AY354" s="7">
        <v>0</v>
      </c>
      <c r="AZ354" s="7">
        <v>0</v>
      </c>
      <c r="BA354" s="7">
        <v>0</v>
      </c>
      <c r="BB354" s="7">
        <v>0</v>
      </c>
      <c r="BC354" s="7">
        <v>3</v>
      </c>
      <c r="BD354" s="7">
        <v>360</v>
      </c>
      <c r="BE354" s="7">
        <v>0</v>
      </c>
      <c r="BF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9">
        <v>35944.199999999997</v>
      </c>
      <c r="BM354" s="10">
        <v>277822</v>
      </c>
      <c r="BN354" s="13">
        <f t="shared" si="12"/>
        <v>241877.8</v>
      </c>
      <c r="BO354" s="14">
        <f t="shared" si="13"/>
        <v>169314.46</v>
      </c>
    </row>
    <row r="355" spans="1:67" ht="19.2" x14ac:dyDescent="0.4">
      <c r="A355" s="5" t="s">
        <v>537</v>
      </c>
      <c r="B355" s="5" t="s">
        <v>67</v>
      </c>
      <c r="C355" s="5">
        <v>459997</v>
      </c>
      <c r="D355" s="6"/>
      <c r="E355" s="5" t="s">
        <v>31</v>
      </c>
      <c r="F355" s="5" t="s">
        <v>68</v>
      </c>
      <c r="G355" s="5" t="s">
        <v>11</v>
      </c>
      <c r="H355" s="7" t="s">
        <v>7</v>
      </c>
      <c r="I355" s="7" t="s">
        <v>538</v>
      </c>
      <c r="J355" s="7">
        <v>668</v>
      </c>
      <c r="K355" s="8">
        <v>8291</v>
      </c>
      <c r="L355" s="8">
        <v>66800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30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480</v>
      </c>
      <c r="AF355" s="8">
        <v>34800</v>
      </c>
      <c r="AG355" s="8">
        <v>13200</v>
      </c>
      <c r="AH355" s="7">
        <v>0</v>
      </c>
      <c r="AI355" s="7">
        <v>0</v>
      </c>
      <c r="AJ355" s="7">
        <v>0</v>
      </c>
      <c r="AK355" s="7">
        <v>725</v>
      </c>
      <c r="AL355" s="8">
        <v>47400</v>
      </c>
      <c r="AM355" s="8">
        <v>33000</v>
      </c>
      <c r="AN355" s="7">
        <v>0</v>
      </c>
      <c r="AO355" s="7">
        <v>0</v>
      </c>
      <c r="AP355" s="7">
        <v>0</v>
      </c>
      <c r="AQ355" s="7">
        <v>486</v>
      </c>
      <c r="AR355" s="8">
        <v>48200</v>
      </c>
      <c r="AS355" s="7">
        <v>400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AZ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F355" s="7">
        <v>0</v>
      </c>
      <c r="BG355" s="7">
        <v>0</v>
      </c>
      <c r="BH355" s="7">
        <v>0</v>
      </c>
      <c r="BI355" s="7">
        <v>0</v>
      </c>
      <c r="BJ355" s="7">
        <v>0</v>
      </c>
      <c r="BK355" s="7">
        <v>0</v>
      </c>
      <c r="BL355" s="9">
        <v>14220</v>
      </c>
      <c r="BM355" s="10">
        <v>243800</v>
      </c>
      <c r="BN355" s="13">
        <f t="shared" si="12"/>
        <v>229580</v>
      </c>
      <c r="BO355" s="14">
        <f t="shared" si="13"/>
        <v>160706</v>
      </c>
    </row>
    <row r="356" spans="1:67" x14ac:dyDescent="0.4">
      <c r="A356" s="5" t="s">
        <v>537</v>
      </c>
      <c r="B356" s="5" t="s">
        <v>64</v>
      </c>
      <c r="C356" s="5">
        <v>412919</v>
      </c>
      <c r="D356" s="6"/>
      <c r="E356" s="5" t="s">
        <v>31</v>
      </c>
      <c r="F356" s="5" t="s">
        <v>65</v>
      </c>
      <c r="G356" s="5" t="s">
        <v>51</v>
      </c>
      <c r="H356" s="7" t="s">
        <v>8</v>
      </c>
      <c r="I356" s="7" t="s">
        <v>66</v>
      </c>
      <c r="J356" s="7">
        <v>3</v>
      </c>
      <c r="K356" s="7">
        <v>26</v>
      </c>
      <c r="L356" s="7">
        <v>300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67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624</v>
      </c>
      <c r="AF356" s="8">
        <v>47800</v>
      </c>
      <c r="AG356" s="8">
        <v>14600</v>
      </c>
      <c r="AH356" s="7">
        <v>0</v>
      </c>
      <c r="AI356" s="7">
        <v>0</v>
      </c>
      <c r="AJ356" s="7">
        <v>0</v>
      </c>
      <c r="AK356" s="8">
        <v>1020</v>
      </c>
      <c r="AL356" s="8">
        <v>82343</v>
      </c>
      <c r="AM356" s="8">
        <v>33400</v>
      </c>
      <c r="AN356" s="7">
        <v>0</v>
      </c>
      <c r="AO356" s="7">
        <v>0</v>
      </c>
      <c r="AP356" s="7">
        <v>0</v>
      </c>
      <c r="AQ356" s="7">
        <v>308</v>
      </c>
      <c r="AR356" s="8">
        <v>30300</v>
      </c>
      <c r="AS356" s="7">
        <v>500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AZ356" s="7">
        <v>0</v>
      </c>
      <c r="BA356" s="7">
        <v>0</v>
      </c>
      <c r="BB356" s="7">
        <v>0</v>
      </c>
      <c r="BC356" s="7">
        <v>48</v>
      </c>
      <c r="BD356" s="8">
        <v>5760</v>
      </c>
      <c r="BE356" s="7">
        <v>0</v>
      </c>
      <c r="BF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9">
        <v>25048.5</v>
      </c>
      <c r="BM356" s="10">
        <v>215003</v>
      </c>
      <c r="BN356" s="13">
        <f t="shared" si="12"/>
        <v>189954.5</v>
      </c>
      <c r="BO356" s="14">
        <f t="shared" si="13"/>
        <v>132968.15</v>
      </c>
    </row>
    <row r="357" spans="1:67" x14ac:dyDescent="0.4">
      <c r="A357" s="5" t="s">
        <v>537</v>
      </c>
      <c r="B357" s="5" t="s">
        <v>44</v>
      </c>
      <c r="C357" s="5">
        <v>414278</v>
      </c>
      <c r="D357" s="6"/>
      <c r="E357" s="5" t="s">
        <v>31</v>
      </c>
      <c r="F357" s="5" t="s">
        <v>12</v>
      </c>
      <c r="G357" s="5" t="s">
        <v>11</v>
      </c>
      <c r="H357" s="7" t="s">
        <v>8</v>
      </c>
      <c r="I357" s="7" t="s">
        <v>45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29</v>
      </c>
      <c r="AF357" s="8">
        <v>88200</v>
      </c>
      <c r="AG357" s="8">
        <v>4600</v>
      </c>
      <c r="AH357" s="7">
        <v>0</v>
      </c>
      <c r="AI357" s="7">
        <v>0</v>
      </c>
      <c r="AJ357" s="7">
        <v>0</v>
      </c>
      <c r="AK357" s="7">
        <v>25</v>
      </c>
      <c r="AL357" s="8">
        <v>97048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S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AZ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F357" s="7">
        <v>0</v>
      </c>
      <c r="BG357" s="7">
        <v>0</v>
      </c>
      <c r="BH357" s="7">
        <v>0</v>
      </c>
      <c r="BI357" s="7">
        <v>0</v>
      </c>
      <c r="BJ357" s="7">
        <v>0</v>
      </c>
      <c r="BK357" s="7">
        <v>0</v>
      </c>
      <c r="BL357" s="9">
        <v>29114.400000000001</v>
      </c>
      <c r="BM357" s="10">
        <v>189848</v>
      </c>
      <c r="BN357" s="13">
        <f t="shared" si="12"/>
        <v>160733.6</v>
      </c>
      <c r="BO357" s="14">
        <f t="shared" si="13"/>
        <v>112513.52</v>
      </c>
    </row>
    <row r="358" spans="1:67" x14ac:dyDescent="0.4">
      <c r="A358" s="5" t="s">
        <v>537</v>
      </c>
      <c r="B358" s="5" t="s">
        <v>38</v>
      </c>
      <c r="C358" s="5">
        <v>445688</v>
      </c>
      <c r="D358" s="6"/>
      <c r="E358" s="5" t="s">
        <v>31</v>
      </c>
      <c r="F358" s="5" t="s">
        <v>39</v>
      </c>
      <c r="G358" s="5" t="s">
        <v>11</v>
      </c>
      <c r="H358" s="7" t="s">
        <v>7</v>
      </c>
      <c r="I358" s="7" t="s">
        <v>40</v>
      </c>
      <c r="J358" s="7">
        <v>0</v>
      </c>
      <c r="K358" s="7">
        <v>327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627</v>
      </c>
      <c r="AF358" s="8">
        <v>56300</v>
      </c>
      <c r="AG358" s="8">
        <v>6400</v>
      </c>
      <c r="AH358" s="7">
        <v>0</v>
      </c>
      <c r="AI358" s="7">
        <v>0</v>
      </c>
      <c r="AJ358" s="7">
        <v>0</v>
      </c>
      <c r="AK358" s="7">
        <v>507</v>
      </c>
      <c r="AL358" s="8">
        <v>46560</v>
      </c>
      <c r="AM358" s="8">
        <v>11900</v>
      </c>
      <c r="AN358" s="7">
        <v>0</v>
      </c>
      <c r="AO358" s="7">
        <v>0</v>
      </c>
      <c r="AP358" s="7">
        <v>0</v>
      </c>
      <c r="AQ358" s="7">
        <v>196</v>
      </c>
      <c r="AR358" s="8">
        <v>14600</v>
      </c>
      <c r="AS358" s="8">
        <v>5000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AZ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F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9">
        <v>13968</v>
      </c>
      <c r="BM358" s="10">
        <v>140760</v>
      </c>
      <c r="BN358" s="13">
        <f t="shared" si="12"/>
        <v>126792</v>
      </c>
      <c r="BO358" s="14">
        <f t="shared" si="13"/>
        <v>88754.4</v>
      </c>
    </row>
    <row r="359" spans="1:67" x14ac:dyDescent="0.4">
      <c r="A359" s="5" t="s">
        <v>537</v>
      </c>
      <c r="B359" s="5" t="s">
        <v>60</v>
      </c>
      <c r="C359" s="5">
        <v>321812</v>
      </c>
      <c r="D359" s="6"/>
      <c r="E359" s="5" t="s">
        <v>31</v>
      </c>
      <c r="F359" s="5" t="s">
        <v>47</v>
      </c>
      <c r="G359" s="5" t="s">
        <v>11</v>
      </c>
      <c r="H359" s="7" t="s">
        <v>7</v>
      </c>
      <c r="I359" s="7" t="s">
        <v>61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31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462</v>
      </c>
      <c r="AF359" s="8">
        <v>37700</v>
      </c>
      <c r="AG359" s="8">
        <v>8500</v>
      </c>
      <c r="AH359" s="7">
        <v>0</v>
      </c>
      <c r="AI359" s="7">
        <v>0</v>
      </c>
      <c r="AJ359" s="7">
        <v>0</v>
      </c>
      <c r="AK359" s="7">
        <v>823</v>
      </c>
      <c r="AL359" s="8">
        <v>37499</v>
      </c>
      <c r="AM359" s="8">
        <v>52200</v>
      </c>
      <c r="AN359" s="7">
        <v>0</v>
      </c>
      <c r="AO359" s="7">
        <v>0</v>
      </c>
      <c r="AP359" s="7">
        <v>0</v>
      </c>
      <c r="AQ359" s="7">
        <v>0</v>
      </c>
      <c r="AR359" s="7">
        <v>0</v>
      </c>
      <c r="AS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AZ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F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9">
        <v>11249.7</v>
      </c>
      <c r="BM359" s="10">
        <v>135899</v>
      </c>
      <c r="BN359" s="13">
        <f t="shared" si="12"/>
        <v>124649.3</v>
      </c>
      <c r="BO359" s="14">
        <f t="shared" si="13"/>
        <v>87254.51</v>
      </c>
    </row>
    <row r="360" spans="1:67" x14ac:dyDescent="0.4">
      <c r="A360" s="5" t="s">
        <v>537</v>
      </c>
      <c r="B360" s="5" t="s">
        <v>57</v>
      </c>
      <c r="C360" s="5">
        <v>457807</v>
      </c>
      <c r="D360" s="6"/>
      <c r="E360" s="5" t="s">
        <v>31</v>
      </c>
      <c r="F360" s="5" t="s">
        <v>58</v>
      </c>
      <c r="G360" s="5" t="s">
        <v>51</v>
      </c>
      <c r="H360" s="7" t="s">
        <v>8</v>
      </c>
      <c r="I360" s="7" t="s">
        <v>59</v>
      </c>
      <c r="J360" s="7">
        <v>77</v>
      </c>
      <c r="K360" s="8">
        <v>1462</v>
      </c>
      <c r="L360" s="8">
        <v>7700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34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295</v>
      </c>
      <c r="AF360" s="8">
        <v>24380</v>
      </c>
      <c r="AG360" s="8">
        <v>5200</v>
      </c>
      <c r="AH360" s="7">
        <v>0</v>
      </c>
      <c r="AI360" s="7">
        <v>0</v>
      </c>
      <c r="AJ360" s="7">
        <v>0</v>
      </c>
      <c r="AK360" s="7">
        <v>657</v>
      </c>
      <c r="AL360" s="8">
        <v>50880</v>
      </c>
      <c r="AM360" s="8">
        <v>23300</v>
      </c>
      <c r="AN360" s="7">
        <v>0</v>
      </c>
      <c r="AO360" s="7">
        <v>0</v>
      </c>
      <c r="AP360" s="7">
        <v>0</v>
      </c>
      <c r="AQ360" s="7">
        <v>182</v>
      </c>
      <c r="AR360" s="8">
        <v>18200</v>
      </c>
      <c r="AS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AZ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F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9">
        <v>15264</v>
      </c>
      <c r="BM360" s="10">
        <v>129660</v>
      </c>
      <c r="BN360" s="13">
        <f t="shared" si="12"/>
        <v>114396</v>
      </c>
      <c r="BO360" s="14">
        <f t="shared" si="13"/>
        <v>80077.2</v>
      </c>
    </row>
    <row r="361" spans="1:67" x14ac:dyDescent="0.4">
      <c r="A361" s="5" t="s">
        <v>537</v>
      </c>
      <c r="B361" s="5" t="s">
        <v>101</v>
      </c>
      <c r="C361" s="5">
        <v>370935</v>
      </c>
      <c r="D361" s="6"/>
      <c r="E361" s="5" t="s">
        <v>31</v>
      </c>
      <c r="F361" s="5" t="s">
        <v>47</v>
      </c>
      <c r="G361" s="5" t="s">
        <v>11</v>
      </c>
      <c r="H361" s="7" t="s">
        <v>7</v>
      </c>
      <c r="I361" s="7" t="s">
        <v>102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33</v>
      </c>
      <c r="AL361" s="8">
        <v>122880</v>
      </c>
      <c r="AM361" s="8">
        <v>3200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S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AZ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F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9">
        <v>36864</v>
      </c>
      <c r="BM361" s="10">
        <v>126080</v>
      </c>
      <c r="BN361" s="13">
        <f t="shared" si="12"/>
        <v>89216</v>
      </c>
      <c r="BO361" s="14">
        <f t="shared" si="13"/>
        <v>62451.199999999997</v>
      </c>
    </row>
    <row r="362" spans="1:67" x14ac:dyDescent="0.4">
      <c r="A362" s="5" t="s">
        <v>537</v>
      </c>
      <c r="B362" s="5" t="s">
        <v>95</v>
      </c>
      <c r="C362" s="5">
        <v>387942</v>
      </c>
      <c r="D362" s="6"/>
      <c r="E362" s="5" t="s">
        <v>31</v>
      </c>
      <c r="F362" s="5" t="s">
        <v>96</v>
      </c>
      <c r="G362" s="5" t="s">
        <v>11</v>
      </c>
      <c r="H362" s="7" t="s">
        <v>7</v>
      </c>
      <c r="I362" s="7" t="s">
        <v>97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17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304</v>
      </c>
      <c r="AF362" s="8">
        <v>30960</v>
      </c>
      <c r="AG362" s="7">
        <v>200</v>
      </c>
      <c r="AH362" s="7">
        <v>0</v>
      </c>
      <c r="AI362" s="7">
        <v>0</v>
      </c>
      <c r="AJ362" s="7">
        <v>0</v>
      </c>
      <c r="AK362" s="7">
        <v>229</v>
      </c>
      <c r="AL362" s="8">
        <v>24165</v>
      </c>
      <c r="AM362" s="8">
        <v>2800</v>
      </c>
      <c r="AN362" s="7">
        <v>0</v>
      </c>
      <c r="AO362" s="7">
        <v>0</v>
      </c>
      <c r="AP362" s="7">
        <v>0</v>
      </c>
      <c r="AQ362" s="7">
        <v>279</v>
      </c>
      <c r="AR362" s="8">
        <v>27200</v>
      </c>
      <c r="AS362" s="7">
        <v>700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AZ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F362" s="7">
        <v>0</v>
      </c>
      <c r="BG362" s="7">
        <v>0</v>
      </c>
      <c r="BH362" s="7">
        <v>0</v>
      </c>
      <c r="BI362" s="7">
        <v>0</v>
      </c>
      <c r="BJ362" s="7">
        <v>0</v>
      </c>
      <c r="BK362" s="7">
        <v>0</v>
      </c>
      <c r="BL362" s="9">
        <v>7249.5</v>
      </c>
      <c r="BM362" s="10">
        <v>86025</v>
      </c>
      <c r="BN362" s="13">
        <f t="shared" si="12"/>
        <v>78775.5</v>
      </c>
      <c r="BO362" s="14">
        <f t="shared" si="13"/>
        <v>55142.85</v>
      </c>
    </row>
    <row r="363" spans="1:67" x14ac:dyDescent="0.4">
      <c r="A363" s="5" t="s">
        <v>537</v>
      </c>
      <c r="B363" s="5" t="s">
        <v>78</v>
      </c>
      <c r="C363" s="5">
        <v>245889</v>
      </c>
      <c r="D363" s="6"/>
      <c r="E363" s="5" t="s">
        <v>31</v>
      </c>
      <c r="F363" s="5" t="s">
        <v>47</v>
      </c>
      <c r="G363" s="5" t="s">
        <v>11</v>
      </c>
      <c r="H363" s="7" t="s">
        <v>7</v>
      </c>
      <c r="I363" s="7" t="s">
        <v>79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47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505</v>
      </c>
      <c r="AF363" s="8">
        <v>49000</v>
      </c>
      <c r="AG363" s="8">
        <v>1500</v>
      </c>
      <c r="AH363" s="7">
        <v>0</v>
      </c>
      <c r="AI363" s="7">
        <v>0</v>
      </c>
      <c r="AJ363" s="7">
        <v>0</v>
      </c>
      <c r="AK363" s="7">
        <v>324</v>
      </c>
      <c r="AL363" s="8">
        <v>1440</v>
      </c>
      <c r="AM363" s="8">
        <v>31200</v>
      </c>
      <c r="AN363" s="7">
        <v>0</v>
      </c>
      <c r="AO363" s="7">
        <v>0</v>
      </c>
      <c r="AP363" s="7">
        <v>0</v>
      </c>
      <c r="AQ363" s="7">
        <v>0</v>
      </c>
      <c r="AR363" s="7">
        <v>0</v>
      </c>
      <c r="AS363" s="7">
        <v>0</v>
      </c>
      <c r="AT363" s="7">
        <v>0</v>
      </c>
      <c r="AU363" s="7">
        <v>0</v>
      </c>
      <c r="AV363" s="7">
        <v>0</v>
      </c>
      <c r="AW363" s="7">
        <v>0</v>
      </c>
      <c r="AX363" s="7">
        <v>0</v>
      </c>
      <c r="AY363" s="7">
        <v>0</v>
      </c>
      <c r="AZ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F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432</v>
      </c>
      <c r="BM363" s="10">
        <v>83140</v>
      </c>
      <c r="BN363" s="13">
        <f t="shared" si="12"/>
        <v>82708</v>
      </c>
      <c r="BO363" s="14">
        <f t="shared" si="13"/>
        <v>57895.6</v>
      </c>
    </row>
    <row r="364" spans="1:67" x14ac:dyDescent="0.4">
      <c r="A364" s="5" t="s">
        <v>537</v>
      </c>
      <c r="B364" s="5" t="s">
        <v>69</v>
      </c>
      <c r="C364" s="5">
        <v>369720</v>
      </c>
      <c r="D364" s="6"/>
      <c r="E364" s="5" t="s">
        <v>31</v>
      </c>
      <c r="F364" s="5" t="s">
        <v>70</v>
      </c>
      <c r="G364" s="5" t="s">
        <v>51</v>
      </c>
      <c r="H364" s="7" t="s">
        <v>8</v>
      </c>
      <c r="I364" s="7" t="s">
        <v>71</v>
      </c>
      <c r="J364" s="7">
        <v>0</v>
      </c>
      <c r="K364" s="7">
        <v>61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18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236</v>
      </c>
      <c r="AF364" s="8">
        <v>22800</v>
      </c>
      <c r="AG364" s="7">
        <v>800</v>
      </c>
      <c r="AH364" s="7">
        <v>0</v>
      </c>
      <c r="AI364" s="7">
        <v>0</v>
      </c>
      <c r="AJ364" s="7">
        <v>0</v>
      </c>
      <c r="AK364" s="7">
        <v>210</v>
      </c>
      <c r="AL364" s="8">
        <v>12732</v>
      </c>
      <c r="AM364" s="8">
        <v>10400</v>
      </c>
      <c r="AN364" s="7">
        <v>0</v>
      </c>
      <c r="AO364" s="7">
        <v>0</v>
      </c>
      <c r="AP364" s="7">
        <v>0</v>
      </c>
      <c r="AQ364" s="7">
        <v>71</v>
      </c>
      <c r="AR364" s="8">
        <v>7100</v>
      </c>
      <c r="AS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AZ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F364" s="7">
        <v>0</v>
      </c>
      <c r="BG364" s="7">
        <v>0</v>
      </c>
      <c r="BH364" s="7">
        <v>0</v>
      </c>
      <c r="BI364" s="7">
        <v>0</v>
      </c>
      <c r="BJ364" s="7">
        <v>0</v>
      </c>
      <c r="BK364" s="7">
        <v>0</v>
      </c>
      <c r="BL364" s="9">
        <v>3819.6</v>
      </c>
      <c r="BM364" s="10">
        <v>53832</v>
      </c>
      <c r="BN364" s="13">
        <f t="shared" si="12"/>
        <v>50012.4</v>
      </c>
      <c r="BO364" s="14">
        <f t="shared" si="13"/>
        <v>35008.68</v>
      </c>
    </row>
    <row r="365" spans="1:67" x14ac:dyDescent="0.4">
      <c r="A365" s="5" t="s">
        <v>537</v>
      </c>
      <c r="B365" s="5" t="s">
        <v>109</v>
      </c>
      <c r="C365" s="5">
        <v>462353</v>
      </c>
      <c r="D365" s="6"/>
      <c r="E365" s="5" t="s">
        <v>31</v>
      </c>
      <c r="F365" s="5" t="s">
        <v>56</v>
      </c>
      <c r="G365" s="5" t="s">
        <v>11</v>
      </c>
      <c r="H365" s="7" t="s">
        <v>7</v>
      </c>
      <c r="I365" s="7" t="s">
        <v>110</v>
      </c>
      <c r="J365" s="7">
        <v>2</v>
      </c>
      <c r="K365" s="7">
        <v>0</v>
      </c>
      <c r="L365" s="7">
        <v>200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11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79</v>
      </c>
      <c r="AF365" s="8">
        <v>7900</v>
      </c>
      <c r="AG365" s="7">
        <v>0</v>
      </c>
      <c r="AH365" s="7">
        <v>0</v>
      </c>
      <c r="AI365" s="7">
        <v>0</v>
      </c>
      <c r="AJ365" s="7">
        <v>0</v>
      </c>
      <c r="AK365" s="7">
        <v>256</v>
      </c>
      <c r="AL365" s="8">
        <v>31764</v>
      </c>
      <c r="AM365" s="7">
        <v>0</v>
      </c>
      <c r="AN365" s="7">
        <v>0</v>
      </c>
      <c r="AO365" s="7">
        <v>0</v>
      </c>
      <c r="AP365" s="7">
        <v>0</v>
      </c>
      <c r="AQ365" s="7">
        <v>122</v>
      </c>
      <c r="AR365" s="8">
        <v>12000</v>
      </c>
      <c r="AS365" s="7">
        <v>200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AZ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F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9">
        <v>9529.2000000000007</v>
      </c>
      <c r="BM365" s="10">
        <v>52064</v>
      </c>
      <c r="BN365" s="13">
        <f t="shared" si="12"/>
        <v>42534.8</v>
      </c>
      <c r="BO365" s="14">
        <f t="shared" si="13"/>
        <v>29774.36</v>
      </c>
    </row>
    <row r="366" spans="1:67" x14ac:dyDescent="0.4">
      <c r="A366" s="5" t="s">
        <v>537</v>
      </c>
      <c r="B366" s="5" t="s">
        <v>139</v>
      </c>
      <c r="C366" s="5">
        <v>390809</v>
      </c>
      <c r="D366" s="6"/>
      <c r="E366" s="5" t="s">
        <v>31</v>
      </c>
      <c r="F366" s="5" t="s">
        <v>140</v>
      </c>
      <c r="G366" s="5" t="s">
        <v>51</v>
      </c>
      <c r="H366" s="7" t="s">
        <v>8</v>
      </c>
      <c r="I366" s="7" t="s">
        <v>52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16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106</v>
      </c>
      <c r="AF366" s="8">
        <v>10600</v>
      </c>
      <c r="AG366" s="7">
        <v>0</v>
      </c>
      <c r="AH366" s="7">
        <v>0</v>
      </c>
      <c r="AI366" s="7">
        <v>0</v>
      </c>
      <c r="AJ366" s="7">
        <v>0</v>
      </c>
      <c r="AK366" s="7">
        <v>180</v>
      </c>
      <c r="AL366" s="8">
        <v>16592</v>
      </c>
      <c r="AM366" s="8">
        <v>4200</v>
      </c>
      <c r="AN366" s="7">
        <v>0</v>
      </c>
      <c r="AO366" s="7">
        <v>0</v>
      </c>
      <c r="AP366" s="7">
        <v>0</v>
      </c>
      <c r="AQ366" s="7">
        <v>158</v>
      </c>
      <c r="AR366" s="8">
        <v>15800</v>
      </c>
      <c r="AS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AZ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F366" s="7">
        <v>0</v>
      </c>
      <c r="BG366" s="7">
        <v>0</v>
      </c>
      <c r="BH366" s="7">
        <v>0</v>
      </c>
      <c r="BI366" s="7">
        <v>0</v>
      </c>
      <c r="BJ366" s="7">
        <v>0</v>
      </c>
      <c r="BK366" s="7">
        <v>0</v>
      </c>
      <c r="BL366" s="9">
        <v>4977.6000000000004</v>
      </c>
      <c r="BM366" s="10">
        <v>47192</v>
      </c>
      <c r="BN366" s="13">
        <f t="shared" si="12"/>
        <v>42214.400000000001</v>
      </c>
      <c r="BO366" s="14">
        <f t="shared" si="13"/>
        <v>29550.079999999998</v>
      </c>
    </row>
    <row r="367" spans="1:67" x14ac:dyDescent="0.4">
      <c r="A367" s="5" t="s">
        <v>537</v>
      </c>
      <c r="B367" s="5" t="s">
        <v>92</v>
      </c>
      <c r="C367" s="5">
        <v>465250</v>
      </c>
      <c r="D367" s="6"/>
      <c r="E367" s="5" t="s">
        <v>31</v>
      </c>
      <c r="F367" s="5" t="s">
        <v>93</v>
      </c>
      <c r="G367" s="5" t="s">
        <v>33</v>
      </c>
      <c r="H367" s="7" t="s">
        <v>7</v>
      </c>
      <c r="I367" s="7" t="s">
        <v>94</v>
      </c>
      <c r="J367" s="7">
        <v>0</v>
      </c>
      <c r="K367" s="7">
        <v>6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380</v>
      </c>
      <c r="AF367" s="8">
        <v>38000</v>
      </c>
      <c r="AG367" s="7">
        <v>0</v>
      </c>
      <c r="AH367" s="7">
        <v>0</v>
      </c>
      <c r="AI367" s="7">
        <v>0</v>
      </c>
      <c r="AJ367" s="7">
        <v>0</v>
      </c>
      <c r="AK367" s="7">
        <v>72</v>
      </c>
      <c r="AL367" s="8">
        <v>8640</v>
      </c>
      <c r="AM367" s="7">
        <v>0</v>
      </c>
      <c r="AN367" s="7">
        <v>0</v>
      </c>
      <c r="AO367" s="7">
        <v>0</v>
      </c>
      <c r="AP367" s="7">
        <v>0</v>
      </c>
      <c r="AQ367" s="7">
        <v>2</v>
      </c>
      <c r="AR367" s="7">
        <v>200</v>
      </c>
      <c r="AS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AZ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F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9">
        <v>2592</v>
      </c>
      <c r="BM367" s="10">
        <v>46840</v>
      </c>
      <c r="BN367" s="13">
        <f t="shared" si="12"/>
        <v>44248</v>
      </c>
      <c r="BO367" s="14">
        <f t="shared" si="13"/>
        <v>30973.599999999999</v>
      </c>
    </row>
    <row r="368" spans="1:67" x14ac:dyDescent="0.4">
      <c r="A368" s="5" t="s">
        <v>537</v>
      </c>
      <c r="B368" s="5" t="s">
        <v>198</v>
      </c>
      <c r="C368" s="5">
        <v>316658</v>
      </c>
      <c r="D368" s="6"/>
      <c r="E368" s="5" t="s">
        <v>31</v>
      </c>
      <c r="F368" s="5" t="s">
        <v>84</v>
      </c>
      <c r="G368" s="5" t="s">
        <v>11</v>
      </c>
      <c r="H368" s="7" t="s">
        <v>7</v>
      </c>
      <c r="I368" s="7" t="s">
        <v>199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26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12</v>
      </c>
      <c r="AF368" s="7">
        <v>0</v>
      </c>
      <c r="AG368" s="8">
        <v>1200</v>
      </c>
      <c r="AH368" s="7">
        <v>0</v>
      </c>
      <c r="AI368" s="7">
        <v>0</v>
      </c>
      <c r="AJ368" s="7">
        <v>0</v>
      </c>
      <c r="AK368" s="7">
        <v>214</v>
      </c>
      <c r="AL368" s="8">
        <v>25680</v>
      </c>
      <c r="AM368" s="7">
        <v>0</v>
      </c>
      <c r="AN368" s="7">
        <v>0</v>
      </c>
      <c r="AO368" s="7">
        <v>0</v>
      </c>
      <c r="AP368" s="7">
        <v>0</v>
      </c>
      <c r="AQ368" s="7">
        <v>172</v>
      </c>
      <c r="AR368" s="8">
        <v>16800</v>
      </c>
      <c r="AS368" s="7">
        <v>400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AZ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F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9">
        <v>7704</v>
      </c>
      <c r="BM368" s="10">
        <v>44080</v>
      </c>
      <c r="BN368" s="13">
        <f t="shared" si="12"/>
        <v>36376</v>
      </c>
      <c r="BO368" s="14">
        <f t="shared" si="13"/>
        <v>25463.199999999997</v>
      </c>
    </row>
    <row r="369" spans="1:67" x14ac:dyDescent="0.4">
      <c r="A369" s="5" t="s">
        <v>537</v>
      </c>
      <c r="B369" s="5" t="s">
        <v>168</v>
      </c>
      <c r="C369" s="5">
        <v>422374</v>
      </c>
      <c r="D369" s="6"/>
      <c r="E369" s="5" t="s">
        <v>31</v>
      </c>
      <c r="F369" s="5" t="s">
        <v>169</v>
      </c>
      <c r="G369" s="5" t="s">
        <v>11</v>
      </c>
      <c r="H369" s="7" t="s">
        <v>7</v>
      </c>
      <c r="I369" s="7" t="s">
        <v>134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1</v>
      </c>
      <c r="AF369" s="7">
        <v>0</v>
      </c>
      <c r="AG369" s="8">
        <v>3200</v>
      </c>
      <c r="AH369" s="7">
        <v>0</v>
      </c>
      <c r="AI369" s="7">
        <v>0</v>
      </c>
      <c r="AJ369" s="7">
        <v>0</v>
      </c>
      <c r="AK369" s="7">
        <v>10</v>
      </c>
      <c r="AL369" s="8">
        <v>38400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S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AZ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F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9">
        <v>11520</v>
      </c>
      <c r="BM369" s="10">
        <v>41600</v>
      </c>
      <c r="BN369" s="13">
        <f t="shared" si="12"/>
        <v>30080</v>
      </c>
      <c r="BO369" s="14">
        <f t="shared" si="13"/>
        <v>21056</v>
      </c>
    </row>
    <row r="370" spans="1:67" x14ac:dyDescent="0.4">
      <c r="A370" s="5" t="s">
        <v>537</v>
      </c>
      <c r="B370" s="5" t="s">
        <v>75</v>
      </c>
      <c r="C370" s="5">
        <v>464776</v>
      </c>
      <c r="D370" s="6"/>
      <c r="E370" s="5" t="s">
        <v>31</v>
      </c>
      <c r="F370" s="5" t="s">
        <v>76</v>
      </c>
      <c r="G370" s="5" t="s">
        <v>33</v>
      </c>
      <c r="H370" s="7" t="s">
        <v>10</v>
      </c>
      <c r="I370" s="7" t="s">
        <v>77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124</v>
      </c>
      <c r="AF370" s="8">
        <v>12340</v>
      </c>
      <c r="AG370" s="7">
        <v>300</v>
      </c>
      <c r="AH370" s="7">
        <v>0</v>
      </c>
      <c r="AI370" s="7">
        <v>0</v>
      </c>
      <c r="AJ370" s="7">
        <v>0</v>
      </c>
      <c r="AK370" s="7">
        <v>134</v>
      </c>
      <c r="AL370" s="8">
        <v>15600</v>
      </c>
      <c r="AM370" s="7">
        <v>400</v>
      </c>
      <c r="AN370" s="7">
        <v>0</v>
      </c>
      <c r="AO370" s="7">
        <v>0</v>
      </c>
      <c r="AP370" s="7">
        <v>0</v>
      </c>
      <c r="AQ370" s="7">
        <v>114</v>
      </c>
      <c r="AR370" s="8">
        <v>11400</v>
      </c>
      <c r="AS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AZ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F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9">
        <v>4680</v>
      </c>
      <c r="BM370" s="10">
        <v>40040</v>
      </c>
      <c r="BN370" s="13">
        <f t="shared" si="12"/>
        <v>35360</v>
      </c>
      <c r="BO370" s="14">
        <f t="shared" si="13"/>
        <v>24752</v>
      </c>
    </row>
    <row r="371" spans="1:67" x14ac:dyDescent="0.4">
      <c r="A371" s="5" t="s">
        <v>537</v>
      </c>
      <c r="B371" s="5" t="s">
        <v>89</v>
      </c>
      <c r="C371" s="5">
        <v>219203</v>
      </c>
      <c r="D371" s="6"/>
      <c r="E371" s="5" t="s">
        <v>31</v>
      </c>
      <c r="F371" s="5" t="s">
        <v>90</v>
      </c>
      <c r="G371" s="5" t="s">
        <v>11</v>
      </c>
      <c r="H371" s="7" t="s">
        <v>7</v>
      </c>
      <c r="I371" s="7" t="s">
        <v>91</v>
      </c>
      <c r="J371" s="7">
        <v>0</v>
      </c>
      <c r="K371" s="7">
        <v>5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244</v>
      </c>
      <c r="AC371" s="8">
        <v>14700</v>
      </c>
      <c r="AD371" s="8">
        <v>9700</v>
      </c>
      <c r="AE371" s="7">
        <v>0</v>
      </c>
      <c r="AF371" s="7">
        <v>0</v>
      </c>
      <c r="AG371" s="7">
        <v>0</v>
      </c>
      <c r="AH371" s="7">
        <v>75</v>
      </c>
      <c r="AI371" s="8">
        <v>6960</v>
      </c>
      <c r="AJ371" s="8">
        <v>1700</v>
      </c>
      <c r="AK371" s="7">
        <v>1</v>
      </c>
      <c r="AL371" s="7">
        <v>0</v>
      </c>
      <c r="AM371" s="7">
        <v>300</v>
      </c>
      <c r="AN371" s="7">
        <v>45</v>
      </c>
      <c r="AO371" s="8">
        <v>4500</v>
      </c>
      <c r="AP371" s="7">
        <v>0</v>
      </c>
      <c r="AQ371" s="7">
        <v>2</v>
      </c>
      <c r="AR371" s="7">
        <v>600</v>
      </c>
      <c r="AS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AZ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F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9">
        <v>2088</v>
      </c>
      <c r="BM371" s="10">
        <v>38460</v>
      </c>
      <c r="BN371" s="13">
        <f t="shared" si="12"/>
        <v>36372</v>
      </c>
      <c r="BO371" s="14">
        <f t="shared" si="13"/>
        <v>25460.399999999998</v>
      </c>
    </row>
    <row r="372" spans="1:67" x14ac:dyDescent="0.4">
      <c r="A372" s="5" t="s">
        <v>537</v>
      </c>
      <c r="B372" s="5" t="s">
        <v>164</v>
      </c>
      <c r="C372" s="5">
        <v>328404</v>
      </c>
      <c r="D372" s="6"/>
      <c r="E372" s="5" t="s">
        <v>31</v>
      </c>
      <c r="F372" s="5" t="s">
        <v>50</v>
      </c>
      <c r="G372" s="5" t="s">
        <v>51</v>
      </c>
      <c r="H372" s="7" t="s">
        <v>8</v>
      </c>
      <c r="I372" s="7" t="s">
        <v>165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15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83</v>
      </c>
      <c r="AF372" s="8">
        <v>5400</v>
      </c>
      <c r="AG372" s="8">
        <v>2900</v>
      </c>
      <c r="AH372" s="7">
        <v>0</v>
      </c>
      <c r="AI372" s="7">
        <v>0</v>
      </c>
      <c r="AJ372" s="7">
        <v>0</v>
      </c>
      <c r="AK372" s="7">
        <v>195</v>
      </c>
      <c r="AL372" s="8">
        <v>17454</v>
      </c>
      <c r="AM372" s="8">
        <v>5000</v>
      </c>
      <c r="AN372" s="7">
        <v>0</v>
      </c>
      <c r="AO372" s="7">
        <v>0</v>
      </c>
      <c r="AP372" s="7">
        <v>0</v>
      </c>
      <c r="AQ372" s="7">
        <v>29</v>
      </c>
      <c r="AR372" s="8">
        <v>2900</v>
      </c>
      <c r="AS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AZ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F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9">
        <v>5236.2</v>
      </c>
      <c r="BM372" s="10">
        <v>33654</v>
      </c>
      <c r="BN372" s="13">
        <f t="shared" si="12"/>
        <v>28417.8</v>
      </c>
      <c r="BO372" s="14">
        <f t="shared" si="13"/>
        <v>19892.46</v>
      </c>
    </row>
    <row r="373" spans="1:67" x14ac:dyDescent="0.4">
      <c r="A373" s="5" t="s">
        <v>537</v>
      </c>
      <c r="B373" s="5" t="s">
        <v>484</v>
      </c>
      <c r="C373" s="5">
        <v>471701</v>
      </c>
      <c r="D373" s="6"/>
      <c r="E373" s="5" t="s">
        <v>31</v>
      </c>
      <c r="F373" s="5" t="s">
        <v>485</v>
      </c>
      <c r="G373" s="5" t="s">
        <v>11</v>
      </c>
      <c r="H373" s="7" t="s">
        <v>10</v>
      </c>
      <c r="I373" s="7" t="s">
        <v>486</v>
      </c>
      <c r="J373" s="7">
        <v>0</v>
      </c>
      <c r="K373" s="7">
        <v>29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61</v>
      </c>
      <c r="AF373" s="8">
        <v>6100</v>
      </c>
      <c r="AG373" s="7">
        <v>0</v>
      </c>
      <c r="AH373" s="7">
        <v>0</v>
      </c>
      <c r="AI373" s="7">
        <v>0</v>
      </c>
      <c r="AJ373" s="7">
        <v>0</v>
      </c>
      <c r="AK373" s="7">
        <v>126</v>
      </c>
      <c r="AL373" s="8">
        <v>13302</v>
      </c>
      <c r="AM373" s="8">
        <v>1800</v>
      </c>
      <c r="AN373" s="7">
        <v>0</v>
      </c>
      <c r="AO373" s="7">
        <v>0</v>
      </c>
      <c r="AP373" s="7">
        <v>0</v>
      </c>
      <c r="AQ373" s="7">
        <v>11</v>
      </c>
      <c r="AR373" s="8">
        <v>1100</v>
      </c>
      <c r="AS373" s="7">
        <v>0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AZ373" s="7">
        <v>0</v>
      </c>
      <c r="BA373" s="7">
        <v>0</v>
      </c>
      <c r="BB373" s="7">
        <v>0</v>
      </c>
      <c r="BC373" s="7">
        <v>81</v>
      </c>
      <c r="BD373" s="8">
        <v>9720</v>
      </c>
      <c r="BE373" s="7">
        <v>0</v>
      </c>
      <c r="BF373" s="7">
        <v>0</v>
      </c>
      <c r="BG373" s="7">
        <v>0</v>
      </c>
      <c r="BH373" s="7">
        <v>0</v>
      </c>
      <c r="BI373" s="7">
        <v>0</v>
      </c>
      <c r="BJ373" s="7">
        <v>0</v>
      </c>
      <c r="BK373" s="7">
        <v>0</v>
      </c>
      <c r="BL373" s="9">
        <v>4573.8</v>
      </c>
      <c r="BM373" s="10">
        <v>32022</v>
      </c>
      <c r="BN373" s="13">
        <f t="shared" si="12"/>
        <v>27448.2</v>
      </c>
      <c r="BO373" s="14">
        <f t="shared" si="13"/>
        <v>19213.739999999998</v>
      </c>
    </row>
    <row r="374" spans="1:67" x14ac:dyDescent="0.4">
      <c r="A374" s="5" t="s">
        <v>537</v>
      </c>
      <c r="B374" s="5" t="s">
        <v>118</v>
      </c>
      <c r="C374" s="5">
        <v>287641</v>
      </c>
      <c r="D374" s="6"/>
      <c r="E374" s="5" t="s">
        <v>31</v>
      </c>
      <c r="F374" s="5" t="s">
        <v>47</v>
      </c>
      <c r="G374" s="5" t="s">
        <v>11</v>
      </c>
      <c r="H374" s="7" t="s">
        <v>7</v>
      </c>
      <c r="I374" s="7" t="s">
        <v>119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10</v>
      </c>
      <c r="AF374" s="8">
        <v>31000</v>
      </c>
      <c r="AG374" s="8">
        <v>1000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S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AZ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F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10">
        <v>32000</v>
      </c>
      <c r="BN374" s="13">
        <f t="shared" si="12"/>
        <v>32000</v>
      </c>
      <c r="BO374" s="14">
        <f t="shared" si="13"/>
        <v>22400</v>
      </c>
    </row>
    <row r="375" spans="1:67" x14ac:dyDescent="0.4">
      <c r="A375" s="5" t="s">
        <v>537</v>
      </c>
      <c r="B375" s="5" t="s">
        <v>166</v>
      </c>
      <c r="C375" s="5">
        <v>392777</v>
      </c>
      <c r="D375" s="6"/>
      <c r="E375" s="5" t="s">
        <v>31</v>
      </c>
      <c r="F375" s="5" t="s">
        <v>107</v>
      </c>
      <c r="G375" s="5" t="s">
        <v>11</v>
      </c>
      <c r="H375" s="7" t="s">
        <v>7</v>
      </c>
      <c r="I375" s="7" t="s">
        <v>167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8</v>
      </c>
      <c r="AL375" s="8">
        <v>30720</v>
      </c>
      <c r="AM375" s="7">
        <v>0</v>
      </c>
      <c r="AN375" s="7">
        <v>0</v>
      </c>
      <c r="AO375" s="7">
        <v>0</v>
      </c>
      <c r="AP375" s="7">
        <v>0</v>
      </c>
      <c r="AQ375" s="7">
        <v>0</v>
      </c>
      <c r="AR375" s="7">
        <v>0</v>
      </c>
      <c r="AS375" s="7">
        <v>0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7">
        <v>0</v>
      </c>
      <c r="AZ375" s="7">
        <v>0</v>
      </c>
      <c r="BA375" s="7">
        <v>0</v>
      </c>
      <c r="BB375" s="7">
        <v>0</v>
      </c>
      <c r="BC375" s="7">
        <v>0</v>
      </c>
      <c r="BD375" s="7">
        <v>0</v>
      </c>
      <c r="BE375" s="7">
        <v>0</v>
      </c>
      <c r="BF375" s="7">
        <v>0</v>
      </c>
      <c r="BG375" s="7">
        <v>0</v>
      </c>
      <c r="BH375" s="7">
        <v>0</v>
      </c>
      <c r="BI375" s="7">
        <v>0</v>
      </c>
      <c r="BJ375" s="7">
        <v>0</v>
      </c>
      <c r="BK375" s="7">
        <v>0</v>
      </c>
      <c r="BL375" s="9">
        <v>9216</v>
      </c>
      <c r="BM375" s="10">
        <v>30720</v>
      </c>
      <c r="BN375" s="13">
        <f t="shared" si="12"/>
        <v>21504</v>
      </c>
      <c r="BO375" s="14">
        <f t="shared" si="13"/>
        <v>15052.8</v>
      </c>
    </row>
    <row r="376" spans="1:67" x14ac:dyDescent="0.4">
      <c r="A376" s="5" t="s">
        <v>537</v>
      </c>
      <c r="B376" s="5" t="s">
        <v>192</v>
      </c>
      <c r="C376" s="5">
        <v>429496</v>
      </c>
      <c r="D376" s="6"/>
      <c r="E376" s="5" t="s">
        <v>31</v>
      </c>
      <c r="F376" s="5" t="s">
        <v>193</v>
      </c>
      <c r="G376" s="5" t="s">
        <v>11</v>
      </c>
      <c r="H376" s="7" t="s">
        <v>7</v>
      </c>
      <c r="I376" s="7" t="s">
        <v>194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7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216</v>
      </c>
      <c r="AF376" s="8">
        <v>13700</v>
      </c>
      <c r="AG376" s="8">
        <v>7900</v>
      </c>
      <c r="AH376" s="7">
        <v>0</v>
      </c>
      <c r="AI376" s="7">
        <v>0</v>
      </c>
      <c r="AJ376" s="7">
        <v>0</v>
      </c>
      <c r="AK376" s="7">
        <v>70</v>
      </c>
      <c r="AL376" s="7">
        <v>0</v>
      </c>
      <c r="AM376" s="8">
        <v>7000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S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AZ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F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10">
        <v>28600</v>
      </c>
      <c r="BN376" s="13">
        <f t="shared" si="12"/>
        <v>28600</v>
      </c>
      <c r="BO376" s="14">
        <f t="shared" si="13"/>
        <v>20020</v>
      </c>
    </row>
    <row r="377" spans="1:67" x14ac:dyDescent="0.4">
      <c r="A377" s="5" t="s">
        <v>537</v>
      </c>
      <c r="B377" s="5" t="s">
        <v>214</v>
      </c>
      <c r="C377" s="5">
        <v>445861</v>
      </c>
      <c r="D377" s="6"/>
      <c r="E377" s="5" t="s">
        <v>31</v>
      </c>
      <c r="F377" s="5" t="s">
        <v>65</v>
      </c>
      <c r="G377" s="5" t="s">
        <v>51</v>
      </c>
      <c r="H377" s="7" t="s">
        <v>8</v>
      </c>
      <c r="I377" s="7" t="s">
        <v>215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3</v>
      </c>
      <c r="AC377" s="8">
        <v>6600</v>
      </c>
      <c r="AD377" s="7">
        <v>0</v>
      </c>
      <c r="AE377" s="7">
        <v>1</v>
      </c>
      <c r="AF377" s="8">
        <v>2800</v>
      </c>
      <c r="AG377" s="7">
        <v>0</v>
      </c>
      <c r="AH377" s="7">
        <v>2</v>
      </c>
      <c r="AI377" s="8">
        <v>5716</v>
      </c>
      <c r="AJ377" s="7">
        <v>0</v>
      </c>
      <c r="AK377" s="7">
        <v>4</v>
      </c>
      <c r="AL377" s="8">
        <v>13440</v>
      </c>
      <c r="AM377" s="7">
        <v>0</v>
      </c>
      <c r="AN377" s="7">
        <v>0</v>
      </c>
      <c r="AO377" s="7">
        <v>0</v>
      </c>
      <c r="AP377" s="7">
        <v>0</v>
      </c>
      <c r="AQ377" s="7">
        <v>0</v>
      </c>
      <c r="AR377" s="7">
        <v>0</v>
      </c>
      <c r="AS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7">
        <v>0</v>
      </c>
      <c r="AZ377" s="7">
        <v>0</v>
      </c>
      <c r="BA377" s="7">
        <v>0</v>
      </c>
      <c r="BB377" s="7">
        <v>0</v>
      </c>
      <c r="BC377" s="7">
        <v>0</v>
      </c>
      <c r="BD377" s="7">
        <v>0</v>
      </c>
      <c r="BE377" s="7">
        <v>0</v>
      </c>
      <c r="BF377" s="7">
        <v>0</v>
      </c>
      <c r="BG377" s="7">
        <v>0</v>
      </c>
      <c r="BH377" s="7">
        <v>0</v>
      </c>
      <c r="BI377" s="7">
        <v>0</v>
      </c>
      <c r="BJ377" s="7">
        <v>0</v>
      </c>
      <c r="BK377" s="7">
        <v>0</v>
      </c>
      <c r="BL377" s="9">
        <v>5746.8</v>
      </c>
      <c r="BM377" s="10">
        <v>28556</v>
      </c>
      <c r="BN377" s="13">
        <f t="shared" si="12"/>
        <v>22809.200000000001</v>
      </c>
      <c r="BO377" s="14">
        <f t="shared" si="13"/>
        <v>15966.439999999999</v>
      </c>
    </row>
    <row r="378" spans="1:67" x14ac:dyDescent="0.4">
      <c r="A378" s="5" t="s">
        <v>537</v>
      </c>
      <c r="B378" s="5" t="s">
        <v>265</v>
      </c>
      <c r="C378" s="5">
        <v>341374</v>
      </c>
      <c r="D378" s="6"/>
      <c r="E378" s="5" t="s">
        <v>31</v>
      </c>
      <c r="F378" s="5" t="s">
        <v>150</v>
      </c>
      <c r="G378" s="5" t="s">
        <v>51</v>
      </c>
      <c r="H378" s="7" t="s">
        <v>8</v>
      </c>
      <c r="I378" s="7" t="s">
        <v>266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19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68</v>
      </c>
      <c r="AF378" s="8">
        <v>6800</v>
      </c>
      <c r="AG378" s="7">
        <v>0</v>
      </c>
      <c r="AH378" s="7">
        <v>0</v>
      </c>
      <c r="AI378" s="7">
        <v>0</v>
      </c>
      <c r="AJ378" s="7">
        <v>0</v>
      </c>
      <c r="AK378" s="7">
        <v>140</v>
      </c>
      <c r="AL378" s="7">
        <v>0</v>
      </c>
      <c r="AM378" s="8">
        <v>14000</v>
      </c>
      <c r="AN378" s="7">
        <v>0</v>
      </c>
      <c r="AO378" s="7">
        <v>0</v>
      </c>
      <c r="AP378" s="7">
        <v>0</v>
      </c>
      <c r="AQ378" s="7">
        <v>56</v>
      </c>
      <c r="AR378" s="8">
        <v>5300</v>
      </c>
      <c r="AS378" s="7">
        <v>300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AZ378" s="7">
        <v>0</v>
      </c>
      <c r="BA378" s="7">
        <v>0</v>
      </c>
      <c r="BB378" s="7">
        <v>0</v>
      </c>
      <c r="BC378" s="7">
        <v>0</v>
      </c>
      <c r="BD378" s="7">
        <v>0</v>
      </c>
      <c r="BE378" s="7">
        <v>0</v>
      </c>
      <c r="BF378" s="7">
        <v>0</v>
      </c>
      <c r="BG378" s="7">
        <v>0</v>
      </c>
      <c r="BH378" s="7">
        <v>0</v>
      </c>
      <c r="BI378" s="7">
        <v>0</v>
      </c>
      <c r="BJ378" s="7">
        <v>0</v>
      </c>
      <c r="BK378" s="7">
        <v>0</v>
      </c>
      <c r="BL378" s="7">
        <v>0</v>
      </c>
      <c r="BM378" s="10">
        <v>26400</v>
      </c>
      <c r="BN378" s="13">
        <f t="shared" si="12"/>
        <v>26400</v>
      </c>
      <c r="BO378" s="14">
        <f t="shared" si="13"/>
        <v>18480</v>
      </c>
    </row>
    <row r="379" spans="1:67" x14ac:dyDescent="0.4">
      <c r="A379" s="5" t="s">
        <v>537</v>
      </c>
      <c r="B379" s="5" t="s">
        <v>80</v>
      </c>
      <c r="C379" s="5">
        <v>386960</v>
      </c>
      <c r="D379" s="6"/>
      <c r="E379" s="5" t="s">
        <v>31</v>
      </c>
      <c r="F379" s="5" t="s">
        <v>81</v>
      </c>
      <c r="G379" s="5" t="s">
        <v>11</v>
      </c>
      <c r="H379" s="7" t="s">
        <v>7</v>
      </c>
      <c r="I379" s="7" t="s">
        <v>82</v>
      </c>
      <c r="J379" s="7">
        <v>0</v>
      </c>
      <c r="K379" s="7">
        <v>5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185</v>
      </c>
      <c r="AF379" s="8">
        <v>17300</v>
      </c>
      <c r="AG379" s="8">
        <v>1200</v>
      </c>
      <c r="AH379" s="7">
        <v>0</v>
      </c>
      <c r="AI379" s="7">
        <v>0</v>
      </c>
      <c r="AJ379" s="7">
        <v>0</v>
      </c>
      <c r="AK379" s="7">
        <v>21</v>
      </c>
      <c r="AL379" s="7">
        <v>360</v>
      </c>
      <c r="AM379" s="8">
        <v>1800</v>
      </c>
      <c r="AN379" s="7">
        <v>0</v>
      </c>
      <c r="AO379" s="7">
        <v>0</v>
      </c>
      <c r="AP379" s="7">
        <v>0</v>
      </c>
      <c r="AQ379" s="7">
        <v>49</v>
      </c>
      <c r="AR379" s="8">
        <v>4900</v>
      </c>
      <c r="AS379" s="7">
        <v>0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AZ379" s="7">
        <v>0</v>
      </c>
      <c r="BA379" s="7">
        <v>0</v>
      </c>
      <c r="BB379" s="7">
        <v>0</v>
      </c>
      <c r="BC379" s="7">
        <v>0</v>
      </c>
      <c r="BD379" s="7">
        <v>0</v>
      </c>
      <c r="BE379" s="7">
        <v>0</v>
      </c>
      <c r="BF379" s="7">
        <v>0</v>
      </c>
      <c r="BG379" s="7">
        <v>0</v>
      </c>
      <c r="BH379" s="7">
        <v>0</v>
      </c>
      <c r="BI379" s="7">
        <v>0</v>
      </c>
      <c r="BJ379" s="7">
        <v>0</v>
      </c>
      <c r="BK379" s="7">
        <v>0</v>
      </c>
      <c r="BL379" s="7">
        <v>108</v>
      </c>
      <c r="BM379" s="10">
        <v>25560</v>
      </c>
      <c r="BN379" s="13">
        <f t="shared" si="12"/>
        <v>25452</v>
      </c>
      <c r="BO379" s="14">
        <f t="shared" si="13"/>
        <v>17816.399999999998</v>
      </c>
    </row>
    <row r="380" spans="1:67" ht="19.2" x14ac:dyDescent="0.4">
      <c r="A380" s="5" t="s">
        <v>537</v>
      </c>
      <c r="B380" s="5" t="s">
        <v>488</v>
      </c>
      <c r="C380" s="5">
        <v>472228</v>
      </c>
      <c r="D380" s="6"/>
      <c r="E380" s="5" t="s">
        <v>31</v>
      </c>
      <c r="F380" s="5" t="s">
        <v>489</v>
      </c>
      <c r="G380" s="5" t="s">
        <v>33</v>
      </c>
      <c r="H380" s="7" t="s">
        <v>8</v>
      </c>
      <c r="I380" s="7" t="s">
        <v>490</v>
      </c>
      <c r="J380" s="7">
        <v>0</v>
      </c>
      <c r="K380" s="7">
        <v>101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30</v>
      </c>
      <c r="AF380" s="8">
        <v>3000</v>
      </c>
      <c r="AG380" s="7">
        <v>0</v>
      </c>
      <c r="AH380" s="7">
        <v>0</v>
      </c>
      <c r="AI380" s="7">
        <v>0</v>
      </c>
      <c r="AJ380" s="7">
        <v>0</v>
      </c>
      <c r="AK380" s="7">
        <v>119</v>
      </c>
      <c r="AL380" s="8">
        <v>14280</v>
      </c>
      <c r="AM380" s="7">
        <v>0</v>
      </c>
      <c r="AN380" s="7">
        <v>0</v>
      </c>
      <c r="AO380" s="7">
        <v>0</v>
      </c>
      <c r="AP380" s="7">
        <v>0</v>
      </c>
      <c r="AQ380" s="7">
        <v>72</v>
      </c>
      <c r="AR380" s="8">
        <v>7200</v>
      </c>
      <c r="AS380" s="7">
        <v>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7">
        <v>0</v>
      </c>
      <c r="AZ380" s="7">
        <v>0</v>
      </c>
      <c r="BA380" s="7">
        <v>0</v>
      </c>
      <c r="BB380" s="7">
        <v>0</v>
      </c>
      <c r="BC380" s="7">
        <v>0</v>
      </c>
      <c r="BD380" s="7">
        <v>0</v>
      </c>
      <c r="BE380" s="7">
        <v>0</v>
      </c>
      <c r="BF380" s="7">
        <v>0</v>
      </c>
      <c r="BG380" s="7">
        <v>0</v>
      </c>
      <c r="BH380" s="7">
        <v>0</v>
      </c>
      <c r="BI380" s="7">
        <v>0</v>
      </c>
      <c r="BJ380" s="7">
        <v>0</v>
      </c>
      <c r="BK380" s="7">
        <v>0</v>
      </c>
      <c r="BL380" s="9">
        <v>4284</v>
      </c>
      <c r="BM380" s="10">
        <v>24480</v>
      </c>
      <c r="BN380" s="13">
        <f t="shared" si="12"/>
        <v>20196</v>
      </c>
      <c r="BO380" s="14">
        <f t="shared" si="13"/>
        <v>14137.199999999999</v>
      </c>
    </row>
    <row r="381" spans="1:67" x14ac:dyDescent="0.4">
      <c r="A381" s="5" t="s">
        <v>537</v>
      </c>
      <c r="B381" s="5" t="s">
        <v>135</v>
      </c>
      <c r="C381" s="5">
        <v>415710</v>
      </c>
      <c r="D381" s="6"/>
      <c r="E381" s="5" t="s">
        <v>31</v>
      </c>
      <c r="F381" s="5" t="s">
        <v>70</v>
      </c>
      <c r="G381" s="5" t="s">
        <v>51</v>
      </c>
      <c r="H381" s="7" t="s">
        <v>8</v>
      </c>
      <c r="I381" s="7" t="s">
        <v>136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8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79</v>
      </c>
      <c r="AF381" s="8">
        <v>7900</v>
      </c>
      <c r="AG381" s="7">
        <v>0</v>
      </c>
      <c r="AH381" s="7">
        <v>0</v>
      </c>
      <c r="AI381" s="7">
        <v>0</v>
      </c>
      <c r="AJ381" s="7">
        <v>0</v>
      </c>
      <c r="AK381" s="7">
        <v>97</v>
      </c>
      <c r="AL381" s="8">
        <v>11640</v>
      </c>
      <c r="AM381" s="7">
        <v>0</v>
      </c>
      <c r="AN381" s="7">
        <v>0</v>
      </c>
      <c r="AO381" s="7">
        <v>0</v>
      </c>
      <c r="AP381" s="7">
        <v>0</v>
      </c>
      <c r="AQ381" s="7">
        <v>30</v>
      </c>
      <c r="AR381" s="8">
        <v>3000</v>
      </c>
      <c r="AS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AZ381" s="7">
        <v>0</v>
      </c>
      <c r="BA381" s="7">
        <v>0</v>
      </c>
      <c r="BB381" s="7">
        <v>0</v>
      </c>
      <c r="BC381" s="7">
        <v>0</v>
      </c>
      <c r="BD381" s="7">
        <v>0</v>
      </c>
      <c r="BE381" s="7">
        <v>0</v>
      </c>
      <c r="BF381" s="7">
        <v>0</v>
      </c>
      <c r="BG381" s="7">
        <v>0</v>
      </c>
      <c r="BH381" s="7">
        <v>0</v>
      </c>
      <c r="BI381" s="7">
        <v>0</v>
      </c>
      <c r="BJ381" s="7">
        <v>0</v>
      </c>
      <c r="BK381" s="7">
        <v>0</v>
      </c>
      <c r="BL381" s="9">
        <v>3492</v>
      </c>
      <c r="BM381" s="10">
        <v>22540</v>
      </c>
      <c r="BN381" s="13">
        <f t="shared" si="12"/>
        <v>19048</v>
      </c>
      <c r="BO381" s="14">
        <f t="shared" si="13"/>
        <v>13333.599999999999</v>
      </c>
    </row>
    <row r="382" spans="1:67" x14ac:dyDescent="0.4">
      <c r="A382" s="5" t="s">
        <v>537</v>
      </c>
      <c r="B382" s="5" t="s">
        <v>202</v>
      </c>
      <c r="C382" s="5">
        <v>359006</v>
      </c>
      <c r="D382" s="6"/>
      <c r="E382" s="5" t="s">
        <v>31</v>
      </c>
      <c r="F382" s="5" t="s">
        <v>150</v>
      </c>
      <c r="G382" s="5" t="s">
        <v>51</v>
      </c>
      <c r="H382" s="7" t="s">
        <v>8</v>
      </c>
      <c r="I382" s="7" t="s">
        <v>203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8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122</v>
      </c>
      <c r="AF382" s="8">
        <v>9500</v>
      </c>
      <c r="AG382" s="8">
        <v>2700</v>
      </c>
      <c r="AH382" s="7">
        <v>0</v>
      </c>
      <c r="AI382" s="7">
        <v>0</v>
      </c>
      <c r="AJ382" s="7">
        <v>0</v>
      </c>
      <c r="AK382" s="7">
        <v>44</v>
      </c>
      <c r="AL382" s="7">
        <v>0</v>
      </c>
      <c r="AM382" s="8">
        <v>4400</v>
      </c>
      <c r="AN382" s="7">
        <v>0</v>
      </c>
      <c r="AO382" s="7">
        <v>0</v>
      </c>
      <c r="AP382" s="7">
        <v>0</v>
      </c>
      <c r="AQ382" s="7">
        <v>41</v>
      </c>
      <c r="AR382" s="8">
        <v>4100</v>
      </c>
      <c r="AS382" s="7">
        <v>0</v>
      </c>
      <c r="AT382" s="7">
        <v>0</v>
      </c>
      <c r="AU382" s="7">
        <v>0</v>
      </c>
      <c r="AV382" s="7">
        <v>0</v>
      </c>
      <c r="AW382" s="7">
        <v>0</v>
      </c>
      <c r="AX382" s="7">
        <v>0</v>
      </c>
      <c r="AY382" s="7">
        <v>0</v>
      </c>
      <c r="AZ382" s="7">
        <v>0</v>
      </c>
      <c r="BA382" s="7">
        <v>0</v>
      </c>
      <c r="BB382" s="7">
        <v>0</v>
      </c>
      <c r="BC382" s="7">
        <v>0</v>
      </c>
      <c r="BD382" s="7">
        <v>0</v>
      </c>
      <c r="BE382" s="7">
        <v>0</v>
      </c>
      <c r="BF382" s="7">
        <v>0</v>
      </c>
      <c r="BG382" s="7">
        <v>0</v>
      </c>
      <c r="BH382" s="7">
        <v>0</v>
      </c>
      <c r="BI382" s="7">
        <v>0</v>
      </c>
      <c r="BJ382" s="7">
        <v>0</v>
      </c>
      <c r="BK382" s="7">
        <v>0</v>
      </c>
      <c r="BL382" s="7">
        <v>0</v>
      </c>
      <c r="BM382" s="10">
        <v>20700</v>
      </c>
      <c r="BN382" s="13">
        <f t="shared" si="12"/>
        <v>20700</v>
      </c>
      <c r="BO382" s="14">
        <f t="shared" si="13"/>
        <v>14489.999999999998</v>
      </c>
    </row>
    <row r="383" spans="1:67" x14ac:dyDescent="0.4">
      <c r="A383" s="5" t="s">
        <v>537</v>
      </c>
      <c r="B383" s="5" t="s">
        <v>171</v>
      </c>
      <c r="C383" s="5">
        <v>350894</v>
      </c>
      <c r="D383" s="6"/>
      <c r="E383" s="5" t="s">
        <v>31</v>
      </c>
      <c r="F383" s="5" t="s">
        <v>172</v>
      </c>
      <c r="G383" s="5" t="s">
        <v>51</v>
      </c>
      <c r="H383" s="7" t="s">
        <v>8</v>
      </c>
      <c r="I383" s="7" t="s">
        <v>173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13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101</v>
      </c>
      <c r="AF383" s="8">
        <v>10100</v>
      </c>
      <c r="AG383" s="7">
        <v>0</v>
      </c>
      <c r="AH383" s="7">
        <v>0</v>
      </c>
      <c r="AI383" s="7">
        <v>0</v>
      </c>
      <c r="AJ383" s="7">
        <v>0</v>
      </c>
      <c r="AK383" s="7">
        <v>28</v>
      </c>
      <c r="AL383" s="8">
        <v>3360</v>
      </c>
      <c r="AM383" s="7">
        <v>0</v>
      </c>
      <c r="AN383" s="7">
        <v>0</v>
      </c>
      <c r="AO383" s="7">
        <v>0</v>
      </c>
      <c r="AP383" s="7">
        <v>0</v>
      </c>
      <c r="AQ383" s="7">
        <v>70</v>
      </c>
      <c r="AR383" s="8">
        <v>6800</v>
      </c>
      <c r="AS383" s="7">
        <v>200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AZ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F383" s="7">
        <v>0</v>
      </c>
      <c r="BG383" s="7">
        <v>0</v>
      </c>
      <c r="BH383" s="7">
        <v>0</v>
      </c>
      <c r="BI383" s="7">
        <v>0</v>
      </c>
      <c r="BJ383" s="7">
        <v>0</v>
      </c>
      <c r="BK383" s="7">
        <v>0</v>
      </c>
      <c r="BL383" s="9">
        <v>1008</v>
      </c>
      <c r="BM383" s="10">
        <v>20460</v>
      </c>
      <c r="BN383" s="13">
        <f t="shared" si="12"/>
        <v>19452</v>
      </c>
      <c r="BO383" s="14">
        <f t="shared" si="13"/>
        <v>13616.4</v>
      </c>
    </row>
    <row r="384" spans="1:67" x14ac:dyDescent="0.4">
      <c r="A384" s="5" t="s">
        <v>537</v>
      </c>
      <c r="B384" s="5" t="s">
        <v>212</v>
      </c>
      <c r="C384" s="5">
        <v>402649</v>
      </c>
      <c r="D384" s="6"/>
      <c r="E384" s="5" t="s">
        <v>31</v>
      </c>
      <c r="F384" s="5" t="s">
        <v>58</v>
      </c>
      <c r="G384" s="5" t="s">
        <v>51</v>
      </c>
      <c r="H384" s="7" t="s">
        <v>8</v>
      </c>
      <c r="I384" s="7" t="s">
        <v>213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10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25</v>
      </c>
      <c r="AF384" s="8">
        <v>2500</v>
      </c>
      <c r="AG384" s="7">
        <v>0</v>
      </c>
      <c r="AH384" s="7">
        <v>0</v>
      </c>
      <c r="AI384" s="7">
        <v>0</v>
      </c>
      <c r="AJ384" s="7">
        <v>0</v>
      </c>
      <c r="AK384" s="7">
        <v>162</v>
      </c>
      <c r="AL384" s="8">
        <v>10560</v>
      </c>
      <c r="AM384" s="8">
        <v>7400</v>
      </c>
      <c r="AN384" s="7">
        <v>0</v>
      </c>
      <c r="AO384" s="7">
        <v>0</v>
      </c>
      <c r="AP384" s="7">
        <v>0</v>
      </c>
      <c r="AQ384" s="7">
        <v>0</v>
      </c>
      <c r="AR384" s="7">
        <v>0</v>
      </c>
      <c r="AS384" s="7">
        <v>0</v>
      </c>
      <c r="AT384" s="7">
        <v>0</v>
      </c>
      <c r="AU384" s="7">
        <v>0</v>
      </c>
      <c r="AV384" s="7">
        <v>0</v>
      </c>
      <c r="AW384" s="7">
        <v>0</v>
      </c>
      <c r="AX384" s="7">
        <v>0</v>
      </c>
      <c r="AY384" s="7">
        <v>0</v>
      </c>
      <c r="AZ384" s="7">
        <v>0</v>
      </c>
      <c r="BA384" s="7">
        <v>0</v>
      </c>
      <c r="BB384" s="7">
        <v>0</v>
      </c>
      <c r="BC384" s="7">
        <v>0</v>
      </c>
      <c r="BD384" s="7">
        <v>0</v>
      </c>
      <c r="BE384" s="7">
        <v>0</v>
      </c>
      <c r="BF384" s="7">
        <v>0</v>
      </c>
      <c r="BG384" s="7">
        <v>0</v>
      </c>
      <c r="BH384" s="7">
        <v>0</v>
      </c>
      <c r="BI384" s="7">
        <v>0</v>
      </c>
      <c r="BJ384" s="7">
        <v>0</v>
      </c>
      <c r="BK384" s="7">
        <v>0</v>
      </c>
      <c r="BL384" s="9">
        <v>3168</v>
      </c>
      <c r="BM384" s="10">
        <v>20460</v>
      </c>
      <c r="BN384" s="13">
        <f t="shared" si="12"/>
        <v>17292</v>
      </c>
      <c r="BO384" s="14">
        <f t="shared" si="13"/>
        <v>12104.4</v>
      </c>
    </row>
    <row r="385" spans="1:67" x14ac:dyDescent="0.4">
      <c r="A385" s="5" t="s">
        <v>537</v>
      </c>
      <c r="B385" s="5" t="s">
        <v>255</v>
      </c>
      <c r="C385" s="5">
        <v>134596</v>
      </c>
      <c r="D385" s="6" t="s">
        <v>256</v>
      </c>
      <c r="E385" s="5" t="s">
        <v>31</v>
      </c>
      <c r="F385" s="5" t="s">
        <v>47</v>
      </c>
      <c r="G385" s="5" t="s">
        <v>11</v>
      </c>
      <c r="H385" s="7" t="s">
        <v>7</v>
      </c>
      <c r="I385" s="7" t="s">
        <v>257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5</v>
      </c>
      <c r="AL385" s="8">
        <v>19200</v>
      </c>
      <c r="AM385" s="7">
        <v>0</v>
      </c>
      <c r="AN385" s="7">
        <v>0</v>
      </c>
      <c r="AO385" s="7">
        <v>0</v>
      </c>
      <c r="AP385" s="7">
        <v>0</v>
      </c>
      <c r="AQ385" s="7">
        <v>0</v>
      </c>
      <c r="AR385" s="7">
        <v>0</v>
      </c>
      <c r="AS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AZ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F385" s="7">
        <v>0</v>
      </c>
      <c r="BG385" s="7">
        <v>0</v>
      </c>
      <c r="BH385" s="7">
        <v>0</v>
      </c>
      <c r="BI385" s="7">
        <v>0</v>
      </c>
      <c r="BJ385" s="7">
        <v>0</v>
      </c>
      <c r="BK385" s="7">
        <v>0</v>
      </c>
      <c r="BL385" s="9">
        <v>5760</v>
      </c>
      <c r="BM385" s="10">
        <v>19200</v>
      </c>
      <c r="BN385" s="13">
        <f t="shared" si="12"/>
        <v>13440</v>
      </c>
      <c r="BO385" s="14">
        <f t="shared" si="13"/>
        <v>9408</v>
      </c>
    </row>
    <row r="386" spans="1:67" ht="19.2" x14ac:dyDescent="0.4">
      <c r="A386" s="5" t="s">
        <v>537</v>
      </c>
      <c r="B386" s="5" t="s">
        <v>149</v>
      </c>
      <c r="C386" s="5">
        <v>383229</v>
      </c>
      <c r="D386" s="6"/>
      <c r="E386" s="5" t="s">
        <v>31</v>
      </c>
      <c r="F386" s="5" t="s">
        <v>150</v>
      </c>
      <c r="G386" s="5" t="s">
        <v>51</v>
      </c>
      <c r="H386" s="7" t="s">
        <v>8</v>
      </c>
      <c r="I386" s="7" t="s">
        <v>151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7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  <c r="AE386" s="7">
        <v>17</v>
      </c>
      <c r="AF386" s="7">
        <v>800</v>
      </c>
      <c r="AG386" s="7">
        <v>900</v>
      </c>
      <c r="AH386" s="7">
        <v>0</v>
      </c>
      <c r="AI386" s="7">
        <v>0</v>
      </c>
      <c r="AJ386" s="7">
        <v>0</v>
      </c>
      <c r="AK386" s="7">
        <v>108</v>
      </c>
      <c r="AL386" s="8">
        <v>5040</v>
      </c>
      <c r="AM386" s="8">
        <v>6600</v>
      </c>
      <c r="AN386" s="7">
        <v>0</v>
      </c>
      <c r="AO386" s="7">
        <v>0</v>
      </c>
      <c r="AP386" s="7">
        <v>0</v>
      </c>
      <c r="AQ386" s="7">
        <v>57</v>
      </c>
      <c r="AR386" s="8">
        <v>5700</v>
      </c>
      <c r="AS386" s="7">
        <v>0</v>
      </c>
      <c r="AT386" s="7">
        <v>0</v>
      </c>
      <c r="AU386" s="7">
        <v>0</v>
      </c>
      <c r="AV386" s="7">
        <v>0</v>
      </c>
      <c r="AW386" s="7">
        <v>0</v>
      </c>
      <c r="AX386" s="7">
        <v>0</v>
      </c>
      <c r="AY386" s="7">
        <v>0</v>
      </c>
      <c r="AZ386" s="7">
        <v>0</v>
      </c>
      <c r="BA386" s="7">
        <v>0</v>
      </c>
      <c r="BB386" s="7">
        <v>0</v>
      </c>
      <c r="BC386" s="7">
        <v>0</v>
      </c>
      <c r="BD386" s="7">
        <v>0</v>
      </c>
      <c r="BE386" s="7">
        <v>0</v>
      </c>
      <c r="BF386" s="7">
        <v>0</v>
      </c>
      <c r="BG386" s="7">
        <v>0</v>
      </c>
      <c r="BH386" s="7">
        <v>0</v>
      </c>
      <c r="BI386" s="7">
        <v>0</v>
      </c>
      <c r="BJ386" s="7">
        <v>0</v>
      </c>
      <c r="BK386" s="7">
        <v>0</v>
      </c>
      <c r="BL386" s="9">
        <v>1512</v>
      </c>
      <c r="BM386" s="10">
        <v>19040</v>
      </c>
      <c r="BN386" s="13">
        <f t="shared" si="12"/>
        <v>17528</v>
      </c>
      <c r="BO386" s="14">
        <f t="shared" si="13"/>
        <v>12269.599999999999</v>
      </c>
    </row>
    <row r="387" spans="1:67" x14ac:dyDescent="0.4">
      <c r="A387" s="5" t="s">
        <v>537</v>
      </c>
      <c r="B387" s="5" t="s">
        <v>208</v>
      </c>
      <c r="C387" s="5">
        <v>325640</v>
      </c>
      <c r="D387" s="6"/>
      <c r="E387" s="5" t="s">
        <v>31</v>
      </c>
      <c r="F387" s="5" t="s">
        <v>209</v>
      </c>
      <c r="G387" s="5" t="s">
        <v>11</v>
      </c>
      <c r="H387" s="7" t="s">
        <v>7</v>
      </c>
      <c r="I387" s="7" t="s">
        <v>210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6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137</v>
      </c>
      <c r="AF387" s="8">
        <v>11900</v>
      </c>
      <c r="AG387" s="8">
        <v>1800</v>
      </c>
      <c r="AH387" s="7">
        <v>0</v>
      </c>
      <c r="AI387" s="7">
        <v>0</v>
      </c>
      <c r="AJ387" s="7">
        <v>0</v>
      </c>
      <c r="AK387" s="7">
        <v>5</v>
      </c>
      <c r="AL387" s="7">
        <v>0</v>
      </c>
      <c r="AM387" s="7">
        <v>500</v>
      </c>
      <c r="AN387" s="7">
        <v>0</v>
      </c>
      <c r="AO387" s="7">
        <v>0</v>
      </c>
      <c r="AP387" s="7">
        <v>0</v>
      </c>
      <c r="AQ387" s="7">
        <v>40</v>
      </c>
      <c r="AR387" s="8">
        <v>1900</v>
      </c>
      <c r="AS387" s="8">
        <v>2100</v>
      </c>
      <c r="AT387" s="7">
        <v>0</v>
      </c>
      <c r="AU387" s="7">
        <v>0</v>
      </c>
      <c r="AV387" s="7">
        <v>0</v>
      </c>
      <c r="AW387" s="7">
        <v>0</v>
      </c>
      <c r="AX387" s="7">
        <v>0</v>
      </c>
      <c r="AY387" s="7">
        <v>0</v>
      </c>
      <c r="AZ387" s="7">
        <v>0</v>
      </c>
      <c r="BA387" s="7">
        <v>0</v>
      </c>
      <c r="BB387" s="7">
        <v>0</v>
      </c>
      <c r="BC387" s="7">
        <v>0</v>
      </c>
      <c r="BD387" s="7">
        <v>0</v>
      </c>
      <c r="BE387" s="7">
        <v>0</v>
      </c>
      <c r="BF387" s="7">
        <v>0</v>
      </c>
      <c r="BG387" s="7">
        <v>0</v>
      </c>
      <c r="BH387" s="7">
        <v>0</v>
      </c>
      <c r="BI387" s="7">
        <v>0</v>
      </c>
      <c r="BJ387" s="7">
        <v>0</v>
      </c>
      <c r="BK387" s="7">
        <v>0</v>
      </c>
      <c r="BL387" s="7">
        <v>0</v>
      </c>
      <c r="BM387" s="10">
        <v>18200</v>
      </c>
      <c r="BN387" s="13">
        <f t="shared" si="12"/>
        <v>18200</v>
      </c>
      <c r="BO387" s="14">
        <f t="shared" si="13"/>
        <v>12740</v>
      </c>
    </row>
    <row r="388" spans="1:67" x14ac:dyDescent="0.4">
      <c r="A388" s="5" t="s">
        <v>537</v>
      </c>
      <c r="B388" s="5" t="s">
        <v>221</v>
      </c>
      <c r="C388" s="5">
        <v>458568</v>
      </c>
      <c r="D388" s="6"/>
      <c r="E388" s="5" t="s">
        <v>31</v>
      </c>
      <c r="F388" s="5" t="s">
        <v>47</v>
      </c>
      <c r="G388" s="5" t="s">
        <v>11</v>
      </c>
      <c r="H388" s="7" t="s">
        <v>7</v>
      </c>
      <c r="I388" s="7" t="s">
        <v>220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3</v>
      </c>
      <c r="AF388" s="8">
        <v>9600</v>
      </c>
      <c r="AG388" s="7">
        <v>0</v>
      </c>
      <c r="AH388" s="7">
        <v>0</v>
      </c>
      <c r="AI388" s="7">
        <v>0</v>
      </c>
      <c r="AJ388" s="7">
        <v>0</v>
      </c>
      <c r="AK388" s="7">
        <v>2</v>
      </c>
      <c r="AL388" s="8">
        <v>7680</v>
      </c>
      <c r="AM388" s="7">
        <v>0</v>
      </c>
      <c r="AN388" s="7">
        <v>0</v>
      </c>
      <c r="AO388" s="7">
        <v>0</v>
      </c>
      <c r="AP388" s="7">
        <v>0</v>
      </c>
      <c r="AQ388" s="7">
        <v>0</v>
      </c>
      <c r="AR388" s="7">
        <v>0</v>
      </c>
      <c r="AS388" s="7">
        <v>0</v>
      </c>
      <c r="AT388" s="7">
        <v>0</v>
      </c>
      <c r="AU388" s="7">
        <v>0</v>
      </c>
      <c r="AV388" s="7">
        <v>0</v>
      </c>
      <c r="AW388" s="7">
        <v>0</v>
      </c>
      <c r="AX388" s="7">
        <v>0</v>
      </c>
      <c r="AY388" s="7">
        <v>0</v>
      </c>
      <c r="AZ388" s="7">
        <v>0</v>
      </c>
      <c r="BA388" s="7">
        <v>0</v>
      </c>
      <c r="BB388" s="7">
        <v>0</v>
      </c>
      <c r="BC388" s="7">
        <v>0</v>
      </c>
      <c r="BD388" s="7">
        <v>0</v>
      </c>
      <c r="BE388" s="7">
        <v>0</v>
      </c>
      <c r="BF388" s="7">
        <v>0</v>
      </c>
      <c r="BG388" s="7">
        <v>0</v>
      </c>
      <c r="BH388" s="7">
        <v>0</v>
      </c>
      <c r="BI388" s="7">
        <v>0</v>
      </c>
      <c r="BJ388" s="7">
        <v>0</v>
      </c>
      <c r="BK388" s="7">
        <v>0</v>
      </c>
      <c r="BL388" s="9">
        <v>2304</v>
      </c>
      <c r="BM388" s="10">
        <v>17280</v>
      </c>
      <c r="BN388" s="13">
        <f t="shared" si="12"/>
        <v>14976</v>
      </c>
      <c r="BO388" s="14">
        <f t="shared" si="13"/>
        <v>10483.199999999999</v>
      </c>
    </row>
    <row r="389" spans="1:67" x14ac:dyDescent="0.4">
      <c r="A389" s="5" t="s">
        <v>537</v>
      </c>
      <c r="B389" s="5" t="s">
        <v>229</v>
      </c>
      <c r="C389" s="5">
        <v>393598</v>
      </c>
      <c r="D389" s="6"/>
      <c r="E389" s="5" t="s">
        <v>31</v>
      </c>
      <c r="F389" s="5" t="s">
        <v>230</v>
      </c>
      <c r="G389" s="5" t="s">
        <v>51</v>
      </c>
      <c r="H389" s="7" t="s">
        <v>8</v>
      </c>
      <c r="I389" s="7" t="s">
        <v>231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15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14</v>
      </c>
      <c r="AF389" s="8">
        <v>1400</v>
      </c>
      <c r="AG389" s="7">
        <v>0</v>
      </c>
      <c r="AH389" s="7">
        <v>0</v>
      </c>
      <c r="AI389" s="7">
        <v>0</v>
      </c>
      <c r="AJ389" s="7">
        <v>0</v>
      </c>
      <c r="AK389" s="7">
        <v>15</v>
      </c>
      <c r="AL389" s="8">
        <v>1800</v>
      </c>
      <c r="AM389" s="7">
        <v>0</v>
      </c>
      <c r="AN389" s="7">
        <v>0</v>
      </c>
      <c r="AO389" s="7">
        <v>0</v>
      </c>
      <c r="AP389" s="7">
        <v>0</v>
      </c>
      <c r="AQ389" s="7">
        <v>137</v>
      </c>
      <c r="AR389" s="8">
        <v>13700</v>
      </c>
      <c r="AS389" s="7">
        <v>0</v>
      </c>
      <c r="AT389" s="7">
        <v>0</v>
      </c>
      <c r="AU389" s="7">
        <v>0</v>
      </c>
      <c r="AV389" s="7">
        <v>0</v>
      </c>
      <c r="AW389" s="7">
        <v>0</v>
      </c>
      <c r="AX389" s="7">
        <v>0</v>
      </c>
      <c r="AY389" s="7">
        <v>0</v>
      </c>
      <c r="AZ389" s="7">
        <v>0</v>
      </c>
      <c r="BA389" s="7">
        <v>0</v>
      </c>
      <c r="BB389" s="7">
        <v>0</v>
      </c>
      <c r="BC389" s="7">
        <v>0</v>
      </c>
      <c r="BD389" s="7">
        <v>0</v>
      </c>
      <c r="BE389" s="7">
        <v>0</v>
      </c>
      <c r="BF389" s="7">
        <v>0</v>
      </c>
      <c r="BG389" s="7">
        <v>0</v>
      </c>
      <c r="BH389" s="7">
        <v>0</v>
      </c>
      <c r="BI389" s="7">
        <v>0</v>
      </c>
      <c r="BJ389" s="7">
        <v>0</v>
      </c>
      <c r="BK389" s="7">
        <v>0</v>
      </c>
      <c r="BL389" s="7">
        <v>540</v>
      </c>
      <c r="BM389" s="10">
        <v>16900</v>
      </c>
      <c r="BN389" s="13">
        <f t="shared" si="12"/>
        <v>16360</v>
      </c>
      <c r="BO389" s="14">
        <f t="shared" si="13"/>
        <v>11452</v>
      </c>
    </row>
    <row r="390" spans="1:67" x14ac:dyDescent="0.4">
      <c r="A390" s="5" t="s">
        <v>537</v>
      </c>
      <c r="B390" s="5" t="s">
        <v>200</v>
      </c>
      <c r="C390" s="5">
        <v>370192</v>
      </c>
      <c r="D390" s="6"/>
      <c r="E390" s="5" t="s">
        <v>31</v>
      </c>
      <c r="F390" s="5" t="s">
        <v>153</v>
      </c>
      <c r="G390" s="5" t="s">
        <v>51</v>
      </c>
      <c r="H390" s="7" t="s">
        <v>8</v>
      </c>
      <c r="I390" s="7" t="s">
        <v>201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11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2</v>
      </c>
      <c r="AF390" s="7">
        <v>200</v>
      </c>
      <c r="AG390" s="7">
        <v>0</v>
      </c>
      <c r="AH390" s="7">
        <v>0</v>
      </c>
      <c r="AI390" s="7">
        <v>0</v>
      </c>
      <c r="AJ390" s="7">
        <v>0</v>
      </c>
      <c r="AK390" s="7">
        <v>143</v>
      </c>
      <c r="AL390" s="8">
        <v>8760</v>
      </c>
      <c r="AM390" s="8">
        <v>7000</v>
      </c>
      <c r="AN390" s="7">
        <v>0</v>
      </c>
      <c r="AO390" s="7">
        <v>0</v>
      </c>
      <c r="AP390" s="7">
        <v>0</v>
      </c>
      <c r="AQ390" s="7">
        <v>0</v>
      </c>
      <c r="AR390" s="7">
        <v>0</v>
      </c>
      <c r="AS390" s="7">
        <v>0</v>
      </c>
      <c r="AT390" s="7">
        <v>0</v>
      </c>
      <c r="AU390" s="7">
        <v>0</v>
      </c>
      <c r="AV390" s="7">
        <v>0</v>
      </c>
      <c r="AW390" s="7">
        <v>0</v>
      </c>
      <c r="AX390" s="7">
        <v>0</v>
      </c>
      <c r="AY390" s="7">
        <v>0</v>
      </c>
      <c r="AZ390" s="7">
        <v>0</v>
      </c>
      <c r="BA390" s="7">
        <v>0</v>
      </c>
      <c r="BB390" s="7">
        <v>0</v>
      </c>
      <c r="BC390" s="7">
        <v>0</v>
      </c>
      <c r="BD390" s="7">
        <v>0</v>
      </c>
      <c r="BE390" s="7">
        <v>0</v>
      </c>
      <c r="BF390" s="7">
        <v>0</v>
      </c>
      <c r="BG390" s="7">
        <v>0</v>
      </c>
      <c r="BH390" s="7">
        <v>0</v>
      </c>
      <c r="BI390" s="7">
        <v>0</v>
      </c>
      <c r="BJ390" s="7">
        <v>0</v>
      </c>
      <c r="BK390" s="7">
        <v>0</v>
      </c>
      <c r="BL390" s="9">
        <v>2628</v>
      </c>
      <c r="BM390" s="10">
        <v>15960</v>
      </c>
      <c r="BN390" s="13">
        <f t="shared" si="12"/>
        <v>13332</v>
      </c>
      <c r="BO390" s="14">
        <f t="shared" si="13"/>
        <v>9332.4</v>
      </c>
    </row>
    <row r="391" spans="1:67" x14ac:dyDescent="0.4">
      <c r="A391" s="5" t="s">
        <v>537</v>
      </c>
      <c r="B391" s="5" t="s">
        <v>243</v>
      </c>
      <c r="C391" s="5">
        <v>353981</v>
      </c>
      <c r="D391" s="6"/>
      <c r="E391" s="5" t="s">
        <v>31</v>
      </c>
      <c r="F391" s="5" t="s">
        <v>244</v>
      </c>
      <c r="G391" s="5" t="s">
        <v>51</v>
      </c>
      <c r="H391" s="7" t="s">
        <v>8</v>
      </c>
      <c r="I391" s="7" t="s">
        <v>245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9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110</v>
      </c>
      <c r="AF391" s="8">
        <v>9000</v>
      </c>
      <c r="AG391" s="8">
        <v>2000</v>
      </c>
      <c r="AH391" s="7">
        <v>0</v>
      </c>
      <c r="AI391" s="7">
        <v>0</v>
      </c>
      <c r="AJ391" s="7">
        <v>0</v>
      </c>
      <c r="AK391" s="7">
        <v>49</v>
      </c>
      <c r="AL391" s="7">
        <v>0</v>
      </c>
      <c r="AM391" s="8">
        <v>4900</v>
      </c>
      <c r="AN391" s="7">
        <v>0</v>
      </c>
      <c r="AO391" s="7">
        <v>0</v>
      </c>
      <c r="AP391" s="7">
        <v>0</v>
      </c>
      <c r="AQ391" s="7">
        <v>0</v>
      </c>
      <c r="AR391" s="7">
        <v>0</v>
      </c>
      <c r="AS391" s="7">
        <v>0</v>
      </c>
      <c r="AT391" s="7">
        <v>0</v>
      </c>
      <c r="AU391" s="7">
        <v>0</v>
      </c>
      <c r="AV391" s="7">
        <v>0</v>
      </c>
      <c r="AW391" s="7">
        <v>0</v>
      </c>
      <c r="AX391" s="7">
        <v>0</v>
      </c>
      <c r="AY391" s="7">
        <v>0</v>
      </c>
      <c r="AZ391" s="7">
        <v>0</v>
      </c>
      <c r="BA391" s="7">
        <v>0</v>
      </c>
      <c r="BB391" s="7">
        <v>0</v>
      </c>
      <c r="BC391" s="7">
        <v>0</v>
      </c>
      <c r="BD391" s="7">
        <v>0</v>
      </c>
      <c r="BE391" s="7">
        <v>0</v>
      </c>
      <c r="BF391" s="7">
        <v>0</v>
      </c>
      <c r="BG391" s="7">
        <v>0</v>
      </c>
      <c r="BH391" s="7">
        <v>0</v>
      </c>
      <c r="BI391" s="7">
        <v>0</v>
      </c>
      <c r="BJ391" s="7">
        <v>0</v>
      </c>
      <c r="BK391" s="7">
        <v>0</v>
      </c>
      <c r="BL391" s="7">
        <v>0</v>
      </c>
      <c r="BM391" s="10">
        <v>15900</v>
      </c>
      <c r="BN391" s="13">
        <f t="shared" si="12"/>
        <v>15900</v>
      </c>
      <c r="BO391" s="14">
        <f t="shared" si="13"/>
        <v>11130</v>
      </c>
    </row>
    <row r="392" spans="1:67" x14ac:dyDescent="0.4">
      <c r="A392" s="5" t="s">
        <v>537</v>
      </c>
      <c r="B392" s="5" t="s">
        <v>98</v>
      </c>
      <c r="C392" s="5">
        <v>429621</v>
      </c>
      <c r="D392" s="6"/>
      <c r="E392" s="5" t="s">
        <v>31</v>
      </c>
      <c r="F392" s="5" t="s">
        <v>99</v>
      </c>
      <c r="G392" s="5" t="s">
        <v>11</v>
      </c>
      <c r="H392" s="7" t="s">
        <v>8</v>
      </c>
      <c r="I392" s="7" t="s">
        <v>100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5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  <c r="AE392" s="7">
        <v>110</v>
      </c>
      <c r="AF392" s="8">
        <v>11000</v>
      </c>
      <c r="AG392" s="7">
        <v>0</v>
      </c>
      <c r="AH392" s="7">
        <v>0</v>
      </c>
      <c r="AI392" s="7">
        <v>0</v>
      </c>
      <c r="AJ392" s="7">
        <v>0</v>
      </c>
      <c r="AK392" s="7">
        <v>33</v>
      </c>
      <c r="AL392" s="8">
        <v>3720</v>
      </c>
      <c r="AM392" s="7">
        <v>200</v>
      </c>
      <c r="AN392" s="7">
        <v>0</v>
      </c>
      <c r="AO392" s="7">
        <v>0</v>
      </c>
      <c r="AP392" s="7">
        <v>0</v>
      </c>
      <c r="AQ392" s="7">
        <v>0</v>
      </c>
      <c r="AR392" s="7">
        <v>0</v>
      </c>
      <c r="AS392" s="7">
        <v>0</v>
      </c>
      <c r="AT392" s="7">
        <v>0</v>
      </c>
      <c r="AU392" s="7">
        <v>0</v>
      </c>
      <c r="AV392" s="7">
        <v>0</v>
      </c>
      <c r="AW392" s="7">
        <v>0</v>
      </c>
      <c r="AX392" s="7">
        <v>0</v>
      </c>
      <c r="AY392" s="7">
        <v>0</v>
      </c>
      <c r="AZ392" s="7">
        <v>0</v>
      </c>
      <c r="BA392" s="7">
        <v>0</v>
      </c>
      <c r="BB392" s="7">
        <v>0</v>
      </c>
      <c r="BC392" s="7">
        <v>0</v>
      </c>
      <c r="BD392" s="7">
        <v>0</v>
      </c>
      <c r="BE392" s="7">
        <v>0</v>
      </c>
      <c r="BF392" s="7">
        <v>0</v>
      </c>
      <c r="BG392" s="7">
        <v>0</v>
      </c>
      <c r="BH392" s="7">
        <v>0</v>
      </c>
      <c r="BI392" s="7">
        <v>0</v>
      </c>
      <c r="BJ392" s="7">
        <v>0</v>
      </c>
      <c r="BK392" s="7">
        <v>0</v>
      </c>
      <c r="BL392" s="9">
        <v>1116</v>
      </c>
      <c r="BM392" s="10">
        <v>14920</v>
      </c>
      <c r="BN392" s="13">
        <f t="shared" si="12"/>
        <v>13804</v>
      </c>
      <c r="BO392" s="14">
        <f t="shared" si="13"/>
        <v>9662.7999999999993</v>
      </c>
    </row>
    <row r="393" spans="1:67" x14ac:dyDescent="0.4">
      <c r="A393" s="5" t="s">
        <v>537</v>
      </c>
      <c r="B393" s="5" t="s">
        <v>141</v>
      </c>
      <c r="C393" s="5">
        <v>425414</v>
      </c>
      <c r="D393" s="6"/>
      <c r="E393" s="5" t="s">
        <v>31</v>
      </c>
      <c r="F393" s="5" t="s">
        <v>142</v>
      </c>
      <c r="G393" s="5" t="s">
        <v>11</v>
      </c>
      <c r="H393" s="7" t="s">
        <v>7</v>
      </c>
      <c r="I393" s="7" t="s">
        <v>143</v>
      </c>
      <c r="J393" s="7">
        <v>1</v>
      </c>
      <c r="K393" s="7">
        <v>0</v>
      </c>
      <c r="L393" s="7">
        <v>100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144</v>
      </c>
      <c r="AF393" s="8">
        <v>13900</v>
      </c>
      <c r="AG393" s="7">
        <v>500</v>
      </c>
      <c r="AH393" s="7">
        <v>0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7">
        <v>0</v>
      </c>
      <c r="AP393" s="7">
        <v>0</v>
      </c>
      <c r="AQ393" s="7">
        <v>0</v>
      </c>
      <c r="AR393" s="7">
        <v>0</v>
      </c>
      <c r="AS393" s="7">
        <v>0</v>
      </c>
      <c r="AT393" s="7">
        <v>0</v>
      </c>
      <c r="AU393" s="7">
        <v>0</v>
      </c>
      <c r="AV393" s="7">
        <v>0</v>
      </c>
      <c r="AW393" s="7">
        <v>0</v>
      </c>
      <c r="AX393" s="7">
        <v>0</v>
      </c>
      <c r="AY393" s="7">
        <v>0</v>
      </c>
      <c r="AZ393" s="7">
        <v>0</v>
      </c>
      <c r="BA393" s="7">
        <v>0</v>
      </c>
      <c r="BB393" s="7">
        <v>0</v>
      </c>
      <c r="BC393" s="7">
        <v>0</v>
      </c>
      <c r="BD393" s="7">
        <v>0</v>
      </c>
      <c r="BE393" s="7">
        <v>0</v>
      </c>
      <c r="BF393" s="7">
        <v>0</v>
      </c>
      <c r="BG393" s="7">
        <v>0</v>
      </c>
      <c r="BH393" s="7">
        <v>0</v>
      </c>
      <c r="BI393" s="7">
        <v>0</v>
      </c>
      <c r="BJ393" s="7">
        <v>0</v>
      </c>
      <c r="BK393" s="7">
        <v>0</v>
      </c>
      <c r="BL393" s="7">
        <v>0</v>
      </c>
      <c r="BM393" s="10">
        <v>14500</v>
      </c>
      <c r="BN393" s="13">
        <f t="shared" si="12"/>
        <v>14500</v>
      </c>
      <c r="BO393" s="14">
        <f t="shared" si="13"/>
        <v>10150</v>
      </c>
    </row>
    <row r="394" spans="1:67" ht="19.2" x14ac:dyDescent="0.4">
      <c r="A394" s="5" t="s">
        <v>537</v>
      </c>
      <c r="B394" s="5" t="s">
        <v>487</v>
      </c>
      <c r="C394" s="5">
        <v>470379</v>
      </c>
      <c r="D394" s="6"/>
      <c r="E394" s="5" t="s">
        <v>31</v>
      </c>
      <c r="F394" s="5" t="s">
        <v>93</v>
      </c>
      <c r="G394" s="5" t="s">
        <v>11</v>
      </c>
      <c r="H394" s="7" t="s">
        <v>7</v>
      </c>
      <c r="I394" s="7" t="s">
        <v>34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5</v>
      </c>
      <c r="AC394" s="8">
        <v>13000</v>
      </c>
      <c r="AD394" s="7">
        <v>0</v>
      </c>
      <c r="AE394" s="7">
        <v>0</v>
      </c>
      <c r="AF394" s="7">
        <v>0</v>
      </c>
      <c r="AG394" s="7">
        <v>0</v>
      </c>
      <c r="AH394" s="7">
        <v>1</v>
      </c>
      <c r="AI394" s="7">
        <v>0</v>
      </c>
      <c r="AJ394" s="8">
        <v>1000</v>
      </c>
      <c r="AK394" s="7">
        <v>0</v>
      </c>
      <c r="AL394" s="7">
        <v>0</v>
      </c>
      <c r="AM394" s="7">
        <v>0</v>
      </c>
      <c r="AN394" s="7">
        <v>0</v>
      </c>
      <c r="AO394" s="7">
        <v>0</v>
      </c>
      <c r="AP394" s="7">
        <v>0</v>
      </c>
      <c r="AQ394" s="7">
        <v>0</v>
      </c>
      <c r="AR394" s="7">
        <v>0</v>
      </c>
      <c r="AS394" s="7">
        <v>0</v>
      </c>
      <c r="AT394" s="7">
        <v>0</v>
      </c>
      <c r="AU394" s="7">
        <v>0</v>
      </c>
      <c r="AV394" s="7">
        <v>0</v>
      </c>
      <c r="AW394" s="7">
        <v>0</v>
      </c>
      <c r="AX394" s="7">
        <v>0</v>
      </c>
      <c r="AY394" s="7">
        <v>0</v>
      </c>
      <c r="AZ394" s="7">
        <v>0</v>
      </c>
      <c r="BA394" s="7">
        <v>0</v>
      </c>
      <c r="BB394" s="7">
        <v>0</v>
      </c>
      <c r="BC394" s="7">
        <v>0</v>
      </c>
      <c r="BD394" s="7">
        <v>0</v>
      </c>
      <c r="BE394" s="7">
        <v>0</v>
      </c>
      <c r="BF394" s="7">
        <v>0</v>
      </c>
      <c r="BG394" s="7">
        <v>0</v>
      </c>
      <c r="BH394" s="7">
        <v>0</v>
      </c>
      <c r="BI394" s="7">
        <v>0</v>
      </c>
      <c r="BJ394" s="7">
        <v>0</v>
      </c>
      <c r="BK394" s="7">
        <v>0</v>
      </c>
      <c r="BL394" s="7">
        <v>0</v>
      </c>
      <c r="BM394" s="10">
        <v>14000</v>
      </c>
      <c r="BN394" s="13">
        <f t="shared" si="12"/>
        <v>14000</v>
      </c>
      <c r="BO394" s="14">
        <f t="shared" si="13"/>
        <v>9800</v>
      </c>
    </row>
    <row r="395" spans="1:67" x14ac:dyDescent="0.4">
      <c r="A395" s="5" t="s">
        <v>537</v>
      </c>
      <c r="B395" s="5" t="s">
        <v>179</v>
      </c>
      <c r="C395" s="5">
        <v>376361</v>
      </c>
      <c r="D395" s="6"/>
      <c r="E395" s="5" t="s">
        <v>31</v>
      </c>
      <c r="F395" s="5" t="s">
        <v>65</v>
      </c>
      <c r="G395" s="5" t="s">
        <v>51</v>
      </c>
      <c r="H395" s="7" t="s">
        <v>8</v>
      </c>
      <c r="I395" s="7" t="s">
        <v>180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81</v>
      </c>
      <c r="AF395" s="8">
        <v>7600</v>
      </c>
      <c r="AG395" s="7">
        <v>500</v>
      </c>
      <c r="AH395" s="7">
        <v>0</v>
      </c>
      <c r="AI395" s="7">
        <v>0</v>
      </c>
      <c r="AJ395" s="7">
        <v>0</v>
      </c>
      <c r="AK395" s="7">
        <v>44</v>
      </c>
      <c r="AL395" s="8">
        <v>5040</v>
      </c>
      <c r="AM395" s="7">
        <v>200</v>
      </c>
      <c r="AN395" s="7">
        <v>0</v>
      </c>
      <c r="AO395" s="7">
        <v>0</v>
      </c>
      <c r="AP395" s="7">
        <v>0</v>
      </c>
      <c r="AQ395" s="7">
        <v>1</v>
      </c>
      <c r="AR395" s="7">
        <v>100</v>
      </c>
      <c r="AS395" s="7">
        <v>0</v>
      </c>
      <c r="AT395" s="7">
        <v>0</v>
      </c>
      <c r="AU395" s="7">
        <v>0</v>
      </c>
      <c r="AV395" s="7">
        <v>0</v>
      </c>
      <c r="AW395" s="7">
        <v>0</v>
      </c>
      <c r="AX395" s="7">
        <v>0</v>
      </c>
      <c r="AY395" s="7">
        <v>0</v>
      </c>
      <c r="AZ395" s="7">
        <v>0</v>
      </c>
      <c r="BA395" s="7">
        <v>0</v>
      </c>
      <c r="BB395" s="7">
        <v>0</v>
      </c>
      <c r="BC395" s="7">
        <v>0</v>
      </c>
      <c r="BD395" s="7">
        <v>0</v>
      </c>
      <c r="BE395" s="7">
        <v>0</v>
      </c>
      <c r="BF395" s="7">
        <v>0</v>
      </c>
      <c r="BG395" s="7">
        <v>0</v>
      </c>
      <c r="BH395" s="7">
        <v>0</v>
      </c>
      <c r="BI395" s="7">
        <v>0</v>
      </c>
      <c r="BJ395" s="7">
        <v>0</v>
      </c>
      <c r="BK395" s="7">
        <v>0</v>
      </c>
      <c r="BL395" s="9">
        <v>1512</v>
      </c>
      <c r="BM395" s="10">
        <v>13440</v>
      </c>
      <c r="BN395" s="13">
        <f t="shared" si="12"/>
        <v>11928</v>
      </c>
      <c r="BO395" s="14">
        <f t="shared" si="13"/>
        <v>8349.6</v>
      </c>
    </row>
    <row r="396" spans="1:67" x14ac:dyDescent="0.4">
      <c r="A396" s="5" t="s">
        <v>537</v>
      </c>
      <c r="B396" s="5" t="s">
        <v>273</v>
      </c>
      <c r="C396" s="5">
        <v>400251</v>
      </c>
      <c r="D396" s="6"/>
      <c r="E396" s="5" t="s">
        <v>31</v>
      </c>
      <c r="F396" s="5" t="s">
        <v>58</v>
      </c>
      <c r="G396" s="5" t="s">
        <v>51</v>
      </c>
      <c r="H396" s="7" t="s">
        <v>8</v>
      </c>
      <c r="I396" s="7" t="s">
        <v>274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5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7">
        <v>0</v>
      </c>
      <c r="AE396" s="7">
        <v>59</v>
      </c>
      <c r="AF396" s="8">
        <v>3900</v>
      </c>
      <c r="AG396" s="8">
        <v>2000</v>
      </c>
      <c r="AH396" s="7">
        <v>0</v>
      </c>
      <c r="AI396" s="7">
        <v>0</v>
      </c>
      <c r="AJ396" s="7">
        <v>0</v>
      </c>
      <c r="AK396" s="7">
        <v>47</v>
      </c>
      <c r="AL396" s="7">
        <v>0</v>
      </c>
      <c r="AM396" s="8">
        <v>4700</v>
      </c>
      <c r="AN396" s="7">
        <v>0</v>
      </c>
      <c r="AO396" s="7">
        <v>0</v>
      </c>
      <c r="AP396" s="7">
        <v>0</v>
      </c>
      <c r="AQ396" s="7">
        <v>28</v>
      </c>
      <c r="AR396" s="8">
        <v>2800</v>
      </c>
      <c r="AS396" s="7">
        <v>0</v>
      </c>
      <c r="AT396" s="7">
        <v>0</v>
      </c>
      <c r="AU396" s="7">
        <v>0</v>
      </c>
      <c r="AV396" s="7">
        <v>0</v>
      </c>
      <c r="AW396" s="7">
        <v>0</v>
      </c>
      <c r="AX396" s="7">
        <v>0</v>
      </c>
      <c r="AY396" s="7">
        <v>0</v>
      </c>
      <c r="AZ396" s="7">
        <v>0</v>
      </c>
      <c r="BA396" s="7">
        <v>0</v>
      </c>
      <c r="BB396" s="7">
        <v>0</v>
      </c>
      <c r="BC396" s="7">
        <v>0</v>
      </c>
      <c r="BD396" s="7">
        <v>0</v>
      </c>
      <c r="BE396" s="7">
        <v>0</v>
      </c>
      <c r="BF396" s="7">
        <v>0</v>
      </c>
      <c r="BG396" s="7">
        <v>0</v>
      </c>
      <c r="BH396" s="7">
        <v>0</v>
      </c>
      <c r="BI396" s="7">
        <v>0</v>
      </c>
      <c r="BJ396" s="7">
        <v>0</v>
      </c>
      <c r="BK396" s="7">
        <v>0</v>
      </c>
      <c r="BL396" s="7">
        <v>0</v>
      </c>
      <c r="BM396" s="10">
        <v>13400</v>
      </c>
      <c r="BN396" s="13">
        <f t="shared" si="12"/>
        <v>13400</v>
      </c>
      <c r="BO396" s="14">
        <f t="shared" si="13"/>
        <v>9380</v>
      </c>
    </row>
    <row r="397" spans="1:67" ht="19.2" x14ac:dyDescent="0.4">
      <c r="A397" s="5" t="s">
        <v>537</v>
      </c>
      <c r="B397" s="5" t="s">
        <v>251</v>
      </c>
      <c r="C397" s="5">
        <v>408593</v>
      </c>
      <c r="D397" s="6"/>
      <c r="E397" s="5" t="s">
        <v>31</v>
      </c>
      <c r="F397" s="5" t="s">
        <v>96</v>
      </c>
      <c r="G397" s="5" t="s">
        <v>11</v>
      </c>
      <c r="H397" s="7" t="s">
        <v>7</v>
      </c>
      <c r="I397" s="7" t="s">
        <v>252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1</v>
      </c>
      <c r="AF397" s="7">
        <v>0</v>
      </c>
      <c r="AG397" s="8">
        <v>1100</v>
      </c>
      <c r="AH397" s="7">
        <v>0</v>
      </c>
      <c r="AI397" s="7">
        <v>0</v>
      </c>
      <c r="AJ397" s="7">
        <v>0</v>
      </c>
      <c r="AK397" s="7">
        <v>1</v>
      </c>
      <c r="AL397" s="8">
        <v>2280</v>
      </c>
      <c r="AM397" s="7">
        <v>0</v>
      </c>
      <c r="AN397" s="7">
        <v>0</v>
      </c>
      <c r="AO397" s="7">
        <v>0</v>
      </c>
      <c r="AP397" s="7">
        <v>0</v>
      </c>
      <c r="AQ397" s="7">
        <v>4</v>
      </c>
      <c r="AR397" s="8">
        <v>9800</v>
      </c>
      <c r="AS397" s="7">
        <v>0</v>
      </c>
      <c r="AT397" s="7">
        <v>0</v>
      </c>
      <c r="AU397" s="7">
        <v>0</v>
      </c>
      <c r="AV397" s="7">
        <v>0</v>
      </c>
      <c r="AW397" s="7">
        <v>0</v>
      </c>
      <c r="AX397" s="7">
        <v>0</v>
      </c>
      <c r="AY397" s="7">
        <v>0</v>
      </c>
      <c r="AZ397" s="7">
        <v>0</v>
      </c>
      <c r="BA397" s="7">
        <v>0</v>
      </c>
      <c r="BB397" s="7">
        <v>0</v>
      </c>
      <c r="BC397" s="7">
        <v>0</v>
      </c>
      <c r="BD397" s="7">
        <v>0</v>
      </c>
      <c r="BE397" s="7">
        <v>0</v>
      </c>
      <c r="BF397" s="7">
        <v>0</v>
      </c>
      <c r="BG397" s="7">
        <v>0</v>
      </c>
      <c r="BH397" s="7">
        <v>0</v>
      </c>
      <c r="BI397" s="7">
        <v>0</v>
      </c>
      <c r="BJ397" s="7">
        <v>0</v>
      </c>
      <c r="BK397" s="7">
        <v>0</v>
      </c>
      <c r="BL397" s="7">
        <v>684</v>
      </c>
      <c r="BM397" s="10">
        <v>13180</v>
      </c>
      <c r="BN397" s="13">
        <f t="shared" si="12"/>
        <v>12496</v>
      </c>
      <c r="BO397" s="14">
        <f t="shared" si="13"/>
        <v>8747.1999999999989</v>
      </c>
    </row>
    <row r="398" spans="1:67" ht="19.2" x14ac:dyDescent="0.4">
      <c r="A398" s="5" t="s">
        <v>537</v>
      </c>
      <c r="B398" s="5" t="s">
        <v>211</v>
      </c>
      <c r="C398" s="5">
        <v>467503</v>
      </c>
      <c r="D398" s="6"/>
      <c r="E398" s="5" t="s">
        <v>31</v>
      </c>
      <c r="F398" s="5" t="s">
        <v>185</v>
      </c>
      <c r="G398" s="5" t="s">
        <v>51</v>
      </c>
      <c r="H398" s="7" t="s">
        <v>8</v>
      </c>
      <c r="I398" s="7" t="s">
        <v>43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2</v>
      </c>
      <c r="AF398" s="8">
        <v>2000</v>
      </c>
      <c r="AG398" s="8">
        <v>1200</v>
      </c>
      <c r="AH398" s="7">
        <v>0</v>
      </c>
      <c r="AI398" s="7">
        <v>0</v>
      </c>
      <c r="AJ398" s="7">
        <v>0</v>
      </c>
      <c r="AK398" s="7">
        <v>3</v>
      </c>
      <c r="AL398" s="8">
        <v>1440</v>
      </c>
      <c r="AM398" s="8">
        <v>5200</v>
      </c>
      <c r="AN398" s="7">
        <v>0</v>
      </c>
      <c r="AO398" s="7">
        <v>0</v>
      </c>
      <c r="AP398" s="7">
        <v>0</v>
      </c>
      <c r="AQ398" s="7">
        <v>1</v>
      </c>
      <c r="AR398" s="8">
        <v>3200</v>
      </c>
      <c r="AS398" s="7">
        <v>0</v>
      </c>
      <c r="AT398" s="7">
        <v>0</v>
      </c>
      <c r="AU398" s="7">
        <v>0</v>
      </c>
      <c r="AV398" s="7">
        <v>0</v>
      </c>
      <c r="AW398" s="7">
        <v>0</v>
      </c>
      <c r="AX398" s="7">
        <v>0</v>
      </c>
      <c r="AY398" s="7">
        <v>0</v>
      </c>
      <c r="AZ398" s="7">
        <v>0</v>
      </c>
      <c r="BA398" s="7">
        <v>0</v>
      </c>
      <c r="BB398" s="7">
        <v>0</v>
      </c>
      <c r="BC398" s="7">
        <v>0</v>
      </c>
      <c r="BD398" s="7">
        <v>0</v>
      </c>
      <c r="BE398" s="7">
        <v>0</v>
      </c>
      <c r="BF398" s="7">
        <v>0</v>
      </c>
      <c r="BG398" s="7">
        <v>0</v>
      </c>
      <c r="BH398" s="7">
        <v>0</v>
      </c>
      <c r="BI398" s="7">
        <v>0</v>
      </c>
      <c r="BJ398" s="7">
        <v>0</v>
      </c>
      <c r="BK398" s="7">
        <v>0</v>
      </c>
      <c r="BL398" s="7">
        <v>432</v>
      </c>
      <c r="BM398" s="10">
        <v>13040</v>
      </c>
      <c r="BN398" s="13">
        <f t="shared" si="12"/>
        <v>12608</v>
      </c>
      <c r="BO398" s="14">
        <f t="shared" si="13"/>
        <v>8825.5999999999985</v>
      </c>
    </row>
    <row r="399" spans="1:67" x14ac:dyDescent="0.4">
      <c r="A399" s="5" t="s">
        <v>537</v>
      </c>
      <c r="B399" s="5" t="s">
        <v>219</v>
      </c>
      <c r="C399" s="5">
        <v>458566</v>
      </c>
      <c r="D399" s="6"/>
      <c r="E399" s="5" t="s">
        <v>31</v>
      </c>
      <c r="F399" s="5" t="s">
        <v>47</v>
      </c>
      <c r="G399" s="5" t="s">
        <v>11</v>
      </c>
      <c r="H399" s="7" t="s">
        <v>7</v>
      </c>
      <c r="I399" s="7" t="s">
        <v>220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4</v>
      </c>
      <c r="AL399" s="7">
        <v>0</v>
      </c>
      <c r="AM399" s="8">
        <v>12800</v>
      </c>
      <c r="AN399" s="7">
        <v>0</v>
      </c>
      <c r="AO399" s="7">
        <v>0</v>
      </c>
      <c r="AP399" s="7">
        <v>0</v>
      </c>
      <c r="AQ399" s="7">
        <v>0</v>
      </c>
      <c r="AR399" s="7">
        <v>0</v>
      </c>
      <c r="AS399" s="7">
        <v>0</v>
      </c>
      <c r="AT399" s="7">
        <v>0</v>
      </c>
      <c r="AU399" s="7">
        <v>0</v>
      </c>
      <c r="AV399" s="7">
        <v>0</v>
      </c>
      <c r="AW399" s="7">
        <v>0</v>
      </c>
      <c r="AX399" s="7">
        <v>0</v>
      </c>
      <c r="AY399" s="7">
        <v>0</v>
      </c>
      <c r="AZ399" s="7">
        <v>0</v>
      </c>
      <c r="BA399" s="7">
        <v>0</v>
      </c>
      <c r="BB399" s="7">
        <v>0</v>
      </c>
      <c r="BC399" s="7">
        <v>0</v>
      </c>
      <c r="BD399" s="7">
        <v>0</v>
      </c>
      <c r="BE399" s="7">
        <v>0</v>
      </c>
      <c r="BF399" s="7">
        <v>0</v>
      </c>
      <c r="BG399" s="7">
        <v>0</v>
      </c>
      <c r="BH399" s="7">
        <v>0</v>
      </c>
      <c r="BI399" s="7">
        <v>0</v>
      </c>
      <c r="BJ399" s="7">
        <v>0</v>
      </c>
      <c r="BK399" s="7">
        <v>0</v>
      </c>
      <c r="BL399" s="7">
        <v>0</v>
      </c>
      <c r="BM399" s="10">
        <v>12800</v>
      </c>
      <c r="BN399" s="13">
        <f t="shared" si="12"/>
        <v>12800</v>
      </c>
      <c r="BO399" s="14">
        <f t="shared" si="13"/>
        <v>8960</v>
      </c>
    </row>
    <row r="400" spans="1:67" x14ac:dyDescent="0.4">
      <c r="A400" s="5" t="s">
        <v>537</v>
      </c>
      <c r="B400" s="5" t="s">
        <v>86</v>
      </c>
      <c r="C400" s="5">
        <v>442274</v>
      </c>
      <c r="D400" s="6"/>
      <c r="E400" s="5" t="s">
        <v>31</v>
      </c>
      <c r="F400" s="5" t="s">
        <v>87</v>
      </c>
      <c r="G400" s="5" t="s">
        <v>11</v>
      </c>
      <c r="H400" s="7" t="s">
        <v>7</v>
      </c>
      <c r="I400" s="7" t="s">
        <v>88</v>
      </c>
      <c r="J400" s="7">
        <v>0</v>
      </c>
      <c r="K400" s="7">
        <v>283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11</v>
      </c>
      <c r="AF400" s="8">
        <v>1100</v>
      </c>
      <c r="AG400" s="7">
        <v>0</v>
      </c>
      <c r="AH400" s="7">
        <v>0</v>
      </c>
      <c r="AI400" s="7">
        <v>0</v>
      </c>
      <c r="AJ400" s="7">
        <v>0</v>
      </c>
      <c r="AK400" s="7">
        <v>103</v>
      </c>
      <c r="AL400" s="8">
        <v>8160</v>
      </c>
      <c r="AM400" s="8">
        <v>3500</v>
      </c>
      <c r="AN400" s="7">
        <v>0</v>
      </c>
      <c r="AO400" s="7">
        <v>0</v>
      </c>
      <c r="AP400" s="7">
        <v>0</v>
      </c>
      <c r="AQ400" s="7">
        <v>0</v>
      </c>
      <c r="AR400" s="7">
        <v>0</v>
      </c>
      <c r="AS400" s="7">
        <v>0</v>
      </c>
      <c r="AT400" s="7">
        <v>0</v>
      </c>
      <c r="AU400" s="7">
        <v>0</v>
      </c>
      <c r="AV400" s="7">
        <v>0</v>
      </c>
      <c r="AW400" s="7">
        <v>0</v>
      </c>
      <c r="AX400" s="7">
        <v>0</v>
      </c>
      <c r="AY400" s="7">
        <v>0</v>
      </c>
      <c r="AZ400" s="7">
        <v>0</v>
      </c>
      <c r="BA400" s="7">
        <v>0</v>
      </c>
      <c r="BB400" s="7">
        <v>0</v>
      </c>
      <c r="BC400" s="7">
        <v>0</v>
      </c>
      <c r="BD400" s="7">
        <v>0</v>
      </c>
      <c r="BE400" s="7">
        <v>0</v>
      </c>
      <c r="BF400" s="7">
        <v>0</v>
      </c>
      <c r="BG400" s="7">
        <v>0</v>
      </c>
      <c r="BH400" s="7">
        <v>0</v>
      </c>
      <c r="BI400" s="7">
        <v>0</v>
      </c>
      <c r="BJ400" s="7">
        <v>0</v>
      </c>
      <c r="BK400" s="7">
        <v>0</v>
      </c>
      <c r="BL400" s="9">
        <v>2448</v>
      </c>
      <c r="BM400" s="10">
        <v>12760</v>
      </c>
      <c r="BN400" s="13">
        <f t="shared" si="12"/>
        <v>10312</v>
      </c>
      <c r="BO400" s="14">
        <f t="shared" si="13"/>
        <v>7218.4</v>
      </c>
    </row>
    <row r="401" spans="1:67" x14ac:dyDescent="0.4">
      <c r="A401" s="5" t="s">
        <v>537</v>
      </c>
      <c r="B401" s="5" t="s">
        <v>152</v>
      </c>
      <c r="C401" s="5">
        <v>359912</v>
      </c>
      <c r="D401" s="6"/>
      <c r="E401" s="5" t="s">
        <v>31</v>
      </c>
      <c r="F401" s="5" t="s">
        <v>153</v>
      </c>
      <c r="G401" s="5" t="s">
        <v>51</v>
      </c>
      <c r="H401" s="7" t="s">
        <v>8</v>
      </c>
      <c r="I401" s="7" t="s">
        <v>480</v>
      </c>
      <c r="J401" s="7">
        <v>0</v>
      </c>
      <c r="K401" s="7">
        <v>2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3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55</v>
      </c>
      <c r="AF401" s="8">
        <v>5500</v>
      </c>
      <c r="AG401" s="7">
        <v>0</v>
      </c>
      <c r="AH401" s="7">
        <v>0</v>
      </c>
      <c r="AI401" s="7">
        <v>0</v>
      </c>
      <c r="AJ401" s="7">
        <v>0</v>
      </c>
      <c r="AK401" s="7">
        <v>49</v>
      </c>
      <c r="AL401" s="8">
        <v>4680</v>
      </c>
      <c r="AM401" s="8">
        <v>1000</v>
      </c>
      <c r="AN401" s="7">
        <v>0</v>
      </c>
      <c r="AO401" s="7">
        <v>0</v>
      </c>
      <c r="AP401" s="7">
        <v>0</v>
      </c>
      <c r="AQ401" s="7">
        <v>11</v>
      </c>
      <c r="AR401" s="8">
        <v>1100</v>
      </c>
      <c r="AS401" s="7">
        <v>0</v>
      </c>
      <c r="AT401" s="7">
        <v>0</v>
      </c>
      <c r="AU401" s="7">
        <v>0</v>
      </c>
      <c r="AV401" s="7">
        <v>0</v>
      </c>
      <c r="AW401" s="7">
        <v>0</v>
      </c>
      <c r="AX401" s="7">
        <v>0</v>
      </c>
      <c r="AY401" s="7">
        <v>0</v>
      </c>
      <c r="AZ401" s="7">
        <v>0</v>
      </c>
      <c r="BA401" s="7">
        <v>0</v>
      </c>
      <c r="BB401" s="7">
        <v>0</v>
      </c>
      <c r="BC401" s="7">
        <v>0</v>
      </c>
      <c r="BD401" s="7">
        <v>0</v>
      </c>
      <c r="BE401" s="7">
        <v>0</v>
      </c>
      <c r="BF401" s="7">
        <v>0</v>
      </c>
      <c r="BG401" s="7">
        <v>0</v>
      </c>
      <c r="BH401" s="7">
        <v>0</v>
      </c>
      <c r="BI401" s="7">
        <v>0</v>
      </c>
      <c r="BJ401" s="7">
        <v>0</v>
      </c>
      <c r="BK401" s="7">
        <v>0</v>
      </c>
      <c r="BL401" s="9">
        <v>1404</v>
      </c>
      <c r="BM401" s="10">
        <v>12280</v>
      </c>
      <c r="BN401" s="13">
        <f t="shared" si="12"/>
        <v>10876</v>
      </c>
      <c r="BO401" s="14">
        <f t="shared" si="13"/>
        <v>7613.2</v>
      </c>
    </row>
    <row r="402" spans="1:67" x14ac:dyDescent="0.4">
      <c r="A402" s="5" t="s">
        <v>537</v>
      </c>
      <c r="B402" s="5" t="s">
        <v>144</v>
      </c>
      <c r="C402" s="5">
        <v>386704</v>
      </c>
      <c r="D402" s="6"/>
      <c r="E402" s="5" t="s">
        <v>31</v>
      </c>
      <c r="F402" s="5" t="s">
        <v>145</v>
      </c>
      <c r="G402" s="5" t="s">
        <v>51</v>
      </c>
      <c r="H402" s="7" t="s">
        <v>8</v>
      </c>
      <c r="I402" s="7" t="s">
        <v>146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10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  <c r="AE402" s="7">
        <v>7</v>
      </c>
      <c r="AF402" s="7">
        <v>700</v>
      </c>
      <c r="AG402" s="7">
        <v>0</v>
      </c>
      <c r="AH402" s="7">
        <v>0</v>
      </c>
      <c r="AI402" s="7">
        <v>0</v>
      </c>
      <c r="AJ402" s="7">
        <v>0</v>
      </c>
      <c r="AK402" s="7">
        <v>0</v>
      </c>
      <c r="AL402" s="7">
        <v>0</v>
      </c>
      <c r="AM402" s="7">
        <v>0</v>
      </c>
      <c r="AN402" s="7">
        <v>0</v>
      </c>
      <c r="AO402" s="7">
        <v>0</v>
      </c>
      <c r="AP402" s="7">
        <v>0</v>
      </c>
      <c r="AQ402" s="7">
        <v>0</v>
      </c>
      <c r="AR402" s="7">
        <v>0</v>
      </c>
      <c r="AS402" s="7">
        <v>0</v>
      </c>
      <c r="AT402" s="7">
        <v>0</v>
      </c>
      <c r="AU402" s="7">
        <v>0</v>
      </c>
      <c r="AV402" s="7">
        <v>0</v>
      </c>
      <c r="AW402" s="7">
        <v>0</v>
      </c>
      <c r="AX402" s="7">
        <v>0</v>
      </c>
      <c r="AY402" s="7">
        <v>0</v>
      </c>
      <c r="AZ402" s="7">
        <v>0</v>
      </c>
      <c r="BA402" s="7">
        <v>0</v>
      </c>
      <c r="BB402" s="7">
        <v>0</v>
      </c>
      <c r="BC402" s="7">
        <v>91</v>
      </c>
      <c r="BD402" s="8">
        <v>10920</v>
      </c>
      <c r="BE402" s="7">
        <v>0</v>
      </c>
      <c r="BF402" s="7">
        <v>0</v>
      </c>
      <c r="BG402" s="7">
        <v>0</v>
      </c>
      <c r="BH402" s="7">
        <v>0</v>
      </c>
      <c r="BI402" s="7">
        <v>0</v>
      </c>
      <c r="BJ402" s="7">
        <v>0</v>
      </c>
      <c r="BK402" s="7">
        <v>0</v>
      </c>
      <c r="BL402" s="7">
        <v>655.20000000000005</v>
      </c>
      <c r="BM402" s="10">
        <v>11620</v>
      </c>
      <c r="BN402" s="13">
        <f t="shared" si="12"/>
        <v>10964.8</v>
      </c>
      <c r="BO402" s="14">
        <f t="shared" si="13"/>
        <v>7675.3599999999988</v>
      </c>
    </row>
    <row r="403" spans="1:67" x14ac:dyDescent="0.4">
      <c r="A403" s="5" t="s">
        <v>537</v>
      </c>
      <c r="B403" s="5" t="s">
        <v>103</v>
      </c>
      <c r="C403" s="5">
        <v>422032</v>
      </c>
      <c r="D403" s="6"/>
      <c r="E403" s="5" t="s">
        <v>31</v>
      </c>
      <c r="F403" s="5" t="s">
        <v>104</v>
      </c>
      <c r="G403" s="5" t="s">
        <v>11</v>
      </c>
      <c r="H403" s="7" t="s">
        <v>10</v>
      </c>
      <c r="I403" s="7" t="s">
        <v>105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4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21</v>
      </c>
      <c r="AL403" s="8">
        <v>2520</v>
      </c>
      <c r="AM403" s="7">
        <v>0</v>
      </c>
      <c r="AN403" s="7">
        <v>0</v>
      </c>
      <c r="AO403" s="7">
        <v>0</v>
      </c>
      <c r="AP403" s="7">
        <v>0</v>
      </c>
      <c r="AQ403" s="7">
        <v>90</v>
      </c>
      <c r="AR403" s="8">
        <v>9000</v>
      </c>
      <c r="AS403" s="7">
        <v>0</v>
      </c>
      <c r="AT403" s="7">
        <v>0</v>
      </c>
      <c r="AU403" s="7">
        <v>0</v>
      </c>
      <c r="AV403" s="7">
        <v>0</v>
      </c>
      <c r="AW403" s="7">
        <v>0</v>
      </c>
      <c r="AX403" s="7">
        <v>0</v>
      </c>
      <c r="AY403" s="7">
        <v>0</v>
      </c>
      <c r="AZ403" s="7">
        <v>0</v>
      </c>
      <c r="BA403" s="7">
        <v>0</v>
      </c>
      <c r="BB403" s="7">
        <v>0</v>
      </c>
      <c r="BC403" s="7">
        <v>0</v>
      </c>
      <c r="BD403" s="7">
        <v>0</v>
      </c>
      <c r="BE403" s="7">
        <v>0</v>
      </c>
      <c r="BF403" s="7">
        <v>0</v>
      </c>
      <c r="BG403" s="7">
        <v>0</v>
      </c>
      <c r="BH403" s="7">
        <v>0</v>
      </c>
      <c r="BI403" s="7">
        <v>0</v>
      </c>
      <c r="BJ403" s="7">
        <v>0</v>
      </c>
      <c r="BK403" s="7">
        <v>0</v>
      </c>
      <c r="BL403" s="7">
        <v>756</v>
      </c>
      <c r="BM403" s="10">
        <v>11520</v>
      </c>
      <c r="BN403" s="13">
        <f t="shared" si="12"/>
        <v>10764</v>
      </c>
      <c r="BO403" s="14">
        <f t="shared" si="13"/>
        <v>7534.7999999999993</v>
      </c>
    </row>
    <row r="404" spans="1:67" x14ac:dyDescent="0.4">
      <c r="A404" s="5" t="s">
        <v>537</v>
      </c>
      <c r="B404" s="5" t="s">
        <v>181</v>
      </c>
      <c r="C404" s="5">
        <v>423577</v>
      </c>
      <c r="D404" s="6"/>
      <c r="E404" s="5" t="s">
        <v>31</v>
      </c>
      <c r="F404" s="5" t="s">
        <v>182</v>
      </c>
      <c r="G404" s="5" t="s">
        <v>51</v>
      </c>
      <c r="H404" s="7" t="s">
        <v>8</v>
      </c>
      <c r="I404" s="7" t="s">
        <v>183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7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65</v>
      </c>
      <c r="AF404" s="8">
        <v>6500</v>
      </c>
      <c r="AG404" s="7">
        <v>0</v>
      </c>
      <c r="AH404" s="7">
        <v>0</v>
      </c>
      <c r="AI404" s="7">
        <v>0</v>
      </c>
      <c r="AJ404" s="7">
        <v>0</v>
      </c>
      <c r="AK404" s="7">
        <v>41</v>
      </c>
      <c r="AL404" s="8">
        <v>3600</v>
      </c>
      <c r="AM404" s="8">
        <v>1100</v>
      </c>
      <c r="AN404" s="7">
        <v>0</v>
      </c>
      <c r="AO404" s="7">
        <v>0</v>
      </c>
      <c r="AP404" s="7">
        <v>0</v>
      </c>
      <c r="AQ404" s="7">
        <v>0</v>
      </c>
      <c r="AR404" s="7">
        <v>0</v>
      </c>
      <c r="AS404" s="7">
        <v>0</v>
      </c>
      <c r="AT404" s="7">
        <v>0</v>
      </c>
      <c r="AU404" s="7">
        <v>0</v>
      </c>
      <c r="AV404" s="7">
        <v>0</v>
      </c>
      <c r="AW404" s="7">
        <v>0</v>
      </c>
      <c r="AX404" s="7">
        <v>0</v>
      </c>
      <c r="AY404" s="7">
        <v>0</v>
      </c>
      <c r="AZ404" s="7">
        <v>0</v>
      </c>
      <c r="BA404" s="7">
        <v>0</v>
      </c>
      <c r="BB404" s="7">
        <v>0</v>
      </c>
      <c r="BC404" s="7">
        <v>0</v>
      </c>
      <c r="BD404" s="7">
        <v>0</v>
      </c>
      <c r="BE404" s="7">
        <v>0</v>
      </c>
      <c r="BF404" s="7">
        <v>0</v>
      </c>
      <c r="BG404" s="7">
        <v>0</v>
      </c>
      <c r="BH404" s="7">
        <v>0</v>
      </c>
      <c r="BI404" s="7">
        <v>0</v>
      </c>
      <c r="BJ404" s="7">
        <v>0</v>
      </c>
      <c r="BK404" s="7">
        <v>0</v>
      </c>
      <c r="BL404" s="9">
        <v>1080</v>
      </c>
      <c r="BM404" s="10">
        <v>11200</v>
      </c>
      <c r="BN404" s="13">
        <f t="shared" si="12"/>
        <v>10120</v>
      </c>
      <c r="BO404" s="14">
        <f t="shared" si="13"/>
        <v>7084</v>
      </c>
    </row>
    <row r="405" spans="1:67" x14ac:dyDescent="0.4">
      <c r="A405" s="5" t="s">
        <v>537</v>
      </c>
      <c r="B405" s="5" t="s">
        <v>532</v>
      </c>
      <c r="C405" s="5">
        <v>431779</v>
      </c>
      <c r="D405" s="6"/>
      <c r="E405" s="5" t="s">
        <v>31</v>
      </c>
      <c r="F405" s="5" t="s">
        <v>390</v>
      </c>
      <c r="G405" s="5" t="s">
        <v>51</v>
      </c>
      <c r="H405" s="7" t="s">
        <v>8</v>
      </c>
      <c r="I405" s="7" t="s">
        <v>533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3</v>
      </c>
      <c r="AF405" s="8">
        <v>10500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7">
        <v>0</v>
      </c>
      <c r="AP405" s="7">
        <v>0</v>
      </c>
      <c r="AQ405" s="7">
        <v>0</v>
      </c>
      <c r="AR405" s="7">
        <v>0</v>
      </c>
      <c r="AS405" s="7">
        <v>0</v>
      </c>
      <c r="AT405" s="7">
        <v>0</v>
      </c>
      <c r="AU405" s="7">
        <v>0</v>
      </c>
      <c r="AV405" s="7">
        <v>0</v>
      </c>
      <c r="AW405" s="7">
        <v>0</v>
      </c>
      <c r="AX405" s="7">
        <v>0</v>
      </c>
      <c r="AY405" s="7">
        <v>0</v>
      </c>
      <c r="AZ405" s="7">
        <v>0</v>
      </c>
      <c r="BA405" s="7">
        <v>0</v>
      </c>
      <c r="BB405" s="7">
        <v>0</v>
      </c>
      <c r="BC405" s="7">
        <v>0</v>
      </c>
      <c r="BD405" s="7">
        <v>0</v>
      </c>
      <c r="BE405" s="7">
        <v>0</v>
      </c>
      <c r="BF405" s="7">
        <v>0</v>
      </c>
      <c r="BG405" s="7">
        <v>0</v>
      </c>
      <c r="BH405" s="7">
        <v>0</v>
      </c>
      <c r="BI405" s="7">
        <v>0</v>
      </c>
      <c r="BJ405" s="7">
        <v>0</v>
      </c>
      <c r="BK405" s="7">
        <v>0</v>
      </c>
      <c r="BL405" s="7">
        <v>0</v>
      </c>
      <c r="BM405" s="10">
        <v>10500</v>
      </c>
      <c r="BN405" s="13">
        <f t="shared" si="12"/>
        <v>10500</v>
      </c>
      <c r="BO405" s="14">
        <f t="shared" si="13"/>
        <v>7349.9999999999991</v>
      </c>
    </row>
    <row r="406" spans="1:67" ht="19.2" x14ac:dyDescent="0.4">
      <c r="A406" s="5" t="s">
        <v>537</v>
      </c>
      <c r="B406" s="5" t="s">
        <v>128</v>
      </c>
      <c r="C406" s="5">
        <v>425289</v>
      </c>
      <c r="D406" s="6"/>
      <c r="E406" s="5" t="s">
        <v>31</v>
      </c>
      <c r="F406" s="5" t="s">
        <v>114</v>
      </c>
      <c r="G406" s="5" t="s">
        <v>11</v>
      </c>
      <c r="H406" s="7" t="s">
        <v>7</v>
      </c>
      <c r="I406" s="7" t="s">
        <v>129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0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87</v>
      </c>
      <c r="AL406" s="8">
        <v>10440</v>
      </c>
      <c r="AM406" s="7">
        <v>0</v>
      </c>
      <c r="AN406" s="7">
        <v>0</v>
      </c>
      <c r="AO406" s="7">
        <v>0</v>
      </c>
      <c r="AP406" s="7">
        <v>0</v>
      </c>
      <c r="AQ406" s="7">
        <v>0</v>
      </c>
      <c r="AR406" s="7">
        <v>0</v>
      </c>
      <c r="AS406" s="7">
        <v>0</v>
      </c>
      <c r="AT406" s="7">
        <v>0</v>
      </c>
      <c r="AU406" s="7">
        <v>0</v>
      </c>
      <c r="AV406" s="7">
        <v>0</v>
      </c>
      <c r="AW406" s="7">
        <v>0</v>
      </c>
      <c r="AX406" s="7">
        <v>0</v>
      </c>
      <c r="AY406" s="7">
        <v>0</v>
      </c>
      <c r="AZ406" s="7">
        <v>0</v>
      </c>
      <c r="BA406" s="7">
        <v>0</v>
      </c>
      <c r="BB406" s="7">
        <v>0</v>
      </c>
      <c r="BC406" s="7">
        <v>0</v>
      </c>
      <c r="BD406" s="7">
        <v>0</v>
      </c>
      <c r="BE406" s="7">
        <v>0</v>
      </c>
      <c r="BF406" s="7">
        <v>0</v>
      </c>
      <c r="BG406" s="7">
        <v>0</v>
      </c>
      <c r="BH406" s="7">
        <v>0</v>
      </c>
      <c r="BI406" s="7">
        <v>0</v>
      </c>
      <c r="BJ406" s="7">
        <v>0</v>
      </c>
      <c r="BK406" s="7">
        <v>0</v>
      </c>
      <c r="BL406" s="9">
        <v>3132</v>
      </c>
      <c r="BM406" s="10">
        <v>10440</v>
      </c>
      <c r="BN406" s="13">
        <f t="shared" si="12"/>
        <v>7308</v>
      </c>
      <c r="BO406" s="14">
        <f t="shared" si="13"/>
        <v>5115.5999999999995</v>
      </c>
    </row>
    <row r="407" spans="1:67" ht="19.2" x14ac:dyDescent="0.4">
      <c r="A407" s="5" t="s">
        <v>537</v>
      </c>
      <c r="B407" s="5" t="s">
        <v>184</v>
      </c>
      <c r="C407" s="5">
        <v>467470</v>
      </c>
      <c r="D407" s="6"/>
      <c r="E407" s="5" t="s">
        <v>31</v>
      </c>
      <c r="F407" s="5" t="s">
        <v>185</v>
      </c>
      <c r="G407" s="5" t="s">
        <v>51</v>
      </c>
      <c r="H407" s="7" t="s">
        <v>8</v>
      </c>
      <c r="I407" s="7" t="s">
        <v>186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1</v>
      </c>
      <c r="AF407" s="7">
        <v>300</v>
      </c>
      <c r="AG407" s="8">
        <v>2700</v>
      </c>
      <c r="AH407" s="7">
        <v>0</v>
      </c>
      <c r="AI407" s="7">
        <v>0</v>
      </c>
      <c r="AJ407" s="7">
        <v>0</v>
      </c>
      <c r="AK407" s="7">
        <v>2</v>
      </c>
      <c r="AL407" s="8">
        <v>7200</v>
      </c>
      <c r="AM407" s="7">
        <v>0</v>
      </c>
      <c r="AN407" s="7">
        <v>0</v>
      </c>
      <c r="AO407" s="7">
        <v>0</v>
      </c>
      <c r="AP407" s="7">
        <v>0</v>
      </c>
      <c r="AQ407" s="7">
        <v>0</v>
      </c>
      <c r="AR407" s="7">
        <v>0</v>
      </c>
      <c r="AS407" s="7">
        <v>0</v>
      </c>
      <c r="AT407" s="7">
        <v>0</v>
      </c>
      <c r="AU407" s="7">
        <v>0</v>
      </c>
      <c r="AV407" s="7">
        <v>0</v>
      </c>
      <c r="AW407" s="7">
        <v>0</v>
      </c>
      <c r="AX407" s="7">
        <v>0</v>
      </c>
      <c r="AY407" s="7">
        <v>0</v>
      </c>
      <c r="AZ407" s="7">
        <v>0</v>
      </c>
      <c r="BA407" s="7">
        <v>0</v>
      </c>
      <c r="BB407" s="7">
        <v>0</v>
      </c>
      <c r="BC407" s="7">
        <v>0</v>
      </c>
      <c r="BD407" s="7">
        <v>0</v>
      </c>
      <c r="BE407" s="7">
        <v>0</v>
      </c>
      <c r="BF407" s="7">
        <v>0</v>
      </c>
      <c r="BG407" s="7">
        <v>0</v>
      </c>
      <c r="BH407" s="7">
        <v>0</v>
      </c>
      <c r="BI407" s="7">
        <v>0</v>
      </c>
      <c r="BJ407" s="7">
        <v>0</v>
      </c>
      <c r="BK407" s="7">
        <v>0</v>
      </c>
      <c r="BL407" s="9">
        <v>2160</v>
      </c>
      <c r="BM407" s="10">
        <v>10200</v>
      </c>
      <c r="BN407" s="13">
        <f t="shared" si="12"/>
        <v>8040</v>
      </c>
      <c r="BO407" s="14">
        <f t="shared" si="13"/>
        <v>5628</v>
      </c>
    </row>
    <row r="408" spans="1:67" x14ac:dyDescent="0.4">
      <c r="A408" s="5" t="s">
        <v>537</v>
      </c>
      <c r="B408" s="5" t="s">
        <v>162</v>
      </c>
      <c r="C408" s="5">
        <v>367994</v>
      </c>
      <c r="D408" s="6"/>
      <c r="E408" s="5" t="s">
        <v>31</v>
      </c>
      <c r="F408" s="5" t="s">
        <v>50</v>
      </c>
      <c r="G408" s="5" t="s">
        <v>51</v>
      </c>
      <c r="H408" s="7" t="s">
        <v>8</v>
      </c>
      <c r="I408" s="7" t="s">
        <v>163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52</v>
      </c>
      <c r="AF408" s="8">
        <v>5200</v>
      </c>
      <c r="AG408" s="7">
        <v>0</v>
      </c>
      <c r="AH408" s="7">
        <v>0</v>
      </c>
      <c r="AI408" s="7">
        <v>0</v>
      </c>
      <c r="AJ408" s="7">
        <v>0</v>
      </c>
      <c r="AK408" s="7">
        <v>40</v>
      </c>
      <c r="AL408" s="8">
        <v>4680</v>
      </c>
      <c r="AM408" s="7">
        <v>100</v>
      </c>
      <c r="AN408" s="7">
        <v>0</v>
      </c>
      <c r="AO408" s="7">
        <v>0</v>
      </c>
      <c r="AP408" s="7">
        <v>0</v>
      </c>
      <c r="AQ408" s="7">
        <v>0</v>
      </c>
      <c r="AR408" s="7">
        <v>0</v>
      </c>
      <c r="AS408" s="7">
        <v>0</v>
      </c>
      <c r="AT408" s="7">
        <v>0</v>
      </c>
      <c r="AU408" s="7">
        <v>0</v>
      </c>
      <c r="AV408" s="7">
        <v>0</v>
      </c>
      <c r="AW408" s="7">
        <v>0</v>
      </c>
      <c r="AX408" s="7">
        <v>0</v>
      </c>
      <c r="AY408" s="7">
        <v>0</v>
      </c>
      <c r="AZ408" s="7">
        <v>0</v>
      </c>
      <c r="BA408" s="7">
        <v>0</v>
      </c>
      <c r="BB408" s="7">
        <v>0</v>
      </c>
      <c r="BC408" s="7">
        <v>0</v>
      </c>
      <c r="BD408" s="7">
        <v>0</v>
      </c>
      <c r="BE408" s="7">
        <v>0</v>
      </c>
      <c r="BF408" s="7">
        <v>0</v>
      </c>
      <c r="BG408" s="7">
        <v>0</v>
      </c>
      <c r="BH408" s="7">
        <v>0</v>
      </c>
      <c r="BI408" s="7">
        <v>0</v>
      </c>
      <c r="BJ408" s="7">
        <v>0</v>
      </c>
      <c r="BK408" s="7">
        <v>0</v>
      </c>
      <c r="BL408" s="9">
        <v>1404</v>
      </c>
      <c r="BM408" s="10">
        <v>9980</v>
      </c>
      <c r="BN408" s="13">
        <f t="shared" si="12"/>
        <v>8576</v>
      </c>
      <c r="BO408" s="14">
        <f t="shared" si="13"/>
        <v>6003.2</v>
      </c>
    </row>
    <row r="409" spans="1:67" x14ac:dyDescent="0.4">
      <c r="A409" s="5" t="s">
        <v>537</v>
      </c>
      <c r="B409" s="5" t="s">
        <v>253</v>
      </c>
      <c r="C409" s="5">
        <v>429534</v>
      </c>
      <c r="D409" s="6"/>
      <c r="E409" s="5" t="s">
        <v>31</v>
      </c>
      <c r="F409" s="5" t="s">
        <v>193</v>
      </c>
      <c r="G409" s="5" t="s">
        <v>11</v>
      </c>
      <c r="H409" s="7" t="s">
        <v>7</v>
      </c>
      <c r="I409" s="7" t="s">
        <v>254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1</v>
      </c>
      <c r="AF409" s="8">
        <v>2800</v>
      </c>
      <c r="AG409" s="7">
        <v>0</v>
      </c>
      <c r="AH409" s="7">
        <v>0</v>
      </c>
      <c r="AI409" s="7">
        <v>0</v>
      </c>
      <c r="AJ409" s="7">
        <v>0</v>
      </c>
      <c r="AK409" s="7">
        <v>2</v>
      </c>
      <c r="AL409" s="8">
        <v>6720</v>
      </c>
      <c r="AM409" s="7">
        <v>0</v>
      </c>
      <c r="AN409" s="7">
        <v>0</v>
      </c>
      <c r="AO409" s="7">
        <v>0</v>
      </c>
      <c r="AP409" s="7">
        <v>0</v>
      </c>
      <c r="AQ409" s="7">
        <v>0</v>
      </c>
      <c r="AR409" s="7">
        <v>0</v>
      </c>
      <c r="AS409" s="7">
        <v>0</v>
      </c>
      <c r="AT409" s="7">
        <v>0</v>
      </c>
      <c r="AU409" s="7">
        <v>0</v>
      </c>
      <c r="AV409" s="7">
        <v>0</v>
      </c>
      <c r="AW409" s="7">
        <v>0</v>
      </c>
      <c r="AX409" s="7">
        <v>0</v>
      </c>
      <c r="AY409" s="7">
        <v>0</v>
      </c>
      <c r="AZ409" s="7">
        <v>0</v>
      </c>
      <c r="BA409" s="7">
        <v>0</v>
      </c>
      <c r="BB409" s="7">
        <v>0</v>
      </c>
      <c r="BC409" s="7">
        <v>0</v>
      </c>
      <c r="BD409" s="7">
        <v>0</v>
      </c>
      <c r="BE409" s="7">
        <v>0</v>
      </c>
      <c r="BF409" s="7">
        <v>0</v>
      </c>
      <c r="BG409" s="7">
        <v>0</v>
      </c>
      <c r="BH409" s="7">
        <v>0</v>
      </c>
      <c r="BI409" s="7">
        <v>0</v>
      </c>
      <c r="BJ409" s="7">
        <v>0</v>
      </c>
      <c r="BK409" s="7">
        <v>0</v>
      </c>
      <c r="BL409" s="9">
        <v>2016</v>
      </c>
      <c r="BM409" s="10">
        <v>9520</v>
      </c>
      <c r="BN409" s="13">
        <f t="shared" ref="BN409:BN472" si="14">BM409-BL409</f>
        <v>7504</v>
      </c>
      <c r="BO409" s="14">
        <f t="shared" ref="BO409:BO472" si="15">BN409*70%</f>
        <v>5252.7999999999993</v>
      </c>
    </row>
    <row r="410" spans="1:67" x14ac:dyDescent="0.4">
      <c r="A410" s="5" t="s">
        <v>537</v>
      </c>
      <c r="B410" s="5" t="s">
        <v>249</v>
      </c>
      <c r="C410" s="5">
        <v>382446</v>
      </c>
      <c r="D410" s="6"/>
      <c r="E410" s="5" t="s">
        <v>31</v>
      </c>
      <c r="F410" s="5" t="s">
        <v>70</v>
      </c>
      <c r="G410" s="5" t="s">
        <v>51</v>
      </c>
      <c r="H410" s="7" t="s">
        <v>8</v>
      </c>
      <c r="I410" s="7" t="s">
        <v>250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2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75</v>
      </c>
      <c r="AL410" s="8">
        <v>9000</v>
      </c>
      <c r="AM410" s="7">
        <v>0</v>
      </c>
      <c r="AN410" s="7">
        <v>0</v>
      </c>
      <c r="AO410" s="7">
        <v>0</v>
      </c>
      <c r="AP410" s="7">
        <v>0</v>
      </c>
      <c r="AQ410" s="7">
        <v>3</v>
      </c>
      <c r="AR410" s="7">
        <v>300</v>
      </c>
      <c r="AS410" s="7">
        <v>0</v>
      </c>
      <c r="AT410" s="7">
        <v>0</v>
      </c>
      <c r="AU410" s="7">
        <v>0</v>
      </c>
      <c r="AV410" s="7">
        <v>0</v>
      </c>
      <c r="AW410" s="7">
        <v>0</v>
      </c>
      <c r="AX410" s="7">
        <v>0</v>
      </c>
      <c r="AY410" s="7">
        <v>0</v>
      </c>
      <c r="AZ410" s="7">
        <v>0</v>
      </c>
      <c r="BA410" s="7">
        <v>0</v>
      </c>
      <c r="BB410" s="7">
        <v>0</v>
      </c>
      <c r="BC410" s="7">
        <v>0</v>
      </c>
      <c r="BD410" s="7">
        <v>0</v>
      </c>
      <c r="BE410" s="7">
        <v>0</v>
      </c>
      <c r="BF410" s="7">
        <v>0</v>
      </c>
      <c r="BG410" s="7">
        <v>0</v>
      </c>
      <c r="BH410" s="7">
        <v>0</v>
      </c>
      <c r="BI410" s="7">
        <v>0</v>
      </c>
      <c r="BJ410" s="7">
        <v>0</v>
      </c>
      <c r="BK410" s="7">
        <v>0</v>
      </c>
      <c r="BL410" s="9">
        <v>2700</v>
      </c>
      <c r="BM410" s="10">
        <v>9300</v>
      </c>
      <c r="BN410" s="13">
        <f t="shared" si="14"/>
        <v>6600</v>
      </c>
      <c r="BO410" s="14">
        <f t="shared" si="15"/>
        <v>4620</v>
      </c>
    </row>
    <row r="411" spans="1:67" x14ac:dyDescent="0.4">
      <c r="A411" s="5" t="s">
        <v>537</v>
      </c>
      <c r="B411" s="5" t="s">
        <v>314</v>
      </c>
      <c r="C411" s="5">
        <v>328894</v>
      </c>
      <c r="D411" s="6"/>
      <c r="E411" s="5" t="s">
        <v>31</v>
      </c>
      <c r="F411" s="5" t="s">
        <v>227</v>
      </c>
      <c r="G411" s="5" t="s">
        <v>51</v>
      </c>
      <c r="H411" s="7" t="s">
        <v>8</v>
      </c>
      <c r="I411" s="7" t="s">
        <v>315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2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20</v>
      </c>
      <c r="AF411" s="7">
        <v>100</v>
      </c>
      <c r="AG411" s="8">
        <v>1900</v>
      </c>
      <c r="AH411" s="7">
        <v>0</v>
      </c>
      <c r="AI411" s="7">
        <v>0</v>
      </c>
      <c r="AJ411" s="7">
        <v>0</v>
      </c>
      <c r="AK411" s="7">
        <v>59</v>
      </c>
      <c r="AL411" s="8">
        <v>7080</v>
      </c>
      <c r="AM411" s="7">
        <v>0</v>
      </c>
      <c r="AN411" s="7">
        <v>0</v>
      </c>
      <c r="AO411" s="7">
        <v>0</v>
      </c>
      <c r="AP411" s="7">
        <v>0</v>
      </c>
      <c r="AQ411" s="7">
        <v>0</v>
      </c>
      <c r="AR411" s="7">
        <v>0</v>
      </c>
      <c r="AS411" s="7">
        <v>0</v>
      </c>
      <c r="AT411" s="7">
        <v>0</v>
      </c>
      <c r="AU411" s="7">
        <v>0</v>
      </c>
      <c r="AV411" s="7">
        <v>0</v>
      </c>
      <c r="AW411" s="7">
        <v>0</v>
      </c>
      <c r="AX411" s="7">
        <v>0</v>
      </c>
      <c r="AY411" s="7">
        <v>0</v>
      </c>
      <c r="AZ411" s="7">
        <v>0</v>
      </c>
      <c r="BA411" s="7">
        <v>0</v>
      </c>
      <c r="BB411" s="7">
        <v>0</v>
      </c>
      <c r="BC411" s="7">
        <v>0</v>
      </c>
      <c r="BD411" s="7">
        <v>0</v>
      </c>
      <c r="BE411" s="7">
        <v>0</v>
      </c>
      <c r="BF411" s="7">
        <v>0</v>
      </c>
      <c r="BG411" s="7">
        <v>0</v>
      </c>
      <c r="BH411" s="7">
        <v>0</v>
      </c>
      <c r="BI411" s="7">
        <v>0</v>
      </c>
      <c r="BJ411" s="7">
        <v>0</v>
      </c>
      <c r="BK411" s="7">
        <v>0</v>
      </c>
      <c r="BL411" s="9">
        <v>2124</v>
      </c>
      <c r="BM411" s="10">
        <v>9080</v>
      </c>
      <c r="BN411" s="13">
        <f t="shared" si="14"/>
        <v>6956</v>
      </c>
      <c r="BO411" s="14">
        <f t="shared" si="15"/>
        <v>4869.2</v>
      </c>
    </row>
    <row r="412" spans="1:67" x14ac:dyDescent="0.4">
      <c r="A412" s="5" t="s">
        <v>537</v>
      </c>
      <c r="B412" s="5" t="s">
        <v>125</v>
      </c>
      <c r="C412" s="5">
        <v>428379</v>
      </c>
      <c r="D412" s="6"/>
      <c r="E412" s="5" t="s">
        <v>31</v>
      </c>
      <c r="F412" s="5" t="s">
        <v>126</v>
      </c>
      <c r="G412" s="5" t="s">
        <v>11</v>
      </c>
      <c r="H412" s="7" t="s">
        <v>8</v>
      </c>
      <c r="I412" s="7" t="s">
        <v>127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34</v>
      </c>
      <c r="AF412" s="8">
        <v>1800</v>
      </c>
      <c r="AG412" s="8">
        <v>1600</v>
      </c>
      <c r="AH412" s="7">
        <v>0</v>
      </c>
      <c r="AI412" s="7">
        <v>0</v>
      </c>
      <c r="AJ412" s="7">
        <v>0</v>
      </c>
      <c r="AK412" s="7">
        <v>45</v>
      </c>
      <c r="AL412" s="8">
        <v>3600</v>
      </c>
      <c r="AM412" s="8">
        <v>1500</v>
      </c>
      <c r="AN412" s="7">
        <v>0</v>
      </c>
      <c r="AO412" s="7">
        <v>0</v>
      </c>
      <c r="AP412" s="7">
        <v>0</v>
      </c>
      <c r="AQ412" s="7">
        <v>1</v>
      </c>
      <c r="AR412" s="7">
        <v>100</v>
      </c>
      <c r="AS412" s="7">
        <v>0</v>
      </c>
      <c r="AT412" s="7">
        <v>0</v>
      </c>
      <c r="AU412" s="7">
        <v>0</v>
      </c>
      <c r="AV412" s="7">
        <v>0</v>
      </c>
      <c r="AW412" s="7">
        <v>0</v>
      </c>
      <c r="AX412" s="7">
        <v>0</v>
      </c>
      <c r="AY412" s="7">
        <v>0</v>
      </c>
      <c r="AZ412" s="7">
        <v>0</v>
      </c>
      <c r="BA412" s="7">
        <v>0</v>
      </c>
      <c r="BB412" s="7">
        <v>0</v>
      </c>
      <c r="BC412" s="7">
        <v>2</v>
      </c>
      <c r="BD412" s="7">
        <v>240</v>
      </c>
      <c r="BE412" s="7">
        <v>0</v>
      </c>
      <c r="BF412" s="7">
        <v>0</v>
      </c>
      <c r="BG412" s="7">
        <v>0</v>
      </c>
      <c r="BH412" s="7">
        <v>0</v>
      </c>
      <c r="BI412" s="7">
        <v>0</v>
      </c>
      <c r="BJ412" s="7">
        <v>0</v>
      </c>
      <c r="BK412" s="7">
        <v>0</v>
      </c>
      <c r="BL412" s="9">
        <v>1094.4000000000001</v>
      </c>
      <c r="BM412" s="10">
        <v>8840</v>
      </c>
      <c r="BN412" s="13">
        <f t="shared" si="14"/>
        <v>7745.6</v>
      </c>
      <c r="BO412" s="14">
        <f t="shared" si="15"/>
        <v>5421.92</v>
      </c>
    </row>
    <row r="413" spans="1:67" x14ac:dyDescent="0.4">
      <c r="A413" s="5" t="s">
        <v>537</v>
      </c>
      <c r="B413" s="5" t="s">
        <v>327</v>
      </c>
      <c r="C413" s="5">
        <v>377088</v>
      </c>
      <c r="D413" s="6"/>
      <c r="E413" s="5" t="s">
        <v>31</v>
      </c>
      <c r="F413" s="5" t="s">
        <v>328</v>
      </c>
      <c r="G413" s="5" t="s">
        <v>51</v>
      </c>
      <c r="H413" s="7" t="s">
        <v>8</v>
      </c>
      <c r="I413" s="7" t="s">
        <v>329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1</v>
      </c>
      <c r="AF413" s="7">
        <v>120</v>
      </c>
      <c r="AG413" s="7">
        <v>0</v>
      </c>
      <c r="AH413" s="7">
        <v>0</v>
      </c>
      <c r="AI413" s="7">
        <v>0</v>
      </c>
      <c r="AJ413" s="7">
        <v>0</v>
      </c>
      <c r="AK413" s="7">
        <v>6</v>
      </c>
      <c r="AL413" s="7">
        <v>0</v>
      </c>
      <c r="AM413" s="7">
        <v>600</v>
      </c>
      <c r="AN413" s="7">
        <v>0</v>
      </c>
      <c r="AO413" s="7">
        <v>0</v>
      </c>
      <c r="AP413" s="7">
        <v>0</v>
      </c>
      <c r="AQ413" s="7">
        <v>80</v>
      </c>
      <c r="AR413" s="8">
        <v>7800</v>
      </c>
      <c r="AS413" s="7">
        <v>200</v>
      </c>
      <c r="AT413" s="7">
        <v>0</v>
      </c>
      <c r="AU413" s="7">
        <v>0</v>
      </c>
      <c r="AV413" s="7">
        <v>0</v>
      </c>
      <c r="AW413" s="7">
        <v>0</v>
      </c>
      <c r="AX413" s="7">
        <v>0</v>
      </c>
      <c r="AY413" s="7">
        <v>0</v>
      </c>
      <c r="AZ413" s="7">
        <v>0</v>
      </c>
      <c r="BA413" s="7">
        <v>0</v>
      </c>
      <c r="BB413" s="7">
        <v>0</v>
      </c>
      <c r="BC413" s="7">
        <v>0</v>
      </c>
      <c r="BD413" s="7">
        <v>0</v>
      </c>
      <c r="BE413" s="7">
        <v>0</v>
      </c>
      <c r="BF413" s="7">
        <v>0</v>
      </c>
      <c r="BG413" s="7">
        <v>0</v>
      </c>
      <c r="BH413" s="7">
        <v>0</v>
      </c>
      <c r="BI413" s="7">
        <v>0</v>
      </c>
      <c r="BJ413" s="7">
        <v>0</v>
      </c>
      <c r="BK413" s="7">
        <v>0</v>
      </c>
      <c r="BL413" s="7">
        <v>0</v>
      </c>
      <c r="BM413" s="10">
        <v>8720</v>
      </c>
      <c r="BN413" s="13">
        <f t="shared" si="14"/>
        <v>8720</v>
      </c>
      <c r="BO413" s="14">
        <f t="shared" si="15"/>
        <v>6104</v>
      </c>
    </row>
    <row r="414" spans="1:67" x14ac:dyDescent="0.4">
      <c r="A414" s="5" t="s">
        <v>537</v>
      </c>
      <c r="B414" s="5" t="s">
        <v>322</v>
      </c>
      <c r="C414" s="5">
        <v>427091</v>
      </c>
      <c r="D414" s="6"/>
      <c r="E414" s="5" t="s">
        <v>31</v>
      </c>
      <c r="F414" s="5" t="s">
        <v>58</v>
      </c>
      <c r="G414" s="5" t="s">
        <v>51</v>
      </c>
      <c r="H414" s="7" t="s">
        <v>8</v>
      </c>
      <c r="I414" s="7" t="s">
        <v>323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8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  <c r="AE414" s="7">
        <v>43</v>
      </c>
      <c r="AF414" s="8">
        <v>4300</v>
      </c>
      <c r="AG414" s="7">
        <v>0</v>
      </c>
      <c r="AH414" s="7">
        <v>0</v>
      </c>
      <c r="AI414" s="7">
        <v>0</v>
      </c>
      <c r="AJ414" s="7">
        <v>0</v>
      </c>
      <c r="AK414" s="7">
        <v>1</v>
      </c>
      <c r="AL414" s="7">
        <v>0</v>
      </c>
      <c r="AM414" s="7">
        <v>100</v>
      </c>
      <c r="AN414" s="7">
        <v>0</v>
      </c>
      <c r="AO414" s="7">
        <v>0</v>
      </c>
      <c r="AP414" s="7">
        <v>0</v>
      </c>
      <c r="AQ414" s="7">
        <v>42</v>
      </c>
      <c r="AR414" s="8">
        <v>4200</v>
      </c>
      <c r="AS414" s="7">
        <v>0</v>
      </c>
      <c r="AT414" s="7">
        <v>0</v>
      </c>
      <c r="AU414" s="7">
        <v>0</v>
      </c>
      <c r="AV414" s="7">
        <v>0</v>
      </c>
      <c r="AW414" s="7">
        <v>0</v>
      </c>
      <c r="AX414" s="7">
        <v>0</v>
      </c>
      <c r="AY414" s="7">
        <v>0</v>
      </c>
      <c r="AZ414" s="7">
        <v>0</v>
      </c>
      <c r="BA414" s="7">
        <v>0</v>
      </c>
      <c r="BB414" s="7">
        <v>0</v>
      </c>
      <c r="BC414" s="7">
        <v>0</v>
      </c>
      <c r="BD414" s="7">
        <v>0</v>
      </c>
      <c r="BE414" s="7">
        <v>0</v>
      </c>
      <c r="BF414" s="7">
        <v>0</v>
      </c>
      <c r="BG414" s="7">
        <v>0</v>
      </c>
      <c r="BH414" s="7">
        <v>0</v>
      </c>
      <c r="BI414" s="7">
        <v>0</v>
      </c>
      <c r="BJ414" s="7">
        <v>0</v>
      </c>
      <c r="BK414" s="7">
        <v>0</v>
      </c>
      <c r="BL414" s="7">
        <v>0</v>
      </c>
      <c r="BM414" s="10">
        <v>8600</v>
      </c>
      <c r="BN414" s="13">
        <f t="shared" si="14"/>
        <v>8600</v>
      </c>
      <c r="BO414" s="14">
        <f t="shared" si="15"/>
        <v>6020</v>
      </c>
    </row>
    <row r="415" spans="1:67" x14ac:dyDescent="0.4">
      <c r="A415" s="5" t="s">
        <v>537</v>
      </c>
      <c r="B415" s="5" t="s">
        <v>300</v>
      </c>
      <c r="C415" s="5">
        <v>358724</v>
      </c>
      <c r="D415" s="6"/>
      <c r="E415" s="5" t="s">
        <v>31</v>
      </c>
      <c r="F415" s="5" t="s">
        <v>301</v>
      </c>
      <c r="G415" s="5" t="s">
        <v>51</v>
      </c>
      <c r="H415" s="7" t="s">
        <v>8</v>
      </c>
      <c r="I415" s="7" t="s">
        <v>124</v>
      </c>
      <c r="J415" s="7">
        <v>1</v>
      </c>
      <c r="K415" s="7">
        <v>0</v>
      </c>
      <c r="L415" s="7">
        <v>100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5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49</v>
      </c>
      <c r="AF415" s="8">
        <v>4900</v>
      </c>
      <c r="AG415" s="7">
        <v>0</v>
      </c>
      <c r="AH415" s="7">
        <v>0</v>
      </c>
      <c r="AI415" s="7">
        <v>0</v>
      </c>
      <c r="AJ415" s="7">
        <v>0</v>
      </c>
      <c r="AK415" s="7">
        <v>14</v>
      </c>
      <c r="AL415" s="7">
        <v>0</v>
      </c>
      <c r="AM415" s="8">
        <v>1400</v>
      </c>
      <c r="AN415" s="7">
        <v>0</v>
      </c>
      <c r="AO415" s="7">
        <v>0</v>
      </c>
      <c r="AP415" s="7">
        <v>0</v>
      </c>
      <c r="AQ415" s="7">
        <v>21</v>
      </c>
      <c r="AR415" s="8">
        <v>2100</v>
      </c>
      <c r="AS415" s="7">
        <v>0</v>
      </c>
      <c r="AT415" s="7">
        <v>0</v>
      </c>
      <c r="AU415" s="7">
        <v>0</v>
      </c>
      <c r="AV415" s="7">
        <v>0</v>
      </c>
      <c r="AW415" s="7">
        <v>0</v>
      </c>
      <c r="AX415" s="7">
        <v>0</v>
      </c>
      <c r="AY415" s="7">
        <v>0</v>
      </c>
      <c r="AZ415" s="7">
        <v>0</v>
      </c>
      <c r="BA415" s="7">
        <v>0</v>
      </c>
      <c r="BB415" s="7">
        <v>0</v>
      </c>
      <c r="BC415" s="7">
        <v>0</v>
      </c>
      <c r="BD415" s="7">
        <v>0</v>
      </c>
      <c r="BE415" s="7">
        <v>0</v>
      </c>
      <c r="BF415" s="7">
        <v>0</v>
      </c>
      <c r="BG415" s="7">
        <v>0</v>
      </c>
      <c r="BH415" s="7">
        <v>0</v>
      </c>
      <c r="BI415" s="7">
        <v>0</v>
      </c>
      <c r="BJ415" s="7">
        <v>0</v>
      </c>
      <c r="BK415" s="7">
        <v>0</v>
      </c>
      <c r="BL415" s="7">
        <v>0</v>
      </c>
      <c r="BM415" s="10">
        <v>8500</v>
      </c>
      <c r="BN415" s="13">
        <f t="shared" si="14"/>
        <v>8500</v>
      </c>
      <c r="BO415" s="14">
        <f t="shared" si="15"/>
        <v>5950</v>
      </c>
    </row>
    <row r="416" spans="1:67" x14ac:dyDescent="0.4">
      <c r="A416" s="5" t="s">
        <v>537</v>
      </c>
      <c r="B416" s="5" t="s">
        <v>286</v>
      </c>
      <c r="C416" s="5">
        <v>395192</v>
      </c>
      <c r="D416" s="6"/>
      <c r="E416" s="5" t="s">
        <v>31</v>
      </c>
      <c r="F416" s="5" t="s">
        <v>150</v>
      </c>
      <c r="G416" s="5" t="s">
        <v>51</v>
      </c>
      <c r="H416" s="7" t="s">
        <v>8</v>
      </c>
      <c r="I416" s="7" t="s">
        <v>287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5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0</v>
      </c>
      <c r="AB416" s="7">
        <v>0</v>
      </c>
      <c r="AC416" s="7">
        <v>0</v>
      </c>
      <c r="AD416" s="7">
        <v>0</v>
      </c>
      <c r="AE416" s="7">
        <v>23</v>
      </c>
      <c r="AF416" s="8">
        <v>2300</v>
      </c>
      <c r="AG416" s="7">
        <v>0</v>
      </c>
      <c r="AH416" s="7">
        <v>0</v>
      </c>
      <c r="AI416" s="7">
        <v>0</v>
      </c>
      <c r="AJ416" s="7">
        <v>0</v>
      </c>
      <c r="AK416" s="7">
        <v>9</v>
      </c>
      <c r="AL416" s="7">
        <v>600</v>
      </c>
      <c r="AM416" s="7">
        <v>400</v>
      </c>
      <c r="AN416" s="7">
        <v>0</v>
      </c>
      <c r="AO416" s="7">
        <v>0</v>
      </c>
      <c r="AP416" s="7">
        <v>0</v>
      </c>
      <c r="AQ416" s="7">
        <v>51</v>
      </c>
      <c r="AR416" s="8">
        <v>4500</v>
      </c>
      <c r="AS416" s="7">
        <v>600</v>
      </c>
      <c r="AT416" s="7">
        <v>0</v>
      </c>
      <c r="AU416" s="7">
        <v>0</v>
      </c>
      <c r="AV416" s="7">
        <v>0</v>
      </c>
      <c r="AW416" s="7">
        <v>0</v>
      </c>
      <c r="AX416" s="7">
        <v>0</v>
      </c>
      <c r="AY416" s="7">
        <v>0</v>
      </c>
      <c r="AZ416" s="7">
        <v>0</v>
      </c>
      <c r="BA416" s="7">
        <v>0</v>
      </c>
      <c r="BB416" s="7">
        <v>0</v>
      </c>
      <c r="BC416" s="7">
        <v>0</v>
      </c>
      <c r="BD416" s="7">
        <v>0</v>
      </c>
      <c r="BE416" s="7">
        <v>0</v>
      </c>
      <c r="BF416" s="7">
        <v>0</v>
      </c>
      <c r="BG416" s="7">
        <v>0</v>
      </c>
      <c r="BH416" s="7">
        <v>0</v>
      </c>
      <c r="BI416" s="7">
        <v>0</v>
      </c>
      <c r="BJ416" s="7">
        <v>0</v>
      </c>
      <c r="BK416" s="7">
        <v>0</v>
      </c>
      <c r="BL416" s="7">
        <v>180</v>
      </c>
      <c r="BM416" s="10">
        <v>8400</v>
      </c>
      <c r="BN416" s="13">
        <f t="shared" si="14"/>
        <v>8220</v>
      </c>
      <c r="BO416" s="14">
        <f t="shared" si="15"/>
        <v>5754</v>
      </c>
    </row>
    <row r="417" spans="1:67" x14ac:dyDescent="0.4">
      <c r="A417" s="5" t="s">
        <v>537</v>
      </c>
      <c r="B417" s="5" t="s">
        <v>324</v>
      </c>
      <c r="C417" s="5">
        <v>391008</v>
      </c>
      <c r="D417" s="6"/>
      <c r="E417" s="5" t="s">
        <v>31</v>
      </c>
      <c r="F417" s="5" t="s">
        <v>145</v>
      </c>
      <c r="G417" s="5" t="s">
        <v>51</v>
      </c>
      <c r="H417" s="7" t="s">
        <v>8</v>
      </c>
      <c r="I417" s="7" t="s">
        <v>325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7">
        <v>69</v>
      </c>
      <c r="AL417" s="8">
        <v>8280</v>
      </c>
      <c r="AM417" s="7">
        <v>0</v>
      </c>
      <c r="AN417" s="7">
        <v>0</v>
      </c>
      <c r="AO417" s="7">
        <v>0</v>
      </c>
      <c r="AP417" s="7">
        <v>0</v>
      </c>
      <c r="AQ417" s="7">
        <v>0</v>
      </c>
      <c r="AR417" s="7">
        <v>0</v>
      </c>
      <c r="AS417" s="7">
        <v>0</v>
      </c>
      <c r="AT417" s="7">
        <v>0</v>
      </c>
      <c r="AU417" s="7">
        <v>0</v>
      </c>
      <c r="AV417" s="7">
        <v>0</v>
      </c>
      <c r="AW417" s="7">
        <v>0</v>
      </c>
      <c r="AX417" s="7">
        <v>0</v>
      </c>
      <c r="AY417" s="7">
        <v>0</v>
      </c>
      <c r="AZ417" s="7">
        <v>0</v>
      </c>
      <c r="BA417" s="7">
        <v>0</v>
      </c>
      <c r="BB417" s="7">
        <v>0</v>
      </c>
      <c r="BC417" s="7">
        <v>0</v>
      </c>
      <c r="BD417" s="7">
        <v>0</v>
      </c>
      <c r="BE417" s="7">
        <v>0</v>
      </c>
      <c r="BF417" s="7">
        <v>0</v>
      </c>
      <c r="BG417" s="7">
        <v>0</v>
      </c>
      <c r="BH417" s="7">
        <v>0</v>
      </c>
      <c r="BI417" s="7">
        <v>0</v>
      </c>
      <c r="BJ417" s="7">
        <v>0</v>
      </c>
      <c r="BK417" s="7">
        <v>0</v>
      </c>
      <c r="BL417" s="9">
        <v>2484</v>
      </c>
      <c r="BM417" s="10">
        <v>8280</v>
      </c>
      <c r="BN417" s="13">
        <f t="shared" si="14"/>
        <v>5796</v>
      </c>
      <c r="BO417" s="14">
        <f t="shared" si="15"/>
        <v>4057.2</v>
      </c>
    </row>
    <row r="418" spans="1:67" x14ac:dyDescent="0.4">
      <c r="A418" s="5" t="s">
        <v>537</v>
      </c>
      <c r="B418" s="5" t="s">
        <v>130</v>
      </c>
      <c r="C418" s="5">
        <v>469075</v>
      </c>
      <c r="D418" s="6"/>
      <c r="E418" s="5" t="s">
        <v>31</v>
      </c>
      <c r="F418" s="5" t="s">
        <v>76</v>
      </c>
      <c r="G418" s="5" t="s">
        <v>33</v>
      </c>
      <c r="H418" s="7" t="s">
        <v>10</v>
      </c>
      <c r="I418" s="7" t="s">
        <v>131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0</v>
      </c>
      <c r="AA418" s="7">
        <v>0</v>
      </c>
      <c r="AB418" s="7">
        <v>0</v>
      </c>
      <c r="AC418" s="7">
        <v>0</v>
      </c>
      <c r="AD418" s="7">
        <v>0</v>
      </c>
      <c r="AE418" s="7">
        <v>2</v>
      </c>
      <c r="AF418" s="8">
        <v>8200</v>
      </c>
      <c r="AG418" s="7">
        <v>0</v>
      </c>
      <c r="AH418" s="7">
        <v>0</v>
      </c>
      <c r="AI418" s="7">
        <v>0</v>
      </c>
      <c r="AJ418" s="7">
        <v>0</v>
      </c>
      <c r="AK418" s="7">
        <v>0</v>
      </c>
      <c r="AL418" s="7">
        <v>0</v>
      </c>
      <c r="AM418" s="7">
        <v>0</v>
      </c>
      <c r="AN418" s="7">
        <v>0</v>
      </c>
      <c r="AO418" s="7">
        <v>0</v>
      </c>
      <c r="AP418" s="7">
        <v>0</v>
      </c>
      <c r="AQ418" s="7">
        <v>0</v>
      </c>
      <c r="AR418" s="7">
        <v>0</v>
      </c>
      <c r="AS418" s="7">
        <v>0</v>
      </c>
      <c r="AT418" s="7">
        <v>0</v>
      </c>
      <c r="AU418" s="7">
        <v>0</v>
      </c>
      <c r="AV418" s="7">
        <v>0</v>
      </c>
      <c r="AW418" s="7">
        <v>0</v>
      </c>
      <c r="AX418" s="7">
        <v>0</v>
      </c>
      <c r="AY418" s="7">
        <v>0</v>
      </c>
      <c r="AZ418" s="7">
        <v>0</v>
      </c>
      <c r="BA418" s="7">
        <v>0</v>
      </c>
      <c r="BB418" s="7">
        <v>0</v>
      </c>
      <c r="BC418" s="7">
        <v>0</v>
      </c>
      <c r="BD418" s="7">
        <v>0</v>
      </c>
      <c r="BE418" s="7">
        <v>0</v>
      </c>
      <c r="BF418" s="7">
        <v>0</v>
      </c>
      <c r="BG418" s="7">
        <v>0</v>
      </c>
      <c r="BH418" s="7">
        <v>0</v>
      </c>
      <c r="BI418" s="7">
        <v>0</v>
      </c>
      <c r="BJ418" s="7">
        <v>0</v>
      </c>
      <c r="BK418" s="7">
        <v>0</v>
      </c>
      <c r="BL418" s="7">
        <v>0</v>
      </c>
      <c r="BM418" s="10">
        <v>8200</v>
      </c>
      <c r="BN418" s="13">
        <f t="shared" si="14"/>
        <v>8200</v>
      </c>
      <c r="BO418" s="14">
        <f t="shared" si="15"/>
        <v>5740</v>
      </c>
    </row>
    <row r="419" spans="1:67" x14ac:dyDescent="0.4">
      <c r="A419" s="5" t="s">
        <v>537</v>
      </c>
      <c r="B419" s="5" t="s">
        <v>106</v>
      </c>
      <c r="C419" s="5">
        <v>364724</v>
      </c>
      <c r="D419" s="6"/>
      <c r="E419" s="5" t="s">
        <v>31</v>
      </c>
      <c r="F419" s="5" t="s">
        <v>107</v>
      </c>
      <c r="G419" s="5" t="s">
        <v>11</v>
      </c>
      <c r="H419" s="7" t="s">
        <v>7</v>
      </c>
      <c r="I419" s="7" t="s">
        <v>108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27</v>
      </c>
      <c r="AF419" s="8">
        <v>2700</v>
      </c>
      <c r="AG419" s="7">
        <v>0</v>
      </c>
      <c r="AH419" s="7">
        <v>0</v>
      </c>
      <c r="AI419" s="7">
        <v>0</v>
      </c>
      <c r="AJ419" s="7">
        <v>0</v>
      </c>
      <c r="AK419" s="7">
        <v>45</v>
      </c>
      <c r="AL419" s="8">
        <v>3960</v>
      </c>
      <c r="AM419" s="8">
        <v>1200</v>
      </c>
      <c r="AN419" s="7">
        <v>0</v>
      </c>
      <c r="AO419" s="7">
        <v>0</v>
      </c>
      <c r="AP419" s="7">
        <v>0</v>
      </c>
      <c r="AQ419" s="7">
        <v>0</v>
      </c>
      <c r="AR419" s="7">
        <v>0</v>
      </c>
      <c r="AS419" s="7">
        <v>0</v>
      </c>
      <c r="AT419" s="7">
        <v>0</v>
      </c>
      <c r="AU419" s="7">
        <v>0</v>
      </c>
      <c r="AV419" s="7">
        <v>0</v>
      </c>
      <c r="AW419" s="7">
        <v>0</v>
      </c>
      <c r="AX419" s="7">
        <v>0</v>
      </c>
      <c r="AY419" s="7">
        <v>0</v>
      </c>
      <c r="AZ419" s="7">
        <v>0</v>
      </c>
      <c r="BA419" s="7">
        <v>0</v>
      </c>
      <c r="BB419" s="7">
        <v>0</v>
      </c>
      <c r="BC419" s="7">
        <v>0</v>
      </c>
      <c r="BD419" s="7">
        <v>0</v>
      </c>
      <c r="BE419" s="7">
        <v>0</v>
      </c>
      <c r="BF419" s="7">
        <v>0</v>
      </c>
      <c r="BG419" s="7">
        <v>0</v>
      </c>
      <c r="BH419" s="7">
        <v>0</v>
      </c>
      <c r="BI419" s="7">
        <v>0</v>
      </c>
      <c r="BJ419" s="7">
        <v>0</v>
      </c>
      <c r="BK419" s="7">
        <v>0</v>
      </c>
      <c r="BL419" s="9">
        <v>1188</v>
      </c>
      <c r="BM419" s="10">
        <v>7860</v>
      </c>
      <c r="BN419" s="13">
        <f t="shared" si="14"/>
        <v>6672</v>
      </c>
      <c r="BO419" s="14">
        <f t="shared" si="15"/>
        <v>4670.3999999999996</v>
      </c>
    </row>
    <row r="420" spans="1:67" x14ac:dyDescent="0.4">
      <c r="A420" s="5" t="s">
        <v>537</v>
      </c>
      <c r="B420" s="5" t="s">
        <v>283</v>
      </c>
      <c r="C420" s="5">
        <v>408579</v>
      </c>
      <c r="D420" s="6"/>
      <c r="E420" s="5" t="s">
        <v>31</v>
      </c>
      <c r="F420" s="5" t="s">
        <v>47</v>
      </c>
      <c r="G420" s="5" t="s">
        <v>11</v>
      </c>
      <c r="H420" s="7" t="s">
        <v>7</v>
      </c>
      <c r="I420" s="7" t="s">
        <v>252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0</v>
      </c>
      <c r="AB420" s="7">
        <v>0</v>
      </c>
      <c r="AC420" s="7">
        <v>0</v>
      </c>
      <c r="AD420" s="7">
        <v>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7">
        <v>2</v>
      </c>
      <c r="AL420" s="8">
        <v>7680</v>
      </c>
      <c r="AM420" s="7">
        <v>0</v>
      </c>
      <c r="AN420" s="7">
        <v>0</v>
      </c>
      <c r="AO420" s="7">
        <v>0</v>
      </c>
      <c r="AP420" s="7">
        <v>0</v>
      </c>
      <c r="AQ420" s="7">
        <v>0</v>
      </c>
      <c r="AR420" s="7">
        <v>0</v>
      </c>
      <c r="AS420" s="7">
        <v>0</v>
      </c>
      <c r="AT420" s="7">
        <v>0</v>
      </c>
      <c r="AU420" s="7">
        <v>0</v>
      </c>
      <c r="AV420" s="7">
        <v>0</v>
      </c>
      <c r="AW420" s="7">
        <v>0</v>
      </c>
      <c r="AX420" s="7">
        <v>0</v>
      </c>
      <c r="AY420" s="7">
        <v>0</v>
      </c>
      <c r="AZ420" s="7">
        <v>0</v>
      </c>
      <c r="BA420" s="7">
        <v>0</v>
      </c>
      <c r="BB420" s="7">
        <v>0</v>
      </c>
      <c r="BC420" s="7">
        <v>0</v>
      </c>
      <c r="BD420" s="7">
        <v>0</v>
      </c>
      <c r="BE420" s="7">
        <v>0</v>
      </c>
      <c r="BF420" s="7">
        <v>0</v>
      </c>
      <c r="BG420" s="7">
        <v>0</v>
      </c>
      <c r="BH420" s="7">
        <v>0</v>
      </c>
      <c r="BI420" s="7">
        <v>0</v>
      </c>
      <c r="BJ420" s="7">
        <v>0</v>
      </c>
      <c r="BK420" s="7">
        <v>0</v>
      </c>
      <c r="BL420" s="9">
        <v>2304</v>
      </c>
      <c r="BM420" s="10">
        <v>7680</v>
      </c>
      <c r="BN420" s="13">
        <f t="shared" si="14"/>
        <v>5376</v>
      </c>
      <c r="BO420" s="14">
        <f t="shared" si="15"/>
        <v>3763.2</v>
      </c>
    </row>
    <row r="421" spans="1:67" x14ac:dyDescent="0.4">
      <c r="A421" s="5" t="s">
        <v>537</v>
      </c>
      <c r="B421" s="5" t="s">
        <v>481</v>
      </c>
      <c r="C421" s="5">
        <v>471707</v>
      </c>
      <c r="D421" s="6"/>
      <c r="E421" s="5" t="s">
        <v>31</v>
      </c>
      <c r="F421" s="5" t="s">
        <v>482</v>
      </c>
      <c r="G421" s="5" t="s">
        <v>11</v>
      </c>
      <c r="H421" s="7" t="s">
        <v>7</v>
      </c>
      <c r="I421" s="7" t="s">
        <v>483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25</v>
      </c>
      <c r="AF421" s="8">
        <v>2500</v>
      </c>
      <c r="AG421" s="7">
        <v>0</v>
      </c>
      <c r="AH421" s="7">
        <v>0</v>
      </c>
      <c r="AI421" s="7">
        <v>0</v>
      </c>
      <c r="AJ421" s="7">
        <v>0</v>
      </c>
      <c r="AK421" s="7">
        <v>39</v>
      </c>
      <c r="AL421" s="8">
        <v>4680</v>
      </c>
      <c r="AM421" s="7">
        <v>0</v>
      </c>
      <c r="AN421" s="7">
        <v>0</v>
      </c>
      <c r="AO421" s="7">
        <v>0</v>
      </c>
      <c r="AP421" s="7">
        <v>0</v>
      </c>
      <c r="AQ421" s="7">
        <v>2</v>
      </c>
      <c r="AR421" s="7">
        <v>200</v>
      </c>
      <c r="AS421" s="7">
        <v>0</v>
      </c>
      <c r="AT421" s="7">
        <v>0</v>
      </c>
      <c r="AU421" s="7">
        <v>0</v>
      </c>
      <c r="AV421" s="7">
        <v>0</v>
      </c>
      <c r="AW421" s="7">
        <v>0</v>
      </c>
      <c r="AX421" s="7">
        <v>0</v>
      </c>
      <c r="AY421" s="7">
        <v>0</v>
      </c>
      <c r="AZ421" s="7">
        <v>0</v>
      </c>
      <c r="BA421" s="7">
        <v>0</v>
      </c>
      <c r="BB421" s="7">
        <v>0</v>
      </c>
      <c r="BC421" s="7">
        <v>0</v>
      </c>
      <c r="BD421" s="7">
        <v>0</v>
      </c>
      <c r="BE421" s="7">
        <v>0</v>
      </c>
      <c r="BF421" s="7">
        <v>0</v>
      </c>
      <c r="BG421" s="7">
        <v>0</v>
      </c>
      <c r="BH421" s="7">
        <v>0</v>
      </c>
      <c r="BI421" s="7">
        <v>0</v>
      </c>
      <c r="BJ421" s="7">
        <v>0</v>
      </c>
      <c r="BK421" s="7">
        <v>0</v>
      </c>
      <c r="BL421" s="9">
        <v>1404</v>
      </c>
      <c r="BM421" s="10">
        <v>7380</v>
      </c>
      <c r="BN421" s="13">
        <f t="shared" si="14"/>
        <v>5976</v>
      </c>
      <c r="BO421" s="14">
        <f t="shared" si="15"/>
        <v>4183.2</v>
      </c>
    </row>
    <row r="422" spans="1:67" x14ac:dyDescent="0.4">
      <c r="A422" s="5" t="s">
        <v>537</v>
      </c>
      <c r="B422" s="5" t="s">
        <v>386</v>
      </c>
      <c r="C422" s="5">
        <v>356294</v>
      </c>
      <c r="D422" s="6"/>
      <c r="E422" s="5" t="s">
        <v>31</v>
      </c>
      <c r="F422" s="5" t="s">
        <v>58</v>
      </c>
      <c r="G422" s="5" t="s">
        <v>51</v>
      </c>
      <c r="H422" s="7" t="s">
        <v>8</v>
      </c>
      <c r="I422" s="7" t="s">
        <v>225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6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7">
        <v>0</v>
      </c>
      <c r="AD422" s="7">
        <v>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60</v>
      </c>
      <c r="AL422" s="8">
        <v>7380</v>
      </c>
      <c r="AM422" s="7">
        <v>0</v>
      </c>
      <c r="AN422" s="7">
        <v>0</v>
      </c>
      <c r="AO422" s="7">
        <v>0</v>
      </c>
      <c r="AP422" s="7">
        <v>0</v>
      </c>
      <c r="AQ422" s="7">
        <v>0</v>
      </c>
      <c r="AR422" s="7">
        <v>0</v>
      </c>
      <c r="AS422" s="7">
        <v>0</v>
      </c>
      <c r="AT422" s="7">
        <v>0</v>
      </c>
      <c r="AU422" s="7">
        <v>0</v>
      </c>
      <c r="AV422" s="7">
        <v>0</v>
      </c>
      <c r="AW422" s="7">
        <v>0</v>
      </c>
      <c r="AX422" s="7">
        <v>0</v>
      </c>
      <c r="AY422" s="7">
        <v>0</v>
      </c>
      <c r="AZ422" s="7">
        <v>0</v>
      </c>
      <c r="BA422" s="7">
        <v>0</v>
      </c>
      <c r="BB422" s="7">
        <v>0</v>
      </c>
      <c r="BC422" s="7">
        <v>0</v>
      </c>
      <c r="BD422" s="7">
        <v>0</v>
      </c>
      <c r="BE422" s="7">
        <v>0</v>
      </c>
      <c r="BF422" s="7">
        <v>0</v>
      </c>
      <c r="BG422" s="7">
        <v>0</v>
      </c>
      <c r="BH422" s="7">
        <v>0</v>
      </c>
      <c r="BI422" s="7">
        <v>0</v>
      </c>
      <c r="BJ422" s="7">
        <v>0</v>
      </c>
      <c r="BK422" s="7">
        <v>0</v>
      </c>
      <c r="BL422" s="9">
        <v>2214</v>
      </c>
      <c r="BM422" s="10">
        <v>7380</v>
      </c>
      <c r="BN422" s="13">
        <f t="shared" si="14"/>
        <v>5166</v>
      </c>
      <c r="BO422" s="14">
        <f t="shared" si="15"/>
        <v>3616.2</v>
      </c>
    </row>
    <row r="423" spans="1:67" x14ac:dyDescent="0.4">
      <c r="A423" s="5" t="s">
        <v>537</v>
      </c>
      <c r="B423" s="5" t="s">
        <v>383</v>
      </c>
      <c r="C423" s="5">
        <v>384107</v>
      </c>
      <c r="D423" s="6"/>
      <c r="E423" s="5" t="s">
        <v>31</v>
      </c>
      <c r="F423" s="5" t="s">
        <v>384</v>
      </c>
      <c r="G423" s="5" t="s">
        <v>51</v>
      </c>
      <c r="H423" s="7" t="s">
        <v>331</v>
      </c>
      <c r="I423" s="7" t="s">
        <v>385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6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33</v>
      </c>
      <c r="AF423" s="8">
        <v>3300</v>
      </c>
      <c r="AG423" s="7">
        <v>0</v>
      </c>
      <c r="AH423" s="7">
        <v>0</v>
      </c>
      <c r="AI423" s="7">
        <v>0</v>
      </c>
      <c r="AJ423" s="7">
        <v>0</v>
      </c>
      <c r="AK423" s="7">
        <v>31</v>
      </c>
      <c r="AL423" s="8">
        <v>3720</v>
      </c>
      <c r="AM423" s="7">
        <v>0</v>
      </c>
      <c r="AN423" s="7">
        <v>0</v>
      </c>
      <c r="AO423" s="7">
        <v>0</v>
      </c>
      <c r="AP423" s="7">
        <v>0</v>
      </c>
      <c r="AQ423" s="7">
        <v>0</v>
      </c>
      <c r="AR423" s="7">
        <v>0</v>
      </c>
      <c r="AS423" s="7">
        <v>0</v>
      </c>
      <c r="AT423" s="7">
        <v>0</v>
      </c>
      <c r="AU423" s="7">
        <v>0</v>
      </c>
      <c r="AV423" s="7">
        <v>0</v>
      </c>
      <c r="AW423" s="7">
        <v>0</v>
      </c>
      <c r="AX423" s="7">
        <v>0</v>
      </c>
      <c r="AY423" s="7">
        <v>0</v>
      </c>
      <c r="AZ423" s="7">
        <v>0</v>
      </c>
      <c r="BA423" s="7">
        <v>0</v>
      </c>
      <c r="BB423" s="7">
        <v>0</v>
      </c>
      <c r="BC423" s="7">
        <v>0</v>
      </c>
      <c r="BD423" s="7">
        <v>0</v>
      </c>
      <c r="BE423" s="7">
        <v>0</v>
      </c>
      <c r="BF423" s="7">
        <v>0</v>
      </c>
      <c r="BG423" s="7">
        <v>0</v>
      </c>
      <c r="BH423" s="7">
        <v>0</v>
      </c>
      <c r="BI423" s="7">
        <v>0</v>
      </c>
      <c r="BJ423" s="7">
        <v>0</v>
      </c>
      <c r="BK423" s="7">
        <v>0</v>
      </c>
      <c r="BL423" s="9">
        <v>1116</v>
      </c>
      <c r="BM423" s="10">
        <v>7020</v>
      </c>
      <c r="BN423" s="13">
        <f t="shared" si="14"/>
        <v>5904</v>
      </c>
      <c r="BO423" s="14">
        <f t="shared" si="15"/>
        <v>4132.8</v>
      </c>
    </row>
    <row r="424" spans="1:67" x14ac:dyDescent="0.4">
      <c r="A424" s="5" t="s">
        <v>537</v>
      </c>
      <c r="B424" s="5" t="s">
        <v>223</v>
      </c>
      <c r="C424" s="5">
        <v>332138</v>
      </c>
      <c r="D424" s="6"/>
      <c r="E424" s="5" t="s">
        <v>31</v>
      </c>
      <c r="F424" s="5" t="s">
        <v>224</v>
      </c>
      <c r="G424" s="5" t="s">
        <v>51</v>
      </c>
      <c r="H424" s="7" t="s">
        <v>10</v>
      </c>
      <c r="I424" s="7" t="s">
        <v>225</v>
      </c>
      <c r="J424" s="7">
        <v>1</v>
      </c>
      <c r="K424" s="7">
        <v>0</v>
      </c>
      <c r="L424" s="7">
        <v>100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7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7">
        <v>0</v>
      </c>
      <c r="AB424" s="7">
        <v>0</v>
      </c>
      <c r="AC424" s="7">
        <v>0</v>
      </c>
      <c r="AD424" s="7">
        <v>0</v>
      </c>
      <c r="AE424" s="7">
        <v>0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7">
        <v>0</v>
      </c>
      <c r="AL424" s="7">
        <v>0</v>
      </c>
      <c r="AM424" s="7">
        <v>0</v>
      </c>
      <c r="AN424" s="7">
        <v>0</v>
      </c>
      <c r="AO424" s="7">
        <v>0</v>
      </c>
      <c r="AP424" s="7">
        <v>0</v>
      </c>
      <c r="AQ424" s="7">
        <v>67</v>
      </c>
      <c r="AR424" s="8">
        <v>6500</v>
      </c>
      <c r="AS424" s="7">
        <v>200</v>
      </c>
      <c r="AT424" s="7">
        <v>0</v>
      </c>
      <c r="AU424" s="7">
        <v>0</v>
      </c>
      <c r="AV424" s="7">
        <v>0</v>
      </c>
      <c r="AW424" s="7">
        <v>0</v>
      </c>
      <c r="AX424" s="7">
        <v>0</v>
      </c>
      <c r="AY424" s="7">
        <v>0</v>
      </c>
      <c r="AZ424" s="7">
        <v>0</v>
      </c>
      <c r="BA424" s="7">
        <v>0</v>
      </c>
      <c r="BB424" s="7">
        <v>0</v>
      </c>
      <c r="BC424" s="7">
        <v>0</v>
      </c>
      <c r="BD424" s="7">
        <v>0</v>
      </c>
      <c r="BE424" s="7">
        <v>0</v>
      </c>
      <c r="BF424" s="7">
        <v>0</v>
      </c>
      <c r="BG424" s="7">
        <v>0</v>
      </c>
      <c r="BH424" s="7">
        <v>0</v>
      </c>
      <c r="BI424" s="7">
        <v>0</v>
      </c>
      <c r="BJ424" s="7">
        <v>0</v>
      </c>
      <c r="BK424" s="7">
        <v>0</v>
      </c>
      <c r="BL424" s="7">
        <v>0</v>
      </c>
      <c r="BM424" s="10">
        <v>6800</v>
      </c>
      <c r="BN424" s="13">
        <f t="shared" si="14"/>
        <v>6800</v>
      </c>
      <c r="BO424" s="14">
        <f t="shared" si="15"/>
        <v>4760</v>
      </c>
    </row>
    <row r="425" spans="1:67" x14ac:dyDescent="0.4">
      <c r="A425" s="5" t="s">
        <v>537</v>
      </c>
      <c r="B425" s="5" t="s">
        <v>336</v>
      </c>
      <c r="C425" s="5">
        <v>363413</v>
      </c>
      <c r="D425" s="6"/>
      <c r="E425" s="5" t="s">
        <v>31</v>
      </c>
      <c r="F425" s="5" t="s">
        <v>123</v>
      </c>
      <c r="G425" s="5" t="s">
        <v>51</v>
      </c>
      <c r="H425" s="7" t="s">
        <v>8</v>
      </c>
      <c r="I425" s="7" t="s">
        <v>337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5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62</v>
      </c>
      <c r="AF425" s="8">
        <v>6200</v>
      </c>
      <c r="AG425" s="7">
        <v>0</v>
      </c>
      <c r="AH425" s="7">
        <v>0</v>
      </c>
      <c r="AI425" s="7">
        <v>0</v>
      </c>
      <c r="AJ425" s="7">
        <v>0</v>
      </c>
      <c r="AK425" s="7">
        <v>4</v>
      </c>
      <c r="AL425" s="7">
        <v>480</v>
      </c>
      <c r="AM425" s="7">
        <v>0</v>
      </c>
      <c r="AN425" s="7">
        <v>0</v>
      </c>
      <c r="AO425" s="7">
        <v>0</v>
      </c>
      <c r="AP425" s="7">
        <v>0</v>
      </c>
      <c r="AQ425" s="7">
        <v>1</v>
      </c>
      <c r="AR425" s="7">
        <v>100</v>
      </c>
      <c r="AS425" s="7">
        <v>0</v>
      </c>
      <c r="AT425" s="7">
        <v>0</v>
      </c>
      <c r="AU425" s="7">
        <v>0</v>
      </c>
      <c r="AV425" s="7">
        <v>0</v>
      </c>
      <c r="AW425" s="7">
        <v>0</v>
      </c>
      <c r="AX425" s="7">
        <v>0</v>
      </c>
      <c r="AY425" s="7">
        <v>0</v>
      </c>
      <c r="AZ425" s="7">
        <v>0</v>
      </c>
      <c r="BA425" s="7">
        <v>0</v>
      </c>
      <c r="BB425" s="7">
        <v>0</v>
      </c>
      <c r="BC425" s="7">
        <v>0</v>
      </c>
      <c r="BD425" s="7">
        <v>0</v>
      </c>
      <c r="BE425" s="7">
        <v>0</v>
      </c>
      <c r="BF425" s="7">
        <v>0</v>
      </c>
      <c r="BG425" s="7">
        <v>0</v>
      </c>
      <c r="BH425" s="7">
        <v>0</v>
      </c>
      <c r="BI425" s="7">
        <v>0</v>
      </c>
      <c r="BJ425" s="7">
        <v>0</v>
      </c>
      <c r="BK425" s="7">
        <v>0</v>
      </c>
      <c r="BL425" s="7">
        <v>144</v>
      </c>
      <c r="BM425" s="10">
        <v>6780</v>
      </c>
      <c r="BN425" s="13">
        <f t="shared" si="14"/>
        <v>6636</v>
      </c>
      <c r="BO425" s="14">
        <f t="shared" si="15"/>
        <v>4645.2</v>
      </c>
    </row>
    <row r="426" spans="1:67" x14ac:dyDescent="0.4">
      <c r="A426" s="5" t="s">
        <v>537</v>
      </c>
      <c r="B426" s="5" t="s">
        <v>370</v>
      </c>
      <c r="C426" s="5">
        <v>428118</v>
      </c>
      <c r="D426" s="6"/>
      <c r="E426" s="5" t="s">
        <v>31</v>
      </c>
      <c r="F426" s="5" t="s">
        <v>65</v>
      </c>
      <c r="G426" s="5" t="s">
        <v>51</v>
      </c>
      <c r="H426" s="7" t="s">
        <v>8</v>
      </c>
      <c r="I426" s="7" t="s">
        <v>194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7">
        <v>0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0</v>
      </c>
      <c r="AL426" s="7">
        <v>0</v>
      </c>
      <c r="AM426" s="7">
        <v>0</v>
      </c>
      <c r="AN426" s="7">
        <v>0</v>
      </c>
      <c r="AO426" s="7">
        <v>0</v>
      </c>
      <c r="AP426" s="7">
        <v>0</v>
      </c>
      <c r="AQ426" s="7">
        <v>2</v>
      </c>
      <c r="AR426" s="8">
        <v>6200</v>
      </c>
      <c r="AS426" s="7">
        <v>200</v>
      </c>
      <c r="AT426" s="7">
        <v>0</v>
      </c>
      <c r="AU426" s="7">
        <v>0</v>
      </c>
      <c r="AV426" s="7">
        <v>0</v>
      </c>
      <c r="AW426" s="7">
        <v>0</v>
      </c>
      <c r="AX426" s="7">
        <v>0</v>
      </c>
      <c r="AY426" s="7">
        <v>0</v>
      </c>
      <c r="AZ426" s="7">
        <v>0</v>
      </c>
      <c r="BA426" s="7">
        <v>0</v>
      </c>
      <c r="BB426" s="7">
        <v>0</v>
      </c>
      <c r="BC426" s="7">
        <v>0</v>
      </c>
      <c r="BD426" s="7">
        <v>0</v>
      </c>
      <c r="BE426" s="7">
        <v>0</v>
      </c>
      <c r="BF426" s="7">
        <v>0</v>
      </c>
      <c r="BG426" s="7">
        <v>0</v>
      </c>
      <c r="BH426" s="7">
        <v>0</v>
      </c>
      <c r="BI426" s="7">
        <v>0</v>
      </c>
      <c r="BJ426" s="7">
        <v>0</v>
      </c>
      <c r="BK426" s="7">
        <v>0</v>
      </c>
      <c r="BL426" s="7">
        <v>0</v>
      </c>
      <c r="BM426" s="10">
        <v>6400</v>
      </c>
      <c r="BN426" s="13">
        <f t="shared" si="14"/>
        <v>6400</v>
      </c>
      <c r="BO426" s="14">
        <f t="shared" si="15"/>
        <v>4480</v>
      </c>
    </row>
    <row r="427" spans="1:67" x14ac:dyDescent="0.4">
      <c r="A427" s="5" t="s">
        <v>537</v>
      </c>
      <c r="B427" s="5" t="s">
        <v>159</v>
      </c>
      <c r="C427" s="5">
        <v>399034</v>
      </c>
      <c r="D427" s="6"/>
      <c r="E427" s="5" t="s">
        <v>31</v>
      </c>
      <c r="F427" s="5" t="s">
        <v>160</v>
      </c>
      <c r="G427" s="5" t="s">
        <v>51</v>
      </c>
      <c r="H427" s="7" t="s">
        <v>8</v>
      </c>
      <c r="I427" s="7" t="s">
        <v>161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1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15</v>
      </c>
      <c r="AF427" s="8">
        <v>1500</v>
      </c>
      <c r="AG427" s="7">
        <v>0</v>
      </c>
      <c r="AH427" s="7">
        <v>0</v>
      </c>
      <c r="AI427" s="7">
        <v>0</v>
      </c>
      <c r="AJ427" s="7">
        <v>0</v>
      </c>
      <c r="AK427" s="7">
        <v>38</v>
      </c>
      <c r="AL427" s="8">
        <v>4560</v>
      </c>
      <c r="AM427" s="7">
        <v>0</v>
      </c>
      <c r="AN427" s="7">
        <v>0</v>
      </c>
      <c r="AO427" s="7">
        <v>0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7">
        <v>0</v>
      </c>
      <c r="AV427" s="7">
        <v>0</v>
      </c>
      <c r="AW427" s="7">
        <v>0</v>
      </c>
      <c r="AX427" s="7">
        <v>0</v>
      </c>
      <c r="AY427" s="7">
        <v>0</v>
      </c>
      <c r="AZ427" s="7">
        <v>0</v>
      </c>
      <c r="BA427" s="7">
        <v>0</v>
      </c>
      <c r="BB427" s="7">
        <v>0</v>
      </c>
      <c r="BC427" s="7">
        <v>0</v>
      </c>
      <c r="BD427" s="7">
        <v>0</v>
      </c>
      <c r="BE427" s="7">
        <v>0</v>
      </c>
      <c r="BF427" s="7">
        <v>0</v>
      </c>
      <c r="BG427" s="7">
        <v>0</v>
      </c>
      <c r="BH427" s="7">
        <v>0</v>
      </c>
      <c r="BI427" s="7">
        <v>0</v>
      </c>
      <c r="BJ427" s="7">
        <v>0</v>
      </c>
      <c r="BK427" s="7">
        <v>0</v>
      </c>
      <c r="BL427" s="9">
        <v>1368</v>
      </c>
      <c r="BM427" s="10">
        <v>6060</v>
      </c>
      <c r="BN427" s="13">
        <f t="shared" si="14"/>
        <v>4692</v>
      </c>
      <c r="BO427" s="14">
        <f t="shared" si="15"/>
        <v>3284.3999999999996</v>
      </c>
    </row>
    <row r="428" spans="1:67" x14ac:dyDescent="0.4">
      <c r="A428" s="5" t="s">
        <v>537</v>
      </c>
      <c r="B428" s="5" t="s">
        <v>122</v>
      </c>
      <c r="C428" s="5">
        <v>359539</v>
      </c>
      <c r="D428" s="6"/>
      <c r="E428" s="5" t="s">
        <v>31</v>
      </c>
      <c r="F428" s="5" t="s">
        <v>123</v>
      </c>
      <c r="G428" s="5" t="s">
        <v>51</v>
      </c>
      <c r="H428" s="7" t="s">
        <v>8</v>
      </c>
      <c r="I428" s="7" t="s">
        <v>124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0</v>
      </c>
      <c r="AB428" s="7">
        <v>0</v>
      </c>
      <c r="AC428" s="7">
        <v>0</v>
      </c>
      <c r="AD428" s="7">
        <v>0</v>
      </c>
      <c r="AE428" s="7">
        <v>0</v>
      </c>
      <c r="AF428" s="7">
        <v>0</v>
      </c>
      <c r="AG428" s="7">
        <v>0</v>
      </c>
      <c r="AH428" s="7">
        <v>0</v>
      </c>
      <c r="AI428" s="7">
        <v>0</v>
      </c>
      <c r="AJ428" s="7">
        <v>0</v>
      </c>
      <c r="AK428" s="7">
        <v>49</v>
      </c>
      <c r="AL428" s="8">
        <v>5880</v>
      </c>
      <c r="AM428" s="7">
        <v>0</v>
      </c>
      <c r="AN428" s="7">
        <v>0</v>
      </c>
      <c r="AO428" s="7">
        <v>0</v>
      </c>
      <c r="AP428" s="7">
        <v>0</v>
      </c>
      <c r="AQ428" s="7">
        <v>0</v>
      </c>
      <c r="AR428" s="7">
        <v>0</v>
      </c>
      <c r="AS428" s="7">
        <v>0</v>
      </c>
      <c r="AT428" s="7">
        <v>0</v>
      </c>
      <c r="AU428" s="7">
        <v>0</v>
      </c>
      <c r="AV428" s="7">
        <v>0</v>
      </c>
      <c r="AW428" s="7">
        <v>0</v>
      </c>
      <c r="AX428" s="7">
        <v>0</v>
      </c>
      <c r="AY428" s="7">
        <v>0</v>
      </c>
      <c r="AZ428" s="7">
        <v>0</v>
      </c>
      <c r="BA428" s="7">
        <v>0</v>
      </c>
      <c r="BB428" s="7">
        <v>0</v>
      </c>
      <c r="BC428" s="7">
        <v>0</v>
      </c>
      <c r="BD428" s="7">
        <v>0</v>
      </c>
      <c r="BE428" s="7">
        <v>0</v>
      </c>
      <c r="BF428" s="7">
        <v>0</v>
      </c>
      <c r="BG428" s="7">
        <v>0</v>
      </c>
      <c r="BH428" s="7">
        <v>0</v>
      </c>
      <c r="BI428" s="7">
        <v>0</v>
      </c>
      <c r="BJ428" s="7">
        <v>0</v>
      </c>
      <c r="BK428" s="7">
        <v>0</v>
      </c>
      <c r="BL428" s="9">
        <v>1764</v>
      </c>
      <c r="BM428" s="10">
        <v>5880</v>
      </c>
      <c r="BN428" s="13">
        <f t="shared" si="14"/>
        <v>4116</v>
      </c>
      <c r="BO428" s="14">
        <f t="shared" si="15"/>
        <v>2881.2</v>
      </c>
    </row>
    <row r="429" spans="1:67" x14ac:dyDescent="0.4">
      <c r="A429" s="5" t="s">
        <v>537</v>
      </c>
      <c r="B429" s="5" t="s">
        <v>281</v>
      </c>
      <c r="C429" s="5">
        <v>353788</v>
      </c>
      <c r="D429" s="6"/>
      <c r="E429" s="5" t="s">
        <v>31</v>
      </c>
      <c r="F429" s="5" t="s">
        <v>227</v>
      </c>
      <c r="G429" s="5" t="s">
        <v>51</v>
      </c>
      <c r="H429" s="7" t="s">
        <v>8</v>
      </c>
      <c r="I429" s="7" t="s">
        <v>282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56</v>
      </c>
      <c r="AF429" s="8">
        <v>5600</v>
      </c>
      <c r="AG429" s="7">
        <v>0</v>
      </c>
      <c r="AH429" s="7">
        <v>0</v>
      </c>
      <c r="AI429" s="7">
        <v>0</v>
      </c>
      <c r="AJ429" s="7">
        <v>0</v>
      </c>
      <c r="AK429" s="7">
        <v>2</v>
      </c>
      <c r="AL429" s="7">
        <v>240</v>
      </c>
      <c r="AM429" s="7">
        <v>0</v>
      </c>
      <c r="AN429" s="7">
        <v>0</v>
      </c>
      <c r="AO429" s="7">
        <v>0</v>
      </c>
      <c r="AP429" s="7">
        <v>0</v>
      </c>
      <c r="AQ429" s="7">
        <v>0</v>
      </c>
      <c r="AR429" s="7">
        <v>0</v>
      </c>
      <c r="AS429" s="7">
        <v>0</v>
      </c>
      <c r="AT429" s="7">
        <v>0</v>
      </c>
      <c r="AU429" s="7">
        <v>0</v>
      </c>
      <c r="AV429" s="7">
        <v>0</v>
      </c>
      <c r="AW429" s="7">
        <v>0</v>
      </c>
      <c r="AX429" s="7">
        <v>0</v>
      </c>
      <c r="AY429" s="7">
        <v>0</v>
      </c>
      <c r="AZ429" s="7">
        <v>0</v>
      </c>
      <c r="BA429" s="7">
        <v>0</v>
      </c>
      <c r="BB429" s="7">
        <v>0</v>
      </c>
      <c r="BC429" s="7">
        <v>0</v>
      </c>
      <c r="BD429" s="7">
        <v>0</v>
      </c>
      <c r="BE429" s="7">
        <v>0</v>
      </c>
      <c r="BF429" s="7">
        <v>0</v>
      </c>
      <c r="BG429" s="7">
        <v>0</v>
      </c>
      <c r="BH429" s="7">
        <v>0</v>
      </c>
      <c r="BI429" s="7">
        <v>0</v>
      </c>
      <c r="BJ429" s="7">
        <v>0</v>
      </c>
      <c r="BK429" s="7">
        <v>0</v>
      </c>
      <c r="BL429" s="7">
        <v>72</v>
      </c>
      <c r="BM429" s="10">
        <v>5840</v>
      </c>
      <c r="BN429" s="13">
        <f t="shared" si="14"/>
        <v>5768</v>
      </c>
      <c r="BO429" s="14">
        <f t="shared" si="15"/>
        <v>4037.6</v>
      </c>
    </row>
    <row r="430" spans="1:67" x14ac:dyDescent="0.4">
      <c r="A430" s="5" t="s">
        <v>537</v>
      </c>
      <c r="B430" s="5" t="s">
        <v>352</v>
      </c>
      <c r="C430" s="5">
        <v>366144</v>
      </c>
      <c r="D430" s="6"/>
      <c r="E430" s="5" t="s">
        <v>31</v>
      </c>
      <c r="F430" s="5" t="s">
        <v>353</v>
      </c>
      <c r="G430" s="5" t="s">
        <v>51</v>
      </c>
      <c r="H430" s="7" t="s">
        <v>8</v>
      </c>
      <c r="I430" s="7" t="s">
        <v>354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v>0</v>
      </c>
      <c r="AD430" s="7">
        <v>0</v>
      </c>
      <c r="AE430" s="7">
        <v>0</v>
      </c>
      <c r="AF430" s="7">
        <v>0</v>
      </c>
      <c r="AG430" s="7">
        <v>0</v>
      </c>
      <c r="AH430" s="7">
        <v>0</v>
      </c>
      <c r="AI430" s="7">
        <v>0</v>
      </c>
      <c r="AJ430" s="7">
        <v>0</v>
      </c>
      <c r="AK430" s="7">
        <v>50</v>
      </c>
      <c r="AL430" s="8">
        <v>4920</v>
      </c>
      <c r="AM430" s="7">
        <v>900</v>
      </c>
      <c r="AN430" s="7">
        <v>0</v>
      </c>
      <c r="AO430" s="7">
        <v>0</v>
      </c>
      <c r="AP430" s="7">
        <v>0</v>
      </c>
      <c r="AQ430" s="7">
        <v>0</v>
      </c>
      <c r="AR430" s="7">
        <v>0</v>
      </c>
      <c r="AS430" s="7">
        <v>0</v>
      </c>
      <c r="AT430" s="7">
        <v>0</v>
      </c>
      <c r="AU430" s="7">
        <v>0</v>
      </c>
      <c r="AV430" s="7">
        <v>0</v>
      </c>
      <c r="AW430" s="7">
        <v>0</v>
      </c>
      <c r="AX430" s="7">
        <v>0</v>
      </c>
      <c r="AY430" s="7">
        <v>0</v>
      </c>
      <c r="AZ430" s="7">
        <v>0</v>
      </c>
      <c r="BA430" s="7">
        <v>0</v>
      </c>
      <c r="BB430" s="7">
        <v>0</v>
      </c>
      <c r="BC430" s="7">
        <v>0</v>
      </c>
      <c r="BD430" s="7">
        <v>0</v>
      </c>
      <c r="BE430" s="7">
        <v>0</v>
      </c>
      <c r="BF430" s="7">
        <v>0</v>
      </c>
      <c r="BG430" s="7">
        <v>0</v>
      </c>
      <c r="BH430" s="7">
        <v>0</v>
      </c>
      <c r="BI430" s="7">
        <v>0</v>
      </c>
      <c r="BJ430" s="7">
        <v>0</v>
      </c>
      <c r="BK430" s="7">
        <v>0</v>
      </c>
      <c r="BL430" s="9">
        <v>1476</v>
      </c>
      <c r="BM430" s="10">
        <v>5820</v>
      </c>
      <c r="BN430" s="13">
        <f t="shared" si="14"/>
        <v>4344</v>
      </c>
      <c r="BO430" s="14">
        <f t="shared" si="15"/>
        <v>3040.7999999999997</v>
      </c>
    </row>
    <row r="431" spans="1:67" x14ac:dyDescent="0.4">
      <c r="A431" s="5" t="s">
        <v>537</v>
      </c>
      <c r="B431" s="5" t="s">
        <v>232</v>
      </c>
      <c r="C431" s="5">
        <v>415992</v>
      </c>
      <c r="D431" s="6"/>
      <c r="E431" s="5" t="s">
        <v>31</v>
      </c>
      <c r="F431" s="5" t="s">
        <v>58</v>
      </c>
      <c r="G431" s="5" t="s">
        <v>51</v>
      </c>
      <c r="H431" s="7" t="s">
        <v>8</v>
      </c>
      <c r="I431" s="7" t="s">
        <v>233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3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50</v>
      </c>
      <c r="AF431" s="8">
        <v>5000</v>
      </c>
      <c r="AG431" s="7">
        <v>0</v>
      </c>
      <c r="AH431" s="7">
        <v>0</v>
      </c>
      <c r="AI431" s="7">
        <v>0</v>
      </c>
      <c r="AJ431" s="7">
        <v>0</v>
      </c>
      <c r="AK431" s="7">
        <v>7</v>
      </c>
      <c r="AL431" s="7">
        <v>0</v>
      </c>
      <c r="AM431" s="7">
        <v>700</v>
      </c>
      <c r="AN431" s="7">
        <v>0</v>
      </c>
      <c r="AO431" s="7">
        <v>0</v>
      </c>
      <c r="AP431" s="7">
        <v>0</v>
      </c>
      <c r="AQ431" s="7">
        <v>0</v>
      </c>
      <c r="AR431" s="7">
        <v>0</v>
      </c>
      <c r="AS431" s="7">
        <v>0</v>
      </c>
      <c r="AT431" s="7">
        <v>0</v>
      </c>
      <c r="AU431" s="7">
        <v>0</v>
      </c>
      <c r="AV431" s="7">
        <v>0</v>
      </c>
      <c r="AW431" s="7">
        <v>0</v>
      </c>
      <c r="AX431" s="7">
        <v>0</v>
      </c>
      <c r="AY431" s="7">
        <v>0</v>
      </c>
      <c r="AZ431" s="7">
        <v>0</v>
      </c>
      <c r="BA431" s="7">
        <v>0</v>
      </c>
      <c r="BB431" s="7">
        <v>0</v>
      </c>
      <c r="BC431" s="7">
        <v>0</v>
      </c>
      <c r="BD431" s="7">
        <v>0</v>
      </c>
      <c r="BE431" s="7">
        <v>0</v>
      </c>
      <c r="BF431" s="7">
        <v>0</v>
      </c>
      <c r="BG431" s="7">
        <v>0</v>
      </c>
      <c r="BH431" s="7">
        <v>0</v>
      </c>
      <c r="BI431" s="7">
        <v>0</v>
      </c>
      <c r="BJ431" s="7">
        <v>0</v>
      </c>
      <c r="BK431" s="7">
        <v>0</v>
      </c>
      <c r="BL431" s="7">
        <v>0</v>
      </c>
      <c r="BM431" s="10">
        <v>5700</v>
      </c>
      <c r="BN431" s="13">
        <f t="shared" si="14"/>
        <v>5700</v>
      </c>
      <c r="BO431" s="14">
        <f t="shared" si="15"/>
        <v>3989.9999999999995</v>
      </c>
    </row>
    <row r="432" spans="1:67" x14ac:dyDescent="0.4">
      <c r="A432" s="5" t="s">
        <v>537</v>
      </c>
      <c r="B432" s="5" t="s">
        <v>206</v>
      </c>
      <c r="C432" s="5">
        <v>423328</v>
      </c>
      <c r="D432" s="6"/>
      <c r="E432" s="5" t="s">
        <v>31</v>
      </c>
      <c r="F432" s="5" t="s">
        <v>47</v>
      </c>
      <c r="G432" s="5" t="s">
        <v>11</v>
      </c>
      <c r="H432" s="7" t="s">
        <v>7</v>
      </c>
      <c r="I432" s="7" t="s">
        <v>207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5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0</v>
      </c>
      <c r="AB432" s="7">
        <v>0</v>
      </c>
      <c r="AC432" s="7">
        <v>0</v>
      </c>
      <c r="AD432" s="7">
        <v>0</v>
      </c>
      <c r="AE432" s="7">
        <v>0</v>
      </c>
      <c r="AF432" s="7">
        <v>0</v>
      </c>
      <c r="AG432" s="7">
        <v>0</v>
      </c>
      <c r="AH432" s="7">
        <v>0</v>
      </c>
      <c r="AI432" s="7">
        <v>0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7">
        <v>0</v>
      </c>
      <c r="AP432" s="7">
        <v>0</v>
      </c>
      <c r="AQ432" s="7">
        <v>55</v>
      </c>
      <c r="AR432" s="8">
        <v>5500</v>
      </c>
      <c r="AS432" s="7">
        <v>0</v>
      </c>
      <c r="AT432" s="7">
        <v>0</v>
      </c>
      <c r="AU432" s="7">
        <v>0</v>
      </c>
      <c r="AV432" s="7">
        <v>0</v>
      </c>
      <c r="AW432" s="7">
        <v>0</v>
      </c>
      <c r="AX432" s="7">
        <v>0</v>
      </c>
      <c r="AY432" s="7">
        <v>0</v>
      </c>
      <c r="AZ432" s="7">
        <v>0</v>
      </c>
      <c r="BA432" s="7">
        <v>0</v>
      </c>
      <c r="BB432" s="7">
        <v>0</v>
      </c>
      <c r="BC432" s="7">
        <v>0</v>
      </c>
      <c r="BD432" s="7">
        <v>0</v>
      </c>
      <c r="BE432" s="7">
        <v>0</v>
      </c>
      <c r="BF432" s="7">
        <v>0</v>
      </c>
      <c r="BG432" s="7">
        <v>0</v>
      </c>
      <c r="BH432" s="7">
        <v>0</v>
      </c>
      <c r="BI432" s="7">
        <v>0</v>
      </c>
      <c r="BJ432" s="7">
        <v>0</v>
      </c>
      <c r="BK432" s="7">
        <v>0</v>
      </c>
      <c r="BL432" s="7">
        <v>0</v>
      </c>
      <c r="BM432" s="10">
        <v>5500</v>
      </c>
      <c r="BN432" s="13">
        <f t="shared" si="14"/>
        <v>5500</v>
      </c>
      <c r="BO432" s="14">
        <f t="shared" si="15"/>
        <v>3849.9999999999995</v>
      </c>
    </row>
    <row r="433" spans="1:67" x14ac:dyDescent="0.4">
      <c r="A433" s="5" t="s">
        <v>537</v>
      </c>
      <c r="B433" s="5" t="s">
        <v>381</v>
      </c>
      <c r="C433" s="5">
        <v>420277</v>
      </c>
      <c r="D433" s="6"/>
      <c r="E433" s="5" t="s">
        <v>31</v>
      </c>
      <c r="F433" s="5" t="s">
        <v>292</v>
      </c>
      <c r="G433" s="5" t="s">
        <v>51</v>
      </c>
      <c r="H433" s="7" t="s">
        <v>8</v>
      </c>
      <c r="I433" s="7" t="s">
        <v>305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7">
        <v>0</v>
      </c>
      <c r="AK433" s="7">
        <v>51</v>
      </c>
      <c r="AL433" s="8">
        <v>1800</v>
      </c>
      <c r="AM433" s="8">
        <v>3600</v>
      </c>
      <c r="AN433" s="7">
        <v>0</v>
      </c>
      <c r="AO433" s="7">
        <v>0</v>
      </c>
      <c r="AP433" s="7">
        <v>0</v>
      </c>
      <c r="AQ433" s="7">
        <v>0</v>
      </c>
      <c r="AR433" s="7">
        <v>0</v>
      </c>
      <c r="AS433" s="7">
        <v>0</v>
      </c>
      <c r="AT433" s="7">
        <v>0</v>
      </c>
      <c r="AU433" s="7">
        <v>0</v>
      </c>
      <c r="AV433" s="7">
        <v>0</v>
      </c>
      <c r="AW433" s="7">
        <v>0</v>
      </c>
      <c r="AX433" s="7">
        <v>0</v>
      </c>
      <c r="AY433" s="7">
        <v>0</v>
      </c>
      <c r="AZ433" s="7">
        <v>0</v>
      </c>
      <c r="BA433" s="7">
        <v>0</v>
      </c>
      <c r="BB433" s="7">
        <v>0</v>
      </c>
      <c r="BC433" s="7">
        <v>0</v>
      </c>
      <c r="BD433" s="7">
        <v>0</v>
      </c>
      <c r="BE433" s="7">
        <v>0</v>
      </c>
      <c r="BF433" s="7">
        <v>0</v>
      </c>
      <c r="BG433" s="7">
        <v>0</v>
      </c>
      <c r="BH433" s="7">
        <v>0</v>
      </c>
      <c r="BI433" s="7">
        <v>0</v>
      </c>
      <c r="BJ433" s="7">
        <v>0</v>
      </c>
      <c r="BK433" s="7">
        <v>0</v>
      </c>
      <c r="BL433" s="7">
        <v>540</v>
      </c>
      <c r="BM433" s="10">
        <v>5400</v>
      </c>
      <c r="BN433" s="13">
        <f t="shared" si="14"/>
        <v>4860</v>
      </c>
      <c r="BO433" s="14">
        <f t="shared" si="15"/>
        <v>3402</v>
      </c>
    </row>
    <row r="434" spans="1:67" x14ac:dyDescent="0.4">
      <c r="A434" s="5" t="s">
        <v>537</v>
      </c>
      <c r="B434" s="5" t="s">
        <v>355</v>
      </c>
      <c r="C434" s="5">
        <v>358202</v>
      </c>
      <c r="D434" s="6"/>
      <c r="E434" s="5" t="s">
        <v>31</v>
      </c>
      <c r="F434" s="5" t="s">
        <v>292</v>
      </c>
      <c r="G434" s="5" t="s">
        <v>51</v>
      </c>
      <c r="H434" s="7" t="s">
        <v>8</v>
      </c>
      <c r="I434" s="7" t="s">
        <v>356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7">
        <v>0</v>
      </c>
      <c r="AA434" s="7">
        <v>0</v>
      </c>
      <c r="AB434" s="7">
        <v>0</v>
      </c>
      <c r="AC434" s="7">
        <v>0</v>
      </c>
      <c r="AD434" s="7">
        <v>0</v>
      </c>
      <c r="AE434" s="7">
        <v>0</v>
      </c>
      <c r="AF434" s="7">
        <v>0</v>
      </c>
      <c r="AG434" s="7">
        <v>0</v>
      </c>
      <c r="AH434" s="7">
        <v>0</v>
      </c>
      <c r="AI434" s="7">
        <v>0</v>
      </c>
      <c r="AJ434" s="7">
        <v>0</v>
      </c>
      <c r="AK434" s="7">
        <v>45</v>
      </c>
      <c r="AL434" s="8">
        <v>5400</v>
      </c>
      <c r="AM434" s="7">
        <v>0</v>
      </c>
      <c r="AN434" s="7">
        <v>0</v>
      </c>
      <c r="AO434" s="7">
        <v>0</v>
      </c>
      <c r="AP434" s="7">
        <v>0</v>
      </c>
      <c r="AQ434" s="7">
        <v>0</v>
      </c>
      <c r="AR434" s="7">
        <v>0</v>
      </c>
      <c r="AS434" s="7">
        <v>0</v>
      </c>
      <c r="AT434" s="7">
        <v>0</v>
      </c>
      <c r="AU434" s="7">
        <v>0</v>
      </c>
      <c r="AV434" s="7">
        <v>0</v>
      </c>
      <c r="AW434" s="7">
        <v>0</v>
      </c>
      <c r="AX434" s="7">
        <v>0</v>
      </c>
      <c r="AY434" s="7">
        <v>0</v>
      </c>
      <c r="AZ434" s="7">
        <v>0</v>
      </c>
      <c r="BA434" s="7">
        <v>0</v>
      </c>
      <c r="BB434" s="7">
        <v>0</v>
      </c>
      <c r="BC434" s="7">
        <v>0</v>
      </c>
      <c r="BD434" s="7">
        <v>0</v>
      </c>
      <c r="BE434" s="7">
        <v>0</v>
      </c>
      <c r="BF434" s="7">
        <v>0</v>
      </c>
      <c r="BG434" s="7">
        <v>0</v>
      </c>
      <c r="BH434" s="7">
        <v>0</v>
      </c>
      <c r="BI434" s="7">
        <v>0</v>
      </c>
      <c r="BJ434" s="7">
        <v>0</v>
      </c>
      <c r="BK434" s="7">
        <v>0</v>
      </c>
      <c r="BL434" s="9">
        <v>1620</v>
      </c>
      <c r="BM434" s="10">
        <v>5400</v>
      </c>
      <c r="BN434" s="13">
        <f t="shared" si="14"/>
        <v>3780</v>
      </c>
      <c r="BO434" s="14">
        <f t="shared" si="15"/>
        <v>2646</v>
      </c>
    </row>
    <row r="435" spans="1:67" x14ac:dyDescent="0.4">
      <c r="A435" s="5" t="s">
        <v>537</v>
      </c>
      <c r="B435" s="5" t="s">
        <v>534</v>
      </c>
      <c r="C435" s="5">
        <v>428408</v>
      </c>
      <c r="D435" s="6"/>
      <c r="E435" s="5" t="s">
        <v>31</v>
      </c>
      <c r="F435" s="5" t="s">
        <v>58</v>
      </c>
      <c r="G435" s="5" t="s">
        <v>51</v>
      </c>
      <c r="H435" s="7" t="s">
        <v>331</v>
      </c>
      <c r="I435" s="7" t="s">
        <v>233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2</v>
      </c>
      <c r="AF435" s="8">
        <v>5200</v>
      </c>
      <c r="AG435" s="7">
        <v>0</v>
      </c>
      <c r="AH435" s="7">
        <v>0</v>
      </c>
      <c r="AI435" s="7">
        <v>0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7">
        <v>0</v>
      </c>
      <c r="AP435" s="7">
        <v>0</v>
      </c>
      <c r="AQ435" s="7">
        <v>0</v>
      </c>
      <c r="AR435" s="7">
        <v>0</v>
      </c>
      <c r="AS435" s="7">
        <v>0</v>
      </c>
      <c r="AT435" s="7">
        <v>0</v>
      </c>
      <c r="AU435" s="7">
        <v>0</v>
      </c>
      <c r="AV435" s="7">
        <v>0</v>
      </c>
      <c r="AW435" s="7">
        <v>0</v>
      </c>
      <c r="AX435" s="7">
        <v>0</v>
      </c>
      <c r="AY435" s="7">
        <v>0</v>
      </c>
      <c r="AZ435" s="7">
        <v>0</v>
      </c>
      <c r="BA435" s="7">
        <v>0</v>
      </c>
      <c r="BB435" s="7">
        <v>0</v>
      </c>
      <c r="BC435" s="7">
        <v>0</v>
      </c>
      <c r="BD435" s="7">
        <v>0</v>
      </c>
      <c r="BE435" s="7">
        <v>0</v>
      </c>
      <c r="BF435" s="7">
        <v>0</v>
      </c>
      <c r="BG435" s="7">
        <v>0</v>
      </c>
      <c r="BH435" s="7">
        <v>0</v>
      </c>
      <c r="BI435" s="7">
        <v>0</v>
      </c>
      <c r="BJ435" s="7">
        <v>0</v>
      </c>
      <c r="BK435" s="7">
        <v>0</v>
      </c>
      <c r="BL435" s="7">
        <v>0</v>
      </c>
      <c r="BM435" s="10">
        <v>5200</v>
      </c>
      <c r="BN435" s="13">
        <f t="shared" si="14"/>
        <v>5200</v>
      </c>
      <c r="BO435" s="14">
        <f t="shared" si="15"/>
        <v>3639.9999999999995</v>
      </c>
    </row>
    <row r="436" spans="1:67" x14ac:dyDescent="0.4">
      <c r="A436" s="5" t="s">
        <v>537</v>
      </c>
      <c r="B436" s="5" t="s">
        <v>463</v>
      </c>
      <c r="C436" s="5">
        <v>392578</v>
      </c>
      <c r="D436" s="6"/>
      <c r="E436" s="5" t="s">
        <v>31</v>
      </c>
      <c r="F436" s="5" t="s">
        <v>292</v>
      </c>
      <c r="G436" s="5" t="s">
        <v>51</v>
      </c>
      <c r="H436" s="7" t="s">
        <v>331</v>
      </c>
      <c r="I436" s="7" t="s">
        <v>429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4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7">
        <v>0</v>
      </c>
      <c r="AB436" s="7">
        <v>0</v>
      </c>
      <c r="AC436" s="7">
        <v>0</v>
      </c>
      <c r="AD436" s="7">
        <v>0</v>
      </c>
      <c r="AE436" s="7">
        <v>0</v>
      </c>
      <c r="AF436" s="7">
        <v>0</v>
      </c>
      <c r="AG436" s="7">
        <v>0</v>
      </c>
      <c r="AH436" s="7">
        <v>0</v>
      </c>
      <c r="AI436" s="7">
        <v>0</v>
      </c>
      <c r="AJ436" s="7">
        <v>0</v>
      </c>
      <c r="AK436" s="7">
        <v>43</v>
      </c>
      <c r="AL436" s="8">
        <v>3600</v>
      </c>
      <c r="AM436" s="8">
        <v>1300</v>
      </c>
      <c r="AN436" s="7">
        <v>0</v>
      </c>
      <c r="AO436" s="7">
        <v>0</v>
      </c>
      <c r="AP436" s="7">
        <v>0</v>
      </c>
      <c r="AQ436" s="7">
        <v>0</v>
      </c>
      <c r="AR436" s="7">
        <v>0</v>
      </c>
      <c r="AS436" s="7">
        <v>0</v>
      </c>
      <c r="AT436" s="7">
        <v>0</v>
      </c>
      <c r="AU436" s="7">
        <v>0</v>
      </c>
      <c r="AV436" s="7">
        <v>0</v>
      </c>
      <c r="AW436" s="7">
        <v>0</v>
      </c>
      <c r="AX436" s="7">
        <v>0</v>
      </c>
      <c r="AY436" s="7">
        <v>0</v>
      </c>
      <c r="AZ436" s="7">
        <v>0</v>
      </c>
      <c r="BA436" s="7">
        <v>0</v>
      </c>
      <c r="BB436" s="7">
        <v>0</v>
      </c>
      <c r="BC436" s="7">
        <v>0</v>
      </c>
      <c r="BD436" s="7">
        <v>0</v>
      </c>
      <c r="BE436" s="7">
        <v>0</v>
      </c>
      <c r="BF436" s="7">
        <v>0</v>
      </c>
      <c r="BG436" s="7">
        <v>0</v>
      </c>
      <c r="BH436" s="7">
        <v>0</v>
      </c>
      <c r="BI436" s="7">
        <v>0</v>
      </c>
      <c r="BJ436" s="7">
        <v>0</v>
      </c>
      <c r="BK436" s="7">
        <v>0</v>
      </c>
      <c r="BL436" s="9">
        <v>1080</v>
      </c>
      <c r="BM436" s="10">
        <v>4900</v>
      </c>
      <c r="BN436" s="13">
        <f t="shared" si="14"/>
        <v>3820</v>
      </c>
      <c r="BO436" s="14">
        <f t="shared" si="15"/>
        <v>2674</v>
      </c>
    </row>
    <row r="437" spans="1:67" x14ac:dyDescent="0.4">
      <c r="A437" s="5" t="s">
        <v>537</v>
      </c>
      <c r="B437" s="5" t="s">
        <v>360</v>
      </c>
      <c r="C437" s="5">
        <v>406872</v>
      </c>
      <c r="D437" s="6"/>
      <c r="E437" s="5" t="s">
        <v>31</v>
      </c>
      <c r="F437" s="5" t="s">
        <v>361</v>
      </c>
      <c r="G437" s="5" t="s">
        <v>11</v>
      </c>
      <c r="H437" s="7" t="s">
        <v>10</v>
      </c>
      <c r="I437" s="7" t="s">
        <v>362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2</v>
      </c>
      <c r="AF437" s="7">
        <v>0</v>
      </c>
      <c r="AG437" s="7">
        <v>200</v>
      </c>
      <c r="AH437" s="7">
        <v>0</v>
      </c>
      <c r="AI437" s="7">
        <v>0</v>
      </c>
      <c r="AJ437" s="7">
        <v>0</v>
      </c>
      <c r="AK437" s="7">
        <v>35</v>
      </c>
      <c r="AL437" s="8">
        <v>4158</v>
      </c>
      <c r="AM437" s="7">
        <v>200</v>
      </c>
      <c r="AN437" s="7">
        <v>0</v>
      </c>
      <c r="AO437" s="7">
        <v>0</v>
      </c>
      <c r="AP437" s="7">
        <v>0</v>
      </c>
      <c r="AQ437" s="7">
        <v>0</v>
      </c>
      <c r="AR437" s="7">
        <v>0</v>
      </c>
      <c r="AS437" s="7">
        <v>0</v>
      </c>
      <c r="AT437" s="7">
        <v>0</v>
      </c>
      <c r="AU437" s="7">
        <v>0</v>
      </c>
      <c r="AV437" s="7">
        <v>0</v>
      </c>
      <c r="AW437" s="7">
        <v>0</v>
      </c>
      <c r="AX437" s="7">
        <v>0</v>
      </c>
      <c r="AY437" s="7">
        <v>0</v>
      </c>
      <c r="AZ437" s="7">
        <v>0</v>
      </c>
      <c r="BA437" s="7">
        <v>0</v>
      </c>
      <c r="BB437" s="7">
        <v>0</v>
      </c>
      <c r="BC437" s="7">
        <v>0</v>
      </c>
      <c r="BD437" s="7">
        <v>0</v>
      </c>
      <c r="BE437" s="7">
        <v>0</v>
      </c>
      <c r="BF437" s="7">
        <v>0</v>
      </c>
      <c r="BG437" s="7">
        <v>0</v>
      </c>
      <c r="BH437" s="7">
        <v>0</v>
      </c>
      <c r="BI437" s="7">
        <v>0</v>
      </c>
      <c r="BJ437" s="7">
        <v>0</v>
      </c>
      <c r="BK437" s="7">
        <v>0</v>
      </c>
      <c r="BL437" s="9">
        <v>1247.4000000000001</v>
      </c>
      <c r="BM437" s="10">
        <v>4558</v>
      </c>
      <c r="BN437" s="13">
        <f t="shared" si="14"/>
        <v>3310.6</v>
      </c>
      <c r="BO437" s="14">
        <f t="shared" si="15"/>
        <v>2317.4199999999996</v>
      </c>
    </row>
    <row r="438" spans="1:67" x14ac:dyDescent="0.4">
      <c r="A438" s="5" t="s">
        <v>537</v>
      </c>
      <c r="B438" s="5" t="s">
        <v>155</v>
      </c>
      <c r="C438" s="5">
        <v>406849</v>
      </c>
      <c r="D438" s="6"/>
      <c r="E438" s="5" t="s">
        <v>31</v>
      </c>
      <c r="F438" s="5" t="s">
        <v>133</v>
      </c>
      <c r="G438" s="5" t="s">
        <v>11</v>
      </c>
      <c r="H438" s="7" t="s">
        <v>7</v>
      </c>
      <c r="I438" s="7" t="s">
        <v>156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0</v>
      </c>
      <c r="AB438" s="7">
        <v>0</v>
      </c>
      <c r="AC438" s="7">
        <v>0</v>
      </c>
      <c r="AD438" s="7">
        <v>0</v>
      </c>
      <c r="AE438" s="7">
        <v>38</v>
      </c>
      <c r="AF438" s="8">
        <v>3800</v>
      </c>
      <c r="AG438" s="7">
        <v>0</v>
      </c>
      <c r="AH438" s="7">
        <v>0</v>
      </c>
      <c r="AI438" s="7">
        <v>0</v>
      </c>
      <c r="AJ438" s="7">
        <v>0</v>
      </c>
      <c r="AK438" s="7">
        <v>4</v>
      </c>
      <c r="AL438" s="7">
        <v>0</v>
      </c>
      <c r="AM438" s="7">
        <v>400</v>
      </c>
      <c r="AN438" s="7">
        <v>0</v>
      </c>
      <c r="AO438" s="7">
        <v>0</v>
      </c>
      <c r="AP438" s="7">
        <v>0</v>
      </c>
      <c r="AQ438" s="7">
        <v>0</v>
      </c>
      <c r="AR438" s="7">
        <v>0</v>
      </c>
      <c r="AS438" s="7">
        <v>0</v>
      </c>
      <c r="AT438" s="7">
        <v>0</v>
      </c>
      <c r="AU438" s="7">
        <v>0</v>
      </c>
      <c r="AV438" s="7">
        <v>0</v>
      </c>
      <c r="AW438" s="7">
        <v>0</v>
      </c>
      <c r="AX438" s="7">
        <v>0</v>
      </c>
      <c r="AY438" s="7">
        <v>0</v>
      </c>
      <c r="AZ438" s="7">
        <v>0</v>
      </c>
      <c r="BA438" s="7">
        <v>0</v>
      </c>
      <c r="BB438" s="7">
        <v>0</v>
      </c>
      <c r="BC438" s="7">
        <v>0</v>
      </c>
      <c r="BD438" s="7">
        <v>0</v>
      </c>
      <c r="BE438" s="7">
        <v>0</v>
      </c>
      <c r="BF438" s="7">
        <v>0</v>
      </c>
      <c r="BG438" s="7">
        <v>0</v>
      </c>
      <c r="BH438" s="7">
        <v>0</v>
      </c>
      <c r="BI438" s="7">
        <v>0</v>
      </c>
      <c r="BJ438" s="7">
        <v>0</v>
      </c>
      <c r="BK438" s="7">
        <v>0</v>
      </c>
      <c r="BL438" s="7">
        <v>0</v>
      </c>
      <c r="BM438" s="10">
        <v>4200</v>
      </c>
      <c r="BN438" s="13">
        <f t="shared" si="14"/>
        <v>4200</v>
      </c>
      <c r="BO438" s="14">
        <f t="shared" si="15"/>
        <v>2940</v>
      </c>
    </row>
    <row r="439" spans="1:67" x14ac:dyDescent="0.4">
      <c r="A439" s="5" t="s">
        <v>537</v>
      </c>
      <c r="B439" s="5" t="s">
        <v>340</v>
      </c>
      <c r="C439" s="5">
        <v>418302</v>
      </c>
      <c r="D439" s="6"/>
      <c r="E439" s="5" t="s">
        <v>31</v>
      </c>
      <c r="F439" s="5" t="s">
        <v>50</v>
      </c>
      <c r="G439" s="5" t="s">
        <v>51</v>
      </c>
      <c r="H439" s="7" t="s">
        <v>331</v>
      </c>
      <c r="I439" s="7" t="s">
        <v>52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1</v>
      </c>
      <c r="AL439" s="8">
        <v>4200</v>
      </c>
      <c r="AM439" s="7">
        <v>0</v>
      </c>
      <c r="AN439" s="7">
        <v>0</v>
      </c>
      <c r="AO439" s="7">
        <v>0</v>
      </c>
      <c r="AP439" s="7">
        <v>0</v>
      </c>
      <c r="AQ439" s="7">
        <v>0</v>
      </c>
      <c r="AR439" s="7">
        <v>0</v>
      </c>
      <c r="AS439" s="7">
        <v>0</v>
      </c>
      <c r="AT439" s="7">
        <v>0</v>
      </c>
      <c r="AU439" s="7">
        <v>0</v>
      </c>
      <c r="AV439" s="7">
        <v>0</v>
      </c>
      <c r="AW439" s="7">
        <v>0</v>
      </c>
      <c r="AX439" s="7">
        <v>0</v>
      </c>
      <c r="AY439" s="7">
        <v>0</v>
      </c>
      <c r="AZ439" s="7">
        <v>0</v>
      </c>
      <c r="BA439" s="7">
        <v>0</v>
      </c>
      <c r="BB439" s="7">
        <v>0</v>
      </c>
      <c r="BC439" s="7">
        <v>0</v>
      </c>
      <c r="BD439" s="7">
        <v>0</v>
      </c>
      <c r="BE439" s="7">
        <v>0</v>
      </c>
      <c r="BF439" s="7">
        <v>0</v>
      </c>
      <c r="BG439" s="7">
        <v>0</v>
      </c>
      <c r="BH439" s="7">
        <v>0</v>
      </c>
      <c r="BI439" s="7">
        <v>0</v>
      </c>
      <c r="BJ439" s="7">
        <v>0</v>
      </c>
      <c r="BK439" s="7">
        <v>0</v>
      </c>
      <c r="BL439" s="9">
        <v>1260</v>
      </c>
      <c r="BM439" s="10">
        <v>4200</v>
      </c>
      <c r="BN439" s="13">
        <f t="shared" si="14"/>
        <v>2940</v>
      </c>
      <c r="BO439" s="14">
        <f t="shared" si="15"/>
        <v>2058</v>
      </c>
    </row>
    <row r="440" spans="1:67" x14ac:dyDescent="0.4">
      <c r="A440" s="5" t="s">
        <v>537</v>
      </c>
      <c r="B440" s="5" t="s">
        <v>288</v>
      </c>
      <c r="C440" s="5">
        <v>428860</v>
      </c>
      <c r="D440" s="6"/>
      <c r="E440" s="5" t="s">
        <v>31</v>
      </c>
      <c r="F440" s="5" t="s">
        <v>289</v>
      </c>
      <c r="G440" s="5" t="s">
        <v>11</v>
      </c>
      <c r="H440" s="7" t="s">
        <v>7</v>
      </c>
      <c r="I440" s="7" t="s">
        <v>290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  <c r="AB440" s="7">
        <v>0</v>
      </c>
      <c r="AC440" s="7">
        <v>0</v>
      </c>
      <c r="AD440" s="7">
        <v>0</v>
      </c>
      <c r="AE440" s="7">
        <v>40</v>
      </c>
      <c r="AF440" s="8">
        <v>4000</v>
      </c>
      <c r="AG440" s="7">
        <v>0</v>
      </c>
      <c r="AH440" s="7">
        <v>0</v>
      </c>
      <c r="AI440" s="7">
        <v>0</v>
      </c>
      <c r="AJ440" s="7">
        <v>0</v>
      </c>
      <c r="AK440" s="7">
        <v>0</v>
      </c>
      <c r="AL440" s="7">
        <v>0</v>
      </c>
      <c r="AM440" s="7">
        <v>0</v>
      </c>
      <c r="AN440" s="7">
        <v>0</v>
      </c>
      <c r="AO440" s="7">
        <v>0</v>
      </c>
      <c r="AP440" s="7">
        <v>0</v>
      </c>
      <c r="AQ440" s="7">
        <v>0</v>
      </c>
      <c r="AR440" s="7">
        <v>0</v>
      </c>
      <c r="AS440" s="7">
        <v>0</v>
      </c>
      <c r="AT440" s="7">
        <v>0</v>
      </c>
      <c r="AU440" s="7">
        <v>0</v>
      </c>
      <c r="AV440" s="7">
        <v>0</v>
      </c>
      <c r="AW440" s="7">
        <v>0</v>
      </c>
      <c r="AX440" s="7">
        <v>0</v>
      </c>
      <c r="AY440" s="7">
        <v>0</v>
      </c>
      <c r="AZ440" s="7">
        <v>0</v>
      </c>
      <c r="BA440" s="7">
        <v>0</v>
      </c>
      <c r="BB440" s="7">
        <v>0</v>
      </c>
      <c r="BC440" s="7">
        <v>0</v>
      </c>
      <c r="BD440" s="7">
        <v>0</v>
      </c>
      <c r="BE440" s="7">
        <v>0</v>
      </c>
      <c r="BF440" s="7">
        <v>0</v>
      </c>
      <c r="BG440" s="7">
        <v>0</v>
      </c>
      <c r="BH440" s="7">
        <v>0</v>
      </c>
      <c r="BI440" s="7">
        <v>0</v>
      </c>
      <c r="BJ440" s="7">
        <v>0</v>
      </c>
      <c r="BK440" s="7">
        <v>0</v>
      </c>
      <c r="BL440" s="7">
        <v>0</v>
      </c>
      <c r="BM440" s="10">
        <v>4000</v>
      </c>
      <c r="BN440" s="13">
        <f t="shared" si="14"/>
        <v>4000</v>
      </c>
      <c r="BO440" s="14">
        <f t="shared" si="15"/>
        <v>2800</v>
      </c>
    </row>
    <row r="441" spans="1:67" x14ac:dyDescent="0.4">
      <c r="A441" s="5" t="s">
        <v>537</v>
      </c>
      <c r="B441" s="5" t="s">
        <v>113</v>
      </c>
      <c r="C441" s="5">
        <v>395179</v>
      </c>
      <c r="D441" s="6"/>
      <c r="E441" s="5" t="s">
        <v>31</v>
      </c>
      <c r="F441" s="5" t="s">
        <v>114</v>
      </c>
      <c r="G441" s="5" t="s">
        <v>11</v>
      </c>
      <c r="H441" s="7" t="s">
        <v>7</v>
      </c>
      <c r="I441" s="7" t="s">
        <v>115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7">
        <v>0</v>
      </c>
      <c r="AK441" s="7">
        <v>1</v>
      </c>
      <c r="AL441" s="8">
        <v>3840</v>
      </c>
      <c r="AM441" s="7">
        <v>0</v>
      </c>
      <c r="AN441" s="7">
        <v>0</v>
      </c>
      <c r="AO441" s="7">
        <v>0</v>
      </c>
      <c r="AP441" s="7">
        <v>0</v>
      </c>
      <c r="AQ441" s="7">
        <v>0</v>
      </c>
      <c r="AR441" s="7">
        <v>0</v>
      </c>
      <c r="AS441" s="7">
        <v>0</v>
      </c>
      <c r="AT441" s="7">
        <v>0</v>
      </c>
      <c r="AU441" s="7">
        <v>0</v>
      </c>
      <c r="AV441" s="7">
        <v>0</v>
      </c>
      <c r="AW441" s="7">
        <v>0</v>
      </c>
      <c r="AX441" s="7">
        <v>0</v>
      </c>
      <c r="AY441" s="7">
        <v>0</v>
      </c>
      <c r="AZ441" s="7">
        <v>0</v>
      </c>
      <c r="BA441" s="7">
        <v>0</v>
      </c>
      <c r="BB441" s="7">
        <v>0</v>
      </c>
      <c r="BC441" s="7">
        <v>0</v>
      </c>
      <c r="BD441" s="7">
        <v>0</v>
      </c>
      <c r="BE441" s="7">
        <v>0</v>
      </c>
      <c r="BF441" s="7">
        <v>0</v>
      </c>
      <c r="BG441" s="7">
        <v>0</v>
      </c>
      <c r="BH441" s="7">
        <v>0</v>
      </c>
      <c r="BI441" s="7">
        <v>0</v>
      </c>
      <c r="BJ441" s="7">
        <v>0</v>
      </c>
      <c r="BK441" s="7">
        <v>0</v>
      </c>
      <c r="BL441" s="9">
        <v>1152</v>
      </c>
      <c r="BM441" s="10">
        <v>3840</v>
      </c>
      <c r="BN441" s="13">
        <f t="shared" si="14"/>
        <v>2688</v>
      </c>
      <c r="BO441" s="14">
        <f t="shared" si="15"/>
        <v>1881.6</v>
      </c>
    </row>
    <row r="442" spans="1:67" x14ac:dyDescent="0.4">
      <c r="A442" s="5" t="s">
        <v>537</v>
      </c>
      <c r="B442" s="5" t="s">
        <v>269</v>
      </c>
      <c r="C442" s="5">
        <v>462361</v>
      </c>
      <c r="D442" s="6"/>
      <c r="E442" s="5" t="s">
        <v>31</v>
      </c>
      <c r="F442" s="5" t="s">
        <v>56</v>
      </c>
      <c r="G442" s="5" t="s">
        <v>11</v>
      </c>
      <c r="H442" s="7" t="s">
        <v>7</v>
      </c>
      <c r="I442" s="7" t="s">
        <v>270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7">
        <v>0</v>
      </c>
      <c r="AA442" s="7">
        <v>0</v>
      </c>
      <c r="AB442" s="7">
        <v>0</v>
      </c>
      <c r="AC442" s="7">
        <v>0</v>
      </c>
      <c r="AD442" s="7">
        <v>0</v>
      </c>
      <c r="AE442" s="7">
        <v>0</v>
      </c>
      <c r="AF442" s="7">
        <v>0</v>
      </c>
      <c r="AG442" s="7">
        <v>0</v>
      </c>
      <c r="AH442" s="7">
        <v>0</v>
      </c>
      <c r="AI442" s="7">
        <v>0</v>
      </c>
      <c r="AJ442" s="7">
        <v>0</v>
      </c>
      <c r="AK442" s="7">
        <v>0</v>
      </c>
      <c r="AL442" s="7">
        <v>0</v>
      </c>
      <c r="AM442" s="7">
        <v>0</v>
      </c>
      <c r="AN442" s="7">
        <v>0</v>
      </c>
      <c r="AO442" s="7">
        <v>0</v>
      </c>
      <c r="AP442" s="7">
        <v>0</v>
      </c>
      <c r="AQ442" s="7">
        <v>0</v>
      </c>
      <c r="AR442" s="7">
        <v>0</v>
      </c>
      <c r="AS442" s="7">
        <v>0</v>
      </c>
      <c r="AT442" s="7">
        <v>0</v>
      </c>
      <c r="AU442" s="7">
        <v>0</v>
      </c>
      <c r="AV442" s="7">
        <v>0</v>
      </c>
      <c r="AW442" s="7">
        <v>0</v>
      </c>
      <c r="AX442" s="7">
        <v>0</v>
      </c>
      <c r="AY442" s="7">
        <v>0</v>
      </c>
      <c r="AZ442" s="7">
        <v>0</v>
      </c>
      <c r="BA442" s="7">
        <v>0</v>
      </c>
      <c r="BB442" s="7">
        <v>0</v>
      </c>
      <c r="BC442" s="7">
        <v>1</v>
      </c>
      <c r="BD442" s="8">
        <v>3840</v>
      </c>
      <c r="BE442" s="7">
        <v>0</v>
      </c>
      <c r="BF442" s="7">
        <v>0</v>
      </c>
      <c r="BG442" s="7">
        <v>0</v>
      </c>
      <c r="BH442" s="7">
        <v>0</v>
      </c>
      <c r="BI442" s="7">
        <v>0</v>
      </c>
      <c r="BJ442" s="7">
        <v>0</v>
      </c>
      <c r="BK442" s="7">
        <v>0</v>
      </c>
      <c r="BL442" s="7">
        <v>230.4</v>
      </c>
      <c r="BM442" s="10">
        <v>3840</v>
      </c>
      <c r="BN442" s="13">
        <f t="shared" si="14"/>
        <v>3609.6</v>
      </c>
      <c r="BO442" s="14">
        <f t="shared" si="15"/>
        <v>2526.7199999999998</v>
      </c>
    </row>
    <row r="443" spans="1:67" x14ac:dyDescent="0.4">
      <c r="A443" s="5" t="s">
        <v>537</v>
      </c>
      <c r="B443" s="5" t="s">
        <v>312</v>
      </c>
      <c r="C443" s="5">
        <v>392673</v>
      </c>
      <c r="D443" s="6"/>
      <c r="E443" s="5" t="s">
        <v>31</v>
      </c>
      <c r="F443" s="5" t="s">
        <v>123</v>
      </c>
      <c r="G443" s="5" t="s">
        <v>51</v>
      </c>
      <c r="H443" s="7" t="s">
        <v>8</v>
      </c>
      <c r="I443" s="7" t="s">
        <v>313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1</v>
      </c>
      <c r="AL443" s="8">
        <v>3840</v>
      </c>
      <c r="AM443" s="7">
        <v>0</v>
      </c>
      <c r="AN443" s="7">
        <v>0</v>
      </c>
      <c r="AO443" s="7">
        <v>0</v>
      </c>
      <c r="AP443" s="7">
        <v>0</v>
      </c>
      <c r="AQ443" s="7">
        <v>0</v>
      </c>
      <c r="AR443" s="7">
        <v>0</v>
      </c>
      <c r="AS443" s="7">
        <v>0</v>
      </c>
      <c r="AT443" s="7">
        <v>0</v>
      </c>
      <c r="AU443" s="7">
        <v>0</v>
      </c>
      <c r="AV443" s="7">
        <v>0</v>
      </c>
      <c r="AW443" s="7">
        <v>0</v>
      </c>
      <c r="AX443" s="7">
        <v>0</v>
      </c>
      <c r="AY443" s="7">
        <v>0</v>
      </c>
      <c r="AZ443" s="7">
        <v>0</v>
      </c>
      <c r="BA443" s="7">
        <v>0</v>
      </c>
      <c r="BB443" s="7">
        <v>0</v>
      </c>
      <c r="BC443" s="7">
        <v>0</v>
      </c>
      <c r="BD443" s="7">
        <v>0</v>
      </c>
      <c r="BE443" s="7">
        <v>0</v>
      </c>
      <c r="BF443" s="7">
        <v>0</v>
      </c>
      <c r="BG443" s="7">
        <v>0</v>
      </c>
      <c r="BH443" s="7">
        <v>0</v>
      </c>
      <c r="BI443" s="7">
        <v>0</v>
      </c>
      <c r="BJ443" s="7">
        <v>0</v>
      </c>
      <c r="BK443" s="7">
        <v>0</v>
      </c>
      <c r="BL443" s="9">
        <v>1152</v>
      </c>
      <c r="BM443" s="10">
        <v>3840</v>
      </c>
      <c r="BN443" s="13">
        <f t="shared" si="14"/>
        <v>2688</v>
      </c>
      <c r="BO443" s="14">
        <f t="shared" si="15"/>
        <v>1881.6</v>
      </c>
    </row>
    <row r="444" spans="1:67" x14ac:dyDescent="0.4">
      <c r="A444" s="5" t="s">
        <v>537</v>
      </c>
      <c r="B444" s="5" t="s">
        <v>147</v>
      </c>
      <c r="C444" s="5">
        <v>290890</v>
      </c>
      <c r="D444" s="6"/>
      <c r="E444" s="5" t="s">
        <v>31</v>
      </c>
      <c r="F444" s="5" t="s">
        <v>47</v>
      </c>
      <c r="G444" s="5" t="s">
        <v>11</v>
      </c>
      <c r="H444" s="7" t="s">
        <v>7</v>
      </c>
      <c r="I444" s="7" t="s">
        <v>148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0</v>
      </c>
      <c r="AB444" s="7">
        <v>4</v>
      </c>
      <c r="AC444" s="8">
        <v>3600</v>
      </c>
      <c r="AD444" s="7">
        <v>0</v>
      </c>
      <c r="AE444" s="7">
        <v>0</v>
      </c>
      <c r="AF444" s="7">
        <v>0</v>
      </c>
      <c r="AG444" s="7">
        <v>0</v>
      </c>
      <c r="AH444" s="7">
        <v>0</v>
      </c>
      <c r="AI444" s="7">
        <v>0</v>
      </c>
      <c r="AJ444" s="7">
        <v>0</v>
      </c>
      <c r="AK444" s="7">
        <v>0</v>
      </c>
      <c r="AL444" s="7">
        <v>0</v>
      </c>
      <c r="AM444" s="7">
        <v>0</v>
      </c>
      <c r="AN444" s="7">
        <v>0</v>
      </c>
      <c r="AO444" s="7">
        <v>0</v>
      </c>
      <c r="AP444" s="7">
        <v>0</v>
      </c>
      <c r="AQ444" s="7">
        <v>0</v>
      </c>
      <c r="AR444" s="7">
        <v>0</v>
      </c>
      <c r="AS444" s="7">
        <v>0</v>
      </c>
      <c r="AT444" s="7">
        <v>0</v>
      </c>
      <c r="AU444" s="7">
        <v>0</v>
      </c>
      <c r="AV444" s="7">
        <v>0</v>
      </c>
      <c r="AW444" s="7">
        <v>0</v>
      </c>
      <c r="AX444" s="7">
        <v>0</v>
      </c>
      <c r="AY444" s="7">
        <v>0</v>
      </c>
      <c r="AZ444" s="7">
        <v>0</v>
      </c>
      <c r="BA444" s="7">
        <v>0</v>
      </c>
      <c r="BB444" s="7">
        <v>0</v>
      </c>
      <c r="BC444" s="7">
        <v>0</v>
      </c>
      <c r="BD444" s="7">
        <v>0</v>
      </c>
      <c r="BE444" s="7">
        <v>0</v>
      </c>
      <c r="BF444" s="7">
        <v>0</v>
      </c>
      <c r="BG444" s="7">
        <v>0</v>
      </c>
      <c r="BH444" s="7">
        <v>0</v>
      </c>
      <c r="BI444" s="7">
        <v>0</v>
      </c>
      <c r="BJ444" s="7">
        <v>0</v>
      </c>
      <c r="BK444" s="7">
        <v>0</v>
      </c>
      <c r="BL444" s="7">
        <v>0</v>
      </c>
      <c r="BM444" s="10">
        <v>3600</v>
      </c>
      <c r="BN444" s="13">
        <f t="shared" si="14"/>
        <v>3600</v>
      </c>
      <c r="BO444" s="14">
        <f t="shared" si="15"/>
        <v>2520</v>
      </c>
    </row>
    <row r="445" spans="1:67" x14ac:dyDescent="0.4">
      <c r="A445" s="5" t="s">
        <v>537</v>
      </c>
      <c r="B445" s="5" t="s">
        <v>216</v>
      </c>
      <c r="C445" s="5">
        <v>371774</v>
      </c>
      <c r="D445" s="6"/>
      <c r="E445" s="5" t="s">
        <v>31</v>
      </c>
      <c r="F445" s="5" t="s">
        <v>217</v>
      </c>
      <c r="G445" s="5" t="s">
        <v>11</v>
      </c>
      <c r="H445" s="7" t="s">
        <v>7</v>
      </c>
      <c r="I445" s="7" t="s">
        <v>218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29</v>
      </c>
      <c r="AL445" s="8">
        <v>3480</v>
      </c>
      <c r="AM445" s="7">
        <v>0</v>
      </c>
      <c r="AN445" s="7">
        <v>0</v>
      </c>
      <c r="AO445" s="7">
        <v>0</v>
      </c>
      <c r="AP445" s="7">
        <v>0</v>
      </c>
      <c r="AQ445" s="7">
        <v>1</v>
      </c>
      <c r="AR445" s="7">
        <v>0</v>
      </c>
      <c r="AS445" s="7">
        <v>100</v>
      </c>
      <c r="AT445" s="7">
        <v>0</v>
      </c>
      <c r="AU445" s="7">
        <v>0</v>
      </c>
      <c r="AV445" s="7">
        <v>0</v>
      </c>
      <c r="AW445" s="7">
        <v>0</v>
      </c>
      <c r="AX445" s="7">
        <v>0</v>
      </c>
      <c r="AY445" s="7">
        <v>0</v>
      </c>
      <c r="AZ445" s="7">
        <v>0</v>
      </c>
      <c r="BA445" s="7">
        <v>0</v>
      </c>
      <c r="BB445" s="7">
        <v>0</v>
      </c>
      <c r="BC445" s="7">
        <v>0</v>
      </c>
      <c r="BD445" s="7">
        <v>0</v>
      </c>
      <c r="BE445" s="7">
        <v>0</v>
      </c>
      <c r="BF445" s="7">
        <v>0</v>
      </c>
      <c r="BG445" s="7">
        <v>0</v>
      </c>
      <c r="BH445" s="7">
        <v>0</v>
      </c>
      <c r="BI445" s="7">
        <v>0</v>
      </c>
      <c r="BJ445" s="7">
        <v>0</v>
      </c>
      <c r="BK445" s="7">
        <v>0</v>
      </c>
      <c r="BL445" s="9">
        <v>1044</v>
      </c>
      <c r="BM445" s="10">
        <v>3580</v>
      </c>
      <c r="BN445" s="13">
        <f t="shared" si="14"/>
        <v>2536</v>
      </c>
      <c r="BO445" s="14">
        <f t="shared" si="15"/>
        <v>1775.1999999999998</v>
      </c>
    </row>
    <row r="446" spans="1:67" x14ac:dyDescent="0.4">
      <c r="A446" s="5" t="s">
        <v>537</v>
      </c>
      <c r="B446" s="5" t="s">
        <v>111</v>
      </c>
      <c r="C446" s="5">
        <v>211158</v>
      </c>
      <c r="D446" s="6"/>
      <c r="E446" s="5" t="s">
        <v>31</v>
      </c>
      <c r="F446" s="5" t="s">
        <v>47</v>
      </c>
      <c r="G446" s="5" t="s">
        <v>11</v>
      </c>
      <c r="H446" s="7" t="s">
        <v>7</v>
      </c>
      <c r="I446" s="7" t="s">
        <v>112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7">
        <v>0</v>
      </c>
      <c r="AB446" s="7">
        <v>0</v>
      </c>
      <c r="AC446" s="7">
        <v>0</v>
      </c>
      <c r="AD446" s="7">
        <v>0</v>
      </c>
      <c r="AE446" s="7">
        <v>35</v>
      </c>
      <c r="AF446" s="8">
        <v>3500</v>
      </c>
      <c r="AG446" s="7">
        <v>0</v>
      </c>
      <c r="AH446" s="7">
        <v>0</v>
      </c>
      <c r="AI446" s="7">
        <v>0</v>
      </c>
      <c r="AJ446" s="7">
        <v>0</v>
      </c>
      <c r="AK446" s="7">
        <v>0</v>
      </c>
      <c r="AL446" s="7">
        <v>0</v>
      </c>
      <c r="AM446" s="7">
        <v>0</v>
      </c>
      <c r="AN446" s="7">
        <v>0</v>
      </c>
      <c r="AO446" s="7">
        <v>0</v>
      </c>
      <c r="AP446" s="7">
        <v>0</v>
      </c>
      <c r="AQ446" s="7">
        <v>0</v>
      </c>
      <c r="AR446" s="7">
        <v>0</v>
      </c>
      <c r="AS446" s="7">
        <v>0</v>
      </c>
      <c r="AT446" s="7">
        <v>0</v>
      </c>
      <c r="AU446" s="7">
        <v>0</v>
      </c>
      <c r="AV446" s="7">
        <v>0</v>
      </c>
      <c r="AW446" s="7">
        <v>0</v>
      </c>
      <c r="AX446" s="7">
        <v>0</v>
      </c>
      <c r="AY446" s="7">
        <v>0</v>
      </c>
      <c r="AZ446" s="7">
        <v>0</v>
      </c>
      <c r="BA446" s="7">
        <v>0</v>
      </c>
      <c r="BB446" s="7">
        <v>0</v>
      </c>
      <c r="BC446" s="7">
        <v>0</v>
      </c>
      <c r="BD446" s="7">
        <v>0</v>
      </c>
      <c r="BE446" s="7">
        <v>0</v>
      </c>
      <c r="BF446" s="7">
        <v>0</v>
      </c>
      <c r="BG446" s="7">
        <v>0</v>
      </c>
      <c r="BH446" s="7">
        <v>0</v>
      </c>
      <c r="BI446" s="7">
        <v>0</v>
      </c>
      <c r="BJ446" s="7">
        <v>0</v>
      </c>
      <c r="BK446" s="7">
        <v>0</v>
      </c>
      <c r="BL446" s="7">
        <v>0</v>
      </c>
      <c r="BM446" s="10">
        <v>3500</v>
      </c>
      <c r="BN446" s="13">
        <f t="shared" si="14"/>
        <v>3500</v>
      </c>
      <c r="BO446" s="14">
        <f t="shared" si="15"/>
        <v>2450</v>
      </c>
    </row>
    <row r="447" spans="1:67" x14ac:dyDescent="0.4">
      <c r="A447" s="5" t="s">
        <v>537</v>
      </c>
      <c r="B447" s="5" t="s">
        <v>264</v>
      </c>
      <c r="C447" s="5">
        <v>458561</v>
      </c>
      <c r="D447" s="6"/>
      <c r="E447" s="5" t="s">
        <v>31</v>
      </c>
      <c r="F447" s="5" t="s">
        <v>47</v>
      </c>
      <c r="G447" s="5" t="s">
        <v>11</v>
      </c>
      <c r="H447" s="7" t="s">
        <v>7</v>
      </c>
      <c r="I447" s="7" t="s">
        <v>220</v>
      </c>
      <c r="J447" s="7">
        <v>4</v>
      </c>
      <c r="K447" s="7">
        <v>0</v>
      </c>
      <c r="L447" s="7">
        <v>400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11</v>
      </c>
      <c r="AF447" s="8">
        <v>1100</v>
      </c>
      <c r="AG447" s="7">
        <v>0</v>
      </c>
      <c r="AH447" s="7">
        <v>0</v>
      </c>
      <c r="AI447" s="7">
        <v>0</v>
      </c>
      <c r="AJ447" s="7">
        <v>0</v>
      </c>
      <c r="AK447" s="7">
        <v>19</v>
      </c>
      <c r="AL447" s="7">
        <v>0</v>
      </c>
      <c r="AM447" s="8">
        <v>1900</v>
      </c>
      <c r="AN447" s="7">
        <v>0</v>
      </c>
      <c r="AO447" s="7">
        <v>0</v>
      </c>
      <c r="AP447" s="7">
        <v>0</v>
      </c>
      <c r="AQ447" s="7">
        <v>0</v>
      </c>
      <c r="AR447" s="7">
        <v>0</v>
      </c>
      <c r="AS447" s="7">
        <v>0</v>
      </c>
      <c r="AT447" s="7">
        <v>0</v>
      </c>
      <c r="AU447" s="7">
        <v>0</v>
      </c>
      <c r="AV447" s="7">
        <v>0</v>
      </c>
      <c r="AW447" s="7">
        <v>0</v>
      </c>
      <c r="AX447" s="7">
        <v>0</v>
      </c>
      <c r="AY447" s="7">
        <v>0</v>
      </c>
      <c r="AZ447" s="7">
        <v>0</v>
      </c>
      <c r="BA447" s="7">
        <v>0</v>
      </c>
      <c r="BB447" s="7">
        <v>0</v>
      </c>
      <c r="BC447" s="7">
        <v>0</v>
      </c>
      <c r="BD447" s="7">
        <v>0</v>
      </c>
      <c r="BE447" s="7">
        <v>0</v>
      </c>
      <c r="BF447" s="7">
        <v>0</v>
      </c>
      <c r="BG447" s="7">
        <v>0</v>
      </c>
      <c r="BH447" s="7">
        <v>0</v>
      </c>
      <c r="BI447" s="7">
        <v>0</v>
      </c>
      <c r="BJ447" s="7">
        <v>0</v>
      </c>
      <c r="BK447" s="7">
        <v>0</v>
      </c>
      <c r="BL447" s="7">
        <v>0</v>
      </c>
      <c r="BM447" s="10">
        <v>3400</v>
      </c>
      <c r="BN447" s="13">
        <f t="shared" si="14"/>
        <v>3400</v>
      </c>
      <c r="BO447" s="14">
        <f t="shared" si="15"/>
        <v>2380</v>
      </c>
    </row>
    <row r="448" spans="1:67" x14ac:dyDescent="0.4">
      <c r="A448" s="5" t="s">
        <v>537</v>
      </c>
      <c r="B448" s="5" t="s">
        <v>321</v>
      </c>
      <c r="C448" s="5">
        <v>445862</v>
      </c>
      <c r="D448" s="6"/>
      <c r="E448" s="5" t="s">
        <v>31</v>
      </c>
      <c r="F448" s="5" t="s">
        <v>65</v>
      </c>
      <c r="G448" s="5" t="s">
        <v>51</v>
      </c>
      <c r="H448" s="7" t="s">
        <v>8</v>
      </c>
      <c r="I448" s="7" t="s">
        <v>215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7">
        <v>0</v>
      </c>
      <c r="AA448" s="7">
        <v>0</v>
      </c>
      <c r="AB448" s="7">
        <v>0</v>
      </c>
      <c r="AC448" s="7">
        <v>0</v>
      </c>
      <c r="AD448" s="7">
        <v>0</v>
      </c>
      <c r="AE448" s="7">
        <v>0</v>
      </c>
      <c r="AF448" s="7">
        <v>0</v>
      </c>
      <c r="AG448" s="7">
        <v>0</v>
      </c>
      <c r="AH448" s="7">
        <v>0</v>
      </c>
      <c r="AI448" s="7">
        <v>0</v>
      </c>
      <c r="AJ448" s="7">
        <v>0</v>
      </c>
      <c r="AK448" s="7">
        <v>1</v>
      </c>
      <c r="AL448" s="8">
        <v>2919</v>
      </c>
      <c r="AM448" s="7">
        <v>100</v>
      </c>
      <c r="AN448" s="7">
        <v>0</v>
      </c>
      <c r="AO448" s="7">
        <v>0</v>
      </c>
      <c r="AP448" s="7">
        <v>0</v>
      </c>
      <c r="AQ448" s="7">
        <v>0</v>
      </c>
      <c r="AR448" s="7">
        <v>0</v>
      </c>
      <c r="AS448" s="7">
        <v>0</v>
      </c>
      <c r="AT448" s="7">
        <v>0</v>
      </c>
      <c r="AU448" s="7">
        <v>0</v>
      </c>
      <c r="AV448" s="7">
        <v>0</v>
      </c>
      <c r="AW448" s="7">
        <v>0</v>
      </c>
      <c r="AX448" s="7">
        <v>0</v>
      </c>
      <c r="AY448" s="7">
        <v>0</v>
      </c>
      <c r="AZ448" s="7">
        <v>0</v>
      </c>
      <c r="BA448" s="7">
        <v>0</v>
      </c>
      <c r="BB448" s="7">
        <v>0</v>
      </c>
      <c r="BC448" s="7">
        <v>0</v>
      </c>
      <c r="BD448" s="7">
        <v>0</v>
      </c>
      <c r="BE448" s="7">
        <v>0</v>
      </c>
      <c r="BF448" s="7">
        <v>0</v>
      </c>
      <c r="BG448" s="7">
        <v>0</v>
      </c>
      <c r="BH448" s="7">
        <v>0</v>
      </c>
      <c r="BI448" s="7">
        <v>0</v>
      </c>
      <c r="BJ448" s="7">
        <v>0</v>
      </c>
      <c r="BK448" s="7">
        <v>0</v>
      </c>
      <c r="BL448" s="7">
        <v>875.7</v>
      </c>
      <c r="BM448" s="10">
        <v>3019</v>
      </c>
      <c r="BN448" s="13">
        <f t="shared" si="14"/>
        <v>2143.3000000000002</v>
      </c>
      <c r="BO448" s="14">
        <f t="shared" si="15"/>
        <v>1500.31</v>
      </c>
    </row>
    <row r="449" spans="1:67" ht="19.2" x14ac:dyDescent="0.4">
      <c r="A449" s="5" t="s">
        <v>537</v>
      </c>
      <c r="B449" s="5" t="s">
        <v>412</v>
      </c>
      <c r="C449" s="5">
        <v>458432</v>
      </c>
      <c r="D449" s="6"/>
      <c r="E449" s="5" t="s">
        <v>31</v>
      </c>
      <c r="F449" s="5" t="s">
        <v>150</v>
      </c>
      <c r="G449" s="5" t="s">
        <v>51</v>
      </c>
      <c r="H449" s="7" t="s">
        <v>331</v>
      </c>
      <c r="I449" s="7" t="s">
        <v>413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1</v>
      </c>
      <c r="AF449" s="8">
        <v>3000</v>
      </c>
      <c r="AG449" s="7">
        <v>0</v>
      </c>
      <c r="AH449" s="7">
        <v>0</v>
      </c>
      <c r="AI449" s="7">
        <v>0</v>
      </c>
      <c r="AJ449" s="7">
        <v>0</v>
      </c>
      <c r="AK449" s="7">
        <v>0</v>
      </c>
      <c r="AL449" s="7">
        <v>0</v>
      </c>
      <c r="AM449" s="7">
        <v>0</v>
      </c>
      <c r="AN449" s="7">
        <v>0</v>
      </c>
      <c r="AO449" s="7">
        <v>0</v>
      </c>
      <c r="AP449" s="7">
        <v>0</v>
      </c>
      <c r="AQ449" s="7">
        <v>0</v>
      </c>
      <c r="AR449" s="7">
        <v>0</v>
      </c>
      <c r="AS449" s="7">
        <v>0</v>
      </c>
      <c r="AT449" s="7">
        <v>0</v>
      </c>
      <c r="AU449" s="7">
        <v>0</v>
      </c>
      <c r="AV449" s="7">
        <v>0</v>
      </c>
      <c r="AW449" s="7">
        <v>0</v>
      </c>
      <c r="AX449" s="7">
        <v>0</v>
      </c>
      <c r="AY449" s="7">
        <v>0</v>
      </c>
      <c r="AZ449" s="7">
        <v>0</v>
      </c>
      <c r="BA449" s="7">
        <v>0</v>
      </c>
      <c r="BB449" s="7">
        <v>0</v>
      </c>
      <c r="BC449" s="7">
        <v>0</v>
      </c>
      <c r="BD449" s="7">
        <v>0</v>
      </c>
      <c r="BE449" s="7">
        <v>0</v>
      </c>
      <c r="BF449" s="7">
        <v>0</v>
      </c>
      <c r="BG449" s="7">
        <v>0</v>
      </c>
      <c r="BH449" s="7">
        <v>0</v>
      </c>
      <c r="BI449" s="7">
        <v>0</v>
      </c>
      <c r="BJ449" s="7">
        <v>0</v>
      </c>
      <c r="BK449" s="7">
        <v>0</v>
      </c>
      <c r="BL449" s="7">
        <v>0</v>
      </c>
      <c r="BM449" s="10">
        <v>3000</v>
      </c>
      <c r="BN449" s="13">
        <f t="shared" si="14"/>
        <v>3000</v>
      </c>
      <c r="BO449" s="14">
        <f t="shared" si="15"/>
        <v>2100</v>
      </c>
    </row>
    <row r="450" spans="1:67" x14ac:dyDescent="0.4">
      <c r="A450" s="5" t="s">
        <v>537</v>
      </c>
      <c r="B450" s="5" t="s">
        <v>455</v>
      </c>
      <c r="C450" s="5">
        <v>426259</v>
      </c>
      <c r="D450" s="6"/>
      <c r="E450" s="5" t="s">
        <v>31</v>
      </c>
      <c r="F450" s="5" t="s">
        <v>150</v>
      </c>
      <c r="G450" s="5" t="s">
        <v>51</v>
      </c>
      <c r="H450" s="7" t="s">
        <v>331</v>
      </c>
      <c r="I450" s="7" t="s">
        <v>456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  <c r="AB450" s="7">
        <v>0</v>
      </c>
      <c r="AC450" s="7">
        <v>0</v>
      </c>
      <c r="AD450" s="7">
        <v>0</v>
      </c>
      <c r="AE450" s="7">
        <v>1</v>
      </c>
      <c r="AF450" s="8">
        <v>2800</v>
      </c>
      <c r="AG450" s="7">
        <v>0</v>
      </c>
      <c r="AH450" s="7">
        <v>0</v>
      </c>
      <c r="AI450" s="7">
        <v>0</v>
      </c>
      <c r="AJ450" s="7">
        <v>0</v>
      </c>
      <c r="AK450" s="7">
        <v>0</v>
      </c>
      <c r="AL450" s="7">
        <v>0</v>
      </c>
      <c r="AM450" s="7">
        <v>0</v>
      </c>
      <c r="AN450" s="7">
        <v>0</v>
      </c>
      <c r="AO450" s="7">
        <v>0</v>
      </c>
      <c r="AP450" s="7">
        <v>0</v>
      </c>
      <c r="AQ450" s="7">
        <v>0</v>
      </c>
      <c r="AR450" s="7">
        <v>0</v>
      </c>
      <c r="AS450" s="7">
        <v>0</v>
      </c>
      <c r="AT450" s="7">
        <v>0</v>
      </c>
      <c r="AU450" s="7">
        <v>0</v>
      </c>
      <c r="AV450" s="7">
        <v>0</v>
      </c>
      <c r="AW450" s="7">
        <v>0</v>
      </c>
      <c r="AX450" s="7">
        <v>0</v>
      </c>
      <c r="AY450" s="7">
        <v>0</v>
      </c>
      <c r="AZ450" s="7">
        <v>0</v>
      </c>
      <c r="BA450" s="7">
        <v>0</v>
      </c>
      <c r="BB450" s="7">
        <v>0</v>
      </c>
      <c r="BC450" s="7">
        <v>0</v>
      </c>
      <c r="BD450" s="7">
        <v>0</v>
      </c>
      <c r="BE450" s="7">
        <v>0</v>
      </c>
      <c r="BF450" s="7">
        <v>0</v>
      </c>
      <c r="BG450" s="7">
        <v>0</v>
      </c>
      <c r="BH450" s="7">
        <v>0</v>
      </c>
      <c r="BI450" s="7">
        <v>0</v>
      </c>
      <c r="BJ450" s="7">
        <v>0</v>
      </c>
      <c r="BK450" s="7">
        <v>0</v>
      </c>
      <c r="BL450" s="7">
        <v>0</v>
      </c>
      <c r="BM450" s="10">
        <v>2800</v>
      </c>
      <c r="BN450" s="13">
        <f t="shared" si="14"/>
        <v>2800</v>
      </c>
      <c r="BO450" s="14">
        <f t="shared" si="15"/>
        <v>1959.9999999999998</v>
      </c>
    </row>
    <row r="451" spans="1:67" x14ac:dyDescent="0.4">
      <c r="A451" s="5" t="s">
        <v>537</v>
      </c>
      <c r="B451" s="5" t="s">
        <v>416</v>
      </c>
      <c r="C451" s="5">
        <v>397392</v>
      </c>
      <c r="D451" s="6"/>
      <c r="E451" s="5" t="s">
        <v>31</v>
      </c>
      <c r="F451" s="5" t="s">
        <v>150</v>
      </c>
      <c r="G451" s="5" t="s">
        <v>51</v>
      </c>
      <c r="H451" s="7" t="s">
        <v>331</v>
      </c>
      <c r="I451" s="7" t="s">
        <v>417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7">
        <v>0</v>
      </c>
      <c r="AK451" s="7">
        <v>1</v>
      </c>
      <c r="AL451" s="8">
        <v>2640</v>
      </c>
      <c r="AM451" s="7">
        <v>0</v>
      </c>
      <c r="AN451" s="7">
        <v>0</v>
      </c>
      <c r="AO451" s="7">
        <v>0</v>
      </c>
      <c r="AP451" s="7">
        <v>0</v>
      </c>
      <c r="AQ451" s="7">
        <v>0</v>
      </c>
      <c r="AR451" s="7">
        <v>0</v>
      </c>
      <c r="AS451" s="7">
        <v>0</v>
      </c>
      <c r="AT451" s="7">
        <v>0</v>
      </c>
      <c r="AU451" s="7">
        <v>0</v>
      </c>
      <c r="AV451" s="7">
        <v>0</v>
      </c>
      <c r="AW451" s="7">
        <v>0</v>
      </c>
      <c r="AX451" s="7">
        <v>0</v>
      </c>
      <c r="AY451" s="7">
        <v>0</v>
      </c>
      <c r="AZ451" s="7">
        <v>0</v>
      </c>
      <c r="BA451" s="7">
        <v>0</v>
      </c>
      <c r="BB451" s="7">
        <v>0</v>
      </c>
      <c r="BC451" s="7">
        <v>0</v>
      </c>
      <c r="BD451" s="7">
        <v>0</v>
      </c>
      <c r="BE451" s="7">
        <v>0</v>
      </c>
      <c r="BF451" s="7">
        <v>0</v>
      </c>
      <c r="BG451" s="7">
        <v>0</v>
      </c>
      <c r="BH451" s="7">
        <v>0</v>
      </c>
      <c r="BI451" s="7">
        <v>0</v>
      </c>
      <c r="BJ451" s="7">
        <v>0</v>
      </c>
      <c r="BK451" s="7">
        <v>0</v>
      </c>
      <c r="BL451" s="7">
        <v>792</v>
      </c>
      <c r="BM451" s="10">
        <v>2640</v>
      </c>
      <c r="BN451" s="13">
        <f t="shared" si="14"/>
        <v>1848</v>
      </c>
      <c r="BO451" s="14">
        <f t="shared" si="15"/>
        <v>1293.5999999999999</v>
      </c>
    </row>
    <row r="452" spans="1:67" x14ac:dyDescent="0.4">
      <c r="A452" s="5" t="s">
        <v>537</v>
      </c>
      <c r="B452" s="5" t="s">
        <v>226</v>
      </c>
      <c r="C452" s="5">
        <v>421661</v>
      </c>
      <c r="D452" s="6"/>
      <c r="E452" s="5" t="s">
        <v>31</v>
      </c>
      <c r="F452" s="5" t="s">
        <v>227</v>
      </c>
      <c r="G452" s="5" t="s">
        <v>51</v>
      </c>
      <c r="H452" s="7" t="s">
        <v>8</v>
      </c>
      <c r="I452" s="7" t="s">
        <v>228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7">
        <v>0</v>
      </c>
      <c r="AB452" s="7">
        <v>0</v>
      </c>
      <c r="AC452" s="7">
        <v>0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25</v>
      </c>
      <c r="AL452" s="7">
        <v>0</v>
      </c>
      <c r="AM452" s="8">
        <v>2500</v>
      </c>
      <c r="AN452" s="7">
        <v>0</v>
      </c>
      <c r="AO452" s="7">
        <v>0</v>
      </c>
      <c r="AP452" s="7">
        <v>0</v>
      </c>
      <c r="AQ452" s="7">
        <v>0</v>
      </c>
      <c r="AR452" s="7">
        <v>0</v>
      </c>
      <c r="AS452" s="7">
        <v>0</v>
      </c>
      <c r="AT452" s="7">
        <v>0</v>
      </c>
      <c r="AU452" s="7">
        <v>0</v>
      </c>
      <c r="AV452" s="7">
        <v>0</v>
      </c>
      <c r="AW452" s="7">
        <v>0</v>
      </c>
      <c r="AX452" s="7">
        <v>0</v>
      </c>
      <c r="AY452" s="7">
        <v>0</v>
      </c>
      <c r="AZ452" s="7">
        <v>0</v>
      </c>
      <c r="BA452" s="7">
        <v>0</v>
      </c>
      <c r="BB452" s="7">
        <v>0</v>
      </c>
      <c r="BC452" s="7">
        <v>0</v>
      </c>
      <c r="BD452" s="7">
        <v>0</v>
      </c>
      <c r="BE452" s="7">
        <v>0</v>
      </c>
      <c r="BF452" s="7">
        <v>0</v>
      </c>
      <c r="BG452" s="7">
        <v>0</v>
      </c>
      <c r="BH452" s="7">
        <v>0</v>
      </c>
      <c r="BI452" s="7">
        <v>0</v>
      </c>
      <c r="BJ452" s="7">
        <v>0</v>
      </c>
      <c r="BK452" s="7">
        <v>0</v>
      </c>
      <c r="BL452" s="7">
        <v>0</v>
      </c>
      <c r="BM452" s="10">
        <v>2500</v>
      </c>
      <c r="BN452" s="13">
        <f t="shared" si="14"/>
        <v>2500</v>
      </c>
      <c r="BO452" s="14">
        <f t="shared" si="15"/>
        <v>1750</v>
      </c>
    </row>
    <row r="453" spans="1:67" x14ac:dyDescent="0.4">
      <c r="A453" s="5" t="s">
        <v>537</v>
      </c>
      <c r="B453" s="5" t="s">
        <v>447</v>
      </c>
      <c r="C453" s="5">
        <v>444217</v>
      </c>
      <c r="D453" s="6"/>
      <c r="E453" s="5" t="s">
        <v>31</v>
      </c>
      <c r="F453" s="5" t="s">
        <v>150</v>
      </c>
      <c r="G453" s="5" t="s">
        <v>51</v>
      </c>
      <c r="H453" s="7" t="s">
        <v>331</v>
      </c>
      <c r="I453" s="7" t="s">
        <v>448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1</v>
      </c>
      <c r="AF453" s="8">
        <v>2500</v>
      </c>
      <c r="AG453" s="7">
        <v>0</v>
      </c>
      <c r="AH453" s="7">
        <v>0</v>
      </c>
      <c r="AI453" s="7">
        <v>0</v>
      </c>
      <c r="AJ453" s="7">
        <v>0</v>
      </c>
      <c r="AK453" s="7">
        <v>0</v>
      </c>
      <c r="AL453" s="7">
        <v>0</v>
      </c>
      <c r="AM453" s="7">
        <v>0</v>
      </c>
      <c r="AN453" s="7">
        <v>0</v>
      </c>
      <c r="AO453" s="7">
        <v>0</v>
      </c>
      <c r="AP453" s="7">
        <v>0</v>
      </c>
      <c r="AQ453" s="7">
        <v>0</v>
      </c>
      <c r="AR453" s="7">
        <v>0</v>
      </c>
      <c r="AS453" s="7">
        <v>0</v>
      </c>
      <c r="AT453" s="7">
        <v>0</v>
      </c>
      <c r="AU453" s="7">
        <v>0</v>
      </c>
      <c r="AV453" s="7">
        <v>0</v>
      </c>
      <c r="AW453" s="7">
        <v>0</v>
      </c>
      <c r="AX453" s="7">
        <v>0</v>
      </c>
      <c r="AY453" s="7">
        <v>0</v>
      </c>
      <c r="AZ453" s="7">
        <v>0</v>
      </c>
      <c r="BA453" s="7">
        <v>0</v>
      </c>
      <c r="BB453" s="7">
        <v>0</v>
      </c>
      <c r="BC453" s="7">
        <v>0</v>
      </c>
      <c r="BD453" s="7">
        <v>0</v>
      </c>
      <c r="BE453" s="7">
        <v>0</v>
      </c>
      <c r="BF453" s="7">
        <v>0</v>
      </c>
      <c r="BG453" s="7">
        <v>0</v>
      </c>
      <c r="BH453" s="7">
        <v>0</v>
      </c>
      <c r="BI453" s="7">
        <v>0</v>
      </c>
      <c r="BJ453" s="7">
        <v>0</v>
      </c>
      <c r="BK453" s="7">
        <v>0</v>
      </c>
      <c r="BL453" s="7">
        <v>0</v>
      </c>
      <c r="BM453" s="10">
        <v>2500</v>
      </c>
      <c r="BN453" s="13">
        <f t="shared" si="14"/>
        <v>2500</v>
      </c>
      <c r="BO453" s="14">
        <f t="shared" si="15"/>
        <v>1750</v>
      </c>
    </row>
    <row r="454" spans="1:67" x14ac:dyDescent="0.4">
      <c r="A454" s="5" t="s">
        <v>537</v>
      </c>
      <c r="B454" s="5" t="s">
        <v>246</v>
      </c>
      <c r="C454" s="5">
        <v>399878</v>
      </c>
      <c r="D454" s="6"/>
      <c r="E454" s="5" t="s">
        <v>31</v>
      </c>
      <c r="F454" s="5" t="s">
        <v>247</v>
      </c>
      <c r="G454" s="5" t="s">
        <v>51</v>
      </c>
      <c r="H454" s="7" t="s">
        <v>8</v>
      </c>
      <c r="I454" s="7" t="s">
        <v>248</v>
      </c>
      <c r="J454" s="7">
        <v>0</v>
      </c>
      <c r="K454" s="7">
        <v>1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7">
        <v>0</v>
      </c>
      <c r="AB454" s="7">
        <v>0</v>
      </c>
      <c r="AC454" s="7">
        <v>0</v>
      </c>
      <c r="AD454" s="7">
        <v>0</v>
      </c>
      <c r="AE454" s="7">
        <v>23</v>
      </c>
      <c r="AF454" s="8">
        <v>2300</v>
      </c>
      <c r="AG454" s="7">
        <v>0</v>
      </c>
      <c r="AH454" s="7">
        <v>0</v>
      </c>
      <c r="AI454" s="7">
        <v>0</v>
      </c>
      <c r="AJ454" s="7">
        <v>0</v>
      </c>
      <c r="AK454" s="7">
        <v>0</v>
      </c>
      <c r="AL454" s="7">
        <v>0</v>
      </c>
      <c r="AM454" s="7">
        <v>0</v>
      </c>
      <c r="AN454" s="7">
        <v>0</v>
      </c>
      <c r="AO454" s="7">
        <v>0</v>
      </c>
      <c r="AP454" s="7">
        <v>0</v>
      </c>
      <c r="AQ454" s="7">
        <v>0</v>
      </c>
      <c r="AR454" s="7">
        <v>0</v>
      </c>
      <c r="AS454" s="7">
        <v>0</v>
      </c>
      <c r="AT454" s="7">
        <v>0</v>
      </c>
      <c r="AU454" s="7">
        <v>0</v>
      </c>
      <c r="AV454" s="7">
        <v>0</v>
      </c>
      <c r="AW454" s="7">
        <v>0</v>
      </c>
      <c r="AX454" s="7">
        <v>0</v>
      </c>
      <c r="AY454" s="7">
        <v>0</v>
      </c>
      <c r="AZ454" s="7">
        <v>0</v>
      </c>
      <c r="BA454" s="7">
        <v>0</v>
      </c>
      <c r="BB454" s="7">
        <v>0</v>
      </c>
      <c r="BC454" s="7">
        <v>0</v>
      </c>
      <c r="BD454" s="7">
        <v>0</v>
      </c>
      <c r="BE454" s="7">
        <v>0</v>
      </c>
      <c r="BF454" s="7">
        <v>0</v>
      </c>
      <c r="BG454" s="7">
        <v>0</v>
      </c>
      <c r="BH454" s="7">
        <v>0</v>
      </c>
      <c r="BI454" s="7">
        <v>0</v>
      </c>
      <c r="BJ454" s="7">
        <v>0</v>
      </c>
      <c r="BK454" s="7">
        <v>0</v>
      </c>
      <c r="BL454" s="7">
        <v>0</v>
      </c>
      <c r="BM454" s="10">
        <v>2300</v>
      </c>
      <c r="BN454" s="13">
        <f t="shared" si="14"/>
        <v>2300</v>
      </c>
      <c r="BO454" s="14">
        <f t="shared" si="15"/>
        <v>1610</v>
      </c>
    </row>
    <row r="455" spans="1:67" x14ac:dyDescent="0.4">
      <c r="A455" s="5" t="s">
        <v>537</v>
      </c>
      <c r="B455" s="5" t="s">
        <v>350</v>
      </c>
      <c r="C455" s="5">
        <v>332935</v>
      </c>
      <c r="D455" s="6"/>
      <c r="E455" s="5" t="s">
        <v>31</v>
      </c>
      <c r="F455" s="5" t="s">
        <v>292</v>
      </c>
      <c r="G455" s="5" t="s">
        <v>51</v>
      </c>
      <c r="H455" s="7" t="s">
        <v>8</v>
      </c>
      <c r="I455" s="7" t="s">
        <v>351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17</v>
      </c>
      <c r="AF455" s="8">
        <v>1700</v>
      </c>
      <c r="AG455" s="7">
        <v>0</v>
      </c>
      <c r="AH455" s="7">
        <v>0</v>
      </c>
      <c r="AI455" s="7">
        <v>0</v>
      </c>
      <c r="AJ455" s="7">
        <v>0</v>
      </c>
      <c r="AK455" s="7">
        <v>5</v>
      </c>
      <c r="AL455" s="7">
        <v>0</v>
      </c>
      <c r="AM455" s="7">
        <v>500</v>
      </c>
      <c r="AN455" s="7">
        <v>0</v>
      </c>
      <c r="AO455" s="7">
        <v>0</v>
      </c>
      <c r="AP455" s="7">
        <v>0</v>
      </c>
      <c r="AQ455" s="7">
        <v>0</v>
      </c>
      <c r="AR455" s="7">
        <v>0</v>
      </c>
      <c r="AS455" s="7">
        <v>0</v>
      </c>
      <c r="AT455" s="7">
        <v>0</v>
      </c>
      <c r="AU455" s="7">
        <v>0</v>
      </c>
      <c r="AV455" s="7">
        <v>0</v>
      </c>
      <c r="AW455" s="7">
        <v>0</v>
      </c>
      <c r="AX455" s="7">
        <v>0</v>
      </c>
      <c r="AY455" s="7">
        <v>0</v>
      </c>
      <c r="AZ455" s="7">
        <v>0</v>
      </c>
      <c r="BA455" s="7">
        <v>0</v>
      </c>
      <c r="BB455" s="7">
        <v>0</v>
      </c>
      <c r="BC455" s="7">
        <v>0</v>
      </c>
      <c r="BD455" s="7">
        <v>0</v>
      </c>
      <c r="BE455" s="7">
        <v>0</v>
      </c>
      <c r="BF455" s="7">
        <v>0</v>
      </c>
      <c r="BG455" s="7">
        <v>0</v>
      </c>
      <c r="BH455" s="7">
        <v>0</v>
      </c>
      <c r="BI455" s="7">
        <v>0</v>
      </c>
      <c r="BJ455" s="7">
        <v>0</v>
      </c>
      <c r="BK455" s="7">
        <v>0</v>
      </c>
      <c r="BL455" s="7">
        <v>0</v>
      </c>
      <c r="BM455" s="10">
        <v>2200</v>
      </c>
      <c r="BN455" s="13">
        <f t="shared" si="14"/>
        <v>2200</v>
      </c>
      <c r="BO455" s="14">
        <f t="shared" si="15"/>
        <v>1540</v>
      </c>
    </row>
    <row r="456" spans="1:67" x14ac:dyDescent="0.4">
      <c r="A456" s="5" t="s">
        <v>537</v>
      </c>
      <c r="B456" s="5" t="s">
        <v>137</v>
      </c>
      <c r="C456" s="5">
        <v>379813</v>
      </c>
      <c r="D456" s="6"/>
      <c r="E456" s="5" t="s">
        <v>31</v>
      </c>
      <c r="F456" s="5" t="s">
        <v>47</v>
      </c>
      <c r="G456" s="5" t="s">
        <v>11</v>
      </c>
      <c r="H456" s="7" t="s">
        <v>7</v>
      </c>
      <c r="I456" s="7" t="s">
        <v>138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  <c r="AB456" s="7">
        <v>0</v>
      </c>
      <c r="AC456" s="7">
        <v>0</v>
      </c>
      <c r="AD456" s="7">
        <v>0</v>
      </c>
      <c r="AE456" s="7">
        <v>0</v>
      </c>
      <c r="AF456" s="7">
        <v>0</v>
      </c>
      <c r="AG456" s="7">
        <v>0</v>
      </c>
      <c r="AH456" s="7">
        <v>0</v>
      </c>
      <c r="AI456" s="7">
        <v>0</v>
      </c>
      <c r="AJ456" s="7">
        <v>0</v>
      </c>
      <c r="AK456" s="7">
        <v>21</v>
      </c>
      <c r="AL456" s="7">
        <v>0</v>
      </c>
      <c r="AM456" s="8">
        <v>2100</v>
      </c>
      <c r="AN456" s="7">
        <v>0</v>
      </c>
      <c r="AO456" s="7">
        <v>0</v>
      </c>
      <c r="AP456" s="7">
        <v>0</v>
      </c>
      <c r="AQ456" s="7">
        <v>0</v>
      </c>
      <c r="AR456" s="7">
        <v>0</v>
      </c>
      <c r="AS456" s="7">
        <v>0</v>
      </c>
      <c r="AT456" s="7">
        <v>0</v>
      </c>
      <c r="AU456" s="7">
        <v>0</v>
      </c>
      <c r="AV456" s="7">
        <v>0</v>
      </c>
      <c r="AW456" s="7">
        <v>0</v>
      </c>
      <c r="AX456" s="7">
        <v>0</v>
      </c>
      <c r="AY456" s="7">
        <v>0</v>
      </c>
      <c r="AZ456" s="7">
        <v>0</v>
      </c>
      <c r="BA456" s="7">
        <v>0</v>
      </c>
      <c r="BB456" s="7">
        <v>0</v>
      </c>
      <c r="BC456" s="7">
        <v>0</v>
      </c>
      <c r="BD456" s="7">
        <v>0</v>
      </c>
      <c r="BE456" s="7">
        <v>0</v>
      </c>
      <c r="BF456" s="7">
        <v>0</v>
      </c>
      <c r="BG456" s="7">
        <v>0</v>
      </c>
      <c r="BH456" s="7">
        <v>0</v>
      </c>
      <c r="BI456" s="7">
        <v>0</v>
      </c>
      <c r="BJ456" s="7">
        <v>0</v>
      </c>
      <c r="BK456" s="7">
        <v>0</v>
      </c>
      <c r="BL456" s="7">
        <v>0</v>
      </c>
      <c r="BM456" s="10">
        <v>2100</v>
      </c>
      <c r="BN456" s="13">
        <f t="shared" si="14"/>
        <v>2100</v>
      </c>
      <c r="BO456" s="14">
        <f t="shared" si="15"/>
        <v>1470</v>
      </c>
    </row>
    <row r="457" spans="1:67" x14ac:dyDescent="0.4">
      <c r="A457" s="5" t="s">
        <v>537</v>
      </c>
      <c r="B457" s="5" t="s">
        <v>120</v>
      </c>
      <c r="C457" s="5">
        <v>394830</v>
      </c>
      <c r="D457" s="6"/>
      <c r="E457" s="5" t="s">
        <v>31</v>
      </c>
      <c r="F457" s="5" t="s">
        <v>58</v>
      </c>
      <c r="G457" s="5" t="s">
        <v>51</v>
      </c>
      <c r="H457" s="7" t="s">
        <v>8</v>
      </c>
      <c r="I457" s="7" t="s">
        <v>121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1</v>
      </c>
      <c r="AF457" s="7">
        <v>100</v>
      </c>
      <c r="AG457" s="7">
        <v>0</v>
      </c>
      <c r="AH457" s="7">
        <v>0</v>
      </c>
      <c r="AI457" s="7">
        <v>0</v>
      </c>
      <c r="AJ457" s="7">
        <v>0</v>
      </c>
      <c r="AK457" s="7">
        <v>14</v>
      </c>
      <c r="AL457" s="8">
        <v>1680</v>
      </c>
      <c r="AM457" s="7">
        <v>0</v>
      </c>
      <c r="AN457" s="7">
        <v>0</v>
      </c>
      <c r="AO457" s="7">
        <v>0</v>
      </c>
      <c r="AP457" s="7">
        <v>0</v>
      </c>
      <c r="AQ457" s="7">
        <v>0</v>
      </c>
      <c r="AR457" s="7">
        <v>0</v>
      </c>
      <c r="AS457" s="7">
        <v>0</v>
      </c>
      <c r="AT457" s="7">
        <v>0</v>
      </c>
      <c r="AU457" s="7">
        <v>0</v>
      </c>
      <c r="AV457" s="7">
        <v>0</v>
      </c>
      <c r="AW457" s="7">
        <v>0</v>
      </c>
      <c r="AX457" s="7">
        <v>0</v>
      </c>
      <c r="AY457" s="7">
        <v>0</v>
      </c>
      <c r="AZ457" s="7">
        <v>0</v>
      </c>
      <c r="BA457" s="7">
        <v>0</v>
      </c>
      <c r="BB457" s="7">
        <v>0</v>
      </c>
      <c r="BC457" s="7">
        <v>0</v>
      </c>
      <c r="BD457" s="7">
        <v>0</v>
      </c>
      <c r="BE457" s="7">
        <v>0</v>
      </c>
      <c r="BF457" s="7">
        <v>0</v>
      </c>
      <c r="BG457" s="7">
        <v>0</v>
      </c>
      <c r="BH457" s="7">
        <v>0</v>
      </c>
      <c r="BI457" s="7">
        <v>0</v>
      </c>
      <c r="BJ457" s="7">
        <v>0</v>
      </c>
      <c r="BK457" s="7">
        <v>0</v>
      </c>
      <c r="BL457" s="7">
        <v>504</v>
      </c>
      <c r="BM457" s="10">
        <v>1780</v>
      </c>
      <c r="BN457" s="13">
        <f t="shared" si="14"/>
        <v>1276</v>
      </c>
      <c r="BO457" s="14">
        <f t="shared" si="15"/>
        <v>893.19999999999993</v>
      </c>
    </row>
    <row r="458" spans="1:67" x14ac:dyDescent="0.4">
      <c r="A458" s="5" t="s">
        <v>537</v>
      </c>
      <c r="B458" s="5" t="s">
        <v>498</v>
      </c>
      <c r="C458" s="5">
        <v>373610</v>
      </c>
      <c r="D458" s="6"/>
      <c r="E458" s="5" t="s">
        <v>31</v>
      </c>
      <c r="F458" s="5" t="s">
        <v>499</v>
      </c>
      <c r="G458" s="5" t="s">
        <v>11</v>
      </c>
      <c r="H458" s="7" t="s">
        <v>7</v>
      </c>
      <c r="I458" s="7" t="s">
        <v>500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7">
        <v>0</v>
      </c>
      <c r="AA458" s="7">
        <v>0</v>
      </c>
      <c r="AB458" s="7">
        <v>0</v>
      </c>
      <c r="AC458" s="7">
        <v>0</v>
      </c>
      <c r="AD458" s="7">
        <v>0</v>
      </c>
      <c r="AE458" s="7">
        <v>16</v>
      </c>
      <c r="AF458" s="8">
        <v>1600</v>
      </c>
      <c r="AG458" s="7">
        <v>0</v>
      </c>
      <c r="AH458" s="7">
        <v>0</v>
      </c>
      <c r="AI458" s="7">
        <v>0</v>
      </c>
      <c r="AJ458" s="7">
        <v>0</v>
      </c>
      <c r="AK458" s="7">
        <v>1</v>
      </c>
      <c r="AL458" s="7">
        <v>0</v>
      </c>
      <c r="AM458" s="7">
        <v>100</v>
      </c>
      <c r="AN458" s="7">
        <v>0</v>
      </c>
      <c r="AO458" s="7">
        <v>0</v>
      </c>
      <c r="AP458" s="7">
        <v>0</v>
      </c>
      <c r="AQ458" s="7">
        <v>0</v>
      </c>
      <c r="AR458" s="7">
        <v>0</v>
      </c>
      <c r="AS458" s="7">
        <v>0</v>
      </c>
      <c r="AT458" s="7">
        <v>0</v>
      </c>
      <c r="AU458" s="7">
        <v>0</v>
      </c>
      <c r="AV458" s="7">
        <v>0</v>
      </c>
      <c r="AW458" s="7">
        <v>0</v>
      </c>
      <c r="AX458" s="7">
        <v>0</v>
      </c>
      <c r="AY458" s="7">
        <v>0</v>
      </c>
      <c r="AZ458" s="7">
        <v>0</v>
      </c>
      <c r="BA458" s="7">
        <v>0</v>
      </c>
      <c r="BB458" s="7">
        <v>0</v>
      </c>
      <c r="BC458" s="7">
        <v>0</v>
      </c>
      <c r="BD458" s="7">
        <v>0</v>
      </c>
      <c r="BE458" s="7">
        <v>0</v>
      </c>
      <c r="BF458" s="7">
        <v>0</v>
      </c>
      <c r="BG458" s="7">
        <v>0</v>
      </c>
      <c r="BH458" s="7">
        <v>0</v>
      </c>
      <c r="BI458" s="7">
        <v>0</v>
      </c>
      <c r="BJ458" s="7">
        <v>0</v>
      </c>
      <c r="BK458" s="7">
        <v>0</v>
      </c>
      <c r="BL458" s="7">
        <v>0</v>
      </c>
      <c r="BM458" s="10">
        <v>1700</v>
      </c>
      <c r="BN458" s="13">
        <f t="shared" si="14"/>
        <v>1700</v>
      </c>
      <c r="BO458" s="14">
        <f t="shared" si="15"/>
        <v>1190</v>
      </c>
    </row>
    <row r="459" spans="1:67" x14ac:dyDescent="0.4">
      <c r="A459" s="5" t="s">
        <v>537</v>
      </c>
      <c r="B459" s="5" t="s">
        <v>157</v>
      </c>
      <c r="C459" s="5">
        <v>337887</v>
      </c>
      <c r="D459" s="6"/>
      <c r="E459" s="5" t="s">
        <v>31</v>
      </c>
      <c r="F459" s="5" t="s">
        <v>153</v>
      </c>
      <c r="G459" s="5" t="s">
        <v>51</v>
      </c>
      <c r="H459" s="7" t="s">
        <v>8</v>
      </c>
      <c r="I459" s="7" t="s">
        <v>158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1</v>
      </c>
      <c r="AF459" s="7">
        <v>100</v>
      </c>
      <c r="AG459" s="7">
        <v>0</v>
      </c>
      <c r="AH459" s="7">
        <v>0</v>
      </c>
      <c r="AI459" s="7">
        <v>0</v>
      </c>
      <c r="AJ459" s="7">
        <v>0</v>
      </c>
      <c r="AK459" s="7">
        <v>0</v>
      </c>
      <c r="AL459" s="7">
        <v>0</v>
      </c>
      <c r="AM459" s="7">
        <v>0</v>
      </c>
      <c r="AN459" s="7">
        <v>0</v>
      </c>
      <c r="AO459" s="7">
        <v>0</v>
      </c>
      <c r="AP459" s="7">
        <v>0</v>
      </c>
      <c r="AQ459" s="7">
        <v>13</v>
      </c>
      <c r="AR459" s="8">
        <v>1300</v>
      </c>
      <c r="AS459" s="7">
        <v>0</v>
      </c>
      <c r="AT459" s="7">
        <v>0</v>
      </c>
      <c r="AU459" s="7">
        <v>0</v>
      </c>
      <c r="AV459" s="7">
        <v>0</v>
      </c>
      <c r="AW459" s="7">
        <v>0</v>
      </c>
      <c r="AX459" s="7">
        <v>0</v>
      </c>
      <c r="AY459" s="7">
        <v>0</v>
      </c>
      <c r="AZ459" s="7">
        <v>0</v>
      </c>
      <c r="BA459" s="7">
        <v>0</v>
      </c>
      <c r="BB459" s="7">
        <v>0</v>
      </c>
      <c r="BC459" s="7">
        <v>0</v>
      </c>
      <c r="BD459" s="7">
        <v>0</v>
      </c>
      <c r="BE459" s="7">
        <v>0</v>
      </c>
      <c r="BF459" s="7">
        <v>0</v>
      </c>
      <c r="BG459" s="7">
        <v>0</v>
      </c>
      <c r="BH459" s="7">
        <v>0</v>
      </c>
      <c r="BI459" s="7">
        <v>0</v>
      </c>
      <c r="BJ459" s="7">
        <v>0</v>
      </c>
      <c r="BK459" s="7">
        <v>0</v>
      </c>
      <c r="BL459" s="7">
        <v>0</v>
      </c>
      <c r="BM459" s="10">
        <v>1400</v>
      </c>
      <c r="BN459" s="13">
        <f t="shared" si="14"/>
        <v>1400</v>
      </c>
      <c r="BO459" s="14">
        <f t="shared" si="15"/>
        <v>979.99999999999989</v>
      </c>
    </row>
    <row r="460" spans="1:67" x14ac:dyDescent="0.4">
      <c r="A460" s="5" t="s">
        <v>537</v>
      </c>
      <c r="B460" s="5" t="s">
        <v>174</v>
      </c>
      <c r="C460" s="5">
        <v>394079</v>
      </c>
      <c r="D460" s="6"/>
      <c r="E460" s="5" t="s">
        <v>31</v>
      </c>
      <c r="F460" s="5" t="s">
        <v>70</v>
      </c>
      <c r="G460" s="5" t="s">
        <v>51</v>
      </c>
      <c r="H460" s="7" t="s">
        <v>8</v>
      </c>
      <c r="I460" s="7" t="s">
        <v>175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0</v>
      </c>
      <c r="AB460" s="7">
        <v>0</v>
      </c>
      <c r="AC460" s="7">
        <v>0</v>
      </c>
      <c r="AD460" s="7">
        <v>0</v>
      </c>
      <c r="AE460" s="7">
        <v>0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s="7">
        <v>12</v>
      </c>
      <c r="AL460" s="7">
        <v>240</v>
      </c>
      <c r="AM460" s="8">
        <v>1000</v>
      </c>
      <c r="AN460" s="7">
        <v>0</v>
      </c>
      <c r="AO460" s="7">
        <v>0</v>
      </c>
      <c r="AP460" s="7">
        <v>0</v>
      </c>
      <c r="AQ460" s="7">
        <v>0</v>
      </c>
      <c r="AR460" s="7">
        <v>0</v>
      </c>
      <c r="AS460" s="7">
        <v>0</v>
      </c>
      <c r="AT460" s="7">
        <v>0</v>
      </c>
      <c r="AU460" s="7">
        <v>0</v>
      </c>
      <c r="AV460" s="7">
        <v>0</v>
      </c>
      <c r="AW460" s="7">
        <v>0</v>
      </c>
      <c r="AX460" s="7">
        <v>0</v>
      </c>
      <c r="AY460" s="7">
        <v>0</v>
      </c>
      <c r="AZ460" s="7">
        <v>0</v>
      </c>
      <c r="BA460" s="7">
        <v>0</v>
      </c>
      <c r="BB460" s="7">
        <v>0</v>
      </c>
      <c r="BC460" s="7">
        <v>0</v>
      </c>
      <c r="BD460" s="7">
        <v>0</v>
      </c>
      <c r="BE460" s="7">
        <v>0</v>
      </c>
      <c r="BF460" s="7">
        <v>0</v>
      </c>
      <c r="BG460" s="7">
        <v>0</v>
      </c>
      <c r="BH460" s="7">
        <v>0</v>
      </c>
      <c r="BI460" s="7">
        <v>0</v>
      </c>
      <c r="BJ460" s="7">
        <v>0</v>
      </c>
      <c r="BK460" s="7">
        <v>0</v>
      </c>
      <c r="BL460" s="7">
        <v>72</v>
      </c>
      <c r="BM460" s="10">
        <v>1240</v>
      </c>
      <c r="BN460" s="13">
        <f t="shared" si="14"/>
        <v>1168</v>
      </c>
      <c r="BO460" s="14">
        <f t="shared" si="15"/>
        <v>817.59999999999991</v>
      </c>
    </row>
    <row r="461" spans="1:67" x14ac:dyDescent="0.4">
      <c r="A461" s="5" t="s">
        <v>537</v>
      </c>
      <c r="B461" s="5" t="s">
        <v>306</v>
      </c>
      <c r="C461" s="5">
        <v>381070</v>
      </c>
      <c r="D461" s="6"/>
      <c r="E461" s="5" t="s">
        <v>31</v>
      </c>
      <c r="F461" s="5" t="s">
        <v>307</v>
      </c>
      <c r="G461" s="5" t="s">
        <v>51</v>
      </c>
      <c r="H461" s="7" t="s">
        <v>8</v>
      </c>
      <c r="I461" s="7" t="s">
        <v>308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6</v>
      </c>
      <c r="AF461" s="7">
        <v>600</v>
      </c>
      <c r="AG461" s="7">
        <v>0</v>
      </c>
      <c r="AH461" s="7">
        <v>0</v>
      </c>
      <c r="AI461" s="7">
        <v>0</v>
      </c>
      <c r="AJ461" s="7">
        <v>0</v>
      </c>
      <c r="AK461" s="7">
        <v>3</v>
      </c>
      <c r="AL461" s="7">
        <v>360</v>
      </c>
      <c r="AM461" s="7">
        <v>0</v>
      </c>
      <c r="AN461" s="7">
        <v>0</v>
      </c>
      <c r="AO461" s="7">
        <v>0</v>
      </c>
      <c r="AP461" s="7">
        <v>0</v>
      </c>
      <c r="AQ461" s="7">
        <v>0</v>
      </c>
      <c r="AR461" s="7">
        <v>0</v>
      </c>
      <c r="AS461" s="7">
        <v>0</v>
      </c>
      <c r="AT461" s="7">
        <v>0</v>
      </c>
      <c r="AU461" s="7">
        <v>0</v>
      </c>
      <c r="AV461" s="7">
        <v>0</v>
      </c>
      <c r="AW461" s="7">
        <v>0</v>
      </c>
      <c r="AX461" s="7">
        <v>0</v>
      </c>
      <c r="AY461" s="7">
        <v>0</v>
      </c>
      <c r="AZ461" s="7">
        <v>0</v>
      </c>
      <c r="BA461" s="7">
        <v>0</v>
      </c>
      <c r="BB461" s="7">
        <v>0</v>
      </c>
      <c r="BC461" s="7">
        <v>0</v>
      </c>
      <c r="BD461" s="7">
        <v>0</v>
      </c>
      <c r="BE461" s="7">
        <v>0</v>
      </c>
      <c r="BF461" s="7">
        <v>0</v>
      </c>
      <c r="BG461" s="7">
        <v>0</v>
      </c>
      <c r="BH461" s="7">
        <v>0</v>
      </c>
      <c r="BI461" s="7">
        <v>0</v>
      </c>
      <c r="BJ461" s="7">
        <v>0</v>
      </c>
      <c r="BK461" s="7">
        <v>0</v>
      </c>
      <c r="BL461" s="7">
        <v>108</v>
      </c>
      <c r="BM461" s="11">
        <v>960</v>
      </c>
      <c r="BN461" s="13">
        <f t="shared" si="14"/>
        <v>852</v>
      </c>
      <c r="BO461" s="14">
        <f t="shared" si="15"/>
        <v>596.4</v>
      </c>
    </row>
    <row r="462" spans="1:67" x14ac:dyDescent="0.4">
      <c r="A462" s="5" t="s">
        <v>537</v>
      </c>
      <c r="B462" s="5" t="s">
        <v>535</v>
      </c>
      <c r="C462" s="5">
        <v>428120</v>
      </c>
      <c r="D462" s="6"/>
      <c r="E462" s="5" t="s">
        <v>31</v>
      </c>
      <c r="F462" s="5" t="s">
        <v>65</v>
      </c>
      <c r="G462" s="5" t="s">
        <v>51</v>
      </c>
      <c r="H462" s="7" t="s">
        <v>8</v>
      </c>
      <c r="I462" s="7" t="s">
        <v>194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0</v>
      </c>
      <c r="AB462" s="7">
        <v>0</v>
      </c>
      <c r="AC462" s="7">
        <v>0</v>
      </c>
      <c r="AD462" s="7">
        <v>0</v>
      </c>
      <c r="AE462" s="7">
        <v>0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0</v>
      </c>
      <c r="AL462" s="7">
        <v>0</v>
      </c>
      <c r="AM462" s="7">
        <v>0</v>
      </c>
      <c r="AN462" s="7">
        <v>0</v>
      </c>
      <c r="AO462" s="7">
        <v>0</v>
      </c>
      <c r="AP462" s="7">
        <v>0</v>
      </c>
      <c r="AQ462" s="7">
        <v>1</v>
      </c>
      <c r="AR462" s="7">
        <v>800</v>
      </c>
      <c r="AS462" s="7">
        <v>0</v>
      </c>
      <c r="AT462" s="7">
        <v>0</v>
      </c>
      <c r="AU462" s="7">
        <v>0</v>
      </c>
      <c r="AV462" s="7">
        <v>0</v>
      </c>
      <c r="AW462" s="7">
        <v>0</v>
      </c>
      <c r="AX462" s="7">
        <v>0</v>
      </c>
      <c r="AY462" s="7">
        <v>0</v>
      </c>
      <c r="AZ462" s="7">
        <v>0</v>
      </c>
      <c r="BA462" s="7">
        <v>0</v>
      </c>
      <c r="BB462" s="7">
        <v>0</v>
      </c>
      <c r="BC462" s="7">
        <v>0</v>
      </c>
      <c r="BD462" s="7">
        <v>0</v>
      </c>
      <c r="BE462" s="7">
        <v>0</v>
      </c>
      <c r="BF462" s="7">
        <v>0</v>
      </c>
      <c r="BG462" s="7">
        <v>0</v>
      </c>
      <c r="BH462" s="7">
        <v>0</v>
      </c>
      <c r="BI462" s="7">
        <v>0</v>
      </c>
      <c r="BJ462" s="7">
        <v>0</v>
      </c>
      <c r="BK462" s="7">
        <v>0</v>
      </c>
      <c r="BL462" s="7">
        <v>0</v>
      </c>
      <c r="BM462" s="11">
        <v>800</v>
      </c>
      <c r="BN462" s="13">
        <f t="shared" si="14"/>
        <v>800</v>
      </c>
      <c r="BO462" s="14">
        <f t="shared" si="15"/>
        <v>560</v>
      </c>
    </row>
    <row r="463" spans="1:67" x14ac:dyDescent="0.4">
      <c r="A463" s="5" t="s">
        <v>537</v>
      </c>
      <c r="B463" s="5" t="s">
        <v>348</v>
      </c>
      <c r="C463" s="5">
        <v>389960</v>
      </c>
      <c r="D463" s="6"/>
      <c r="E463" s="5" t="s">
        <v>31</v>
      </c>
      <c r="F463" s="5" t="s">
        <v>126</v>
      </c>
      <c r="G463" s="5" t="s">
        <v>11</v>
      </c>
      <c r="H463" s="7" t="s">
        <v>10</v>
      </c>
      <c r="I463" s="7" t="s">
        <v>349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6</v>
      </c>
      <c r="AF463" s="7">
        <v>600</v>
      </c>
      <c r="AG463" s="7">
        <v>0</v>
      </c>
      <c r="AH463" s="7">
        <v>0</v>
      </c>
      <c r="AI463" s="7">
        <v>0</v>
      </c>
      <c r="AJ463" s="7">
        <v>0</v>
      </c>
      <c r="AK463" s="7">
        <v>0</v>
      </c>
      <c r="AL463" s="7">
        <v>0</v>
      </c>
      <c r="AM463" s="7">
        <v>0</v>
      </c>
      <c r="AN463" s="7">
        <v>0</v>
      </c>
      <c r="AO463" s="7">
        <v>0</v>
      </c>
      <c r="AP463" s="7">
        <v>0</v>
      </c>
      <c r="AQ463" s="7">
        <v>0</v>
      </c>
      <c r="AR463" s="7">
        <v>0</v>
      </c>
      <c r="AS463" s="7">
        <v>0</v>
      </c>
      <c r="AT463" s="7">
        <v>0</v>
      </c>
      <c r="AU463" s="7">
        <v>0</v>
      </c>
      <c r="AV463" s="7">
        <v>0</v>
      </c>
      <c r="AW463" s="7">
        <v>0</v>
      </c>
      <c r="AX463" s="7">
        <v>0</v>
      </c>
      <c r="AY463" s="7">
        <v>0</v>
      </c>
      <c r="AZ463" s="7">
        <v>0</v>
      </c>
      <c r="BA463" s="7">
        <v>0</v>
      </c>
      <c r="BB463" s="7">
        <v>0</v>
      </c>
      <c r="BC463" s="7">
        <v>0</v>
      </c>
      <c r="BD463" s="7">
        <v>0</v>
      </c>
      <c r="BE463" s="7">
        <v>0</v>
      </c>
      <c r="BF463" s="7">
        <v>0</v>
      </c>
      <c r="BG463" s="7">
        <v>0</v>
      </c>
      <c r="BH463" s="7">
        <v>0</v>
      </c>
      <c r="BI463" s="7">
        <v>0</v>
      </c>
      <c r="BJ463" s="7">
        <v>0</v>
      </c>
      <c r="BK463" s="7">
        <v>0</v>
      </c>
      <c r="BL463" s="7">
        <v>0</v>
      </c>
      <c r="BM463" s="11">
        <v>600</v>
      </c>
      <c r="BN463" s="13">
        <f t="shared" si="14"/>
        <v>600</v>
      </c>
      <c r="BO463" s="14">
        <f t="shared" si="15"/>
        <v>420</v>
      </c>
    </row>
    <row r="464" spans="1:67" x14ac:dyDescent="0.4">
      <c r="A464" s="5" t="s">
        <v>537</v>
      </c>
      <c r="B464" s="5" t="s">
        <v>403</v>
      </c>
      <c r="C464" s="5">
        <v>424589</v>
      </c>
      <c r="D464" s="6"/>
      <c r="E464" s="5" t="s">
        <v>31</v>
      </c>
      <c r="F464" s="5" t="s">
        <v>404</v>
      </c>
      <c r="G464" s="5" t="s">
        <v>11</v>
      </c>
      <c r="H464" s="7" t="s">
        <v>8</v>
      </c>
      <c r="I464" s="7" t="s">
        <v>405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0</v>
      </c>
      <c r="AD464" s="7">
        <v>0</v>
      </c>
      <c r="AE464" s="7">
        <v>2</v>
      </c>
      <c r="AF464" s="7">
        <v>100</v>
      </c>
      <c r="AG464" s="7">
        <v>100</v>
      </c>
      <c r="AH464" s="7">
        <v>0</v>
      </c>
      <c r="AI464" s="7">
        <v>0</v>
      </c>
      <c r="AJ464" s="7">
        <v>0</v>
      </c>
      <c r="AK464" s="7">
        <v>2</v>
      </c>
      <c r="AL464" s="7">
        <v>0</v>
      </c>
      <c r="AM464" s="7">
        <v>200</v>
      </c>
      <c r="AN464" s="7">
        <v>0</v>
      </c>
      <c r="AO464" s="7">
        <v>0</v>
      </c>
      <c r="AP464" s="7">
        <v>0</v>
      </c>
      <c r="AQ464" s="7">
        <v>0</v>
      </c>
      <c r="AR464" s="7">
        <v>0</v>
      </c>
      <c r="AS464" s="7">
        <v>0</v>
      </c>
      <c r="AT464" s="7">
        <v>0</v>
      </c>
      <c r="AU464" s="7">
        <v>0</v>
      </c>
      <c r="AV464" s="7">
        <v>0</v>
      </c>
      <c r="AW464" s="7">
        <v>0</v>
      </c>
      <c r="AX464" s="7">
        <v>0</v>
      </c>
      <c r="AY464" s="7">
        <v>0</v>
      </c>
      <c r="AZ464" s="7">
        <v>0</v>
      </c>
      <c r="BA464" s="7">
        <v>0</v>
      </c>
      <c r="BB464" s="7">
        <v>0</v>
      </c>
      <c r="BC464" s="7">
        <v>0</v>
      </c>
      <c r="BD464" s="7">
        <v>0</v>
      </c>
      <c r="BE464" s="7">
        <v>0</v>
      </c>
      <c r="BF464" s="7">
        <v>0</v>
      </c>
      <c r="BG464" s="7">
        <v>0</v>
      </c>
      <c r="BH464" s="7">
        <v>0</v>
      </c>
      <c r="BI464" s="7">
        <v>0</v>
      </c>
      <c r="BJ464" s="7">
        <v>0</v>
      </c>
      <c r="BK464" s="7">
        <v>0</v>
      </c>
      <c r="BL464" s="7">
        <v>0</v>
      </c>
      <c r="BM464" s="11">
        <v>400</v>
      </c>
      <c r="BN464" s="13">
        <f t="shared" si="14"/>
        <v>400</v>
      </c>
      <c r="BO464" s="14">
        <f t="shared" si="15"/>
        <v>280</v>
      </c>
    </row>
    <row r="465" spans="1:67" x14ac:dyDescent="0.4">
      <c r="A465" s="5" t="s">
        <v>537</v>
      </c>
      <c r="B465" s="5" t="s">
        <v>176</v>
      </c>
      <c r="C465" s="5">
        <v>433508</v>
      </c>
      <c r="D465" s="6"/>
      <c r="E465" s="5" t="s">
        <v>31</v>
      </c>
      <c r="F465" s="5" t="s">
        <v>177</v>
      </c>
      <c r="G465" s="5" t="s">
        <v>11</v>
      </c>
      <c r="H465" s="7" t="s">
        <v>7</v>
      </c>
      <c r="I465" s="7" t="s">
        <v>178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7">
        <v>0</v>
      </c>
      <c r="AK465" s="7">
        <v>3</v>
      </c>
      <c r="AL465" s="7">
        <v>360</v>
      </c>
      <c r="AM465" s="7">
        <v>0</v>
      </c>
      <c r="AN465" s="7">
        <v>0</v>
      </c>
      <c r="AO465" s="7">
        <v>0</v>
      </c>
      <c r="AP465" s="7">
        <v>0</v>
      </c>
      <c r="AQ465" s="7">
        <v>0</v>
      </c>
      <c r="AR465" s="7">
        <v>0</v>
      </c>
      <c r="AS465" s="7">
        <v>0</v>
      </c>
      <c r="AT465" s="7">
        <v>0</v>
      </c>
      <c r="AU465" s="7">
        <v>0</v>
      </c>
      <c r="AV465" s="7">
        <v>0</v>
      </c>
      <c r="AW465" s="7">
        <v>0</v>
      </c>
      <c r="AX465" s="7">
        <v>0</v>
      </c>
      <c r="AY465" s="7">
        <v>0</v>
      </c>
      <c r="AZ465" s="7">
        <v>0</v>
      </c>
      <c r="BA465" s="7">
        <v>0</v>
      </c>
      <c r="BB465" s="7">
        <v>0</v>
      </c>
      <c r="BC465" s="7">
        <v>0</v>
      </c>
      <c r="BD465" s="7">
        <v>0</v>
      </c>
      <c r="BE465" s="7">
        <v>0</v>
      </c>
      <c r="BF465" s="7">
        <v>0</v>
      </c>
      <c r="BG465" s="7">
        <v>0</v>
      </c>
      <c r="BH465" s="7">
        <v>0</v>
      </c>
      <c r="BI465" s="7">
        <v>0</v>
      </c>
      <c r="BJ465" s="7">
        <v>0</v>
      </c>
      <c r="BK465" s="7">
        <v>0</v>
      </c>
      <c r="BL465" s="7">
        <v>108</v>
      </c>
      <c r="BM465" s="11">
        <v>360</v>
      </c>
      <c r="BN465" s="13">
        <f t="shared" si="14"/>
        <v>252</v>
      </c>
      <c r="BO465" s="14">
        <f t="shared" si="15"/>
        <v>176.39999999999998</v>
      </c>
    </row>
    <row r="466" spans="1:67" x14ac:dyDescent="0.4">
      <c r="A466" s="5" t="s">
        <v>537</v>
      </c>
      <c r="B466" s="5" t="s">
        <v>291</v>
      </c>
      <c r="C466" s="5">
        <v>407159</v>
      </c>
      <c r="D466" s="6"/>
      <c r="E466" s="5" t="s">
        <v>31</v>
      </c>
      <c r="F466" s="5" t="s">
        <v>292</v>
      </c>
      <c r="G466" s="5" t="s">
        <v>51</v>
      </c>
      <c r="H466" s="7" t="s">
        <v>8</v>
      </c>
      <c r="I466" s="7" t="s">
        <v>293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  <c r="AC466" s="7">
        <v>0</v>
      </c>
      <c r="AD466" s="7">
        <v>0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2</v>
      </c>
      <c r="AL466" s="7">
        <v>240</v>
      </c>
      <c r="AM466" s="7">
        <v>0</v>
      </c>
      <c r="AN466" s="7">
        <v>0</v>
      </c>
      <c r="AO466" s="7">
        <v>0</v>
      </c>
      <c r="AP466" s="7">
        <v>0</v>
      </c>
      <c r="AQ466" s="7">
        <v>0</v>
      </c>
      <c r="AR466" s="7">
        <v>0</v>
      </c>
      <c r="AS466" s="7">
        <v>0</v>
      </c>
      <c r="AT466" s="7">
        <v>0</v>
      </c>
      <c r="AU466" s="7">
        <v>0</v>
      </c>
      <c r="AV466" s="7">
        <v>0</v>
      </c>
      <c r="AW466" s="7">
        <v>0</v>
      </c>
      <c r="AX466" s="7">
        <v>0</v>
      </c>
      <c r="AY466" s="7">
        <v>0</v>
      </c>
      <c r="AZ466" s="7">
        <v>0</v>
      </c>
      <c r="BA466" s="7">
        <v>0</v>
      </c>
      <c r="BB466" s="7">
        <v>0</v>
      </c>
      <c r="BC466" s="7">
        <v>0</v>
      </c>
      <c r="BD466" s="7">
        <v>0</v>
      </c>
      <c r="BE466" s="7">
        <v>0</v>
      </c>
      <c r="BF466" s="7">
        <v>0</v>
      </c>
      <c r="BG466" s="7">
        <v>0</v>
      </c>
      <c r="BH466" s="7">
        <v>0</v>
      </c>
      <c r="BI466" s="7">
        <v>0</v>
      </c>
      <c r="BJ466" s="7">
        <v>0</v>
      </c>
      <c r="BK466" s="7">
        <v>0</v>
      </c>
      <c r="BL466" s="7">
        <v>72</v>
      </c>
      <c r="BM466" s="11">
        <v>240</v>
      </c>
      <c r="BN466" s="13">
        <f t="shared" si="14"/>
        <v>168</v>
      </c>
      <c r="BO466" s="14">
        <f t="shared" si="15"/>
        <v>117.6</v>
      </c>
    </row>
    <row r="467" spans="1:67" x14ac:dyDescent="0.4">
      <c r="A467" s="5" t="s">
        <v>537</v>
      </c>
      <c r="B467" s="5" t="s">
        <v>457</v>
      </c>
      <c r="C467" s="5">
        <v>407003</v>
      </c>
      <c r="D467" s="6"/>
      <c r="E467" s="5" t="s">
        <v>31</v>
      </c>
      <c r="F467" s="5" t="s">
        <v>384</v>
      </c>
      <c r="G467" s="5" t="s">
        <v>51</v>
      </c>
      <c r="H467" s="7" t="s">
        <v>331</v>
      </c>
      <c r="I467" s="7" t="s">
        <v>458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2</v>
      </c>
      <c r="AL467" s="7">
        <v>0</v>
      </c>
      <c r="AM467" s="7">
        <v>200</v>
      </c>
      <c r="AN467" s="7">
        <v>0</v>
      </c>
      <c r="AO467" s="7">
        <v>0</v>
      </c>
      <c r="AP467" s="7">
        <v>0</v>
      </c>
      <c r="AQ467" s="7">
        <v>0</v>
      </c>
      <c r="AR467" s="7">
        <v>0</v>
      </c>
      <c r="AS467" s="7">
        <v>0</v>
      </c>
      <c r="AT467" s="7">
        <v>0</v>
      </c>
      <c r="AU467" s="7">
        <v>0</v>
      </c>
      <c r="AV467" s="7">
        <v>0</v>
      </c>
      <c r="AW467" s="7">
        <v>0</v>
      </c>
      <c r="AX467" s="7">
        <v>0</v>
      </c>
      <c r="AY467" s="7">
        <v>0</v>
      </c>
      <c r="AZ467" s="7">
        <v>0</v>
      </c>
      <c r="BA467" s="7">
        <v>0</v>
      </c>
      <c r="BB467" s="7">
        <v>0</v>
      </c>
      <c r="BC467" s="7">
        <v>0</v>
      </c>
      <c r="BD467" s="7">
        <v>0</v>
      </c>
      <c r="BE467" s="7">
        <v>0</v>
      </c>
      <c r="BF467" s="7">
        <v>0</v>
      </c>
      <c r="BG467" s="7">
        <v>0</v>
      </c>
      <c r="BH467" s="7">
        <v>0</v>
      </c>
      <c r="BI467" s="7">
        <v>0</v>
      </c>
      <c r="BJ467" s="7">
        <v>0</v>
      </c>
      <c r="BK467" s="7">
        <v>0</v>
      </c>
      <c r="BL467" s="7">
        <v>0</v>
      </c>
      <c r="BM467" s="11">
        <v>200</v>
      </c>
      <c r="BN467" s="13">
        <f t="shared" si="14"/>
        <v>200</v>
      </c>
      <c r="BO467" s="14">
        <f t="shared" si="15"/>
        <v>140</v>
      </c>
    </row>
    <row r="468" spans="1:67" x14ac:dyDescent="0.4">
      <c r="A468" s="5" t="s">
        <v>537</v>
      </c>
      <c r="B468" s="5" t="s">
        <v>341</v>
      </c>
      <c r="C468" s="5">
        <v>431330</v>
      </c>
      <c r="D468" s="6"/>
      <c r="E468" s="5" t="s">
        <v>31</v>
      </c>
      <c r="F468" s="5" t="s">
        <v>292</v>
      </c>
      <c r="G468" s="5" t="s">
        <v>51</v>
      </c>
      <c r="H468" s="7" t="s">
        <v>8</v>
      </c>
      <c r="I468" s="7" t="s">
        <v>342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  <c r="AB468" s="7">
        <v>0</v>
      </c>
      <c r="AC468" s="7">
        <v>0</v>
      </c>
      <c r="AD468" s="7">
        <v>0</v>
      </c>
      <c r="AE468" s="7">
        <v>2</v>
      </c>
      <c r="AF468" s="7">
        <v>200</v>
      </c>
      <c r="AG468" s="7">
        <v>0</v>
      </c>
      <c r="AH468" s="7">
        <v>0</v>
      </c>
      <c r="AI468" s="7">
        <v>0</v>
      </c>
      <c r="AJ468" s="7">
        <v>0</v>
      </c>
      <c r="AK468" s="7">
        <v>0</v>
      </c>
      <c r="AL468" s="7">
        <v>0</v>
      </c>
      <c r="AM468" s="7">
        <v>0</v>
      </c>
      <c r="AN468" s="7">
        <v>0</v>
      </c>
      <c r="AO468" s="7">
        <v>0</v>
      </c>
      <c r="AP468" s="7">
        <v>0</v>
      </c>
      <c r="AQ468" s="7">
        <v>0</v>
      </c>
      <c r="AR468" s="7">
        <v>0</v>
      </c>
      <c r="AS468" s="7">
        <v>0</v>
      </c>
      <c r="AT468" s="7">
        <v>0</v>
      </c>
      <c r="AU468" s="7">
        <v>0</v>
      </c>
      <c r="AV468" s="7">
        <v>0</v>
      </c>
      <c r="AW468" s="7">
        <v>0</v>
      </c>
      <c r="AX468" s="7">
        <v>0</v>
      </c>
      <c r="AY468" s="7">
        <v>0</v>
      </c>
      <c r="AZ468" s="7">
        <v>0</v>
      </c>
      <c r="BA468" s="7">
        <v>0</v>
      </c>
      <c r="BB468" s="7">
        <v>0</v>
      </c>
      <c r="BC468" s="7">
        <v>0</v>
      </c>
      <c r="BD468" s="7">
        <v>0</v>
      </c>
      <c r="BE468" s="7">
        <v>0</v>
      </c>
      <c r="BF468" s="7">
        <v>0</v>
      </c>
      <c r="BG468" s="7">
        <v>0</v>
      </c>
      <c r="BH468" s="7">
        <v>0</v>
      </c>
      <c r="BI468" s="7">
        <v>0</v>
      </c>
      <c r="BJ468" s="7">
        <v>0</v>
      </c>
      <c r="BK468" s="7">
        <v>0</v>
      </c>
      <c r="BL468" s="7">
        <v>0</v>
      </c>
      <c r="BM468" s="11">
        <v>200</v>
      </c>
      <c r="BN468" s="13">
        <f t="shared" si="14"/>
        <v>200</v>
      </c>
      <c r="BO468" s="14">
        <f t="shared" si="15"/>
        <v>140</v>
      </c>
    </row>
    <row r="469" spans="1:67" x14ac:dyDescent="0.4">
      <c r="A469" s="5" t="s">
        <v>537</v>
      </c>
      <c r="B469" s="5" t="s">
        <v>237</v>
      </c>
      <c r="C469" s="5">
        <v>434877</v>
      </c>
      <c r="D469" s="6"/>
      <c r="E469" s="5" t="s">
        <v>31</v>
      </c>
      <c r="F469" s="5" t="s">
        <v>238</v>
      </c>
      <c r="G469" s="5" t="s">
        <v>11</v>
      </c>
      <c r="H469" s="7" t="s">
        <v>7</v>
      </c>
      <c r="I469" s="7" t="s">
        <v>239</v>
      </c>
      <c r="J469" s="7">
        <v>2</v>
      </c>
      <c r="K469" s="7">
        <v>0</v>
      </c>
      <c r="L469" s="7">
        <v>200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0</v>
      </c>
      <c r="AL469" s="7">
        <v>0</v>
      </c>
      <c r="AM469" s="7">
        <v>0</v>
      </c>
      <c r="AN469" s="7">
        <v>0</v>
      </c>
      <c r="AO469" s="7">
        <v>0</v>
      </c>
      <c r="AP469" s="7">
        <v>0</v>
      </c>
      <c r="AQ469" s="7">
        <v>0</v>
      </c>
      <c r="AR469" s="7">
        <v>0</v>
      </c>
      <c r="AS469" s="7">
        <v>0</v>
      </c>
      <c r="AT469" s="7">
        <v>0</v>
      </c>
      <c r="AU469" s="7">
        <v>0</v>
      </c>
      <c r="AV469" s="7">
        <v>0</v>
      </c>
      <c r="AW469" s="7">
        <v>0</v>
      </c>
      <c r="AX469" s="7">
        <v>0</v>
      </c>
      <c r="AY469" s="7">
        <v>0</v>
      </c>
      <c r="AZ469" s="7">
        <v>0</v>
      </c>
      <c r="BA469" s="7">
        <v>0</v>
      </c>
      <c r="BB469" s="7">
        <v>0</v>
      </c>
      <c r="BC469" s="7">
        <v>0</v>
      </c>
      <c r="BD469" s="7">
        <v>0</v>
      </c>
      <c r="BE469" s="7">
        <v>0</v>
      </c>
      <c r="BF469" s="7">
        <v>0</v>
      </c>
      <c r="BG469" s="7">
        <v>0</v>
      </c>
      <c r="BH469" s="7">
        <v>0</v>
      </c>
      <c r="BI469" s="7">
        <v>0</v>
      </c>
      <c r="BJ469" s="7">
        <v>0</v>
      </c>
      <c r="BK469" s="7">
        <v>0</v>
      </c>
      <c r="BL469" s="7">
        <v>0</v>
      </c>
      <c r="BM469" s="11">
        <v>200</v>
      </c>
      <c r="BN469" s="13">
        <f t="shared" si="14"/>
        <v>200</v>
      </c>
      <c r="BO469" s="14">
        <f t="shared" si="15"/>
        <v>140</v>
      </c>
    </row>
    <row r="470" spans="1:67" ht="19.2" x14ac:dyDescent="0.4">
      <c r="A470" s="5" t="s">
        <v>537</v>
      </c>
      <c r="B470" s="5" t="s">
        <v>271</v>
      </c>
      <c r="C470" s="5">
        <v>469072</v>
      </c>
      <c r="D470" s="6"/>
      <c r="E470" s="5" t="s">
        <v>31</v>
      </c>
      <c r="F470" s="5" t="s">
        <v>185</v>
      </c>
      <c r="G470" s="5" t="s">
        <v>51</v>
      </c>
      <c r="H470" s="7" t="s">
        <v>8</v>
      </c>
      <c r="I470" s="7" t="s">
        <v>272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  <c r="AC470" s="7">
        <v>0</v>
      </c>
      <c r="AD470" s="7">
        <v>0</v>
      </c>
      <c r="AE470" s="7">
        <v>1</v>
      </c>
      <c r="AF470" s="7">
        <v>100</v>
      </c>
      <c r="AG470" s="7">
        <v>0</v>
      </c>
      <c r="AH470" s="7">
        <v>0</v>
      </c>
      <c r="AI470" s="7">
        <v>0</v>
      </c>
      <c r="AJ470" s="7">
        <v>0</v>
      </c>
      <c r="AK470" s="7">
        <v>0</v>
      </c>
      <c r="AL470" s="7">
        <v>0</v>
      </c>
      <c r="AM470" s="7">
        <v>0</v>
      </c>
      <c r="AN470" s="7">
        <v>0</v>
      </c>
      <c r="AO470" s="7">
        <v>0</v>
      </c>
      <c r="AP470" s="7">
        <v>0</v>
      </c>
      <c r="AQ470" s="7">
        <v>1</v>
      </c>
      <c r="AR470" s="7">
        <v>100</v>
      </c>
      <c r="AS470" s="7">
        <v>0</v>
      </c>
      <c r="AT470" s="7">
        <v>0</v>
      </c>
      <c r="AU470" s="7">
        <v>0</v>
      </c>
      <c r="AV470" s="7">
        <v>0</v>
      </c>
      <c r="AW470" s="7">
        <v>0</v>
      </c>
      <c r="AX470" s="7">
        <v>0</v>
      </c>
      <c r="AY470" s="7">
        <v>0</v>
      </c>
      <c r="AZ470" s="7">
        <v>0</v>
      </c>
      <c r="BA470" s="7">
        <v>0</v>
      </c>
      <c r="BB470" s="7">
        <v>0</v>
      </c>
      <c r="BC470" s="7">
        <v>0</v>
      </c>
      <c r="BD470" s="7">
        <v>0</v>
      </c>
      <c r="BE470" s="7">
        <v>0</v>
      </c>
      <c r="BF470" s="7">
        <v>0</v>
      </c>
      <c r="BG470" s="7">
        <v>0</v>
      </c>
      <c r="BH470" s="7">
        <v>0</v>
      </c>
      <c r="BI470" s="7">
        <v>0</v>
      </c>
      <c r="BJ470" s="7">
        <v>0</v>
      </c>
      <c r="BK470" s="7">
        <v>0</v>
      </c>
      <c r="BL470" s="7">
        <v>0</v>
      </c>
      <c r="BM470" s="11">
        <v>200</v>
      </c>
      <c r="BN470" s="13">
        <f t="shared" si="14"/>
        <v>200</v>
      </c>
      <c r="BO470" s="14">
        <f t="shared" si="15"/>
        <v>140</v>
      </c>
    </row>
    <row r="471" spans="1:67" x14ac:dyDescent="0.4">
      <c r="A471" s="5" t="s">
        <v>537</v>
      </c>
      <c r="B471" s="5" t="s">
        <v>297</v>
      </c>
      <c r="C471" s="5">
        <v>417258</v>
      </c>
      <c r="D471" s="6"/>
      <c r="E471" s="5" t="s">
        <v>31</v>
      </c>
      <c r="F471" s="5" t="s">
        <v>298</v>
      </c>
      <c r="G471" s="5" t="s">
        <v>51</v>
      </c>
      <c r="H471" s="7" t="s">
        <v>8</v>
      </c>
      <c r="I471" s="7" t="s">
        <v>299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7">
        <v>0</v>
      </c>
      <c r="AK471" s="7">
        <v>1</v>
      </c>
      <c r="AL471" s="7">
        <v>120</v>
      </c>
      <c r="AM471" s="7">
        <v>0</v>
      </c>
      <c r="AN471" s="7">
        <v>0</v>
      </c>
      <c r="AO471" s="7">
        <v>0</v>
      </c>
      <c r="AP471" s="7">
        <v>0</v>
      </c>
      <c r="AQ471" s="7">
        <v>0</v>
      </c>
      <c r="AR471" s="7">
        <v>0</v>
      </c>
      <c r="AS471" s="7">
        <v>0</v>
      </c>
      <c r="AT471" s="7">
        <v>0</v>
      </c>
      <c r="AU471" s="7">
        <v>0</v>
      </c>
      <c r="AV471" s="7">
        <v>0</v>
      </c>
      <c r="AW471" s="7">
        <v>0</v>
      </c>
      <c r="AX471" s="7">
        <v>0</v>
      </c>
      <c r="AY471" s="7">
        <v>0</v>
      </c>
      <c r="AZ471" s="7">
        <v>0</v>
      </c>
      <c r="BA471" s="7">
        <v>0</v>
      </c>
      <c r="BB471" s="7">
        <v>0</v>
      </c>
      <c r="BC471" s="7">
        <v>0</v>
      </c>
      <c r="BD471" s="7">
        <v>0</v>
      </c>
      <c r="BE471" s="7">
        <v>0</v>
      </c>
      <c r="BF471" s="7">
        <v>0</v>
      </c>
      <c r="BG471" s="7">
        <v>0</v>
      </c>
      <c r="BH471" s="7">
        <v>0</v>
      </c>
      <c r="BI471" s="7">
        <v>0</v>
      </c>
      <c r="BJ471" s="7">
        <v>0</v>
      </c>
      <c r="BK471" s="7">
        <v>0</v>
      </c>
      <c r="BL471" s="7">
        <v>36</v>
      </c>
      <c r="BM471" s="11">
        <v>120</v>
      </c>
      <c r="BN471" s="13">
        <f t="shared" si="14"/>
        <v>84</v>
      </c>
      <c r="BO471" s="14">
        <f t="shared" si="15"/>
        <v>58.8</v>
      </c>
    </row>
    <row r="472" spans="1:67" x14ac:dyDescent="0.4">
      <c r="A472" s="5" t="s">
        <v>537</v>
      </c>
      <c r="B472" s="5" t="s">
        <v>116</v>
      </c>
      <c r="C472" s="5">
        <v>388999</v>
      </c>
      <c r="D472" s="6"/>
      <c r="E472" s="5" t="s">
        <v>31</v>
      </c>
      <c r="F472" s="5" t="s">
        <v>84</v>
      </c>
      <c r="G472" s="5" t="s">
        <v>11</v>
      </c>
      <c r="H472" s="7" t="s">
        <v>7</v>
      </c>
      <c r="I472" s="7" t="s">
        <v>117</v>
      </c>
      <c r="J472" s="7">
        <v>0</v>
      </c>
      <c r="K472" s="7">
        <v>6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0</v>
      </c>
      <c r="AA472" s="7">
        <v>0</v>
      </c>
      <c r="AB472" s="7">
        <v>0</v>
      </c>
      <c r="AC472" s="7">
        <v>0</v>
      </c>
      <c r="AD472" s="7">
        <v>0</v>
      </c>
      <c r="AE472" s="7">
        <v>0</v>
      </c>
      <c r="AF472" s="7">
        <v>0</v>
      </c>
      <c r="AG472" s="7">
        <v>0</v>
      </c>
      <c r="AH472" s="7">
        <v>0</v>
      </c>
      <c r="AI472" s="7">
        <v>0</v>
      </c>
      <c r="AJ472" s="7">
        <v>0</v>
      </c>
      <c r="AK472" s="7">
        <v>1</v>
      </c>
      <c r="AL472" s="7">
        <v>0</v>
      </c>
      <c r="AM472" s="7">
        <v>100</v>
      </c>
      <c r="AN472" s="7">
        <v>0</v>
      </c>
      <c r="AO472" s="7">
        <v>0</v>
      </c>
      <c r="AP472" s="7">
        <v>0</v>
      </c>
      <c r="AQ472" s="7">
        <v>0</v>
      </c>
      <c r="AR472" s="7">
        <v>0</v>
      </c>
      <c r="AS472" s="7">
        <v>0</v>
      </c>
      <c r="AT472" s="7">
        <v>0</v>
      </c>
      <c r="AU472" s="7">
        <v>0</v>
      </c>
      <c r="AV472" s="7">
        <v>0</v>
      </c>
      <c r="AW472" s="7">
        <v>0</v>
      </c>
      <c r="AX472" s="7">
        <v>0</v>
      </c>
      <c r="AY472" s="7">
        <v>0</v>
      </c>
      <c r="AZ472" s="7">
        <v>0</v>
      </c>
      <c r="BA472" s="7">
        <v>0</v>
      </c>
      <c r="BB472" s="7">
        <v>0</v>
      </c>
      <c r="BC472" s="7">
        <v>0</v>
      </c>
      <c r="BD472" s="7">
        <v>0</v>
      </c>
      <c r="BE472" s="7">
        <v>0</v>
      </c>
      <c r="BF472" s="7">
        <v>0</v>
      </c>
      <c r="BG472" s="7">
        <v>0</v>
      </c>
      <c r="BH472" s="7">
        <v>0</v>
      </c>
      <c r="BI472" s="7">
        <v>0</v>
      </c>
      <c r="BJ472" s="7">
        <v>0</v>
      </c>
      <c r="BK472" s="7">
        <v>0</v>
      </c>
      <c r="BL472" s="7">
        <v>0</v>
      </c>
      <c r="BM472" s="11">
        <v>100</v>
      </c>
      <c r="BN472" s="13">
        <f t="shared" si="14"/>
        <v>100</v>
      </c>
      <c r="BO472" s="14">
        <f t="shared" si="15"/>
        <v>70</v>
      </c>
    </row>
    <row r="473" spans="1:67" x14ac:dyDescent="0.4">
      <c r="A473" s="5" t="s">
        <v>537</v>
      </c>
      <c r="B473" s="5" t="s">
        <v>262</v>
      </c>
      <c r="C473" s="5">
        <v>305522</v>
      </c>
      <c r="D473" s="6"/>
      <c r="E473" s="5" t="s">
        <v>31</v>
      </c>
      <c r="F473" s="5" t="s">
        <v>58</v>
      </c>
      <c r="G473" s="5" t="s">
        <v>51</v>
      </c>
      <c r="H473" s="7" t="s">
        <v>8</v>
      </c>
      <c r="I473" s="7" t="s">
        <v>263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7">
        <v>0</v>
      </c>
      <c r="AK473" s="7">
        <v>1</v>
      </c>
      <c r="AL473" s="7">
        <v>0</v>
      </c>
      <c r="AM473" s="7">
        <v>100</v>
      </c>
      <c r="AN473" s="7">
        <v>0</v>
      </c>
      <c r="AO473" s="7">
        <v>0</v>
      </c>
      <c r="AP473" s="7">
        <v>0</v>
      </c>
      <c r="AQ473" s="7">
        <v>0</v>
      </c>
      <c r="AR473" s="7">
        <v>0</v>
      </c>
      <c r="AS473" s="7">
        <v>0</v>
      </c>
      <c r="AT473" s="7">
        <v>0</v>
      </c>
      <c r="AU473" s="7">
        <v>0</v>
      </c>
      <c r="AV473" s="7">
        <v>0</v>
      </c>
      <c r="AW473" s="7">
        <v>0</v>
      </c>
      <c r="AX473" s="7">
        <v>0</v>
      </c>
      <c r="AY473" s="7">
        <v>0</v>
      </c>
      <c r="AZ473" s="7">
        <v>0</v>
      </c>
      <c r="BA473" s="7">
        <v>0</v>
      </c>
      <c r="BB473" s="7">
        <v>0</v>
      </c>
      <c r="BC473" s="7">
        <v>0</v>
      </c>
      <c r="BD473" s="7">
        <v>0</v>
      </c>
      <c r="BE473" s="7">
        <v>0</v>
      </c>
      <c r="BF473" s="7">
        <v>0</v>
      </c>
      <c r="BG473" s="7">
        <v>0</v>
      </c>
      <c r="BH473" s="7">
        <v>0</v>
      </c>
      <c r="BI473" s="7">
        <v>0</v>
      </c>
      <c r="BJ473" s="7">
        <v>0</v>
      </c>
      <c r="BK473" s="7">
        <v>0</v>
      </c>
      <c r="BL473" s="7">
        <v>0</v>
      </c>
      <c r="BM473" s="11">
        <v>100</v>
      </c>
      <c r="BN473" s="13">
        <f t="shared" ref="BN473:BN476" si="16">BM473-BL473</f>
        <v>100</v>
      </c>
      <c r="BO473" s="14">
        <f t="shared" ref="BO473:BO476" si="17">BN473*70%</f>
        <v>70</v>
      </c>
    </row>
    <row r="474" spans="1:67" x14ac:dyDescent="0.4">
      <c r="A474" s="5" t="s">
        <v>537</v>
      </c>
      <c r="B474" s="5" t="s">
        <v>240</v>
      </c>
      <c r="C474" s="5">
        <v>434558</v>
      </c>
      <c r="D474" s="6"/>
      <c r="E474" s="5" t="s">
        <v>31</v>
      </c>
      <c r="F474" s="5" t="s">
        <v>241</v>
      </c>
      <c r="G474" s="5" t="s">
        <v>11</v>
      </c>
      <c r="H474" s="7" t="s">
        <v>7</v>
      </c>
      <c r="I474" s="7" t="s">
        <v>242</v>
      </c>
      <c r="J474" s="7">
        <v>1</v>
      </c>
      <c r="K474" s="7">
        <v>0</v>
      </c>
      <c r="L474" s="7">
        <v>100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0</v>
      </c>
      <c r="AC474" s="7">
        <v>0</v>
      </c>
      <c r="AD474" s="7">
        <v>0</v>
      </c>
      <c r="AE474" s="7">
        <v>0</v>
      </c>
      <c r="AF474" s="7">
        <v>0</v>
      </c>
      <c r="AG474" s="7">
        <v>0</v>
      </c>
      <c r="AH474" s="7">
        <v>0</v>
      </c>
      <c r="AI474" s="7">
        <v>0</v>
      </c>
      <c r="AJ474" s="7">
        <v>0</v>
      </c>
      <c r="AK474" s="7">
        <v>0</v>
      </c>
      <c r="AL474" s="7">
        <v>0</v>
      </c>
      <c r="AM474" s="7">
        <v>0</v>
      </c>
      <c r="AN474" s="7">
        <v>0</v>
      </c>
      <c r="AO474" s="7">
        <v>0</v>
      </c>
      <c r="AP474" s="7">
        <v>0</v>
      </c>
      <c r="AQ474" s="7">
        <v>0</v>
      </c>
      <c r="AR474" s="7">
        <v>0</v>
      </c>
      <c r="AS474" s="7">
        <v>0</v>
      </c>
      <c r="AT474" s="7">
        <v>0</v>
      </c>
      <c r="AU474" s="7">
        <v>0</v>
      </c>
      <c r="AV474" s="7">
        <v>0</v>
      </c>
      <c r="AW474" s="7">
        <v>0</v>
      </c>
      <c r="AX474" s="7">
        <v>0</v>
      </c>
      <c r="AY474" s="7">
        <v>0</v>
      </c>
      <c r="AZ474" s="7">
        <v>0</v>
      </c>
      <c r="BA474" s="7">
        <v>0</v>
      </c>
      <c r="BB474" s="7">
        <v>0</v>
      </c>
      <c r="BC474" s="7">
        <v>0</v>
      </c>
      <c r="BD474" s="7">
        <v>0</v>
      </c>
      <c r="BE474" s="7">
        <v>0</v>
      </c>
      <c r="BF474" s="7">
        <v>0</v>
      </c>
      <c r="BG474" s="7">
        <v>0</v>
      </c>
      <c r="BH474" s="7">
        <v>0</v>
      </c>
      <c r="BI474" s="7">
        <v>0</v>
      </c>
      <c r="BJ474" s="7">
        <v>0</v>
      </c>
      <c r="BK474" s="7">
        <v>0</v>
      </c>
      <c r="BL474" s="7">
        <v>0</v>
      </c>
      <c r="BM474" s="11">
        <v>100</v>
      </c>
      <c r="BN474" s="13">
        <f t="shared" si="16"/>
        <v>100</v>
      </c>
      <c r="BO474" s="14">
        <f t="shared" si="17"/>
        <v>70</v>
      </c>
    </row>
    <row r="475" spans="1:67" x14ac:dyDescent="0.4">
      <c r="A475" s="5" t="s">
        <v>537</v>
      </c>
      <c r="B475" s="5" t="s">
        <v>234</v>
      </c>
      <c r="C475" s="5">
        <v>407733</v>
      </c>
      <c r="D475" s="6"/>
      <c r="E475" s="5" t="s">
        <v>31</v>
      </c>
      <c r="F475" s="5" t="s">
        <v>47</v>
      </c>
      <c r="G475" s="5" t="s">
        <v>11</v>
      </c>
      <c r="H475" s="7" t="s">
        <v>7</v>
      </c>
      <c r="I475" s="7" t="s">
        <v>235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s="7">
        <v>0</v>
      </c>
      <c r="AL475" s="7">
        <v>0</v>
      </c>
      <c r="AM475" s="7">
        <v>0</v>
      </c>
      <c r="AN475" s="7">
        <v>0</v>
      </c>
      <c r="AO475" s="7">
        <v>0</v>
      </c>
      <c r="AP475" s="7">
        <v>0</v>
      </c>
      <c r="AQ475" s="7">
        <v>1</v>
      </c>
      <c r="AR475" s="7">
        <v>100</v>
      </c>
      <c r="AS475" s="7">
        <v>0</v>
      </c>
      <c r="AT475" s="7">
        <v>0</v>
      </c>
      <c r="AU475" s="7">
        <v>0</v>
      </c>
      <c r="AV475" s="7">
        <v>0</v>
      </c>
      <c r="AW475" s="7">
        <v>0</v>
      </c>
      <c r="AX475" s="7">
        <v>0</v>
      </c>
      <c r="AY475" s="7">
        <v>0</v>
      </c>
      <c r="AZ475" s="7">
        <v>0</v>
      </c>
      <c r="BA475" s="7">
        <v>0</v>
      </c>
      <c r="BB475" s="7">
        <v>0</v>
      </c>
      <c r="BC475" s="7">
        <v>0</v>
      </c>
      <c r="BD475" s="7">
        <v>0</v>
      </c>
      <c r="BE475" s="7">
        <v>0</v>
      </c>
      <c r="BF475" s="7">
        <v>0</v>
      </c>
      <c r="BG475" s="7">
        <v>0</v>
      </c>
      <c r="BH475" s="7">
        <v>0</v>
      </c>
      <c r="BI475" s="7">
        <v>0</v>
      </c>
      <c r="BJ475" s="7">
        <v>0</v>
      </c>
      <c r="BK475" s="7">
        <v>0</v>
      </c>
      <c r="BL475" s="7">
        <v>0</v>
      </c>
      <c r="BM475" s="11">
        <v>100</v>
      </c>
      <c r="BN475" s="13">
        <f t="shared" si="16"/>
        <v>100</v>
      </c>
      <c r="BO475" s="14">
        <f t="shared" si="17"/>
        <v>70</v>
      </c>
    </row>
    <row r="476" spans="1:67" x14ac:dyDescent="0.4">
      <c r="A476" s="5" t="s">
        <v>537</v>
      </c>
      <c r="B476" s="5" t="s">
        <v>536</v>
      </c>
      <c r="C476" s="5">
        <v>410076</v>
      </c>
      <c r="D476" s="6"/>
      <c r="E476" s="5" t="s">
        <v>31</v>
      </c>
      <c r="F476" s="5" t="s">
        <v>84</v>
      </c>
      <c r="G476" s="5" t="s">
        <v>11</v>
      </c>
      <c r="H476" s="7" t="s">
        <v>7</v>
      </c>
      <c r="I476" s="7" t="s">
        <v>236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0</v>
      </c>
      <c r="AB476" s="7">
        <v>0</v>
      </c>
      <c r="AC476" s="7">
        <v>0</v>
      </c>
      <c r="AD476" s="7">
        <v>0</v>
      </c>
      <c r="AE476" s="7">
        <v>-1</v>
      </c>
      <c r="AF476" s="7">
        <v>0</v>
      </c>
      <c r="AG476" s="8">
        <v>-1800</v>
      </c>
      <c r="AH476" s="7">
        <v>0</v>
      </c>
      <c r="AI476" s="7">
        <v>0</v>
      </c>
      <c r="AJ476" s="7">
        <v>0</v>
      </c>
      <c r="AK476" s="7">
        <v>-1</v>
      </c>
      <c r="AL476" s="7">
        <v>0</v>
      </c>
      <c r="AM476" s="8">
        <v>-1200</v>
      </c>
      <c r="AN476" s="7">
        <v>0</v>
      </c>
      <c r="AO476" s="7">
        <v>0</v>
      </c>
      <c r="AP476" s="7">
        <v>0</v>
      </c>
      <c r="AQ476" s="7">
        <v>-1</v>
      </c>
      <c r="AR476" s="7">
        <v>0</v>
      </c>
      <c r="AS476" s="7">
        <v>-200</v>
      </c>
      <c r="AT476" s="7">
        <v>0</v>
      </c>
      <c r="AU476" s="7">
        <v>0</v>
      </c>
      <c r="AV476" s="7">
        <v>0</v>
      </c>
      <c r="AW476" s="7">
        <v>0</v>
      </c>
      <c r="AX476" s="7">
        <v>0</v>
      </c>
      <c r="AY476" s="7">
        <v>0</v>
      </c>
      <c r="AZ476" s="7">
        <v>0</v>
      </c>
      <c r="BA476" s="7">
        <v>0</v>
      </c>
      <c r="BB476" s="7">
        <v>0</v>
      </c>
      <c r="BC476" s="7">
        <v>0</v>
      </c>
      <c r="BD476" s="7">
        <v>0</v>
      </c>
      <c r="BE476" s="7">
        <v>0</v>
      </c>
      <c r="BF476" s="7">
        <v>0</v>
      </c>
      <c r="BG476" s="7">
        <v>0</v>
      </c>
      <c r="BH476" s="7">
        <v>0</v>
      </c>
      <c r="BI476" s="7">
        <v>0</v>
      </c>
      <c r="BJ476" s="7">
        <v>0</v>
      </c>
      <c r="BK476" s="7">
        <v>0</v>
      </c>
      <c r="BL476" s="7">
        <v>0</v>
      </c>
      <c r="BM476" s="10">
        <v>-3200</v>
      </c>
      <c r="BN476" s="13">
        <f t="shared" si="16"/>
        <v>-3200</v>
      </c>
      <c r="BO476" s="14">
        <f t="shared" si="17"/>
        <v>-2240</v>
      </c>
    </row>
    <row r="477" spans="1:67" x14ac:dyDescent="0.4">
      <c r="BL477" s="13">
        <f>SUM(BL2:BL476)</f>
        <v>3798214.4999999986</v>
      </c>
      <c r="BM477" s="13">
        <f>SUM(BM2:BM476)</f>
        <v>91996519</v>
      </c>
      <c r="BN477" s="13">
        <f>SUM(BN2:BN476)</f>
        <v>88198304.499999985</v>
      </c>
      <c r="BO477" s="18">
        <f>SUM(BO2:BO476)</f>
        <v>61738813.150000006</v>
      </c>
    </row>
    <row r="478" spans="1:67" x14ac:dyDescent="0.4">
      <c r="BO478" s="17"/>
    </row>
    <row r="479" spans="1:67" x14ac:dyDescent="0.4">
      <c r="BN479" s="13"/>
      <c r="BO479" s="16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2022-07-05T05:48:05Z</dcterms:modified>
</cp:coreProperties>
</file>