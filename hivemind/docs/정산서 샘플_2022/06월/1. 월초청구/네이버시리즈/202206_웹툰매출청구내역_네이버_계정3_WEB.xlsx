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L34" i="412" l="1"/>
  <c r="BM34" i="412"/>
  <c r="BN25" i="412" l="1"/>
  <c r="BO25" i="412" s="1"/>
  <c r="BN26" i="412"/>
  <c r="BO26" i="412" s="1"/>
  <c r="BN27" i="412"/>
  <c r="BO27" i="412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" i="412"/>
  <c r="BN34" i="412" l="1"/>
  <c r="BO2" i="412"/>
  <c r="BO34" i="412" s="1"/>
</calcChain>
</file>

<file path=xl/sharedStrings.xml><?xml version="1.0" encoding="utf-8"?>
<sst xmlns="http://schemas.openxmlformats.org/spreadsheetml/2006/main" count="291" uniqueCount="82">
  <si>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</si>
  <si>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</si>
  <si>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</si>
  <si>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</si>
  <si>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</si>
  <si>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</si>
  <si>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</si>
  <si>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</si>
  <si>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</si>
  <si>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</si>
  <si>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</si>
  <si>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</si>
  <si>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</si>
  <si>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</si>
  <si>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</si>
  <si>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</si>
  <si>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</si>
  <si>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</si>
  <si>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</si>
  <si>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</si>
  <si>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</si>
  <si>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</si>
  <si>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</si>
  <si>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</si>
  <si>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</si>
  <si>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</si>
  <si>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</si>
  <si>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</si>
  <si>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</si>
  <si>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</si>
  <si>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</si>
  <si>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</si>
  <si>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</si>
  <si>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</si>
  <si>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폭군의 눈물</t>
  </si>
  <si>
    <t>Ice×FANFAN COMIC</t>
  </si>
  <si>
    <t>2022.03.16</t>
  </si>
  <si>
    <t>악역이지만, 남주는 꼬시지 않아요</t>
  </si>
  <si>
    <t>kuri</t>
  </si>
  <si>
    <t>최애에게 들켜버렸다</t>
  </si>
  <si>
    <t>Lv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</si>
  <si>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</si>
  <si>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</si>
  <si>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</si>
  <si>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</si>
  <si>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</si>
  <si>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</si>
  <si>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</si>
  <si>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</si>
  <si>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공주전쟁</t>
  </si>
  <si>
    <t>Luojie</t>
  </si>
  <si>
    <t>결혼전쟁</t>
  </si>
  <si>
    <t>성c네</t>
  </si>
  <si>
    <t>2018.09.30</t>
  </si>
  <si>
    <t>보스 오빠, 살살!</t>
  </si>
  <si>
    <t>웹티, 올코</t>
  </si>
  <si>
    <t>2021.12.04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</si>
  <si>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</si>
  <si>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</si>
  <si>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</si>
  <si>
    <t>너랑 나랑 하면[BL]</t>
  </si>
  <si>
    <t>NISANSUI/ZIQUAN</t>
  </si>
  <si>
    <t>2022.02.09</t>
  </si>
  <si>
    <t>2020.07.13</t>
  </si>
  <si>
    <t>폐하, 옥체 보존하세요!</t>
  </si>
  <si>
    <t>IvyeqianheXyouzhijiaozi</t>
  </si>
  <si>
    <t>요괴님은 수련중</t>
  </si>
  <si>
    <t>망북</t>
  </si>
  <si>
    <t>커피여우 김삼월</t>
  </si>
  <si>
    <t>A.Noa, RK Studio</t>
  </si>
  <si>
    <t>슈트 오브 스파이</t>
  </si>
  <si>
    <t>11hook</t>
  </si>
  <si>
    <t>2022.03.01</t>
  </si>
  <si>
    <t>엔젤일진</t>
  </si>
  <si>
    <t>대운</t>
  </si>
  <si>
    <t>2022.05.08</t>
  </si>
  <si>
    <t>2022.07.01</t>
  </si>
  <si>
    <t>2022.06.29</t>
  </si>
  <si>
    <t>2022.06.30</t>
  </si>
  <si>
    <t>심연의 눈</t>
  </si>
  <si>
    <t>M.C.K.</t>
  </si>
  <si>
    <t>2022.07.04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</si>
</sst>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19" fillId="33" borderId="0" xfId="42" applyFont="1" applyFill="1" applyAlignment="1">
      <alignment horizontal="center" vertical="center" wrapText="1"/>
    </xf>
    <xf numFmtId="41" fontId="18" fillId="0" borderId="0" xfId="42" applyFont="1" applyAlignment="1">
      <alignment vertical="center" wrapText="1"/>
    </xf>
    <xf numFmtId="41" fontId="21" fillId="0" borderId="0" xfId="42" applyFont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50"/>
  <sheetViews>
    <sheetView tabSelected="1" zoomScaleNormal="100" workbookViewId="0">
      <pane xSplit="9" ySplit="1" topLeftCell="BH20" activePane="bottomRight" state="frozen"/>
      <selection pane="topRight" activeCell="J1" sqref="J1"/>
      <selection pane="bottomLeft" activeCell="A2" sqref="A2"/>
      <selection pane="bottomRight" activeCell="BH25" sqref="BH25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3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5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6" t="s">
        <v>24</v>
      </c>
      <c r="BO1" s="16" t="s">
        <v>25</v>
      </c>
    </row>
    <row r="2" spans="1:67" x14ac:dyDescent="0.4">
      <c r="A2" s="5" t="s">
        <v>57</v>
      </c>
      <c r="B2" s="5" t="s">
        <v>49</v>
      </c>
      <c r="C2" s="5">
        <v>423525</v>
      </c>
      <c r="D2" s="6"/>
      <c r="E2" s="5" t="s">
        <v>30</v>
      </c>
      <c r="F2" s="5" t="s">
        <v>50</v>
      </c>
      <c r="G2" s="5" t="s">
        <v>11</v>
      </c>
      <c r="H2" s="7" t="s">
        <v>7</v>
      </c>
      <c r="I2" s="7" t="s">
        <v>76</v>
      </c>
      <c r="J2" s="7">
        <v>0</v>
      </c>
      <c r="K2" s="7">
        <v>9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3</v>
      </c>
      <c r="AC2" s="7">
        <v>600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1">
        <v>600</v>
      </c>
      <c r="BN2" s="13">
        <f t="shared" ref="BN2:BN33" si="0">BM2-BL2</f>
        <v>600</v>
      </c>
      <c r="BO2" s="14">
        <f t="shared" ref="BO2:BO33" si="1">BN2*70%</f>
        <v>420</v>
      </c>
    </row>
    <row r="3" spans="1:67" x14ac:dyDescent="0.4">
      <c r="A3" s="5" t="s">
        <v>57</v>
      </c>
      <c r="B3" s="5" t="s">
        <v>68</v>
      </c>
      <c r="C3" s="5">
        <v>464964</v>
      </c>
      <c r="D3" s="6"/>
      <c r="E3" s="5" t="s">
        <v>30</v>
      </c>
      <c r="F3" s="5" t="s">
        <v>69</v>
      </c>
      <c r="G3" s="5" t="s">
        <v>11</v>
      </c>
      <c r="H3" s="7" t="s">
        <v>7</v>
      </c>
      <c r="I3" s="7" t="s">
        <v>77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</v>
      </c>
      <c r="AF3" s="7">
        <v>500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1">
        <v>500</v>
      </c>
      <c r="BN3" s="13">
        <f t="shared" si="0"/>
        <v>500</v>
      </c>
      <c r="BO3" s="14">
        <f t="shared" si="1"/>
        <v>350</v>
      </c>
    </row>
    <row r="4" spans="1:67" x14ac:dyDescent="0.4">
      <c r="A4" s="5" t="s">
        <v>57</v>
      </c>
      <c r="B4" s="5" t="s">
        <v>32</v>
      </c>
      <c r="C4" s="5">
        <v>465463</v>
      </c>
      <c r="D4" s="6"/>
      <c r="E4" s="5" t="s">
        <v>30</v>
      </c>
      <c r="F4" s="5" t="s">
        <v>33</v>
      </c>
      <c r="G4" s="5" t="s">
        <v>11</v>
      </c>
      <c r="H4" s="7" t="s">
        <v>10</v>
      </c>
      <c r="I4" s="7" t="s">
        <v>77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</v>
      </c>
      <c r="AC4" s="7">
        <v>200</v>
      </c>
      <c r="AD4" s="7">
        <v>200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1">
        <v>400</v>
      </c>
      <c r="BN4" s="13">
        <f t="shared" si="0"/>
        <v>400</v>
      </c>
      <c r="BO4" s="14">
        <f t="shared" si="1"/>
        <v>280</v>
      </c>
    </row>
    <row r="5" spans="1:67" x14ac:dyDescent="0.4">
      <c r="A5" s="5" t="s">
        <v>57</v>
      </c>
      <c r="B5" s="5" t="s">
        <v>37</v>
      </c>
      <c r="C5" s="5">
        <v>465461</v>
      </c>
      <c r="D5" s="6"/>
      <c r="E5" s="5" t="s">
        <v>30</v>
      </c>
      <c r="F5" s="5" t="s">
        <v>38</v>
      </c>
      <c r="G5" s="5" t="s">
        <v>11</v>
      </c>
      <c r="H5" s="7" t="s">
        <v>7</v>
      </c>
      <c r="I5" s="7" t="s">
        <v>76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1</v>
      </c>
      <c r="BG5" s="7">
        <v>240</v>
      </c>
      <c r="BH5" s="7">
        <v>0</v>
      </c>
      <c r="BI5" s="7">
        <v>0</v>
      </c>
      <c r="BJ5" s="7">
        <v>0</v>
      </c>
      <c r="BK5" s="7">
        <v>0</v>
      </c>
      <c r="BL5" s="7">
        <v>12</v>
      </c>
      <c r="BM5" s="11">
        <v>240</v>
      </c>
      <c r="BN5" s="13">
        <f t="shared" si="0"/>
        <v>228</v>
      </c>
      <c r="BO5" s="14">
        <f t="shared" si="1"/>
        <v>159.6</v>
      </c>
    </row>
    <row r="6" spans="1:67" x14ac:dyDescent="0.4">
      <c r="A6" s="5" t="s">
        <v>57</v>
      </c>
      <c r="B6" s="5" t="s">
        <v>47</v>
      </c>
      <c r="C6" s="5">
        <v>467630</v>
      </c>
      <c r="D6" s="6"/>
      <c r="E6" s="5" t="s">
        <v>30</v>
      </c>
      <c r="F6" s="5" t="s">
        <v>48</v>
      </c>
      <c r="G6" s="5" t="s">
        <v>11</v>
      </c>
      <c r="H6" s="7" t="s">
        <v>8</v>
      </c>
      <c r="I6" s="7" t="s">
        <v>28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200</v>
      </c>
      <c r="BN6" s="13">
        <f t="shared" si="0"/>
        <v>200</v>
      </c>
      <c r="BO6" s="14">
        <f t="shared" si="1"/>
        <v>140</v>
      </c>
    </row>
    <row r="7" spans="1:67" ht="19.2" x14ac:dyDescent="0.4">
      <c r="A7" s="5" t="s">
        <v>57</v>
      </c>
      <c r="B7" s="5" t="s">
        <v>60</v>
      </c>
      <c r="C7" s="5">
        <v>412451</v>
      </c>
      <c r="D7" s="6"/>
      <c r="E7" s="5" t="s">
        <v>30</v>
      </c>
      <c r="F7" s="5" t="s">
        <v>61</v>
      </c>
      <c r="G7" s="5" t="s">
        <v>11</v>
      </c>
      <c r="H7" s="7" t="s">
        <v>8</v>
      </c>
      <c r="I7" s="7" t="s">
        <v>62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200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200</v>
      </c>
      <c r="BN7" s="13">
        <f t="shared" si="0"/>
        <v>200</v>
      </c>
      <c r="BO7" s="14">
        <f t="shared" si="1"/>
        <v>140</v>
      </c>
    </row>
    <row r="8" spans="1:67" x14ac:dyDescent="0.4">
      <c r="A8" s="5" t="s">
        <v>57</v>
      </c>
      <c r="B8" s="5" t="s">
        <v>39</v>
      </c>
      <c r="C8" s="5">
        <v>432749</v>
      </c>
      <c r="D8" s="6"/>
      <c r="E8" s="5" t="s">
        <v>30</v>
      </c>
      <c r="F8" s="5" t="s">
        <v>40</v>
      </c>
      <c r="G8" s="5" t="s">
        <v>11</v>
      </c>
      <c r="H8" s="7" t="s">
        <v>7</v>
      </c>
      <c r="I8" s="7" t="s">
        <v>78</v>
      </c>
      <c r="J8" s="7">
        <v>0</v>
      </c>
      <c r="K8" s="7">
        <v>29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0</v>
      </c>
      <c r="BN8" s="13">
        <f t="shared" si="0"/>
        <v>0</v>
      </c>
      <c r="BO8" s="14">
        <f t="shared" si="1"/>
        <v>0</v>
      </c>
    </row>
    <row r="9" spans="1:67" ht="19.2" x14ac:dyDescent="0.4">
      <c r="A9" s="5" t="s">
        <v>57</v>
      </c>
      <c r="B9" s="5" t="s">
        <v>34</v>
      </c>
      <c r="C9" s="5">
        <v>434897</v>
      </c>
      <c r="D9" s="6"/>
      <c r="E9" s="5" t="s">
        <v>30</v>
      </c>
      <c r="F9" s="5" t="s">
        <v>35</v>
      </c>
      <c r="G9" s="5" t="s">
        <v>11</v>
      </c>
      <c r="H9" s="7" t="s">
        <v>8</v>
      </c>
      <c r="I9" s="7" t="s">
        <v>36</v>
      </c>
      <c r="J9" s="7">
        <v>0</v>
      </c>
      <c r="K9" s="7">
        <v>9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0</v>
      </c>
      <c r="BN9" s="13">
        <f t="shared" si="0"/>
        <v>0</v>
      </c>
      <c r="BO9" s="14">
        <f t="shared" si="1"/>
        <v>0</v>
      </c>
    </row>
    <row r="10" spans="1:67" x14ac:dyDescent="0.4">
      <c r="A10" s="5" t="s">
        <v>57</v>
      </c>
      <c r="B10" s="5" t="s">
        <v>54</v>
      </c>
      <c r="C10" s="5">
        <v>436040</v>
      </c>
      <c r="D10" s="6"/>
      <c r="E10" s="5" t="s">
        <v>30</v>
      </c>
      <c r="F10" s="5" t="s">
        <v>55</v>
      </c>
      <c r="G10" s="5" t="s">
        <v>11</v>
      </c>
      <c r="H10" s="7" t="s">
        <v>8</v>
      </c>
      <c r="I10" s="7" t="s">
        <v>56</v>
      </c>
      <c r="J10" s="7">
        <v>0</v>
      </c>
      <c r="K10" s="7">
        <v>6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1">
        <v>0</v>
      </c>
      <c r="BN10" s="13">
        <f t="shared" si="0"/>
        <v>0</v>
      </c>
      <c r="BO10" s="14">
        <f t="shared" si="1"/>
        <v>0</v>
      </c>
    </row>
    <row r="11" spans="1:67" x14ac:dyDescent="0.4">
      <c r="A11" s="5" t="s">
        <v>57</v>
      </c>
      <c r="B11" s="5" t="s">
        <v>44</v>
      </c>
      <c r="C11" s="5">
        <v>448747</v>
      </c>
      <c r="D11" s="6"/>
      <c r="E11" s="5" t="s">
        <v>30</v>
      </c>
      <c r="F11" s="5" t="s">
        <v>45</v>
      </c>
      <c r="G11" s="5" t="s">
        <v>11</v>
      </c>
      <c r="H11" s="7" t="s">
        <v>7</v>
      </c>
      <c r="I11" s="7" t="s">
        <v>46</v>
      </c>
      <c r="J11" s="7">
        <v>0</v>
      </c>
      <c r="K11" s="7">
        <v>11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1">
        <v>0</v>
      </c>
      <c r="BN11" s="13">
        <f t="shared" si="0"/>
        <v>0</v>
      </c>
      <c r="BO11" s="14">
        <f t="shared" si="1"/>
        <v>0</v>
      </c>
    </row>
    <row r="12" spans="1:67" x14ac:dyDescent="0.4">
      <c r="A12" s="5" t="s">
        <v>57</v>
      </c>
      <c r="B12" s="5" t="s">
        <v>51</v>
      </c>
      <c r="C12" s="5">
        <v>307024</v>
      </c>
      <c r="D12" s="6"/>
      <c r="E12" s="5" t="s">
        <v>30</v>
      </c>
      <c r="F12" s="5" t="s">
        <v>52</v>
      </c>
      <c r="G12" s="5" t="s">
        <v>11</v>
      </c>
      <c r="H12" s="7" t="s">
        <v>7</v>
      </c>
      <c r="I12" s="7" t="s">
        <v>53</v>
      </c>
      <c r="J12" s="7">
        <v>0</v>
      </c>
      <c r="K12" s="7">
        <v>4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0</v>
      </c>
      <c r="BN12" s="13">
        <f t="shared" si="0"/>
        <v>0</v>
      </c>
      <c r="BO12" s="14">
        <f t="shared" si="1"/>
        <v>0</v>
      </c>
    </row>
    <row r="13" spans="1:67" x14ac:dyDescent="0.4">
      <c r="A13" s="5" t="s">
        <v>57</v>
      </c>
      <c r="B13" s="5" t="s">
        <v>41</v>
      </c>
      <c r="C13" s="5">
        <v>351846</v>
      </c>
      <c r="D13" s="6"/>
      <c r="E13" s="5" t="s">
        <v>30</v>
      </c>
      <c r="F13" s="5" t="s">
        <v>42</v>
      </c>
      <c r="G13" s="5" t="s">
        <v>11</v>
      </c>
      <c r="H13" s="7" t="s">
        <v>7</v>
      </c>
      <c r="I13" s="7" t="s">
        <v>43</v>
      </c>
      <c r="J13" s="7">
        <v>0</v>
      </c>
      <c r="K13" s="7">
        <v>4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1">
        <v>0</v>
      </c>
      <c r="BN13" s="13">
        <f t="shared" si="0"/>
        <v>0</v>
      </c>
      <c r="BO13" s="14">
        <f t="shared" si="1"/>
        <v>0</v>
      </c>
    </row>
    <row r="14" spans="1:67" ht="19.2" x14ac:dyDescent="0.4">
      <c r="A14" s="5" t="s">
        <v>57</v>
      </c>
      <c r="B14" s="5" t="s">
        <v>64</v>
      </c>
      <c r="C14" s="5">
        <v>380491</v>
      </c>
      <c r="D14" s="6"/>
      <c r="E14" s="5" t="s">
        <v>30</v>
      </c>
      <c r="F14" s="5" t="s">
        <v>65</v>
      </c>
      <c r="G14" s="5" t="s">
        <v>11</v>
      </c>
      <c r="H14" s="7" t="s">
        <v>7</v>
      </c>
      <c r="I14" s="7" t="s">
        <v>63</v>
      </c>
      <c r="J14" s="7">
        <v>0</v>
      </c>
      <c r="K14" s="7">
        <v>15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0</v>
      </c>
      <c r="BN14" s="13">
        <f t="shared" si="0"/>
        <v>0</v>
      </c>
      <c r="BO14" s="14">
        <f t="shared" si="1"/>
        <v>0</v>
      </c>
    </row>
    <row r="15" spans="1:67" x14ac:dyDescent="0.4">
      <c r="A15" s="5" t="s">
        <v>58</v>
      </c>
      <c r="B15" s="5" t="s">
        <v>49</v>
      </c>
      <c r="C15" s="5">
        <v>423525</v>
      </c>
      <c r="D15" s="6"/>
      <c r="E15" s="5" t="s">
        <v>30</v>
      </c>
      <c r="F15" s="5" t="s">
        <v>50</v>
      </c>
      <c r="G15" s="5" t="s">
        <v>11</v>
      </c>
      <c r="H15" s="7" t="s">
        <v>7</v>
      </c>
      <c r="I15" s="7" t="s">
        <v>76</v>
      </c>
      <c r="J15" s="7">
        <v>0</v>
      </c>
      <c r="K15" s="7">
        <v>18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30</v>
      </c>
      <c r="AC15" s="8">
        <v>6000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6000</v>
      </c>
      <c r="BN15" s="13">
        <f t="shared" si="0"/>
        <v>6000</v>
      </c>
      <c r="BO15" s="14">
        <f t="shared" si="1"/>
        <v>4200</v>
      </c>
    </row>
    <row r="16" spans="1:67" x14ac:dyDescent="0.4">
      <c r="A16" s="5" t="s">
        <v>58</v>
      </c>
      <c r="B16" s="5" t="s">
        <v>41</v>
      </c>
      <c r="C16" s="5">
        <v>351846</v>
      </c>
      <c r="D16" s="6"/>
      <c r="E16" s="5" t="s">
        <v>30</v>
      </c>
      <c r="F16" s="5" t="s">
        <v>42</v>
      </c>
      <c r="G16" s="5" t="s">
        <v>11</v>
      </c>
      <c r="H16" s="7" t="s">
        <v>7</v>
      </c>
      <c r="I16" s="7" t="s">
        <v>43</v>
      </c>
      <c r="J16" s="7">
        <v>0</v>
      </c>
      <c r="K16" s="7">
        <v>10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0</v>
      </c>
      <c r="AD16" s="7">
        <v>100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19</v>
      </c>
      <c r="AO16" s="8">
        <v>1900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2000</v>
      </c>
      <c r="BN16" s="13">
        <f t="shared" si="0"/>
        <v>2000</v>
      </c>
      <c r="BO16" s="14">
        <f t="shared" si="1"/>
        <v>1400</v>
      </c>
    </row>
    <row r="17" spans="1:67" x14ac:dyDescent="0.4">
      <c r="A17" s="5" t="s">
        <v>58</v>
      </c>
      <c r="B17" s="5" t="s">
        <v>47</v>
      </c>
      <c r="C17" s="5">
        <v>467630</v>
      </c>
      <c r="D17" s="6"/>
      <c r="E17" s="5" t="s">
        <v>30</v>
      </c>
      <c r="F17" s="5" t="s">
        <v>48</v>
      </c>
      <c r="G17" s="5" t="s">
        <v>11</v>
      </c>
      <c r="H17" s="7" t="s">
        <v>8</v>
      </c>
      <c r="I17" s="7" t="s">
        <v>28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8</v>
      </c>
      <c r="AC17" s="8">
        <v>1600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1600</v>
      </c>
      <c r="BN17" s="13">
        <f t="shared" si="0"/>
        <v>1600</v>
      </c>
      <c r="BO17" s="14">
        <f t="shared" si="1"/>
        <v>1120</v>
      </c>
    </row>
    <row r="18" spans="1:67" x14ac:dyDescent="0.4">
      <c r="A18" s="5" t="s">
        <v>58</v>
      </c>
      <c r="B18" s="5" t="s">
        <v>37</v>
      </c>
      <c r="C18" s="5">
        <v>465461</v>
      </c>
      <c r="D18" s="6"/>
      <c r="E18" s="5" t="s">
        <v>30</v>
      </c>
      <c r="F18" s="5" t="s">
        <v>38</v>
      </c>
      <c r="G18" s="5" t="s">
        <v>11</v>
      </c>
      <c r="H18" s="7" t="s">
        <v>7</v>
      </c>
      <c r="I18" s="7" t="s">
        <v>76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2</v>
      </c>
      <c r="AC18" s="7">
        <v>400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4</v>
      </c>
      <c r="BG18" s="7">
        <v>960</v>
      </c>
      <c r="BH18" s="7">
        <v>0</v>
      </c>
      <c r="BI18" s="7">
        <v>0</v>
      </c>
      <c r="BJ18" s="7">
        <v>0</v>
      </c>
      <c r="BK18" s="7">
        <v>0</v>
      </c>
      <c r="BL18" s="7">
        <v>48</v>
      </c>
      <c r="BM18" s="10">
        <v>1360</v>
      </c>
      <c r="BN18" s="13">
        <f t="shared" si="0"/>
        <v>1312</v>
      </c>
      <c r="BO18" s="14">
        <f t="shared" si="1"/>
        <v>918.4</v>
      </c>
    </row>
    <row r="19" spans="1:67" x14ac:dyDescent="0.4">
      <c r="A19" s="5" t="s">
        <v>58</v>
      </c>
      <c r="B19" s="5" t="s">
        <v>32</v>
      </c>
      <c r="C19" s="5">
        <v>465463</v>
      </c>
      <c r="D19" s="6"/>
      <c r="E19" s="5" t="s">
        <v>30</v>
      </c>
      <c r="F19" s="5" t="s">
        <v>33</v>
      </c>
      <c r="G19" s="5" t="s">
        <v>11</v>
      </c>
      <c r="H19" s="7" t="s">
        <v>10</v>
      </c>
      <c r="I19" s="7" t="s">
        <v>77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6</v>
      </c>
      <c r="AC19" s="8">
        <v>1200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1200</v>
      </c>
      <c r="BN19" s="13">
        <f t="shared" si="0"/>
        <v>1200</v>
      </c>
      <c r="BO19" s="14">
        <f t="shared" si="1"/>
        <v>840</v>
      </c>
    </row>
    <row r="20" spans="1:67" ht="19.2" x14ac:dyDescent="0.4">
      <c r="A20" s="5" t="s">
        <v>58</v>
      </c>
      <c r="B20" s="5" t="s">
        <v>34</v>
      </c>
      <c r="C20" s="5">
        <v>434897</v>
      </c>
      <c r="D20" s="6"/>
      <c r="E20" s="5" t="s">
        <v>30</v>
      </c>
      <c r="F20" s="5" t="s">
        <v>35</v>
      </c>
      <c r="G20" s="5" t="s">
        <v>11</v>
      </c>
      <c r="H20" s="7" t="s">
        <v>8</v>
      </c>
      <c r="I20" s="7" t="s">
        <v>36</v>
      </c>
      <c r="J20" s="7">
        <v>0</v>
      </c>
      <c r="K20" s="7">
        <v>2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</v>
      </c>
      <c r="AC20" s="7">
        <v>200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200</v>
      </c>
      <c r="BN20" s="13">
        <f t="shared" si="0"/>
        <v>200</v>
      </c>
      <c r="BO20" s="14">
        <f t="shared" si="1"/>
        <v>140</v>
      </c>
    </row>
    <row r="21" spans="1:67" ht="19.2" x14ac:dyDescent="0.4">
      <c r="A21" s="5" t="s">
        <v>58</v>
      </c>
      <c r="B21" s="5" t="s">
        <v>64</v>
      </c>
      <c r="C21" s="5">
        <v>380491</v>
      </c>
      <c r="D21" s="6"/>
      <c r="E21" s="5" t="s">
        <v>30</v>
      </c>
      <c r="F21" s="5" t="s">
        <v>65</v>
      </c>
      <c r="G21" s="5" t="s">
        <v>11</v>
      </c>
      <c r="H21" s="7" t="s">
        <v>7</v>
      </c>
      <c r="I21" s="7" t="s">
        <v>63</v>
      </c>
      <c r="J21" s="7">
        <v>0</v>
      </c>
      <c r="K21" s="7">
        <v>26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0</v>
      </c>
      <c r="AD21" s="7">
        <v>100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100</v>
      </c>
      <c r="BN21" s="13">
        <f t="shared" si="0"/>
        <v>100</v>
      </c>
      <c r="BO21" s="14">
        <f t="shared" si="1"/>
        <v>70</v>
      </c>
    </row>
    <row r="22" spans="1:67" x14ac:dyDescent="0.4">
      <c r="A22" s="5" t="s">
        <v>58</v>
      </c>
      <c r="B22" s="5" t="s">
        <v>39</v>
      </c>
      <c r="C22" s="5">
        <v>432749</v>
      </c>
      <c r="D22" s="6"/>
      <c r="E22" s="5" t="s">
        <v>30</v>
      </c>
      <c r="F22" s="5" t="s">
        <v>40</v>
      </c>
      <c r="G22" s="5" t="s">
        <v>11</v>
      </c>
      <c r="H22" s="7" t="s">
        <v>7</v>
      </c>
      <c r="I22" s="7" t="s">
        <v>78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0</v>
      </c>
      <c r="BN22" s="13">
        <f t="shared" si="0"/>
        <v>0</v>
      </c>
      <c r="BO22" s="14">
        <f t="shared" si="1"/>
        <v>0</v>
      </c>
    </row>
    <row r="23" spans="1:67" x14ac:dyDescent="0.4">
      <c r="A23" s="5" t="s">
        <v>58</v>
      </c>
      <c r="B23" s="5" t="s">
        <v>54</v>
      </c>
      <c r="C23" s="5">
        <v>436040</v>
      </c>
      <c r="D23" s="6"/>
      <c r="E23" s="5" t="s">
        <v>30</v>
      </c>
      <c r="F23" s="5" t="s">
        <v>55</v>
      </c>
      <c r="G23" s="5" t="s">
        <v>11</v>
      </c>
      <c r="H23" s="7" t="s">
        <v>8</v>
      </c>
      <c r="I23" s="7" t="s">
        <v>56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0</v>
      </c>
      <c r="BN23" s="13">
        <f t="shared" si="0"/>
        <v>0</v>
      </c>
      <c r="BO23" s="14">
        <f t="shared" si="1"/>
        <v>0</v>
      </c>
    </row>
    <row r="24" spans="1:67" x14ac:dyDescent="0.4">
      <c r="A24" s="5" t="s">
        <v>58</v>
      </c>
      <c r="B24" s="5" t="s">
        <v>70</v>
      </c>
      <c r="C24" s="5">
        <v>458180</v>
      </c>
      <c r="D24" s="6"/>
      <c r="E24" s="5" t="s">
        <v>30</v>
      </c>
      <c r="F24" s="5" t="s">
        <v>71</v>
      </c>
      <c r="G24" s="5" t="s">
        <v>11</v>
      </c>
      <c r="H24" s="7" t="s">
        <v>7</v>
      </c>
      <c r="I24" s="7" t="s">
        <v>72</v>
      </c>
      <c r="J24" s="7">
        <v>0</v>
      </c>
      <c r="K24" s="7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0</v>
      </c>
      <c r="BN24" s="13">
        <f t="shared" si="0"/>
        <v>0</v>
      </c>
      <c r="BO24" s="14">
        <f t="shared" si="1"/>
        <v>0</v>
      </c>
    </row>
    <row r="25" spans="1:67" x14ac:dyDescent="0.4">
      <c r="A25" s="5" t="s">
        <v>58</v>
      </c>
      <c r="B25" s="5" t="s">
        <v>79</v>
      </c>
      <c r="C25" s="5">
        <v>461521</v>
      </c>
      <c r="D25" s="6"/>
      <c r="E25" s="5" t="s">
        <v>30</v>
      </c>
      <c r="F25" s="5" t="s">
        <v>80</v>
      </c>
      <c r="G25" s="5" t="s">
        <v>11</v>
      </c>
      <c r="H25" s="7" t="s">
        <v>8</v>
      </c>
      <c r="I25" s="7" t="s">
        <v>81</v>
      </c>
      <c r="J25" s="7">
        <v>0</v>
      </c>
      <c r="K25" s="7">
        <v>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0</v>
      </c>
      <c r="BN25" s="13">
        <f t="shared" si="0"/>
        <v>0</v>
      </c>
      <c r="BO25" s="14">
        <f t="shared" si="1"/>
        <v>0</v>
      </c>
    </row>
    <row r="26" spans="1:67" x14ac:dyDescent="0.4">
      <c r="A26" s="5" t="s">
        <v>58</v>
      </c>
      <c r="B26" s="5" t="s">
        <v>73</v>
      </c>
      <c r="C26" s="5">
        <v>463278</v>
      </c>
      <c r="D26" s="6"/>
      <c r="E26" s="5" t="s">
        <v>30</v>
      </c>
      <c r="F26" s="5" t="s">
        <v>74</v>
      </c>
      <c r="G26" s="5" t="s">
        <v>11</v>
      </c>
      <c r="H26" s="7" t="s">
        <v>7</v>
      </c>
      <c r="I26" s="7" t="s">
        <v>75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0</v>
      </c>
      <c r="BN26" s="13">
        <f t="shared" si="0"/>
        <v>0</v>
      </c>
      <c r="BO26" s="14">
        <f t="shared" si="1"/>
        <v>0</v>
      </c>
    </row>
    <row r="27" spans="1:67" x14ac:dyDescent="0.4">
      <c r="A27" s="5" t="s">
        <v>58</v>
      </c>
      <c r="B27" s="5" t="s">
        <v>68</v>
      </c>
      <c r="C27" s="5">
        <v>464964</v>
      </c>
      <c r="D27" s="6"/>
      <c r="E27" s="5" t="s">
        <v>30</v>
      </c>
      <c r="F27" s="5" t="s">
        <v>69</v>
      </c>
      <c r="G27" s="5" t="s">
        <v>11</v>
      </c>
      <c r="H27" s="7" t="s">
        <v>7</v>
      </c>
      <c r="I27" s="7" t="s">
        <v>77</v>
      </c>
      <c r="J27" s="7">
        <v>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0</v>
      </c>
      <c r="BN27" s="13">
        <f t="shared" si="0"/>
        <v>0</v>
      </c>
      <c r="BO27" s="14">
        <f t="shared" si="1"/>
        <v>0</v>
      </c>
    </row>
    <row r="28" spans="1:67" x14ac:dyDescent="0.4">
      <c r="A28" s="5" t="s">
        <v>59</v>
      </c>
      <c r="B28" s="5" t="s">
        <v>68</v>
      </c>
      <c r="C28" s="5">
        <v>464964</v>
      </c>
      <c r="D28" s="6"/>
      <c r="E28" s="5" t="s">
        <v>30</v>
      </c>
      <c r="F28" s="5" t="s">
        <v>69</v>
      </c>
      <c r="G28" s="5" t="s">
        <v>11</v>
      </c>
      <c r="H28" s="7" t="s">
        <v>7</v>
      </c>
      <c r="I28" s="7" t="s">
        <v>77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16</v>
      </c>
      <c r="AC28" s="7">
        <v>0</v>
      </c>
      <c r="AD28" s="8">
        <v>3200</v>
      </c>
      <c r="AE28" s="7">
        <v>3</v>
      </c>
      <c r="AF28" s="7">
        <v>0</v>
      </c>
      <c r="AG28" s="8">
        <v>1500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4700</v>
      </c>
      <c r="BN28" s="13">
        <f t="shared" si="0"/>
        <v>4700</v>
      </c>
      <c r="BO28" s="14">
        <f t="shared" si="1"/>
        <v>3290</v>
      </c>
    </row>
    <row r="29" spans="1:67" x14ac:dyDescent="0.4">
      <c r="A29" s="5" t="s">
        <v>59</v>
      </c>
      <c r="B29" s="5" t="s">
        <v>37</v>
      </c>
      <c r="C29" s="5">
        <v>465461</v>
      </c>
      <c r="D29" s="6"/>
      <c r="E29" s="5" t="s">
        <v>30</v>
      </c>
      <c r="F29" s="5" t="s">
        <v>38</v>
      </c>
      <c r="G29" s="5" t="s">
        <v>11</v>
      </c>
      <c r="H29" s="7" t="s">
        <v>7</v>
      </c>
      <c r="I29" s="7" t="s">
        <v>76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</v>
      </c>
      <c r="AC29" s="8">
        <v>1200</v>
      </c>
      <c r="AD29" s="7">
        <v>200</v>
      </c>
      <c r="AE29" s="7">
        <v>3</v>
      </c>
      <c r="AF29" s="8">
        <v>1200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1</v>
      </c>
      <c r="BA29" s="7">
        <v>240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14.4</v>
      </c>
      <c r="BM29" s="10">
        <v>2840</v>
      </c>
      <c r="BN29" s="13">
        <f t="shared" si="0"/>
        <v>2825.6</v>
      </c>
      <c r="BO29" s="14">
        <f t="shared" si="1"/>
        <v>1977.9199999999998</v>
      </c>
    </row>
    <row r="30" spans="1:67" x14ac:dyDescent="0.4">
      <c r="A30" s="5" t="s">
        <v>59</v>
      </c>
      <c r="B30" s="5" t="s">
        <v>47</v>
      </c>
      <c r="C30" s="5">
        <v>467630</v>
      </c>
      <c r="D30" s="6"/>
      <c r="E30" s="5" t="s">
        <v>30</v>
      </c>
      <c r="F30" s="5" t="s">
        <v>48</v>
      </c>
      <c r="G30" s="5" t="s">
        <v>11</v>
      </c>
      <c r="H30" s="7" t="s">
        <v>8</v>
      </c>
      <c r="I30" s="7" t="s">
        <v>28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8</v>
      </c>
      <c r="AC30" s="8">
        <v>1640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</v>
      </c>
      <c r="AO30" s="7">
        <v>200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1840</v>
      </c>
      <c r="BN30" s="13">
        <f t="shared" si="0"/>
        <v>1840</v>
      </c>
      <c r="BO30" s="14">
        <f t="shared" si="1"/>
        <v>1288</v>
      </c>
    </row>
    <row r="31" spans="1:67" x14ac:dyDescent="0.4">
      <c r="A31" s="5" t="s">
        <v>59</v>
      </c>
      <c r="B31" s="5" t="s">
        <v>29</v>
      </c>
      <c r="C31" s="5">
        <v>435954</v>
      </c>
      <c r="D31" s="6"/>
      <c r="E31" s="5" t="s">
        <v>30</v>
      </c>
      <c r="F31" s="5" t="s">
        <v>31</v>
      </c>
      <c r="G31" s="5" t="s">
        <v>11</v>
      </c>
      <c r="H31" s="7" t="s">
        <v>7</v>
      </c>
      <c r="I31" s="7" t="s">
        <v>78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</v>
      </c>
      <c r="AC31" s="7">
        <v>200</v>
      </c>
      <c r="AD31" s="7">
        <v>0</v>
      </c>
      <c r="AE31" s="7">
        <v>0</v>
      </c>
      <c r="AF31" s="7">
        <v>0</v>
      </c>
      <c r="AG31" s="7">
        <v>0</v>
      </c>
      <c r="AH31" s="7">
        <v>1</v>
      </c>
      <c r="AI31" s="7">
        <v>240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72</v>
      </c>
      <c r="BM31" s="11">
        <v>440</v>
      </c>
      <c r="BN31" s="13">
        <f t="shared" si="0"/>
        <v>368</v>
      </c>
      <c r="BO31" s="14">
        <f t="shared" si="1"/>
        <v>257.59999999999997</v>
      </c>
    </row>
    <row r="32" spans="1:67" x14ac:dyDescent="0.4">
      <c r="A32" s="5" t="s">
        <v>59</v>
      </c>
      <c r="B32" s="5" t="s">
        <v>66</v>
      </c>
      <c r="C32" s="5">
        <v>465658</v>
      </c>
      <c r="D32" s="6"/>
      <c r="E32" s="5" t="s">
        <v>30</v>
      </c>
      <c r="F32" s="5" t="s">
        <v>67</v>
      </c>
      <c r="G32" s="5" t="s">
        <v>11</v>
      </c>
      <c r="H32" s="7" t="s">
        <v>7</v>
      </c>
      <c r="I32" s="7" t="s">
        <v>76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200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200</v>
      </c>
      <c r="BN32" s="13">
        <f t="shared" si="0"/>
        <v>200</v>
      </c>
      <c r="BO32" s="14">
        <f t="shared" si="1"/>
        <v>140</v>
      </c>
    </row>
    <row r="33" spans="1:67" x14ac:dyDescent="0.4">
      <c r="A33" s="5" t="s">
        <v>59</v>
      </c>
      <c r="B33" s="5" t="s">
        <v>39</v>
      </c>
      <c r="C33" s="5">
        <v>432749</v>
      </c>
      <c r="D33" s="6"/>
      <c r="E33" s="5" t="s">
        <v>30</v>
      </c>
      <c r="F33" s="5" t="s">
        <v>40</v>
      </c>
      <c r="G33" s="5" t="s">
        <v>11</v>
      </c>
      <c r="H33" s="7" t="s">
        <v>7</v>
      </c>
      <c r="I33" s="7" t="s">
        <v>78</v>
      </c>
      <c r="J33" s="7">
        <v>0</v>
      </c>
      <c r="K33" s="7">
        <v>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0</v>
      </c>
      <c r="BN33" s="13">
        <f t="shared" si="0"/>
        <v>0</v>
      </c>
      <c r="BO33" s="14">
        <f t="shared" si="1"/>
        <v>0</v>
      </c>
    </row>
    <row r="34" spans="1:67" x14ac:dyDescent="0.4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17">
        <f>SUM(BL2:BL33)</f>
        <v>146.4</v>
      </c>
      <c r="BM34" s="18">
        <f>SUM(BM2:BM33)</f>
        <v>24620</v>
      </c>
      <c r="BN34" s="13">
        <f>SUM(BN2:BN33)</f>
        <v>24473.599999999999</v>
      </c>
      <c r="BO34" s="19">
        <f>SUM(BO2:BO33)</f>
        <v>17131.519999999997</v>
      </c>
    </row>
    <row r="35" spans="1:67" x14ac:dyDescent="0.4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8"/>
      <c r="AD35" s="7"/>
      <c r="AE35" s="7"/>
      <c r="AF35" s="7"/>
      <c r="AG35" s="7"/>
      <c r="AH35" s="7"/>
      <c r="AI35" s="8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9"/>
      <c r="BM35" s="10"/>
    </row>
    <row r="36" spans="1:67" x14ac:dyDescent="0.4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8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7" x14ac:dyDescent="0.4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8"/>
      <c r="AD37" s="8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7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8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9"/>
      <c r="BM38" s="10"/>
    </row>
    <row r="39" spans="1:67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9"/>
      <c r="BM39" s="10"/>
    </row>
    <row r="40" spans="1:67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8"/>
      <c r="AJ40" s="8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7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7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1"/>
    </row>
    <row r="43" spans="1:67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1"/>
    </row>
    <row r="44" spans="1:67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1"/>
    </row>
    <row r="45" spans="1:67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1"/>
    </row>
    <row r="46" spans="1:67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1"/>
    </row>
    <row r="47" spans="1:67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1"/>
    </row>
    <row r="48" spans="1:67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1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1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8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8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8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8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8"/>
      <c r="L150" s="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8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8"/>
      <c r="AR150" s="8"/>
      <c r="AS150" s="8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8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8"/>
      <c r="AD152" s="8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8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8"/>
      <c r="L153" s="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8"/>
      <c r="K154" s="8"/>
      <c r="L154" s="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8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8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8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8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8"/>
      <c r="AP171" s="8"/>
      <c r="AQ171" s="7"/>
      <c r="AR171" s="8"/>
      <c r="AS171" s="8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8"/>
      <c r="AD179" s="8"/>
      <c r="AE179" s="7"/>
      <c r="AF179" s="7"/>
      <c r="AG179" s="8"/>
      <c r="AH179" s="7"/>
      <c r="AI179" s="7"/>
      <c r="AJ179" s="7"/>
      <c r="AK179" s="7"/>
      <c r="AL179" s="7"/>
      <c r="AM179" s="7"/>
      <c r="AN179" s="7"/>
      <c r="AO179" s="8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8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8"/>
      <c r="AD201" s="8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8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8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8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8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8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8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8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8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8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8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8"/>
      <c r="L321" s="8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8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8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7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8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8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8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8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8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7"/>
      <c r="AR327" s="8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8"/>
      <c r="L329" s="8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8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8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8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8"/>
      <c r="K334" s="7"/>
      <c r="L334" s="8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8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8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8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8"/>
      <c r="AJ338" s="8"/>
      <c r="AK338" s="7"/>
      <c r="AL338" s="7"/>
      <c r="AM338" s="7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8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8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8"/>
      <c r="AS341" s="8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8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8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8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8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8"/>
      <c r="AS354" s="8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8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8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8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8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J367" s="7"/>
      <c r="AK367" s="7"/>
      <c r="AL367" s="8"/>
      <c r="AM367" s="7"/>
      <c r="AN367" s="7"/>
      <c r="AO367" s="8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8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8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8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8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8"/>
      <c r="AN376" s="7"/>
      <c r="AO376" s="7"/>
      <c r="AP376" s="7"/>
      <c r="AQ376" s="7"/>
      <c r="AR376" s="8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8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8"/>
      <c r="AN382" s="7"/>
      <c r="AO382" s="7"/>
      <c r="AP382" s="7"/>
      <c r="AQ382" s="7"/>
      <c r="AR382" s="8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8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9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8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9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8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8"/>
      <c r="AH396" s="7"/>
      <c r="AI396" s="7"/>
      <c r="AJ396" s="7"/>
      <c r="AK396" s="7"/>
      <c r="AL396" s="7"/>
      <c r="AM396" s="8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8"/>
      <c r="AH397" s="7"/>
      <c r="AI397" s="7"/>
      <c r="AJ397" s="7"/>
      <c r="AK397" s="7"/>
      <c r="AL397" s="7"/>
      <c r="AM397" s="8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8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9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8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9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8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8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8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8"/>
      <c r="AH413" s="7"/>
      <c r="AI413" s="7"/>
      <c r="AJ413" s="7"/>
      <c r="AK413" s="7"/>
      <c r="AL413" s="7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8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8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8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8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8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8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4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4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  <row r="450" spans="1:65" x14ac:dyDescent="0.4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2022-07-05T10:26:27Z</dcterms:modified>
</cp:coreProperties>
</file>