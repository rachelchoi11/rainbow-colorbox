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L198" i="412" l="1"/>
  <c r="BM198" i="412"/>
  <c r="BN3" i="412"/>
  <c r="BO3" i="412" s="1"/>
  <c r="BN4" i="412"/>
  <c r="BO4" i="412" s="1"/>
  <c r="BN5" i="412"/>
  <c r="BO5" i="412"/>
  <c r="BN6" i="412"/>
  <c r="BO6" i="412" s="1"/>
  <c r="BN7" i="412"/>
  <c r="BO7" i="412" s="1"/>
  <c r="BN8" i="412"/>
  <c r="BO8" i="412" s="1"/>
  <c r="BN9" i="412"/>
  <c r="BO9" i="412" s="1"/>
  <c r="BN10" i="412"/>
  <c r="BO10" i="412"/>
  <c r="BN11" i="412"/>
  <c r="BO11" i="412" s="1"/>
  <c r="BN12" i="412"/>
  <c r="BO12" i="412" s="1"/>
  <c r="BN13" i="412"/>
  <c r="BO13" i="412" s="1"/>
  <c r="BN14" i="412"/>
  <c r="BO14" i="412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/>
  <c r="BN22" i="412"/>
  <c r="BO22" i="412" s="1"/>
  <c r="BN23" i="412"/>
  <c r="BO23" i="412" s="1"/>
  <c r="BN24" i="412"/>
  <c r="BO24" i="412" s="1"/>
  <c r="BN25" i="412"/>
  <c r="BO25" i="412" s="1"/>
  <c r="BN26" i="412"/>
  <c r="BO26" i="412"/>
  <c r="BN27" i="412"/>
  <c r="BO27" i="412" s="1"/>
  <c r="BN28" i="412"/>
  <c r="BO28" i="412" s="1"/>
  <c r="BN29" i="412"/>
  <c r="BO29" i="412"/>
  <c r="BN30" i="412"/>
  <c r="BO30" i="412" s="1"/>
  <c r="BN31" i="412"/>
  <c r="BO31" i="412" s="1"/>
  <c r="BN32" i="412"/>
  <c r="BO32" i="412" s="1"/>
  <c r="BN33" i="412"/>
  <c r="BO33" i="412" s="1"/>
  <c r="BN34" i="412"/>
  <c r="BO34" i="412"/>
  <c r="BN35" i="412"/>
  <c r="BO35" i="412" s="1"/>
  <c r="BN36" i="412"/>
  <c r="BO36" i="412" s="1"/>
  <c r="BN37" i="412"/>
  <c r="BO37" i="412"/>
  <c r="BN38" i="412"/>
  <c r="BO38" i="412" s="1"/>
  <c r="BN39" i="412"/>
  <c r="BO39" i="412" s="1"/>
  <c r="BN40" i="412"/>
  <c r="BO40" i="412" s="1"/>
  <c r="BN41" i="412"/>
  <c r="BO41" i="412"/>
  <c r="BN42" i="412"/>
  <c r="BO42" i="412" s="1"/>
  <c r="BN43" i="412"/>
  <c r="BO43" i="412" s="1"/>
  <c r="BN44" i="412"/>
  <c r="BO44" i="412"/>
  <c r="BN45" i="412"/>
  <c r="BO45" i="412" s="1"/>
  <c r="BN46" i="412"/>
  <c r="BO46" i="412"/>
  <c r="BN47" i="412"/>
  <c r="BO47" i="412" s="1"/>
  <c r="BN48" i="412"/>
  <c r="BO48" i="412" s="1"/>
  <c r="BN49" i="412"/>
  <c r="BO49" i="412" s="1"/>
  <c r="BN50" i="412"/>
  <c r="BO50" i="412"/>
  <c r="BN51" i="412"/>
  <c r="BO51" i="412" s="1"/>
  <c r="BN52" i="412"/>
  <c r="BO52" i="412" s="1"/>
  <c r="BN53" i="412"/>
  <c r="BO53" i="412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/>
  <c r="BN61" i="412"/>
  <c r="BO61" i="412" s="1"/>
  <c r="BN62" i="412"/>
  <c r="BO62" i="412" s="1"/>
  <c r="BN63" i="412"/>
  <c r="BO63" i="412" s="1"/>
  <c r="BN64" i="412"/>
  <c r="BO64" i="412"/>
  <c r="BN65" i="412"/>
  <c r="BO65" i="412" s="1"/>
  <c r="BN66" i="412"/>
  <c r="BO66" i="412" s="1"/>
  <c r="BN67" i="412"/>
  <c r="BO67" i="412" s="1"/>
  <c r="BN68" i="412"/>
  <c r="BO68" i="412" s="1"/>
  <c r="BN69" i="412"/>
  <c r="BO69" i="412"/>
  <c r="BN70" i="412"/>
  <c r="BO70" i="412" s="1"/>
  <c r="BN71" i="412"/>
  <c r="BO71" i="412" s="1"/>
  <c r="BN72" i="412"/>
  <c r="BO72" i="412" s="1"/>
  <c r="BN73" i="412"/>
  <c r="BO73" i="412"/>
  <c r="BN74" i="412"/>
  <c r="BO74" i="412" s="1"/>
  <c r="BN75" i="412"/>
  <c r="BO75" i="412" s="1"/>
  <c r="BN76" i="412"/>
  <c r="BO76" i="412"/>
  <c r="BN77" i="412"/>
  <c r="BO77" i="412" s="1"/>
  <c r="BN78" i="412"/>
  <c r="BO78" i="412"/>
  <c r="BN79" i="412"/>
  <c r="BO79" i="412" s="1"/>
  <c r="BN80" i="412"/>
  <c r="BO80" i="412" s="1"/>
  <c r="BN81" i="412"/>
  <c r="BO81" i="412" s="1"/>
  <c r="BN82" i="412"/>
  <c r="BO82" i="412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/>
  <c r="BN89" i="412"/>
  <c r="BO89" i="412" s="1"/>
  <c r="BN90" i="412"/>
  <c r="BO90" i="412" s="1"/>
  <c r="BN91" i="412"/>
  <c r="BO91" i="412" s="1"/>
  <c r="BN92" i="412"/>
  <c r="BO92" i="412" s="1"/>
  <c r="BN93" i="412"/>
  <c r="BO93" i="412"/>
  <c r="BN94" i="412"/>
  <c r="BO94" i="412" s="1"/>
  <c r="BN95" i="412"/>
  <c r="BO95" i="412" s="1"/>
  <c r="BN96" i="412"/>
  <c r="BO96" i="412" s="1"/>
  <c r="BN97" i="412"/>
  <c r="BO97" i="412" s="1"/>
  <c r="BN98" i="412"/>
  <c r="BO98" i="412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/>
  <c r="BN155" i="412"/>
  <c r="BO155" i="412" s="1"/>
  <c r="BN156" i="412"/>
  <c r="BO156" i="412" s="1"/>
  <c r="BN157" i="412"/>
  <c r="BO157" i="412"/>
  <c r="BN158" i="412"/>
  <c r="BO158" i="412" s="1"/>
  <c r="BN159" i="412"/>
  <c r="BO159" i="412" s="1"/>
  <c r="BN160" i="412"/>
  <c r="BO160" i="412" s="1"/>
  <c r="BN161" i="412"/>
  <c r="BO161" i="412" s="1"/>
  <c r="BN162" i="412"/>
  <c r="BO162" i="412"/>
  <c r="BN163" i="412"/>
  <c r="BO163" i="412" s="1"/>
  <c r="BN164" i="412"/>
  <c r="BO164" i="412" s="1"/>
  <c r="BN165" i="412"/>
  <c r="BO165" i="412"/>
  <c r="BN166" i="412"/>
  <c r="BO166" i="412" s="1"/>
  <c r="BN167" i="412"/>
  <c r="BO167" i="412" s="1"/>
  <c r="BN168" i="412"/>
  <c r="BO168" i="412" s="1"/>
  <c r="BN169" i="412"/>
  <c r="BO169" i="412" s="1"/>
  <c r="BN170" i="412"/>
  <c r="BO170" i="412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/>
  <c r="BN182" i="412"/>
  <c r="BO182" i="412" s="1"/>
  <c r="BN183" i="412"/>
  <c r="BO183" i="412" s="1"/>
  <c r="BN184" i="412"/>
  <c r="BO184" i="412" s="1"/>
  <c r="BN185" i="412"/>
  <c r="BO185" i="412"/>
  <c r="BN186" i="412"/>
  <c r="BO186" i="412"/>
  <c r="BN187" i="412"/>
  <c r="BO187" i="412" s="1"/>
  <c r="BN188" i="412"/>
  <c r="BO188" i="412" s="1"/>
  <c r="BN189" i="412"/>
  <c r="BO189" i="412" s="1"/>
  <c r="BN190" i="412"/>
  <c r="BO190" i="412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2" i="412" l="1"/>
  <c r="BN198" i="412" s="1"/>
  <c r="BO2" i="412" l="1"/>
  <c r="BO198" i="412" s="1"/>
</calcChain>
</file>

<file path=xl/sharedStrings.xml><?xml version="1.0" encoding="utf-8"?>
<sst xmlns="http://schemas.openxmlformats.org/spreadsheetml/2006/main" count="1442" uniqueCount="309">
  <si>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</si>
  <si>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</si>
  <si>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</si>
  <si>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</si>
  <si>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</si>
  <si>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</si>
  <si>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</si>
  <si>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</si>
  <si>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</si>
  <si>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</si>
  <si>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</si>
  <si>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</si>
  <si>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</si>
  <si>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</si>
  <si>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</si>
  <si>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</si>
  <si>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</si>
  <si>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</si>
  <si>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</si>
  <si>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</si>
  <si>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</si>
  <si>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</si>
  <si>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</si>
  <si>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</si>
  <si>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</si>
  <si>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</si>
  <si>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</si>
  <si>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</si>
  <si>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2022.03.16</t>
  </si>
  <si>
    <t>시리즈완전판(APP)</t>
    <phoneticPr fontId="20" type="noConversion"/>
  </si>
  <si>
    <t>시리즈APP</t>
    <phoneticPr fontId="20" type="noConversion"/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</si>
  <si>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</si>
  <si>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</si>
  <si>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</si>
  <si>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</si>
  <si>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</si>
  <si>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</si>
  <si>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</si>
  <si>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</si>
  <si>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</si>
  <si>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</si>
  <si>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</si>
  <si>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</si>
  <si>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</si>
  <si>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</si>
  <si>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</si>
  <si>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</si>
  <si>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</si>
  <si>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</si>
  <si>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불꽃 [단행본]</t>
  </si>
  <si>
    <t>김혜연</t>
  </si>
  <si>
    <t>2022.05.16</t>
  </si>
  <si>
    <t>더티독 [BL]</t>
  </si>
  <si>
    <t>용가리맛쿠키</t>
  </si>
  <si>
    <t>블러쉬</t>
  </si>
  <si>
    <t>2020.04.13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</si>
  <si>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</si>
  <si>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</si>
  <si>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</si>
  <si>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</si>
  <si>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</si>
  <si>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</si>
  <si>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</si>
  <si>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</si>
  <si>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이별 그리고 그 후 [단행본]</t>
  </si>
  <si>
    <t>최현자</t>
  </si>
  <si>
    <t>2022.05.11</t>
  </si>
  <si>
    <t>반하는 세계 [BL]</t>
  </si>
  <si>
    <t>나나코</t>
  </si>
  <si>
    <t>히즈노블</t>
  </si>
  <si>
    <t>2019.08.17</t>
  </si>
  <si>
    <t>유일한 취미 [단행본]</t>
  </si>
  <si>
    <t>서혜은</t>
  </si>
  <si>
    <t>2022.05.06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</si>
  <si>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</si>
  <si>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</si>
  <si>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</si>
  <si>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</si>
  <si>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</si>
  <si>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</si>
  <si>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</si>
  <si>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</si>
  <si>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</si>
  <si>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</si>
  <si>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</si>
  <si>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</si>
  <si>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</si>
  <si>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</si>
  <si>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</si>
  <si>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</si>
  <si>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</si>
  <si>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</si>
  <si>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</si>
  <si>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</si>
  <si>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</si>
  <si>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</si>
  <si>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</si>
  <si>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</si>
  <si>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</si>
  <si>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</si>
  <si>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용병수칙 [단행본]</t>
  </si>
  <si>
    <t>2020.09.10</t>
  </si>
  <si>
    <t>사랑 그리고 그 후 [단행본]</t>
  </si>
  <si>
    <t>2022.03.14</t>
  </si>
  <si>
    <t>꼭꼭 숨어라(Wherever you are)</t>
  </si>
  <si>
    <t>감또개</t>
  </si>
  <si>
    <t>2022.02.22</t>
  </si>
  <si>
    <t>너만 보면 두근두근 [단행본]</t>
  </si>
  <si>
    <t>정경하</t>
  </si>
  <si>
    <t>2022.01.14</t>
  </si>
  <si>
    <t>이세계 최강 군바리 [단행본]</t>
  </si>
  <si>
    <t>2019.11.04</t>
  </si>
  <si>
    <t>흠뻑 적셔줄게 [BL]</t>
  </si>
  <si>
    <t>묜수</t>
  </si>
  <si>
    <t>2021.08.27</t>
  </si>
  <si>
    <t>악당의 리턴! [단행본]</t>
  </si>
  <si>
    <t>2019.11.26</t>
  </si>
  <si>
    <t>더티독 [BL][단행본]</t>
  </si>
  <si>
    <t>2020.04.09</t>
  </si>
  <si>
    <t>더 캡틴</t>
  </si>
  <si>
    <t>2022.01.21</t>
  </si>
  <si>
    <t>정략결혼 [단행본]</t>
  </si>
  <si>
    <t>수련</t>
  </si>
  <si>
    <t>익스클루시브(Exclusive) [BL][단행본]</t>
  </si>
  <si>
    <t>사틴</t>
  </si>
  <si>
    <t>2021.08.13</t>
  </si>
  <si>
    <t>설국연가 [단행본]</t>
  </si>
  <si>
    <t>마뇽</t>
  </si>
  <si>
    <t>2022.01.17</t>
  </si>
  <si>
    <t>반하는 세계 [BL][단행본]</t>
  </si>
  <si>
    <t>2019.08.01</t>
  </si>
  <si>
    <t>2021.09.14</t>
  </si>
  <si>
    <t>대공의 아내 [단행본]</t>
  </si>
  <si>
    <t>문시티</t>
  </si>
  <si>
    <t>2020.01.16</t>
  </si>
  <si>
    <t>이리 와 봐 [단행본]</t>
  </si>
  <si>
    <t>최강주</t>
  </si>
  <si>
    <t>2018.08.30</t>
  </si>
  <si>
    <t>바보가 만드는 멋진 세상 [개정판][단행본]</t>
  </si>
  <si>
    <t>나는 내 연인의 것 [BL][단행본]</t>
  </si>
  <si>
    <t>SISSI</t>
  </si>
  <si>
    <t>2021.02.01</t>
  </si>
  <si>
    <t>너는 싱그러운 여름처럼 [단행본]</t>
  </si>
  <si>
    <t>박지영</t>
  </si>
  <si>
    <t>2022.04.25</t>
  </si>
  <si>
    <t>불건전한 수컷 [단행본]</t>
  </si>
  <si>
    <t>2020.10.31</t>
  </si>
  <si>
    <t>뉴욕 키스 스캔들 [BL][단행본]</t>
  </si>
  <si>
    <t>2018.06.12</t>
  </si>
  <si>
    <t>소울슈터 [독점]</t>
  </si>
  <si>
    <t>라이큐</t>
  </si>
  <si>
    <t>2022.02.17</t>
  </si>
  <si>
    <t>슈크림 [단행본]</t>
  </si>
  <si>
    <t>송민선</t>
  </si>
  <si>
    <t>2022.04.15</t>
  </si>
  <si>
    <t>헌터 킹 [단행본]</t>
  </si>
  <si>
    <t>2021.12.10</t>
  </si>
  <si>
    <t>벗어 주세요</t>
  </si>
  <si>
    <t>2019.03.07</t>
  </si>
  <si>
    <t>무적살수 [단행본]</t>
  </si>
  <si>
    <t>2020.09.09</t>
  </si>
  <si>
    <t>진짜 사나이</t>
  </si>
  <si>
    <t>불시착한 우주 [BL]</t>
  </si>
  <si>
    <t>2021.08.24</t>
  </si>
  <si>
    <t>그 순간, 별이 빛났다 [BL]</t>
  </si>
  <si>
    <t>성실</t>
  </si>
  <si>
    <t>2021.09.09</t>
  </si>
  <si>
    <t>무림병장 [독점]</t>
  </si>
  <si>
    <t>2020.08.29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</si>
  <si>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</si>
  <si>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</si>
  <si>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</si>
  <si>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</si>
  <si>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</si>
  <si>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</si>
  <si>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끝까지, 지독하게</t>
  </si>
  <si>
    <t>2021.09.17</t>
  </si>
  <si>
    <t>사계(Four Season) [BL]</t>
  </si>
  <si>
    <t>2020.06.17</t>
  </si>
  <si>
    <t>익스클루시브(Exclusive) [BL]</t>
  </si>
  <si>
    <t>2021.08.30</t>
  </si>
  <si>
    <t>완벽한 이상형 [외전증보판][단행본]</t>
  </si>
  <si>
    <t>지니</t>
  </si>
  <si>
    <t>2019.07.01</t>
  </si>
  <si>
    <t>송여희</t>
  </si>
  <si>
    <t>만나러 갈게 [단행본]</t>
  </si>
  <si>
    <t>박샛별</t>
  </si>
  <si>
    <t>2022.02.04</t>
  </si>
  <si>
    <t>붉은 정자-살라댕 [단행본]</t>
  </si>
  <si>
    <t>라벤더블루</t>
  </si>
  <si>
    <t>2022.01.10</t>
  </si>
  <si>
    <t>세이브 미(Save Me) [단행본]</t>
  </si>
  <si>
    <t>우유양</t>
  </si>
  <si>
    <t>2022.01.26</t>
  </si>
  <si>
    <t>강호, 미치다</t>
  </si>
  <si>
    <t>2019.09.18</t>
  </si>
  <si>
    <t>로맨틱 아이디얼(Romantic Ideal) [BL][단행본]</t>
  </si>
  <si>
    <t>2019.01.24</t>
  </si>
  <si>
    <t>낮과 밤 [BL][단행본]</t>
  </si>
  <si>
    <t>2021.02.05</t>
  </si>
  <si>
    <t>키도</t>
  </si>
  <si>
    <t>이서윤</t>
  </si>
  <si>
    <t>2019.05.10</t>
  </si>
  <si>
    <t>모닝콜(Morning Call) [단행본]</t>
  </si>
  <si>
    <t>하이지</t>
  </si>
  <si>
    <t>2022.01.19</t>
  </si>
  <si>
    <t>소년연애담 [BL] [단행본]</t>
  </si>
  <si>
    <t>2018.04.23</t>
  </si>
  <si>
    <t>도올의 신수</t>
  </si>
  <si>
    <t>넘어와 [단행본]</t>
  </si>
  <si>
    <t>2022.04.04</t>
  </si>
  <si>
    <t>기획에 산다 [단행본]</t>
  </si>
  <si>
    <t>무림병장 [단행본]</t>
  </si>
  <si>
    <t>2021.02.08</t>
  </si>
  <si>
    <t>불시착한 우주 [BL][단행본]</t>
  </si>
  <si>
    <t>2020.11.11</t>
  </si>
  <si>
    <t>꼭꼭 숨어라(Wherever you are) [단행본]</t>
  </si>
  <si>
    <t>사계(Four Season) [BL][단행본]</t>
  </si>
  <si>
    <t>2020.05.13</t>
  </si>
  <si>
    <t>여우비가 내리던 날 [BL]</t>
  </si>
  <si>
    <t>미확인 사고</t>
  </si>
  <si>
    <t>2019.03.20</t>
  </si>
  <si>
    <t>이리 와 봐 외전 [단행본]</t>
  </si>
  <si>
    <t>2018.10.19</t>
  </si>
  <si>
    <t>기획에 산다</t>
  </si>
  <si>
    <t>위사무적</t>
  </si>
  <si>
    <t>위사무적 [단행본]</t>
  </si>
  <si>
    <t>2020.09.11</t>
  </si>
  <si>
    <t>낯선 소꿉친구 [BL]</t>
  </si>
  <si>
    <t>사나림</t>
  </si>
  <si>
    <t>더티독 외전 [BL][단행본]</t>
  </si>
  <si>
    <t>나는 내 연인의 것 외전 [BL][단행본]</t>
  </si>
  <si>
    <t>백양의 귀신 퇴치 매뉴얼 [BL]</t>
  </si>
  <si>
    <t>하바수</t>
  </si>
  <si>
    <t>2020.07.23</t>
  </si>
  <si>
    <t>마왕의 구원자 [BL]</t>
  </si>
  <si>
    <t>끝도 없이 젖어드는</t>
  </si>
  <si>
    <t>2019.06.21</t>
  </si>
  <si>
    <t>시리즈(IOS)</t>
    <phoneticPr fontId="20" type="noConversion"/>
  </si>
  <si>
    <t>강호, 미치다 [단행본]</t>
  </si>
  <si>
    <t>짝사랑 중입니다 [단행본]</t>
  </si>
  <si>
    <t>진양</t>
  </si>
  <si>
    <t>2022.06.27</t>
  </si>
  <si>
    <t>아득히 먼 훗날 우리가 [단행본]</t>
  </si>
  <si>
    <t>2022.06.13</t>
  </si>
  <si>
    <t>헌터 킹</t>
  </si>
  <si>
    <t>슈트에 입맞춤 [단행본]</t>
  </si>
  <si>
    <t>2018.06.19</t>
  </si>
  <si>
    <t>베르사유의 장미 [BL]</t>
  </si>
  <si>
    <t>2020.04.21</t>
  </si>
  <si>
    <t>근수저 오크는 근손실이 싫다 [무료연재]</t>
  </si>
  <si>
    <t>ARC곽도우</t>
  </si>
  <si>
    <t>2022.07.05</t>
  </si>
  <si>
    <t>무심코 [단행본]</t>
  </si>
  <si>
    <t>달로</t>
  </si>
  <si>
    <t>2022.06.03</t>
  </si>
  <si>
    <t>처녀 보쌈 [단행본]</t>
  </si>
  <si>
    <t>김원경</t>
  </si>
  <si>
    <t>2022.06.10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</si>
  <si>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</si>
  <si>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</si>
  <si>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</si>
  <si>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</si>
  <si>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</si>
  <si>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</si>
  <si>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우기에는 비가 와요 [단행본]</t>
  </si>
  <si>
    <t>이리</t>
  </si>
  <si>
    <t>2022.06.17</t>
  </si>
  <si>
    <t>한 번은 이별하자 [단행본]</t>
  </si>
  <si>
    <t>서연</t>
  </si>
  <si>
    <t>2022.06.20</t>
  </si>
  <si>
    <t>보통의 연애 [BL][단행본]</t>
  </si>
  <si>
    <t>모어 댄 블루 (More than BLUE) [BL] [단행본]</t>
  </si>
  <si>
    <t>2018.07.02</t>
  </si>
  <si>
    <t>다정한 내일을 위한 새벽 [BL][단행본]</t>
  </si>
  <si>
    <t>2019.05.06</t>
  </si>
  <si>
    <t>마왕의 구원자 [외전증보판][BL][단행본]</t>
  </si>
  <si>
    <t>콘크리트 펀치 [단행본]</t>
  </si>
  <si>
    <t>2020.09.15</t>
  </si>
  <si>
    <t>우리 집 악마 새끼 [BL][단행본]</t>
  </si>
  <si>
    <t>2019.11.12</t>
  </si>
  <si>
    <t>철수야 뭐하니? [BL][단행본]</t>
  </si>
  <si>
    <t>2018.07.26</t>
  </si>
  <si>
    <t>오늘의 날씨 [BL][단행본]</t>
  </si>
  <si>
    <t>이예즈</t>
  </si>
  <si>
    <t>2018.11.23</t>
  </si>
  <si>
    <t>끝까지, 지독하게 [단행본]</t>
  </si>
  <si>
    <t>2020.11.12</t>
  </si>
  <si>
    <t>슈트의 품격 [단행본]</t>
  </si>
  <si>
    <t>2018.06.18</t>
  </si>
  <si>
    <t>악마 귀환 [단행본]</t>
  </si>
  <si>
    <t>서향</t>
  </si>
  <si>
    <t>2018.10.22</t>
  </si>
  <si>
    <t>미세한 매력 [외전증보판][단행본]</t>
  </si>
  <si>
    <t>2020.02.13</t>
  </si>
  <si>
    <t>미확인 사고 [단행본]</t>
  </si>
  <si>
    <t>2019.03.12</t>
  </si>
  <si>
    <t>애증 [BL][단행본]</t>
  </si>
  <si>
    <t>사보</t>
  </si>
  <si>
    <t>2019.01.29</t>
  </si>
  <si>
    <t>베로나에서 그를 만나다 [단행본]</t>
  </si>
  <si>
    <t>원성혜</t>
  </si>
  <si>
    <t>2022.03.23</t>
  </si>
  <si>
    <t>마티네(Matinée) 외전 [BL][단행본]</t>
  </si>
  <si>
    <t>2020.10.30</t>
  </si>
  <si>
    <t>마티네(Matinée) [BL]</t>
  </si>
  <si>
    <t>그 순간, 별이 빛났다 [BL][단행본]</t>
  </si>
  <si>
    <t>2021.08.16</t>
  </si>
  <si>
    <t>집착의 맛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</si>
</sst>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18" fillId="0" borderId="0" xfId="42" applyFont="1" applyAlignment="1">
      <alignment vertical="center" wrapText="1"/>
    </xf>
    <xf numFmtId="41" fontId="21" fillId="0" borderId="0" xfId="42" applyFont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361"/>
  <sheetViews>
    <sheetView tabSelected="1" zoomScaleNormal="100" workbookViewId="0">
      <pane xSplit="9" ySplit="1" topLeftCell="BH192" activePane="bottomRight" state="frozen"/>
      <selection pane="topRight" activeCell="J1" sqref="J1"/>
      <selection pane="bottomLeft" activeCell="A2" sqref="A2"/>
      <selection pane="bottomRight" activeCell="F205" sqref="F205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4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4">
      <c r="A2" s="5" t="s">
        <v>30</v>
      </c>
      <c r="B2" s="5" t="s">
        <v>36</v>
      </c>
      <c r="C2" s="5">
        <v>451051</v>
      </c>
      <c r="D2" s="6"/>
      <c r="E2" s="5" t="s">
        <v>32</v>
      </c>
      <c r="F2" s="5" t="s">
        <v>33</v>
      </c>
      <c r="G2" s="5" t="s">
        <v>34</v>
      </c>
      <c r="H2" s="7" t="s">
        <v>10</v>
      </c>
      <c r="I2" s="7" t="s">
        <v>28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834</v>
      </c>
      <c r="AF2" s="8">
        <v>76500</v>
      </c>
      <c r="AG2" s="8">
        <v>9800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35</v>
      </c>
      <c r="AR2" s="8">
        <v>3400</v>
      </c>
      <c r="AS2" s="7">
        <v>100</v>
      </c>
      <c r="AT2" s="7">
        <v>0</v>
      </c>
      <c r="AU2" s="7">
        <v>0</v>
      </c>
      <c r="AV2" s="7">
        <v>0</v>
      </c>
      <c r="AW2" s="7">
        <v>455</v>
      </c>
      <c r="AX2" s="8">
        <v>54600</v>
      </c>
      <c r="AY2" s="7">
        <v>0</v>
      </c>
      <c r="AZ2" s="7">
        <v>0</v>
      </c>
      <c r="BA2" s="7">
        <v>0</v>
      </c>
      <c r="BB2" s="7">
        <v>0</v>
      </c>
      <c r="BC2" s="7">
        <v>302</v>
      </c>
      <c r="BD2" s="8">
        <v>35640</v>
      </c>
      <c r="BE2" s="7">
        <v>500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7598.4</v>
      </c>
      <c r="BM2" s="10">
        <v>180540</v>
      </c>
      <c r="BN2" s="13">
        <f>BM2-BL2</f>
        <v>172941.6</v>
      </c>
      <c r="BO2" s="13">
        <f>BN2*0.7</f>
        <v>121059.12</v>
      </c>
    </row>
    <row r="3" spans="1:67" x14ac:dyDescent="0.4">
      <c r="A3" s="5" t="s">
        <v>30</v>
      </c>
      <c r="B3" s="5" t="s">
        <v>31</v>
      </c>
      <c r="C3" s="5">
        <v>465998</v>
      </c>
      <c r="D3" s="6"/>
      <c r="E3" s="5" t="s">
        <v>32</v>
      </c>
      <c r="F3" s="5" t="s">
        <v>33</v>
      </c>
      <c r="G3" s="5" t="s">
        <v>34</v>
      </c>
      <c r="H3" s="7" t="s">
        <v>10</v>
      </c>
      <c r="I3" s="7" t="s">
        <v>35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68</v>
      </c>
      <c r="AC3" s="8">
        <v>62420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17</v>
      </c>
      <c r="AO3" s="8">
        <v>15200</v>
      </c>
      <c r="AP3" s="7">
        <v>100</v>
      </c>
      <c r="AQ3" s="7">
        <v>0</v>
      </c>
      <c r="AR3" s="7">
        <v>0</v>
      </c>
      <c r="AS3" s="7">
        <v>0</v>
      </c>
      <c r="AT3" s="7">
        <v>17</v>
      </c>
      <c r="AU3" s="8">
        <v>17520</v>
      </c>
      <c r="AV3" s="7">
        <v>0</v>
      </c>
      <c r="AW3" s="7">
        <v>0</v>
      </c>
      <c r="AX3" s="7">
        <v>0</v>
      </c>
      <c r="AY3" s="7">
        <v>0</v>
      </c>
      <c r="AZ3" s="7">
        <v>78</v>
      </c>
      <c r="BA3" s="8">
        <v>82080</v>
      </c>
      <c r="BB3" s="7">
        <v>500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6676.8</v>
      </c>
      <c r="BM3" s="10">
        <v>177820</v>
      </c>
      <c r="BN3" s="13">
        <f t="shared" ref="BN3:BN66" si="0">BM3-BL3</f>
        <v>171143.2</v>
      </c>
      <c r="BO3" s="13">
        <f t="shared" ref="BO3:BO66" si="1">BN3*0.7</f>
        <v>119800.24</v>
      </c>
    </row>
    <row r="4" spans="1:67" x14ac:dyDescent="0.4">
      <c r="A4" s="5" t="s">
        <v>30</v>
      </c>
      <c r="B4" s="5" t="s">
        <v>119</v>
      </c>
      <c r="C4" s="5">
        <v>455896</v>
      </c>
      <c r="D4" s="6"/>
      <c r="E4" s="5" t="s">
        <v>32</v>
      </c>
      <c r="F4" s="5" t="s">
        <v>33</v>
      </c>
      <c r="G4" s="5" t="s">
        <v>34</v>
      </c>
      <c r="H4" s="7" t="s">
        <v>7</v>
      </c>
      <c r="I4" s="7" t="s">
        <v>120</v>
      </c>
      <c r="J4" s="7">
        <v>3</v>
      </c>
      <c r="K4" s="7">
        <v>0</v>
      </c>
      <c r="L4" s="7">
        <v>300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140</v>
      </c>
      <c r="AF4" s="8">
        <v>12500</v>
      </c>
      <c r="AG4" s="8">
        <v>1500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142</v>
      </c>
      <c r="AR4" s="8">
        <v>14200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689</v>
      </c>
      <c r="BD4" s="8">
        <v>82080</v>
      </c>
      <c r="BE4" s="7">
        <v>500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4924.8</v>
      </c>
      <c r="BM4" s="10">
        <v>111080</v>
      </c>
      <c r="BN4" s="13">
        <f t="shared" si="0"/>
        <v>106155.2</v>
      </c>
      <c r="BO4" s="13">
        <f t="shared" si="1"/>
        <v>74308.639999999999</v>
      </c>
    </row>
    <row r="5" spans="1:67" x14ac:dyDescent="0.4">
      <c r="A5" s="5" t="s">
        <v>30</v>
      </c>
      <c r="B5" s="5" t="s">
        <v>37</v>
      </c>
      <c r="C5" s="5">
        <v>464786</v>
      </c>
      <c r="D5" s="6"/>
      <c r="E5" s="5" t="s">
        <v>32</v>
      </c>
      <c r="F5" s="5" t="s">
        <v>38</v>
      </c>
      <c r="G5" s="5" t="s">
        <v>39</v>
      </c>
      <c r="H5" s="7" t="s">
        <v>10</v>
      </c>
      <c r="I5" s="7" t="s">
        <v>40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27</v>
      </c>
      <c r="AF5" s="8">
        <v>30880</v>
      </c>
      <c r="AG5" s="8">
        <v>32700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5</v>
      </c>
      <c r="AR5" s="8">
        <v>12500</v>
      </c>
      <c r="AS5" s="7">
        <v>0</v>
      </c>
      <c r="AT5" s="7">
        <v>0</v>
      </c>
      <c r="AU5" s="7">
        <v>0</v>
      </c>
      <c r="AV5" s="7">
        <v>0</v>
      </c>
      <c r="AW5" s="7">
        <v>1</v>
      </c>
      <c r="AX5" s="8">
        <v>2040</v>
      </c>
      <c r="AY5" s="7">
        <v>0</v>
      </c>
      <c r="AZ5" s="7">
        <v>0</v>
      </c>
      <c r="BA5" s="7">
        <v>0</v>
      </c>
      <c r="BB5" s="7">
        <v>0</v>
      </c>
      <c r="BC5" s="7">
        <v>12</v>
      </c>
      <c r="BD5" s="8">
        <v>28320</v>
      </c>
      <c r="BE5" s="7">
        <v>500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1903.2</v>
      </c>
      <c r="BM5" s="10">
        <v>106940</v>
      </c>
      <c r="BN5" s="13">
        <f t="shared" si="0"/>
        <v>105036.8</v>
      </c>
      <c r="BO5" s="13">
        <f t="shared" si="1"/>
        <v>73525.759999999995</v>
      </c>
    </row>
    <row r="6" spans="1:67" x14ac:dyDescent="0.4">
      <c r="A6" s="5" t="s">
        <v>30</v>
      </c>
      <c r="B6" s="5" t="s">
        <v>75</v>
      </c>
      <c r="C6" s="5">
        <v>380954</v>
      </c>
      <c r="D6" s="6"/>
      <c r="E6" s="5" t="s">
        <v>32</v>
      </c>
      <c r="F6" s="5" t="s">
        <v>76</v>
      </c>
      <c r="G6" s="5" t="s">
        <v>11</v>
      </c>
      <c r="H6" s="7" t="s">
        <v>7</v>
      </c>
      <c r="I6" s="7" t="s">
        <v>77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26</v>
      </c>
      <c r="AC6" s="8">
        <v>20200</v>
      </c>
      <c r="AD6" s="8">
        <v>4900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10</v>
      </c>
      <c r="BA6" s="8">
        <v>10080</v>
      </c>
      <c r="BB6" s="7">
        <v>0</v>
      </c>
      <c r="BC6" s="7">
        <v>12</v>
      </c>
      <c r="BD6" s="8">
        <v>36000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2764.8</v>
      </c>
      <c r="BM6" s="10">
        <v>71180</v>
      </c>
      <c r="BN6" s="13">
        <f t="shared" si="0"/>
        <v>68415.199999999997</v>
      </c>
      <c r="BO6" s="13">
        <f t="shared" si="1"/>
        <v>47890.639999999992</v>
      </c>
    </row>
    <row r="7" spans="1:67" x14ac:dyDescent="0.4">
      <c r="A7" s="5" t="s">
        <v>30</v>
      </c>
      <c r="B7" s="5" t="s">
        <v>226</v>
      </c>
      <c r="C7" s="5">
        <v>408836</v>
      </c>
      <c r="D7" s="6"/>
      <c r="E7" s="5" t="s">
        <v>32</v>
      </c>
      <c r="F7" s="5" t="s">
        <v>79</v>
      </c>
      <c r="G7" s="5" t="s">
        <v>11</v>
      </c>
      <c r="H7" s="7" t="s">
        <v>7</v>
      </c>
      <c r="I7" s="7" t="s">
        <v>227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49</v>
      </c>
      <c r="AC7" s="8">
        <v>33060</v>
      </c>
      <c r="AD7" s="8">
        <v>3000</v>
      </c>
      <c r="AE7" s="7">
        <v>0</v>
      </c>
      <c r="AF7" s="7">
        <v>0</v>
      </c>
      <c r="AG7" s="7">
        <v>0</v>
      </c>
      <c r="AH7" s="7">
        <v>1</v>
      </c>
      <c r="AI7" s="7">
        <v>840</v>
      </c>
      <c r="AJ7" s="7">
        <v>0</v>
      </c>
      <c r="AK7" s="7">
        <v>0</v>
      </c>
      <c r="AL7" s="7">
        <v>0</v>
      </c>
      <c r="AM7" s="7">
        <v>0</v>
      </c>
      <c r="AN7" s="7">
        <v>5</v>
      </c>
      <c r="AO7" s="8">
        <v>3500</v>
      </c>
      <c r="AP7" s="7">
        <v>0</v>
      </c>
      <c r="AQ7" s="7">
        <v>0</v>
      </c>
      <c r="AR7" s="7">
        <v>0</v>
      </c>
      <c r="AS7" s="7">
        <v>0</v>
      </c>
      <c r="AT7" s="7">
        <v>5</v>
      </c>
      <c r="AU7" s="8">
        <v>3840</v>
      </c>
      <c r="AV7" s="7">
        <v>0</v>
      </c>
      <c r="AW7" s="7">
        <v>0</v>
      </c>
      <c r="AX7" s="7">
        <v>0</v>
      </c>
      <c r="AY7" s="7">
        <v>0</v>
      </c>
      <c r="AZ7" s="7">
        <v>32</v>
      </c>
      <c r="BA7" s="8">
        <v>26640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2234.4</v>
      </c>
      <c r="BM7" s="10">
        <v>70880</v>
      </c>
      <c r="BN7" s="13">
        <f t="shared" si="0"/>
        <v>68645.600000000006</v>
      </c>
      <c r="BO7" s="13">
        <f t="shared" si="1"/>
        <v>48051.92</v>
      </c>
    </row>
    <row r="8" spans="1:67" x14ac:dyDescent="0.4">
      <c r="A8" s="5" t="s">
        <v>30</v>
      </c>
      <c r="B8" s="5" t="s">
        <v>62</v>
      </c>
      <c r="C8" s="5">
        <v>461432</v>
      </c>
      <c r="D8" s="6"/>
      <c r="E8" s="5" t="s">
        <v>32</v>
      </c>
      <c r="F8" s="5" t="s">
        <v>33</v>
      </c>
      <c r="G8" s="5" t="s">
        <v>34</v>
      </c>
      <c r="H8" s="7" t="s">
        <v>10</v>
      </c>
      <c r="I8" s="7" t="s">
        <v>63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73</v>
      </c>
      <c r="AF8" s="7">
        <v>200</v>
      </c>
      <c r="AG8" s="8">
        <v>7100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118</v>
      </c>
      <c r="AR8" s="8">
        <v>10900</v>
      </c>
      <c r="AS8" s="7">
        <v>900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351</v>
      </c>
      <c r="BD8" s="8">
        <v>41520</v>
      </c>
      <c r="BE8" s="7">
        <v>500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2491.1999999999998</v>
      </c>
      <c r="BM8" s="10">
        <v>61120</v>
      </c>
      <c r="BN8" s="13">
        <f t="shared" si="0"/>
        <v>58628.800000000003</v>
      </c>
      <c r="BO8" s="13">
        <f t="shared" si="1"/>
        <v>41040.159999999996</v>
      </c>
    </row>
    <row r="9" spans="1:67" x14ac:dyDescent="0.4">
      <c r="A9" s="5" t="s">
        <v>30</v>
      </c>
      <c r="B9" s="5" t="s">
        <v>59</v>
      </c>
      <c r="C9" s="5">
        <v>354950</v>
      </c>
      <c r="D9" s="6" t="s">
        <v>60</v>
      </c>
      <c r="E9" s="5" t="s">
        <v>32</v>
      </c>
      <c r="F9" s="5" t="s">
        <v>33</v>
      </c>
      <c r="G9" s="5" t="s">
        <v>11</v>
      </c>
      <c r="H9" s="7" t="s">
        <v>7</v>
      </c>
      <c r="I9" s="7" t="s">
        <v>61</v>
      </c>
      <c r="J9" s="7">
        <v>0</v>
      </c>
      <c r="K9" s="7">
        <v>10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5</v>
      </c>
      <c r="T9" s="7">
        <v>49</v>
      </c>
      <c r="U9" s="7">
        <v>0</v>
      </c>
      <c r="V9" s="7">
        <v>500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183</v>
      </c>
      <c r="AF9" s="8">
        <v>13740</v>
      </c>
      <c r="AG9" s="8">
        <v>4700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9</v>
      </c>
      <c r="AR9" s="7">
        <v>900</v>
      </c>
      <c r="AS9" s="7">
        <v>0</v>
      </c>
      <c r="AT9" s="7">
        <v>0</v>
      </c>
      <c r="AU9" s="7">
        <v>0</v>
      </c>
      <c r="AV9" s="7">
        <v>0</v>
      </c>
      <c r="AW9" s="7">
        <v>157</v>
      </c>
      <c r="AX9" s="8">
        <v>18840</v>
      </c>
      <c r="AY9" s="7">
        <v>0</v>
      </c>
      <c r="AZ9" s="7">
        <v>0</v>
      </c>
      <c r="BA9" s="7">
        <v>0</v>
      </c>
      <c r="BB9" s="7">
        <v>0</v>
      </c>
      <c r="BC9" s="7">
        <v>168</v>
      </c>
      <c r="BD9" s="8">
        <v>20160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3093.6</v>
      </c>
      <c r="BM9" s="10">
        <v>58840</v>
      </c>
      <c r="BN9" s="13">
        <f t="shared" si="0"/>
        <v>55746.400000000001</v>
      </c>
      <c r="BO9" s="13">
        <f t="shared" si="1"/>
        <v>39022.479999999996</v>
      </c>
    </row>
    <row r="10" spans="1:67" x14ac:dyDescent="0.4">
      <c r="A10" s="5" t="s">
        <v>30</v>
      </c>
      <c r="B10" s="5" t="s">
        <v>194</v>
      </c>
      <c r="C10" s="5">
        <v>367415</v>
      </c>
      <c r="D10" s="6"/>
      <c r="E10" s="5" t="s">
        <v>32</v>
      </c>
      <c r="F10" s="5" t="s">
        <v>76</v>
      </c>
      <c r="G10" s="5" t="s">
        <v>11</v>
      </c>
      <c r="H10" s="7" t="s">
        <v>7</v>
      </c>
      <c r="I10" s="7" t="s">
        <v>195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34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367</v>
      </c>
      <c r="AF10" s="8">
        <v>33700</v>
      </c>
      <c r="AG10" s="8">
        <v>3000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178</v>
      </c>
      <c r="BD10" s="8">
        <v>21360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1281.5999999999999</v>
      </c>
      <c r="BM10" s="10">
        <v>58060</v>
      </c>
      <c r="BN10" s="13">
        <f t="shared" si="0"/>
        <v>56778.400000000001</v>
      </c>
      <c r="BO10" s="13">
        <f t="shared" si="1"/>
        <v>39744.879999999997</v>
      </c>
    </row>
    <row r="11" spans="1:67" x14ac:dyDescent="0.4">
      <c r="A11" s="5" t="s">
        <v>30</v>
      </c>
      <c r="B11" s="5" t="s">
        <v>78</v>
      </c>
      <c r="C11" s="5">
        <v>361185</v>
      </c>
      <c r="D11" s="6"/>
      <c r="E11" s="5" t="s">
        <v>32</v>
      </c>
      <c r="F11" s="5" t="s">
        <v>79</v>
      </c>
      <c r="G11" s="5" t="s">
        <v>11</v>
      </c>
      <c r="H11" s="7" t="s">
        <v>7</v>
      </c>
      <c r="I11" s="7" t="s">
        <v>80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142</v>
      </c>
      <c r="AF11" s="8">
        <v>9300</v>
      </c>
      <c r="AG11" s="8">
        <v>4900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185</v>
      </c>
      <c r="AR11" s="8">
        <v>18300</v>
      </c>
      <c r="AS11" s="7">
        <v>200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203</v>
      </c>
      <c r="BD11" s="8">
        <v>24360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1461.6</v>
      </c>
      <c r="BM11" s="10">
        <v>57060</v>
      </c>
      <c r="BN11" s="13">
        <f t="shared" si="0"/>
        <v>55598.400000000001</v>
      </c>
      <c r="BO11" s="13">
        <f t="shared" si="1"/>
        <v>38918.879999999997</v>
      </c>
    </row>
    <row r="12" spans="1:67" x14ac:dyDescent="0.4">
      <c r="A12" s="5" t="s">
        <v>30</v>
      </c>
      <c r="B12" s="5" t="s">
        <v>90</v>
      </c>
      <c r="C12" s="5">
        <v>372422</v>
      </c>
      <c r="D12" s="6"/>
      <c r="E12" s="5" t="s">
        <v>32</v>
      </c>
      <c r="F12" s="5" t="s">
        <v>68</v>
      </c>
      <c r="G12" s="5" t="s">
        <v>69</v>
      </c>
      <c r="H12" s="7" t="s">
        <v>8</v>
      </c>
      <c r="I12" s="7" t="s">
        <v>91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222</v>
      </c>
      <c r="AF12" s="8">
        <v>11560</v>
      </c>
      <c r="AG12" s="8">
        <v>12100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45</v>
      </c>
      <c r="AX12" s="8">
        <v>5400</v>
      </c>
      <c r="AY12" s="7">
        <v>0</v>
      </c>
      <c r="AZ12" s="7">
        <v>0</v>
      </c>
      <c r="BA12" s="7">
        <v>0</v>
      </c>
      <c r="BB12" s="7">
        <v>0</v>
      </c>
      <c r="BC12" s="7">
        <v>178</v>
      </c>
      <c r="BD12" s="8">
        <v>21360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1821.6</v>
      </c>
      <c r="BM12" s="10">
        <v>50420</v>
      </c>
      <c r="BN12" s="13">
        <f t="shared" si="0"/>
        <v>48598.400000000001</v>
      </c>
      <c r="BO12" s="13">
        <f t="shared" si="1"/>
        <v>34018.879999999997</v>
      </c>
    </row>
    <row r="13" spans="1:67" x14ac:dyDescent="0.4">
      <c r="A13" s="5" t="s">
        <v>30</v>
      </c>
      <c r="B13" s="5" t="s">
        <v>67</v>
      </c>
      <c r="C13" s="5">
        <v>372841</v>
      </c>
      <c r="D13" s="6"/>
      <c r="E13" s="5" t="s">
        <v>32</v>
      </c>
      <c r="F13" s="5" t="s">
        <v>68</v>
      </c>
      <c r="G13" s="5" t="s">
        <v>69</v>
      </c>
      <c r="H13" s="7" t="s">
        <v>8</v>
      </c>
      <c r="I13" s="7" t="s">
        <v>70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3</v>
      </c>
      <c r="AF13" s="7">
        <v>320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90</v>
      </c>
      <c r="AR13" s="8">
        <v>8800</v>
      </c>
      <c r="AS13" s="7">
        <v>200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304</v>
      </c>
      <c r="BD13" s="8">
        <v>36480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2188.8000000000002</v>
      </c>
      <c r="BM13" s="10">
        <v>45800</v>
      </c>
      <c r="BN13" s="13">
        <f t="shared" si="0"/>
        <v>43611.199999999997</v>
      </c>
      <c r="BO13" s="13">
        <f t="shared" si="1"/>
        <v>30527.839999999997</v>
      </c>
    </row>
    <row r="14" spans="1:67" x14ac:dyDescent="0.4">
      <c r="A14" s="5" t="s">
        <v>30</v>
      </c>
      <c r="B14" s="5" t="s">
        <v>45</v>
      </c>
      <c r="C14" s="5">
        <v>368432</v>
      </c>
      <c r="D14" s="6"/>
      <c r="E14" s="5" t="s">
        <v>32</v>
      </c>
      <c r="F14" s="5" t="s">
        <v>46</v>
      </c>
      <c r="G14" s="5" t="s">
        <v>47</v>
      </c>
      <c r="H14" s="7" t="s">
        <v>8</v>
      </c>
      <c r="I14" s="7" t="s">
        <v>48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195</v>
      </c>
      <c r="AF14" s="8">
        <v>17140</v>
      </c>
      <c r="AG14" s="8">
        <v>4200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42</v>
      </c>
      <c r="AX14" s="8">
        <v>4440</v>
      </c>
      <c r="AY14" s="7">
        <v>500</v>
      </c>
      <c r="AZ14" s="7">
        <v>0</v>
      </c>
      <c r="BA14" s="7">
        <v>0</v>
      </c>
      <c r="BB14" s="7">
        <v>0</v>
      </c>
      <c r="BC14" s="7">
        <v>161</v>
      </c>
      <c r="BD14" s="8">
        <v>18720</v>
      </c>
      <c r="BE14" s="7">
        <v>500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9">
        <v>1567.2</v>
      </c>
      <c r="BM14" s="10">
        <v>45500</v>
      </c>
      <c r="BN14" s="13">
        <f t="shared" si="0"/>
        <v>43932.800000000003</v>
      </c>
      <c r="BO14" s="13">
        <f t="shared" si="1"/>
        <v>30752.959999999999</v>
      </c>
    </row>
    <row r="15" spans="1:67" x14ac:dyDescent="0.4">
      <c r="A15" s="5" t="s">
        <v>30</v>
      </c>
      <c r="B15" s="5" t="s">
        <v>52</v>
      </c>
      <c r="C15" s="5">
        <v>395341</v>
      </c>
      <c r="D15" s="6"/>
      <c r="E15" s="5" t="s">
        <v>32</v>
      </c>
      <c r="F15" s="5" t="s">
        <v>53</v>
      </c>
      <c r="G15" s="5" t="s">
        <v>54</v>
      </c>
      <c r="H15" s="7" t="s">
        <v>8</v>
      </c>
      <c r="I15" s="7" t="s">
        <v>55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322</v>
      </c>
      <c r="AF15" s="8">
        <v>26400</v>
      </c>
      <c r="AG15" s="8">
        <v>5800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18</v>
      </c>
      <c r="AX15" s="8">
        <v>2160</v>
      </c>
      <c r="AY15" s="7">
        <v>0</v>
      </c>
      <c r="AZ15" s="7">
        <v>0</v>
      </c>
      <c r="BA15" s="7">
        <v>0</v>
      </c>
      <c r="BB15" s="7">
        <v>0</v>
      </c>
      <c r="BC15" s="7">
        <v>70</v>
      </c>
      <c r="BD15" s="8">
        <v>8400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720</v>
      </c>
      <c r="BM15" s="10">
        <v>42760</v>
      </c>
      <c r="BN15" s="13">
        <f t="shared" si="0"/>
        <v>42040</v>
      </c>
      <c r="BO15" s="13">
        <f t="shared" si="1"/>
        <v>29427.999999999996</v>
      </c>
    </row>
    <row r="16" spans="1:67" x14ac:dyDescent="0.4">
      <c r="A16" s="5" t="s">
        <v>30</v>
      </c>
      <c r="B16" s="5" t="s">
        <v>110</v>
      </c>
      <c r="C16" s="5">
        <v>379289</v>
      </c>
      <c r="D16" s="6"/>
      <c r="E16" s="5" t="s">
        <v>32</v>
      </c>
      <c r="F16" s="5" t="s">
        <v>79</v>
      </c>
      <c r="G16" s="5" t="s">
        <v>11</v>
      </c>
      <c r="H16" s="7" t="s">
        <v>7</v>
      </c>
      <c r="I16" s="7" t="s">
        <v>111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19</v>
      </c>
      <c r="AC16" s="8">
        <v>17300</v>
      </c>
      <c r="AD16" s="7">
        <v>500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22</v>
      </c>
      <c r="BA16" s="8">
        <v>22200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1332</v>
      </c>
      <c r="BM16" s="10">
        <v>40000</v>
      </c>
      <c r="BN16" s="13">
        <f t="shared" si="0"/>
        <v>38668</v>
      </c>
      <c r="BO16" s="13">
        <f t="shared" si="1"/>
        <v>27067.599999999999</v>
      </c>
    </row>
    <row r="17" spans="1:67" x14ac:dyDescent="0.4">
      <c r="A17" s="5" t="s">
        <v>30</v>
      </c>
      <c r="B17" s="5" t="s">
        <v>239</v>
      </c>
      <c r="C17" s="5">
        <v>367412</v>
      </c>
      <c r="D17" s="6"/>
      <c r="E17" s="5" t="s">
        <v>32</v>
      </c>
      <c r="F17" s="5" t="s">
        <v>76</v>
      </c>
      <c r="G17" s="5" t="s">
        <v>11</v>
      </c>
      <c r="H17" s="7" t="s">
        <v>7</v>
      </c>
      <c r="I17" s="7" t="s">
        <v>77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3200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8</v>
      </c>
      <c r="BD17" s="8">
        <v>30720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1843.2</v>
      </c>
      <c r="BM17" s="10">
        <v>33920</v>
      </c>
      <c r="BN17" s="13">
        <f t="shared" si="0"/>
        <v>32076.799999999999</v>
      </c>
      <c r="BO17" s="13">
        <f t="shared" si="1"/>
        <v>22453.759999999998</v>
      </c>
    </row>
    <row r="18" spans="1:67" ht="19.2" x14ac:dyDescent="0.4">
      <c r="A18" s="5" t="s">
        <v>30</v>
      </c>
      <c r="B18" s="5" t="s">
        <v>85</v>
      </c>
      <c r="C18" s="5">
        <v>468582</v>
      </c>
      <c r="D18" s="6"/>
      <c r="E18" s="5" t="s">
        <v>32</v>
      </c>
      <c r="F18" s="5" t="s">
        <v>86</v>
      </c>
      <c r="G18" s="5" t="s">
        <v>39</v>
      </c>
      <c r="H18" s="7" t="s">
        <v>10</v>
      </c>
      <c r="I18" s="7" t="s">
        <v>87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8</v>
      </c>
      <c r="AF18" s="8">
        <v>14680</v>
      </c>
      <c r="AG18" s="8">
        <v>5000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5</v>
      </c>
      <c r="BD18" s="8">
        <v>13440</v>
      </c>
      <c r="BE18" s="7">
        <v>500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806.4</v>
      </c>
      <c r="BM18" s="10">
        <v>33620</v>
      </c>
      <c r="BN18" s="13">
        <f t="shared" si="0"/>
        <v>32813.599999999999</v>
      </c>
      <c r="BO18" s="13">
        <f t="shared" si="1"/>
        <v>22969.519999999997</v>
      </c>
    </row>
    <row r="19" spans="1:67" x14ac:dyDescent="0.4">
      <c r="A19" s="5" t="s">
        <v>30</v>
      </c>
      <c r="B19" s="5" t="s">
        <v>88</v>
      </c>
      <c r="C19" s="5">
        <v>369060</v>
      </c>
      <c r="D19" s="6"/>
      <c r="E19" s="5" t="s">
        <v>32</v>
      </c>
      <c r="F19" s="5" t="s">
        <v>76</v>
      </c>
      <c r="G19" s="5" t="s">
        <v>11</v>
      </c>
      <c r="H19" s="7" t="s">
        <v>7</v>
      </c>
      <c r="I19" s="7" t="s">
        <v>89</v>
      </c>
      <c r="J19" s="7">
        <v>0</v>
      </c>
      <c r="K19" s="7">
        <v>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14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241</v>
      </c>
      <c r="AF19" s="8">
        <v>17160</v>
      </c>
      <c r="AG19" s="8">
        <v>7400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60</v>
      </c>
      <c r="AR19" s="8">
        <v>5800</v>
      </c>
      <c r="AS19" s="7">
        <v>200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30560</v>
      </c>
      <c r="BN19" s="13">
        <f t="shared" si="0"/>
        <v>30560</v>
      </c>
      <c r="BO19" s="13">
        <f t="shared" si="1"/>
        <v>21392</v>
      </c>
    </row>
    <row r="20" spans="1:67" x14ac:dyDescent="0.4">
      <c r="A20" s="5" t="s">
        <v>30</v>
      </c>
      <c r="B20" s="5" t="s">
        <v>177</v>
      </c>
      <c r="C20" s="5">
        <v>401407</v>
      </c>
      <c r="D20" s="6"/>
      <c r="E20" s="5" t="s">
        <v>32</v>
      </c>
      <c r="F20" s="5" t="s">
        <v>68</v>
      </c>
      <c r="G20" s="5" t="s">
        <v>54</v>
      </c>
      <c r="H20" s="7" t="s">
        <v>8</v>
      </c>
      <c r="I20" s="7" t="s">
        <v>178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202</v>
      </c>
      <c r="AF20" s="8">
        <v>20200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61</v>
      </c>
      <c r="BD20" s="8">
        <v>7320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439.2</v>
      </c>
      <c r="BM20" s="10">
        <v>27520</v>
      </c>
      <c r="BN20" s="13">
        <f t="shared" si="0"/>
        <v>27080.799999999999</v>
      </c>
      <c r="BO20" s="13">
        <f t="shared" si="1"/>
        <v>18956.559999999998</v>
      </c>
    </row>
    <row r="21" spans="1:67" x14ac:dyDescent="0.4">
      <c r="A21" s="5" t="s">
        <v>30</v>
      </c>
      <c r="B21" s="5" t="s">
        <v>240</v>
      </c>
      <c r="C21" s="5">
        <v>472519</v>
      </c>
      <c r="D21" s="6"/>
      <c r="E21" s="5" t="s">
        <v>32</v>
      </c>
      <c r="F21" s="5" t="s">
        <v>241</v>
      </c>
      <c r="G21" s="5" t="s">
        <v>39</v>
      </c>
      <c r="H21" s="7" t="s">
        <v>7</v>
      </c>
      <c r="I21" s="7" t="s">
        <v>242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4</v>
      </c>
      <c r="AF21" s="8">
        <v>10800</v>
      </c>
      <c r="AG21" s="8">
        <v>3600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1</v>
      </c>
      <c r="AX21" s="8">
        <v>3720</v>
      </c>
      <c r="AY21" s="7">
        <v>500</v>
      </c>
      <c r="AZ21" s="7">
        <v>0</v>
      </c>
      <c r="BA21" s="7">
        <v>0</v>
      </c>
      <c r="BB21" s="7">
        <v>0</v>
      </c>
      <c r="BC21" s="7">
        <v>2</v>
      </c>
      <c r="BD21" s="8">
        <v>8640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890.4</v>
      </c>
      <c r="BM21" s="10">
        <v>27260</v>
      </c>
      <c r="BN21" s="13">
        <f t="shared" si="0"/>
        <v>26369.599999999999</v>
      </c>
      <c r="BO21" s="13">
        <f t="shared" si="1"/>
        <v>18458.719999999998</v>
      </c>
    </row>
    <row r="22" spans="1:67" x14ac:dyDescent="0.4">
      <c r="A22" s="5" t="s">
        <v>30</v>
      </c>
      <c r="B22" s="5" t="s">
        <v>71</v>
      </c>
      <c r="C22" s="5">
        <v>467559</v>
      </c>
      <c r="D22" s="6"/>
      <c r="E22" s="5" t="s">
        <v>32</v>
      </c>
      <c r="F22" s="5" t="s">
        <v>72</v>
      </c>
      <c r="G22" s="5" t="s">
        <v>39</v>
      </c>
      <c r="H22" s="7" t="s">
        <v>7</v>
      </c>
      <c r="I22" s="7" t="s">
        <v>73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8</v>
      </c>
      <c r="AF22" s="8">
        <v>9800</v>
      </c>
      <c r="AG22" s="8">
        <v>5300</v>
      </c>
      <c r="AH22" s="7">
        <v>0</v>
      </c>
      <c r="AI22" s="7">
        <v>0</v>
      </c>
      <c r="AJ22" s="7">
        <v>0</v>
      </c>
      <c r="AK22" s="7">
        <v>1</v>
      </c>
      <c r="AL22" s="7">
        <v>360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1</v>
      </c>
      <c r="AX22" s="8">
        <v>2400</v>
      </c>
      <c r="AY22" s="7">
        <v>0</v>
      </c>
      <c r="AZ22" s="7">
        <v>0</v>
      </c>
      <c r="BA22" s="7">
        <v>0</v>
      </c>
      <c r="BB22" s="7">
        <v>0</v>
      </c>
      <c r="BC22" s="7">
        <v>4</v>
      </c>
      <c r="BD22" s="8">
        <v>8880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880.8</v>
      </c>
      <c r="BM22" s="10">
        <v>26740</v>
      </c>
      <c r="BN22" s="13">
        <f t="shared" si="0"/>
        <v>25859.200000000001</v>
      </c>
      <c r="BO22" s="13">
        <f t="shared" si="1"/>
        <v>18101.439999999999</v>
      </c>
    </row>
    <row r="23" spans="1:67" x14ac:dyDescent="0.4">
      <c r="A23" s="5" t="s">
        <v>30</v>
      </c>
      <c r="B23" s="5" t="s">
        <v>243</v>
      </c>
      <c r="C23" s="5">
        <v>470433</v>
      </c>
      <c r="D23" s="6"/>
      <c r="E23" s="5" t="s">
        <v>32</v>
      </c>
      <c r="F23" s="5" t="s">
        <v>122</v>
      </c>
      <c r="G23" s="5" t="s">
        <v>39</v>
      </c>
      <c r="H23" s="7" t="s">
        <v>7</v>
      </c>
      <c r="I23" s="7" t="s">
        <v>244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3</v>
      </c>
      <c r="AF23" s="8">
        <v>2800</v>
      </c>
      <c r="AG23" s="8">
        <v>2500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7</v>
      </c>
      <c r="BD23" s="8">
        <v>18600</v>
      </c>
      <c r="BE23" s="7">
        <v>0</v>
      </c>
      <c r="BF23" s="7">
        <v>0</v>
      </c>
      <c r="BG23" s="7">
        <v>0</v>
      </c>
      <c r="BH23" s="7">
        <v>0</v>
      </c>
      <c r="BI23" s="7">
        <v>1</v>
      </c>
      <c r="BJ23" s="8">
        <v>2040</v>
      </c>
      <c r="BK23" s="7">
        <v>0</v>
      </c>
      <c r="BL23" s="9">
        <v>1218</v>
      </c>
      <c r="BM23" s="10">
        <v>25940</v>
      </c>
      <c r="BN23" s="13">
        <f t="shared" si="0"/>
        <v>24722</v>
      </c>
      <c r="BO23" s="13">
        <f t="shared" si="1"/>
        <v>17305.399999999998</v>
      </c>
    </row>
    <row r="24" spans="1:67" x14ac:dyDescent="0.4">
      <c r="A24" s="5" t="s">
        <v>30</v>
      </c>
      <c r="B24" s="5" t="s">
        <v>112</v>
      </c>
      <c r="C24" s="5">
        <v>443833</v>
      </c>
      <c r="D24" s="6"/>
      <c r="E24" s="5" t="s">
        <v>32</v>
      </c>
      <c r="F24" s="5" t="s">
        <v>113</v>
      </c>
      <c r="G24" s="5" t="s">
        <v>54</v>
      </c>
      <c r="H24" s="7" t="s">
        <v>8</v>
      </c>
      <c r="I24" s="7" t="s">
        <v>114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149</v>
      </c>
      <c r="AF24" s="8">
        <v>11300</v>
      </c>
      <c r="AG24" s="8">
        <v>3600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22</v>
      </c>
      <c r="AX24" s="8">
        <v>2640</v>
      </c>
      <c r="AY24" s="7">
        <v>0</v>
      </c>
      <c r="AZ24" s="7">
        <v>0</v>
      </c>
      <c r="BA24" s="7">
        <v>0</v>
      </c>
      <c r="BB24" s="7">
        <v>0</v>
      </c>
      <c r="BC24" s="7">
        <v>69</v>
      </c>
      <c r="BD24" s="8">
        <v>8280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760.8</v>
      </c>
      <c r="BM24" s="10">
        <v>25820</v>
      </c>
      <c r="BN24" s="13">
        <f t="shared" si="0"/>
        <v>25059.200000000001</v>
      </c>
      <c r="BO24" s="13">
        <f t="shared" si="1"/>
        <v>17541.439999999999</v>
      </c>
    </row>
    <row r="25" spans="1:67" x14ac:dyDescent="0.4">
      <c r="A25" s="5" t="s">
        <v>30</v>
      </c>
      <c r="B25" s="5" t="s">
        <v>164</v>
      </c>
      <c r="C25" s="5">
        <v>445220</v>
      </c>
      <c r="D25" s="6"/>
      <c r="E25" s="5" t="s">
        <v>32</v>
      </c>
      <c r="F25" s="5" t="s">
        <v>165</v>
      </c>
      <c r="G25" s="5" t="s">
        <v>54</v>
      </c>
      <c r="H25" s="7" t="s">
        <v>8</v>
      </c>
      <c r="I25" s="7" t="s">
        <v>166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18</v>
      </c>
      <c r="AF25" s="8">
        <v>2100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62</v>
      </c>
      <c r="AX25" s="8">
        <v>7440</v>
      </c>
      <c r="AY25" s="7">
        <v>0</v>
      </c>
      <c r="AZ25" s="7">
        <v>0</v>
      </c>
      <c r="BA25" s="7">
        <v>0</v>
      </c>
      <c r="BB25" s="7">
        <v>0</v>
      </c>
      <c r="BC25" s="7">
        <v>91</v>
      </c>
      <c r="BD25" s="8">
        <v>10320</v>
      </c>
      <c r="BE25" s="7">
        <v>500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9">
        <v>1363.2</v>
      </c>
      <c r="BM25" s="10">
        <v>20360</v>
      </c>
      <c r="BN25" s="13">
        <f t="shared" si="0"/>
        <v>18996.8</v>
      </c>
      <c r="BO25" s="13">
        <f t="shared" si="1"/>
        <v>13297.759999999998</v>
      </c>
    </row>
    <row r="26" spans="1:67" x14ac:dyDescent="0.4">
      <c r="A26" s="5" t="s">
        <v>30</v>
      </c>
      <c r="B26" s="5" t="s">
        <v>167</v>
      </c>
      <c r="C26" s="5">
        <v>397687</v>
      </c>
      <c r="D26" s="6"/>
      <c r="E26" s="5" t="s">
        <v>32</v>
      </c>
      <c r="F26" s="5" t="s">
        <v>79</v>
      </c>
      <c r="G26" s="5" t="s">
        <v>11</v>
      </c>
      <c r="H26" s="7" t="s">
        <v>7</v>
      </c>
      <c r="I26" s="7" t="s">
        <v>168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2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97</v>
      </c>
      <c r="AF26" s="8">
        <v>11640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77</v>
      </c>
      <c r="AR26" s="8">
        <v>7500</v>
      </c>
      <c r="AS26" s="7">
        <v>200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19340</v>
      </c>
      <c r="BN26" s="13">
        <f t="shared" si="0"/>
        <v>19340</v>
      </c>
      <c r="BO26" s="13">
        <f t="shared" si="1"/>
        <v>13538</v>
      </c>
    </row>
    <row r="27" spans="1:67" x14ac:dyDescent="0.4">
      <c r="A27" s="5" t="s">
        <v>30</v>
      </c>
      <c r="B27" s="5" t="s">
        <v>225</v>
      </c>
      <c r="C27" s="5">
        <v>408838</v>
      </c>
      <c r="D27" s="6"/>
      <c r="E27" s="5" t="s">
        <v>32</v>
      </c>
      <c r="F27" s="5" t="s">
        <v>79</v>
      </c>
      <c r="G27" s="5" t="s">
        <v>11</v>
      </c>
      <c r="H27" s="7" t="s">
        <v>7</v>
      </c>
      <c r="I27" s="7" t="s">
        <v>101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80</v>
      </c>
      <c r="AF27" s="8">
        <v>8000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80</v>
      </c>
      <c r="BD27" s="8">
        <v>9600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576</v>
      </c>
      <c r="BM27" s="10">
        <v>17600</v>
      </c>
      <c r="BN27" s="13">
        <f t="shared" si="0"/>
        <v>17024</v>
      </c>
      <c r="BO27" s="13">
        <f t="shared" si="1"/>
        <v>11916.8</v>
      </c>
    </row>
    <row r="28" spans="1:67" x14ac:dyDescent="0.4">
      <c r="A28" s="5" t="s">
        <v>30</v>
      </c>
      <c r="B28" s="5" t="s">
        <v>81</v>
      </c>
      <c r="C28" s="5">
        <v>456187</v>
      </c>
      <c r="D28" s="6"/>
      <c r="E28" s="5" t="s">
        <v>32</v>
      </c>
      <c r="F28" s="5" t="s">
        <v>82</v>
      </c>
      <c r="G28" s="5" t="s">
        <v>83</v>
      </c>
      <c r="H28" s="7" t="s">
        <v>8</v>
      </c>
      <c r="I28" s="7" t="s">
        <v>84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101</v>
      </c>
      <c r="AF28" s="8">
        <v>9600</v>
      </c>
      <c r="AG28" s="7">
        <v>800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58</v>
      </c>
      <c r="BD28" s="8">
        <v>6960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417.6</v>
      </c>
      <c r="BM28" s="10">
        <v>17360</v>
      </c>
      <c r="BN28" s="13">
        <f t="shared" si="0"/>
        <v>16942.400000000001</v>
      </c>
      <c r="BO28" s="13">
        <f t="shared" si="1"/>
        <v>11859.68</v>
      </c>
    </row>
    <row r="29" spans="1:67" x14ac:dyDescent="0.4">
      <c r="A29" s="5" t="s">
        <v>30</v>
      </c>
      <c r="B29" s="5" t="s">
        <v>212</v>
      </c>
      <c r="C29" s="5">
        <v>424315</v>
      </c>
      <c r="D29" s="6"/>
      <c r="E29" s="5" t="s">
        <v>32</v>
      </c>
      <c r="F29" s="5" t="s">
        <v>79</v>
      </c>
      <c r="G29" s="5" t="s">
        <v>11</v>
      </c>
      <c r="H29" s="7" t="s">
        <v>7</v>
      </c>
      <c r="I29" s="7" t="s">
        <v>213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4</v>
      </c>
      <c r="AC29" s="8">
        <v>3780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12</v>
      </c>
      <c r="BA29" s="8">
        <v>12960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777.6</v>
      </c>
      <c r="BM29" s="10">
        <v>16740</v>
      </c>
      <c r="BN29" s="13">
        <f t="shared" si="0"/>
        <v>15962.4</v>
      </c>
      <c r="BO29" s="13">
        <f t="shared" si="1"/>
        <v>11173.679999999998</v>
      </c>
    </row>
    <row r="30" spans="1:67" x14ac:dyDescent="0.4">
      <c r="A30" s="5" t="s">
        <v>30</v>
      </c>
      <c r="B30" s="5" t="s">
        <v>235</v>
      </c>
      <c r="C30" s="5">
        <v>443521</v>
      </c>
      <c r="D30" s="6"/>
      <c r="E30" s="5" t="s">
        <v>32</v>
      </c>
      <c r="F30" s="5" t="s">
        <v>140</v>
      </c>
      <c r="G30" s="5" t="s">
        <v>54</v>
      </c>
      <c r="H30" s="7" t="s">
        <v>8</v>
      </c>
      <c r="I30" s="7" t="s">
        <v>163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113</v>
      </c>
      <c r="AF30" s="8">
        <v>7000</v>
      </c>
      <c r="AG30" s="8">
        <v>4300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43</v>
      </c>
      <c r="BD30" s="8">
        <v>5160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309.60000000000002</v>
      </c>
      <c r="BM30" s="10">
        <v>16460</v>
      </c>
      <c r="BN30" s="13">
        <f t="shared" si="0"/>
        <v>16150.4</v>
      </c>
      <c r="BO30" s="13">
        <f t="shared" si="1"/>
        <v>11305.279999999999</v>
      </c>
    </row>
    <row r="31" spans="1:67" x14ac:dyDescent="0.4">
      <c r="A31" s="5" t="s">
        <v>30</v>
      </c>
      <c r="B31" s="5" t="s">
        <v>115</v>
      </c>
      <c r="C31" s="5">
        <v>382098</v>
      </c>
      <c r="D31" s="6"/>
      <c r="E31" s="5" t="s">
        <v>32</v>
      </c>
      <c r="F31" s="5" t="s">
        <v>33</v>
      </c>
      <c r="G31" s="5" t="s">
        <v>11</v>
      </c>
      <c r="H31" s="7" t="s">
        <v>7</v>
      </c>
      <c r="I31" s="7" t="s">
        <v>116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</v>
      </c>
      <c r="AC31" s="7">
        <v>900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10</v>
      </c>
      <c r="AO31" s="8">
        <v>9000</v>
      </c>
      <c r="AP31" s="7">
        <v>0</v>
      </c>
      <c r="AQ31" s="7">
        <v>1</v>
      </c>
      <c r="AR31" s="8">
        <v>3200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3</v>
      </c>
      <c r="BA31" s="8">
        <v>3240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194.4</v>
      </c>
      <c r="BM31" s="10">
        <v>16340</v>
      </c>
      <c r="BN31" s="13">
        <f t="shared" si="0"/>
        <v>16145.6</v>
      </c>
      <c r="BO31" s="13">
        <f t="shared" si="1"/>
        <v>11301.92</v>
      </c>
    </row>
    <row r="32" spans="1:67" x14ac:dyDescent="0.4">
      <c r="A32" s="5" t="s">
        <v>30</v>
      </c>
      <c r="B32" s="5" t="s">
        <v>162</v>
      </c>
      <c r="C32" s="5">
        <v>443543</v>
      </c>
      <c r="D32" s="6"/>
      <c r="E32" s="5" t="s">
        <v>32</v>
      </c>
      <c r="F32" s="5" t="s">
        <v>68</v>
      </c>
      <c r="G32" s="5" t="s">
        <v>54</v>
      </c>
      <c r="H32" s="7" t="s">
        <v>8</v>
      </c>
      <c r="I32" s="7" t="s">
        <v>163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20</v>
      </c>
      <c r="AF32" s="7">
        <v>0</v>
      </c>
      <c r="AG32" s="8">
        <v>2000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108</v>
      </c>
      <c r="BD32" s="8">
        <v>12960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777.6</v>
      </c>
      <c r="BM32" s="10">
        <v>14960</v>
      </c>
      <c r="BN32" s="13">
        <f t="shared" si="0"/>
        <v>14182.4</v>
      </c>
      <c r="BO32" s="13">
        <f t="shared" si="1"/>
        <v>9927.6799999999985</v>
      </c>
    </row>
    <row r="33" spans="1:67" x14ac:dyDescent="0.4">
      <c r="A33" s="5" t="s">
        <v>30</v>
      </c>
      <c r="B33" s="5" t="s">
        <v>92</v>
      </c>
      <c r="C33" s="5">
        <v>453445</v>
      </c>
      <c r="D33" s="6"/>
      <c r="E33" s="5" t="s">
        <v>32</v>
      </c>
      <c r="F33" s="5" t="s">
        <v>33</v>
      </c>
      <c r="G33" s="5" t="s">
        <v>34</v>
      </c>
      <c r="H33" s="7" t="s">
        <v>8</v>
      </c>
      <c r="I33" s="7" t="s">
        <v>93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3</v>
      </c>
      <c r="AO33" s="8">
        <v>2700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9</v>
      </c>
      <c r="BA33" s="8">
        <v>9720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583.20000000000005</v>
      </c>
      <c r="BM33" s="10">
        <v>12420</v>
      </c>
      <c r="BN33" s="13">
        <f t="shared" si="0"/>
        <v>11836.8</v>
      </c>
      <c r="BO33" s="13">
        <f t="shared" si="1"/>
        <v>8285.7599999999984</v>
      </c>
    </row>
    <row r="34" spans="1:67" x14ac:dyDescent="0.4">
      <c r="A34" s="5" t="s">
        <v>30</v>
      </c>
      <c r="B34" s="5" t="s">
        <v>245</v>
      </c>
      <c r="C34" s="5">
        <v>454224</v>
      </c>
      <c r="D34" s="6"/>
      <c r="E34" s="5" t="s">
        <v>32</v>
      </c>
      <c r="F34" s="5" t="s">
        <v>33</v>
      </c>
      <c r="G34" s="5" t="s">
        <v>34</v>
      </c>
      <c r="H34" s="7" t="s">
        <v>7</v>
      </c>
      <c r="I34" s="7" t="s">
        <v>156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117</v>
      </c>
      <c r="AR34" s="8">
        <v>11500</v>
      </c>
      <c r="AS34" s="7">
        <v>200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11700</v>
      </c>
      <c r="BN34" s="13">
        <f t="shared" si="0"/>
        <v>11700</v>
      </c>
      <c r="BO34" s="13">
        <f t="shared" si="1"/>
        <v>8189.9999999999991</v>
      </c>
    </row>
    <row r="35" spans="1:67" x14ac:dyDescent="0.4">
      <c r="A35" s="5" t="s">
        <v>30</v>
      </c>
      <c r="B35" s="5" t="s">
        <v>107</v>
      </c>
      <c r="C35" s="5">
        <v>457533</v>
      </c>
      <c r="D35" s="6"/>
      <c r="E35" s="5" t="s">
        <v>32</v>
      </c>
      <c r="F35" s="5" t="s">
        <v>108</v>
      </c>
      <c r="G35" s="5" t="s">
        <v>39</v>
      </c>
      <c r="H35" s="7" t="s">
        <v>43</v>
      </c>
      <c r="I35" s="7" t="s">
        <v>109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3</v>
      </c>
      <c r="AF35" s="8">
        <v>5660</v>
      </c>
      <c r="AG35" s="7">
        <v>200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1</v>
      </c>
      <c r="AX35" s="8">
        <v>1800</v>
      </c>
      <c r="AY35" s="7">
        <v>500</v>
      </c>
      <c r="AZ35" s="7">
        <v>0</v>
      </c>
      <c r="BA35" s="7">
        <v>0</v>
      </c>
      <c r="BB35" s="7">
        <v>0</v>
      </c>
      <c r="BC35" s="7">
        <v>2</v>
      </c>
      <c r="BD35" s="8">
        <v>3120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367.2</v>
      </c>
      <c r="BM35" s="10">
        <v>11280</v>
      </c>
      <c r="BN35" s="13">
        <f t="shared" si="0"/>
        <v>10912.8</v>
      </c>
      <c r="BO35" s="13">
        <f t="shared" si="1"/>
        <v>7638.9599999999991</v>
      </c>
    </row>
    <row r="36" spans="1:67" x14ac:dyDescent="0.4">
      <c r="A36" s="5" t="s">
        <v>30</v>
      </c>
      <c r="B36" s="5" t="s">
        <v>174</v>
      </c>
      <c r="C36" s="5">
        <v>455900</v>
      </c>
      <c r="D36" s="6"/>
      <c r="E36" s="5" t="s">
        <v>32</v>
      </c>
      <c r="F36" s="5" t="s">
        <v>33</v>
      </c>
      <c r="G36" s="5" t="s">
        <v>34</v>
      </c>
      <c r="H36" s="7" t="s">
        <v>7</v>
      </c>
      <c r="I36" s="7" t="s">
        <v>120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900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9</v>
      </c>
      <c r="BA36" s="8">
        <v>9720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583.20000000000005</v>
      </c>
      <c r="BM36" s="10">
        <v>10620</v>
      </c>
      <c r="BN36" s="13">
        <f t="shared" si="0"/>
        <v>10036.799999999999</v>
      </c>
      <c r="BO36" s="13">
        <f t="shared" si="1"/>
        <v>7025.7599999999993</v>
      </c>
    </row>
    <row r="37" spans="1:67" x14ac:dyDescent="0.4">
      <c r="A37" s="5" t="s">
        <v>30</v>
      </c>
      <c r="B37" s="5" t="s">
        <v>155</v>
      </c>
      <c r="C37" s="5">
        <v>454228</v>
      </c>
      <c r="D37" s="6"/>
      <c r="E37" s="5" t="s">
        <v>32</v>
      </c>
      <c r="F37" s="5" t="s">
        <v>33</v>
      </c>
      <c r="G37" s="5" t="s">
        <v>34</v>
      </c>
      <c r="H37" s="7" t="s">
        <v>7</v>
      </c>
      <c r="I37" s="7" t="s">
        <v>156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4</v>
      </c>
      <c r="AC37" s="8">
        <v>3600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6</v>
      </c>
      <c r="BA37" s="8">
        <v>6480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388.8</v>
      </c>
      <c r="BM37" s="10">
        <v>10080</v>
      </c>
      <c r="BN37" s="13">
        <f t="shared" si="0"/>
        <v>9691.2000000000007</v>
      </c>
      <c r="BO37" s="13">
        <f t="shared" si="1"/>
        <v>6783.84</v>
      </c>
    </row>
    <row r="38" spans="1:67" x14ac:dyDescent="0.4">
      <c r="A38" s="5" t="s">
        <v>30</v>
      </c>
      <c r="B38" s="5" t="s">
        <v>185</v>
      </c>
      <c r="C38" s="5">
        <v>459224</v>
      </c>
      <c r="D38" s="6"/>
      <c r="E38" s="5" t="s">
        <v>32</v>
      </c>
      <c r="F38" s="5" t="s">
        <v>186</v>
      </c>
      <c r="G38" s="5" t="s">
        <v>39</v>
      </c>
      <c r="H38" s="7" t="s">
        <v>7</v>
      </c>
      <c r="I38" s="7" t="s">
        <v>187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</v>
      </c>
      <c r="AF38" s="8">
        <v>2000</v>
      </c>
      <c r="AG38" s="7">
        <v>500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1</v>
      </c>
      <c r="AR38" s="8">
        <v>2000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2</v>
      </c>
      <c r="BD38" s="8">
        <v>4200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252</v>
      </c>
      <c r="BM38" s="10">
        <v>8700</v>
      </c>
      <c r="BN38" s="13">
        <f t="shared" si="0"/>
        <v>8448</v>
      </c>
      <c r="BO38" s="13">
        <f t="shared" si="1"/>
        <v>5913.5999999999995</v>
      </c>
    </row>
    <row r="39" spans="1:67" x14ac:dyDescent="0.4">
      <c r="A39" s="5" t="s">
        <v>30</v>
      </c>
      <c r="B39" s="5" t="s">
        <v>172</v>
      </c>
      <c r="C39" s="5">
        <v>365225</v>
      </c>
      <c r="D39" s="6"/>
      <c r="E39" s="5" t="s">
        <v>32</v>
      </c>
      <c r="F39" s="5" t="s">
        <v>79</v>
      </c>
      <c r="G39" s="5" t="s">
        <v>11</v>
      </c>
      <c r="H39" s="7" t="s">
        <v>7</v>
      </c>
      <c r="I39" s="7" t="s">
        <v>173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4</v>
      </c>
      <c r="AC39" s="8">
        <v>2700</v>
      </c>
      <c r="AD39" s="7">
        <v>500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5</v>
      </c>
      <c r="BA39" s="8">
        <v>4800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288</v>
      </c>
      <c r="BM39" s="10">
        <v>8000</v>
      </c>
      <c r="BN39" s="13">
        <f t="shared" si="0"/>
        <v>7712</v>
      </c>
      <c r="BO39" s="13">
        <f t="shared" si="1"/>
        <v>5398.4</v>
      </c>
    </row>
    <row r="40" spans="1:67" x14ac:dyDescent="0.4">
      <c r="A40" s="5" t="s">
        <v>30</v>
      </c>
      <c r="B40" s="5" t="s">
        <v>232</v>
      </c>
      <c r="C40" s="5">
        <v>405099</v>
      </c>
      <c r="D40" s="6"/>
      <c r="E40" s="5" t="s">
        <v>32</v>
      </c>
      <c r="F40" s="5" t="s">
        <v>233</v>
      </c>
      <c r="G40" s="5" t="s">
        <v>54</v>
      </c>
      <c r="H40" s="7" t="s">
        <v>8</v>
      </c>
      <c r="I40" s="7" t="s">
        <v>234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72</v>
      </c>
      <c r="AF40" s="8">
        <v>7200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0">
        <v>7200</v>
      </c>
      <c r="BN40" s="13">
        <f t="shared" si="0"/>
        <v>7200</v>
      </c>
      <c r="BO40" s="13">
        <f t="shared" si="1"/>
        <v>5040</v>
      </c>
    </row>
    <row r="41" spans="1:67" x14ac:dyDescent="0.4">
      <c r="A41" s="5" t="s">
        <v>30</v>
      </c>
      <c r="B41" s="5" t="s">
        <v>104</v>
      </c>
      <c r="C41" s="5">
        <v>460820</v>
      </c>
      <c r="D41" s="6"/>
      <c r="E41" s="5" t="s">
        <v>32</v>
      </c>
      <c r="F41" s="5" t="s">
        <v>105</v>
      </c>
      <c r="G41" s="5" t="s">
        <v>83</v>
      </c>
      <c r="H41" s="7" t="s">
        <v>8</v>
      </c>
      <c r="I41" s="7" t="s">
        <v>106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49</v>
      </c>
      <c r="AF41" s="8">
        <v>4080</v>
      </c>
      <c r="AG41" s="8">
        <v>1500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4</v>
      </c>
      <c r="AR41" s="7">
        <v>400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9</v>
      </c>
      <c r="BD41" s="8">
        <v>1080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64.8</v>
      </c>
      <c r="BM41" s="10">
        <v>7060</v>
      </c>
      <c r="BN41" s="13">
        <f t="shared" si="0"/>
        <v>6995.2</v>
      </c>
      <c r="BO41" s="13">
        <f t="shared" si="1"/>
        <v>4896.6399999999994</v>
      </c>
    </row>
    <row r="42" spans="1:67" x14ac:dyDescent="0.4">
      <c r="A42" s="5" t="s">
        <v>30</v>
      </c>
      <c r="B42" s="5" t="s">
        <v>228</v>
      </c>
      <c r="C42" s="5">
        <v>443989</v>
      </c>
      <c r="D42" s="6"/>
      <c r="E42" s="5" t="s">
        <v>32</v>
      </c>
      <c r="F42" s="5" t="s">
        <v>229</v>
      </c>
      <c r="G42" s="5" t="s">
        <v>54</v>
      </c>
      <c r="H42" s="7" t="s">
        <v>8</v>
      </c>
      <c r="I42" s="7" t="s">
        <v>180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34</v>
      </c>
      <c r="AF42" s="8">
        <v>3400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24</v>
      </c>
      <c r="BD42" s="8">
        <v>2880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172.8</v>
      </c>
      <c r="BM42" s="10">
        <v>6280</v>
      </c>
      <c r="BN42" s="13">
        <f t="shared" si="0"/>
        <v>6107.2</v>
      </c>
      <c r="BO42" s="13">
        <f t="shared" si="1"/>
        <v>4275.04</v>
      </c>
    </row>
    <row r="43" spans="1:67" x14ac:dyDescent="0.4">
      <c r="A43" s="5" t="s">
        <v>30</v>
      </c>
      <c r="B43" s="5" t="s">
        <v>157</v>
      </c>
      <c r="C43" s="5">
        <v>354768</v>
      </c>
      <c r="D43" s="6"/>
      <c r="E43" s="5" t="s">
        <v>32</v>
      </c>
      <c r="F43" s="5" t="s">
        <v>46</v>
      </c>
      <c r="G43" s="5" t="s">
        <v>47</v>
      </c>
      <c r="H43" s="7" t="s">
        <v>8</v>
      </c>
      <c r="I43" s="7" t="s">
        <v>158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61</v>
      </c>
      <c r="AF43" s="8">
        <v>6100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6100</v>
      </c>
      <c r="BN43" s="13">
        <f t="shared" si="0"/>
        <v>6100</v>
      </c>
      <c r="BO43" s="13">
        <f t="shared" si="1"/>
        <v>4270</v>
      </c>
    </row>
    <row r="44" spans="1:67" x14ac:dyDescent="0.4">
      <c r="A44" s="5" t="s">
        <v>30</v>
      </c>
      <c r="B44" s="5" t="s">
        <v>94</v>
      </c>
      <c r="C44" s="5">
        <v>440710</v>
      </c>
      <c r="D44" s="6"/>
      <c r="E44" s="5" t="s">
        <v>32</v>
      </c>
      <c r="F44" s="5" t="s">
        <v>95</v>
      </c>
      <c r="G44" s="5" t="s">
        <v>96</v>
      </c>
      <c r="H44" s="7" t="s">
        <v>7</v>
      </c>
      <c r="I44" s="7" t="s">
        <v>97</v>
      </c>
      <c r="J44" s="7">
        <v>1</v>
      </c>
      <c r="K44" s="7">
        <v>102</v>
      </c>
      <c r="L44" s="7">
        <v>100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57</v>
      </c>
      <c r="AF44" s="8">
        <v>2500</v>
      </c>
      <c r="AG44" s="8">
        <v>3200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1</v>
      </c>
      <c r="AR44" s="7">
        <v>100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1</v>
      </c>
      <c r="BD44" s="7">
        <v>120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7.2</v>
      </c>
      <c r="BM44" s="10">
        <v>6020</v>
      </c>
      <c r="BN44" s="13">
        <f t="shared" si="0"/>
        <v>6012.8</v>
      </c>
      <c r="BO44" s="13">
        <f t="shared" si="1"/>
        <v>4208.96</v>
      </c>
    </row>
    <row r="45" spans="1:67" x14ac:dyDescent="0.4">
      <c r="A45" s="5" t="s">
        <v>30</v>
      </c>
      <c r="B45" s="5" t="s">
        <v>179</v>
      </c>
      <c r="C45" s="5">
        <v>443978</v>
      </c>
      <c r="D45" s="6"/>
      <c r="E45" s="5" t="s">
        <v>32</v>
      </c>
      <c r="F45" s="5" t="s">
        <v>124</v>
      </c>
      <c r="G45" s="5" t="s">
        <v>54</v>
      </c>
      <c r="H45" s="7" t="s">
        <v>8</v>
      </c>
      <c r="I45" s="7" t="s">
        <v>180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50</v>
      </c>
      <c r="AF45" s="8">
        <v>3720</v>
      </c>
      <c r="AG45" s="8">
        <v>1900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5620</v>
      </c>
      <c r="BN45" s="13">
        <f t="shared" si="0"/>
        <v>5620</v>
      </c>
      <c r="BO45" s="13">
        <f t="shared" si="1"/>
        <v>3933.9999999999995</v>
      </c>
    </row>
    <row r="46" spans="1:67" x14ac:dyDescent="0.4">
      <c r="A46" s="5" t="s">
        <v>30</v>
      </c>
      <c r="B46" s="5" t="s">
        <v>142</v>
      </c>
      <c r="C46" s="5">
        <v>465771</v>
      </c>
      <c r="D46" s="6"/>
      <c r="E46" s="5" t="s">
        <v>32</v>
      </c>
      <c r="F46" s="5" t="s">
        <v>143</v>
      </c>
      <c r="G46" s="5" t="s">
        <v>39</v>
      </c>
      <c r="H46" s="7" t="s">
        <v>10</v>
      </c>
      <c r="I46" s="7" t="s">
        <v>144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</v>
      </c>
      <c r="AF46" s="8">
        <v>2400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1</v>
      </c>
      <c r="BD46" s="8">
        <v>2400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144</v>
      </c>
      <c r="BM46" s="10">
        <v>4800</v>
      </c>
      <c r="BN46" s="13">
        <f t="shared" si="0"/>
        <v>4656</v>
      </c>
      <c r="BO46" s="13">
        <f t="shared" si="1"/>
        <v>3259.2</v>
      </c>
    </row>
    <row r="47" spans="1:67" x14ac:dyDescent="0.4">
      <c r="A47" s="5" t="s">
        <v>30</v>
      </c>
      <c r="B47" s="5" t="s">
        <v>117</v>
      </c>
      <c r="C47" s="5">
        <v>395231</v>
      </c>
      <c r="D47" s="6"/>
      <c r="E47" s="5" t="s">
        <v>32</v>
      </c>
      <c r="F47" s="5" t="s">
        <v>53</v>
      </c>
      <c r="G47" s="5" t="s">
        <v>54</v>
      </c>
      <c r="H47" s="7" t="s">
        <v>43</v>
      </c>
      <c r="I47" s="7" t="s">
        <v>118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1</v>
      </c>
      <c r="BD47" s="8">
        <v>4200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252</v>
      </c>
      <c r="BM47" s="10">
        <v>4200</v>
      </c>
      <c r="BN47" s="13">
        <f t="shared" si="0"/>
        <v>3948</v>
      </c>
      <c r="BO47" s="13">
        <f t="shared" si="1"/>
        <v>2763.6</v>
      </c>
    </row>
    <row r="48" spans="1:67" x14ac:dyDescent="0.4">
      <c r="A48" s="5" t="s">
        <v>30</v>
      </c>
      <c r="B48" s="5" t="s">
        <v>56</v>
      </c>
      <c r="C48" s="5">
        <v>465773</v>
      </c>
      <c r="D48" s="6"/>
      <c r="E48" s="5" t="s">
        <v>32</v>
      </c>
      <c r="F48" s="5" t="s">
        <v>57</v>
      </c>
      <c r="G48" s="5" t="s">
        <v>39</v>
      </c>
      <c r="H48" s="7" t="s">
        <v>43</v>
      </c>
      <c r="I48" s="7" t="s">
        <v>58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1</v>
      </c>
      <c r="BJ48" s="8">
        <v>4200</v>
      </c>
      <c r="BK48" s="7">
        <v>0</v>
      </c>
      <c r="BL48" s="7">
        <v>210</v>
      </c>
      <c r="BM48" s="10">
        <v>4200</v>
      </c>
      <c r="BN48" s="13">
        <f t="shared" si="0"/>
        <v>3990</v>
      </c>
      <c r="BO48" s="13">
        <f t="shared" si="1"/>
        <v>2793</v>
      </c>
    </row>
    <row r="49" spans="1:67" x14ac:dyDescent="0.4">
      <c r="A49" s="5" t="s">
        <v>30</v>
      </c>
      <c r="B49" s="5" t="s">
        <v>246</v>
      </c>
      <c r="C49" s="5">
        <v>318384</v>
      </c>
      <c r="D49" s="6"/>
      <c r="E49" s="5" t="s">
        <v>32</v>
      </c>
      <c r="F49" s="5" t="s">
        <v>182</v>
      </c>
      <c r="G49" s="5" t="s">
        <v>83</v>
      </c>
      <c r="H49" s="7" t="s">
        <v>8</v>
      </c>
      <c r="I49" s="7" t="s">
        <v>247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</v>
      </c>
      <c r="AF49" s="8">
        <v>1800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1</v>
      </c>
      <c r="BD49" s="8">
        <v>2160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129.6</v>
      </c>
      <c r="BM49" s="10">
        <v>3960</v>
      </c>
      <c r="BN49" s="13">
        <f t="shared" si="0"/>
        <v>3830.4</v>
      </c>
      <c r="BO49" s="13">
        <f t="shared" si="1"/>
        <v>2681.2799999999997</v>
      </c>
    </row>
    <row r="50" spans="1:67" x14ac:dyDescent="0.4">
      <c r="A50" s="5" t="s">
        <v>30</v>
      </c>
      <c r="B50" s="5" t="s">
        <v>224</v>
      </c>
      <c r="C50" s="5">
        <v>451947</v>
      </c>
      <c r="D50" s="6"/>
      <c r="E50" s="5" t="s">
        <v>32</v>
      </c>
      <c r="F50" s="5" t="s">
        <v>33</v>
      </c>
      <c r="G50" s="5" t="s">
        <v>34</v>
      </c>
      <c r="H50" s="7" t="s">
        <v>7</v>
      </c>
      <c r="I50" s="7" t="s">
        <v>93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30</v>
      </c>
      <c r="AF50" s="8">
        <v>3600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3600</v>
      </c>
      <c r="BN50" s="13">
        <f t="shared" si="0"/>
        <v>3600</v>
      </c>
      <c r="BO50" s="13">
        <f t="shared" si="1"/>
        <v>2520</v>
      </c>
    </row>
    <row r="51" spans="1:67" x14ac:dyDescent="0.4">
      <c r="A51" s="5" t="s">
        <v>30</v>
      </c>
      <c r="B51" s="5" t="s">
        <v>206</v>
      </c>
      <c r="C51" s="5">
        <v>312154</v>
      </c>
      <c r="D51" s="6"/>
      <c r="E51" s="5" t="s">
        <v>32</v>
      </c>
      <c r="F51" s="5" t="s">
        <v>68</v>
      </c>
      <c r="G51" s="5" t="s">
        <v>54</v>
      </c>
      <c r="H51" s="7" t="s">
        <v>10</v>
      </c>
      <c r="I51" s="7" t="s">
        <v>207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1</v>
      </c>
      <c r="BD51" s="8">
        <v>3360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201.6</v>
      </c>
      <c r="BM51" s="10">
        <v>3360</v>
      </c>
      <c r="BN51" s="13">
        <f t="shared" si="0"/>
        <v>3158.4</v>
      </c>
      <c r="BO51" s="13">
        <f t="shared" si="1"/>
        <v>2210.88</v>
      </c>
    </row>
    <row r="52" spans="1:67" x14ac:dyDescent="0.4">
      <c r="A52" s="5" t="s">
        <v>30</v>
      </c>
      <c r="B52" s="5" t="s">
        <v>236</v>
      </c>
      <c r="C52" s="5">
        <v>366373</v>
      </c>
      <c r="D52" s="6"/>
      <c r="E52" s="5" t="s">
        <v>32</v>
      </c>
      <c r="F52" s="5" t="s">
        <v>201</v>
      </c>
      <c r="G52" s="5" t="s">
        <v>47</v>
      </c>
      <c r="H52" s="7" t="s">
        <v>8</v>
      </c>
      <c r="I52" s="7" t="s">
        <v>237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26</v>
      </c>
      <c r="AF52" s="8">
        <v>3120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</v>
      </c>
      <c r="BD52" s="7">
        <v>120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7.2</v>
      </c>
      <c r="BM52" s="10">
        <v>3240</v>
      </c>
      <c r="BN52" s="13">
        <f t="shared" si="0"/>
        <v>3232.8</v>
      </c>
      <c r="BO52" s="13">
        <f t="shared" si="1"/>
        <v>2262.96</v>
      </c>
    </row>
    <row r="53" spans="1:67" x14ac:dyDescent="0.4">
      <c r="A53" s="5" t="s">
        <v>30</v>
      </c>
      <c r="B53" s="5" t="s">
        <v>191</v>
      </c>
      <c r="C53" s="5">
        <v>457676</v>
      </c>
      <c r="D53" s="6"/>
      <c r="E53" s="5" t="s">
        <v>32</v>
      </c>
      <c r="F53" s="5" t="s">
        <v>192</v>
      </c>
      <c r="G53" s="5" t="s">
        <v>39</v>
      </c>
      <c r="H53" s="7" t="s">
        <v>7</v>
      </c>
      <c r="I53" s="7" t="s">
        <v>193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1</v>
      </c>
      <c r="BD53" s="8">
        <v>3000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180</v>
      </c>
      <c r="BM53" s="10">
        <v>3000</v>
      </c>
      <c r="BN53" s="13">
        <f t="shared" si="0"/>
        <v>2820</v>
      </c>
      <c r="BO53" s="13">
        <f t="shared" si="1"/>
        <v>1973.9999999999998</v>
      </c>
    </row>
    <row r="54" spans="1:67" x14ac:dyDescent="0.4">
      <c r="A54" s="5" t="s">
        <v>30</v>
      </c>
      <c r="B54" s="5" t="s">
        <v>100</v>
      </c>
      <c r="C54" s="5">
        <v>408834</v>
      </c>
      <c r="D54" s="6"/>
      <c r="E54" s="5" t="s">
        <v>32</v>
      </c>
      <c r="F54" s="5" t="s">
        <v>79</v>
      </c>
      <c r="G54" s="5" t="s">
        <v>11</v>
      </c>
      <c r="H54" s="7" t="s">
        <v>7</v>
      </c>
      <c r="I54" s="7" t="s">
        <v>101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3</v>
      </c>
      <c r="AO54" s="8">
        <v>2700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2700</v>
      </c>
      <c r="BN54" s="13">
        <f t="shared" si="0"/>
        <v>2700</v>
      </c>
      <c r="BO54" s="13">
        <f t="shared" si="1"/>
        <v>1889.9999999999998</v>
      </c>
    </row>
    <row r="55" spans="1:67" x14ac:dyDescent="0.4">
      <c r="A55" s="5" t="s">
        <v>30</v>
      </c>
      <c r="B55" s="5" t="s">
        <v>74</v>
      </c>
      <c r="C55" s="5">
        <v>461450</v>
      </c>
      <c r="D55" s="6"/>
      <c r="E55" s="5" t="s">
        <v>32</v>
      </c>
      <c r="F55" s="5" t="s">
        <v>33</v>
      </c>
      <c r="G55" s="5" t="s">
        <v>34</v>
      </c>
      <c r="H55" s="7" t="s">
        <v>10</v>
      </c>
      <c r="I55" s="7" t="s">
        <v>63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3</v>
      </c>
      <c r="AC55" s="8">
        <v>2700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2700</v>
      </c>
      <c r="BN55" s="13">
        <f t="shared" si="0"/>
        <v>2700</v>
      </c>
      <c r="BO55" s="13">
        <f t="shared" si="1"/>
        <v>1889.9999999999998</v>
      </c>
    </row>
    <row r="56" spans="1:67" x14ac:dyDescent="0.4">
      <c r="A56" s="5" t="s">
        <v>30</v>
      </c>
      <c r="B56" s="5" t="s">
        <v>248</v>
      </c>
      <c r="C56" s="5">
        <v>396049</v>
      </c>
      <c r="D56" s="6"/>
      <c r="E56" s="5" t="s">
        <v>32</v>
      </c>
      <c r="F56" s="5" t="s">
        <v>140</v>
      </c>
      <c r="G56" s="5" t="s">
        <v>54</v>
      </c>
      <c r="H56" s="7" t="s">
        <v>8</v>
      </c>
      <c r="I56" s="7" t="s">
        <v>249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20</v>
      </c>
      <c r="AF56" s="8">
        <v>2400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2400</v>
      </c>
      <c r="BN56" s="13">
        <f t="shared" si="0"/>
        <v>2400</v>
      </c>
      <c r="BO56" s="13">
        <f t="shared" si="1"/>
        <v>1680</v>
      </c>
    </row>
    <row r="57" spans="1:67" x14ac:dyDescent="0.4">
      <c r="A57" s="5" t="s">
        <v>30</v>
      </c>
      <c r="B57" s="5" t="s">
        <v>161</v>
      </c>
      <c r="C57" s="5">
        <v>453397</v>
      </c>
      <c r="D57" s="6"/>
      <c r="E57" s="5" t="s">
        <v>32</v>
      </c>
      <c r="F57" s="5" t="s">
        <v>33</v>
      </c>
      <c r="G57" s="5" t="s">
        <v>34</v>
      </c>
      <c r="H57" s="7" t="s">
        <v>8</v>
      </c>
      <c r="I57" s="7" t="s">
        <v>93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2</v>
      </c>
      <c r="AF57" s="7">
        <v>0</v>
      </c>
      <c r="AG57" s="7">
        <v>200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16</v>
      </c>
      <c r="AX57" s="8">
        <v>1920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192</v>
      </c>
      <c r="BM57" s="10">
        <v>2120</v>
      </c>
      <c r="BN57" s="13">
        <f t="shared" si="0"/>
        <v>1928</v>
      </c>
      <c r="BO57" s="13">
        <f t="shared" si="1"/>
        <v>1349.6</v>
      </c>
    </row>
    <row r="58" spans="1:67" x14ac:dyDescent="0.4">
      <c r="A58" s="5" t="s">
        <v>30</v>
      </c>
      <c r="B58" s="5" t="s">
        <v>208</v>
      </c>
      <c r="C58" s="5">
        <v>443839</v>
      </c>
      <c r="D58" s="6"/>
      <c r="E58" s="5" t="s">
        <v>32</v>
      </c>
      <c r="F58" s="5" t="s">
        <v>82</v>
      </c>
      <c r="G58" s="5" t="s">
        <v>83</v>
      </c>
      <c r="H58" s="7" t="s">
        <v>8</v>
      </c>
      <c r="I58" s="7" t="s">
        <v>114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14</v>
      </c>
      <c r="AF58" s="8">
        <v>1680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1680</v>
      </c>
      <c r="BN58" s="13">
        <f t="shared" si="0"/>
        <v>1680</v>
      </c>
      <c r="BO58" s="13">
        <f t="shared" si="1"/>
        <v>1176</v>
      </c>
    </row>
    <row r="59" spans="1:67" x14ac:dyDescent="0.4">
      <c r="A59" s="5" t="s">
        <v>30</v>
      </c>
      <c r="B59" s="5" t="s">
        <v>169</v>
      </c>
      <c r="C59" s="5">
        <v>448030</v>
      </c>
      <c r="D59" s="6"/>
      <c r="E59" s="5" t="s">
        <v>32</v>
      </c>
      <c r="F59" s="5" t="s">
        <v>170</v>
      </c>
      <c r="G59" s="5" t="s">
        <v>83</v>
      </c>
      <c r="H59" s="7" t="s">
        <v>8</v>
      </c>
      <c r="I59" s="7" t="s">
        <v>171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4</v>
      </c>
      <c r="AF59" s="7">
        <v>440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7</v>
      </c>
      <c r="BD59" s="7">
        <v>840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50.4</v>
      </c>
      <c r="BM59" s="10">
        <v>1280</v>
      </c>
      <c r="BN59" s="13">
        <f t="shared" si="0"/>
        <v>1229.5999999999999</v>
      </c>
      <c r="BO59" s="13">
        <f t="shared" si="1"/>
        <v>860.71999999999991</v>
      </c>
    </row>
    <row r="60" spans="1:67" ht="19.2" x14ac:dyDescent="0.4">
      <c r="A60" s="5" t="s">
        <v>30</v>
      </c>
      <c r="B60" s="5" t="s">
        <v>250</v>
      </c>
      <c r="C60" s="5">
        <v>469971</v>
      </c>
      <c r="D60" s="6"/>
      <c r="E60" s="5" t="s">
        <v>32</v>
      </c>
      <c r="F60" s="5" t="s">
        <v>251</v>
      </c>
      <c r="G60" s="5" t="s">
        <v>96</v>
      </c>
      <c r="H60" s="7" t="s">
        <v>7</v>
      </c>
      <c r="I60" s="7" t="s">
        <v>252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12</v>
      </c>
      <c r="AF60" s="8">
        <v>1000</v>
      </c>
      <c r="AG60" s="7">
        <v>200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1200</v>
      </c>
      <c r="BN60" s="13">
        <f t="shared" si="0"/>
        <v>1200</v>
      </c>
      <c r="BO60" s="13">
        <f t="shared" si="1"/>
        <v>840</v>
      </c>
    </row>
    <row r="61" spans="1:67" ht="19.2" x14ac:dyDescent="0.4">
      <c r="A61" s="5" t="s">
        <v>30</v>
      </c>
      <c r="B61" s="5" t="s">
        <v>138</v>
      </c>
      <c r="C61" s="5">
        <v>445576</v>
      </c>
      <c r="D61" s="6"/>
      <c r="E61" s="5" t="s">
        <v>32</v>
      </c>
      <c r="F61" s="5" t="s">
        <v>33</v>
      </c>
      <c r="G61" s="5" t="s">
        <v>34</v>
      </c>
      <c r="H61" s="7" t="s">
        <v>7</v>
      </c>
      <c r="I61" s="7" t="s">
        <v>131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1</v>
      </c>
      <c r="BA61" s="8">
        <v>1080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64.8</v>
      </c>
      <c r="BM61" s="10">
        <v>1080</v>
      </c>
      <c r="BN61" s="13">
        <f t="shared" si="0"/>
        <v>1015.2</v>
      </c>
      <c r="BO61" s="13">
        <f t="shared" si="1"/>
        <v>710.64</v>
      </c>
    </row>
    <row r="62" spans="1:67" x14ac:dyDescent="0.4">
      <c r="A62" s="5" t="s">
        <v>30</v>
      </c>
      <c r="B62" s="5" t="s">
        <v>211</v>
      </c>
      <c r="C62" s="5">
        <v>451972</v>
      </c>
      <c r="D62" s="6"/>
      <c r="E62" s="5" t="s">
        <v>32</v>
      </c>
      <c r="F62" s="5" t="s">
        <v>33</v>
      </c>
      <c r="G62" s="5" t="s">
        <v>34</v>
      </c>
      <c r="H62" s="7" t="s">
        <v>7</v>
      </c>
      <c r="I62" s="7" t="s">
        <v>93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1</v>
      </c>
      <c r="AO62" s="7">
        <v>900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900</v>
      </c>
      <c r="BN62" s="13">
        <f t="shared" si="0"/>
        <v>900</v>
      </c>
      <c r="BO62" s="13">
        <f t="shared" si="1"/>
        <v>630</v>
      </c>
    </row>
    <row r="63" spans="1:67" x14ac:dyDescent="0.4">
      <c r="A63" s="5" t="s">
        <v>30</v>
      </c>
      <c r="B63" s="5" t="s">
        <v>149</v>
      </c>
      <c r="C63" s="5">
        <v>442342</v>
      </c>
      <c r="D63" s="6"/>
      <c r="E63" s="5" t="s">
        <v>32</v>
      </c>
      <c r="F63" s="5" t="s">
        <v>150</v>
      </c>
      <c r="G63" s="5" t="s">
        <v>96</v>
      </c>
      <c r="H63" s="7" t="s">
        <v>7</v>
      </c>
      <c r="I63" s="7" t="s">
        <v>151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7</v>
      </c>
      <c r="AF63" s="7">
        <v>0</v>
      </c>
      <c r="AG63" s="7">
        <v>700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1">
        <v>700</v>
      </c>
      <c r="BN63" s="13">
        <f t="shared" si="0"/>
        <v>700</v>
      </c>
      <c r="BO63" s="13">
        <f t="shared" si="1"/>
        <v>489.99999999999994</v>
      </c>
    </row>
    <row r="64" spans="1:67" x14ac:dyDescent="0.4">
      <c r="A64" s="5" t="s">
        <v>30</v>
      </c>
      <c r="B64" s="5" t="s">
        <v>175</v>
      </c>
      <c r="C64" s="5">
        <v>445954</v>
      </c>
      <c r="D64" s="6"/>
      <c r="E64" s="5" t="s">
        <v>32</v>
      </c>
      <c r="F64" s="5" t="s">
        <v>170</v>
      </c>
      <c r="G64" s="5" t="s">
        <v>83</v>
      </c>
      <c r="H64" s="7" t="s">
        <v>8</v>
      </c>
      <c r="I64" s="7" t="s">
        <v>176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1</v>
      </c>
      <c r="BD64" s="7">
        <v>120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7.2</v>
      </c>
      <c r="BM64" s="11">
        <v>120</v>
      </c>
      <c r="BN64" s="13">
        <f t="shared" si="0"/>
        <v>112.8</v>
      </c>
      <c r="BO64" s="13">
        <f t="shared" si="1"/>
        <v>78.959999999999994</v>
      </c>
    </row>
    <row r="65" spans="1:67" ht="19.2" x14ac:dyDescent="0.4">
      <c r="A65" s="5" t="s">
        <v>29</v>
      </c>
      <c r="B65" s="5" t="s">
        <v>253</v>
      </c>
      <c r="C65" s="5">
        <v>470383</v>
      </c>
      <c r="D65" s="6"/>
      <c r="E65" s="5" t="s">
        <v>32</v>
      </c>
      <c r="F65" s="5" t="s">
        <v>254</v>
      </c>
      <c r="G65" s="5" t="s">
        <v>39</v>
      </c>
      <c r="H65" s="7" t="s">
        <v>43</v>
      </c>
      <c r="I65" s="7" t="s">
        <v>255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93</v>
      </c>
      <c r="AF65" s="8">
        <v>90000</v>
      </c>
      <c r="AG65" s="8">
        <v>102800</v>
      </c>
      <c r="AH65" s="7">
        <v>0</v>
      </c>
      <c r="AI65" s="7">
        <v>0</v>
      </c>
      <c r="AJ65" s="7">
        <v>0</v>
      </c>
      <c r="AK65" s="7">
        <v>1</v>
      </c>
      <c r="AL65" s="7">
        <v>0</v>
      </c>
      <c r="AM65" s="7">
        <v>900</v>
      </c>
      <c r="AN65" s="7">
        <v>0</v>
      </c>
      <c r="AO65" s="7">
        <v>0</v>
      </c>
      <c r="AP65" s="7">
        <v>0</v>
      </c>
      <c r="AQ65" s="7">
        <v>6</v>
      </c>
      <c r="AR65" s="8">
        <v>11100</v>
      </c>
      <c r="AS65" s="7">
        <v>900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7</v>
      </c>
      <c r="BJ65" s="8">
        <v>15480</v>
      </c>
      <c r="BK65" s="7">
        <v>0</v>
      </c>
      <c r="BL65" s="7">
        <v>774</v>
      </c>
      <c r="BM65" s="10">
        <v>221180</v>
      </c>
      <c r="BN65" s="13">
        <f t="shared" si="0"/>
        <v>220406</v>
      </c>
      <c r="BO65" s="13">
        <f t="shared" si="1"/>
        <v>154284.19999999998</v>
      </c>
    </row>
    <row r="66" spans="1:67" ht="19.2" x14ac:dyDescent="0.4">
      <c r="A66" s="5" t="s">
        <v>29</v>
      </c>
      <c r="B66" s="5" t="s">
        <v>36</v>
      </c>
      <c r="C66" s="5">
        <v>451051</v>
      </c>
      <c r="D66" s="6"/>
      <c r="E66" s="5" t="s">
        <v>32</v>
      </c>
      <c r="F66" s="5" t="s">
        <v>33</v>
      </c>
      <c r="G66" s="5" t="s">
        <v>34</v>
      </c>
      <c r="H66" s="7" t="s">
        <v>10</v>
      </c>
      <c r="I66" s="7" t="s">
        <v>28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879</v>
      </c>
      <c r="AF66" s="8">
        <v>100880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100880</v>
      </c>
      <c r="BN66" s="13">
        <f t="shared" si="0"/>
        <v>100880</v>
      </c>
      <c r="BO66" s="13">
        <f t="shared" si="1"/>
        <v>70616</v>
      </c>
    </row>
    <row r="67" spans="1:67" ht="19.2" x14ac:dyDescent="0.4">
      <c r="A67" s="5" t="s">
        <v>29</v>
      </c>
      <c r="B67" s="5" t="s">
        <v>37</v>
      </c>
      <c r="C67" s="5">
        <v>464786</v>
      </c>
      <c r="D67" s="6"/>
      <c r="E67" s="5" t="s">
        <v>32</v>
      </c>
      <c r="F67" s="5" t="s">
        <v>38</v>
      </c>
      <c r="G67" s="5" t="s">
        <v>39</v>
      </c>
      <c r="H67" s="7" t="s">
        <v>10</v>
      </c>
      <c r="I67" s="7" t="s">
        <v>40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18</v>
      </c>
      <c r="AF67" s="8">
        <v>29000</v>
      </c>
      <c r="AG67" s="8">
        <v>20000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2</v>
      </c>
      <c r="BJ67" s="8">
        <v>6000</v>
      </c>
      <c r="BK67" s="7">
        <v>0</v>
      </c>
      <c r="BL67" s="7">
        <v>300</v>
      </c>
      <c r="BM67" s="10">
        <v>55000</v>
      </c>
      <c r="BN67" s="13">
        <f t="shared" ref="BN67:BN130" si="2">BM67-BL67</f>
        <v>54700</v>
      </c>
      <c r="BO67" s="13">
        <f t="shared" ref="BO67:BO130" si="3">BN67*0.7</f>
        <v>38290</v>
      </c>
    </row>
    <row r="68" spans="1:67" ht="19.2" x14ac:dyDescent="0.4">
      <c r="A68" s="5" t="s">
        <v>29</v>
      </c>
      <c r="B68" s="5" t="s">
        <v>117</v>
      </c>
      <c r="C68" s="5">
        <v>395231</v>
      </c>
      <c r="D68" s="6"/>
      <c r="E68" s="5" t="s">
        <v>32</v>
      </c>
      <c r="F68" s="5" t="s">
        <v>53</v>
      </c>
      <c r="G68" s="5" t="s">
        <v>54</v>
      </c>
      <c r="H68" s="7" t="s">
        <v>43</v>
      </c>
      <c r="I68" s="7" t="s">
        <v>118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11</v>
      </c>
      <c r="AF68" s="8">
        <v>23800</v>
      </c>
      <c r="AG68" s="8">
        <v>17500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41300</v>
      </c>
      <c r="BN68" s="13">
        <f t="shared" si="2"/>
        <v>41300</v>
      </c>
      <c r="BO68" s="13">
        <f t="shared" si="3"/>
        <v>28909.999999999996</v>
      </c>
    </row>
    <row r="69" spans="1:67" ht="19.2" x14ac:dyDescent="0.4">
      <c r="A69" s="5" t="s">
        <v>29</v>
      </c>
      <c r="B69" s="5" t="s">
        <v>41</v>
      </c>
      <c r="C69" s="5">
        <v>459229</v>
      </c>
      <c r="D69" s="6"/>
      <c r="E69" s="5" t="s">
        <v>32</v>
      </c>
      <c r="F69" s="5" t="s">
        <v>42</v>
      </c>
      <c r="G69" s="5" t="s">
        <v>39</v>
      </c>
      <c r="H69" s="7" t="s">
        <v>43</v>
      </c>
      <c r="I69" s="7" t="s">
        <v>44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12</v>
      </c>
      <c r="AF69" s="8">
        <v>30580</v>
      </c>
      <c r="AG69" s="8">
        <v>6400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1</v>
      </c>
      <c r="BJ69" s="8">
        <v>1800</v>
      </c>
      <c r="BK69" s="7">
        <v>0</v>
      </c>
      <c r="BL69" s="7">
        <v>90</v>
      </c>
      <c r="BM69" s="10">
        <v>38780</v>
      </c>
      <c r="BN69" s="13">
        <f t="shared" si="2"/>
        <v>38690</v>
      </c>
      <c r="BO69" s="13">
        <f t="shared" si="3"/>
        <v>27083</v>
      </c>
    </row>
    <row r="70" spans="1:67" ht="19.2" x14ac:dyDescent="0.4">
      <c r="A70" s="5" t="s">
        <v>29</v>
      </c>
      <c r="B70" s="5" t="s">
        <v>256</v>
      </c>
      <c r="C70" s="5">
        <v>470426</v>
      </c>
      <c r="D70" s="6"/>
      <c r="E70" s="5" t="s">
        <v>32</v>
      </c>
      <c r="F70" s="5" t="s">
        <v>257</v>
      </c>
      <c r="G70" s="5" t="s">
        <v>39</v>
      </c>
      <c r="H70" s="7" t="s">
        <v>43</v>
      </c>
      <c r="I70" s="7" t="s">
        <v>258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11</v>
      </c>
      <c r="AF70" s="8">
        <v>27800</v>
      </c>
      <c r="AG70" s="8">
        <v>3500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2</v>
      </c>
      <c r="BJ70" s="8">
        <v>6000</v>
      </c>
      <c r="BK70" s="7">
        <v>0</v>
      </c>
      <c r="BL70" s="7">
        <v>300</v>
      </c>
      <c r="BM70" s="10">
        <v>37300</v>
      </c>
      <c r="BN70" s="13">
        <f t="shared" si="2"/>
        <v>37000</v>
      </c>
      <c r="BO70" s="13">
        <f t="shared" si="3"/>
        <v>25900</v>
      </c>
    </row>
    <row r="71" spans="1:67" ht="19.2" x14ac:dyDescent="0.4">
      <c r="A71" s="5" t="s">
        <v>29</v>
      </c>
      <c r="B71" s="5" t="s">
        <v>85</v>
      </c>
      <c r="C71" s="5">
        <v>468582</v>
      </c>
      <c r="D71" s="6"/>
      <c r="E71" s="5" t="s">
        <v>32</v>
      </c>
      <c r="F71" s="5" t="s">
        <v>86</v>
      </c>
      <c r="G71" s="5" t="s">
        <v>39</v>
      </c>
      <c r="H71" s="7" t="s">
        <v>10</v>
      </c>
      <c r="I71" s="7" t="s">
        <v>87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12</v>
      </c>
      <c r="AF71" s="8">
        <v>20300</v>
      </c>
      <c r="AG71" s="8">
        <v>11900</v>
      </c>
      <c r="AH71" s="7">
        <v>0</v>
      </c>
      <c r="AI71" s="7">
        <v>0</v>
      </c>
      <c r="AJ71" s="7">
        <v>0</v>
      </c>
      <c r="AK71" s="7">
        <v>1</v>
      </c>
      <c r="AL71" s="7">
        <v>120</v>
      </c>
      <c r="AM71" s="7">
        <v>0</v>
      </c>
      <c r="AN71" s="7">
        <v>0</v>
      </c>
      <c r="AO71" s="7">
        <v>0</v>
      </c>
      <c r="AP71" s="7">
        <v>0</v>
      </c>
      <c r="AQ71" s="7">
        <v>2</v>
      </c>
      <c r="AR71" s="8">
        <v>2500</v>
      </c>
      <c r="AS71" s="7">
        <v>200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36</v>
      </c>
      <c r="BM71" s="10">
        <v>35020</v>
      </c>
      <c r="BN71" s="13">
        <f t="shared" si="2"/>
        <v>34984</v>
      </c>
      <c r="BO71" s="13">
        <f t="shared" si="3"/>
        <v>24488.799999999999</v>
      </c>
    </row>
    <row r="72" spans="1:67" ht="19.2" x14ac:dyDescent="0.4">
      <c r="A72" s="5" t="s">
        <v>29</v>
      </c>
      <c r="B72" s="5" t="s">
        <v>56</v>
      </c>
      <c r="C72" s="5">
        <v>465773</v>
      </c>
      <c r="D72" s="6"/>
      <c r="E72" s="5" t="s">
        <v>32</v>
      </c>
      <c r="F72" s="5" t="s">
        <v>57</v>
      </c>
      <c r="G72" s="5" t="s">
        <v>39</v>
      </c>
      <c r="H72" s="7" t="s">
        <v>43</v>
      </c>
      <c r="I72" s="7" t="s">
        <v>58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8</v>
      </c>
      <c r="AF72" s="8">
        <v>21880</v>
      </c>
      <c r="AG72" s="8">
        <v>7600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2</v>
      </c>
      <c r="BJ72" s="8">
        <v>5400</v>
      </c>
      <c r="BK72" s="7">
        <v>0</v>
      </c>
      <c r="BL72" s="7">
        <v>270</v>
      </c>
      <c r="BM72" s="10">
        <v>34880</v>
      </c>
      <c r="BN72" s="13">
        <f t="shared" si="2"/>
        <v>34610</v>
      </c>
      <c r="BO72" s="13">
        <f t="shared" si="3"/>
        <v>24227</v>
      </c>
    </row>
    <row r="73" spans="1:67" ht="19.2" x14ac:dyDescent="0.4">
      <c r="A73" s="5" t="s">
        <v>29</v>
      </c>
      <c r="B73" s="5" t="s">
        <v>259</v>
      </c>
      <c r="C73" s="5">
        <v>472517</v>
      </c>
      <c r="D73" s="6"/>
      <c r="E73" s="5" t="s">
        <v>32</v>
      </c>
      <c r="F73" s="5" t="s">
        <v>260</v>
      </c>
      <c r="G73" s="5" t="s">
        <v>39</v>
      </c>
      <c r="H73" s="7" t="s">
        <v>43</v>
      </c>
      <c r="I73" s="7" t="s">
        <v>261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9</v>
      </c>
      <c r="AF73" s="8">
        <v>23500</v>
      </c>
      <c r="AG73" s="8">
        <v>2500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2</v>
      </c>
      <c r="AR73" s="8">
        <v>5000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31000</v>
      </c>
      <c r="BN73" s="13">
        <f t="shared" si="2"/>
        <v>31000</v>
      </c>
      <c r="BO73" s="13">
        <f t="shared" si="3"/>
        <v>21700</v>
      </c>
    </row>
    <row r="74" spans="1:67" ht="19.2" x14ac:dyDescent="0.4">
      <c r="A74" s="5" t="s">
        <v>29</v>
      </c>
      <c r="B74" s="5" t="s">
        <v>135</v>
      </c>
      <c r="C74" s="5">
        <v>326776</v>
      </c>
      <c r="D74" s="6"/>
      <c r="E74" s="5" t="s">
        <v>32</v>
      </c>
      <c r="F74" s="5" t="s">
        <v>136</v>
      </c>
      <c r="G74" s="5" t="s">
        <v>83</v>
      </c>
      <c r="H74" s="7" t="s">
        <v>43</v>
      </c>
      <c r="I74" s="7" t="s">
        <v>137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8">
        <v>4560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3</v>
      </c>
      <c r="AR74" s="8">
        <v>11400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3</v>
      </c>
      <c r="BJ74" s="8">
        <v>13080</v>
      </c>
      <c r="BK74" s="7">
        <v>500</v>
      </c>
      <c r="BL74" s="7">
        <v>654</v>
      </c>
      <c r="BM74" s="10">
        <v>29540</v>
      </c>
      <c r="BN74" s="13">
        <f t="shared" si="2"/>
        <v>28886</v>
      </c>
      <c r="BO74" s="13">
        <f t="shared" si="3"/>
        <v>20220.199999999997</v>
      </c>
    </row>
    <row r="75" spans="1:67" ht="19.2" x14ac:dyDescent="0.4">
      <c r="A75" s="5" t="s">
        <v>29</v>
      </c>
      <c r="B75" s="5" t="s">
        <v>262</v>
      </c>
      <c r="C75" s="5">
        <v>472518</v>
      </c>
      <c r="D75" s="6"/>
      <c r="E75" s="5" t="s">
        <v>32</v>
      </c>
      <c r="F75" s="5" t="s">
        <v>263</v>
      </c>
      <c r="G75" s="5" t="s">
        <v>39</v>
      </c>
      <c r="H75" s="7" t="s">
        <v>43</v>
      </c>
      <c r="I75" s="7" t="s">
        <v>264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8</v>
      </c>
      <c r="AF75" s="8">
        <v>15000</v>
      </c>
      <c r="AG75" s="8">
        <v>7500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1</v>
      </c>
      <c r="AR75" s="8">
        <v>2500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1</v>
      </c>
      <c r="BJ75" s="8">
        <v>3000</v>
      </c>
      <c r="BK75" s="7">
        <v>0</v>
      </c>
      <c r="BL75" s="7">
        <v>150</v>
      </c>
      <c r="BM75" s="10">
        <v>28000</v>
      </c>
      <c r="BN75" s="13">
        <f t="shared" si="2"/>
        <v>27850</v>
      </c>
      <c r="BO75" s="13">
        <f t="shared" si="3"/>
        <v>19495</v>
      </c>
    </row>
    <row r="76" spans="1:67" ht="19.2" x14ac:dyDescent="0.4">
      <c r="A76" s="5" t="s">
        <v>29</v>
      </c>
      <c r="B76" s="5" t="s">
        <v>67</v>
      </c>
      <c r="C76" s="5">
        <v>372841</v>
      </c>
      <c r="D76" s="6"/>
      <c r="E76" s="5" t="s">
        <v>32</v>
      </c>
      <c r="F76" s="5" t="s">
        <v>68</v>
      </c>
      <c r="G76" s="5" t="s">
        <v>69</v>
      </c>
      <c r="H76" s="7" t="s">
        <v>8</v>
      </c>
      <c r="I76" s="7" t="s">
        <v>70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112</v>
      </c>
      <c r="AF76" s="8">
        <v>10920</v>
      </c>
      <c r="AG76" s="7">
        <v>600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153</v>
      </c>
      <c r="AR76" s="8">
        <v>15100</v>
      </c>
      <c r="AS76" s="7">
        <v>200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26820</v>
      </c>
      <c r="BN76" s="13">
        <f t="shared" si="2"/>
        <v>26820</v>
      </c>
      <c r="BO76" s="13">
        <f t="shared" si="3"/>
        <v>18774</v>
      </c>
    </row>
    <row r="77" spans="1:67" ht="19.2" x14ac:dyDescent="0.4">
      <c r="A77" s="5" t="s">
        <v>29</v>
      </c>
      <c r="B77" s="5" t="s">
        <v>265</v>
      </c>
      <c r="C77" s="5">
        <v>472515</v>
      </c>
      <c r="D77" s="6"/>
      <c r="E77" s="5" t="s">
        <v>32</v>
      </c>
      <c r="F77" s="5" t="s">
        <v>266</v>
      </c>
      <c r="G77" s="5" t="s">
        <v>39</v>
      </c>
      <c r="H77" s="7" t="s">
        <v>43</v>
      </c>
      <c r="I77" s="7" t="s">
        <v>267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8</v>
      </c>
      <c r="AF77" s="8">
        <v>7200</v>
      </c>
      <c r="AG77" s="8">
        <v>8100</v>
      </c>
      <c r="AH77" s="7">
        <v>0</v>
      </c>
      <c r="AI77" s="7">
        <v>0</v>
      </c>
      <c r="AJ77" s="7">
        <v>0</v>
      </c>
      <c r="AK77" s="7">
        <v>1</v>
      </c>
      <c r="AL77" s="7">
        <v>0</v>
      </c>
      <c r="AM77" s="8">
        <v>1900</v>
      </c>
      <c r="AN77" s="7">
        <v>0</v>
      </c>
      <c r="AO77" s="7">
        <v>0</v>
      </c>
      <c r="AP77" s="7">
        <v>0</v>
      </c>
      <c r="AQ77" s="7">
        <v>1</v>
      </c>
      <c r="AR77" s="8">
        <v>2000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8">
        <v>2400</v>
      </c>
      <c r="BK77" s="7">
        <v>0</v>
      </c>
      <c r="BL77" s="7">
        <v>120</v>
      </c>
      <c r="BM77" s="10">
        <v>21600</v>
      </c>
      <c r="BN77" s="13">
        <f t="shared" si="2"/>
        <v>21480</v>
      </c>
      <c r="BO77" s="13">
        <f t="shared" si="3"/>
        <v>15035.999999999998</v>
      </c>
    </row>
    <row r="78" spans="1:67" ht="19.2" x14ac:dyDescent="0.4">
      <c r="A78" s="5" t="s">
        <v>29</v>
      </c>
      <c r="B78" s="5" t="s">
        <v>139</v>
      </c>
      <c r="C78" s="5">
        <v>423507</v>
      </c>
      <c r="D78" s="6"/>
      <c r="E78" s="5" t="s">
        <v>32</v>
      </c>
      <c r="F78" s="5" t="s">
        <v>140</v>
      </c>
      <c r="G78" s="5" t="s">
        <v>54</v>
      </c>
      <c r="H78" s="7" t="s">
        <v>43</v>
      </c>
      <c r="I78" s="7" t="s">
        <v>141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3</v>
      </c>
      <c r="AF78" s="8">
        <v>7660</v>
      </c>
      <c r="AG78" s="8">
        <v>2800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4</v>
      </c>
      <c r="AR78" s="8">
        <v>10000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20460</v>
      </c>
      <c r="BN78" s="13">
        <f t="shared" si="2"/>
        <v>20460</v>
      </c>
      <c r="BO78" s="13">
        <f t="shared" si="3"/>
        <v>14322</v>
      </c>
    </row>
    <row r="79" spans="1:67" ht="19.2" x14ac:dyDescent="0.4">
      <c r="A79" s="5" t="s">
        <v>29</v>
      </c>
      <c r="B79" s="5" t="s">
        <v>129</v>
      </c>
      <c r="C79" s="5">
        <v>371107</v>
      </c>
      <c r="D79" s="6"/>
      <c r="E79" s="5" t="s">
        <v>32</v>
      </c>
      <c r="F79" s="5" t="s">
        <v>68</v>
      </c>
      <c r="G79" s="5" t="s">
        <v>69</v>
      </c>
      <c r="H79" s="7" t="s">
        <v>43</v>
      </c>
      <c r="I79" s="7" t="s">
        <v>130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6</v>
      </c>
      <c r="AF79" s="8">
        <v>10800</v>
      </c>
      <c r="AG79" s="8">
        <v>9000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19800</v>
      </c>
      <c r="BN79" s="13">
        <f t="shared" si="2"/>
        <v>19800</v>
      </c>
      <c r="BO79" s="13">
        <f t="shared" si="3"/>
        <v>13860</v>
      </c>
    </row>
    <row r="80" spans="1:67" ht="19.2" x14ac:dyDescent="0.4">
      <c r="A80" s="5" t="s">
        <v>29</v>
      </c>
      <c r="B80" s="5" t="s">
        <v>243</v>
      </c>
      <c r="C80" s="5">
        <v>470433</v>
      </c>
      <c r="D80" s="6"/>
      <c r="E80" s="5" t="s">
        <v>32</v>
      </c>
      <c r="F80" s="5" t="s">
        <v>122</v>
      </c>
      <c r="G80" s="5" t="s">
        <v>39</v>
      </c>
      <c r="H80" s="7" t="s">
        <v>7</v>
      </c>
      <c r="I80" s="7" t="s">
        <v>244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7</v>
      </c>
      <c r="AF80" s="8">
        <v>16280</v>
      </c>
      <c r="AG80" s="8">
        <v>2500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18780</v>
      </c>
      <c r="BN80" s="13">
        <f t="shared" si="2"/>
        <v>18780</v>
      </c>
      <c r="BO80" s="13">
        <f t="shared" si="3"/>
        <v>13146</v>
      </c>
    </row>
    <row r="81" spans="1:67" ht="19.2" x14ac:dyDescent="0.4">
      <c r="A81" s="5" t="s">
        <v>29</v>
      </c>
      <c r="B81" s="5" t="s">
        <v>172</v>
      </c>
      <c r="C81" s="5">
        <v>365225</v>
      </c>
      <c r="D81" s="6"/>
      <c r="E81" s="5" t="s">
        <v>32</v>
      </c>
      <c r="F81" s="5" t="s">
        <v>79</v>
      </c>
      <c r="G81" s="5" t="s">
        <v>11</v>
      </c>
      <c r="H81" s="7" t="s">
        <v>7</v>
      </c>
      <c r="I81" s="7" t="s">
        <v>173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9</v>
      </c>
      <c r="AC81" s="8">
        <v>9720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9</v>
      </c>
      <c r="AO81" s="8">
        <v>8100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17820</v>
      </c>
      <c r="BN81" s="13">
        <f t="shared" si="2"/>
        <v>17820</v>
      </c>
      <c r="BO81" s="13">
        <f t="shared" si="3"/>
        <v>12474</v>
      </c>
    </row>
    <row r="82" spans="1:67" ht="19.2" x14ac:dyDescent="0.4">
      <c r="A82" s="5" t="s">
        <v>29</v>
      </c>
      <c r="B82" s="5" t="s">
        <v>119</v>
      </c>
      <c r="C82" s="5">
        <v>455896</v>
      </c>
      <c r="D82" s="6"/>
      <c r="E82" s="5" t="s">
        <v>32</v>
      </c>
      <c r="F82" s="5" t="s">
        <v>33</v>
      </c>
      <c r="G82" s="5" t="s">
        <v>34</v>
      </c>
      <c r="H82" s="7" t="s">
        <v>7</v>
      </c>
      <c r="I82" s="7" t="s">
        <v>120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106</v>
      </c>
      <c r="AF82" s="8">
        <v>10720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61</v>
      </c>
      <c r="AR82" s="8">
        <v>6100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16820</v>
      </c>
      <c r="BN82" s="13">
        <f t="shared" si="2"/>
        <v>16820</v>
      </c>
      <c r="BO82" s="13">
        <f t="shared" si="3"/>
        <v>11774</v>
      </c>
    </row>
    <row r="83" spans="1:67" ht="19.2" x14ac:dyDescent="0.4">
      <c r="A83" s="5" t="s">
        <v>29</v>
      </c>
      <c r="B83" s="5" t="s">
        <v>132</v>
      </c>
      <c r="C83" s="5">
        <v>387161</v>
      </c>
      <c r="D83" s="6"/>
      <c r="E83" s="5" t="s">
        <v>32</v>
      </c>
      <c r="F83" s="5" t="s">
        <v>133</v>
      </c>
      <c r="G83" s="5" t="s">
        <v>83</v>
      </c>
      <c r="H83" s="7" t="s">
        <v>43</v>
      </c>
      <c r="I83" s="7" t="s">
        <v>134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5</v>
      </c>
      <c r="AF83" s="8">
        <v>1200</v>
      </c>
      <c r="AG83" s="8">
        <v>15000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16200</v>
      </c>
      <c r="BN83" s="13">
        <f t="shared" si="2"/>
        <v>16200</v>
      </c>
      <c r="BO83" s="13">
        <f t="shared" si="3"/>
        <v>11340</v>
      </c>
    </row>
    <row r="84" spans="1:67" ht="19.2" x14ac:dyDescent="0.4">
      <c r="A84" s="5" t="s">
        <v>29</v>
      </c>
      <c r="B84" s="5" t="s">
        <v>268</v>
      </c>
      <c r="C84" s="5">
        <v>472516</v>
      </c>
      <c r="D84" s="6"/>
      <c r="E84" s="5" t="s">
        <v>32</v>
      </c>
      <c r="F84" s="5" t="s">
        <v>269</v>
      </c>
      <c r="G84" s="5" t="s">
        <v>39</v>
      </c>
      <c r="H84" s="7" t="s">
        <v>43</v>
      </c>
      <c r="I84" s="7" t="s">
        <v>270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4</v>
      </c>
      <c r="AF84" s="8">
        <v>7200</v>
      </c>
      <c r="AG84" s="8">
        <v>2000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1</v>
      </c>
      <c r="AR84" s="8">
        <v>2000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2</v>
      </c>
      <c r="BJ84" s="8">
        <v>4800</v>
      </c>
      <c r="BK84" s="7">
        <v>0</v>
      </c>
      <c r="BL84" s="7">
        <v>240</v>
      </c>
      <c r="BM84" s="10">
        <v>16000</v>
      </c>
      <c r="BN84" s="13">
        <f t="shared" si="2"/>
        <v>15760</v>
      </c>
      <c r="BO84" s="13">
        <f t="shared" si="3"/>
        <v>11032</v>
      </c>
    </row>
    <row r="85" spans="1:67" ht="19.2" x14ac:dyDescent="0.4">
      <c r="A85" s="5" t="s">
        <v>29</v>
      </c>
      <c r="B85" s="5" t="s">
        <v>31</v>
      </c>
      <c r="C85" s="5">
        <v>465998</v>
      </c>
      <c r="D85" s="6"/>
      <c r="E85" s="5" t="s">
        <v>32</v>
      </c>
      <c r="F85" s="5" t="s">
        <v>33</v>
      </c>
      <c r="G85" s="5" t="s">
        <v>34</v>
      </c>
      <c r="H85" s="7" t="s">
        <v>10</v>
      </c>
      <c r="I85" s="7" t="s">
        <v>35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14</v>
      </c>
      <c r="AC85" s="8">
        <v>12560</v>
      </c>
      <c r="AD85" s="7">
        <v>900</v>
      </c>
      <c r="AE85" s="7">
        <v>1</v>
      </c>
      <c r="AF85" s="8">
        <v>2000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15460</v>
      </c>
      <c r="BN85" s="13">
        <f t="shared" si="2"/>
        <v>15460</v>
      </c>
      <c r="BO85" s="13">
        <f t="shared" si="3"/>
        <v>10822</v>
      </c>
    </row>
    <row r="86" spans="1:67" ht="19.2" x14ac:dyDescent="0.4">
      <c r="A86" s="5" t="s">
        <v>29</v>
      </c>
      <c r="B86" s="5" t="s">
        <v>71</v>
      </c>
      <c r="C86" s="5">
        <v>467559</v>
      </c>
      <c r="D86" s="6"/>
      <c r="E86" s="5" t="s">
        <v>32</v>
      </c>
      <c r="F86" s="5" t="s">
        <v>72</v>
      </c>
      <c r="G86" s="5" t="s">
        <v>39</v>
      </c>
      <c r="H86" s="7" t="s">
        <v>7</v>
      </c>
      <c r="I86" s="7" t="s">
        <v>73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5</v>
      </c>
      <c r="AF86" s="8">
        <v>4800</v>
      </c>
      <c r="AG86" s="8">
        <v>6000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</v>
      </c>
      <c r="AR86" s="8">
        <v>2000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1</v>
      </c>
      <c r="BJ86" s="8">
        <v>2400</v>
      </c>
      <c r="BK86" s="7">
        <v>0</v>
      </c>
      <c r="BL86" s="7">
        <v>120</v>
      </c>
      <c r="BM86" s="10">
        <v>15200</v>
      </c>
      <c r="BN86" s="13">
        <f t="shared" si="2"/>
        <v>15080</v>
      </c>
      <c r="BO86" s="13">
        <f t="shared" si="3"/>
        <v>10556</v>
      </c>
    </row>
    <row r="87" spans="1:67" ht="19.2" x14ac:dyDescent="0.4">
      <c r="A87" s="5" t="s">
        <v>29</v>
      </c>
      <c r="B87" s="5" t="s">
        <v>217</v>
      </c>
      <c r="C87" s="5">
        <v>396964</v>
      </c>
      <c r="D87" s="6"/>
      <c r="E87" s="5" t="s">
        <v>32</v>
      </c>
      <c r="F87" s="5" t="s">
        <v>68</v>
      </c>
      <c r="G87" s="5" t="s">
        <v>54</v>
      </c>
      <c r="H87" s="7" t="s">
        <v>43</v>
      </c>
      <c r="I87" s="7" t="s">
        <v>218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2</v>
      </c>
      <c r="AF87" s="7">
        <v>0</v>
      </c>
      <c r="AG87" s="8">
        <v>3500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4</v>
      </c>
      <c r="BJ87" s="8">
        <v>11160</v>
      </c>
      <c r="BK87" s="7">
        <v>0</v>
      </c>
      <c r="BL87" s="7">
        <v>558</v>
      </c>
      <c r="BM87" s="10">
        <v>14660</v>
      </c>
      <c r="BN87" s="13">
        <f t="shared" si="2"/>
        <v>14102</v>
      </c>
      <c r="BO87" s="13">
        <f t="shared" si="3"/>
        <v>9871.4</v>
      </c>
    </row>
    <row r="88" spans="1:67" ht="19.2" x14ac:dyDescent="0.4">
      <c r="A88" s="5" t="s">
        <v>29</v>
      </c>
      <c r="B88" s="5" t="s">
        <v>240</v>
      </c>
      <c r="C88" s="5">
        <v>472519</v>
      </c>
      <c r="D88" s="6"/>
      <c r="E88" s="5" t="s">
        <v>32</v>
      </c>
      <c r="F88" s="5" t="s">
        <v>241</v>
      </c>
      <c r="G88" s="5" t="s">
        <v>39</v>
      </c>
      <c r="H88" s="7" t="s">
        <v>7</v>
      </c>
      <c r="I88" s="7" t="s">
        <v>242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4</v>
      </c>
      <c r="AF88" s="8">
        <v>4600</v>
      </c>
      <c r="AG88" s="8">
        <v>9800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14400</v>
      </c>
      <c r="BN88" s="13">
        <f t="shared" si="2"/>
        <v>14400</v>
      </c>
      <c r="BO88" s="13">
        <f t="shared" si="3"/>
        <v>10080</v>
      </c>
    </row>
    <row r="89" spans="1:67" ht="19.2" x14ac:dyDescent="0.4">
      <c r="A89" s="5" t="s">
        <v>29</v>
      </c>
      <c r="B89" s="5" t="s">
        <v>107</v>
      </c>
      <c r="C89" s="5">
        <v>457533</v>
      </c>
      <c r="D89" s="6"/>
      <c r="E89" s="5" t="s">
        <v>32</v>
      </c>
      <c r="F89" s="5" t="s">
        <v>108</v>
      </c>
      <c r="G89" s="5" t="s">
        <v>39</v>
      </c>
      <c r="H89" s="7" t="s">
        <v>43</v>
      </c>
      <c r="I89" s="7" t="s">
        <v>109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4</v>
      </c>
      <c r="AF89" s="8">
        <v>5500</v>
      </c>
      <c r="AG89" s="8">
        <v>5000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1</v>
      </c>
      <c r="BJ89" s="8">
        <v>3000</v>
      </c>
      <c r="BK89" s="7">
        <v>0</v>
      </c>
      <c r="BL89" s="7">
        <v>150</v>
      </c>
      <c r="BM89" s="10">
        <v>13500</v>
      </c>
      <c r="BN89" s="13">
        <f t="shared" si="2"/>
        <v>13350</v>
      </c>
      <c r="BO89" s="13">
        <f t="shared" si="3"/>
        <v>9345</v>
      </c>
    </row>
    <row r="90" spans="1:67" ht="19.2" x14ac:dyDescent="0.4">
      <c r="A90" s="5" t="s">
        <v>29</v>
      </c>
      <c r="B90" s="5" t="s">
        <v>206</v>
      </c>
      <c r="C90" s="5">
        <v>312154</v>
      </c>
      <c r="D90" s="6"/>
      <c r="E90" s="5" t="s">
        <v>32</v>
      </c>
      <c r="F90" s="5" t="s">
        <v>68</v>
      </c>
      <c r="G90" s="5" t="s">
        <v>54</v>
      </c>
      <c r="H90" s="7" t="s">
        <v>10</v>
      </c>
      <c r="I90" s="7" t="s">
        <v>207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2</v>
      </c>
      <c r="AF90" s="8">
        <v>3360</v>
      </c>
      <c r="AG90" s="8">
        <v>1100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3</v>
      </c>
      <c r="BJ90" s="8">
        <v>8760</v>
      </c>
      <c r="BK90" s="7">
        <v>0</v>
      </c>
      <c r="BL90" s="7">
        <v>438</v>
      </c>
      <c r="BM90" s="10">
        <v>13220</v>
      </c>
      <c r="BN90" s="13">
        <f t="shared" si="2"/>
        <v>12782</v>
      </c>
      <c r="BO90" s="13">
        <f t="shared" si="3"/>
        <v>8947.4</v>
      </c>
    </row>
    <row r="91" spans="1:67" ht="19.2" x14ac:dyDescent="0.4">
      <c r="A91" s="5" t="s">
        <v>29</v>
      </c>
      <c r="B91" s="5" t="s">
        <v>226</v>
      </c>
      <c r="C91" s="5">
        <v>408836</v>
      </c>
      <c r="D91" s="6"/>
      <c r="E91" s="5" t="s">
        <v>32</v>
      </c>
      <c r="F91" s="5" t="s">
        <v>79</v>
      </c>
      <c r="G91" s="5" t="s">
        <v>11</v>
      </c>
      <c r="H91" s="7" t="s">
        <v>7</v>
      </c>
      <c r="I91" s="7" t="s">
        <v>227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11</v>
      </c>
      <c r="AC91" s="8">
        <v>8260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7</v>
      </c>
      <c r="AO91" s="8">
        <v>4900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13160</v>
      </c>
      <c r="BN91" s="13">
        <f t="shared" si="2"/>
        <v>13160</v>
      </c>
      <c r="BO91" s="13">
        <f t="shared" si="3"/>
        <v>9212</v>
      </c>
    </row>
    <row r="92" spans="1:67" ht="19.2" x14ac:dyDescent="0.4">
      <c r="A92" s="5" t="s">
        <v>29</v>
      </c>
      <c r="B92" s="5" t="s">
        <v>59</v>
      </c>
      <c r="C92" s="5">
        <v>354950</v>
      </c>
      <c r="D92" s="6" t="s">
        <v>60</v>
      </c>
      <c r="E92" s="5" t="s">
        <v>32</v>
      </c>
      <c r="F92" s="5" t="s">
        <v>33</v>
      </c>
      <c r="G92" s="5" t="s">
        <v>11</v>
      </c>
      <c r="H92" s="7" t="s">
        <v>7</v>
      </c>
      <c r="I92" s="7" t="s">
        <v>61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6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95</v>
      </c>
      <c r="AF92" s="8">
        <v>11400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1</v>
      </c>
      <c r="AR92" s="7">
        <v>100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11500</v>
      </c>
      <c r="BN92" s="13">
        <f t="shared" si="2"/>
        <v>11500</v>
      </c>
      <c r="BO92" s="13">
        <f t="shared" si="3"/>
        <v>8049.9999999999991</v>
      </c>
    </row>
    <row r="93" spans="1:67" ht="19.2" x14ac:dyDescent="0.4">
      <c r="A93" s="5" t="s">
        <v>29</v>
      </c>
      <c r="B93" s="5" t="s">
        <v>271</v>
      </c>
      <c r="C93" s="5">
        <v>361579</v>
      </c>
      <c r="D93" s="6"/>
      <c r="E93" s="5" t="s">
        <v>32</v>
      </c>
      <c r="F93" s="5" t="s">
        <v>68</v>
      </c>
      <c r="G93" s="5" t="s">
        <v>69</v>
      </c>
      <c r="H93" s="7" t="s">
        <v>43</v>
      </c>
      <c r="I93" s="7" t="s">
        <v>202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2</v>
      </c>
      <c r="AF93" s="8">
        <v>3840</v>
      </c>
      <c r="AG93" s="7">
        <v>200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2</v>
      </c>
      <c r="BJ93" s="8">
        <v>7440</v>
      </c>
      <c r="BK93" s="7">
        <v>0</v>
      </c>
      <c r="BL93" s="7">
        <v>372</v>
      </c>
      <c r="BM93" s="10">
        <v>11480</v>
      </c>
      <c r="BN93" s="13">
        <f t="shared" si="2"/>
        <v>11108</v>
      </c>
      <c r="BO93" s="13">
        <f t="shared" si="3"/>
        <v>7775.5999999999995</v>
      </c>
    </row>
    <row r="94" spans="1:67" ht="19.2" x14ac:dyDescent="0.4">
      <c r="A94" s="5" t="s">
        <v>29</v>
      </c>
      <c r="B94" s="5" t="s">
        <v>272</v>
      </c>
      <c r="C94" s="5">
        <v>316013</v>
      </c>
      <c r="D94" s="6"/>
      <c r="E94" s="5" t="s">
        <v>32</v>
      </c>
      <c r="F94" s="5" t="s">
        <v>68</v>
      </c>
      <c r="G94" s="5" t="s">
        <v>54</v>
      </c>
      <c r="H94" s="7" t="s">
        <v>43</v>
      </c>
      <c r="I94" s="7" t="s">
        <v>273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3</v>
      </c>
      <c r="AF94" s="8">
        <v>11440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11440</v>
      </c>
      <c r="BN94" s="13">
        <f t="shared" si="2"/>
        <v>11440</v>
      </c>
      <c r="BO94" s="13">
        <f t="shared" si="3"/>
        <v>8007.9999999999991</v>
      </c>
    </row>
    <row r="95" spans="1:67" ht="19.2" x14ac:dyDescent="0.4">
      <c r="A95" s="5" t="s">
        <v>29</v>
      </c>
      <c r="B95" s="5" t="s">
        <v>274</v>
      </c>
      <c r="C95" s="5">
        <v>360498</v>
      </c>
      <c r="D95" s="6"/>
      <c r="E95" s="5" t="s">
        <v>32</v>
      </c>
      <c r="F95" s="5" t="s">
        <v>68</v>
      </c>
      <c r="G95" s="5" t="s">
        <v>69</v>
      </c>
      <c r="H95" s="7" t="s">
        <v>43</v>
      </c>
      <c r="I95" s="7" t="s">
        <v>275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7">
        <v>0</v>
      </c>
      <c r="AG95" s="8">
        <v>2500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3</v>
      </c>
      <c r="BJ95" s="8">
        <v>8520</v>
      </c>
      <c r="BK95" s="7">
        <v>0</v>
      </c>
      <c r="BL95" s="7">
        <v>426</v>
      </c>
      <c r="BM95" s="10">
        <v>11020</v>
      </c>
      <c r="BN95" s="13">
        <f t="shared" si="2"/>
        <v>10594</v>
      </c>
      <c r="BO95" s="13">
        <f t="shared" si="3"/>
        <v>7415.7999999999993</v>
      </c>
    </row>
    <row r="96" spans="1:67" ht="19.2" x14ac:dyDescent="0.4">
      <c r="A96" s="5" t="s">
        <v>29</v>
      </c>
      <c r="B96" s="5" t="s">
        <v>145</v>
      </c>
      <c r="C96" s="5">
        <v>414543</v>
      </c>
      <c r="D96" s="6"/>
      <c r="E96" s="5" t="s">
        <v>32</v>
      </c>
      <c r="F96" s="5" t="s">
        <v>82</v>
      </c>
      <c r="G96" s="5" t="s">
        <v>83</v>
      </c>
      <c r="H96" s="7" t="s">
        <v>43</v>
      </c>
      <c r="I96" s="7" t="s">
        <v>146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3</v>
      </c>
      <c r="AF96" s="8">
        <v>10880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10880</v>
      </c>
      <c r="BN96" s="13">
        <f t="shared" si="2"/>
        <v>10880</v>
      </c>
      <c r="BO96" s="13">
        <f t="shared" si="3"/>
        <v>7615.9999999999991</v>
      </c>
    </row>
    <row r="97" spans="1:67" ht="19.2" x14ac:dyDescent="0.4">
      <c r="A97" s="5" t="s">
        <v>29</v>
      </c>
      <c r="B97" s="5" t="s">
        <v>188</v>
      </c>
      <c r="C97" s="5">
        <v>457068</v>
      </c>
      <c r="D97" s="6"/>
      <c r="E97" s="5" t="s">
        <v>32</v>
      </c>
      <c r="F97" s="5" t="s">
        <v>189</v>
      </c>
      <c r="G97" s="5" t="s">
        <v>39</v>
      </c>
      <c r="H97" s="7" t="s">
        <v>43</v>
      </c>
      <c r="I97" s="7" t="s">
        <v>190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3</v>
      </c>
      <c r="AF97" s="8">
        <v>5000</v>
      </c>
      <c r="AG97" s="8">
        <v>2500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1</v>
      </c>
      <c r="BJ97" s="8">
        <v>3000</v>
      </c>
      <c r="BK97" s="7">
        <v>0</v>
      </c>
      <c r="BL97" s="7">
        <v>150</v>
      </c>
      <c r="BM97" s="10">
        <v>10500</v>
      </c>
      <c r="BN97" s="13">
        <f t="shared" si="2"/>
        <v>10350</v>
      </c>
      <c r="BO97" s="13">
        <f t="shared" si="3"/>
        <v>7244.9999999999991</v>
      </c>
    </row>
    <row r="98" spans="1:67" ht="19.2" x14ac:dyDescent="0.4">
      <c r="A98" s="5" t="s">
        <v>29</v>
      </c>
      <c r="B98" s="5" t="s">
        <v>276</v>
      </c>
      <c r="C98" s="5">
        <v>401406</v>
      </c>
      <c r="D98" s="6"/>
      <c r="E98" s="5" t="s">
        <v>32</v>
      </c>
      <c r="F98" s="5" t="s">
        <v>140</v>
      </c>
      <c r="G98" s="5" t="s">
        <v>54</v>
      </c>
      <c r="H98" s="7" t="s">
        <v>43</v>
      </c>
      <c r="I98" s="7" t="s">
        <v>178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</v>
      </c>
      <c r="AF98" s="8">
        <v>10320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10320</v>
      </c>
      <c r="BN98" s="13">
        <f t="shared" si="2"/>
        <v>10320</v>
      </c>
      <c r="BO98" s="13">
        <f t="shared" si="3"/>
        <v>7223.9999999999991</v>
      </c>
    </row>
    <row r="99" spans="1:67" ht="19.2" x14ac:dyDescent="0.4">
      <c r="A99" s="5" t="s">
        <v>29</v>
      </c>
      <c r="B99" s="5" t="s">
        <v>90</v>
      </c>
      <c r="C99" s="5">
        <v>372422</v>
      </c>
      <c r="D99" s="6"/>
      <c r="E99" s="5" t="s">
        <v>32</v>
      </c>
      <c r="F99" s="5" t="s">
        <v>68</v>
      </c>
      <c r="G99" s="5" t="s">
        <v>69</v>
      </c>
      <c r="H99" s="7" t="s">
        <v>8</v>
      </c>
      <c r="I99" s="7" t="s">
        <v>91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83</v>
      </c>
      <c r="AF99" s="8">
        <v>9960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0">
        <v>9960</v>
      </c>
      <c r="BN99" s="13">
        <f t="shared" si="2"/>
        <v>9960</v>
      </c>
      <c r="BO99" s="13">
        <f t="shared" si="3"/>
        <v>6972</v>
      </c>
    </row>
    <row r="100" spans="1:67" ht="19.2" x14ac:dyDescent="0.4">
      <c r="A100" s="5" t="s">
        <v>29</v>
      </c>
      <c r="B100" s="5" t="s">
        <v>49</v>
      </c>
      <c r="C100" s="5">
        <v>468578</v>
      </c>
      <c r="D100" s="6"/>
      <c r="E100" s="5" t="s">
        <v>32</v>
      </c>
      <c r="F100" s="5" t="s">
        <v>50</v>
      </c>
      <c r="G100" s="5" t="s">
        <v>39</v>
      </c>
      <c r="H100" s="7" t="s">
        <v>43</v>
      </c>
      <c r="I100" s="7" t="s">
        <v>51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</v>
      </c>
      <c r="AF100" s="8">
        <v>6000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1</v>
      </c>
      <c r="BJ100" s="8">
        <v>3600</v>
      </c>
      <c r="BK100" s="7">
        <v>0</v>
      </c>
      <c r="BL100" s="7">
        <v>180</v>
      </c>
      <c r="BM100" s="10">
        <v>9600</v>
      </c>
      <c r="BN100" s="13">
        <f t="shared" si="2"/>
        <v>9420</v>
      </c>
      <c r="BO100" s="13">
        <f t="shared" si="3"/>
        <v>6594</v>
      </c>
    </row>
    <row r="101" spans="1:67" ht="19.2" x14ac:dyDescent="0.4">
      <c r="A101" s="5" t="s">
        <v>29</v>
      </c>
      <c r="B101" s="5" t="s">
        <v>64</v>
      </c>
      <c r="C101" s="5">
        <v>467564</v>
      </c>
      <c r="D101" s="6"/>
      <c r="E101" s="5" t="s">
        <v>32</v>
      </c>
      <c r="F101" s="5" t="s">
        <v>65</v>
      </c>
      <c r="G101" s="5" t="s">
        <v>39</v>
      </c>
      <c r="H101" s="7" t="s">
        <v>43</v>
      </c>
      <c r="I101" s="7" t="s">
        <v>66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3</v>
      </c>
      <c r="AF101" s="8">
        <v>4800</v>
      </c>
      <c r="AG101" s="8">
        <v>2000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1</v>
      </c>
      <c r="BJ101" s="8">
        <v>2400</v>
      </c>
      <c r="BK101" s="7">
        <v>0</v>
      </c>
      <c r="BL101" s="7">
        <v>120</v>
      </c>
      <c r="BM101" s="10">
        <v>9200</v>
      </c>
      <c r="BN101" s="13">
        <f t="shared" si="2"/>
        <v>9080</v>
      </c>
      <c r="BO101" s="13">
        <f t="shared" si="3"/>
        <v>6356</v>
      </c>
    </row>
    <row r="102" spans="1:67" ht="19.2" x14ac:dyDescent="0.4">
      <c r="A102" s="5" t="s">
        <v>29</v>
      </c>
      <c r="B102" s="5" t="s">
        <v>98</v>
      </c>
      <c r="C102" s="5">
        <v>461347</v>
      </c>
      <c r="D102" s="6"/>
      <c r="E102" s="5" t="s">
        <v>32</v>
      </c>
      <c r="F102" s="5" t="s">
        <v>72</v>
      </c>
      <c r="G102" s="5" t="s">
        <v>39</v>
      </c>
      <c r="H102" s="7" t="s">
        <v>43</v>
      </c>
      <c r="I102" s="7" t="s">
        <v>99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3</v>
      </c>
      <c r="AF102" s="8">
        <v>4800</v>
      </c>
      <c r="AG102" s="8">
        <v>2000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1</v>
      </c>
      <c r="BJ102" s="8">
        <v>2400</v>
      </c>
      <c r="BK102" s="7">
        <v>0</v>
      </c>
      <c r="BL102" s="7">
        <v>120</v>
      </c>
      <c r="BM102" s="10">
        <v>9200</v>
      </c>
      <c r="BN102" s="13">
        <f t="shared" si="2"/>
        <v>9080</v>
      </c>
      <c r="BO102" s="13">
        <f t="shared" si="3"/>
        <v>6356</v>
      </c>
    </row>
    <row r="103" spans="1:67" ht="19.2" x14ac:dyDescent="0.4">
      <c r="A103" s="5" t="s">
        <v>29</v>
      </c>
      <c r="B103" s="5" t="s">
        <v>196</v>
      </c>
      <c r="C103" s="5">
        <v>351091</v>
      </c>
      <c r="D103" s="6"/>
      <c r="E103" s="5" t="s">
        <v>32</v>
      </c>
      <c r="F103" s="5" t="s">
        <v>68</v>
      </c>
      <c r="G103" s="5" t="s">
        <v>54</v>
      </c>
      <c r="H103" s="7" t="s">
        <v>43</v>
      </c>
      <c r="I103" s="7" t="s">
        <v>197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2</v>
      </c>
      <c r="BJ103" s="8">
        <v>8640</v>
      </c>
      <c r="BK103" s="7">
        <v>0</v>
      </c>
      <c r="BL103" s="7">
        <v>432</v>
      </c>
      <c r="BM103" s="10">
        <v>8640</v>
      </c>
      <c r="BN103" s="13">
        <f t="shared" si="2"/>
        <v>8208</v>
      </c>
      <c r="BO103" s="13">
        <f t="shared" si="3"/>
        <v>5745.5999999999995</v>
      </c>
    </row>
    <row r="104" spans="1:67" ht="19.2" x14ac:dyDescent="0.4">
      <c r="A104" s="5" t="s">
        <v>29</v>
      </c>
      <c r="B104" s="5" t="s">
        <v>198</v>
      </c>
      <c r="C104" s="5">
        <v>423998</v>
      </c>
      <c r="D104" s="6"/>
      <c r="E104" s="5" t="s">
        <v>32</v>
      </c>
      <c r="F104" s="5" t="s">
        <v>68</v>
      </c>
      <c r="G104" s="5" t="s">
        <v>54</v>
      </c>
      <c r="H104" s="7" t="s">
        <v>43</v>
      </c>
      <c r="I104" s="7" t="s">
        <v>199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</v>
      </c>
      <c r="AF104" s="7">
        <v>0</v>
      </c>
      <c r="AG104" s="7">
        <v>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2</v>
      </c>
      <c r="BJ104" s="8">
        <v>8160</v>
      </c>
      <c r="BK104" s="7">
        <v>0</v>
      </c>
      <c r="BL104" s="7">
        <v>408</v>
      </c>
      <c r="BM104" s="10">
        <v>8360</v>
      </c>
      <c r="BN104" s="13">
        <f t="shared" si="2"/>
        <v>7952</v>
      </c>
      <c r="BO104" s="13">
        <f t="shared" si="3"/>
        <v>5566.4</v>
      </c>
    </row>
    <row r="105" spans="1:67" ht="19.2" x14ac:dyDescent="0.4">
      <c r="A105" s="5" t="s">
        <v>29</v>
      </c>
      <c r="B105" s="5" t="s">
        <v>277</v>
      </c>
      <c r="C105" s="5">
        <v>408844</v>
      </c>
      <c r="D105" s="6"/>
      <c r="E105" s="5" t="s">
        <v>32</v>
      </c>
      <c r="F105" s="5" t="s">
        <v>79</v>
      </c>
      <c r="G105" s="5" t="s">
        <v>11</v>
      </c>
      <c r="H105" s="7" t="s">
        <v>7</v>
      </c>
      <c r="I105" s="7" t="s">
        <v>278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9</v>
      </c>
      <c r="AC105" s="8">
        <v>8100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8100</v>
      </c>
      <c r="BN105" s="13">
        <f t="shared" si="2"/>
        <v>8100</v>
      </c>
      <c r="BO105" s="13">
        <f t="shared" si="3"/>
        <v>5670</v>
      </c>
    </row>
    <row r="106" spans="1:67" ht="19.2" x14ac:dyDescent="0.4">
      <c r="A106" s="5" t="s">
        <v>29</v>
      </c>
      <c r="B106" s="5" t="s">
        <v>279</v>
      </c>
      <c r="C106" s="5">
        <v>381424</v>
      </c>
      <c r="D106" s="6"/>
      <c r="E106" s="5" t="s">
        <v>32</v>
      </c>
      <c r="F106" s="5" t="s">
        <v>53</v>
      </c>
      <c r="G106" s="5" t="s">
        <v>54</v>
      </c>
      <c r="H106" s="7" t="s">
        <v>43</v>
      </c>
      <c r="I106" s="7" t="s">
        <v>280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8">
        <v>4200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1</v>
      </c>
      <c r="AR106" s="8">
        <v>3500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7700</v>
      </c>
      <c r="BN106" s="13">
        <f t="shared" si="2"/>
        <v>7700</v>
      </c>
      <c r="BO106" s="13">
        <f t="shared" si="3"/>
        <v>5390</v>
      </c>
    </row>
    <row r="107" spans="1:67" ht="19.2" x14ac:dyDescent="0.4">
      <c r="A107" s="5" t="s">
        <v>29</v>
      </c>
      <c r="B107" s="5" t="s">
        <v>212</v>
      </c>
      <c r="C107" s="5">
        <v>424315</v>
      </c>
      <c r="D107" s="6"/>
      <c r="E107" s="5" t="s">
        <v>32</v>
      </c>
      <c r="F107" s="5" t="s">
        <v>79</v>
      </c>
      <c r="G107" s="5" t="s">
        <v>11</v>
      </c>
      <c r="H107" s="7" t="s">
        <v>7</v>
      </c>
      <c r="I107" s="7" t="s">
        <v>213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8</v>
      </c>
      <c r="AO107" s="8">
        <v>7200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7200</v>
      </c>
      <c r="BN107" s="13">
        <f t="shared" si="2"/>
        <v>7200</v>
      </c>
      <c r="BO107" s="13">
        <f t="shared" si="3"/>
        <v>5040</v>
      </c>
    </row>
    <row r="108" spans="1:67" ht="19.2" x14ac:dyDescent="0.4">
      <c r="A108" s="5" t="s">
        <v>29</v>
      </c>
      <c r="B108" s="5" t="s">
        <v>179</v>
      </c>
      <c r="C108" s="5">
        <v>443978</v>
      </c>
      <c r="D108" s="6"/>
      <c r="E108" s="5" t="s">
        <v>32</v>
      </c>
      <c r="F108" s="5" t="s">
        <v>124</v>
      </c>
      <c r="G108" s="5" t="s">
        <v>54</v>
      </c>
      <c r="H108" s="7" t="s">
        <v>8</v>
      </c>
      <c r="I108" s="7" t="s">
        <v>180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60</v>
      </c>
      <c r="BJ108" s="8">
        <v>7200</v>
      </c>
      <c r="BK108" s="7">
        <v>0</v>
      </c>
      <c r="BL108" s="7">
        <v>360</v>
      </c>
      <c r="BM108" s="10">
        <v>7200</v>
      </c>
      <c r="BN108" s="13">
        <f t="shared" si="2"/>
        <v>6840</v>
      </c>
      <c r="BO108" s="13">
        <f t="shared" si="3"/>
        <v>4788</v>
      </c>
    </row>
    <row r="109" spans="1:67" ht="19.2" x14ac:dyDescent="0.4">
      <c r="A109" s="5" t="s">
        <v>29</v>
      </c>
      <c r="B109" s="5" t="s">
        <v>110</v>
      </c>
      <c r="C109" s="5">
        <v>379289</v>
      </c>
      <c r="D109" s="6"/>
      <c r="E109" s="5" t="s">
        <v>32</v>
      </c>
      <c r="F109" s="5" t="s">
        <v>79</v>
      </c>
      <c r="G109" s="5" t="s">
        <v>11</v>
      </c>
      <c r="H109" s="7" t="s">
        <v>7</v>
      </c>
      <c r="I109" s="7" t="s">
        <v>111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8</v>
      </c>
      <c r="AC109" s="8">
        <v>7200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7200</v>
      </c>
      <c r="BN109" s="13">
        <f t="shared" si="2"/>
        <v>7200</v>
      </c>
      <c r="BO109" s="13">
        <f t="shared" si="3"/>
        <v>5040</v>
      </c>
    </row>
    <row r="110" spans="1:67" ht="19.2" x14ac:dyDescent="0.4">
      <c r="A110" s="5" t="s">
        <v>29</v>
      </c>
      <c r="B110" s="5" t="s">
        <v>281</v>
      </c>
      <c r="C110" s="5">
        <v>322722</v>
      </c>
      <c r="D110" s="6"/>
      <c r="E110" s="5" t="s">
        <v>32</v>
      </c>
      <c r="F110" s="5" t="s">
        <v>68</v>
      </c>
      <c r="G110" s="5" t="s">
        <v>54</v>
      </c>
      <c r="H110" s="7" t="s">
        <v>43</v>
      </c>
      <c r="I110" s="7" t="s">
        <v>282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</v>
      </c>
      <c r="AF110" s="8">
        <v>3840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1</v>
      </c>
      <c r="AR110" s="8">
        <v>3200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7040</v>
      </c>
      <c r="BN110" s="13">
        <f t="shared" si="2"/>
        <v>7040</v>
      </c>
      <c r="BO110" s="13">
        <f t="shared" si="3"/>
        <v>4928</v>
      </c>
    </row>
    <row r="111" spans="1:67" ht="19.2" x14ac:dyDescent="0.4">
      <c r="A111" s="5" t="s">
        <v>29</v>
      </c>
      <c r="B111" s="5" t="s">
        <v>126</v>
      </c>
      <c r="C111" s="5">
        <v>457534</v>
      </c>
      <c r="D111" s="6"/>
      <c r="E111" s="5" t="s">
        <v>32</v>
      </c>
      <c r="F111" s="5" t="s">
        <v>127</v>
      </c>
      <c r="G111" s="5" t="s">
        <v>39</v>
      </c>
      <c r="H111" s="7" t="s">
        <v>43</v>
      </c>
      <c r="I111" s="7" t="s">
        <v>128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</v>
      </c>
      <c r="AF111" s="8">
        <v>4700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1</v>
      </c>
      <c r="BJ111" s="8">
        <v>2040</v>
      </c>
      <c r="BK111" s="7">
        <v>0</v>
      </c>
      <c r="BL111" s="7">
        <v>102</v>
      </c>
      <c r="BM111" s="10">
        <v>6740</v>
      </c>
      <c r="BN111" s="13">
        <f t="shared" si="2"/>
        <v>6638</v>
      </c>
      <c r="BO111" s="13">
        <f t="shared" si="3"/>
        <v>4646.5999999999995</v>
      </c>
    </row>
    <row r="112" spans="1:67" ht="19.2" x14ac:dyDescent="0.4">
      <c r="A112" s="5" t="s">
        <v>29</v>
      </c>
      <c r="B112" s="5" t="s">
        <v>74</v>
      </c>
      <c r="C112" s="5">
        <v>461450</v>
      </c>
      <c r="D112" s="6"/>
      <c r="E112" s="5" t="s">
        <v>32</v>
      </c>
      <c r="F112" s="5" t="s">
        <v>33</v>
      </c>
      <c r="G112" s="5" t="s">
        <v>34</v>
      </c>
      <c r="H112" s="7" t="s">
        <v>10</v>
      </c>
      <c r="I112" s="7" t="s">
        <v>63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7</v>
      </c>
      <c r="AO112" s="8">
        <v>6300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6300</v>
      </c>
      <c r="BN112" s="13">
        <f t="shared" si="2"/>
        <v>6300</v>
      </c>
      <c r="BO112" s="13">
        <f t="shared" si="3"/>
        <v>4410</v>
      </c>
    </row>
    <row r="113" spans="1:67" ht="19.2" x14ac:dyDescent="0.4">
      <c r="A113" s="5" t="s">
        <v>29</v>
      </c>
      <c r="B113" s="5" t="s">
        <v>123</v>
      </c>
      <c r="C113" s="5">
        <v>442667</v>
      </c>
      <c r="D113" s="6"/>
      <c r="E113" s="5" t="s">
        <v>32</v>
      </c>
      <c r="F113" s="5" t="s">
        <v>124</v>
      </c>
      <c r="G113" s="5" t="s">
        <v>54</v>
      </c>
      <c r="H113" s="7" t="s">
        <v>43</v>
      </c>
      <c r="I113" s="7" t="s">
        <v>125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</v>
      </c>
      <c r="AF113" s="7">
        <v>0</v>
      </c>
      <c r="AG113" s="8">
        <v>6000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6000</v>
      </c>
      <c r="BN113" s="13">
        <f t="shared" si="2"/>
        <v>6000</v>
      </c>
      <c r="BO113" s="13">
        <f t="shared" si="3"/>
        <v>4200</v>
      </c>
    </row>
    <row r="114" spans="1:67" ht="19.2" x14ac:dyDescent="0.4">
      <c r="A114" s="5" t="s">
        <v>29</v>
      </c>
      <c r="B114" s="5" t="s">
        <v>283</v>
      </c>
      <c r="C114" s="5">
        <v>335136</v>
      </c>
      <c r="D114" s="6"/>
      <c r="E114" s="5" t="s">
        <v>32</v>
      </c>
      <c r="F114" s="5" t="s">
        <v>284</v>
      </c>
      <c r="G114" s="5" t="s">
        <v>54</v>
      </c>
      <c r="H114" s="7" t="s">
        <v>43</v>
      </c>
      <c r="I114" s="7" t="s">
        <v>285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2</v>
      </c>
      <c r="AF114" s="7">
        <v>0</v>
      </c>
      <c r="AG114" s="8">
        <v>4100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1</v>
      </c>
      <c r="AR114" s="8">
        <v>1900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6000</v>
      </c>
      <c r="BN114" s="13">
        <f t="shared" si="2"/>
        <v>6000</v>
      </c>
      <c r="BO114" s="13">
        <f t="shared" si="3"/>
        <v>4200</v>
      </c>
    </row>
    <row r="115" spans="1:67" ht="19.2" x14ac:dyDescent="0.4">
      <c r="A115" s="5" t="s">
        <v>29</v>
      </c>
      <c r="B115" s="5" t="s">
        <v>102</v>
      </c>
      <c r="C115" s="5">
        <v>461351</v>
      </c>
      <c r="D115" s="6"/>
      <c r="E115" s="5" t="s">
        <v>32</v>
      </c>
      <c r="F115" s="5" t="s">
        <v>65</v>
      </c>
      <c r="G115" s="5" t="s">
        <v>39</v>
      </c>
      <c r="H115" s="7" t="s">
        <v>43</v>
      </c>
      <c r="I115" s="7" t="s">
        <v>103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2</v>
      </c>
      <c r="AF115" s="8">
        <v>4800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4800</v>
      </c>
      <c r="BN115" s="13">
        <f t="shared" si="2"/>
        <v>4800</v>
      </c>
      <c r="BO115" s="13">
        <f t="shared" si="3"/>
        <v>3360</v>
      </c>
    </row>
    <row r="116" spans="1:67" ht="19.2" x14ac:dyDescent="0.4">
      <c r="A116" s="5" t="s">
        <v>29</v>
      </c>
      <c r="B116" s="5" t="s">
        <v>142</v>
      </c>
      <c r="C116" s="5">
        <v>465771</v>
      </c>
      <c r="D116" s="6"/>
      <c r="E116" s="5" t="s">
        <v>32</v>
      </c>
      <c r="F116" s="5" t="s">
        <v>143</v>
      </c>
      <c r="G116" s="5" t="s">
        <v>39</v>
      </c>
      <c r="H116" s="7" t="s">
        <v>10</v>
      </c>
      <c r="I116" s="7" t="s">
        <v>144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2</v>
      </c>
      <c r="AF116" s="8">
        <v>4800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4800</v>
      </c>
      <c r="BN116" s="13">
        <f t="shared" si="2"/>
        <v>4800</v>
      </c>
      <c r="BO116" s="13">
        <f t="shared" si="3"/>
        <v>3360</v>
      </c>
    </row>
    <row r="117" spans="1:67" ht="19.2" x14ac:dyDescent="0.4">
      <c r="A117" s="5" t="s">
        <v>29</v>
      </c>
      <c r="B117" s="5" t="s">
        <v>157</v>
      </c>
      <c r="C117" s="5">
        <v>354768</v>
      </c>
      <c r="D117" s="6"/>
      <c r="E117" s="5" t="s">
        <v>32</v>
      </c>
      <c r="F117" s="5" t="s">
        <v>46</v>
      </c>
      <c r="G117" s="5" t="s">
        <v>47</v>
      </c>
      <c r="H117" s="7" t="s">
        <v>8</v>
      </c>
      <c r="I117" s="7" t="s">
        <v>158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38</v>
      </c>
      <c r="AF117" s="8">
        <v>4560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4560</v>
      </c>
      <c r="BN117" s="13">
        <f t="shared" si="2"/>
        <v>4560</v>
      </c>
      <c r="BO117" s="13">
        <f t="shared" si="3"/>
        <v>3192</v>
      </c>
    </row>
    <row r="118" spans="1:67" ht="19.2" x14ac:dyDescent="0.4">
      <c r="A118" s="5" t="s">
        <v>29</v>
      </c>
      <c r="B118" s="5" t="s">
        <v>147</v>
      </c>
      <c r="C118" s="5">
        <v>317429</v>
      </c>
      <c r="D118" s="6"/>
      <c r="E118" s="5" t="s">
        <v>32</v>
      </c>
      <c r="F118" s="5" t="s">
        <v>53</v>
      </c>
      <c r="G118" s="5" t="s">
        <v>54</v>
      </c>
      <c r="H118" s="7" t="s">
        <v>8</v>
      </c>
      <c r="I118" s="7" t="s">
        <v>148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4400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4400</v>
      </c>
      <c r="BN118" s="13">
        <f t="shared" si="2"/>
        <v>4400</v>
      </c>
      <c r="BO118" s="13">
        <f t="shared" si="3"/>
        <v>3080</v>
      </c>
    </row>
    <row r="119" spans="1:67" ht="19.2" x14ac:dyDescent="0.4">
      <c r="A119" s="5" t="s">
        <v>29</v>
      </c>
      <c r="B119" s="5" t="s">
        <v>286</v>
      </c>
      <c r="C119" s="5">
        <v>415996</v>
      </c>
      <c r="D119" s="6"/>
      <c r="E119" s="5" t="s">
        <v>32</v>
      </c>
      <c r="F119" s="5" t="s">
        <v>170</v>
      </c>
      <c r="G119" s="5" t="s">
        <v>83</v>
      </c>
      <c r="H119" s="7" t="s">
        <v>43</v>
      </c>
      <c r="I119" s="7" t="s">
        <v>287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8">
        <v>4320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4320</v>
      </c>
      <c r="BN119" s="13">
        <f t="shared" si="2"/>
        <v>4320</v>
      </c>
      <c r="BO119" s="13">
        <f t="shared" si="3"/>
        <v>3024</v>
      </c>
    </row>
    <row r="120" spans="1:67" ht="19.2" x14ac:dyDescent="0.4">
      <c r="A120" s="5" t="s">
        <v>29</v>
      </c>
      <c r="B120" s="5" t="s">
        <v>288</v>
      </c>
      <c r="C120" s="5">
        <v>318161</v>
      </c>
      <c r="D120" s="6"/>
      <c r="E120" s="5" t="s">
        <v>32</v>
      </c>
      <c r="F120" s="5" t="s">
        <v>182</v>
      </c>
      <c r="G120" s="5" t="s">
        <v>83</v>
      </c>
      <c r="H120" s="7" t="s">
        <v>43</v>
      </c>
      <c r="I120" s="7" t="s">
        <v>289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1</v>
      </c>
      <c r="AF120" s="7">
        <v>0</v>
      </c>
      <c r="AG120" s="8">
        <v>4300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4300</v>
      </c>
      <c r="BN120" s="13">
        <f t="shared" si="2"/>
        <v>4300</v>
      </c>
      <c r="BO120" s="13">
        <f t="shared" si="3"/>
        <v>3010</v>
      </c>
    </row>
    <row r="121" spans="1:67" ht="19.2" x14ac:dyDescent="0.4">
      <c r="A121" s="5" t="s">
        <v>29</v>
      </c>
      <c r="B121" s="5" t="s">
        <v>159</v>
      </c>
      <c r="C121" s="5">
        <v>408833</v>
      </c>
      <c r="D121" s="6"/>
      <c r="E121" s="5" t="s">
        <v>32</v>
      </c>
      <c r="F121" s="5" t="s">
        <v>79</v>
      </c>
      <c r="G121" s="5" t="s">
        <v>11</v>
      </c>
      <c r="H121" s="7" t="s">
        <v>7</v>
      </c>
      <c r="I121" s="7" t="s">
        <v>160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4</v>
      </c>
      <c r="AC121" s="8">
        <v>3360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1</v>
      </c>
      <c r="AO121" s="7">
        <v>800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4160</v>
      </c>
      <c r="BN121" s="13">
        <f t="shared" si="2"/>
        <v>4160</v>
      </c>
      <c r="BO121" s="13">
        <f t="shared" si="3"/>
        <v>2912</v>
      </c>
    </row>
    <row r="122" spans="1:67" ht="19.2" x14ac:dyDescent="0.4">
      <c r="A122" s="5" t="s">
        <v>29</v>
      </c>
      <c r="B122" s="5" t="s">
        <v>181</v>
      </c>
      <c r="C122" s="5">
        <v>367271</v>
      </c>
      <c r="D122" s="6"/>
      <c r="E122" s="5" t="s">
        <v>32</v>
      </c>
      <c r="F122" s="5" t="s">
        <v>182</v>
      </c>
      <c r="G122" s="5" t="s">
        <v>47</v>
      </c>
      <c r="H122" s="7" t="s">
        <v>43</v>
      </c>
      <c r="I122" s="7" t="s">
        <v>183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8">
        <v>4000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4000</v>
      </c>
      <c r="BN122" s="13">
        <f t="shared" si="2"/>
        <v>4000</v>
      </c>
      <c r="BO122" s="13">
        <f t="shared" si="3"/>
        <v>2800</v>
      </c>
    </row>
    <row r="123" spans="1:67" ht="19.2" x14ac:dyDescent="0.4">
      <c r="A123" s="5" t="s">
        <v>29</v>
      </c>
      <c r="B123" s="5" t="s">
        <v>290</v>
      </c>
      <c r="C123" s="5">
        <v>331981</v>
      </c>
      <c r="D123" s="6"/>
      <c r="E123" s="5" t="s">
        <v>32</v>
      </c>
      <c r="F123" s="5" t="s">
        <v>291</v>
      </c>
      <c r="G123" s="5" t="s">
        <v>83</v>
      </c>
      <c r="H123" s="7" t="s">
        <v>43</v>
      </c>
      <c r="I123" s="7" t="s">
        <v>292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1</v>
      </c>
      <c r="AR123" s="8">
        <v>4000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10">
        <v>4000</v>
      </c>
      <c r="BN123" s="13">
        <f t="shared" si="2"/>
        <v>4000</v>
      </c>
      <c r="BO123" s="13">
        <f t="shared" si="3"/>
        <v>2800</v>
      </c>
    </row>
    <row r="124" spans="1:67" ht="19.2" x14ac:dyDescent="0.4">
      <c r="A124" s="5" t="s">
        <v>29</v>
      </c>
      <c r="B124" s="5" t="s">
        <v>293</v>
      </c>
      <c r="C124" s="5">
        <v>389201</v>
      </c>
      <c r="D124" s="6"/>
      <c r="E124" s="5" t="s">
        <v>32</v>
      </c>
      <c r="F124" s="5" t="s">
        <v>182</v>
      </c>
      <c r="G124" s="5" t="s">
        <v>47</v>
      </c>
      <c r="H124" s="7" t="s">
        <v>43</v>
      </c>
      <c r="I124" s="7" t="s">
        <v>294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8">
        <v>3900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3900</v>
      </c>
      <c r="BN124" s="13">
        <f t="shared" si="2"/>
        <v>3900</v>
      </c>
      <c r="BO124" s="13">
        <f t="shared" si="3"/>
        <v>2730</v>
      </c>
    </row>
    <row r="125" spans="1:67" ht="19.2" x14ac:dyDescent="0.4">
      <c r="A125" s="5" t="s">
        <v>29</v>
      </c>
      <c r="B125" s="5" t="s">
        <v>295</v>
      </c>
      <c r="C125" s="5">
        <v>355175</v>
      </c>
      <c r="D125" s="6"/>
      <c r="E125" s="5" t="s">
        <v>32</v>
      </c>
      <c r="F125" s="5" t="s">
        <v>46</v>
      </c>
      <c r="G125" s="5" t="s">
        <v>47</v>
      </c>
      <c r="H125" s="7" t="s">
        <v>43</v>
      </c>
      <c r="I125" s="7" t="s">
        <v>296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1</v>
      </c>
      <c r="AR125" s="8">
        <v>3600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0">
        <v>3600</v>
      </c>
      <c r="BN125" s="13">
        <f t="shared" si="2"/>
        <v>3600</v>
      </c>
      <c r="BO125" s="13">
        <f t="shared" si="3"/>
        <v>2520</v>
      </c>
    </row>
    <row r="126" spans="1:67" ht="19.2" x14ac:dyDescent="0.4">
      <c r="A126" s="5" t="s">
        <v>29</v>
      </c>
      <c r="B126" s="5" t="s">
        <v>297</v>
      </c>
      <c r="C126" s="5">
        <v>351598</v>
      </c>
      <c r="D126" s="6"/>
      <c r="E126" s="5" t="s">
        <v>32</v>
      </c>
      <c r="F126" s="5" t="s">
        <v>298</v>
      </c>
      <c r="G126" s="5" t="s">
        <v>54</v>
      </c>
      <c r="H126" s="7" t="s">
        <v>43</v>
      </c>
      <c r="I126" s="7" t="s">
        <v>299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0</v>
      </c>
      <c r="AG126" s="8">
        <v>3600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0">
        <v>3600</v>
      </c>
      <c r="BN126" s="13">
        <f t="shared" si="2"/>
        <v>3600</v>
      </c>
      <c r="BO126" s="13">
        <f t="shared" si="3"/>
        <v>2520</v>
      </c>
    </row>
    <row r="127" spans="1:67" ht="19.2" x14ac:dyDescent="0.4">
      <c r="A127" s="5" t="s">
        <v>29</v>
      </c>
      <c r="B127" s="5" t="s">
        <v>250</v>
      </c>
      <c r="C127" s="5">
        <v>469971</v>
      </c>
      <c r="D127" s="6"/>
      <c r="E127" s="5" t="s">
        <v>32</v>
      </c>
      <c r="F127" s="5" t="s">
        <v>251</v>
      </c>
      <c r="G127" s="5" t="s">
        <v>96</v>
      </c>
      <c r="H127" s="7" t="s">
        <v>7</v>
      </c>
      <c r="I127" s="7" t="s">
        <v>252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36</v>
      </c>
      <c r="AF127" s="8">
        <v>3600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0">
        <v>3600</v>
      </c>
      <c r="BN127" s="13">
        <f t="shared" si="2"/>
        <v>3600</v>
      </c>
      <c r="BO127" s="13">
        <f t="shared" si="3"/>
        <v>2520</v>
      </c>
    </row>
    <row r="128" spans="1:67" ht="19.2" x14ac:dyDescent="0.4">
      <c r="A128" s="5" t="s">
        <v>29</v>
      </c>
      <c r="B128" s="5" t="s">
        <v>214</v>
      </c>
      <c r="C128" s="5">
        <v>416187</v>
      </c>
      <c r="D128" s="6"/>
      <c r="E128" s="5" t="s">
        <v>32</v>
      </c>
      <c r="F128" s="5" t="s">
        <v>68</v>
      </c>
      <c r="G128" s="5" t="s">
        <v>54</v>
      </c>
      <c r="H128" s="7" t="s">
        <v>43</v>
      </c>
      <c r="I128" s="7" t="s">
        <v>215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8">
        <v>3400</v>
      </c>
      <c r="AG128" s="7">
        <v>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3500</v>
      </c>
      <c r="BN128" s="13">
        <f t="shared" si="2"/>
        <v>3500</v>
      </c>
      <c r="BO128" s="13">
        <f t="shared" si="3"/>
        <v>2450</v>
      </c>
    </row>
    <row r="129" spans="1:67" ht="19.2" x14ac:dyDescent="0.4">
      <c r="A129" s="5" t="s">
        <v>29</v>
      </c>
      <c r="B129" s="5" t="s">
        <v>52</v>
      </c>
      <c r="C129" s="5">
        <v>395341</v>
      </c>
      <c r="D129" s="6"/>
      <c r="E129" s="5" t="s">
        <v>32</v>
      </c>
      <c r="F129" s="5" t="s">
        <v>53</v>
      </c>
      <c r="G129" s="5" t="s">
        <v>54</v>
      </c>
      <c r="H129" s="7" t="s">
        <v>8</v>
      </c>
      <c r="I129" s="7" t="s">
        <v>55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29</v>
      </c>
      <c r="AF129" s="7">
        <v>600</v>
      </c>
      <c r="AG129" s="8">
        <v>2400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3</v>
      </c>
      <c r="AR129" s="7">
        <v>300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0">
        <v>3300</v>
      </c>
      <c r="BN129" s="13">
        <f t="shared" si="2"/>
        <v>3300</v>
      </c>
      <c r="BO129" s="13">
        <f t="shared" si="3"/>
        <v>2310</v>
      </c>
    </row>
    <row r="130" spans="1:67" ht="19.2" x14ac:dyDescent="0.4">
      <c r="A130" s="5" t="s">
        <v>29</v>
      </c>
      <c r="B130" s="5" t="s">
        <v>194</v>
      </c>
      <c r="C130" s="5">
        <v>367415</v>
      </c>
      <c r="D130" s="6"/>
      <c r="E130" s="5" t="s">
        <v>32</v>
      </c>
      <c r="F130" s="5" t="s">
        <v>76</v>
      </c>
      <c r="G130" s="5" t="s">
        <v>11</v>
      </c>
      <c r="H130" s="7" t="s">
        <v>7</v>
      </c>
      <c r="I130" s="7" t="s">
        <v>195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33</v>
      </c>
      <c r="AR130" s="8">
        <v>3300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3300</v>
      </c>
      <c r="BN130" s="13">
        <f t="shared" si="2"/>
        <v>3300</v>
      </c>
      <c r="BO130" s="13">
        <f t="shared" si="3"/>
        <v>2310</v>
      </c>
    </row>
    <row r="131" spans="1:67" ht="19.2" x14ac:dyDescent="0.4">
      <c r="A131" s="5" t="s">
        <v>29</v>
      </c>
      <c r="B131" s="5" t="s">
        <v>245</v>
      </c>
      <c r="C131" s="5">
        <v>454224</v>
      </c>
      <c r="D131" s="6"/>
      <c r="E131" s="5" t="s">
        <v>32</v>
      </c>
      <c r="F131" s="5" t="s">
        <v>33</v>
      </c>
      <c r="G131" s="5" t="s">
        <v>34</v>
      </c>
      <c r="H131" s="7" t="s">
        <v>7</v>
      </c>
      <c r="I131" s="7" t="s">
        <v>156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26</v>
      </c>
      <c r="AR131" s="8">
        <v>2600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2600</v>
      </c>
      <c r="BN131" s="13">
        <f t="shared" ref="BN131:BN194" si="4">BM131-BL131</f>
        <v>2600</v>
      </c>
      <c r="BO131" s="13">
        <f t="shared" ref="BO131:BO194" si="5">BN131*0.7</f>
        <v>1819.9999999999998</v>
      </c>
    </row>
    <row r="132" spans="1:67" ht="19.2" x14ac:dyDescent="0.4">
      <c r="A132" s="5" t="s">
        <v>29</v>
      </c>
      <c r="B132" s="5" t="s">
        <v>191</v>
      </c>
      <c r="C132" s="5">
        <v>457676</v>
      </c>
      <c r="D132" s="6"/>
      <c r="E132" s="5" t="s">
        <v>32</v>
      </c>
      <c r="F132" s="5" t="s">
        <v>192</v>
      </c>
      <c r="G132" s="5" t="s">
        <v>39</v>
      </c>
      <c r="H132" s="7" t="s">
        <v>7</v>
      </c>
      <c r="I132" s="7" t="s">
        <v>193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0</v>
      </c>
      <c r="AG132" s="8">
        <v>2500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0">
        <v>2500</v>
      </c>
      <c r="BN132" s="13">
        <f t="shared" si="4"/>
        <v>2500</v>
      </c>
      <c r="BO132" s="13">
        <f t="shared" si="5"/>
        <v>1750</v>
      </c>
    </row>
    <row r="133" spans="1:67" ht="19.2" x14ac:dyDescent="0.4">
      <c r="A133" s="5" t="s">
        <v>29</v>
      </c>
      <c r="B133" s="5" t="s">
        <v>152</v>
      </c>
      <c r="C133" s="5">
        <v>464792</v>
      </c>
      <c r="D133" s="6"/>
      <c r="E133" s="5" t="s">
        <v>32</v>
      </c>
      <c r="F133" s="5" t="s">
        <v>153</v>
      </c>
      <c r="G133" s="5" t="s">
        <v>39</v>
      </c>
      <c r="H133" s="7" t="s">
        <v>43</v>
      </c>
      <c r="I133" s="7" t="s">
        <v>154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7">
        <v>0</v>
      </c>
      <c r="AG133" s="8">
        <v>2500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0">
        <v>2500</v>
      </c>
      <c r="BN133" s="13">
        <f t="shared" si="4"/>
        <v>2500</v>
      </c>
      <c r="BO133" s="13">
        <f t="shared" si="5"/>
        <v>1750</v>
      </c>
    </row>
    <row r="134" spans="1:67" ht="19.2" x14ac:dyDescent="0.4">
      <c r="A134" s="5" t="s">
        <v>29</v>
      </c>
      <c r="B134" s="5" t="s">
        <v>121</v>
      </c>
      <c r="C134" s="5">
        <v>464787</v>
      </c>
      <c r="D134" s="6"/>
      <c r="E134" s="5" t="s">
        <v>32</v>
      </c>
      <c r="F134" s="5" t="s">
        <v>122</v>
      </c>
      <c r="G134" s="5" t="s">
        <v>39</v>
      </c>
      <c r="H134" s="7" t="s">
        <v>43</v>
      </c>
      <c r="I134" s="7" t="s">
        <v>35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1</v>
      </c>
      <c r="AF134" s="7">
        <v>0</v>
      </c>
      <c r="AG134" s="8">
        <v>2500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0">
        <v>2500</v>
      </c>
      <c r="BN134" s="13">
        <f t="shared" si="4"/>
        <v>2500</v>
      </c>
      <c r="BO134" s="13">
        <f t="shared" si="5"/>
        <v>1750</v>
      </c>
    </row>
    <row r="135" spans="1:67" ht="19.2" x14ac:dyDescent="0.4">
      <c r="A135" s="5" t="s">
        <v>29</v>
      </c>
      <c r="B135" s="5" t="s">
        <v>185</v>
      </c>
      <c r="C135" s="5">
        <v>459224</v>
      </c>
      <c r="D135" s="6"/>
      <c r="E135" s="5" t="s">
        <v>32</v>
      </c>
      <c r="F135" s="5" t="s">
        <v>186</v>
      </c>
      <c r="G135" s="5" t="s">
        <v>39</v>
      </c>
      <c r="H135" s="7" t="s">
        <v>7</v>
      </c>
      <c r="I135" s="7" t="s">
        <v>187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1</v>
      </c>
      <c r="AF135" s="8">
        <v>2400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0">
        <v>2400</v>
      </c>
      <c r="BN135" s="13">
        <f t="shared" si="4"/>
        <v>2400</v>
      </c>
      <c r="BO135" s="13">
        <f t="shared" si="5"/>
        <v>1680</v>
      </c>
    </row>
    <row r="136" spans="1:67" ht="19.2" x14ac:dyDescent="0.4">
      <c r="A136" s="5" t="s">
        <v>29</v>
      </c>
      <c r="B136" s="5" t="s">
        <v>209</v>
      </c>
      <c r="C136" s="5">
        <v>464782</v>
      </c>
      <c r="D136" s="6"/>
      <c r="E136" s="5" t="s">
        <v>32</v>
      </c>
      <c r="F136" s="5" t="s">
        <v>184</v>
      </c>
      <c r="G136" s="5" t="s">
        <v>39</v>
      </c>
      <c r="H136" s="7" t="s">
        <v>43</v>
      </c>
      <c r="I136" s="7" t="s">
        <v>210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1</v>
      </c>
      <c r="BJ136" s="8">
        <v>2400</v>
      </c>
      <c r="BK136" s="7">
        <v>0</v>
      </c>
      <c r="BL136" s="7">
        <v>120</v>
      </c>
      <c r="BM136" s="10">
        <v>2400</v>
      </c>
      <c r="BN136" s="13">
        <f t="shared" si="4"/>
        <v>2280</v>
      </c>
      <c r="BO136" s="13">
        <f t="shared" si="5"/>
        <v>1596</v>
      </c>
    </row>
    <row r="137" spans="1:67" ht="19.2" x14ac:dyDescent="0.4">
      <c r="A137" s="5" t="s">
        <v>29</v>
      </c>
      <c r="B137" s="5" t="s">
        <v>236</v>
      </c>
      <c r="C137" s="5">
        <v>366373</v>
      </c>
      <c r="D137" s="6"/>
      <c r="E137" s="5" t="s">
        <v>32</v>
      </c>
      <c r="F137" s="5" t="s">
        <v>201</v>
      </c>
      <c r="G137" s="5" t="s">
        <v>47</v>
      </c>
      <c r="H137" s="7" t="s">
        <v>8</v>
      </c>
      <c r="I137" s="7" t="s">
        <v>237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24</v>
      </c>
      <c r="AF137" s="7">
        <v>0</v>
      </c>
      <c r="AG137" s="8">
        <v>2400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0">
        <v>2400</v>
      </c>
      <c r="BN137" s="13">
        <f t="shared" si="4"/>
        <v>2400</v>
      </c>
      <c r="BO137" s="13">
        <f t="shared" si="5"/>
        <v>1680</v>
      </c>
    </row>
    <row r="138" spans="1:67" ht="19.2" x14ac:dyDescent="0.4">
      <c r="A138" s="5" t="s">
        <v>29</v>
      </c>
      <c r="B138" s="5" t="s">
        <v>81</v>
      </c>
      <c r="C138" s="5">
        <v>456187</v>
      </c>
      <c r="D138" s="6"/>
      <c r="E138" s="5" t="s">
        <v>32</v>
      </c>
      <c r="F138" s="5" t="s">
        <v>82</v>
      </c>
      <c r="G138" s="5" t="s">
        <v>83</v>
      </c>
      <c r="H138" s="7" t="s">
        <v>8</v>
      </c>
      <c r="I138" s="7" t="s">
        <v>84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21</v>
      </c>
      <c r="AF138" s="8">
        <v>1320</v>
      </c>
      <c r="AG138" s="8">
        <v>1000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0">
        <v>2320</v>
      </c>
      <c r="BN138" s="13">
        <f t="shared" si="4"/>
        <v>2320</v>
      </c>
      <c r="BO138" s="13">
        <f t="shared" si="5"/>
        <v>1624</v>
      </c>
    </row>
    <row r="139" spans="1:67" ht="19.2" x14ac:dyDescent="0.4">
      <c r="A139" s="5" t="s">
        <v>29</v>
      </c>
      <c r="B139" s="5" t="s">
        <v>219</v>
      </c>
      <c r="C139" s="5">
        <v>443816</v>
      </c>
      <c r="D139" s="6"/>
      <c r="E139" s="5" t="s">
        <v>32</v>
      </c>
      <c r="F139" s="5" t="s">
        <v>200</v>
      </c>
      <c r="G139" s="5" t="s">
        <v>54</v>
      </c>
      <c r="H139" s="7" t="s">
        <v>8</v>
      </c>
      <c r="I139" s="7" t="s">
        <v>114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23</v>
      </c>
      <c r="AF139" s="7">
        <v>0</v>
      </c>
      <c r="AG139" s="8">
        <v>2300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0">
        <v>2300</v>
      </c>
      <c r="BN139" s="13">
        <f t="shared" si="4"/>
        <v>2300</v>
      </c>
      <c r="BO139" s="13">
        <f t="shared" si="5"/>
        <v>1610</v>
      </c>
    </row>
    <row r="140" spans="1:67" ht="19.2" x14ac:dyDescent="0.4">
      <c r="A140" s="5" t="s">
        <v>29</v>
      </c>
      <c r="B140" s="5" t="s">
        <v>203</v>
      </c>
      <c r="C140" s="5">
        <v>457673</v>
      </c>
      <c r="D140" s="6"/>
      <c r="E140" s="5" t="s">
        <v>32</v>
      </c>
      <c r="F140" s="5" t="s">
        <v>204</v>
      </c>
      <c r="G140" s="5" t="s">
        <v>39</v>
      </c>
      <c r="H140" s="7" t="s">
        <v>43</v>
      </c>
      <c r="I140" s="7" t="s">
        <v>205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0</v>
      </c>
      <c r="AG140" s="8">
        <v>2000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0">
        <v>2000</v>
      </c>
      <c r="BN140" s="13">
        <f t="shared" si="4"/>
        <v>2000</v>
      </c>
      <c r="BO140" s="13">
        <f t="shared" si="5"/>
        <v>1400</v>
      </c>
    </row>
    <row r="141" spans="1:67" ht="19.2" x14ac:dyDescent="0.4">
      <c r="A141" s="5" t="s">
        <v>29</v>
      </c>
      <c r="B141" s="5" t="s">
        <v>300</v>
      </c>
      <c r="C141" s="5">
        <v>461355</v>
      </c>
      <c r="D141" s="6"/>
      <c r="E141" s="5" t="s">
        <v>32</v>
      </c>
      <c r="F141" s="5" t="s">
        <v>301</v>
      </c>
      <c r="G141" s="5" t="s">
        <v>39</v>
      </c>
      <c r="H141" s="7" t="s">
        <v>7</v>
      </c>
      <c r="I141" s="7" t="s">
        <v>302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8">
        <v>2000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0">
        <v>2000</v>
      </c>
      <c r="BN141" s="13">
        <f t="shared" si="4"/>
        <v>2000</v>
      </c>
      <c r="BO141" s="13">
        <f t="shared" si="5"/>
        <v>1400</v>
      </c>
    </row>
    <row r="142" spans="1:67" ht="19.2" x14ac:dyDescent="0.4">
      <c r="A142" s="5" t="s">
        <v>29</v>
      </c>
      <c r="B142" s="5" t="s">
        <v>222</v>
      </c>
      <c r="C142" s="5">
        <v>331754</v>
      </c>
      <c r="D142" s="6"/>
      <c r="E142" s="5" t="s">
        <v>32</v>
      </c>
      <c r="F142" s="5" t="s">
        <v>136</v>
      </c>
      <c r="G142" s="5" t="s">
        <v>83</v>
      </c>
      <c r="H142" s="7" t="s">
        <v>43</v>
      </c>
      <c r="I142" s="7" t="s">
        <v>223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2</v>
      </c>
      <c r="AR142" s="8">
        <v>1200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1</v>
      </c>
      <c r="BJ142" s="7">
        <v>720</v>
      </c>
      <c r="BK142" s="7">
        <v>0</v>
      </c>
      <c r="BL142" s="7">
        <v>36</v>
      </c>
      <c r="BM142" s="10">
        <v>1920</v>
      </c>
      <c r="BN142" s="13">
        <f t="shared" si="4"/>
        <v>1884</v>
      </c>
      <c r="BO142" s="13">
        <f t="shared" si="5"/>
        <v>1318.8</v>
      </c>
    </row>
    <row r="143" spans="1:67" ht="19.2" x14ac:dyDescent="0.4">
      <c r="A143" s="5" t="s">
        <v>29</v>
      </c>
      <c r="B143" s="5" t="s">
        <v>231</v>
      </c>
      <c r="C143" s="5">
        <v>423519</v>
      </c>
      <c r="D143" s="6"/>
      <c r="E143" s="5" t="s">
        <v>32</v>
      </c>
      <c r="F143" s="5" t="s">
        <v>140</v>
      </c>
      <c r="G143" s="5" t="s">
        <v>54</v>
      </c>
      <c r="H143" s="7" t="s">
        <v>43</v>
      </c>
      <c r="I143" s="7" t="s">
        <v>141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7">
        <v>600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2</v>
      </c>
      <c r="AR143" s="8">
        <v>1200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0">
        <v>1800</v>
      </c>
      <c r="BN143" s="13">
        <f t="shared" si="4"/>
        <v>1800</v>
      </c>
      <c r="BO143" s="13">
        <f t="shared" si="5"/>
        <v>1260</v>
      </c>
    </row>
    <row r="144" spans="1:67" ht="19.2" x14ac:dyDescent="0.4">
      <c r="A144" s="5" t="s">
        <v>29</v>
      </c>
      <c r="B144" s="5" t="s">
        <v>235</v>
      </c>
      <c r="C144" s="5">
        <v>443521</v>
      </c>
      <c r="D144" s="6"/>
      <c r="E144" s="5" t="s">
        <v>32</v>
      </c>
      <c r="F144" s="5" t="s">
        <v>140</v>
      </c>
      <c r="G144" s="5" t="s">
        <v>54</v>
      </c>
      <c r="H144" s="7" t="s">
        <v>8</v>
      </c>
      <c r="I144" s="7" t="s">
        <v>163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9</v>
      </c>
      <c r="AF144" s="8">
        <v>1080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0">
        <v>1080</v>
      </c>
      <c r="BN144" s="13">
        <f t="shared" si="4"/>
        <v>1080</v>
      </c>
      <c r="BO144" s="13">
        <f t="shared" si="5"/>
        <v>756</v>
      </c>
    </row>
    <row r="145" spans="1:67" ht="19.2" x14ac:dyDescent="0.4">
      <c r="A145" s="5" t="s">
        <v>29</v>
      </c>
      <c r="B145" s="5" t="s">
        <v>230</v>
      </c>
      <c r="C145" s="5">
        <v>395237</v>
      </c>
      <c r="D145" s="6"/>
      <c r="E145" s="5" t="s">
        <v>32</v>
      </c>
      <c r="F145" s="5" t="s">
        <v>53</v>
      </c>
      <c r="G145" s="5" t="s">
        <v>54</v>
      </c>
      <c r="H145" s="7" t="s">
        <v>43</v>
      </c>
      <c r="I145" s="7" t="s">
        <v>118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3</v>
      </c>
      <c r="AF145" s="7">
        <v>240</v>
      </c>
      <c r="AG145" s="7">
        <v>400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11">
        <v>640</v>
      </c>
      <c r="BN145" s="13">
        <f t="shared" si="4"/>
        <v>640</v>
      </c>
      <c r="BO145" s="13">
        <f t="shared" si="5"/>
        <v>448</v>
      </c>
    </row>
    <row r="146" spans="1:67" ht="19.2" x14ac:dyDescent="0.4">
      <c r="A146" s="5" t="s">
        <v>29</v>
      </c>
      <c r="B146" s="5" t="s">
        <v>303</v>
      </c>
      <c r="C146" s="5">
        <v>414537</v>
      </c>
      <c r="D146" s="6"/>
      <c r="E146" s="5" t="s">
        <v>32</v>
      </c>
      <c r="F146" s="5" t="s">
        <v>140</v>
      </c>
      <c r="G146" s="5" t="s">
        <v>54</v>
      </c>
      <c r="H146" s="7" t="s">
        <v>43</v>
      </c>
      <c r="I146" s="7" t="s">
        <v>304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1</v>
      </c>
      <c r="AR146" s="7">
        <v>500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1">
        <v>500</v>
      </c>
      <c r="BN146" s="13">
        <f t="shared" si="4"/>
        <v>500</v>
      </c>
      <c r="BO146" s="13">
        <f t="shared" si="5"/>
        <v>350</v>
      </c>
    </row>
    <row r="147" spans="1:67" ht="19.2" x14ac:dyDescent="0.4">
      <c r="A147" s="5" t="s">
        <v>29</v>
      </c>
      <c r="B147" s="5" t="s">
        <v>177</v>
      </c>
      <c r="C147" s="5">
        <v>401407</v>
      </c>
      <c r="D147" s="6"/>
      <c r="E147" s="5" t="s">
        <v>32</v>
      </c>
      <c r="F147" s="5" t="s">
        <v>68</v>
      </c>
      <c r="G147" s="5" t="s">
        <v>54</v>
      </c>
      <c r="H147" s="7" t="s">
        <v>8</v>
      </c>
      <c r="I147" s="7" t="s">
        <v>178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4</v>
      </c>
      <c r="BJ147" s="7">
        <v>480</v>
      </c>
      <c r="BK147" s="7">
        <v>0</v>
      </c>
      <c r="BL147" s="7">
        <v>24</v>
      </c>
      <c r="BM147" s="11">
        <v>480</v>
      </c>
      <c r="BN147" s="13">
        <f t="shared" si="4"/>
        <v>456</v>
      </c>
      <c r="BO147" s="13">
        <f t="shared" si="5"/>
        <v>319.2</v>
      </c>
    </row>
    <row r="148" spans="1:67" ht="19.2" x14ac:dyDescent="0.4">
      <c r="A148" s="5" t="s">
        <v>29</v>
      </c>
      <c r="B148" s="5" t="s">
        <v>104</v>
      </c>
      <c r="C148" s="5">
        <v>460820</v>
      </c>
      <c r="D148" s="6"/>
      <c r="E148" s="5" t="s">
        <v>32</v>
      </c>
      <c r="F148" s="5" t="s">
        <v>105</v>
      </c>
      <c r="G148" s="5" t="s">
        <v>83</v>
      </c>
      <c r="H148" s="7" t="s">
        <v>8</v>
      </c>
      <c r="I148" s="7" t="s">
        <v>106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3</v>
      </c>
      <c r="AF148" s="7">
        <v>360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1">
        <v>360</v>
      </c>
      <c r="BN148" s="13">
        <f t="shared" si="4"/>
        <v>360</v>
      </c>
      <c r="BO148" s="13">
        <f t="shared" si="5"/>
        <v>251.99999999999997</v>
      </c>
    </row>
    <row r="149" spans="1:67" ht="19.2" x14ac:dyDescent="0.4">
      <c r="A149" s="5" t="s">
        <v>29</v>
      </c>
      <c r="B149" s="5" t="s">
        <v>175</v>
      </c>
      <c r="C149" s="5">
        <v>445954</v>
      </c>
      <c r="D149" s="6"/>
      <c r="E149" s="5" t="s">
        <v>32</v>
      </c>
      <c r="F149" s="5" t="s">
        <v>170</v>
      </c>
      <c r="G149" s="5" t="s">
        <v>83</v>
      </c>
      <c r="H149" s="7" t="s">
        <v>8</v>
      </c>
      <c r="I149" s="7" t="s">
        <v>176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1</v>
      </c>
      <c r="AF149" s="7">
        <v>120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11">
        <v>120</v>
      </c>
      <c r="BN149" s="13">
        <f t="shared" si="4"/>
        <v>120</v>
      </c>
      <c r="BO149" s="13">
        <f t="shared" si="5"/>
        <v>84</v>
      </c>
    </row>
    <row r="150" spans="1:67" ht="19.2" x14ac:dyDescent="0.4">
      <c r="A150" s="5" t="s">
        <v>29</v>
      </c>
      <c r="B150" s="5" t="s">
        <v>112</v>
      </c>
      <c r="C150" s="5">
        <v>443833</v>
      </c>
      <c r="D150" s="6"/>
      <c r="E150" s="5" t="s">
        <v>32</v>
      </c>
      <c r="F150" s="5" t="s">
        <v>113</v>
      </c>
      <c r="G150" s="5" t="s">
        <v>54</v>
      </c>
      <c r="H150" s="7" t="s">
        <v>8</v>
      </c>
      <c r="I150" s="7" t="s">
        <v>114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7">
        <v>120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1">
        <v>120</v>
      </c>
      <c r="BN150" s="13">
        <f t="shared" si="4"/>
        <v>120</v>
      </c>
      <c r="BO150" s="13">
        <f t="shared" si="5"/>
        <v>84</v>
      </c>
    </row>
    <row r="151" spans="1:67" ht="19.2" x14ac:dyDescent="0.4">
      <c r="A151" s="5" t="s">
        <v>29</v>
      </c>
      <c r="B151" s="5" t="s">
        <v>305</v>
      </c>
      <c r="C151" s="5">
        <v>443531</v>
      </c>
      <c r="D151" s="6"/>
      <c r="E151" s="5" t="s">
        <v>32</v>
      </c>
      <c r="F151" s="5" t="s">
        <v>140</v>
      </c>
      <c r="G151" s="5" t="s">
        <v>54</v>
      </c>
      <c r="H151" s="7" t="s">
        <v>8</v>
      </c>
      <c r="I151" s="7" t="s">
        <v>163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1</v>
      </c>
      <c r="AR151" s="7">
        <v>100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1">
        <v>100</v>
      </c>
      <c r="BN151" s="13">
        <f t="shared" si="4"/>
        <v>100</v>
      </c>
      <c r="BO151" s="13">
        <f t="shared" si="5"/>
        <v>70</v>
      </c>
    </row>
    <row r="152" spans="1:67" ht="19.2" x14ac:dyDescent="0.4">
      <c r="A152" s="5" t="s">
        <v>29</v>
      </c>
      <c r="B152" s="5" t="s">
        <v>94</v>
      </c>
      <c r="C152" s="5">
        <v>440710</v>
      </c>
      <c r="D152" s="6"/>
      <c r="E152" s="5" t="s">
        <v>32</v>
      </c>
      <c r="F152" s="5" t="s">
        <v>95</v>
      </c>
      <c r="G152" s="5" t="s">
        <v>96</v>
      </c>
      <c r="H152" s="7" t="s">
        <v>7</v>
      </c>
      <c r="I152" s="7" t="s">
        <v>97</v>
      </c>
      <c r="J152" s="7">
        <v>0</v>
      </c>
      <c r="K152" s="7">
        <v>28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11">
        <v>0</v>
      </c>
      <c r="BN152" s="13">
        <f t="shared" si="4"/>
        <v>0</v>
      </c>
      <c r="BO152" s="13">
        <f t="shared" si="5"/>
        <v>0</v>
      </c>
    </row>
    <row r="153" spans="1:67" ht="19.2" x14ac:dyDescent="0.4">
      <c r="A153" s="5" t="s">
        <v>29</v>
      </c>
      <c r="B153" s="5" t="s">
        <v>88</v>
      </c>
      <c r="C153" s="5">
        <v>369060</v>
      </c>
      <c r="D153" s="6"/>
      <c r="E153" s="5" t="s">
        <v>32</v>
      </c>
      <c r="F153" s="5" t="s">
        <v>76</v>
      </c>
      <c r="G153" s="5" t="s">
        <v>11</v>
      </c>
      <c r="H153" s="7" t="s">
        <v>7</v>
      </c>
      <c r="I153" s="7" t="s">
        <v>89</v>
      </c>
      <c r="J153" s="7">
        <v>0</v>
      </c>
      <c r="K153" s="7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1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1">
        <v>0</v>
      </c>
      <c r="BN153" s="13">
        <f t="shared" si="4"/>
        <v>0</v>
      </c>
      <c r="BO153" s="13">
        <f t="shared" si="5"/>
        <v>0</v>
      </c>
    </row>
    <row r="154" spans="1:67" x14ac:dyDescent="0.4">
      <c r="A154" s="5" t="s">
        <v>238</v>
      </c>
      <c r="B154" s="5" t="s">
        <v>52</v>
      </c>
      <c r="C154" s="5">
        <v>395341</v>
      </c>
      <c r="D154" s="6"/>
      <c r="E154" s="5" t="s">
        <v>32</v>
      </c>
      <c r="F154" s="5" t="s">
        <v>53</v>
      </c>
      <c r="G154" s="5" t="s">
        <v>54</v>
      </c>
      <c r="H154" s="7" t="s">
        <v>8</v>
      </c>
      <c r="I154" s="7" t="s">
        <v>55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41</v>
      </c>
      <c r="AF154" s="8">
        <v>4100</v>
      </c>
      <c r="AG154" s="7">
        <v>0</v>
      </c>
      <c r="AH154" s="7">
        <v>0</v>
      </c>
      <c r="AI154" s="7">
        <v>0</v>
      </c>
      <c r="AJ154" s="7">
        <v>0</v>
      </c>
      <c r="AK154" s="7">
        <v>135</v>
      </c>
      <c r="AL154" s="8">
        <v>14640</v>
      </c>
      <c r="AM154" s="8">
        <v>1300</v>
      </c>
      <c r="AN154" s="7">
        <v>0</v>
      </c>
      <c r="AO154" s="7">
        <v>0</v>
      </c>
      <c r="AP154" s="7">
        <v>0</v>
      </c>
      <c r="AQ154" s="7">
        <v>103</v>
      </c>
      <c r="AR154" s="8">
        <v>10100</v>
      </c>
      <c r="AS154" s="7">
        <v>200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9">
        <v>4392</v>
      </c>
      <c r="BM154" s="10">
        <v>30340</v>
      </c>
      <c r="BN154" s="13">
        <f t="shared" si="4"/>
        <v>25948</v>
      </c>
      <c r="BO154" s="13">
        <f t="shared" si="5"/>
        <v>18163.599999999999</v>
      </c>
    </row>
    <row r="155" spans="1:67" x14ac:dyDescent="0.4">
      <c r="A155" s="5" t="s">
        <v>238</v>
      </c>
      <c r="B155" s="5" t="s">
        <v>78</v>
      </c>
      <c r="C155" s="5">
        <v>361185</v>
      </c>
      <c r="D155" s="6"/>
      <c r="E155" s="5" t="s">
        <v>32</v>
      </c>
      <c r="F155" s="5" t="s">
        <v>79</v>
      </c>
      <c r="G155" s="5" t="s">
        <v>11</v>
      </c>
      <c r="H155" s="7" t="s">
        <v>7</v>
      </c>
      <c r="I155" s="7" t="s">
        <v>80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8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234</v>
      </c>
      <c r="AL155" s="8">
        <v>26880</v>
      </c>
      <c r="AM155" s="8">
        <v>1000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9">
        <v>8064</v>
      </c>
      <c r="BM155" s="10">
        <v>27880</v>
      </c>
      <c r="BN155" s="13">
        <f t="shared" si="4"/>
        <v>19816</v>
      </c>
      <c r="BO155" s="13">
        <f t="shared" si="5"/>
        <v>13871.199999999999</v>
      </c>
    </row>
    <row r="156" spans="1:67" x14ac:dyDescent="0.4">
      <c r="A156" s="5" t="s">
        <v>238</v>
      </c>
      <c r="B156" s="5" t="s">
        <v>36</v>
      </c>
      <c r="C156" s="5">
        <v>451051</v>
      </c>
      <c r="D156" s="6"/>
      <c r="E156" s="5" t="s">
        <v>32</v>
      </c>
      <c r="F156" s="5" t="s">
        <v>33</v>
      </c>
      <c r="G156" s="5" t="s">
        <v>34</v>
      </c>
      <c r="H156" s="7" t="s">
        <v>10</v>
      </c>
      <c r="I156" s="7" t="s">
        <v>28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38</v>
      </c>
      <c r="AL156" s="7">
        <v>0</v>
      </c>
      <c r="AM156" s="8">
        <v>3800</v>
      </c>
      <c r="AN156" s="7">
        <v>0</v>
      </c>
      <c r="AO156" s="7">
        <v>0</v>
      </c>
      <c r="AP156" s="7">
        <v>0</v>
      </c>
      <c r="AQ156" s="7">
        <v>181</v>
      </c>
      <c r="AR156" s="8">
        <v>17900</v>
      </c>
      <c r="AS156" s="7">
        <v>200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21900</v>
      </c>
      <c r="BN156" s="13">
        <f t="shared" si="4"/>
        <v>21900</v>
      </c>
      <c r="BO156" s="13">
        <f t="shared" si="5"/>
        <v>15329.999999999998</v>
      </c>
    </row>
    <row r="157" spans="1:67" x14ac:dyDescent="0.4">
      <c r="A157" s="5" t="s">
        <v>238</v>
      </c>
      <c r="B157" s="5" t="s">
        <v>37</v>
      </c>
      <c r="C157" s="5">
        <v>464786</v>
      </c>
      <c r="D157" s="6"/>
      <c r="E157" s="5" t="s">
        <v>32</v>
      </c>
      <c r="F157" s="5" t="s">
        <v>38</v>
      </c>
      <c r="G157" s="5" t="s">
        <v>39</v>
      </c>
      <c r="H157" s="7" t="s">
        <v>10</v>
      </c>
      <c r="I157" s="7" t="s">
        <v>40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2</v>
      </c>
      <c r="AF157" s="7">
        <v>0</v>
      </c>
      <c r="AG157" s="8">
        <v>3100</v>
      </c>
      <c r="AH157" s="7">
        <v>0</v>
      </c>
      <c r="AI157" s="7">
        <v>0</v>
      </c>
      <c r="AJ157" s="7">
        <v>0</v>
      </c>
      <c r="AK157" s="7">
        <v>6</v>
      </c>
      <c r="AL157" s="8">
        <v>9000</v>
      </c>
      <c r="AM157" s="8">
        <v>4600</v>
      </c>
      <c r="AN157" s="7">
        <v>0</v>
      </c>
      <c r="AO157" s="7">
        <v>0</v>
      </c>
      <c r="AP157" s="7">
        <v>0</v>
      </c>
      <c r="AQ157" s="7">
        <v>1</v>
      </c>
      <c r="AR157" s="8">
        <v>2300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9">
        <v>2700</v>
      </c>
      <c r="BM157" s="10">
        <v>19000</v>
      </c>
      <c r="BN157" s="13">
        <f t="shared" si="4"/>
        <v>16300</v>
      </c>
      <c r="BO157" s="13">
        <f t="shared" si="5"/>
        <v>11410</v>
      </c>
    </row>
    <row r="158" spans="1:67" x14ac:dyDescent="0.4">
      <c r="A158" s="5" t="s">
        <v>238</v>
      </c>
      <c r="B158" s="5" t="s">
        <v>45</v>
      </c>
      <c r="C158" s="5">
        <v>368432</v>
      </c>
      <c r="D158" s="6"/>
      <c r="E158" s="5" t="s">
        <v>32</v>
      </c>
      <c r="F158" s="5" t="s">
        <v>46</v>
      </c>
      <c r="G158" s="5" t="s">
        <v>47</v>
      </c>
      <c r="H158" s="7" t="s">
        <v>8</v>
      </c>
      <c r="I158" s="7" t="s">
        <v>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62</v>
      </c>
      <c r="AF158" s="8">
        <v>6200</v>
      </c>
      <c r="AG158" s="7">
        <v>0</v>
      </c>
      <c r="AH158" s="7">
        <v>0</v>
      </c>
      <c r="AI158" s="7">
        <v>0</v>
      </c>
      <c r="AJ158" s="7">
        <v>0</v>
      </c>
      <c r="AK158" s="7">
        <v>76</v>
      </c>
      <c r="AL158" s="8">
        <v>5880</v>
      </c>
      <c r="AM158" s="8">
        <v>2700</v>
      </c>
      <c r="AN158" s="7">
        <v>0</v>
      </c>
      <c r="AO158" s="7">
        <v>0</v>
      </c>
      <c r="AP158" s="7">
        <v>0</v>
      </c>
      <c r="AQ158" s="7">
        <v>40</v>
      </c>
      <c r="AR158" s="8">
        <v>3800</v>
      </c>
      <c r="AS158" s="7">
        <v>200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9">
        <v>1764</v>
      </c>
      <c r="BM158" s="10">
        <v>18780</v>
      </c>
      <c r="BN158" s="13">
        <f t="shared" si="4"/>
        <v>17016</v>
      </c>
      <c r="BO158" s="13">
        <f t="shared" si="5"/>
        <v>11911.199999999999</v>
      </c>
    </row>
    <row r="159" spans="1:67" x14ac:dyDescent="0.4">
      <c r="A159" s="5" t="s">
        <v>238</v>
      </c>
      <c r="B159" s="5" t="s">
        <v>59</v>
      </c>
      <c r="C159" s="5">
        <v>354950</v>
      </c>
      <c r="D159" s="6" t="s">
        <v>60</v>
      </c>
      <c r="E159" s="5" t="s">
        <v>32</v>
      </c>
      <c r="F159" s="5" t="s">
        <v>33</v>
      </c>
      <c r="G159" s="5" t="s">
        <v>11</v>
      </c>
      <c r="H159" s="7" t="s">
        <v>7</v>
      </c>
      <c r="I159" s="7" t="s">
        <v>61</v>
      </c>
      <c r="J159" s="7">
        <v>0</v>
      </c>
      <c r="K159" s="7">
        <v>10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64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173</v>
      </c>
      <c r="AF159" s="8">
        <v>17300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17300</v>
      </c>
      <c r="BN159" s="13">
        <f t="shared" si="4"/>
        <v>17300</v>
      </c>
      <c r="BO159" s="13">
        <f t="shared" si="5"/>
        <v>12110</v>
      </c>
    </row>
    <row r="160" spans="1:67" x14ac:dyDescent="0.4">
      <c r="A160" s="5" t="s">
        <v>238</v>
      </c>
      <c r="B160" s="5" t="s">
        <v>119</v>
      </c>
      <c r="C160" s="5">
        <v>455896</v>
      </c>
      <c r="D160" s="6"/>
      <c r="E160" s="5" t="s">
        <v>32</v>
      </c>
      <c r="F160" s="5" t="s">
        <v>33</v>
      </c>
      <c r="G160" s="5" t="s">
        <v>34</v>
      </c>
      <c r="H160" s="7" t="s">
        <v>7</v>
      </c>
      <c r="I160" s="7" t="s">
        <v>120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3</v>
      </c>
      <c r="AL160" s="7">
        <v>360</v>
      </c>
      <c r="AM160" s="7">
        <v>0</v>
      </c>
      <c r="AN160" s="7">
        <v>0</v>
      </c>
      <c r="AO160" s="7">
        <v>0</v>
      </c>
      <c r="AP160" s="7">
        <v>0</v>
      </c>
      <c r="AQ160" s="7">
        <v>161</v>
      </c>
      <c r="AR160" s="8">
        <v>16100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108</v>
      </c>
      <c r="BM160" s="10">
        <v>16460</v>
      </c>
      <c r="BN160" s="13">
        <f t="shared" si="4"/>
        <v>16352</v>
      </c>
      <c r="BO160" s="13">
        <f t="shared" si="5"/>
        <v>11446.4</v>
      </c>
    </row>
    <row r="161" spans="1:67" x14ac:dyDescent="0.4">
      <c r="A161" s="5" t="s">
        <v>238</v>
      </c>
      <c r="B161" s="5" t="s">
        <v>112</v>
      </c>
      <c r="C161" s="5">
        <v>443833</v>
      </c>
      <c r="D161" s="6"/>
      <c r="E161" s="5" t="s">
        <v>32</v>
      </c>
      <c r="F161" s="5" t="s">
        <v>113</v>
      </c>
      <c r="G161" s="5" t="s">
        <v>54</v>
      </c>
      <c r="H161" s="7" t="s">
        <v>8</v>
      </c>
      <c r="I161" s="7" t="s">
        <v>114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66</v>
      </c>
      <c r="AF161" s="8">
        <v>6600</v>
      </c>
      <c r="AG161" s="7">
        <v>0</v>
      </c>
      <c r="AH161" s="7">
        <v>0</v>
      </c>
      <c r="AI161" s="7">
        <v>0</v>
      </c>
      <c r="AJ161" s="7">
        <v>0</v>
      </c>
      <c r="AK161" s="7">
        <v>32</v>
      </c>
      <c r="AL161" s="8">
        <v>3600</v>
      </c>
      <c r="AM161" s="7">
        <v>200</v>
      </c>
      <c r="AN161" s="7">
        <v>0</v>
      </c>
      <c r="AO161" s="7">
        <v>0</v>
      </c>
      <c r="AP161" s="7">
        <v>0</v>
      </c>
      <c r="AQ161" s="7">
        <v>36</v>
      </c>
      <c r="AR161" s="8">
        <v>3600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9">
        <v>1080</v>
      </c>
      <c r="BM161" s="10">
        <v>14000</v>
      </c>
      <c r="BN161" s="13">
        <f t="shared" si="4"/>
        <v>12920</v>
      </c>
      <c r="BO161" s="13">
        <f t="shared" si="5"/>
        <v>9044</v>
      </c>
    </row>
    <row r="162" spans="1:67" x14ac:dyDescent="0.4">
      <c r="A162" s="5" t="s">
        <v>238</v>
      </c>
      <c r="B162" s="5" t="s">
        <v>243</v>
      </c>
      <c r="C162" s="5">
        <v>470433</v>
      </c>
      <c r="D162" s="6"/>
      <c r="E162" s="5" t="s">
        <v>32</v>
      </c>
      <c r="F162" s="5" t="s">
        <v>122</v>
      </c>
      <c r="G162" s="5" t="s">
        <v>39</v>
      </c>
      <c r="H162" s="7" t="s">
        <v>7</v>
      </c>
      <c r="I162" s="7" t="s">
        <v>244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2</v>
      </c>
      <c r="AF162" s="8">
        <v>4500</v>
      </c>
      <c r="AG162" s="7">
        <v>500</v>
      </c>
      <c r="AH162" s="7">
        <v>0</v>
      </c>
      <c r="AI162" s="7">
        <v>0</v>
      </c>
      <c r="AJ162" s="7">
        <v>0</v>
      </c>
      <c r="AK162" s="7">
        <v>3</v>
      </c>
      <c r="AL162" s="8">
        <v>6000</v>
      </c>
      <c r="AM162" s="8">
        <v>2500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9">
        <v>1800</v>
      </c>
      <c r="BM162" s="10">
        <v>13500</v>
      </c>
      <c r="BN162" s="13">
        <f t="shared" si="4"/>
        <v>11700</v>
      </c>
      <c r="BO162" s="13">
        <f t="shared" si="5"/>
        <v>8189.9999999999991</v>
      </c>
    </row>
    <row r="163" spans="1:67" x14ac:dyDescent="0.4">
      <c r="A163" s="5" t="s">
        <v>238</v>
      </c>
      <c r="B163" s="5" t="s">
        <v>90</v>
      </c>
      <c r="C163" s="5">
        <v>372422</v>
      </c>
      <c r="D163" s="6"/>
      <c r="E163" s="5" t="s">
        <v>32</v>
      </c>
      <c r="F163" s="5" t="s">
        <v>68</v>
      </c>
      <c r="G163" s="5" t="s">
        <v>69</v>
      </c>
      <c r="H163" s="7" t="s">
        <v>8</v>
      </c>
      <c r="I163" s="7" t="s">
        <v>91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99</v>
      </c>
      <c r="AL163" s="8">
        <v>11400</v>
      </c>
      <c r="AM163" s="7">
        <v>400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9">
        <v>3420</v>
      </c>
      <c r="BM163" s="10">
        <v>11800</v>
      </c>
      <c r="BN163" s="13">
        <f t="shared" si="4"/>
        <v>8380</v>
      </c>
      <c r="BO163" s="13">
        <f t="shared" si="5"/>
        <v>5866</v>
      </c>
    </row>
    <row r="164" spans="1:67" x14ac:dyDescent="0.4">
      <c r="A164" s="5" t="s">
        <v>238</v>
      </c>
      <c r="B164" s="5" t="s">
        <v>67</v>
      </c>
      <c r="C164" s="5">
        <v>372841</v>
      </c>
      <c r="D164" s="6"/>
      <c r="E164" s="5" t="s">
        <v>32</v>
      </c>
      <c r="F164" s="5" t="s">
        <v>68</v>
      </c>
      <c r="G164" s="5" t="s">
        <v>69</v>
      </c>
      <c r="H164" s="7" t="s">
        <v>8</v>
      </c>
      <c r="I164" s="7" t="s">
        <v>70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90</v>
      </c>
      <c r="AL164" s="8">
        <v>10800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9">
        <v>3240</v>
      </c>
      <c r="BM164" s="10">
        <v>10800</v>
      </c>
      <c r="BN164" s="13">
        <f t="shared" si="4"/>
        <v>7560</v>
      </c>
      <c r="BO164" s="13">
        <f t="shared" si="5"/>
        <v>5292</v>
      </c>
    </row>
    <row r="165" spans="1:67" x14ac:dyDescent="0.4">
      <c r="A165" s="5" t="s">
        <v>238</v>
      </c>
      <c r="B165" s="5" t="s">
        <v>306</v>
      </c>
      <c r="C165" s="5">
        <v>442669</v>
      </c>
      <c r="D165" s="6"/>
      <c r="E165" s="5" t="s">
        <v>32</v>
      </c>
      <c r="F165" s="5" t="s">
        <v>165</v>
      </c>
      <c r="G165" s="5" t="s">
        <v>54</v>
      </c>
      <c r="H165" s="7" t="s">
        <v>43</v>
      </c>
      <c r="I165" s="7" t="s">
        <v>307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2</v>
      </c>
      <c r="AL165" s="8">
        <v>8400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9">
        <v>2520</v>
      </c>
      <c r="BM165" s="10">
        <v>8400</v>
      </c>
      <c r="BN165" s="13">
        <f t="shared" si="4"/>
        <v>5880</v>
      </c>
      <c r="BO165" s="13">
        <f t="shared" si="5"/>
        <v>4116</v>
      </c>
    </row>
    <row r="166" spans="1:67" ht="19.2" x14ac:dyDescent="0.4">
      <c r="A166" s="5" t="s">
        <v>238</v>
      </c>
      <c r="B166" s="5" t="s">
        <v>85</v>
      </c>
      <c r="C166" s="5">
        <v>468582</v>
      </c>
      <c r="D166" s="6"/>
      <c r="E166" s="5" t="s">
        <v>32</v>
      </c>
      <c r="F166" s="5" t="s">
        <v>86</v>
      </c>
      <c r="G166" s="5" t="s">
        <v>39</v>
      </c>
      <c r="H166" s="7" t="s">
        <v>10</v>
      </c>
      <c r="I166" s="7" t="s">
        <v>87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8">
        <v>2300</v>
      </c>
      <c r="AH166" s="7">
        <v>0</v>
      </c>
      <c r="AI166" s="7">
        <v>0</v>
      </c>
      <c r="AJ166" s="7">
        <v>0</v>
      </c>
      <c r="AK166" s="7">
        <v>3</v>
      </c>
      <c r="AL166" s="8">
        <v>3000</v>
      </c>
      <c r="AM166" s="8">
        <v>2700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900</v>
      </c>
      <c r="BM166" s="10">
        <v>8000</v>
      </c>
      <c r="BN166" s="13">
        <f t="shared" si="4"/>
        <v>7100</v>
      </c>
      <c r="BO166" s="13">
        <f t="shared" si="5"/>
        <v>4970</v>
      </c>
    </row>
    <row r="167" spans="1:67" x14ac:dyDescent="0.4">
      <c r="A167" s="5" t="s">
        <v>238</v>
      </c>
      <c r="B167" s="5" t="s">
        <v>162</v>
      </c>
      <c r="C167" s="5">
        <v>443543</v>
      </c>
      <c r="D167" s="6"/>
      <c r="E167" s="5" t="s">
        <v>32</v>
      </c>
      <c r="F167" s="5" t="s">
        <v>68</v>
      </c>
      <c r="G167" s="5" t="s">
        <v>54</v>
      </c>
      <c r="H167" s="7" t="s">
        <v>8</v>
      </c>
      <c r="I167" s="7" t="s">
        <v>163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76</v>
      </c>
      <c r="AF167" s="8">
        <v>7600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10">
        <v>7600</v>
      </c>
      <c r="BN167" s="13">
        <f t="shared" si="4"/>
        <v>7600</v>
      </c>
      <c r="BO167" s="13">
        <f t="shared" si="5"/>
        <v>5320</v>
      </c>
    </row>
    <row r="168" spans="1:67" x14ac:dyDescent="0.4">
      <c r="A168" s="5" t="s">
        <v>238</v>
      </c>
      <c r="B168" s="5" t="s">
        <v>308</v>
      </c>
      <c r="C168" s="5">
        <v>465270</v>
      </c>
      <c r="D168" s="6"/>
      <c r="E168" s="5" t="s">
        <v>32</v>
      </c>
      <c r="F168" s="5" t="s">
        <v>82</v>
      </c>
      <c r="G168" s="5" t="s">
        <v>83</v>
      </c>
      <c r="H168" s="7" t="s">
        <v>8</v>
      </c>
      <c r="I168" s="7" t="s">
        <v>40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2</v>
      </c>
      <c r="AL168" s="8">
        <v>7200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9">
        <v>2160</v>
      </c>
      <c r="BM168" s="10">
        <v>7200</v>
      </c>
      <c r="BN168" s="13">
        <f t="shared" si="4"/>
        <v>5040</v>
      </c>
      <c r="BO168" s="13">
        <f t="shared" si="5"/>
        <v>3528</v>
      </c>
    </row>
    <row r="169" spans="1:67" x14ac:dyDescent="0.4">
      <c r="A169" s="5" t="s">
        <v>238</v>
      </c>
      <c r="B169" s="5" t="s">
        <v>172</v>
      </c>
      <c r="C169" s="5">
        <v>365225</v>
      </c>
      <c r="D169" s="6"/>
      <c r="E169" s="5" t="s">
        <v>32</v>
      </c>
      <c r="F169" s="5" t="s">
        <v>79</v>
      </c>
      <c r="G169" s="5" t="s">
        <v>11</v>
      </c>
      <c r="H169" s="7" t="s">
        <v>7</v>
      </c>
      <c r="I169" s="7" t="s">
        <v>173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6</v>
      </c>
      <c r="AI169" s="8">
        <v>6480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9">
        <v>1944</v>
      </c>
      <c r="BM169" s="10">
        <v>6480</v>
      </c>
      <c r="BN169" s="13">
        <f t="shared" si="4"/>
        <v>4536</v>
      </c>
      <c r="BO169" s="13">
        <f t="shared" si="5"/>
        <v>3175.2</v>
      </c>
    </row>
    <row r="170" spans="1:67" x14ac:dyDescent="0.4">
      <c r="A170" s="5" t="s">
        <v>238</v>
      </c>
      <c r="B170" s="5" t="s">
        <v>107</v>
      </c>
      <c r="C170" s="5">
        <v>457533</v>
      </c>
      <c r="D170" s="6"/>
      <c r="E170" s="5" t="s">
        <v>32</v>
      </c>
      <c r="F170" s="5" t="s">
        <v>108</v>
      </c>
      <c r="G170" s="5" t="s">
        <v>39</v>
      </c>
      <c r="H170" s="7" t="s">
        <v>43</v>
      </c>
      <c r="I170" s="7" t="s">
        <v>109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</v>
      </c>
      <c r="AF170" s="8">
        <v>2500</v>
      </c>
      <c r="AG170" s="7">
        <v>0</v>
      </c>
      <c r="AH170" s="7">
        <v>0</v>
      </c>
      <c r="AI170" s="7">
        <v>0</v>
      </c>
      <c r="AJ170" s="7">
        <v>0</v>
      </c>
      <c r="AK170" s="7">
        <v>1</v>
      </c>
      <c r="AL170" s="8">
        <v>3000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900</v>
      </c>
      <c r="BM170" s="10">
        <v>5500</v>
      </c>
      <c r="BN170" s="13">
        <f t="shared" si="4"/>
        <v>4600</v>
      </c>
      <c r="BO170" s="13">
        <f t="shared" si="5"/>
        <v>3220</v>
      </c>
    </row>
    <row r="171" spans="1:67" x14ac:dyDescent="0.4">
      <c r="A171" s="5" t="s">
        <v>238</v>
      </c>
      <c r="B171" s="5" t="s">
        <v>262</v>
      </c>
      <c r="C171" s="5">
        <v>472518</v>
      </c>
      <c r="D171" s="6"/>
      <c r="E171" s="5" t="s">
        <v>32</v>
      </c>
      <c r="F171" s="5" t="s">
        <v>263</v>
      </c>
      <c r="G171" s="5" t="s">
        <v>39</v>
      </c>
      <c r="H171" s="7" t="s">
        <v>43</v>
      </c>
      <c r="I171" s="7" t="s">
        <v>264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2</v>
      </c>
      <c r="AL171" s="7">
        <v>0</v>
      </c>
      <c r="AM171" s="8">
        <v>5000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5000</v>
      </c>
      <c r="BN171" s="13">
        <f t="shared" si="4"/>
        <v>5000</v>
      </c>
      <c r="BO171" s="13">
        <f t="shared" si="5"/>
        <v>3500</v>
      </c>
    </row>
    <row r="172" spans="1:67" x14ac:dyDescent="0.4">
      <c r="A172" s="5" t="s">
        <v>238</v>
      </c>
      <c r="B172" s="5" t="s">
        <v>81</v>
      </c>
      <c r="C172" s="5">
        <v>456187</v>
      </c>
      <c r="D172" s="6"/>
      <c r="E172" s="5" t="s">
        <v>32</v>
      </c>
      <c r="F172" s="5" t="s">
        <v>82</v>
      </c>
      <c r="G172" s="5" t="s">
        <v>83</v>
      </c>
      <c r="H172" s="7" t="s">
        <v>8</v>
      </c>
      <c r="I172" s="7" t="s">
        <v>84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1</v>
      </c>
      <c r="AF172" s="7">
        <v>100</v>
      </c>
      <c r="AG172" s="7">
        <v>0</v>
      </c>
      <c r="AH172" s="7">
        <v>0</v>
      </c>
      <c r="AI172" s="7">
        <v>0</v>
      </c>
      <c r="AJ172" s="7">
        <v>0</v>
      </c>
      <c r="AK172" s="7">
        <v>31</v>
      </c>
      <c r="AL172" s="8">
        <v>3720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9">
        <v>1116</v>
      </c>
      <c r="BM172" s="10">
        <v>3820</v>
      </c>
      <c r="BN172" s="13">
        <f t="shared" si="4"/>
        <v>2704</v>
      </c>
      <c r="BO172" s="13">
        <f t="shared" si="5"/>
        <v>1892.8</v>
      </c>
    </row>
    <row r="173" spans="1:67" x14ac:dyDescent="0.4">
      <c r="A173" s="5" t="s">
        <v>238</v>
      </c>
      <c r="B173" s="5" t="s">
        <v>157</v>
      </c>
      <c r="C173" s="5">
        <v>354768</v>
      </c>
      <c r="D173" s="6"/>
      <c r="E173" s="5" t="s">
        <v>32</v>
      </c>
      <c r="F173" s="5" t="s">
        <v>46</v>
      </c>
      <c r="G173" s="5" t="s">
        <v>47</v>
      </c>
      <c r="H173" s="7" t="s">
        <v>8</v>
      </c>
      <c r="I173" s="7" t="s">
        <v>158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5</v>
      </c>
      <c r="AL173" s="7">
        <v>0</v>
      </c>
      <c r="AM173" s="7">
        <v>500</v>
      </c>
      <c r="AN173" s="7">
        <v>0</v>
      </c>
      <c r="AO173" s="7">
        <v>0</v>
      </c>
      <c r="AP173" s="7">
        <v>0</v>
      </c>
      <c r="AQ173" s="7">
        <v>33</v>
      </c>
      <c r="AR173" s="8">
        <v>3300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10">
        <v>3800</v>
      </c>
      <c r="BN173" s="13">
        <f t="shared" si="4"/>
        <v>3800</v>
      </c>
      <c r="BO173" s="13">
        <f t="shared" si="5"/>
        <v>2660</v>
      </c>
    </row>
    <row r="174" spans="1:67" x14ac:dyDescent="0.4">
      <c r="A174" s="5" t="s">
        <v>238</v>
      </c>
      <c r="B174" s="5" t="s">
        <v>56</v>
      </c>
      <c r="C174" s="5">
        <v>465773</v>
      </c>
      <c r="D174" s="6"/>
      <c r="E174" s="5" t="s">
        <v>32</v>
      </c>
      <c r="F174" s="5" t="s">
        <v>57</v>
      </c>
      <c r="G174" s="5" t="s">
        <v>39</v>
      </c>
      <c r="H174" s="7" t="s">
        <v>43</v>
      </c>
      <c r="I174" s="7" t="s">
        <v>58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1</v>
      </c>
      <c r="AL174" s="7">
        <v>0</v>
      </c>
      <c r="AM174" s="8">
        <v>3500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10">
        <v>3500</v>
      </c>
      <c r="BN174" s="13">
        <f t="shared" si="4"/>
        <v>3500</v>
      </c>
      <c r="BO174" s="13">
        <f t="shared" si="5"/>
        <v>2450</v>
      </c>
    </row>
    <row r="175" spans="1:67" ht="19.2" x14ac:dyDescent="0.4">
      <c r="A175" s="5" t="s">
        <v>238</v>
      </c>
      <c r="B175" s="5" t="s">
        <v>216</v>
      </c>
      <c r="C175" s="5">
        <v>460821</v>
      </c>
      <c r="D175" s="6"/>
      <c r="E175" s="5" t="s">
        <v>32</v>
      </c>
      <c r="F175" s="5" t="s">
        <v>105</v>
      </c>
      <c r="G175" s="5" t="s">
        <v>83</v>
      </c>
      <c r="H175" s="7" t="s">
        <v>8</v>
      </c>
      <c r="I175" s="7" t="s">
        <v>106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1</v>
      </c>
      <c r="AL175" s="7">
        <v>0</v>
      </c>
      <c r="AM175" s="8">
        <v>3400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0">
        <v>3400</v>
      </c>
      <c r="BN175" s="13">
        <f t="shared" si="4"/>
        <v>3400</v>
      </c>
      <c r="BO175" s="13">
        <f t="shared" si="5"/>
        <v>2380</v>
      </c>
    </row>
    <row r="176" spans="1:67" x14ac:dyDescent="0.4">
      <c r="A176" s="5" t="s">
        <v>238</v>
      </c>
      <c r="B176" s="5" t="s">
        <v>228</v>
      </c>
      <c r="C176" s="5">
        <v>443989</v>
      </c>
      <c r="D176" s="6"/>
      <c r="E176" s="5" t="s">
        <v>32</v>
      </c>
      <c r="F176" s="5" t="s">
        <v>229</v>
      </c>
      <c r="G176" s="5" t="s">
        <v>54</v>
      </c>
      <c r="H176" s="7" t="s">
        <v>8</v>
      </c>
      <c r="I176" s="7" t="s">
        <v>180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34</v>
      </c>
      <c r="AR176" s="8">
        <v>3400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0">
        <v>3400</v>
      </c>
      <c r="BN176" s="13">
        <f t="shared" si="4"/>
        <v>3400</v>
      </c>
      <c r="BO176" s="13">
        <f t="shared" si="5"/>
        <v>2380</v>
      </c>
    </row>
    <row r="177" spans="1:67" x14ac:dyDescent="0.4">
      <c r="A177" s="5" t="s">
        <v>238</v>
      </c>
      <c r="B177" s="5" t="s">
        <v>132</v>
      </c>
      <c r="C177" s="5">
        <v>387161</v>
      </c>
      <c r="D177" s="6"/>
      <c r="E177" s="5" t="s">
        <v>32</v>
      </c>
      <c r="F177" s="5" t="s">
        <v>133</v>
      </c>
      <c r="G177" s="5" t="s">
        <v>83</v>
      </c>
      <c r="H177" s="7" t="s">
        <v>43</v>
      </c>
      <c r="I177" s="7" t="s">
        <v>134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1</v>
      </c>
      <c r="AL177" s="7">
        <v>0</v>
      </c>
      <c r="AM177" s="8">
        <v>3200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0">
        <v>3200</v>
      </c>
      <c r="BN177" s="13">
        <f t="shared" si="4"/>
        <v>3200</v>
      </c>
      <c r="BO177" s="13">
        <f t="shared" si="5"/>
        <v>2240</v>
      </c>
    </row>
    <row r="178" spans="1:67" x14ac:dyDescent="0.4">
      <c r="A178" s="5" t="s">
        <v>238</v>
      </c>
      <c r="B178" s="5" t="s">
        <v>235</v>
      </c>
      <c r="C178" s="5">
        <v>443521</v>
      </c>
      <c r="D178" s="6"/>
      <c r="E178" s="5" t="s">
        <v>32</v>
      </c>
      <c r="F178" s="5" t="s">
        <v>140</v>
      </c>
      <c r="G178" s="5" t="s">
        <v>54</v>
      </c>
      <c r="H178" s="7" t="s">
        <v>8</v>
      </c>
      <c r="I178" s="7" t="s">
        <v>163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30</v>
      </c>
      <c r="AL178" s="7">
        <v>600</v>
      </c>
      <c r="AM178" s="8">
        <v>2500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180</v>
      </c>
      <c r="BM178" s="10">
        <v>3100</v>
      </c>
      <c r="BN178" s="13">
        <f t="shared" si="4"/>
        <v>2920</v>
      </c>
      <c r="BO178" s="13">
        <f t="shared" si="5"/>
        <v>2043.9999999999998</v>
      </c>
    </row>
    <row r="179" spans="1:67" x14ac:dyDescent="0.4">
      <c r="A179" s="5" t="s">
        <v>238</v>
      </c>
      <c r="B179" s="5" t="s">
        <v>191</v>
      </c>
      <c r="C179" s="5">
        <v>457676</v>
      </c>
      <c r="D179" s="6"/>
      <c r="E179" s="5" t="s">
        <v>32</v>
      </c>
      <c r="F179" s="5" t="s">
        <v>192</v>
      </c>
      <c r="G179" s="5" t="s">
        <v>39</v>
      </c>
      <c r="H179" s="7" t="s">
        <v>7</v>
      </c>
      <c r="I179" s="7" t="s">
        <v>193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1</v>
      </c>
      <c r="AF179" s="8">
        <v>2500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10">
        <v>2500</v>
      </c>
      <c r="BN179" s="13">
        <f t="shared" si="4"/>
        <v>2500</v>
      </c>
      <c r="BO179" s="13">
        <f t="shared" si="5"/>
        <v>1750</v>
      </c>
    </row>
    <row r="180" spans="1:67" x14ac:dyDescent="0.4">
      <c r="A180" s="5" t="s">
        <v>238</v>
      </c>
      <c r="B180" s="5" t="s">
        <v>259</v>
      </c>
      <c r="C180" s="5">
        <v>472517</v>
      </c>
      <c r="D180" s="6"/>
      <c r="E180" s="5" t="s">
        <v>32</v>
      </c>
      <c r="F180" s="5" t="s">
        <v>260</v>
      </c>
      <c r="G180" s="5" t="s">
        <v>39</v>
      </c>
      <c r="H180" s="7" t="s">
        <v>43</v>
      </c>
      <c r="I180" s="7" t="s">
        <v>261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8">
        <v>2500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10">
        <v>2500</v>
      </c>
      <c r="BN180" s="13">
        <f t="shared" si="4"/>
        <v>2500</v>
      </c>
      <c r="BO180" s="13">
        <f t="shared" si="5"/>
        <v>1750</v>
      </c>
    </row>
    <row r="181" spans="1:67" x14ac:dyDescent="0.4">
      <c r="A181" s="5" t="s">
        <v>238</v>
      </c>
      <c r="B181" s="5" t="s">
        <v>169</v>
      </c>
      <c r="C181" s="5">
        <v>448030</v>
      </c>
      <c r="D181" s="6"/>
      <c r="E181" s="5" t="s">
        <v>32</v>
      </c>
      <c r="F181" s="5" t="s">
        <v>170</v>
      </c>
      <c r="G181" s="5" t="s">
        <v>83</v>
      </c>
      <c r="H181" s="7" t="s">
        <v>8</v>
      </c>
      <c r="I181" s="7" t="s">
        <v>171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24</v>
      </c>
      <c r="AF181" s="8">
        <v>2400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10">
        <v>2400</v>
      </c>
      <c r="BN181" s="13">
        <f t="shared" si="4"/>
        <v>2400</v>
      </c>
      <c r="BO181" s="13">
        <f t="shared" si="5"/>
        <v>1680</v>
      </c>
    </row>
    <row r="182" spans="1:67" x14ac:dyDescent="0.4">
      <c r="A182" s="5" t="s">
        <v>238</v>
      </c>
      <c r="B182" s="5" t="s">
        <v>300</v>
      </c>
      <c r="C182" s="5">
        <v>461355</v>
      </c>
      <c r="D182" s="6"/>
      <c r="E182" s="5" t="s">
        <v>32</v>
      </c>
      <c r="F182" s="5" t="s">
        <v>301</v>
      </c>
      <c r="G182" s="5" t="s">
        <v>39</v>
      </c>
      <c r="H182" s="7" t="s">
        <v>7</v>
      </c>
      <c r="I182" s="7" t="s">
        <v>302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1</v>
      </c>
      <c r="AF182" s="7">
        <v>0</v>
      </c>
      <c r="AG182" s="8">
        <v>2000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10">
        <v>2000</v>
      </c>
      <c r="BN182" s="13">
        <f t="shared" si="4"/>
        <v>2000</v>
      </c>
      <c r="BO182" s="13">
        <f t="shared" si="5"/>
        <v>1400</v>
      </c>
    </row>
    <row r="183" spans="1:67" x14ac:dyDescent="0.4">
      <c r="A183" s="5" t="s">
        <v>238</v>
      </c>
      <c r="B183" s="5" t="s">
        <v>253</v>
      </c>
      <c r="C183" s="5">
        <v>470383</v>
      </c>
      <c r="D183" s="6"/>
      <c r="E183" s="5" t="s">
        <v>32</v>
      </c>
      <c r="F183" s="5" t="s">
        <v>254</v>
      </c>
      <c r="G183" s="5" t="s">
        <v>39</v>
      </c>
      <c r="H183" s="7" t="s">
        <v>43</v>
      </c>
      <c r="I183" s="7" t="s">
        <v>255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1</v>
      </c>
      <c r="AF183" s="8">
        <v>2000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10">
        <v>2000</v>
      </c>
      <c r="BN183" s="13">
        <f t="shared" si="4"/>
        <v>2000</v>
      </c>
      <c r="BO183" s="13">
        <f t="shared" si="5"/>
        <v>1400</v>
      </c>
    </row>
    <row r="184" spans="1:67" x14ac:dyDescent="0.4">
      <c r="A184" s="5" t="s">
        <v>238</v>
      </c>
      <c r="B184" s="5" t="s">
        <v>98</v>
      </c>
      <c r="C184" s="5">
        <v>461347</v>
      </c>
      <c r="D184" s="6"/>
      <c r="E184" s="5" t="s">
        <v>32</v>
      </c>
      <c r="F184" s="5" t="s">
        <v>72</v>
      </c>
      <c r="G184" s="5" t="s">
        <v>39</v>
      </c>
      <c r="H184" s="7" t="s">
        <v>43</v>
      </c>
      <c r="I184" s="7" t="s">
        <v>99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1</v>
      </c>
      <c r="AL184" s="7">
        <v>0</v>
      </c>
      <c r="AM184" s="8">
        <v>2000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10">
        <v>2000</v>
      </c>
      <c r="BN184" s="13">
        <f t="shared" si="4"/>
        <v>2000</v>
      </c>
      <c r="BO184" s="13">
        <f t="shared" si="5"/>
        <v>1400</v>
      </c>
    </row>
    <row r="185" spans="1:67" x14ac:dyDescent="0.4">
      <c r="A185" s="5" t="s">
        <v>238</v>
      </c>
      <c r="B185" s="5" t="s">
        <v>71</v>
      </c>
      <c r="C185" s="5">
        <v>467559</v>
      </c>
      <c r="D185" s="6"/>
      <c r="E185" s="5" t="s">
        <v>32</v>
      </c>
      <c r="F185" s="5" t="s">
        <v>72</v>
      </c>
      <c r="G185" s="5" t="s">
        <v>39</v>
      </c>
      <c r="H185" s="7" t="s">
        <v>7</v>
      </c>
      <c r="I185" s="7" t="s">
        <v>73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1</v>
      </c>
      <c r="AF185" s="8">
        <v>2000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10">
        <v>2000</v>
      </c>
      <c r="BN185" s="13">
        <f t="shared" si="4"/>
        <v>2000</v>
      </c>
      <c r="BO185" s="13">
        <f t="shared" si="5"/>
        <v>1400</v>
      </c>
    </row>
    <row r="186" spans="1:67" x14ac:dyDescent="0.4">
      <c r="A186" s="5" t="s">
        <v>238</v>
      </c>
      <c r="B186" s="5" t="s">
        <v>185</v>
      </c>
      <c r="C186" s="5">
        <v>459224</v>
      </c>
      <c r="D186" s="6"/>
      <c r="E186" s="5" t="s">
        <v>32</v>
      </c>
      <c r="F186" s="5" t="s">
        <v>186</v>
      </c>
      <c r="G186" s="5" t="s">
        <v>39</v>
      </c>
      <c r="H186" s="7" t="s">
        <v>7</v>
      </c>
      <c r="I186" s="7" t="s">
        <v>187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1</v>
      </c>
      <c r="AR186" s="8">
        <v>2000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10">
        <v>2000</v>
      </c>
      <c r="BN186" s="13">
        <f t="shared" si="4"/>
        <v>2000</v>
      </c>
      <c r="BO186" s="13">
        <f t="shared" si="5"/>
        <v>1400</v>
      </c>
    </row>
    <row r="187" spans="1:67" x14ac:dyDescent="0.4">
      <c r="A187" s="5" t="s">
        <v>238</v>
      </c>
      <c r="B187" s="5" t="s">
        <v>142</v>
      </c>
      <c r="C187" s="5">
        <v>465771</v>
      </c>
      <c r="D187" s="6"/>
      <c r="E187" s="5" t="s">
        <v>32</v>
      </c>
      <c r="F187" s="5" t="s">
        <v>143</v>
      </c>
      <c r="G187" s="5" t="s">
        <v>39</v>
      </c>
      <c r="H187" s="7" t="s">
        <v>10</v>
      </c>
      <c r="I187" s="7" t="s">
        <v>144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1</v>
      </c>
      <c r="AF187" s="8">
        <v>2000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10">
        <v>2000</v>
      </c>
      <c r="BN187" s="13">
        <f t="shared" si="4"/>
        <v>2000</v>
      </c>
      <c r="BO187" s="13">
        <f t="shared" si="5"/>
        <v>1400</v>
      </c>
    </row>
    <row r="188" spans="1:67" x14ac:dyDescent="0.4">
      <c r="A188" s="5" t="s">
        <v>238</v>
      </c>
      <c r="B188" s="5" t="s">
        <v>268</v>
      </c>
      <c r="C188" s="5">
        <v>472516</v>
      </c>
      <c r="D188" s="6"/>
      <c r="E188" s="5" t="s">
        <v>32</v>
      </c>
      <c r="F188" s="5" t="s">
        <v>269</v>
      </c>
      <c r="G188" s="5" t="s">
        <v>39</v>
      </c>
      <c r="H188" s="7" t="s">
        <v>43</v>
      </c>
      <c r="I188" s="7" t="s">
        <v>270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7">
        <v>900</v>
      </c>
      <c r="AG188" s="7">
        <v>0</v>
      </c>
      <c r="AH188" s="7">
        <v>0</v>
      </c>
      <c r="AI188" s="7">
        <v>0</v>
      </c>
      <c r="AJ188" s="7">
        <v>0</v>
      </c>
      <c r="AK188" s="7">
        <v>1</v>
      </c>
      <c r="AL188" s="7">
        <v>0</v>
      </c>
      <c r="AM188" s="8">
        <v>1100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10">
        <v>2000</v>
      </c>
      <c r="BN188" s="13">
        <f t="shared" si="4"/>
        <v>2000</v>
      </c>
      <c r="BO188" s="13">
        <f t="shared" si="5"/>
        <v>1400</v>
      </c>
    </row>
    <row r="189" spans="1:67" x14ac:dyDescent="0.4">
      <c r="A189" s="5" t="s">
        <v>238</v>
      </c>
      <c r="B189" s="5" t="s">
        <v>225</v>
      </c>
      <c r="C189" s="5">
        <v>408838</v>
      </c>
      <c r="D189" s="6"/>
      <c r="E189" s="5" t="s">
        <v>32</v>
      </c>
      <c r="F189" s="5" t="s">
        <v>79</v>
      </c>
      <c r="G189" s="5" t="s">
        <v>11</v>
      </c>
      <c r="H189" s="7" t="s">
        <v>7</v>
      </c>
      <c r="I189" s="7" t="s">
        <v>101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14</v>
      </c>
      <c r="AL189" s="8">
        <v>1680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504</v>
      </c>
      <c r="BM189" s="10">
        <v>1680</v>
      </c>
      <c r="BN189" s="13">
        <f t="shared" si="4"/>
        <v>1176</v>
      </c>
      <c r="BO189" s="13">
        <f t="shared" si="5"/>
        <v>823.19999999999993</v>
      </c>
    </row>
    <row r="190" spans="1:67" x14ac:dyDescent="0.4">
      <c r="A190" s="5" t="s">
        <v>238</v>
      </c>
      <c r="B190" s="5" t="s">
        <v>208</v>
      </c>
      <c r="C190" s="5">
        <v>443839</v>
      </c>
      <c r="D190" s="6"/>
      <c r="E190" s="5" t="s">
        <v>32</v>
      </c>
      <c r="F190" s="5" t="s">
        <v>82</v>
      </c>
      <c r="G190" s="5" t="s">
        <v>83</v>
      </c>
      <c r="H190" s="7" t="s">
        <v>8</v>
      </c>
      <c r="I190" s="7" t="s">
        <v>114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12</v>
      </c>
      <c r="AL190" s="8">
        <v>1440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432</v>
      </c>
      <c r="BM190" s="10">
        <v>1440</v>
      </c>
      <c r="BN190" s="13">
        <f t="shared" si="4"/>
        <v>1008</v>
      </c>
      <c r="BO190" s="13">
        <f t="shared" si="5"/>
        <v>705.59999999999991</v>
      </c>
    </row>
    <row r="191" spans="1:67" ht="19.2" x14ac:dyDescent="0.4">
      <c r="A191" s="5" t="s">
        <v>238</v>
      </c>
      <c r="B191" s="5" t="s">
        <v>250</v>
      </c>
      <c r="C191" s="5">
        <v>469971</v>
      </c>
      <c r="D191" s="6"/>
      <c r="E191" s="5" t="s">
        <v>32</v>
      </c>
      <c r="F191" s="5" t="s">
        <v>251</v>
      </c>
      <c r="G191" s="5" t="s">
        <v>96</v>
      </c>
      <c r="H191" s="7" t="s">
        <v>7</v>
      </c>
      <c r="I191" s="7" t="s">
        <v>252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8</v>
      </c>
      <c r="AF191" s="7">
        <v>0</v>
      </c>
      <c r="AG191" s="7">
        <v>800</v>
      </c>
      <c r="AH191" s="7">
        <v>0</v>
      </c>
      <c r="AI191" s="7">
        <v>0</v>
      </c>
      <c r="AJ191" s="7">
        <v>0</v>
      </c>
      <c r="AK191" s="7">
        <v>5</v>
      </c>
      <c r="AL191" s="7">
        <v>0</v>
      </c>
      <c r="AM191" s="7">
        <v>500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10">
        <v>1300</v>
      </c>
      <c r="BN191" s="13">
        <f t="shared" si="4"/>
        <v>1300</v>
      </c>
      <c r="BO191" s="13">
        <f t="shared" si="5"/>
        <v>909.99999999999989</v>
      </c>
    </row>
    <row r="192" spans="1:67" x14ac:dyDescent="0.4">
      <c r="A192" s="5" t="s">
        <v>238</v>
      </c>
      <c r="B192" s="5" t="s">
        <v>220</v>
      </c>
      <c r="C192" s="5">
        <v>356315</v>
      </c>
      <c r="D192" s="6"/>
      <c r="E192" s="5" t="s">
        <v>32</v>
      </c>
      <c r="F192" s="5" t="s">
        <v>46</v>
      </c>
      <c r="G192" s="5" t="s">
        <v>47</v>
      </c>
      <c r="H192" s="7" t="s">
        <v>8</v>
      </c>
      <c r="I192" s="7" t="s">
        <v>221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10</v>
      </c>
      <c r="AF192" s="8">
        <v>1000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10">
        <v>1000</v>
      </c>
      <c r="BN192" s="13">
        <f t="shared" si="4"/>
        <v>1000</v>
      </c>
      <c r="BO192" s="13">
        <f t="shared" si="5"/>
        <v>700</v>
      </c>
    </row>
    <row r="193" spans="1:67" x14ac:dyDescent="0.4">
      <c r="A193" s="5" t="s">
        <v>238</v>
      </c>
      <c r="B193" s="5" t="s">
        <v>226</v>
      </c>
      <c r="C193" s="5">
        <v>408836</v>
      </c>
      <c r="D193" s="6"/>
      <c r="E193" s="5" t="s">
        <v>32</v>
      </c>
      <c r="F193" s="5" t="s">
        <v>79</v>
      </c>
      <c r="G193" s="5" t="s">
        <v>11</v>
      </c>
      <c r="H193" s="7" t="s">
        <v>7</v>
      </c>
      <c r="I193" s="7" t="s">
        <v>227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1</v>
      </c>
      <c r="AI193" s="7">
        <v>840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252</v>
      </c>
      <c r="BM193" s="11">
        <v>840</v>
      </c>
      <c r="BN193" s="13">
        <f t="shared" si="4"/>
        <v>588</v>
      </c>
      <c r="BO193" s="13">
        <f t="shared" si="5"/>
        <v>411.59999999999997</v>
      </c>
    </row>
    <row r="194" spans="1:67" x14ac:dyDescent="0.4">
      <c r="A194" s="5" t="s">
        <v>238</v>
      </c>
      <c r="B194" s="5" t="s">
        <v>194</v>
      </c>
      <c r="C194" s="5">
        <v>367415</v>
      </c>
      <c r="D194" s="6"/>
      <c r="E194" s="5" t="s">
        <v>32</v>
      </c>
      <c r="F194" s="5" t="s">
        <v>76</v>
      </c>
      <c r="G194" s="5" t="s">
        <v>11</v>
      </c>
      <c r="H194" s="7" t="s">
        <v>7</v>
      </c>
      <c r="I194" s="7" t="s">
        <v>195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2</v>
      </c>
      <c r="AL194" s="7">
        <v>240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72</v>
      </c>
      <c r="BM194" s="11">
        <v>240</v>
      </c>
      <c r="BN194" s="13">
        <f t="shared" si="4"/>
        <v>168</v>
      </c>
      <c r="BO194" s="13">
        <f t="shared" si="5"/>
        <v>117.6</v>
      </c>
    </row>
    <row r="195" spans="1:67" x14ac:dyDescent="0.4">
      <c r="A195" s="5" t="s">
        <v>238</v>
      </c>
      <c r="B195" s="5" t="s">
        <v>94</v>
      </c>
      <c r="C195" s="5">
        <v>440710</v>
      </c>
      <c r="D195" s="6"/>
      <c r="E195" s="5" t="s">
        <v>32</v>
      </c>
      <c r="F195" s="5" t="s">
        <v>95</v>
      </c>
      <c r="G195" s="5" t="s">
        <v>96</v>
      </c>
      <c r="H195" s="7" t="s">
        <v>7</v>
      </c>
      <c r="I195" s="7" t="s">
        <v>97</v>
      </c>
      <c r="J195" s="7">
        <v>1</v>
      </c>
      <c r="K195" s="7">
        <v>16</v>
      </c>
      <c r="L195" s="7">
        <v>100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1</v>
      </c>
      <c r="AL195" s="7">
        <v>0</v>
      </c>
      <c r="AM195" s="7">
        <v>100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11">
        <v>200</v>
      </c>
      <c r="BN195" s="13">
        <f t="shared" ref="BN195:BN197" si="6">BM195-BL195</f>
        <v>200</v>
      </c>
      <c r="BO195" s="13">
        <f t="shared" ref="BO195:BO197" si="7">BN195*0.7</f>
        <v>140</v>
      </c>
    </row>
    <row r="196" spans="1:67" x14ac:dyDescent="0.4">
      <c r="A196" s="5" t="s">
        <v>238</v>
      </c>
      <c r="B196" s="5" t="s">
        <v>149</v>
      </c>
      <c r="C196" s="5">
        <v>442342</v>
      </c>
      <c r="D196" s="6"/>
      <c r="E196" s="5" t="s">
        <v>32</v>
      </c>
      <c r="F196" s="5" t="s">
        <v>150</v>
      </c>
      <c r="G196" s="5" t="s">
        <v>96</v>
      </c>
      <c r="H196" s="7" t="s">
        <v>7</v>
      </c>
      <c r="I196" s="7" t="s">
        <v>151</v>
      </c>
      <c r="J196" s="7">
        <v>1</v>
      </c>
      <c r="K196" s="7">
        <v>0</v>
      </c>
      <c r="L196" s="7">
        <v>100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11">
        <v>100</v>
      </c>
      <c r="BN196" s="13">
        <f t="shared" si="6"/>
        <v>100</v>
      </c>
      <c r="BO196" s="13">
        <f t="shared" si="7"/>
        <v>70</v>
      </c>
    </row>
    <row r="197" spans="1:67" x14ac:dyDescent="0.4">
      <c r="A197" s="5" t="s">
        <v>238</v>
      </c>
      <c r="B197" s="5" t="s">
        <v>104</v>
      </c>
      <c r="C197" s="5">
        <v>460820</v>
      </c>
      <c r="D197" s="6"/>
      <c r="E197" s="5" t="s">
        <v>32</v>
      </c>
      <c r="F197" s="5" t="s">
        <v>105</v>
      </c>
      <c r="G197" s="5" t="s">
        <v>83</v>
      </c>
      <c r="H197" s="7" t="s">
        <v>8</v>
      </c>
      <c r="I197" s="7" t="s">
        <v>106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1</v>
      </c>
      <c r="AL197" s="7">
        <v>0</v>
      </c>
      <c r="AM197" s="7">
        <v>100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11">
        <v>100</v>
      </c>
      <c r="BN197" s="13">
        <f t="shared" si="6"/>
        <v>100</v>
      </c>
      <c r="BO197" s="13">
        <f t="shared" si="7"/>
        <v>70</v>
      </c>
    </row>
    <row r="198" spans="1:67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15">
        <f t="shared" ref="BL198:BO198" si="8">SUM(BL2:BL197)</f>
        <v>102058.79999999999</v>
      </c>
      <c r="BM198" s="16">
        <f t="shared" si="8"/>
        <v>3234860</v>
      </c>
      <c r="BN198" s="13">
        <f t="shared" si="8"/>
        <v>3132801.2</v>
      </c>
      <c r="BO198" s="17">
        <f t="shared" si="8"/>
        <v>2192960.8400000003</v>
      </c>
    </row>
    <row r="199" spans="1:67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7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7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7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7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7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1"/>
    </row>
    <row r="205" spans="1:67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1"/>
    </row>
    <row r="206" spans="1:67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1"/>
    </row>
    <row r="207" spans="1:67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1"/>
    </row>
    <row r="208" spans="1:67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1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1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1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1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1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1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8"/>
      <c r="L232" s="8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8"/>
      <c r="AF232" s="8"/>
      <c r="AG232" s="8"/>
      <c r="AH232" s="7"/>
      <c r="AI232" s="7"/>
      <c r="AJ232" s="7"/>
      <c r="AK232" s="8"/>
      <c r="AL232" s="8"/>
      <c r="AM232" s="8"/>
      <c r="AN232" s="7"/>
      <c r="AO232" s="7"/>
      <c r="AP232" s="7"/>
      <c r="AQ232" s="8"/>
      <c r="AR232" s="8"/>
      <c r="AS232" s="8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9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8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8"/>
      <c r="AF233" s="8"/>
      <c r="AG233" s="8"/>
      <c r="AH233" s="7"/>
      <c r="AI233" s="7"/>
      <c r="AJ233" s="7"/>
      <c r="AK233" s="8"/>
      <c r="AL233" s="8"/>
      <c r="AM233" s="8"/>
      <c r="AN233" s="7"/>
      <c r="AO233" s="7"/>
      <c r="AP233" s="7"/>
      <c r="AQ233" s="7"/>
      <c r="AR233" s="8"/>
      <c r="AS233" s="8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9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8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8"/>
      <c r="AF234" s="8"/>
      <c r="AG234" s="8"/>
      <c r="AH234" s="7"/>
      <c r="AI234" s="7"/>
      <c r="AJ234" s="7"/>
      <c r="AK234" s="8"/>
      <c r="AL234" s="8"/>
      <c r="AM234" s="8"/>
      <c r="AN234" s="7"/>
      <c r="AO234" s="7"/>
      <c r="AP234" s="7"/>
      <c r="AQ234" s="8"/>
      <c r="AR234" s="8"/>
      <c r="AS234" s="8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9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8"/>
      <c r="AF235" s="8"/>
      <c r="AG235" s="8"/>
      <c r="AH235" s="7"/>
      <c r="AI235" s="7"/>
      <c r="AJ235" s="7"/>
      <c r="AK235" s="8"/>
      <c r="AL235" s="8"/>
      <c r="AM235" s="8"/>
      <c r="AN235" s="7"/>
      <c r="AO235" s="7"/>
      <c r="AP235" s="7"/>
      <c r="AQ235" s="8"/>
      <c r="AR235" s="8"/>
      <c r="AS235" s="8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9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8"/>
      <c r="AH236" s="7"/>
      <c r="AI236" s="7"/>
      <c r="AJ236" s="7"/>
      <c r="AK236" s="7"/>
      <c r="AL236" s="8"/>
      <c r="AM236" s="8"/>
      <c r="AN236" s="7"/>
      <c r="AO236" s="7"/>
      <c r="AP236" s="7"/>
      <c r="AQ236" s="7"/>
      <c r="AR236" s="8"/>
      <c r="AS236" s="8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9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8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8"/>
      <c r="AF237" s="8"/>
      <c r="AG237" s="8"/>
      <c r="AH237" s="7"/>
      <c r="AI237" s="7"/>
      <c r="AJ237" s="7"/>
      <c r="AK237" s="8"/>
      <c r="AL237" s="8"/>
      <c r="AM237" s="8"/>
      <c r="AN237" s="7"/>
      <c r="AO237" s="7"/>
      <c r="AP237" s="7"/>
      <c r="AQ237" s="7"/>
      <c r="AR237" s="8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8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8"/>
      <c r="AF238" s="8"/>
      <c r="AG238" s="8"/>
      <c r="AH238" s="7"/>
      <c r="AI238" s="7"/>
      <c r="AJ238" s="7"/>
      <c r="AK238" s="8"/>
      <c r="AL238" s="8"/>
      <c r="AM238" s="8"/>
      <c r="AN238" s="7"/>
      <c r="AO238" s="7"/>
      <c r="AP238" s="7"/>
      <c r="AQ238" s="7"/>
      <c r="AR238" s="8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9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8"/>
      <c r="AF239" s="8"/>
      <c r="AG239" s="8"/>
      <c r="AH239" s="7"/>
      <c r="AI239" s="7"/>
      <c r="AJ239" s="7"/>
      <c r="AK239" s="8"/>
      <c r="AL239" s="8"/>
      <c r="AM239" s="8"/>
      <c r="AN239" s="7"/>
      <c r="AO239" s="7"/>
      <c r="AP239" s="7"/>
      <c r="AQ239" s="7"/>
      <c r="AR239" s="8"/>
      <c r="AS239" s="8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9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8"/>
      <c r="L240" s="8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8"/>
      <c r="AF240" s="8"/>
      <c r="AG240" s="8"/>
      <c r="AH240" s="7"/>
      <c r="AI240" s="7"/>
      <c r="AJ240" s="7"/>
      <c r="AK240" s="8"/>
      <c r="AL240" s="8"/>
      <c r="AM240" s="8"/>
      <c r="AN240" s="7"/>
      <c r="AO240" s="7"/>
      <c r="AP240" s="7"/>
      <c r="AQ240" s="7"/>
      <c r="AR240" s="8"/>
      <c r="AS240" s="8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9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8"/>
      <c r="AF241" s="8"/>
      <c r="AG241" s="8"/>
      <c r="AH241" s="7"/>
      <c r="AI241" s="7"/>
      <c r="AJ241" s="7"/>
      <c r="AK241" s="8"/>
      <c r="AL241" s="8"/>
      <c r="AM241" s="8"/>
      <c r="AN241" s="7"/>
      <c r="AO241" s="7"/>
      <c r="AP241" s="7"/>
      <c r="AQ241" s="7"/>
      <c r="AR241" s="8"/>
      <c r="AS241" s="8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9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8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8"/>
      <c r="AF242" s="8"/>
      <c r="AG242" s="8"/>
      <c r="AH242" s="7"/>
      <c r="AI242" s="7"/>
      <c r="AJ242" s="7"/>
      <c r="AK242" s="8"/>
      <c r="AL242" s="8"/>
      <c r="AM242" s="8"/>
      <c r="AN242" s="7"/>
      <c r="AO242" s="7"/>
      <c r="AP242" s="7"/>
      <c r="AQ242" s="7"/>
      <c r="AR242" s="8"/>
      <c r="AS242" s="8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9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8"/>
      <c r="AH243" s="7"/>
      <c r="AI243" s="7"/>
      <c r="AJ243" s="7"/>
      <c r="AK243" s="8"/>
      <c r="AL243" s="8"/>
      <c r="AM243" s="8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8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9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8"/>
      <c r="K245" s="7"/>
      <c r="L245" s="8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8"/>
      <c r="AH245" s="7"/>
      <c r="AI245" s="7"/>
      <c r="AJ245" s="7"/>
      <c r="AK245" s="7"/>
      <c r="AL245" s="8"/>
      <c r="AM245" s="8"/>
      <c r="AN245" s="7"/>
      <c r="AO245" s="7"/>
      <c r="AP245" s="7"/>
      <c r="AQ245" s="7"/>
      <c r="AR245" s="8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9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8"/>
      <c r="AM246" s="8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8"/>
      <c r="AM247" s="8"/>
      <c r="AN247" s="7"/>
      <c r="AO247" s="7"/>
      <c r="AP247" s="7"/>
      <c r="AQ247" s="7"/>
      <c r="AR247" s="8"/>
      <c r="AS247" s="8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8"/>
      <c r="AH248" s="7"/>
      <c r="AI248" s="7"/>
      <c r="AJ248" s="7"/>
      <c r="AK248" s="7"/>
      <c r="AL248" s="8"/>
      <c r="AM248" s="8"/>
      <c r="AN248" s="7"/>
      <c r="AO248" s="7"/>
      <c r="AP248" s="7"/>
      <c r="AQ248" s="7"/>
      <c r="AR248" s="8"/>
      <c r="AS248" s="8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8"/>
      <c r="AJ249" s="8"/>
      <c r="AK249" s="7"/>
      <c r="AL249" s="7"/>
      <c r="AM249" s="7"/>
      <c r="AN249" s="7"/>
      <c r="AO249" s="7"/>
      <c r="AP249" s="7"/>
      <c r="AQ249" s="7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8"/>
      <c r="AM250" s="8"/>
      <c r="AN250" s="7"/>
      <c r="AO250" s="7"/>
      <c r="AP250" s="7"/>
      <c r="AQ250" s="7"/>
      <c r="AR250" s="8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8"/>
      <c r="AM252" s="7"/>
      <c r="AN252" s="7"/>
      <c r="AO252" s="7"/>
      <c r="AP252" s="7"/>
      <c r="AQ252" s="7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8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8"/>
      <c r="AN258" s="7"/>
      <c r="AO258" s="7"/>
      <c r="AP258" s="7"/>
      <c r="AQ258" s="7"/>
      <c r="AR258" s="8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8"/>
      <c r="AH259" s="7"/>
      <c r="AI259" s="7"/>
      <c r="AJ259" s="7"/>
      <c r="AK259" s="7"/>
      <c r="AL259" s="8"/>
      <c r="AM259" s="8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7"/>
      <c r="AL263" s="8"/>
      <c r="AM263" s="8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8"/>
      <c r="AM265" s="8"/>
      <c r="AN265" s="7"/>
      <c r="AO265" s="7"/>
      <c r="AP265" s="7"/>
      <c r="AQ265" s="7"/>
      <c r="AR265" s="8"/>
      <c r="AS265" s="8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8"/>
      <c r="AH266" s="7"/>
      <c r="AI266" s="7"/>
      <c r="AJ266" s="7"/>
      <c r="AK266" s="7"/>
      <c r="AL266" s="8"/>
      <c r="AM266" s="8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8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8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8"/>
      <c r="AJ278" s="7"/>
      <c r="AK278" s="7"/>
      <c r="AL278" s="8"/>
      <c r="AM278" s="7"/>
      <c r="AN278" s="7"/>
      <c r="AO278" s="8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8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8"/>
      <c r="AS284" s="8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8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8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8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8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8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8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8"/>
      <c r="AH307" s="7"/>
      <c r="AI307" s="7"/>
      <c r="AJ307" s="7"/>
      <c r="AK307" s="7"/>
      <c r="AL307" s="7"/>
      <c r="AM307" s="8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8"/>
      <c r="AH308" s="7"/>
      <c r="AI308" s="7"/>
      <c r="AJ308" s="7"/>
      <c r="AK308" s="7"/>
      <c r="AL308" s="7"/>
      <c r="AM308" s="8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8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8"/>
      <c r="AH324" s="7"/>
      <c r="AI324" s="7"/>
      <c r="AJ324" s="7"/>
      <c r="AK324" s="7"/>
      <c r="AL324" s="7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8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8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8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1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1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1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1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1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1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1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1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1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1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1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1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1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1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2022-07-05T10:24:37Z</dcterms:modified>
</cp:coreProperties>
</file>