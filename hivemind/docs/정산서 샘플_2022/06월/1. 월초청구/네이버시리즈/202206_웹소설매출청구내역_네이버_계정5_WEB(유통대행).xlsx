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콘텐츠기획팀\재무 인수인계\★인수인계자료_김지희_0306\★스토리위즈 정산(인수인계_3월 월중청구까지 완료)\2020년 5월(스토리위즈 매출시작)\★21년~\2022년\6월매출\1. 월초청구(0415)\네이버시리즈\"/>
    </mc:Choice>
  </mc:AlternateContent>
  <bookViews>
    <workbookView xWindow="0" yWindow="0" windowWidth="23040" windowHeight="8952" tabRatio="766"/>
  </bookViews>
  <sheets>
    <sheet name="합계 (6)" sheetId="412" r:id="rId1"/>
  </sheets>
  <definedNames>
    <definedName name="_xlnm._FilterDatabase" localSheetId="0" hidden="1">'합계 (6)'!$A$1:$AM$1</definedName>
    <definedName name="_xlnm.Extract" localSheetId="0">'합계 (6)'!#REF!</definedName>
  </definedNames>
  <calcPr calcId="152511"/>
</workbook>
</file>

<file path=xl/calcChain.xml><?xml version="1.0" encoding="utf-8"?>
<calcChain xmlns="http://schemas.openxmlformats.org/spreadsheetml/2006/main">
  <c r="BM66" i="412" l="1"/>
  <c r="BL66" i="412"/>
  <c r="BN38" i="412"/>
  <c r="BO38" i="412"/>
  <c r="BN39" i="412"/>
  <c r="BO39" i="412"/>
  <c r="BN40" i="412"/>
  <c r="BO40" i="412" s="1"/>
  <c r="BN41" i="412"/>
  <c r="BO41" i="412"/>
  <c r="BN42" i="412"/>
  <c r="BO42" i="412"/>
  <c r="BN43" i="412"/>
  <c r="BO43" i="412"/>
  <c r="BN44" i="412"/>
  <c r="BO44" i="412" s="1"/>
  <c r="BN45" i="412"/>
  <c r="BO45" i="412"/>
  <c r="BN46" i="412"/>
  <c r="BO46" i="412"/>
  <c r="BN47" i="412"/>
  <c r="BO47" i="412"/>
  <c r="BN48" i="412"/>
  <c r="BO48" i="412" s="1"/>
  <c r="BN49" i="412"/>
  <c r="BO49" i="412"/>
  <c r="BN50" i="412"/>
  <c r="BO50" i="412"/>
  <c r="BN51" i="412"/>
  <c r="BO51" i="412"/>
  <c r="BN52" i="412"/>
  <c r="BO52" i="412" s="1"/>
  <c r="BN53" i="412"/>
  <c r="BO53" i="412"/>
  <c r="BN54" i="412"/>
  <c r="BO54" i="412"/>
  <c r="BN55" i="412"/>
  <c r="BO55" i="412"/>
  <c r="BN56" i="412"/>
  <c r="BO56" i="412" s="1"/>
  <c r="BN57" i="412"/>
  <c r="BO57" i="412"/>
  <c r="BN58" i="412"/>
  <c r="BO58" i="412"/>
  <c r="BN59" i="412"/>
  <c r="BO59" i="412"/>
  <c r="BN60" i="412"/>
  <c r="BO60" i="412" s="1"/>
  <c r="BN61" i="412"/>
  <c r="BO61" i="412"/>
  <c r="BN62" i="412"/>
  <c r="BO62" i="412"/>
  <c r="BN63" i="412"/>
  <c r="BO63" i="412"/>
  <c r="BN64" i="412"/>
  <c r="BO64" i="412" s="1"/>
  <c r="BN65" i="412"/>
  <c r="BO65" i="412"/>
  <c r="BN29" i="412"/>
  <c r="BO29" i="412"/>
  <c r="BN30" i="412"/>
  <c r="BO30" i="412"/>
  <c r="BN31" i="412"/>
  <c r="BO31" i="412" s="1"/>
  <c r="BN32" i="412"/>
  <c r="BO32" i="412"/>
  <c r="BN33" i="412"/>
  <c r="BO33" i="412"/>
  <c r="BN34" i="412"/>
  <c r="BO34" i="412" s="1"/>
  <c r="BN35" i="412"/>
  <c r="BO35" i="412" s="1"/>
  <c r="BN36" i="412"/>
  <c r="BO36" i="412" s="1"/>
  <c r="BN37" i="412"/>
  <c r="BO37" i="412"/>
  <c r="BN3" i="412"/>
  <c r="BO3" i="412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/>
  <c r="BN10" i="412"/>
  <c r="BO10" i="412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/>
  <c r="BN19" i="412"/>
  <c r="BO19" i="412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/>
  <c r="BN26" i="412"/>
  <c r="BO26" i="412"/>
  <c r="BN27" i="412"/>
  <c r="BO27" i="412" s="1"/>
  <c r="BN28" i="412"/>
  <c r="BO28" i="412" s="1"/>
  <c r="BN2" i="412" l="1"/>
  <c r="BN66" i="412" l="1"/>
  <c r="BO2" i="412"/>
  <c r="BO66" i="412" s="1"/>
</calcChain>
</file>

<file path=xl/sharedStrings.xml><?xml version="1.0" encoding="utf-8"?>
<sst xmlns="http://schemas.openxmlformats.org/spreadsheetml/2006/main" count="515" uniqueCount="146">
  <si>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</si>
  <si>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</si>
  <si>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</si>
  <si>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</si>
  <si>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</si>
  <si>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</si>
  <si>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</si>
  <si>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</si>
  <si>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</si>
  <si>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</si>
  <si>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</si>
  <si>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</si>
  <si>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</si>
  <si>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</si>
  <si>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</si>
  <si>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</si>
  <si>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</si>
  <si>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</si>
  <si>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</si>
  <si>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</si>
  <si>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</si>
  <si>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</si>
  <si>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</si>
  <si>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</si>
  <si>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</si>
  <si>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</si>
  <si>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</si>
  <si>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</si>
  <si>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</si>
  <si>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</si>
  <si>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</si>
  <si>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</si>
  <si>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</si>
  <si>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</si>
  <si>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</si>
  <si>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</si>
  <si>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</si>
  <si>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</si>
  <si>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</si>
  <si>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</si>
  <si>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</si>
  <si>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</si>
  <si>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</si>
  <si>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불꽃 [단행본]</t>
  </si>
  <si>
    <t>김혜연</t>
  </si>
  <si>
    <t>2022.05.16</t>
  </si>
  <si>
    <t>용가리맛쿠키</t>
  </si>
  <si>
    <t>블러쉬</t>
  </si>
  <si>
    <t>어게인(Again) [단행본]</t>
  </si>
  <si>
    <t>최준서</t>
  </si>
  <si>
    <t>2022.04.27</t>
  </si>
  <si>
    <t>2022.03.02</t>
  </si>
  <si>
    <t>이별 그리고 그 후 [단행본]</t>
  </si>
  <si>
    <t>최현자</t>
  </si>
  <si>
    <t>2022.05.11</t>
  </si>
  <si>
    <t>유일한 취미 [단행본]</t>
  </si>
  <si>
    <t>서혜은</t>
  </si>
  <si>
    <t>2022.05.06</t>
  </si>
  <si>
    <t>전설이 돼라 [개정판][단행본]</t>
  </si>
  <si>
    <t>최재봉</t>
  </si>
  <si>
    <t>이세계 최강 군바리</t>
  </si>
  <si>
    <t>협행마</t>
  </si>
  <si>
    <t>2019.07.31</t>
  </si>
  <si>
    <t>sJessi</t>
  </si>
  <si>
    <t>쉬라즈</t>
  </si>
  <si>
    <t>브레이크 어웨이(Break Away) [단행본]</t>
  </si>
  <si>
    <t>서정윤</t>
  </si>
  <si>
    <t>2022.05.23</t>
  </si>
  <si>
    <t>남창목가 [외전 독점]</t>
  </si>
  <si>
    <t>2019.11.18</t>
  </si>
  <si>
    <t>진짜 사나이 [단행본]</t>
  </si>
  <si>
    <t>2021.12.15</t>
  </si>
  <si>
    <t>이차적 일탈 [단행본]</t>
  </si>
  <si>
    <t>2022.03.04</t>
  </si>
  <si>
    <t>너만 보면 두근두근 [단행본]</t>
  </si>
  <si>
    <t>정경하</t>
  </si>
  <si>
    <t>2022.01.14</t>
  </si>
  <si>
    <t>더티독 [BL][단행본]</t>
  </si>
  <si>
    <t>2020.04.09</t>
  </si>
  <si>
    <t>2022.01.21</t>
  </si>
  <si>
    <t>설국연가 [단행본]</t>
  </si>
  <si>
    <t>마뇽</t>
  </si>
  <si>
    <t>2022.01.17</t>
  </si>
  <si>
    <t>대공의 아내 [단행본]</t>
  </si>
  <si>
    <t>문시티</t>
  </si>
  <si>
    <t>2020.01.16</t>
  </si>
  <si>
    <t>이리 와 봐 [단행본]</t>
  </si>
  <si>
    <t>최강주</t>
  </si>
  <si>
    <t>2018.08.30</t>
  </si>
  <si>
    <t>불건전한 수컷 [단행본]</t>
  </si>
  <si>
    <t>2020.10.31</t>
  </si>
  <si>
    <t>슈크림 [단행본]</t>
  </si>
  <si>
    <t>송민선</t>
  </si>
  <si>
    <t>2022.04.15</t>
  </si>
  <si>
    <t>헌터 킹 [단행본]</t>
  </si>
  <si>
    <t>2021.12.10</t>
  </si>
  <si>
    <t>진짜 사나이</t>
  </si>
  <si>
    <t>더 캡틴 [단행본]</t>
  </si>
  <si>
    <t>붉은 정자-살라댕 [단행본]</t>
  </si>
  <si>
    <t>라벤더블루</t>
  </si>
  <si>
    <t>2022.01.10</t>
  </si>
  <si>
    <t>이리 와 봐 외전 [단행본]</t>
  </si>
  <si>
    <t>2018.10.19</t>
  </si>
  <si>
    <t>기획에 산다</t>
  </si>
  <si>
    <t>더티독 외전 [BL][단행본]</t>
  </si>
  <si>
    <t>N스토어(PC)</t>
    <phoneticPr fontId="20" type="noConversion"/>
  </si>
  <si>
    <t>PC뷰어(PC)</t>
    <phoneticPr fontId="20" type="noConversion"/>
  </si>
  <si>
    <t>N스토어(MW)</t>
    <phoneticPr fontId="20" type="noConversion"/>
  </si>
  <si>
    <t>지하철 앤솔로지 [단행본]</t>
  </si>
  <si>
    <t>도큐진</t>
  </si>
  <si>
    <t>스토리위드</t>
  </si>
  <si>
    <t>오늘의 날씨 [BL][단행본]</t>
  </si>
  <si>
    <t>이예즈</t>
  </si>
  <si>
    <t>2018.11.23</t>
  </si>
  <si>
    <t>무심코 [단행본]</t>
  </si>
  <si>
    <t>달로</t>
  </si>
  <si>
    <t>2022.06.03</t>
  </si>
  <si>
    <t>한 번은 이별하자 [단행본]</t>
  </si>
  <si>
    <t>서연</t>
  </si>
  <si>
    <t>2022.06.20</t>
  </si>
  <si>
    <t>처녀 보쌈 [단행본]</t>
  </si>
  <si>
    <t>김원경</t>
  </si>
  <si>
    <t>2022.06.10</t>
  </si>
  <si>
    <t>우기에는 비가 와요 [단행본]</t>
  </si>
  <si>
    <t>이리</t>
  </si>
  <si>
    <t>2022.06.17</t>
  </si>
  <si>
    <t>짝사랑 중입니다 [단행본]</t>
  </si>
  <si>
    <t>진양</t>
  </si>
  <si>
    <t>2022.06.27</t>
  </si>
  <si>
    <t>테이크 백(Take Back) [단행본]</t>
  </si>
  <si>
    <t>일락</t>
  </si>
  <si>
    <t>2022.06.24</t>
  </si>
  <si>
    <t>깃들다 [단행본]</t>
  </si>
  <si>
    <t>현진서</t>
  </si>
  <si>
    <t>2022.06.22</t>
  </si>
  <si>
    <t>위사무적 [단행본]</t>
  </si>
  <si>
    <t>2020.09.11</t>
  </si>
  <si>
    <t>강호, 미치다</t>
  </si>
  <si>
    <t>2019.09.18</t>
  </si>
  <si>
    <t>아득히 먼 훗날 우리가 [단행본]</t>
  </si>
  <si>
    <t>수련</t>
  </si>
  <si>
    <t>2022.06.13</t>
  </si>
  <si>
    <t>그 순간, 별이 빛났다 [BL][단행본]</t>
  </si>
  <si>
    <t>성실</t>
  </si>
  <si>
    <t>2021.08.16</t>
  </si>
  <si>
    <t>정략결혼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</si>
</sst>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1" fontId="22" fillId="34" borderId="0" xfId="42" applyFont="1" applyFill="1" applyAlignment="1">
      <alignment vertical="center" wrapText="1"/>
    </xf>
    <xf numFmtId="41" fontId="22" fillId="0" borderId="0" xfId="42" applyFont="1" applyFill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48"/>
  <sheetViews>
    <sheetView tabSelected="1" zoomScaleNormal="100" workbookViewId="0">
      <pane xSplit="9" ySplit="1" topLeftCell="BK53" activePane="bottomRight" state="frozen"/>
      <selection pane="topRight" activeCell="J1" sqref="J1"/>
      <selection pane="bottomLeft" activeCell="A2" sqref="A2"/>
      <selection pane="bottomRight" activeCell="F74" sqref="F74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7" ht="38.4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5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2" t="s">
        <v>24</v>
      </c>
      <c r="BO1" s="12" t="s">
        <v>25</v>
      </c>
    </row>
    <row r="2" spans="1:67" x14ac:dyDescent="0.4">
      <c r="A2" s="5" t="s">
        <v>105</v>
      </c>
      <c r="B2" s="5" t="s">
        <v>114</v>
      </c>
      <c r="C2" s="5">
        <v>470383</v>
      </c>
      <c r="D2" s="6"/>
      <c r="E2" s="5" t="s">
        <v>30</v>
      </c>
      <c r="F2" s="5" t="s">
        <v>115</v>
      </c>
      <c r="G2" s="5" t="s">
        <v>37</v>
      </c>
      <c r="H2" s="7" t="s">
        <v>41</v>
      </c>
      <c r="I2" s="7" t="s">
        <v>116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14</v>
      </c>
      <c r="AF2" s="8">
        <v>20400</v>
      </c>
      <c r="AG2" s="8">
        <v>8000</v>
      </c>
      <c r="AH2" s="7">
        <v>0</v>
      </c>
      <c r="AI2" s="7">
        <v>0</v>
      </c>
      <c r="AJ2" s="7">
        <v>0</v>
      </c>
      <c r="AK2" s="7">
        <v>1</v>
      </c>
      <c r="AL2" s="7">
        <v>0</v>
      </c>
      <c r="AM2" s="8">
        <v>2000</v>
      </c>
      <c r="AN2" s="7">
        <v>0</v>
      </c>
      <c r="AO2" s="7">
        <v>0</v>
      </c>
      <c r="AP2" s="7">
        <v>0</v>
      </c>
      <c r="AQ2" s="7">
        <v>2</v>
      </c>
      <c r="AR2" s="8">
        <v>3800</v>
      </c>
      <c r="AS2" s="7">
        <v>200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1</v>
      </c>
      <c r="BD2" s="8">
        <v>2400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144</v>
      </c>
      <c r="BM2" s="10">
        <v>36800</v>
      </c>
      <c r="BN2" s="13">
        <f>BM2-BL2</f>
        <v>36656</v>
      </c>
      <c r="BO2" s="14">
        <f>BN2*70%</f>
        <v>25659.199999999997</v>
      </c>
    </row>
    <row r="3" spans="1:67" x14ac:dyDescent="0.4">
      <c r="A3" s="5" t="s">
        <v>105</v>
      </c>
      <c r="B3" s="5" t="s">
        <v>117</v>
      </c>
      <c r="C3" s="5">
        <v>472516</v>
      </c>
      <c r="D3" s="6"/>
      <c r="E3" s="5" t="s">
        <v>30</v>
      </c>
      <c r="F3" s="5" t="s">
        <v>118</v>
      </c>
      <c r="G3" s="5" t="s">
        <v>37</v>
      </c>
      <c r="H3" s="7" t="s">
        <v>41</v>
      </c>
      <c r="I3" s="7" t="s">
        <v>119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4</v>
      </c>
      <c r="AF3" s="8">
        <v>8260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1</v>
      </c>
      <c r="AR3" s="8">
        <v>2000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1</v>
      </c>
      <c r="BD3" s="8">
        <v>2400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144</v>
      </c>
      <c r="BM3" s="10">
        <v>12660</v>
      </c>
      <c r="BN3" s="13">
        <f t="shared" ref="BN3:BN28" si="0">BM3-BL3</f>
        <v>12516</v>
      </c>
      <c r="BO3" s="14">
        <f t="shared" ref="BO3:BO65" si="1">BN3*70%</f>
        <v>8761.1999999999989</v>
      </c>
    </row>
    <row r="4" spans="1:67" x14ac:dyDescent="0.4">
      <c r="A4" s="5" t="s">
        <v>105</v>
      </c>
      <c r="B4" s="5" t="s">
        <v>29</v>
      </c>
      <c r="C4" s="5">
        <v>465998</v>
      </c>
      <c r="D4" s="6"/>
      <c r="E4" s="5" t="s">
        <v>30</v>
      </c>
      <c r="F4" s="5" t="s">
        <v>31</v>
      </c>
      <c r="G4" s="5" t="s">
        <v>32</v>
      </c>
      <c r="H4" s="7" t="s">
        <v>10</v>
      </c>
      <c r="I4" s="7" t="s">
        <v>33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12</v>
      </c>
      <c r="AC4" s="8">
        <v>10680</v>
      </c>
      <c r="AD4" s="7">
        <v>300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10980</v>
      </c>
      <c r="BN4" s="13">
        <f t="shared" si="0"/>
        <v>10980</v>
      </c>
      <c r="BO4" s="14">
        <f t="shared" si="1"/>
        <v>7685.9999999999991</v>
      </c>
    </row>
    <row r="5" spans="1:67" x14ac:dyDescent="0.4">
      <c r="A5" s="5" t="s">
        <v>105</v>
      </c>
      <c r="B5" s="5" t="s">
        <v>120</v>
      </c>
      <c r="C5" s="5">
        <v>470426</v>
      </c>
      <c r="D5" s="6"/>
      <c r="E5" s="5" t="s">
        <v>30</v>
      </c>
      <c r="F5" s="5" t="s">
        <v>121</v>
      </c>
      <c r="G5" s="5" t="s">
        <v>37</v>
      </c>
      <c r="H5" s="7" t="s">
        <v>41</v>
      </c>
      <c r="I5" s="7" t="s">
        <v>122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4</v>
      </c>
      <c r="AF5" s="8">
        <v>10500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10500</v>
      </c>
      <c r="BN5" s="13">
        <f t="shared" si="0"/>
        <v>10500</v>
      </c>
      <c r="BO5" s="14">
        <f t="shared" si="1"/>
        <v>7349.9999999999991</v>
      </c>
    </row>
    <row r="6" spans="1:67" x14ac:dyDescent="0.4">
      <c r="A6" s="5" t="s">
        <v>105</v>
      </c>
      <c r="B6" s="5" t="s">
        <v>123</v>
      </c>
      <c r="C6" s="5">
        <v>472515</v>
      </c>
      <c r="D6" s="6"/>
      <c r="E6" s="5" t="s">
        <v>30</v>
      </c>
      <c r="F6" s="5" t="s">
        <v>124</v>
      </c>
      <c r="G6" s="5" t="s">
        <v>37</v>
      </c>
      <c r="H6" s="7" t="s">
        <v>41</v>
      </c>
      <c r="I6" s="7" t="s">
        <v>125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</v>
      </c>
      <c r="AF6" s="8">
        <v>6000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1</v>
      </c>
      <c r="AR6" s="8">
        <v>2000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8000</v>
      </c>
      <c r="BN6" s="13">
        <f t="shared" si="0"/>
        <v>8000</v>
      </c>
      <c r="BO6" s="14">
        <f t="shared" si="1"/>
        <v>5600</v>
      </c>
    </row>
    <row r="7" spans="1:67" x14ac:dyDescent="0.4">
      <c r="A7" s="5" t="s">
        <v>105</v>
      </c>
      <c r="B7" s="5" t="s">
        <v>126</v>
      </c>
      <c r="C7" s="5">
        <v>472519</v>
      </c>
      <c r="D7" s="6"/>
      <c r="E7" s="5" t="s">
        <v>30</v>
      </c>
      <c r="F7" s="5" t="s">
        <v>127</v>
      </c>
      <c r="G7" s="5" t="s">
        <v>37</v>
      </c>
      <c r="H7" s="7" t="s">
        <v>7</v>
      </c>
      <c r="I7" s="7" t="s">
        <v>128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</v>
      </c>
      <c r="AF7" s="8">
        <v>3600</v>
      </c>
      <c r="AG7" s="8">
        <v>3600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7200</v>
      </c>
      <c r="BN7" s="13">
        <f t="shared" si="0"/>
        <v>7200</v>
      </c>
      <c r="BO7" s="14">
        <f t="shared" si="1"/>
        <v>5040</v>
      </c>
    </row>
    <row r="8" spans="1:67" x14ac:dyDescent="0.4">
      <c r="A8" s="5" t="s">
        <v>105</v>
      </c>
      <c r="B8" s="5" t="s">
        <v>77</v>
      </c>
      <c r="C8" s="5">
        <v>395231</v>
      </c>
      <c r="D8" s="6"/>
      <c r="E8" s="5" t="s">
        <v>30</v>
      </c>
      <c r="F8" s="5" t="s">
        <v>46</v>
      </c>
      <c r="G8" s="5" t="s">
        <v>47</v>
      </c>
      <c r="H8" s="7" t="s">
        <v>41</v>
      </c>
      <c r="I8" s="7" t="s">
        <v>78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</v>
      </c>
      <c r="AF8" s="8">
        <v>2100</v>
      </c>
      <c r="AG8" s="8">
        <v>4900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7000</v>
      </c>
      <c r="BN8" s="13">
        <f t="shared" si="0"/>
        <v>7000</v>
      </c>
      <c r="BO8" s="14">
        <f t="shared" si="1"/>
        <v>4900</v>
      </c>
    </row>
    <row r="9" spans="1:67" x14ac:dyDescent="0.4">
      <c r="A9" s="5" t="s">
        <v>105</v>
      </c>
      <c r="B9" s="5" t="s">
        <v>39</v>
      </c>
      <c r="C9" s="5">
        <v>459229</v>
      </c>
      <c r="D9" s="6"/>
      <c r="E9" s="5" t="s">
        <v>30</v>
      </c>
      <c r="F9" s="5" t="s">
        <v>40</v>
      </c>
      <c r="G9" s="5" t="s">
        <v>37</v>
      </c>
      <c r="H9" s="7" t="s">
        <v>41</v>
      </c>
      <c r="I9" s="7" t="s">
        <v>42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2</v>
      </c>
      <c r="AF9" s="8">
        <v>6000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6000</v>
      </c>
      <c r="BN9" s="13">
        <f t="shared" si="0"/>
        <v>6000</v>
      </c>
      <c r="BO9" s="14">
        <f t="shared" si="1"/>
        <v>4200</v>
      </c>
    </row>
    <row r="10" spans="1:67" x14ac:dyDescent="0.4">
      <c r="A10" s="5" t="s">
        <v>105</v>
      </c>
      <c r="B10" s="5" t="s">
        <v>129</v>
      </c>
      <c r="C10" s="5">
        <v>472518</v>
      </c>
      <c r="D10" s="6"/>
      <c r="E10" s="5" t="s">
        <v>30</v>
      </c>
      <c r="F10" s="5" t="s">
        <v>130</v>
      </c>
      <c r="G10" s="5" t="s">
        <v>37</v>
      </c>
      <c r="H10" s="7" t="s">
        <v>41</v>
      </c>
      <c r="I10" s="7" t="s">
        <v>131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2</v>
      </c>
      <c r="AF10" s="8">
        <v>4800</v>
      </c>
      <c r="AG10" s="7">
        <v>200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5000</v>
      </c>
      <c r="BN10" s="13">
        <f t="shared" si="0"/>
        <v>5000</v>
      </c>
      <c r="BO10" s="14">
        <f t="shared" si="1"/>
        <v>3500</v>
      </c>
    </row>
    <row r="11" spans="1:67" x14ac:dyDescent="0.4">
      <c r="A11" s="5" t="s">
        <v>105</v>
      </c>
      <c r="B11" s="5" t="s">
        <v>58</v>
      </c>
      <c r="C11" s="5">
        <v>461450</v>
      </c>
      <c r="D11" s="6"/>
      <c r="E11" s="5" t="s">
        <v>30</v>
      </c>
      <c r="F11" s="5" t="s">
        <v>31</v>
      </c>
      <c r="G11" s="5" t="s">
        <v>32</v>
      </c>
      <c r="H11" s="7" t="s">
        <v>10</v>
      </c>
      <c r="I11" s="7" t="s">
        <v>51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5</v>
      </c>
      <c r="AC11" s="8">
        <v>4500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4500</v>
      </c>
      <c r="BN11" s="13">
        <f t="shared" si="0"/>
        <v>4500</v>
      </c>
      <c r="BO11" s="14">
        <f t="shared" si="1"/>
        <v>3150</v>
      </c>
    </row>
    <row r="12" spans="1:67" x14ac:dyDescent="0.4">
      <c r="A12" s="5" t="s">
        <v>105</v>
      </c>
      <c r="B12" s="5" t="s">
        <v>70</v>
      </c>
      <c r="C12" s="5">
        <v>453445</v>
      </c>
      <c r="D12" s="6"/>
      <c r="E12" s="5" t="s">
        <v>30</v>
      </c>
      <c r="F12" s="5" t="s">
        <v>31</v>
      </c>
      <c r="G12" s="5" t="s">
        <v>32</v>
      </c>
      <c r="H12" s="7" t="s">
        <v>8</v>
      </c>
      <c r="I12" s="7" t="s">
        <v>71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4</v>
      </c>
      <c r="BA12" s="8">
        <v>4320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259.2</v>
      </c>
      <c r="BM12" s="10">
        <v>4320</v>
      </c>
      <c r="BN12" s="13">
        <f t="shared" si="0"/>
        <v>4060.8</v>
      </c>
      <c r="BO12" s="14">
        <f t="shared" si="1"/>
        <v>2842.56</v>
      </c>
    </row>
    <row r="13" spans="1:67" x14ac:dyDescent="0.4">
      <c r="A13" s="5" t="s">
        <v>105</v>
      </c>
      <c r="B13" s="5" t="s">
        <v>86</v>
      </c>
      <c r="C13" s="5">
        <v>326776</v>
      </c>
      <c r="D13" s="6"/>
      <c r="E13" s="5" t="s">
        <v>30</v>
      </c>
      <c r="F13" s="5" t="s">
        <v>87</v>
      </c>
      <c r="G13" s="5" t="s">
        <v>64</v>
      </c>
      <c r="H13" s="7" t="s">
        <v>41</v>
      </c>
      <c r="I13" s="7" t="s">
        <v>88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8">
        <v>3600</v>
      </c>
      <c r="AG13" s="7">
        <v>200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3800</v>
      </c>
      <c r="BN13" s="13">
        <f t="shared" si="0"/>
        <v>3800</v>
      </c>
      <c r="BO13" s="14">
        <f t="shared" si="1"/>
        <v>2660</v>
      </c>
    </row>
    <row r="14" spans="1:67" x14ac:dyDescent="0.4">
      <c r="A14" s="5" t="s">
        <v>105</v>
      </c>
      <c r="B14" s="5" t="s">
        <v>48</v>
      </c>
      <c r="C14" s="5">
        <v>465773</v>
      </c>
      <c r="D14" s="6"/>
      <c r="E14" s="5" t="s">
        <v>30</v>
      </c>
      <c r="F14" s="5" t="s">
        <v>49</v>
      </c>
      <c r="G14" s="5" t="s">
        <v>37</v>
      </c>
      <c r="H14" s="7" t="s">
        <v>41</v>
      </c>
      <c r="I14" s="7" t="s">
        <v>50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1</v>
      </c>
      <c r="AF14" s="8">
        <v>3500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3500</v>
      </c>
      <c r="BN14" s="13">
        <f t="shared" si="0"/>
        <v>3500</v>
      </c>
      <c r="BO14" s="14">
        <f t="shared" si="1"/>
        <v>2450</v>
      </c>
    </row>
    <row r="15" spans="1:67" x14ac:dyDescent="0.4">
      <c r="A15" s="5" t="s">
        <v>105</v>
      </c>
      <c r="B15" s="5" t="s">
        <v>89</v>
      </c>
      <c r="C15" s="5">
        <v>414543</v>
      </c>
      <c r="D15" s="6"/>
      <c r="E15" s="5" t="s">
        <v>30</v>
      </c>
      <c r="F15" s="5" t="s">
        <v>63</v>
      </c>
      <c r="G15" s="5" t="s">
        <v>64</v>
      </c>
      <c r="H15" s="7" t="s">
        <v>41</v>
      </c>
      <c r="I15" s="7" t="s">
        <v>90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</v>
      </c>
      <c r="AF15" s="8">
        <v>3400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3400</v>
      </c>
      <c r="BN15" s="13">
        <f t="shared" si="0"/>
        <v>3400</v>
      </c>
      <c r="BO15" s="14">
        <f t="shared" si="1"/>
        <v>2380</v>
      </c>
    </row>
    <row r="16" spans="1:67" x14ac:dyDescent="0.4">
      <c r="A16" s="5" t="s">
        <v>105</v>
      </c>
      <c r="B16" s="5" t="s">
        <v>43</v>
      </c>
      <c r="C16" s="5">
        <v>468578</v>
      </c>
      <c r="D16" s="6"/>
      <c r="E16" s="5" t="s">
        <v>30</v>
      </c>
      <c r="F16" s="5" t="s">
        <v>44</v>
      </c>
      <c r="G16" s="5" t="s">
        <v>37</v>
      </c>
      <c r="H16" s="7" t="s">
        <v>41</v>
      </c>
      <c r="I16" s="7" t="s">
        <v>45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8">
        <v>3000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3000</v>
      </c>
      <c r="BN16" s="13">
        <f t="shared" si="0"/>
        <v>3000</v>
      </c>
      <c r="BO16" s="14">
        <f t="shared" si="1"/>
        <v>2100</v>
      </c>
    </row>
    <row r="17" spans="1:67" ht="19.2" x14ac:dyDescent="0.4">
      <c r="A17" s="5" t="s">
        <v>105</v>
      </c>
      <c r="B17" s="5" t="s">
        <v>65</v>
      </c>
      <c r="C17" s="5">
        <v>468582</v>
      </c>
      <c r="D17" s="6"/>
      <c r="E17" s="5" t="s">
        <v>30</v>
      </c>
      <c r="F17" s="5" t="s">
        <v>66</v>
      </c>
      <c r="G17" s="5" t="s">
        <v>37</v>
      </c>
      <c r="H17" s="7" t="s">
        <v>10</v>
      </c>
      <c r="I17" s="7" t="s">
        <v>67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8">
        <v>2500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2500</v>
      </c>
      <c r="BN17" s="13">
        <f t="shared" si="0"/>
        <v>2500</v>
      </c>
      <c r="BO17" s="14">
        <f t="shared" si="1"/>
        <v>1750</v>
      </c>
    </row>
    <row r="18" spans="1:67" x14ac:dyDescent="0.4">
      <c r="A18" s="5" t="s">
        <v>105</v>
      </c>
      <c r="B18" s="5" t="s">
        <v>132</v>
      </c>
      <c r="C18" s="5">
        <v>472517</v>
      </c>
      <c r="D18" s="6"/>
      <c r="E18" s="5" t="s">
        <v>30</v>
      </c>
      <c r="F18" s="5" t="s">
        <v>133</v>
      </c>
      <c r="G18" s="5" t="s">
        <v>37</v>
      </c>
      <c r="H18" s="7" t="s">
        <v>41</v>
      </c>
      <c r="I18" s="7" t="s">
        <v>134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</v>
      </c>
      <c r="AR18" s="8">
        <v>2500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2500</v>
      </c>
      <c r="BN18" s="13">
        <f t="shared" si="0"/>
        <v>2500</v>
      </c>
      <c r="BO18" s="14">
        <f t="shared" si="1"/>
        <v>1750</v>
      </c>
    </row>
    <row r="19" spans="1:67" x14ac:dyDescent="0.4">
      <c r="A19" s="5" t="s">
        <v>105</v>
      </c>
      <c r="B19" s="5" t="s">
        <v>94</v>
      </c>
      <c r="C19" s="5">
        <v>454228</v>
      </c>
      <c r="D19" s="6"/>
      <c r="E19" s="5" t="s">
        <v>30</v>
      </c>
      <c r="F19" s="5" t="s">
        <v>31</v>
      </c>
      <c r="G19" s="5" t="s">
        <v>32</v>
      </c>
      <c r="H19" s="7" t="s">
        <v>7</v>
      </c>
      <c r="I19" s="7" t="s">
        <v>95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2</v>
      </c>
      <c r="BA19" s="8">
        <v>2160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129.6</v>
      </c>
      <c r="BM19" s="10">
        <v>2160</v>
      </c>
      <c r="BN19" s="13">
        <f t="shared" si="0"/>
        <v>2030.4</v>
      </c>
      <c r="BO19" s="14">
        <f t="shared" si="1"/>
        <v>1421.28</v>
      </c>
    </row>
    <row r="20" spans="1:67" x14ac:dyDescent="0.4">
      <c r="A20" s="5" t="s">
        <v>105</v>
      </c>
      <c r="B20" s="5" t="s">
        <v>55</v>
      </c>
      <c r="C20" s="5">
        <v>467559</v>
      </c>
      <c r="D20" s="6"/>
      <c r="E20" s="5" t="s">
        <v>30</v>
      </c>
      <c r="F20" s="5" t="s">
        <v>56</v>
      </c>
      <c r="G20" s="5" t="s">
        <v>37</v>
      </c>
      <c r="H20" s="7" t="s">
        <v>7</v>
      </c>
      <c r="I20" s="7" t="s">
        <v>57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8">
        <v>2000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2000</v>
      </c>
      <c r="BN20" s="13">
        <f t="shared" si="0"/>
        <v>2000</v>
      </c>
      <c r="BO20" s="14">
        <f t="shared" si="1"/>
        <v>1400</v>
      </c>
    </row>
    <row r="21" spans="1:67" x14ac:dyDescent="0.4">
      <c r="A21" s="5" t="s">
        <v>105</v>
      </c>
      <c r="B21" s="5" t="s">
        <v>135</v>
      </c>
      <c r="C21" s="5">
        <v>408836</v>
      </c>
      <c r="D21" s="6"/>
      <c r="E21" s="5" t="s">
        <v>30</v>
      </c>
      <c r="F21" s="5" t="s">
        <v>61</v>
      </c>
      <c r="G21" s="5" t="s">
        <v>11</v>
      </c>
      <c r="H21" s="7" t="s">
        <v>7</v>
      </c>
      <c r="I21" s="7" t="s">
        <v>136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700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700</v>
      </c>
      <c r="BN21" s="13">
        <f t="shared" si="0"/>
        <v>700</v>
      </c>
      <c r="BO21" s="14">
        <f t="shared" si="1"/>
        <v>489.99999999999994</v>
      </c>
    </row>
    <row r="22" spans="1:67" x14ac:dyDescent="0.4">
      <c r="A22" s="5" t="s">
        <v>105</v>
      </c>
      <c r="B22" s="5" t="s">
        <v>101</v>
      </c>
      <c r="C22" s="5">
        <v>331754</v>
      </c>
      <c r="D22" s="6"/>
      <c r="E22" s="5" t="s">
        <v>30</v>
      </c>
      <c r="F22" s="5" t="s">
        <v>87</v>
      </c>
      <c r="G22" s="5" t="s">
        <v>64</v>
      </c>
      <c r="H22" s="7" t="s">
        <v>41</v>
      </c>
      <c r="I22" s="7" t="s">
        <v>102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7">
        <v>600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600</v>
      </c>
      <c r="BN22" s="13">
        <f t="shared" si="0"/>
        <v>600</v>
      </c>
      <c r="BO22" s="14">
        <f t="shared" si="1"/>
        <v>420</v>
      </c>
    </row>
    <row r="23" spans="1:67" x14ac:dyDescent="0.4">
      <c r="A23" s="5" t="s">
        <v>105</v>
      </c>
      <c r="B23" s="5" t="s">
        <v>96</v>
      </c>
      <c r="C23" s="5">
        <v>453397</v>
      </c>
      <c r="D23" s="6"/>
      <c r="E23" s="5" t="s">
        <v>30</v>
      </c>
      <c r="F23" s="5" t="s">
        <v>31</v>
      </c>
      <c r="G23" s="5" t="s">
        <v>32</v>
      </c>
      <c r="H23" s="7" t="s">
        <v>8</v>
      </c>
      <c r="I23" s="7" t="s">
        <v>71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4</v>
      </c>
      <c r="AF23" s="7">
        <v>400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400</v>
      </c>
      <c r="BN23" s="13">
        <f t="shared" si="0"/>
        <v>400</v>
      </c>
      <c r="BO23" s="14">
        <f t="shared" si="1"/>
        <v>280</v>
      </c>
    </row>
    <row r="24" spans="1:67" x14ac:dyDescent="0.4">
      <c r="A24" s="5" t="s">
        <v>105</v>
      </c>
      <c r="B24" s="5" t="s">
        <v>34</v>
      </c>
      <c r="C24" s="5">
        <v>451051</v>
      </c>
      <c r="D24" s="6"/>
      <c r="E24" s="5" t="s">
        <v>30</v>
      </c>
      <c r="F24" s="5" t="s">
        <v>31</v>
      </c>
      <c r="G24" s="5" t="s">
        <v>32</v>
      </c>
      <c r="H24" s="7" t="s">
        <v>10</v>
      </c>
      <c r="I24" s="7" t="s">
        <v>28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</v>
      </c>
      <c r="AF24" s="7">
        <v>100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2</v>
      </c>
      <c r="AR24" s="7">
        <v>200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300</v>
      </c>
      <c r="BN24" s="13">
        <f t="shared" si="0"/>
        <v>300</v>
      </c>
      <c r="BO24" s="14">
        <f t="shared" si="1"/>
        <v>210</v>
      </c>
    </row>
    <row r="25" spans="1:67" x14ac:dyDescent="0.4">
      <c r="A25" s="5" t="s">
        <v>105</v>
      </c>
      <c r="B25" s="5" t="s">
        <v>60</v>
      </c>
      <c r="C25" s="5">
        <v>361185</v>
      </c>
      <c r="D25" s="6"/>
      <c r="E25" s="5" t="s">
        <v>30</v>
      </c>
      <c r="F25" s="5" t="s">
        <v>61</v>
      </c>
      <c r="G25" s="5" t="s">
        <v>11</v>
      </c>
      <c r="H25" s="7" t="s">
        <v>7</v>
      </c>
      <c r="I25" s="7" t="s">
        <v>62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2</v>
      </c>
      <c r="AF25" s="7">
        <v>200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1">
        <v>200</v>
      </c>
      <c r="BN25" s="13">
        <f t="shared" si="0"/>
        <v>200</v>
      </c>
      <c r="BO25" s="14">
        <f t="shared" si="1"/>
        <v>140</v>
      </c>
    </row>
    <row r="26" spans="1:67" x14ac:dyDescent="0.4">
      <c r="A26" s="5" t="s">
        <v>105</v>
      </c>
      <c r="B26" s="5" t="s">
        <v>137</v>
      </c>
      <c r="C26" s="5">
        <v>367415</v>
      </c>
      <c r="D26" s="6"/>
      <c r="E26" s="5" t="s">
        <v>30</v>
      </c>
      <c r="F26" s="5" t="s">
        <v>59</v>
      </c>
      <c r="G26" s="5" t="s">
        <v>11</v>
      </c>
      <c r="H26" s="7" t="s">
        <v>7</v>
      </c>
      <c r="I26" s="7" t="s">
        <v>138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</v>
      </c>
      <c r="AF26" s="7">
        <v>100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100</v>
      </c>
      <c r="BN26" s="13">
        <f t="shared" si="0"/>
        <v>100</v>
      </c>
      <c r="BO26" s="14">
        <f t="shared" si="1"/>
        <v>70</v>
      </c>
    </row>
    <row r="27" spans="1:67" x14ac:dyDescent="0.4">
      <c r="A27" s="5" t="s">
        <v>105</v>
      </c>
      <c r="B27" s="5" t="s">
        <v>103</v>
      </c>
      <c r="C27" s="5">
        <v>451947</v>
      </c>
      <c r="D27" s="6"/>
      <c r="E27" s="5" t="s">
        <v>30</v>
      </c>
      <c r="F27" s="5" t="s">
        <v>31</v>
      </c>
      <c r="G27" s="5" t="s">
        <v>32</v>
      </c>
      <c r="H27" s="7" t="s">
        <v>7</v>
      </c>
      <c r="I27" s="7" t="s">
        <v>71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</v>
      </c>
      <c r="AF27" s="7">
        <v>100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1">
        <v>100</v>
      </c>
      <c r="BN27" s="13">
        <f t="shared" si="0"/>
        <v>100</v>
      </c>
      <c r="BO27" s="14">
        <f t="shared" si="1"/>
        <v>70</v>
      </c>
    </row>
    <row r="28" spans="1:67" x14ac:dyDescent="0.4">
      <c r="A28" s="5" t="s">
        <v>105</v>
      </c>
      <c r="B28" s="5" t="s">
        <v>68</v>
      </c>
      <c r="C28" s="5">
        <v>369060</v>
      </c>
      <c r="D28" s="6"/>
      <c r="E28" s="5" t="s">
        <v>30</v>
      </c>
      <c r="F28" s="5" t="s">
        <v>59</v>
      </c>
      <c r="G28" s="5" t="s">
        <v>11</v>
      </c>
      <c r="H28" s="7" t="s">
        <v>7</v>
      </c>
      <c r="I28" s="7" t="s">
        <v>69</v>
      </c>
      <c r="J28" s="7">
        <v>0</v>
      </c>
      <c r="K28" s="7">
        <v>1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1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1">
        <v>0</v>
      </c>
      <c r="BN28" s="13">
        <f t="shared" si="0"/>
        <v>0</v>
      </c>
      <c r="BO28" s="14">
        <f t="shared" si="1"/>
        <v>0</v>
      </c>
    </row>
    <row r="29" spans="1:67" x14ac:dyDescent="0.4">
      <c r="A29" s="5" t="s">
        <v>106</v>
      </c>
      <c r="B29" s="5" t="s">
        <v>34</v>
      </c>
      <c r="C29" s="5">
        <v>451051</v>
      </c>
      <c r="D29" s="6"/>
      <c r="E29" s="5" t="s">
        <v>30</v>
      </c>
      <c r="F29" s="5" t="s">
        <v>31</v>
      </c>
      <c r="G29" s="5" t="s">
        <v>32</v>
      </c>
      <c r="H29" s="7" t="s">
        <v>10</v>
      </c>
      <c r="I29" s="7" t="s">
        <v>28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201</v>
      </c>
      <c r="AF29" s="8">
        <v>20100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6</v>
      </c>
      <c r="AR29" s="7">
        <v>600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20700</v>
      </c>
      <c r="BN29" s="13">
        <f t="shared" ref="BN29:BN37" si="2">BM29-BL29</f>
        <v>20700</v>
      </c>
      <c r="BO29" s="14">
        <f t="shared" si="1"/>
        <v>14489.999999999998</v>
      </c>
    </row>
    <row r="30" spans="1:67" x14ac:dyDescent="0.4">
      <c r="A30" s="5" t="s">
        <v>106</v>
      </c>
      <c r="B30" s="5" t="s">
        <v>103</v>
      </c>
      <c r="C30" s="5">
        <v>451947</v>
      </c>
      <c r="D30" s="6"/>
      <c r="E30" s="5" t="s">
        <v>30</v>
      </c>
      <c r="F30" s="5" t="s">
        <v>31</v>
      </c>
      <c r="G30" s="5" t="s">
        <v>32</v>
      </c>
      <c r="H30" s="7" t="s">
        <v>7</v>
      </c>
      <c r="I30" s="7" t="s">
        <v>71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148</v>
      </c>
      <c r="AF30" s="8">
        <v>14800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14800</v>
      </c>
      <c r="BN30" s="13">
        <f t="shared" si="2"/>
        <v>14800</v>
      </c>
      <c r="BO30" s="14">
        <f t="shared" si="1"/>
        <v>10360</v>
      </c>
    </row>
    <row r="31" spans="1:67" x14ac:dyDescent="0.4">
      <c r="A31" s="5" t="s">
        <v>106</v>
      </c>
      <c r="B31" s="5" t="s">
        <v>29</v>
      </c>
      <c r="C31" s="5">
        <v>465998</v>
      </c>
      <c r="D31" s="6"/>
      <c r="E31" s="5" t="s">
        <v>30</v>
      </c>
      <c r="F31" s="5" t="s">
        <v>31</v>
      </c>
      <c r="G31" s="5" t="s">
        <v>32</v>
      </c>
      <c r="H31" s="7" t="s">
        <v>10</v>
      </c>
      <c r="I31" s="7" t="s">
        <v>33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11</v>
      </c>
      <c r="AC31" s="8">
        <v>9900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9900</v>
      </c>
      <c r="BN31" s="13">
        <f t="shared" si="2"/>
        <v>9900</v>
      </c>
      <c r="BO31" s="14">
        <f t="shared" si="1"/>
        <v>6930</v>
      </c>
    </row>
    <row r="32" spans="1:67" x14ac:dyDescent="0.4">
      <c r="A32" s="5" t="s">
        <v>106</v>
      </c>
      <c r="B32" s="5" t="s">
        <v>70</v>
      </c>
      <c r="C32" s="5">
        <v>453445</v>
      </c>
      <c r="D32" s="6"/>
      <c r="E32" s="5" t="s">
        <v>30</v>
      </c>
      <c r="F32" s="5" t="s">
        <v>31</v>
      </c>
      <c r="G32" s="5" t="s">
        <v>32</v>
      </c>
      <c r="H32" s="7" t="s">
        <v>8</v>
      </c>
      <c r="I32" s="7" t="s">
        <v>71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6</v>
      </c>
      <c r="AC32" s="8">
        <v>5400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5400</v>
      </c>
      <c r="BN32" s="13">
        <f t="shared" si="2"/>
        <v>5400</v>
      </c>
      <c r="BO32" s="14">
        <f t="shared" si="1"/>
        <v>3779.9999999999995</v>
      </c>
    </row>
    <row r="33" spans="1:67" x14ac:dyDescent="0.4">
      <c r="A33" s="5" t="s">
        <v>106</v>
      </c>
      <c r="B33" s="5" t="s">
        <v>135</v>
      </c>
      <c r="C33" s="5">
        <v>408836</v>
      </c>
      <c r="D33" s="6"/>
      <c r="E33" s="5" t="s">
        <v>30</v>
      </c>
      <c r="F33" s="5" t="s">
        <v>61</v>
      </c>
      <c r="G33" s="5" t="s">
        <v>11</v>
      </c>
      <c r="H33" s="7" t="s">
        <v>7</v>
      </c>
      <c r="I33" s="7" t="s">
        <v>136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6</v>
      </c>
      <c r="AC33" s="8">
        <v>4200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4200</v>
      </c>
      <c r="BN33" s="13">
        <f t="shared" si="2"/>
        <v>4200</v>
      </c>
      <c r="BO33" s="14">
        <f t="shared" si="1"/>
        <v>2940</v>
      </c>
    </row>
    <row r="34" spans="1:67" x14ac:dyDescent="0.4">
      <c r="A34" s="5" t="s">
        <v>106</v>
      </c>
      <c r="B34" s="5" t="s">
        <v>96</v>
      </c>
      <c r="C34" s="5">
        <v>453397</v>
      </c>
      <c r="D34" s="6"/>
      <c r="E34" s="5" t="s">
        <v>30</v>
      </c>
      <c r="F34" s="5" t="s">
        <v>31</v>
      </c>
      <c r="G34" s="5" t="s">
        <v>32</v>
      </c>
      <c r="H34" s="7" t="s">
        <v>8</v>
      </c>
      <c r="I34" s="7" t="s">
        <v>71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36</v>
      </c>
      <c r="AF34" s="8">
        <v>3600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3600</v>
      </c>
      <c r="BN34" s="13">
        <f t="shared" si="2"/>
        <v>3600</v>
      </c>
      <c r="BO34" s="14">
        <f t="shared" si="1"/>
        <v>2520</v>
      </c>
    </row>
    <row r="35" spans="1:67" x14ac:dyDescent="0.4">
      <c r="A35" s="5" t="s">
        <v>106</v>
      </c>
      <c r="B35" s="5" t="s">
        <v>58</v>
      </c>
      <c r="C35" s="5">
        <v>461450</v>
      </c>
      <c r="D35" s="6"/>
      <c r="E35" s="5" t="s">
        <v>30</v>
      </c>
      <c r="F35" s="5" t="s">
        <v>31</v>
      </c>
      <c r="G35" s="5" t="s">
        <v>32</v>
      </c>
      <c r="H35" s="7" t="s">
        <v>10</v>
      </c>
      <c r="I35" s="7" t="s">
        <v>51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3</v>
      </c>
      <c r="AC35" s="8">
        <v>2700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2700</v>
      </c>
      <c r="BN35" s="13">
        <f t="shared" si="2"/>
        <v>2700</v>
      </c>
      <c r="BO35" s="14">
        <f t="shared" si="1"/>
        <v>1889.9999999999998</v>
      </c>
    </row>
    <row r="36" spans="1:67" x14ac:dyDescent="0.4">
      <c r="A36" s="5" t="s">
        <v>106</v>
      </c>
      <c r="B36" s="5" t="s">
        <v>68</v>
      </c>
      <c r="C36" s="5">
        <v>369060</v>
      </c>
      <c r="D36" s="6"/>
      <c r="E36" s="5" t="s">
        <v>30</v>
      </c>
      <c r="F36" s="5" t="s">
        <v>59</v>
      </c>
      <c r="G36" s="5" t="s">
        <v>11</v>
      </c>
      <c r="H36" s="7" t="s">
        <v>7</v>
      </c>
      <c r="I36" s="7" t="s">
        <v>69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9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14</v>
      </c>
      <c r="AF36" s="8">
        <v>1580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1580</v>
      </c>
      <c r="BN36" s="13">
        <f t="shared" si="2"/>
        <v>1580</v>
      </c>
      <c r="BO36" s="14">
        <f t="shared" si="1"/>
        <v>1106</v>
      </c>
    </row>
    <row r="37" spans="1:67" x14ac:dyDescent="0.4">
      <c r="A37" s="5" t="s">
        <v>106</v>
      </c>
      <c r="B37" s="5" t="s">
        <v>97</v>
      </c>
      <c r="C37" s="5">
        <v>455900</v>
      </c>
      <c r="D37" s="6"/>
      <c r="E37" s="5" t="s">
        <v>30</v>
      </c>
      <c r="F37" s="5" t="s">
        <v>31</v>
      </c>
      <c r="G37" s="5" t="s">
        <v>32</v>
      </c>
      <c r="H37" s="7" t="s">
        <v>7</v>
      </c>
      <c r="I37" s="7" t="s">
        <v>79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900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1">
        <v>900</v>
      </c>
      <c r="BN37" s="13">
        <f t="shared" si="2"/>
        <v>900</v>
      </c>
      <c r="BO37" s="14">
        <f t="shared" si="1"/>
        <v>630</v>
      </c>
    </row>
    <row r="38" spans="1:67" x14ac:dyDescent="0.4">
      <c r="A38" s="5" t="s">
        <v>107</v>
      </c>
      <c r="B38" s="5" t="s">
        <v>114</v>
      </c>
      <c r="C38" s="5">
        <v>470383</v>
      </c>
      <c r="D38" s="6"/>
      <c r="E38" s="5" t="s">
        <v>30</v>
      </c>
      <c r="F38" s="5" t="s">
        <v>115</v>
      </c>
      <c r="G38" s="5" t="s">
        <v>37</v>
      </c>
      <c r="H38" s="7" t="s">
        <v>41</v>
      </c>
      <c r="I38" s="7" t="s">
        <v>116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79</v>
      </c>
      <c r="AF38" s="8">
        <v>120860</v>
      </c>
      <c r="AG38" s="8">
        <v>27400</v>
      </c>
      <c r="AH38" s="7">
        <v>0</v>
      </c>
      <c r="AI38" s="7">
        <v>0</v>
      </c>
      <c r="AJ38" s="7">
        <v>0</v>
      </c>
      <c r="AK38" s="7">
        <v>32</v>
      </c>
      <c r="AL38" s="8">
        <v>10660</v>
      </c>
      <c r="AM38" s="8">
        <v>47000</v>
      </c>
      <c r="AN38" s="7">
        <v>0</v>
      </c>
      <c r="AO38" s="7">
        <v>0</v>
      </c>
      <c r="AP38" s="7">
        <v>0</v>
      </c>
      <c r="AQ38" s="7">
        <v>12</v>
      </c>
      <c r="AR38" s="8">
        <v>20900</v>
      </c>
      <c r="AS38" s="8">
        <v>3100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10</v>
      </c>
      <c r="BD38" s="8">
        <v>17520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9">
        <v>4249.2</v>
      </c>
      <c r="BM38" s="10">
        <v>247440</v>
      </c>
      <c r="BN38" s="13">
        <f t="shared" ref="BN38:BN65" si="3">BM38-BL38</f>
        <v>243190.8</v>
      </c>
      <c r="BO38" s="14">
        <f t="shared" si="1"/>
        <v>170233.55999999997</v>
      </c>
    </row>
    <row r="39" spans="1:67" x14ac:dyDescent="0.4">
      <c r="A39" s="5" t="s">
        <v>107</v>
      </c>
      <c r="B39" s="5" t="s">
        <v>120</v>
      </c>
      <c r="C39" s="5">
        <v>470426</v>
      </c>
      <c r="D39" s="6"/>
      <c r="E39" s="5" t="s">
        <v>30</v>
      </c>
      <c r="F39" s="5" t="s">
        <v>121</v>
      </c>
      <c r="G39" s="5" t="s">
        <v>37</v>
      </c>
      <c r="H39" s="7" t="s">
        <v>41</v>
      </c>
      <c r="I39" s="7" t="s">
        <v>122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16</v>
      </c>
      <c r="AF39" s="8">
        <v>34380</v>
      </c>
      <c r="AG39" s="8">
        <v>5500</v>
      </c>
      <c r="AH39" s="7">
        <v>0</v>
      </c>
      <c r="AI39" s="7">
        <v>0</v>
      </c>
      <c r="AJ39" s="7">
        <v>0</v>
      </c>
      <c r="AK39" s="7">
        <v>4</v>
      </c>
      <c r="AL39" s="8">
        <v>9050</v>
      </c>
      <c r="AM39" s="8">
        <v>2500</v>
      </c>
      <c r="AN39" s="7">
        <v>0</v>
      </c>
      <c r="AO39" s="7">
        <v>0</v>
      </c>
      <c r="AP39" s="7">
        <v>0</v>
      </c>
      <c r="AQ39" s="7">
        <v>1</v>
      </c>
      <c r="AR39" s="8">
        <v>2500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4</v>
      </c>
      <c r="BD39" s="8">
        <v>10080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9">
        <v>3319.8</v>
      </c>
      <c r="BM39" s="10">
        <v>64010</v>
      </c>
      <c r="BN39" s="13">
        <f t="shared" si="3"/>
        <v>60690.2</v>
      </c>
      <c r="BO39" s="14">
        <f t="shared" si="1"/>
        <v>42483.139999999992</v>
      </c>
    </row>
    <row r="40" spans="1:67" x14ac:dyDescent="0.4">
      <c r="A40" s="5" t="s">
        <v>107</v>
      </c>
      <c r="B40" s="5" t="s">
        <v>132</v>
      </c>
      <c r="C40" s="5">
        <v>472517</v>
      </c>
      <c r="D40" s="6"/>
      <c r="E40" s="5" t="s">
        <v>30</v>
      </c>
      <c r="F40" s="5" t="s">
        <v>133</v>
      </c>
      <c r="G40" s="5" t="s">
        <v>37</v>
      </c>
      <c r="H40" s="7" t="s">
        <v>41</v>
      </c>
      <c r="I40" s="7" t="s">
        <v>134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16</v>
      </c>
      <c r="AF40" s="8">
        <v>35800</v>
      </c>
      <c r="AG40" s="7">
        <v>500</v>
      </c>
      <c r="AH40" s="7">
        <v>0</v>
      </c>
      <c r="AI40" s="7">
        <v>0</v>
      </c>
      <c r="AJ40" s="7">
        <v>0</v>
      </c>
      <c r="AK40" s="7">
        <v>3</v>
      </c>
      <c r="AL40" s="7">
        <v>0</v>
      </c>
      <c r="AM40" s="8">
        <v>4100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1</v>
      </c>
      <c r="BD40" s="8">
        <v>2520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151.19999999999999</v>
      </c>
      <c r="BM40" s="10">
        <v>42920</v>
      </c>
      <c r="BN40" s="13">
        <f t="shared" si="3"/>
        <v>42768.800000000003</v>
      </c>
      <c r="BO40" s="14">
        <f t="shared" si="1"/>
        <v>29938.16</v>
      </c>
    </row>
    <row r="41" spans="1:67" x14ac:dyDescent="0.4">
      <c r="A41" s="5" t="s">
        <v>107</v>
      </c>
      <c r="B41" s="5" t="s">
        <v>123</v>
      </c>
      <c r="C41" s="5">
        <v>472515</v>
      </c>
      <c r="D41" s="6"/>
      <c r="E41" s="5" t="s">
        <v>30</v>
      </c>
      <c r="F41" s="5" t="s">
        <v>124</v>
      </c>
      <c r="G41" s="5" t="s">
        <v>37</v>
      </c>
      <c r="H41" s="7" t="s">
        <v>41</v>
      </c>
      <c r="I41" s="7" t="s">
        <v>125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13</v>
      </c>
      <c r="AF41" s="8">
        <v>24000</v>
      </c>
      <c r="AG41" s="8">
        <v>2000</v>
      </c>
      <c r="AH41" s="7">
        <v>0</v>
      </c>
      <c r="AI41" s="7">
        <v>0</v>
      </c>
      <c r="AJ41" s="7">
        <v>0</v>
      </c>
      <c r="AK41" s="7">
        <v>2</v>
      </c>
      <c r="AL41" s="7">
        <v>0</v>
      </c>
      <c r="AM41" s="8">
        <v>4000</v>
      </c>
      <c r="AN41" s="7">
        <v>0</v>
      </c>
      <c r="AO41" s="7">
        <v>0</v>
      </c>
      <c r="AP41" s="7">
        <v>0</v>
      </c>
      <c r="AQ41" s="7">
        <v>1</v>
      </c>
      <c r="AR41" s="8">
        <v>2000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1</v>
      </c>
      <c r="BJ41" s="8">
        <v>2400</v>
      </c>
      <c r="BK41" s="7">
        <v>0</v>
      </c>
      <c r="BL41" s="7">
        <v>120</v>
      </c>
      <c r="BM41" s="10">
        <v>34400</v>
      </c>
      <c r="BN41" s="13">
        <f t="shared" si="3"/>
        <v>34280</v>
      </c>
      <c r="BO41" s="14">
        <f t="shared" si="1"/>
        <v>23996</v>
      </c>
    </row>
    <row r="42" spans="1:67" x14ac:dyDescent="0.4">
      <c r="A42" s="5" t="s">
        <v>107</v>
      </c>
      <c r="B42" s="5" t="s">
        <v>39</v>
      </c>
      <c r="C42" s="5">
        <v>459229</v>
      </c>
      <c r="D42" s="6"/>
      <c r="E42" s="5" t="s">
        <v>30</v>
      </c>
      <c r="F42" s="5" t="s">
        <v>40</v>
      </c>
      <c r="G42" s="5" t="s">
        <v>37</v>
      </c>
      <c r="H42" s="7" t="s">
        <v>41</v>
      </c>
      <c r="I42" s="7" t="s">
        <v>42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11</v>
      </c>
      <c r="AF42" s="8">
        <v>27260</v>
      </c>
      <c r="AG42" s="8">
        <v>6000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0">
        <v>33260</v>
      </c>
      <c r="BN42" s="13">
        <f t="shared" si="3"/>
        <v>33260</v>
      </c>
      <c r="BO42" s="14">
        <f t="shared" si="1"/>
        <v>23282</v>
      </c>
    </row>
    <row r="43" spans="1:67" x14ac:dyDescent="0.4">
      <c r="A43" s="5" t="s">
        <v>107</v>
      </c>
      <c r="B43" s="5" t="s">
        <v>129</v>
      </c>
      <c r="C43" s="5">
        <v>472518</v>
      </c>
      <c r="D43" s="6"/>
      <c r="E43" s="5" t="s">
        <v>30</v>
      </c>
      <c r="F43" s="5" t="s">
        <v>130</v>
      </c>
      <c r="G43" s="5" t="s">
        <v>37</v>
      </c>
      <c r="H43" s="7" t="s">
        <v>41</v>
      </c>
      <c r="I43" s="7" t="s">
        <v>131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8</v>
      </c>
      <c r="AF43" s="8">
        <v>14200</v>
      </c>
      <c r="AG43" s="8">
        <v>5000</v>
      </c>
      <c r="AH43" s="7">
        <v>0</v>
      </c>
      <c r="AI43" s="7">
        <v>0</v>
      </c>
      <c r="AJ43" s="7">
        <v>0</v>
      </c>
      <c r="AK43" s="7">
        <v>1</v>
      </c>
      <c r="AL43" s="7">
        <v>0</v>
      </c>
      <c r="AM43" s="8">
        <v>2500</v>
      </c>
      <c r="AN43" s="7">
        <v>0</v>
      </c>
      <c r="AO43" s="7">
        <v>0</v>
      </c>
      <c r="AP43" s="7">
        <v>0</v>
      </c>
      <c r="AQ43" s="7">
        <v>1</v>
      </c>
      <c r="AR43" s="8">
        <v>2500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1</v>
      </c>
      <c r="BD43" s="7">
        <v>960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57.6</v>
      </c>
      <c r="BM43" s="10">
        <v>25160</v>
      </c>
      <c r="BN43" s="13">
        <f t="shared" si="3"/>
        <v>25102.400000000001</v>
      </c>
      <c r="BO43" s="14">
        <f t="shared" si="1"/>
        <v>17571.68</v>
      </c>
    </row>
    <row r="44" spans="1:67" x14ac:dyDescent="0.4">
      <c r="A44" s="5" t="s">
        <v>107</v>
      </c>
      <c r="B44" s="5" t="s">
        <v>48</v>
      </c>
      <c r="C44" s="5">
        <v>465773</v>
      </c>
      <c r="D44" s="6"/>
      <c r="E44" s="5" t="s">
        <v>30</v>
      </c>
      <c r="F44" s="5" t="s">
        <v>49</v>
      </c>
      <c r="G44" s="5" t="s">
        <v>37</v>
      </c>
      <c r="H44" s="7" t="s">
        <v>41</v>
      </c>
      <c r="I44" s="7" t="s">
        <v>50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</v>
      </c>
      <c r="AF44" s="8">
        <v>10200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2</v>
      </c>
      <c r="BD44" s="8">
        <v>4560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273.60000000000002</v>
      </c>
      <c r="BM44" s="10">
        <v>14760</v>
      </c>
      <c r="BN44" s="13">
        <f t="shared" si="3"/>
        <v>14486.4</v>
      </c>
      <c r="BO44" s="14">
        <f t="shared" si="1"/>
        <v>10140.48</v>
      </c>
    </row>
    <row r="45" spans="1:67" x14ac:dyDescent="0.4">
      <c r="A45" s="5" t="s">
        <v>107</v>
      </c>
      <c r="B45" s="5" t="s">
        <v>74</v>
      </c>
      <c r="C45" s="5">
        <v>457533</v>
      </c>
      <c r="D45" s="6"/>
      <c r="E45" s="5" t="s">
        <v>30</v>
      </c>
      <c r="F45" s="5" t="s">
        <v>75</v>
      </c>
      <c r="G45" s="5" t="s">
        <v>37</v>
      </c>
      <c r="H45" s="7" t="s">
        <v>41</v>
      </c>
      <c r="I45" s="7" t="s">
        <v>76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3</v>
      </c>
      <c r="AF45" s="8">
        <v>3800</v>
      </c>
      <c r="AG45" s="8">
        <v>2000</v>
      </c>
      <c r="AH45" s="7">
        <v>0</v>
      </c>
      <c r="AI45" s="7">
        <v>0</v>
      </c>
      <c r="AJ45" s="7">
        <v>0</v>
      </c>
      <c r="AK45" s="7">
        <v>2</v>
      </c>
      <c r="AL45" s="8">
        <v>5040</v>
      </c>
      <c r="AM45" s="7">
        <v>0</v>
      </c>
      <c r="AN45" s="7">
        <v>0</v>
      </c>
      <c r="AO45" s="7">
        <v>0</v>
      </c>
      <c r="AP45" s="7">
        <v>0</v>
      </c>
      <c r="AQ45" s="7">
        <v>1</v>
      </c>
      <c r="AR45" s="8">
        <v>2500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1512</v>
      </c>
      <c r="BM45" s="10">
        <v>13340</v>
      </c>
      <c r="BN45" s="13">
        <f t="shared" si="3"/>
        <v>11828</v>
      </c>
      <c r="BO45" s="14">
        <f t="shared" si="1"/>
        <v>8279.6</v>
      </c>
    </row>
    <row r="46" spans="1:67" x14ac:dyDescent="0.4">
      <c r="A46" s="5" t="s">
        <v>107</v>
      </c>
      <c r="B46" s="5" t="s">
        <v>43</v>
      </c>
      <c r="C46" s="5">
        <v>468578</v>
      </c>
      <c r="D46" s="6"/>
      <c r="E46" s="5" t="s">
        <v>30</v>
      </c>
      <c r="F46" s="5" t="s">
        <v>44</v>
      </c>
      <c r="G46" s="5" t="s">
        <v>37</v>
      </c>
      <c r="H46" s="7" t="s">
        <v>41</v>
      </c>
      <c r="I46" s="7" t="s">
        <v>45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</v>
      </c>
      <c r="AF46" s="8">
        <v>9000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1</v>
      </c>
      <c r="AR46" s="8">
        <v>2800</v>
      </c>
      <c r="AS46" s="7">
        <v>200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12000</v>
      </c>
      <c r="BN46" s="13">
        <f t="shared" si="3"/>
        <v>12000</v>
      </c>
      <c r="BO46" s="14">
        <f t="shared" si="1"/>
        <v>8400</v>
      </c>
    </row>
    <row r="47" spans="1:67" x14ac:dyDescent="0.4">
      <c r="A47" s="5" t="s">
        <v>107</v>
      </c>
      <c r="B47" s="5" t="s">
        <v>35</v>
      </c>
      <c r="C47" s="5">
        <v>464786</v>
      </c>
      <c r="D47" s="6"/>
      <c r="E47" s="5" t="s">
        <v>30</v>
      </c>
      <c r="F47" s="5" t="s">
        <v>36</v>
      </c>
      <c r="G47" s="5" t="s">
        <v>37</v>
      </c>
      <c r="H47" s="7" t="s">
        <v>10</v>
      </c>
      <c r="I47" s="7" t="s">
        <v>38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4</v>
      </c>
      <c r="AF47" s="8">
        <v>7500</v>
      </c>
      <c r="AG47" s="8">
        <v>2500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10000</v>
      </c>
      <c r="BN47" s="13">
        <f t="shared" si="3"/>
        <v>10000</v>
      </c>
      <c r="BO47" s="14">
        <f t="shared" si="1"/>
        <v>7000</v>
      </c>
    </row>
    <row r="48" spans="1:67" x14ac:dyDescent="0.4">
      <c r="A48" s="5" t="s">
        <v>107</v>
      </c>
      <c r="B48" s="5" t="s">
        <v>72</v>
      </c>
      <c r="C48" s="5">
        <v>461347</v>
      </c>
      <c r="D48" s="6"/>
      <c r="E48" s="5" t="s">
        <v>30</v>
      </c>
      <c r="F48" s="5" t="s">
        <v>56</v>
      </c>
      <c r="G48" s="5" t="s">
        <v>37</v>
      </c>
      <c r="H48" s="7" t="s">
        <v>41</v>
      </c>
      <c r="I48" s="7" t="s">
        <v>73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4</v>
      </c>
      <c r="AF48" s="8">
        <v>8000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0">
        <v>8000</v>
      </c>
      <c r="BN48" s="13">
        <f t="shared" si="3"/>
        <v>8000</v>
      </c>
      <c r="BO48" s="14">
        <f t="shared" si="1"/>
        <v>5600</v>
      </c>
    </row>
    <row r="49" spans="1:67" x14ac:dyDescent="0.4">
      <c r="A49" s="5" t="s">
        <v>107</v>
      </c>
      <c r="B49" s="5" t="s">
        <v>117</v>
      </c>
      <c r="C49" s="5">
        <v>472516</v>
      </c>
      <c r="D49" s="6"/>
      <c r="E49" s="5" t="s">
        <v>30</v>
      </c>
      <c r="F49" s="5" t="s">
        <v>118</v>
      </c>
      <c r="G49" s="5" t="s">
        <v>37</v>
      </c>
      <c r="H49" s="7" t="s">
        <v>41</v>
      </c>
      <c r="I49" s="7" t="s">
        <v>119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</v>
      </c>
      <c r="AF49" s="8">
        <v>5000</v>
      </c>
      <c r="AG49" s="7">
        <v>0</v>
      </c>
      <c r="AH49" s="7">
        <v>0</v>
      </c>
      <c r="AI49" s="7">
        <v>0</v>
      </c>
      <c r="AJ49" s="7">
        <v>0</v>
      </c>
      <c r="AK49" s="7">
        <v>1</v>
      </c>
      <c r="AL49" s="7">
        <v>0</v>
      </c>
      <c r="AM49" s="8">
        <v>1000</v>
      </c>
      <c r="AN49" s="7">
        <v>0</v>
      </c>
      <c r="AO49" s="7">
        <v>0</v>
      </c>
      <c r="AP49" s="7">
        <v>0</v>
      </c>
      <c r="AQ49" s="7">
        <v>1</v>
      </c>
      <c r="AR49" s="8">
        <v>2000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8000</v>
      </c>
      <c r="BN49" s="13">
        <f t="shared" si="3"/>
        <v>8000</v>
      </c>
      <c r="BO49" s="14">
        <f t="shared" si="1"/>
        <v>5600</v>
      </c>
    </row>
    <row r="50" spans="1:67" x14ac:dyDescent="0.4">
      <c r="A50" s="5" t="s">
        <v>107</v>
      </c>
      <c r="B50" s="5" t="s">
        <v>111</v>
      </c>
      <c r="C50" s="5">
        <v>335136</v>
      </c>
      <c r="D50" s="6"/>
      <c r="E50" s="5" t="s">
        <v>30</v>
      </c>
      <c r="F50" s="5" t="s">
        <v>112</v>
      </c>
      <c r="G50" s="5" t="s">
        <v>47</v>
      </c>
      <c r="H50" s="7" t="s">
        <v>41</v>
      </c>
      <c r="I50" s="7" t="s">
        <v>113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2</v>
      </c>
      <c r="AF50" s="8">
        <v>6100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0">
        <v>6100</v>
      </c>
      <c r="BN50" s="13">
        <f t="shared" si="3"/>
        <v>6100</v>
      </c>
      <c r="BO50" s="14">
        <f t="shared" si="1"/>
        <v>4270</v>
      </c>
    </row>
    <row r="51" spans="1:67" x14ac:dyDescent="0.4">
      <c r="A51" s="5" t="s">
        <v>107</v>
      </c>
      <c r="B51" s="5" t="s">
        <v>108</v>
      </c>
      <c r="C51" s="5">
        <v>465756</v>
      </c>
      <c r="D51" s="6"/>
      <c r="E51" s="5" t="s">
        <v>30</v>
      </c>
      <c r="F51" s="5" t="s">
        <v>109</v>
      </c>
      <c r="G51" s="5" t="s">
        <v>110</v>
      </c>
      <c r="H51" s="7" t="s">
        <v>7</v>
      </c>
      <c r="I51" s="7" t="s">
        <v>33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8">
        <v>5500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5500</v>
      </c>
      <c r="BN51" s="13">
        <f t="shared" si="3"/>
        <v>5500</v>
      </c>
      <c r="BO51" s="14">
        <f t="shared" si="1"/>
        <v>3849.9999999999995</v>
      </c>
    </row>
    <row r="52" spans="1:67" x14ac:dyDescent="0.4">
      <c r="A52" s="5" t="s">
        <v>107</v>
      </c>
      <c r="B52" s="5" t="s">
        <v>139</v>
      </c>
      <c r="C52" s="5">
        <v>470433</v>
      </c>
      <c r="D52" s="6"/>
      <c r="E52" s="5" t="s">
        <v>30</v>
      </c>
      <c r="F52" s="5" t="s">
        <v>140</v>
      </c>
      <c r="G52" s="5" t="s">
        <v>37</v>
      </c>
      <c r="H52" s="7" t="s">
        <v>7</v>
      </c>
      <c r="I52" s="7" t="s">
        <v>141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2</v>
      </c>
      <c r="AF52" s="8">
        <v>3700</v>
      </c>
      <c r="AG52" s="7">
        <v>500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1</v>
      </c>
      <c r="BD52" s="7">
        <v>960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57.6</v>
      </c>
      <c r="BM52" s="10">
        <v>5160</v>
      </c>
      <c r="BN52" s="13">
        <f t="shared" si="3"/>
        <v>5102.3999999999996</v>
      </c>
      <c r="BO52" s="14">
        <f t="shared" si="1"/>
        <v>3571.6799999999994</v>
      </c>
    </row>
    <row r="53" spans="1:67" x14ac:dyDescent="0.4">
      <c r="A53" s="5" t="s">
        <v>107</v>
      </c>
      <c r="B53" s="5" t="s">
        <v>98</v>
      </c>
      <c r="C53" s="5">
        <v>457068</v>
      </c>
      <c r="D53" s="6"/>
      <c r="E53" s="5" t="s">
        <v>30</v>
      </c>
      <c r="F53" s="5" t="s">
        <v>99</v>
      </c>
      <c r="G53" s="5" t="s">
        <v>37</v>
      </c>
      <c r="H53" s="7" t="s">
        <v>41</v>
      </c>
      <c r="I53" s="7" t="s">
        <v>100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</v>
      </c>
      <c r="AF53" s="8">
        <v>4500</v>
      </c>
      <c r="AG53" s="7">
        <v>500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5000</v>
      </c>
      <c r="BN53" s="13">
        <f t="shared" si="3"/>
        <v>5000</v>
      </c>
      <c r="BO53" s="14">
        <f t="shared" si="1"/>
        <v>3500</v>
      </c>
    </row>
    <row r="54" spans="1:67" x14ac:dyDescent="0.4">
      <c r="A54" s="5" t="s">
        <v>107</v>
      </c>
      <c r="B54" s="5" t="s">
        <v>142</v>
      </c>
      <c r="C54" s="5">
        <v>442669</v>
      </c>
      <c r="D54" s="6"/>
      <c r="E54" s="5" t="s">
        <v>30</v>
      </c>
      <c r="F54" s="5" t="s">
        <v>143</v>
      </c>
      <c r="G54" s="5" t="s">
        <v>47</v>
      </c>
      <c r="H54" s="7" t="s">
        <v>41</v>
      </c>
      <c r="I54" s="7" t="s">
        <v>144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1</v>
      </c>
      <c r="AL54" s="8">
        <v>4200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9">
        <v>1260</v>
      </c>
      <c r="BM54" s="10">
        <v>4200</v>
      </c>
      <c r="BN54" s="13">
        <f t="shared" si="3"/>
        <v>2940</v>
      </c>
      <c r="BO54" s="14">
        <f t="shared" si="1"/>
        <v>2058</v>
      </c>
    </row>
    <row r="55" spans="1:67" x14ac:dyDescent="0.4">
      <c r="A55" s="5" t="s">
        <v>107</v>
      </c>
      <c r="B55" s="5" t="s">
        <v>77</v>
      </c>
      <c r="C55" s="5">
        <v>395231</v>
      </c>
      <c r="D55" s="6"/>
      <c r="E55" s="5" t="s">
        <v>30</v>
      </c>
      <c r="F55" s="5" t="s">
        <v>46</v>
      </c>
      <c r="G55" s="5" t="s">
        <v>47</v>
      </c>
      <c r="H55" s="7" t="s">
        <v>41</v>
      </c>
      <c r="I55" s="7" t="s">
        <v>78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1</v>
      </c>
      <c r="BD55" s="8">
        <v>4200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252</v>
      </c>
      <c r="BM55" s="10">
        <v>4200</v>
      </c>
      <c r="BN55" s="13">
        <f t="shared" si="3"/>
        <v>3948</v>
      </c>
      <c r="BO55" s="14">
        <f t="shared" si="1"/>
        <v>2763.6</v>
      </c>
    </row>
    <row r="56" spans="1:67" x14ac:dyDescent="0.4">
      <c r="A56" s="5" t="s">
        <v>107</v>
      </c>
      <c r="B56" s="5" t="s">
        <v>55</v>
      </c>
      <c r="C56" s="5">
        <v>467559</v>
      </c>
      <c r="D56" s="6"/>
      <c r="E56" s="5" t="s">
        <v>30</v>
      </c>
      <c r="F56" s="5" t="s">
        <v>56</v>
      </c>
      <c r="G56" s="5" t="s">
        <v>37</v>
      </c>
      <c r="H56" s="7" t="s">
        <v>7</v>
      </c>
      <c r="I56" s="7" t="s">
        <v>57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8">
        <v>2000</v>
      </c>
      <c r="AG56" s="7">
        <v>0</v>
      </c>
      <c r="AH56" s="7">
        <v>0</v>
      </c>
      <c r="AI56" s="7">
        <v>0</v>
      </c>
      <c r="AJ56" s="7">
        <v>0</v>
      </c>
      <c r="AK56" s="7">
        <v>1</v>
      </c>
      <c r="AL56" s="7">
        <v>0</v>
      </c>
      <c r="AM56" s="7">
        <v>300</v>
      </c>
      <c r="AN56" s="7">
        <v>0</v>
      </c>
      <c r="AO56" s="7">
        <v>0</v>
      </c>
      <c r="AP56" s="7">
        <v>0</v>
      </c>
      <c r="AQ56" s="7">
        <v>1</v>
      </c>
      <c r="AR56" s="8">
        <v>1700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4000</v>
      </c>
      <c r="BN56" s="13">
        <f t="shared" si="3"/>
        <v>4000</v>
      </c>
      <c r="BO56" s="14">
        <f t="shared" si="1"/>
        <v>2800</v>
      </c>
    </row>
    <row r="57" spans="1:67" x14ac:dyDescent="0.4">
      <c r="A57" s="5" t="s">
        <v>107</v>
      </c>
      <c r="B57" s="5" t="s">
        <v>80</v>
      </c>
      <c r="C57" s="5">
        <v>457534</v>
      </c>
      <c r="D57" s="6"/>
      <c r="E57" s="5" t="s">
        <v>30</v>
      </c>
      <c r="F57" s="5" t="s">
        <v>81</v>
      </c>
      <c r="G57" s="5" t="s">
        <v>37</v>
      </c>
      <c r="H57" s="7" t="s">
        <v>41</v>
      </c>
      <c r="I57" s="7" t="s">
        <v>82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2</v>
      </c>
      <c r="AF57" s="8">
        <v>2000</v>
      </c>
      <c r="AG57" s="8">
        <v>2000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4000</v>
      </c>
      <c r="BN57" s="13">
        <f t="shared" si="3"/>
        <v>4000</v>
      </c>
      <c r="BO57" s="14">
        <f t="shared" si="1"/>
        <v>2800</v>
      </c>
    </row>
    <row r="58" spans="1:67" x14ac:dyDescent="0.4">
      <c r="A58" s="5" t="s">
        <v>107</v>
      </c>
      <c r="B58" s="5" t="s">
        <v>126</v>
      </c>
      <c r="C58" s="5">
        <v>472519</v>
      </c>
      <c r="D58" s="6"/>
      <c r="E58" s="5" t="s">
        <v>30</v>
      </c>
      <c r="F58" s="5" t="s">
        <v>127</v>
      </c>
      <c r="G58" s="5" t="s">
        <v>37</v>
      </c>
      <c r="H58" s="7" t="s">
        <v>7</v>
      </c>
      <c r="I58" s="7" t="s">
        <v>128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8">
        <v>3400</v>
      </c>
      <c r="AG58" s="7">
        <v>200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3600</v>
      </c>
      <c r="BN58" s="13">
        <f t="shared" si="3"/>
        <v>3600</v>
      </c>
      <c r="BO58" s="14">
        <f t="shared" si="1"/>
        <v>2520</v>
      </c>
    </row>
    <row r="59" spans="1:67" x14ac:dyDescent="0.4">
      <c r="A59" s="5" t="s">
        <v>107</v>
      </c>
      <c r="B59" s="5" t="s">
        <v>83</v>
      </c>
      <c r="C59" s="5">
        <v>387161</v>
      </c>
      <c r="D59" s="6"/>
      <c r="E59" s="5" t="s">
        <v>30</v>
      </c>
      <c r="F59" s="5" t="s">
        <v>84</v>
      </c>
      <c r="G59" s="5" t="s">
        <v>64</v>
      </c>
      <c r="H59" s="7" t="s">
        <v>41</v>
      </c>
      <c r="I59" s="7" t="s">
        <v>85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1</v>
      </c>
      <c r="AL59" s="7">
        <v>0</v>
      </c>
      <c r="AM59" s="8">
        <v>3200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3200</v>
      </c>
      <c r="BN59" s="13">
        <f t="shared" si="3"/>
        <v>3200</v>
      </c>
      <c r="BO59" s="14">
        <f t="shared" si="1"/>
        <v>2240</v>
      </c>
    </row>
    <row r="60" spans="1:67" x14ac:dyDescent="0.4">
      <c r="A60" s="5" t="s">
        <v>107</v>
      </c>
      <c r="B60" s="5" t="s">
        <v>91</v>
      </c>
      <c r="C60" s="5">
        <v>464792</v>
      </c>
      <c r="D60" s="6"/>
      <c r="E60" s="5" t="s">
        <v>30</v>
      </c>
      <c r="F60" s="5" t="s">
        <v>92</v>
      </c>
      <c r="G60" s="5" t="s">
        <v>37</v>
      </c>
      <c r="H60" s="7" t="s">
        <v>41</v>
      </c>
      <c r="I60" s="7" t="s">
        <v>93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1</v>
      </c>
      <c r="AF60" s="7">
        <v>0</v>
      </c>
      <c r="AG60" s="8">
        <v>1000</v>
      </c>
      <c r="AH60" s="7">
        <v>0</v>
      </c>
      <c r="AI60" s="7">
        <v>0</v>
      </c>
      <c r="AJ60" s="7">
        <v>0</v>
      </c>
      <c r="AK60" s="7">
        <v>1</v>
      </c>
      <c r="AL60" s="7">
        <v>0</v>
      </c>
      <c r="AM60" s="7">
        <v>100</v>
      </c>
      <c r="AN60" s="7">
        <v>0</v>
      </c>
      <c r="AO60" s="7">
        <v>0</v>
      </c>
      <c r="AP60" s="7">
        <v>0</v>
      </c>
      <c r="AQ60" s="7">
        <v>1</v>
      </c>
      <c r="AR60" s="8">
        <v>1400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10">
        <v>2500</v>
      </c>
      <c r="BN60" s="13">
        <f t="shared" si="3"/>
        <v>2500</v>
      </c>
      <c r="BO60" s="14">
        <f t="shared" si="1"/>
        <v>1750</v>
      </c>
    </row>
    <row r="61" spans="1:67" x14ac:dyDescent="0.4">
      <c r="A61" s="5" t="s">
        <v>107</v>
      </c>
      <c r="B61" s="5" t="s">
        <v>145</v>
      </c>
      <c r="C61" s="5">
        <v>464787</v>
      </c>
      <c r="D61" s="6"/>
      <c r="E61" s="5" t="s">
        <v>30</v>
      </c>
      <c r="F61" s="5" t="s">
        <v>140</v>
      </c>
      <c r="G61" s="5" t="s">
        <v>37</v>
      </c>
      <c r="H61" s="7" t="s">
        <v>41</v>
      </c>
      <c r="I61" s="7" t="s">
        <v>33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8">
        <v>2500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2500</v>
      </c>
      <c r="BN61" s="13">
        <f t="shared" si="3"/>
        <v>2500</v>
      </c>
      <c r="BO61" s="14">
        <f t="shared" si="1"/>
        <v>1750</v>
      </c>
    </row>
    <row r="62" spans="1:67" ht="19.2" x14ac:dyDescent="0.4">
      <c r="A62" s="5" t="s">
        <v>107</v>
      </c>
      <c r="B62" s="5" t="s">
        <v>65</v>
      </c>
      <c r="C62" s="5">
        <v>468582</v>
      </c>
      <c r="D62" s="6"/>
      <c r="E62" s="5" t="s">
        <v>30</v>
      </c>
      <c r="F62" s="5" t="s">
        <v>66</v>
      </c>
      <c r="G62" s="5" t="s">
        <v>37</v>
      </c>
      <c r="H62" s="7" t="s">
        <v>10</v>
      </c>
      <c r="I62" s="7" t="s">
        <v>67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1</v>
      </c>
      <c r="AR62" s="8">
        <v>2500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2500</v>
      </c>
      <c r="BN62" s="13">
        <f t="shared" si="3"/>
        <v>2500</v>
      </c>
      <c r="BO62" s="14">
        <f t="shared" si="1"/>
        <v>1750</v>
      </c>
    </row>
    <row r="63" spans="1:67" x14ac:dyDescent="0.4">
      <c r="A63" s="5" t="s">
        <v>107</v>
      </c>
      <c r="B63" s="5" t="s">
        <v>52</v>
      </c>
      <c r="C63" s="5">
        <v>467564</v>
      </c>
      <c r="D63" s="6"/>
      <c r="E63" s="5" t="s">
        <v>30</v>
      </c>
      <c r="F63" s="5" t="s">
        <v>53</v>
      </c>
      <c r="G63" s="5" t="s">
        <v>37</v>
      </c>
      <c r="H63" s="7" t="s">
        <v>41</v>
      </c>
      <c r="I63" s="7" t="s">
        <v>54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8">
        <v>2000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2000</v>
      </c>
      <c r="BN63" s="13">
        <f t="shared" si="3"/>
        <v>2000</v>
      </c>
      <c r="BO63" s="14">
        <f t="shared" si="1"/>
        <v>1400</v>
      </c>
    </row>
    <row r="64" spans="1:67" x14ac:dyDescent="0.4">
      <c r="A64" s="5" t="s">
        <v>107</v>
      </c>
      <c r="B64" s="5" t="s">
        <v>29</v>
      </c>
      <c r="C64" s="5">
        <v>465998</v>
      </c>
      <c r="D64" s="6"/>
      <c r="E64" s="5" t="s">
        <v>30</v>
      </c>
      <c r="F64" s="5" t="s">
        <v>31</v>
      </c>
      <c r="G64" s="5" t="s">
        <v>32</v>
      </c>
      <c r="H64" s="7" t="s">
        <v>10</v>
      </c>
      <c r="I64" s="7" t="s">
        <v>33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1</v>
      </c>
      <c r="AC64" s="7">
        <v>900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1">
        <v>900</v>
      </c>
      <c r="BN64" s="13">
        <f t="shared" si="3"/>
        <v>900</v>
      </c>
      <c r="BO64" s="14">
        <f t="shared" si="1"/>
        <v>630</v>
      </c>
    </row>
    <row r="65" spans="1:67" x14ac:dyDescent="0.4">
      <c r="A65" s="5" t="s">
        <v>107</v>
      </c>
      <c r="B65" s="5" t="s">
        <v>104</v>
      </c>
      <c r="C65" s="5">
        <v>395237</v>
      </c>
      <c r="D65" s="6"/>
      <c r="E65" s="5" t="s">
        <v>30</v>
      </c>
      <c r="F65" s="5" t="s">
        <v>46</v>
      </c>
      <c r="G65" s="5" t="s">
        <v>47</v>
      </c>
      <c r="H65" s="7" t="s">
        <v>41</v>
      </c>
      <c r="I65" s="7" t="s">
        <v>78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200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1</v>
      </c>
      <c r="BD65" s="7">
        <v>240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14.4</v>
      </c>
      <c r="BM65" s="11">
        <v>440</v>
      </c>
      <c r="BN65" s="13">
        <f t="shared" si="3"/>
        <v>425.6</v>
      </c>
      <c r="BO65" s="14">
        <f t="shared" si="1"/>
        <v>297.92</v>
      </c>
    </row>
    <row r="66" spans="1:67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8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17">
        <f>SUM(BL2:BL65)</f>
        <v>11944.2</v>
      </c>
      <c r="BM66" s="17">
        <f t="shared" ref="BM66:BO66" si="4">SUM(BM2:BM65)</f>
        <v>771090</v>
      </c>
      <c r="BN66" s="17">
        <f t="shared" si="4"/>
        <v>759145.8</v>
      </c>
      <c r="BO66" s="16">
        <f t="shared" si="4"/>
        <v>531402.05999999994</v>
      </c>
    </row>
    <row r="67" spans="1:67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7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8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7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8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7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8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7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8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0"/>
    </row>
    <row r="72" spans="1:67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8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0"/>
    </row>
    <row r="73" spans="1:67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8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0"/>
    </row>
    <row r="74" spans="1:67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8"/>
      <c r="AG74" s="8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0"/>
    </row>
    <row r="75" spans="1:67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8"/>
      <c r="AD75" s="8"/>
      <c r="AE75" s="7"/>
      <c r="AF75" s="8"/>
      <c r="AG75" s="7"/>
      <c r="AH75" s="7"/>
      <c r="AI75" s="7"/>
      <c r="AJ75" s="7"/>
      <c r="AK75" s="7"/>
      <c r="AL75" s="7"/>
      <c r="AM75" s="7"/>
      <c r="AN75" s="7"/>
      <c r="AO75" s="8"/>
      <c r="AP75" s="8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0"/>
    </row>
    <row r="76" spans="1:67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8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  <c r="AS76" s="8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7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8"/>
      <c r="AG77" s="8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8"/>
      <c r="AS77" s="8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7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8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8"/>
      <c r="AG79" s="8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0"/>
    </row>
    <row r="80" spans="1:67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8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8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8"/>
      <c r="AS81" s="8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8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8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8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8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8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8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8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8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8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8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8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8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8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8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8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8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8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8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8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8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8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8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1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1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1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1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1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1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1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1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1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1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8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8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8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8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8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8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8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8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8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8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8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8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8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8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8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8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8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8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8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8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8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8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8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8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8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8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8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1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1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1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1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1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1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1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1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1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1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1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1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1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1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8"/>
      <c r="AH210" s="7"/>
      <c r="AI210" s="7"/>
      <c r="AJ210" s="7"/>
      <c r="AK210" s="7"/>
      <c r="AL210" s="8"/>
      <c r="AM210" s="8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9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8"/>
      <c r="AD211" s="7"/>
      <c r="AE211" s="7"/>
      <c r="AF211" s="7"/>
      <c r="AG211" s="7"/>
      <c r="AH211" s="7"/>
      <c r="AI211" s="8"/>
      <c r="AJ211" s="7"/>
      <c r="AK211" s="7"/>
      <c r="AL211" s="7"/>
      <c r="AM211" s="7"/>
      <c r="AN211" s="7"/>
      <c r="AO211" s="8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9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8"/>
      <c r="AG213" s="7"/>
      <c r="AH213" s="7"/>
      <c r="AI213" s="7"/>
      <c r="AJ213" s="7"/>
      <c r="AK213" s="7"/>
      <c r="AL213" s="8"/>
      <c r="AM213" s="8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9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8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9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8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8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9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8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8"/>
      <c r="AM217" s="8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8"/>
      <c r="AG218" s="7"/>
      <c r="AH218" s="7"/>
      <c r="AI218" s="7"/>
      <c r="AJ218" s="7"/>
      <c r="AK218" s="7"/>
      <c r="AL218" s="7"/>
      <c r="AM218" s="8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8"/>
      <c r="AM219" s="7"/>
      <c r="AN219" s="7"/>
      <c r="AO219" s="7"/>
      <c r="AP219" s="7"/>
      <c r="AQ219" s="7"/>
      <c r="AR219" s="8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8"/>
      <c r="AH220" s="7"/>
      <c r="AI220" s="7"/>
      <c r="AJ220" s="7"/>
      <c r="AK220" s="7"/>
      <c r="AL220" s="8"/>
      <c r="AM220" s="8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8"/>
      <c r="AM221" s="8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9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8"/>
      <c r="AM222" s="8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9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8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9"/>
      <c r="BM224" s="10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8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9"/>
      <c r="BM226" s="10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8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0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8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0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8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8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8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8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8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0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8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8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0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8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0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8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8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8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8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8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8"/>
      <c r="AG248" s="8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8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8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8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8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8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8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8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8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8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8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8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8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8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8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8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8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8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8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8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8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8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8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8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8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1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1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1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1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1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1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1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1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1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1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1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1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1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8"/>
      <c r="L319" s="8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8"/>
      <c r="AF319" s="8"/>
      <c r="AG319" s="8"/>
      <c r="AH319" s="7"/>
      <c r="AI319" s="7"/>
      <c r="AJ319" s="7"/>
      <c r="AK319" s="8"/>
      <c r="AL319" s="8"/>
      <c r="AM319" s="8"/>
      <c r="AN319" s="7"/>
      <c r="AO319" s="7"/>
      <c r="AP319" s="7"/>
      <c r="AQ319" s="8"/>
      <c r="AR319" s="8"/>
      <c r="AS319" s="8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8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8"/>
      <c r="AF320" s="8"/>
      <c r="AG320" s="8"/>
      <c r="AH320" s="7"/>
      <c r="AI320" s="7"/>
      <c r="AJ320" s="7"/>
      <c r="AK320" s="8"/>
      <c r="AL320" s="8"/>
      <c r="AM320" s="8"/>
      <c r="AN320" s="7"/>
      <c r="AO320" s="7"/>
      <c r="AP320" s="7"/>
      <c r="AQ320" s="7"/>
      <c r="AR320" s="8"/>
      <c r="AS320" s="8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8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8"/>
      <c r="AF321" s="8"/>
      <c r="AG321" s="8"/>
      <c r="AH321" s="7"/>
      <c r="AI321" s="7"/>
      <c r="AJ321" s="7"/>
      <c r="AK321" s="8"/>
      <c r="AL321" s="8"/>
      <c r="AM321" s="8"/>
      <c r="AN321" s="7"/>
      <c r="AO321" s="7"/>
      <c r="AP321" s="7"/>
      <c r="AQ321" s="8"/>
      <c r="AR321" s="8"/>
      <c r="AS321" s="8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9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8"/>
      <c r="AF322" s="8"/>
      <c r="AG322" s="8"/>
      <c r="AH322" s="7"/>
      <c r="AI322" s="7"/>
      <c r="AJ322" s="7"/>
      <c r="AK322" s="8"/>
      <c r="AL322" s="8"/>
      <c r="AM322" s="8"/>
      <c r="AN322" s="7"/>
      <c r="AO322" s="7"/>
      <c r="AP322" s="7"/>
      <c r="AQ322" s="8"/>
      <c r="AR322" s="8"/>
      <c r="AS322" s="8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9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8"/>
      <c r="AH323" s="7"/>
      <c r="AI323" s="7"/>
      <c r="AJ323" s="7"/>
      <c r="AK323" s="7"/>
      <c r="AL323" s="8"/>
      <c r="AM323" s="8"/>
      <c r="AN323" s="7"/>
      <c r="AO323" s="7"/>
      <c r="AP323" s="7"/>
      <c r="AQ323" s="7"/>
      <c r="AR323" s="8"/>
      <c r="AS323" s="8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8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8"/>
      <c r="AF324" s="8"/>
      <c r="AG324" s="8"/>
      <c r="AH324" s="7"/>
      <c r="AI324" s="7"/>
      <c r="AJ324" s="7"/>
      <c r="AK324" s="8"/>
      <c r="AL324" s="8"/>
      <c r="AM324" s="8"/>
      <c r="AN324" s="7"/>
      <c r="AO324" s="7"/>
      <c r="AP324" s="7"/>
      <c r="AQ324" s="7"/>
      <c r="AR324" s="8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8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8"/>
      <c r="AF325" s="8"/>
      <c r="AG325" s="8"/>
      <c r="AH325" s="7"/>
      <c r="AI325" s="7"/>
      <c r="AJ325" s="7"/>
      <c r="AK325" s="8"/>
      <c r="AL325" s="8"/>
      <c r="AM325" s="8"/>
      <c r="AN325" s="7"/>
      <c r="AO325" s="7"/>
      <c r="AP325" s="7"/>
      <c r="AQ325" s="7"/>
      <c r="AR325" s="8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9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8"/>
      <c r="AF326" s="8"/>
      <c r="AG326" s="8"/>
      <c r="AH326" s="7"/>
      <c r="AI326" s="7"/>
      <c r="AJ326" s="7"/>
      <c r="AK326" s="8"/>
      <c r="AL326" s="8"/>
      <c r="AM326" s="8"/>
      <c r="AN326" s="7"/>
      <c r="AO326" s="7"/>
      <c r="AP326" s="7"/>
      <c r="AQ326" s="7"/>
      <c r="AR326" s="8"/>
      <c r="AS326" s="8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8"/>
      <c r="L327" s="8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8"/>
      <c r="AF327" s="8"/>
      <c r="AG327" s="8"/>
      <c r="AH327" s="7"/>
      <c r="AI327" s="7"/>
      <c r="AJ327" s="7"/>
      <c r="AK327" s="8"/>
      <c r="AL327" s="8"/>
      <c r="AM327" s="8"/>
      <c r="AN327" s="7"/>
      <c r="AO327" s="7"/>
      <c r="AP327" s="7"/>
      <c r="AQ327" s="7"/>
      <c r="AR327" s="8"/>
      <c r="AS327" s="8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9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8"/>
      <c r="AF328" s="8"/>
      <c r="AG328" s="8"/>
      <c r="AH328" s="7"/>
      <c r="AI328" s="7"/>
      <c r="AJ328" s="7"/>
      <c r="AK328" s="8"/>
      <c r="AL328" s="8"/>
      <c r="AM328" s="8"/>
      <c r="AN328" s="7"/>
      <c r="AO328" s="7"/>
      <c r="AP328" s="7"/>
      <c r="AQ328" s="7"/>
      <c r="AR328" s="8"/>
      <c r="AS328" s="8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9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8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8"/>
      <c r="AF329" s="8"/>
      <c r="AG329" s="8"/>
      <c r="AH329" s="7"/>
      <c r="AI329" s="7"/>
      <c r="AJ329" s="7"/>
      <c r="AK329" s="8"/>
      <c r="AL329" s="8"/>
      <c r="AM329" s="8"/>
      <c r="AN329" s="7"/>
      <c r="AO329" s="7"/>
      <c r="AP329" s="7"/>
      <c r="AQ329" s="7"/>
      <c r="AR329" s="8"/>
      <c r="AS329" s="8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9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8"/>
      <c r="AG330" s="8"/>
      <c r="AH330" s="7"/>
      <c r="AI330" s="7"/>
      <c r="AJ330" s="7"/>
      <c r="AK330" s="8"/>
      <c r="AL330" s="8"/>
      <c r="AM330" s="8"/>
      <c r="AN330" s="7"/>
      <c r="AO330" s="7"/>
      <c r="AP330" s="7"/>
      <c r="AQ330" s="7"/>
      <c r="AR330" s="8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9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8"/>
      <c r="AG331" s="8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8"/>
      <c r="K332" s="7"/>
      <c r="L332" s="8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8"/>
      <c r="AH332" s="7"/>
      <c r="AI332" s="7"/>
      <c r="AJ332" s="7"/>
      <c r="AK332" s="7"/>
      <c r="AL332" s="8"/>
      <c r="AM332" s="8"/>
      <c r="AN332" s="7"/>
      <c r="AO332" s="7"/>
      <c r="AP332" s="7"/>
      <c r="AQ332" s="7"/>
      <c r="AR332" s="8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8"/>
      <c r="AG333" s="7"/>
      <c r="AH333" s="7"/>
      <c r="AI333" s="7"/>
      <c r="AJ333" s="7"/>
      <c r="AK333" s="7"/>
      <c r="AL333" s="8"/>
      <c r="AM333" s="8"/>
      <c r="AN333" s="7"/>
      <c r="AO333" s="7"/>
      <c r="AP333" s="7"/>
      <c r="AQ333" s="7"/>
      <c r="AR333" s="8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8"/>
      <c r="AG334" s="7"/>
      <c r="AH334" s="7"/>
      <c r="AI334" s="7"/>
      <c r="AJ334" s="7"/>
      <c r="AK334" s="7"/>
      <c r="AL334" s="8"/>
      <c r="AM334" s="8"/>
      <c r="AN334" s="7"/>
      <c r="AO334" s="7"/>
      <c r="AP334" s="7"/>
      <c r="AQ334" s="7"/>
      <c r="AR334" s="8"/>
      <c r="AS334" s="8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8"/>
      <c r="AG335" s="8"/>
      <c r="AH335" s="7"/>
      <c r="AI335" s="7"/>
      <c r="AJ335" s="7"/>
      <c r="AK335" s="7"/>
      <c r="AL335" s="8"/>
      <c r="AM335" s="8"/>
      <c r="AN335" s="7"/>
      <c r="AO335" s="7"/>
      <c r="AP335" s="7"/>
      <c r="AQ335" s="7"/>
      <c r="AR335" s="8"/>
      <c r="AS335" s="8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7"/>
      <c r="AH336" s="7"/>
      <c r="AI336" s="8"/>
      <c r="AJ336" s="8"/>
      <c r="AK336" s="7"/>
      <c r="AL336" s="7"/>
      <c r="AM336" s="7"/>
      <c r="AN336" s="7"/>
      <c r="AO336" s="7"/>
      <c r="AP336" s="7"/>
      <c r="AQ336" s="7"/>
      <c r="AR336" s="8"/>
      <c r="AS336" s="8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8"/>
      <c r="AM337" s="8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8"/>
      <c r="AG338" s="8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8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8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8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8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8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8"/>
      <c r="AH346" s="7"/>
      <c r="AI346" s="7"/>
      <c r="AJ346" s="7"/>
      <c r="AK346" s="7"/>
      <c r="AL346" s="8"/>
      <c r="AM346" s="8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8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8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8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8"/>
      <c r="AH351" s="7"/>
      <c r="AI351" s="7"/>
      <c r="AJ351" s="7"/>
      <c r="AK351" s="7"/>
      <c r="AL351" s="8"/>
      <c r="AM351" s="8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8"/>
      <c r="AN352" s="7"/>
      <c r="AO352" s="7"/>
      <c r="AP352" s="7"/>
      <c r="AQ352" s="7"/>
      <c r="AR352" s="8"/>
      <c r="AS352" s="8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8"/>
      <c r="AH353" s="7"/>
      <c r="AI353" s="7"/>
      <c r="AJ353" s="7"/>
      <c r="AK353" s="7"/>
      <c r="AL353" s="8"/>
      <c r="AM353" s="8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9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8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9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8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7"/>
      <c r="AH363" s="7"/>
      <c r="AI363" s="7"/>
      <c r="AJ363" s="7"/>
      <c r="AK363" s="7"/>
      <c r="AL363" s="8"/>
      <c r="AM363" s="8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8"/>
      <c r="AM364" s="8"/>
      <c r="AN364" s="7"/>
      <c r="AO364" s="7"/>
      <c r="AP364" s="7"/>
      <c r="AQ364" s="7"/>
      <c r="AR364" s="8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8"/>
      <c r="AJ365" s="7"/>
      <c r="AK365" s="7"/>
      <c r="AL365" s="8"/>
      <c r="AM365" s="7"/>
      <c r="AN365" s="7"/>
      <c r="AO365" s="8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8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9"/>
      <c r="BM368" s="10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8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0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8"/>
      <c r="AS371" s="8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0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8"/>
      <c r="AM372" s="8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9"/>
      <c r="BM372" s="10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8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9"/>
      <c r="BM373" s="10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8"/>
      <c r="AG374" s="7"/>
      <c r="AH374" s="7"/>
      <c r="AI374" s="7"/>
      <c r="AJ374" s="7"/>
      <c r="AK374" s="7"/>
      <c r="AL374" s="7"/>
      <c r="AM374" s="8"/>
      <c r="AN374" s="7"/>
      <c r="AO374" s="7"/>
      <c r="AP374" s="7"/>
      <c r="AQ374" s="7"/>
      <c r="AR374" s="8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0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9"/>
      <c r="BM375" s="10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9"/>
      <c r="BM376" s="10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9"/>
      <c r="BM377" s="10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8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0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8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8"/>
      <c r="AN380" s="7"/>
      <c r="AO380" s="7"/>
      <c r="AP380" s="7"/>
      <c r="AQ380" s="7"/>
      <c r="AR380" s="8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0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8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4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9"/>
      <c r="BM382" s="10"/>
    </row>
    <row r="383" spans="1:65" x14ac:dyDescent="0.4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8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0"/>
    </row>
    <row r="384" spans="1:65" x14ac:dyDescent="0.4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8"/>
      <c r="AG384" s="8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4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8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9"/>
      <c r="BM385" s="10"/>
    </row>
    <row r="386" spans="1:65" x14ac:dyDescent="0.4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4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9"/>
      <c r="BM387" s="10"/>
    </row>
    <row r="388" spans="1:65" x14ac:dyDescent="0.4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8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0"/>
    </row>
    <row r="389" spans="1:65" x14ac:dyDescent="0.4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8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0"/>
    </row>
    <row r="390" spans="1:65" x14ac:dyDescent="0.4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8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10"/>
    </row>
    <row r="391" spans="1:65" x14ac:dyDescent="0.4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9"/>
      <c r="BM391" s="10"/>
    </row>
    <row r="392" spans="1:65" x14ac:dyDescent="0.4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8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0"/>
    </row>
    <row r="393" spans="1:65" x14ac:dyDescent="0.4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9"/>
      <c r="BM393" s="10"/>
    </row>
    <row r="394" spans="1:65" x14ac:dyDescent="0.4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8"/>
      <c r="AH394" s="7"/>
      <c r="AI394" s="7"/>
      <c r="AJ394" s="7"/>
      <c r="AK394" s="7"/>
      <c r="AL394" s="7"/>
      <c r="AM394" s="8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0"/>
    </row>
    <row r="395" spans="1:65" x14ac:dyDescent="0.4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8"/>
      <c r="AH395" s="7"/>
      <c r="AI395" s="7"/>
      <c r="AJ395" s="7"/>
      <c r="AK395" s="7"/>
      <c r="AL395" s="7"/>
      <c r="AM395" s="8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0"/>
    </row>
    <row r="396" spans="1:65" x14ac:dyDescent="0.4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8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4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8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4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9"/>
      <c r="BM398" s="10"/>
    </row>
    <row r="399" spans="1:65" x14ac:dyDescent="0.4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8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0"/>
    </row>
    <row r="400" spans="1:65" x14ac:dyDescent="0.4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8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0"/>
    </row>
    <row r="401" spans="1:65" x14ac:dyDescent="0.4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4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9"/>
      <c r="BM402" s="10"/>
    </row>
    <row r="403" spans="1:65" x14ac:dyDescent="0.4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8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0"/>
    </row>
    <row r="404" spans="1:65" x14ac:dyDescent="0.4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8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0"/>
    </row>
    <row r="405" spans="1:65" x14ac:dyDescent="0.4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8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4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8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0"/>
    </row>
    <row r="407" spans="1:65" x14ac:dyDescent="0.4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8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4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8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4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4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8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4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8"/>
      <c r="AH411" s="7"/>
      <c r="AI411" s="7"/>
      <c r="AJ411" s="7"/>
      <c r="AK411" s="7"/>
      <c r="AL411" s="7"/>
      <c r="AM411" s="8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0"/>
    </row>
    <row r="412" spans="1:65" x14ac:dyDescent="0.4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4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8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4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8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4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0"/>
    </row>
    <row r="416" spans="1:65" x14ac:dyDescent="0.4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8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4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4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8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4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4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8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4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8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4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4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4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8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4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4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4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8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4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8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4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8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4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4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8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4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8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4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8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4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1"/>
    </row>
    <row r="435" spans="1:65" x14ac:dyDescent="0.4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1"/>
    </row>
    <row r="436" spans="1:65" x14ac:dyDescent="0.4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1"/>
    </row>
    <row r="437" spans="1:65" x14ac:dyDescent="0.4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1"/>
    </row>
    <row r="438" spans="1:65" x14ac:dyDescent="0.4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1"/>
    </row>
    <row r="439" spans="1:65" x14ac:dyDescent="0.4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1"/>
    </row>
    <row r="440" spans="1:65" x14ac:dyDescent="0.4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1"/>
    </row>
    <row r="441" spans="1:65" x14ac:dyDescent="0.4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1"/>
    </row>
    <row r="442" spans="1:65" x14ac:dyDescent="0.4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1"/>
    </row>
    <row r="443" spans="1:65" x14ac:dyDescent="0.4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1"/>
    </row>
    <row r="444" spans="1:65" x14ac:dyDescent="0.4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1"/>
    </row>
    <row r="445" spans="1:65" x14ac:dyDescent="0.4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1"/>
    </row>
    <row r="446" spans="1:65" x14ac:dyDescent="0.4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1"/>
    </row>
    <row r="447" spans="1:65" x14ac:dyDescent="0.4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  <row r="448" spans="1:65" x14ac:dyDescent="0.4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2022-07-05T10:25:19Z</dcterms:modified>
</cp:coreProperties>
</file>