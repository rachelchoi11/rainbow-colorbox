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6월매출\1. 월초청구(0415)\네이버시리즈\"/>
    </mc:Choice>
  </mc:AlternateContent>
  <bookViews>
    <workbookView xWindow="0" yWindow="0" windowWidth="23040" windowHeight="8952" tabRatio="766"/>
  </bookViews>
  <sheets>
    <sheet name="합계 (6)" sheetId="412" r:id="rId1"/>
  </sheets>
  <definedNames>
    <definedName name="_xlnm._FilterDatabase" localSheetId="0" hidden="1">'합계 (6)'!$A$1:$BO$1</definedName>
    <definedName name="_xlnm.Extract" localSheetId="0">'합계 (6)'!#REF!</definedName>
  </definedNames>
  <calcPr calcId="152511"/>
</workbook>
</file>

<file path=xl/calcChain.xml><?xml version="1.0" encoding="utf-8"?>
<calcChain xmlns="http://schemas.openxmlformats.org/spreadsheetml/2006/main">
  <c r="BM90" i="412" l="1"/>
  <c r="BL90" i="412"/>
  <c r="BN89" i="412"/>
  <c r="BO89" i="412" s="1"/>
  <c r="BN64" i="412" l="1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2" i="412"/>
  <c r="BN90" i="412" l="1"/>
  <c r="BO2" i="412"/>
  <c r="BO90" i="412" s="1"/>
</calcChain>
</file>

<file path=xl/sharedStrings.xml><?xml version="1.0" encoding="utf-8"?>
<sst xmlns="http://schemas.openxmlformats.org/spreadsheetml/2006/main" count="683" uniqueCount="139">
  <si>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</si>
  <si>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</si>
  <si>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</si>
  <si>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</si>
  <si>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</si>
  <si>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</si>
  <si>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</si>
  <si>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</si>
  <si>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</si>
  <si>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</si>
  <si>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</si>
  <si>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</si>
  <si>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</si>
  <si>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</si>
  <si>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</si>
  <si>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</si>
  <si>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</si>
  <si>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</si>
  <si>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</si>
  <si>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</si>
  <si>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</si>
  <si>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</si>
  <si>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</si>
  <si>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</si>
  <si>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</si>
  <si>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</si>
  <si>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</si>
  <si>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</si>
  <si>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2020.11.16</t>
  </si>
  <si>
    <t>2022.05.02</t>
  </si>
  <si>
    <t>별빛 아래 우리</t>
  </si>
  <si>
    <t>스토리위즈_만화</t>
  </si>
  <si>
    <t>건일</t>
  </si>
  <si>
    <t>가출천사 육성계약</t>
  </si>
  <si>
    <t>Bae.C, 조우</t>
  </si>
  <si>
    <t>폭군의 눈물</t>
  </si>
  <si>
    <t>Ice×FANFAN COMIC</t>
  </si>
  <si>
    <t>2022.03.16</t>
  </si>
  <si>
    <t>악역이지만, 남주는 꼬시지 않아요</t>
  </si>
  <si>
    <t>kuri</t>
  </si>
  <si>
    <t>최애에게 들켜버렸다</t>
  </si>
  <si>
    <t>Lv</t>
  </si>
  <si>
    <t>백스테이지 키스신</t>
  </si>
  <si>
    <t>수정과</t>
  </si>
  <si>
    <t>2019.12.07</t>
  </si>
  <si>
    <t>계약연애, 오늘부터 1일</t>
  </si>
  <si>
    <t>원기공장</t>
  </si>
  <si>
    <t>2019.03.11</t>
  </si>
  <si>
    <t>마스코마스코 [독점]</t>
  </si>
  <si>
    <t>남정훈</t>
  </si>
  <si>
    <t>2021.10.25</t>
  </si>
  <si>
    <t>개천고 세계편</t>
  </si>
  <si>
    <t>채준</t>
  </si>
  <si>
    <t>너랑 나랑 하면[BL]</t>
  </si>
  <si>
    <t>NISANSUI/ZIQUAN</t>
  </si>
  <si>
    <t>2022.02.09</t>
  </si>
  <si>
    <t>공주전쟁</t>
  </si>
  <si>
    <t>Luojie</t>
  </si>
  <si>
    <t>내 남편의 스토커</t>
  </si>
  <si>
    <t>혜원</t>
  </si>
  <si>
    <t>2020.07.13</t>
  </si>
  <si>
    <t>폐하, 옥체 보존하세요!</t>
  </si>
  <si>
    <t>IvyeqianheXyouzhijiaozi</t>
  </si>
  <si>
    <t>요괴님은 수련중</t>
  </si>
  <si>
    <t>망북</t>
  </si>
  <si>
    <t>이세계 소환은 두 번째라구요</t>
  </si>
  <si>
    <t>Arashiyama</t>
  </si>
  <si>
    <t>2021.07.23</t>
  </si>
  <si>
    <t>결혼전쟁</t>
  </si>
  <si>
    <t>성c네</t>
  </si>
  <si>
    <t>2018.09.30</t>
  </si>
  <si>
    <t>달콤한 결혼</t>
  </si>
  <si>
    <t>낙신동만</t>
  </si>
  <si>
    <t>2019.02.10</t>
  </si>
  <si>
    <t>보스 오빠, 살살!</t>
  </si>
  <si>
    <t>웹티, 올코</t>
  </si>
  <si>
    <t>2021.12.04</t>
  </si>
  <si>
    <t>커피여우 김삼월</t>
  </si>
  <si>
    <t>A.Noa, RK Studio</t>
  </si>
  <si>
    <t>연애 2분의 1</t>
  </si>
  <si>
    <t>ZHUPI&amp;YANGXUETU</t>
  </si>
  <si>
    <t>2020.12.31</t>
  </si>
  <si>
    <t>슈트 오브 스파이</t>
  </si>
  <si>
    <t>11hook</t>
  </si>
  <si>
    <t>2022.03.01</t>
  </si>
  <si>
    <t>그남자의 사랑방식 [BL]</t>
  </si>
  <si>
    <t>원색동만</t>
  </si>
  <si>
    <t>2020.02.01</t>
  </si>
  <si>
    <t>로맨틱 시그널</t>
  </si>
  <si>
    <t>Bless+cangshukou</t>
  </si>
  <si>
    <t>엔젤일진</t>
  </si>
  <si>
    <t>대운</t>
  </si>
  <si>
    <t>2022.05.08</t>
  </si>
  <si>
    <t>시리즈(APP)</t>
    <phoneticPr fontId="20" type="noConversion"/>
  </si>
  <si>
    <t>시리즈완전판(APP)</t>
    <phoneticPr fontId="20" type="noConversion"/>
  </si>
  <si>
    <t>시리즈(IOS)</t>
    <phoneticPr fontId="20" type="noConversion"/>
  </si>
  <si>
    <t>2022.07.01</t>
  </si>
  <si>
    <t>2022.06.30</t>
  </si>
  <si>
    <t>2022.06.29</t>
  </si>
  <si>
    <t>구름의 연인</t>
  </si>
  <si>
    <t>웹티,올코</t>
  </si>
  <si>
    <t>2022.04.02</t>
  </si>
  <si>
    <t>역전의★샤이닝스타</t>
  </si>
  <si>
    <t>등광&amp;낙생</t>
  </si>
  <si>
    <t>2018.12.15</t>
  </si>
  <si>
    <t>바람의 전설</t>
  </si>
  <si>
    <t>성준(聖俊)</t>
  </si>
  <si>
    <t>2019.06.08</t>
  </si>
  <si>
    <t>달콤한 그와 결혼했습니다</t>
  </si>
  <si>
    <t>2020.05.25</t>
  </si>
  <si>
    <t>지금은 여장중!</t>
  </si>
  <si>
    <t>CF·성C네</t>
  </si>
  <si>
    <t>2019.09.14</t>
  </si>
  <si>
    <t>무령후</t>
  </si>
  <si>
    <t>당만문화</t>
  </si>
  <si>
    <t>2019.01.27</t>
  </si>
  <si>
    <t>심연의 눈</t>
  </si>
  <si>
    <t>M.C.K.</t>
  </si>
  <si>
    <t>2022.07.04</t>
  </si>
  <si>
    <t>천년의 사랑</t>
  </si>
  <si>
    <t>2019.10.05</t>
  </si>
  <si>
    <t>예쁜 남자 잘생긴 여자</t>
  </si>
  <si>
    <t>2020.08.24</t>
  </si>
  <si>
    <t>달콤한 키스</t>
  </si>
  <si>
    <t>CF,성C네</t>
  </si>
  <si>
    <t>2019.11.16</t>
  </si>
  <si>
    <t>황제의 사랑방식[BL]</t>
  </si>
  <si>
    <t>T.M, 올코</t>
  </si>
  <si>
    <t>2020.03.08</t>
  </si>
  <si>
    <t>윤's 커피</t>
  </si>
  <si>
    <t>올코,세븐영</t>
  </si>
  <si>
    <t>2020.04.01</t>
  </si>
  <si>
    <t>사랑을 찾아서</t>
  </si>
  <si>
    <t>웹툰TV</t>
  </si>
  <si>
    <t>대표님과 연애를 시작했습니다</t>
  </si>
  <si>
    <t>YQ</t>
  </si>
  <si>
    <t>웹툰 앱 엔드(APP)</t>
    <phoneticPr fontId="20" type="noConversion"/>
  </si>
  <si>
    <t>웹툰 iOS앱 엔드(APP)</t>
    <phoneticPr fontId="20" type="noConversion"/>
  </si>
  <si>
    <t>웹툰스토어(MW)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</si>
</sst>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41" fontId="19" fillId="33" borderId="0" xfId="42" applyFont="1" applyFill="1" applyAlignment="1">
      <alignment horizontal="center" vertical="center" wrapText="1"/>
    </xf>
    <xf numFmtId="41" fontId="18" fillId="0" borderId="0" xfId="42" applyFont="1" applyAlignment="1">
      <alignment vertical="center" wrapText="1"/>
    </xf>
    <xf numFmtId="41" fontId="18" fillId="34" borderId="0" xfId="42" applyFont="1" applyFill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452"/>
  <sheetViews>
    <sheetView tabSelected="1" zoomScaleNormal="100" workbookViewId="0">
      <pane xSplit="9" ySplit="1" topLeftCell="BH74" activePane="bottomRight" state="frozen"/>
      <selection pane="topRight" activeCell="J1" sqref="J1"/>
      <selection pane="bottomLeft" activeCell="A2" sqref="A2"/>
      <selection pane="bottomRight" activeCell="BO90" sqref="BO90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7.796875" style="13" customWidth="1"/>
    <col min="67" max="67" width="16.69921875" style="13" customWidth="1"/>
  </cols>
  <sheetData>
    <row r="1" spans="1:67" ht="38.4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27</v>
      </c>
      <c r="I1" s="15" t="s">
        <v>6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12</v>
      </c>
      <c r="T1" s="12" t="s">
        <v>13</v>
      </c>
      <c r="U1" s="12" t="s">
        <v>14</v>
      </c>
      <c r="V1" s="12" t="s">
        <v>15</v>
      </c>
      <c r="W1" s="12" t="s">
        <v>16</v>
      </c>
      <c r="X1" s="12" t="s">
        <v>17</v>
      </c>
      <c r="Y1" s="12" t="s">
        <v>18</v>
      </c>
      <c r="Z1" s="12" t="s">
        <v>19</v>
      </c>
      <c r="AA1" s="12" t="s">
        <v>20</v>
      </c>
      <c r="AB1" s="12" t="s">
        <v>12</v>
      </c>
      <c r="AC1" s="12" t="s">
        <v>21</v>
      </c>
      <c r="AD1" s="12" t="s">
        <v>22</v>
      </c>
      <c r="AE1" s="12" t="s">
        <v>12</v>
      </c>
      <c r="AF1" s="12" t="s">
        <v>21</v>
      </c>
      <c r="AG1" s="12" t="s">
        <v>22</v>
      </c>
      <c r="AH1" s="12" t="s">
        <v>12</v>
      </c>
      <c r="AI1" s="12" t="s">
        <v>21</v>
      </c>
      <c r="AJ1" s="12" t="s">
        <v>22</v>
      </c>
      <c r="AK1" s="12" t="s">
        <v>12</v>
      </c>
      <c r="AL1" s="12" t="s">
        <v>21</v>
      </c>
      <c r="AM1" s="12" t="s">
        <v>22</v>
      </c>
      <c r="AN1" s="12" t="s">
        <v>12</v>
      </c>
      <c r="AO1" s="12" t="s">
        <v>21</v>
      </c>
      <c r="AP1" s="12" t="s">
        <v>22</v>
      </c>
      <c r="AQ1" s="12" t="s">
        <v>12</v>
      </c>
      <c r="AR1" s="12" t="s">
        <v>21</v>
      </c>
      <c r="AS1" s="12" t="s">
        <v>22</v>
      </c>
      <c r="AT1" s="12" t="s">
        <v>12</v>
      </c>
      <c r="AU1" s="12" t="s">
        <v>21</v>
      </c>
      <c r="AV1" s="12" t="s">
        <v>22</v>
      </c>
      <c r="AW1" s="12" t="s">
        <v>12</v>
      </c>
      <c r="AX1" s="12" t="s">
        <v>21</v>
      </c>
      <c r="AY1" s="12" t="s">
        <v>22</v>
      </c>
      <c r="AZ1" s="12" t="s">
        <v>12</v>
      </c>
      <c r="BA1" s="12" t="s">
        <v>21</v>
      </c>
      <c r="BB1" s="12" t="s">
        <v>22</v>
      </c>
      <c r="BC1" s="12" t="s">
        <v>12</v>
      </c>
      <c r="BD1" s="12" t="s">
        <v>21</v>
      </c>
      <c r="BE1" s="12" t="s">
        <v>22</v>
      </c>
      <c r="BF1" s="12" t="s">
        <v>12</v>
      </c>
      <c r="BG1" s="12" t="s">
        <v>21</v>
      </c>
      <c r="BH1" s="12" t="s">
        <v>22</v>
      </c>
      <c r="BI1" s="12" t="s">
        <v>12</v>
      </c>
      <c r="BJ1" s="12" t="s">
        <v>21</v>
      </c>
      <c r="BK1" s="12" t="s">
        <v>22</v>
      </c>
      <c r="BL1" s="12" t="s">
        <v>26</v>
      </c>
      <c r="BM1" s="12" t="s">
        <v>23</v>
      </c>
      <c r="BN1" s="16" t="s">
        <v>24</v>
      </c>
      <c r="BO1" s="16" t="s">
        <v>25</v>
      </c>
    </row>
    <row r="2" spans="1:67" x14ac:dyDescent="0.4">
      <c r="A2" s="5" t="s">
        <v>93</v>
      </c>
      <c r="B2" s="5" t="s">
        <v>56</v>
      </c>
      <c r="C2" s="5">
        <v>423525</v>
      </c>
      <c r="D2" s="6"/>
      <c r="E2" s="5" t="s">
        <v>31</v>
      </c>
      <c r="F2" s="5" t="s">
        <v>57</v>
      </c>
      <c r="G2" s="5" t="s">
        <v>11</v>
      </c>
      <c r="H2" s="7" t="s">
        <v>7</v>
      </c>
      <c r="I2" s="7" t="s">
        <v>96</v>
      </c>
      <c r="J2" s="7">
        <v>2</v>
      </c>
      <c r="K2" s="8">
        <v>8696</v>
      </c>
      <c r="L2" s="7">
        <v>400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799</v>
      </c>
      <c r="AC2" s="8">
        <v>85480</v>
      </c>
      <c r="AD2" s="8">
        <v>77400</v>
      </c>
      <c r="AE2" s="7">
        <v>7</v>
      </c>
      <c r="AF2" s="8">
        <v>2240</v>
      </c>
      <c r="AG2" s="7">
        <v>800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150</v>
      </c>
      <c r="AO2" s="8">
        <v>30000</v>
      </c>
      <c r="AP2" s="7">
        <v>0</v>
      </c>
      <c r="AQ2" s="7">
        <v>5</v>
      </c>
      <c r="AR2" s="8">
        <v>2000</v>
      </c>
      <c r="AS2" s="7">
        <v>0</v>
      </c>
      <c r="AT2" s="7">
        <v>26</v>
      </c>
      <c r="AU2" s="8">
        <v>6240</v>
      </c>
      <c r="AV2" s="7">
        <v>0</v>
      </c>
      <c r="AW2" s="7">
        <v>9</v>
      </c>
      <c r="AX2" s="8">
        <v>4080</v>
      </c>
      <c r="AY2" s="7">
        <v>0</v>
      </c>
      <c r="AZ2" s="7">
        <v>654</v>
      </c>
      <c r="BA2" s="8">
        <v>156720</v>
      </c>
      <c r="BB2" s="7">
        <v>0</v>
      </c>
      <c r="BC2" s="7">
        <v>7</v>
      </c>
      <c r="BD2" s="8">
        <v>3120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10622.4</v>
      </c>
      <c r="BM2" s="10">
        <v>368480</v>
      </c>
      <c r="BN2" s="13">
        <f>BM2-BL2</f>
        <v>357857.6</v>
      </c>
      <c r="BO2" s="14">
        <f>BN2*70%</f>
        <v>250500.31999999998</v>
      </c>
    </row>
    <row r="3" spans="1:67" x14ac:dyDescent="0.4">
      <c r="A3" s="5" t="s">
        <v>93</v>
      </c>
      <c r="B3" s="5" t="s">
        <v>30</v>
      </c>
      <c r="C3" s="5">
        <v>435954</v>
      </c>
      <c r="D3" s="6"/>
      <c r="E3" s="5" t="s">
        <v>31</v>
      </c>
      <c r="F3" s="5" t="s">
        <v>32</v>
      </c>
      <c r="G3" s="5" t="s">
        <v>11</v>
      </c>
      <c r="H3" s="7" t="s">
        <v>7</v>
      </c>
      <c r="I3" s="7" t="s">
        <v>97</v>
      </c>
      <c r="J3" s="7">
        <v>0</v>
      </c>
      <c r="K3" s="7">
        <v>44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529</v>
      </c>
      <c r="AC3" s="8">
        <v>41080</v>
      </c>
      <c r="AD3" s="8">
        <v>64800</v>
      </c>
      <c r="AE3" s="7">
        <v>66</v>
      </c>
      <c r="AF3" s="8">
        <v>19060</v>
      </c>
      <c r="AG3" s="8">
        <v>7400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12</v>
      </c>
      <c r="AO3" s="8">
        <v>2300</v>
      </c>
      <c r="AP3" s="7">
        <v>0</v>
      </c>
      <c r="AQ3" s="7">
        <v>0</v>
      </c>
      <c r="AR3" s="7">
        <v>0</v>
      </c>
      <c r="AS3" s="7">
        <v>0</v>
      </c>
      <c r="AT3" s="7">
        <v>93</v>
      </c>
      <c r="AU3" s="8">
        <v>21960</v>
      </c>
      <c r="AV3" s="7">
        <v>0</v>
      </c>
      <c r="AW3" s="7">
        <v>3</v>
      </c>
      <c r="AX3" s="8">
        <v>1440</v>
      </c>
      <c r="AY3" s="7">
        <v>0</v>
      </c>
      <c r="AZ3" s="7">
        <v>303</v>
      </c>
      <c r="BA3" s="8">
        <v>71760</v>
      </c>
      <c r="BB3" s="7">
        <v>500</v>
      </c>
      <c r="BC3" s="7">
        <v>16</v>
      </c>
      <c r="BD3" s="8">
        <v>7320</v>
      </c>
      <c r="BE3" s="7">
        <v>0</v>
      </c>
      <c r="BF3" s="7">
        <v>7</v>
      </c>
      <c r="BG3" s="8">
        <v>1560</v>
      </c>
      <c r="BH3" s="7">
        <v>0</v>
      </c>
      <c r="BI3" s="7">
        <v>0</v>
      </c>
      <c r="BJ3" s="7">
        <v>0</v>
      </c>
      <c r="BK3" s="7">
        <v>0</v>
      </c>
      <c r="BL3" s="9">
        <v>7162.8</v>
      </c>
      <c r="BM3" s="10">
        <v>239180</v>
      </c>
      <c r="BN3" s="13">
        <f t="shared" ref="BN3:BN66" si="0">BM3-BL3</f>
        <v>232017.2</v>
      </c>
      <c r="BO3" s="14">
        <f t="shared" ref="BO3:BO66" si="1">BN3*70%</f>
        <v>162412.04</v>
      </c>
    </row>
    <row r="4" spans="1:67" x14ac:dyDescent="0.4">
      <c r="A4" s="5" t="s">
        <v>93</v>
      </c>
      <c r="B4" s="5" t="s">
        <v>38</v>
      </c>
      <c r="C4" s="5">
        <v>465461</v>
      </c>
      <c r="D4" s="6"/>
      <c r="E4" s="5" t="s">
        <v>31</v>
      </c>
      <c r="F4" s="5" t="s">
        <v>39</v>
      </c>
      <c r="G4" s="5" t="s">
        <v>11</v>
      </c>
      <c r="H4" s="7" t="s">
        <v>7</v>
      </c>
      <c r="I4" s="7" t="s">
        <v>96</v>
      </c>
      <c r="J4" s="7">
        <v>0</v>
      </c>
      <c r="K4" s="7">
        <v>11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2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402</v>
      </c>
      <c r="AC4" s="8">
        <v>62400</v>
      </c>
      <c r="AD4" s="8">
        <v>20500</v>
      </c>
      <c r="AE4" s="7">
        <v>65</v>
      </c>
      <c r="AF4" s="8">
        <v>18960</v>
      </c>
      <c r="AG4" s="8">
        <v>8400</v>
      </c>
      <c r="AH4" s="7">
        <v>1</v>
      </c>
      <c r="AI4" s="7">
        <v>0</v>
      </c>
      <c r="AJ4" s="7">
        <v>100</v>
      </c>
      <c r="AK4" s="7">
        <v>0</v>
      </c>
      <c r="AL4" s="7">
        <v>0</v>
      </c>
      <c r="AM4" s="7">
        <v>0</v>
      </c>
      <c r="AN4" s="7">
        <v>17</v>
      </c>
      <c r="AO4" s="8">
        <v>3400</v>
      </c>
      <c r="AP4" s="7">
        <v>0</v>
      </c>
      <c r="AQ4" s="7">
        <v>20</v>
      </c>
      <c r="AR4" s="8">
        <v>7800</v>
      </c>
      <c r="AS4" s="7">
        <v>200</v>
      </c>
      <c r="AT4" s="7">
        <v>109</v>
      </c>
      <c r="AU4" s="8">
        <v>25440</v>
      </c>
      <c r="AV4" s="7">
        <v>500</v>
      </c>
      <c r="AW4" s="7">
        <v>4</v>
      </c>
      <c r="AX4" s="8">
        <v>1920</v>
      </c>
      <c r="AY4" s="7">
        <v>0</v>
      </c>
      <c r="AZ4" s="7">
        <v>147</v>
      </c>
      <c r="BA4" s="8">
        <v>34800</v>
      </c>
      <c r="BB4" s="7">
        <v>0</v>
      </c>
      <c r="BC4" s="7">
        <v>8</v>
      </c>
      <c r="BD4" s="8">
        <v>3840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5054.3999999999996</v>
      </c>
      <c r="BM4" s="10">
        <v>188260</v>
      </c>
      <c r="BN4" s="13">
        <f t="shared" si="0"/>
        <v>183205.6</v>
      </c>
      <c r="BO4" s="14">
        <f t="shared" si="1"/>
        <v>128243.92</v>
      </c>
    </row>
    <row r="5" spans="1:67" x14ac:dyDescent="0.4">
      <c r="A5" s="5" t="s">
        <v>93</v>
      </c>
      <c r="B5" s="5" t="s">
        <v>33</v>
      </c>
      <c r="C5" s="5">
        <v>465463</v>
      </c>
      <c r="D5" s="6"/>
      <c r="E5" s="5" t="s">
        <v>31</v>
      </c>
      <c r="F5" s="5" t="s">
        <v>34</v>
      </c>
      <c r="G5" s="5" t="s">
        <v>11</v>
      </c>
      <c r="H5" s="7" t="s">
        <v>10</v>
      </c>
      <c r="I5" s="7" t="s">
        <v>98</v>
      </c>
      <c r="J5" s="7">
        <v>2</v>
      </c>
      <c r="K5" s="7">
        <v>35</v>
      </c>
      <c r="L5" s="7">
        <v>400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321</v>
      </c>
      <c r="AC5" s="8">
        <v>53520</v>
      </c>
      <c r="AD5" s="8">
        <v>14400</v>
      </c>
      <c r="AE5" s="7">
        <v>18</v>
      </c>
      <c r="AF5" s="8">
        <v>3700</v>
      </c>
      <c r="AG5" s="8">
        <v>3500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89</v>
      </c>
      <c r="AO5" s="8">
        <v>17600</v>
      </c>
      <c r="AP5" s="7">
        <v>200</v>
      </c>
      <c r="AQ5" s="7">
        <v>0</v>
      </c>
      <c r="AR5" s="7">
        <v>0</v>
      </c>
      <c r="AS5" s="7">
        <v>0</v>
      </c>
      <c r="AT5" s="7">
        <v>125</v>
      </c>
      <c r="AU5" s="8">
        <v>29280</v>
      </c>
      <c r="AV5" s="7">
        <v>500</v>
      </c>
      <c r="AW5" s="7">
        <v>0</v>
      </c>
      <c r="AX5" s="7">
        <v>0</v>
      </c>
      <c r="AY5" s="7">
        <v>0</v>
      </c>
      <c r="AZ5" s="7">
        <v>220</v>
      </c>
      <c r="BA5" s="8">
        <v>52800</v>
      </c>
      <c r="BB5" s="7">
        <v>0</v>
      </c>
      <c r="BC5" s="7">
        <v>2</v>
      </c>
      <c r="BD5" s="7">
        <v>960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6153.6</v>
      </c>
      <c r="BM5" s="10">
        <v>176860</v>
      </c>
      <c r="BN5" s="13">
        <f t="shared" si="0"/>
        <v>170706.4</v>
      </c>
      <c r="BO5" s="14">
        <f t="shared" si="1"/>
        <v>119494.47999999998</v>
      </c>
    </row>
    <row r="6" spans="1:67" ht="19.2" x14ac:dyDescent="0.4">
      <c r="A6" s="5" t="s">
        <v>93</v>
      </c>
      <c r="B6" s="5" t="s">
        <v>61</v>
      </c>
      <c r="C6" s="5">
        <v>380491</v>
      </c>
      <c r="D6" s="6"/>
      <c r="E6" s="5" t="s">
        <v>31</v>
      </c>
      <c r="F6" s="5" t="s">
        <v>62</v>
      </c>
      <c r="G6" s="5" t="s">
        <v>11</v>
      </c>
      <c r="H6" s="7" t="s">
        <v>7</v>
      </c>
      <c r="I6" s="7" t="s">
        <v>60</v>
      </c>
      <c r="J6" s="7">
        <v>0</v>
      </c>
      <c r="K6" s="8">
        <v>3085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580</v>
      </c>
      <c r="AC6" s="8">
        <v>34200</v>
      </c>
      <c r="AD6" s="8">
        <v>26800</v>
      </c>
      <c r="AE6" s="7">
        <v>0</v>
      </c>
      <c r="AF6" s="7">
        <v>0</v>
      </c>
      <c r="AG6" s="7">
        <v>0</v>
      </c>
      <c r="AH6" s="7">
        <v>4</v>
      </c>
      <c r="AI6" s="7">
        <v>0</v>
      </c>
      <c r="AJ6" s="7">
        <v>400</v>
      </c>
      <c r="AK6" s="7">
        <v>0</v>
      </c>
      <c r="AL6" s="7">
        <v>0</v>
      </c>
      <c r="AM6" s="7">
        <v>0</v>
      </c>
      <c r="AN6" s="7">
        <v>223</v>
      </c>
      <c r="AO6" s="8">
        <v>22300</v>
      </c>
      <c r="AP6" s="7">
        <v>0</v>
      </c>
      <c r="AQ6" s="7">
        <v>0</v>
      </c>
      <c r="AR6" s="7">
        <v>0</v>
      </c>
      <c r="AS6" s="7">
        <v>0</v>
      </c>
      <c r="AT6" s="7">
        <v>1</v>
      </c>
      <c r="AU6" s="7">
        <v>120</v>
      </c>
      <c r="AV6" s="7">
        <v>0</v>
      </c>
      <c r="AW6" s="7">
        <v>0</v>
      </c>
      <c r="AX6" s="7">
        <v>0</v>
      </c>
      <c r="AY6" s="7">
        <v>0</v>
      </c>
      <c r="AZ6" s="7">
        <v>705</v>
      </c>
      <c r="BA6" s="8">
        <v>84600</v>
      </c>
      <c r="BB6" s="7">
        <v>0</v>
      </c>
      <c r="BC6" s="7">
        <v>2</v>
      </c>
      <c r="BD6" s="7">
        <v>480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5116.8</v>
      </c>
      <c r="BM6" s="10">
        <v>168900</v>
      </c>
      <c r="BN6" s="13">
        <f t="shared" si="0"/>
        <v>163783.20000000001</v>
      </c>
      <c r="BO6" s="14">
        <f t="shared" si="1"/>
        <v>114648.24</v>
      </c>
    </row>
    <row r="7" spans="1:67" x14ac:dyDescent="0.4">
      <c r="A7" s="5" t="s">
        <v>93</v>
      </c>
      <c r="B7" s="5" t="s">
        <v>40</v>
      </c>
      <c r="C7" s="5">
        <v>432749</v>
      </c>
      <c r="D7" s="6"/>
      <c r="E7" s="5" t="s">
        <v>31</v>
      </c>
      <c r="F7" s="5" t="s">
        <v>41</v>
      </c>
      <c r="G7" s="5" t="s">
        <v>11</v>
      </c>
      <c r="H7" s="7" t="s">
        <v>7</v>
      </c>
      <c r="I7" s="7" t="s">
        <v>97</v>
      </c>
      <c r="J7" s="7">
        <v>5</v>
      </c>
      <c r="K7" s="8">
        <v>4972</v>
      </c>
      <c r="L7" s="8">
        <v>1000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4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143</v>
      </c>
      <c r="AC7" s="8">
        <v>16560</v>
      </c>
      <c r="AD7" s="8">
        <v>12200</v>
      </c>
      <c r="AE7" s="7">
        <v>11</v>
      </c>
      <c r="AF7" s="8">
        <v>4240</v>
      </c>
      <c r="AG7" s="7">
        <v>400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69</v>
      </c>
      <c r="AO7" s="8">
        <v>13600</v>
      </c>
      <c r="AP7" s="7">
        <v>200</v>
      </c>
      <c r="AQ7" s="7">
        <v>0</v>
      </c>
      <c r="AR7" s="7">
        <v>0</v>
      </c>
      <c r="AS7" s="7">
        <v>0</v>
      </c>
      <c r="AT7" s="7">
        <v>4</v>
      </c>
      <c r="AU7" s="7">
        <v>960</v>
      </c>
      <c r="AV7" s="7">
        <v>0</v>
      </c>
      <c r="AW7" s="7">
        <v>0</v>
      </c>
      <c r="AX7" s="7">
        <v>0</v>
      </c>
      <c r="AY7" s="7">
        <v>0</v>
      </c>
      <c r="AZ7" s="7">
        <v>171</v>
      </c>
      <c r="BA7" s="8">
        <v>40920</v>
      </c>
      <c r="BB7" s="7">
        <v>0</v>
      </c>
      <c r="BC7" s="7">
        <v>63</v>
      </c>
      <c r="BD7" s="8">
        <v>30240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4365.6000000000004</v>
      </c>
      <c r="BM7" s="10">
        <v>120320</v>
      </c>
      <c r="BN7" s="13">
        <f t="shared" si="0"/>
        <v>115954.4</v>
      </c>
      <c r="BO7" s="14">
        <f t="shared" si="1"/>
        <v>81168.079999999987</v>
      </c>
    </row>
    <row r="8" spans="1:67" x14ac:dyDescent="0.4">
      <c r="A8" s="5" t="s">
        <v>93</v>
      </c>
      <c r="B8" s="5" t="s">
        <v>45</v>
      </c>
      <c r="C8" s="5">
        <v>351846</v>
      </c>
      <c r="D8" s="6"/>
      <c r="E8" s="5" t="s">
        <v>31</v>
      </c>
      <c r="F8" s="5" t="s">
        <v>46</v>
      </c>
      <c r="G8" s="5" t="s">
        <v>11</v>
      </c>
      <c r="H8" s="7" t="s">
        <v>7</v>
      </c>
      <c r="I8" s="7" t="s">
        <v>47</v>
      </c>
      <c r="J8" s="7">
        <v>0</v>
      </c>
      <c r="K8" s="8">
        <v>3169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285</v>
      </c>
      <c r="AC8" s="8">
        <v>16540</v>
      </c>
      <c r="AD8" s="8">
        <v>14100</v>
      </c>
      <c r="AE8" s="7">
        <v>43</v>
      </c>
      <c r="AF8" s="8">
        <v>8400</v>
      </c>
      <c r="AG8" s="7">
        <v>200</v>
      </c>
      <c r="AH8" s="7">
        <v>2</v>
      </c>
      <c r="AI8" s="7">
        <v>240</v>
      </c>
      <c r="AJ8" s="7">
        <v>0</v>
      </c>
      <c r="AK8" s="7">
        <v>0</v>
      </c>
      <c r="AL8" s="7">
        <v>0</v>
      </c>
      <c r="AM8" s="7">
        <v>0</v>
      </c>
      <c r="AN8" s="7">
        <v>82</v>
      </c>
      <c r="AO8" s="8">
        <v>8000</v>
      </c>
      <c r="AP8" s="7">
        <v>200</v>
      </c>
      <c r="AQ8" s="7">
        <v>0</v>
      </c>
      <c r="AR8" s="7">
        <v>0</v>
      </c>
      <c r="AS8" s="7">
        <v>0</v>
      </c>
      <c r="AT8" s="7">
        <v>26</v>
      </c>
      <c r="AU8" s="8">
        <v>3120</v>
      </c>
      <c r="AV8" s="7">
        <v>0</v>
      </c>
      <c r="AW8" s="7">
        <v>0</v>
      </c>
      <c r="AX8" s="7">
        <v>0</v>
      </c>
      <c r="AY8" s="7">
        <v>0</v>
      </c>
      <c r="AZ8" s="7">
        <v>497</v>
      </c>
      <c r="BA8" s="8">
        <v>58920</v>
      </c>
      <c r="BB8" s="7">
        <v>600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3919.2</v>
      </c>
      <c r="BM8" s="10">
        <v>110320</v>
      </c>
      <c r="BN8" s="13">
        <f t="shared" si="0"/>
        <v>106400.8</v>
      </c>
      <c r="BO8" s="14">
        <f t="shared" si="1"/>
        <v>74480.56</v>
      </c>
    </row>
    <row r="9" spans="1:67" x14ac:dyDescent="0.4">
      <c r="A9" s="5" t="s">
        <v>93</v>
      </c>
      <c r="B9" s="5" t="s">
        <v>99</v>
      </c>
      <c r="C9" s="5">
        <v>463455</v>
      </c>
      <c r="D9" s="6"/>
      <c r="E9" s="5" t="s">
        <v>31</v>
      </c>
      <c r="F9" s="5" t="s">
        <v>100</v>
      </c>
      <c r="G9" s="5" t="s">
        <v>11</v>
      </c>
      <c r="H9" s="7" t="s">
        <v>7</v>
      </c>
      <c r="I9" s="7" t="s">
        <v>101</v>
      </c>
      <c r="J9" s="7">
        <v>0</v>
      </c>
      <c r="K9" s="7">
        <v>6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52</v>
      </c>
      <c r="AC9" s="8">
        <v>11840</v>
      </c>
      <c r="AD9" s="7">
        <v>0</v>
      </c>
      <c r="AE9" s="7">
        <v>1</v>
      </c>
      <c r="AF9" s="7">
        <v>600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27</v>
      </c>
      <c r="AO9" s="8">
        <v>5200</v>
      </c>
      <c r="AP9" s="7">
        <v>200</v>
      </c>
      <c r="AQ9" s="7">
        <v>0</v>
      </c>
      <c r="AR9" s="7">
        <v>0</v>
      </c>
      <c r="AS9" s="7">
        <v>0</v>
      </c>
      <c r="AT9" s="7">
        <v>22</v>
      </c>
      <c r="AU9" s="8">
        <v>5280</v>
      </c>
      <c r="AV9" s="7">
        <v>0</v>
      </c>
      <c r="AW9" s="7">
        <v>12</v>
      </c>
      <c r="AX9" s="8">
        <v>7200</v>
      </c>
      <c r="AY9" s="7">
        <v>0</v>
      </c>
      <c r="AZ9" s="7">
        <v>93</v>
      </c>
      <c r="BA9" s="8">
        <v>22320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2587.1999999999998</v>
      </c>
      <c r="BM9" s="10">
        <v>52640</v>
      </c>
      <c r="BN9" s="13">
        <f t="shared" si="0"/>
        <v>50052.800000000003</v>
      </c>
      <c r="BO9" s="14">
        <f t="shared" si="1"/>
        <v>35036.959999999999</v>
      </c>
    </row>
    <row r="10" spans="1:67" x14ac:dyDescent="0.4">
      <c r="A10" s="5" t="s">
        <v>93</v>
      </c>
      <c r="B10" s="5" t="s">
        <v>71</v>
      </c>
      <c r="C10" s="5">
        <v>323829</v>
      </c>
      <c r="D10" s="6"/>
      <c r="E10" s="5" t="s">
        <v>31</v>
      </c>
      <c r="F10" s="5" t="s">
        <v>72</v>
      </c>
      <c r="G10" s="5" t="s">
        <v>11</v>
      </c>
      <c r="H10" s="7" t="s">
        <v>7</v>
      </c>
      <c r="I10" s="7" t="s">
        <v>73</v>
      </c>
      <c r="J10" s="7">
        <v>0</v>
      </c>
      <c r="K10" s="7">
        <v>42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84</v>
      </c>
      <c r="AC10" s="8">
        <v>7460</v>
      </c>
      <c r="AD10" s="8">
        <v>1100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65</v>
      </c>
      <c r="AO10" s="8">
        <v>6500</v>
      </c>
      <c r="AP10" s="7">
        <v>0</v>
      </c>
      <c r="AQ10" s="7">
        <v>0</v>
      </c>
      <c r="AR10" s="7">
        <v>0</v>
      </c>
      <c r="AS10" s="7">
        <v>0</v>
      </c>
      <c r="AT10" s="7">
        <v>1</v>
      </c>
      <c r="AU10" s="7">
        <v>120</v>
      </c>
      <c r="AV10" s="7">
        <v>0</v>
      </c>
      <c r="AW10" s="7">
        <v>0</v>
      </c>
      <c r="AX10" s="7">
        <v>0</v>
      </c>
      <c r="AY10" s="7">
        <v>0</v>
      </c>
      <c r="AZ10" s="7">
        <v>244</v>
      </c>
      <c r="BA10" s="8">
        <v>29280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1768.8</v>
      </c>
      <c r="BM10" s="10">
        <v>44460</v>
      </c>
      <c r="BN10" s="13">
        <f t="shared" si="0"/>
        <v>42691.199999999997</v>
      </c>
      <c r="BO10" s="14">
        <f t="shared" si="1"/>
        <v>29883.839999999997</v>
      </c>
    </row>
    <row r="11" spans="1:67" ht="19.2" x14ac:dyDescent="0.4">
      <c r="A11" s="5" t="s">
        <v>93</v>
      </c>
      <c r="B11" s="5" t="s">
        <v>53</v>
      </c>
      <c r="C11" s="5">
        <v>412451</v>
      </c>
      <c r="D11" s="6"/>
      <c r="E11" s="5" t="s">
        <v>31</v>
      </c>
      <c r="F11" s="5" t="s">
        <v>54</v>
      </c>
      <c r="G11" s="5" t="s">
        <v>11</v>
      </c>
      <c r="H11" s="7" t="s">
        <v>8</v>
      </c>
      <c r="I11" s="7" t="s">
        <v>55</v>
      </c>
      <c r="J11" s="7">
        <v>4</v>
      </c>
      <c r="K11" s="7">
        <v>0</v>
      </c>
      <c r="L11" s="7">
        <v>800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53</v>
      </c>
      <c r="AC11" s="8">
        <v>7000</v>
      </c>
      <c r="AD11" s="8">
        <v>3700</v>
      </c>
      <c r="AE11" s="7">
        <v>9</v>
      </c>
      <c r="AF11" s="7">
        <v>0</v>
      </c>
      <c r="AG11" s="8">
        <v>3600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5</v>
      </c>
      <c r="AU11" s="8">
        <v>1080</v>
      </c>
      <c r="AV11" s="7">
        <v>0</v>
      </c>
      <c r="AW11" s="7">
        <v>0</v>
      </c>
      <c r="AX11" s="7">
        <v>0</v>
      </c>
      <c r="AY11" s="7">
        <v>0</v>
      </c>
      <c r="AZ11" s="7">
        <v>77</v>
      </c>
      <c r="BA11" s="8">
        <v>18480</v>
      </c>
      <c r="BB11" s="7">
        <v>0</v>
      </c>
      <c r="BC11" s="7">
        <v>0</v>
      </c>
      <c r="BD11" s="7">
        <v>0</v>
      </c>
      <c r="BE11" s="7">
        <v>0</v>
      </c>
      <c r="BF11" s="7">
        <v>21</v>
      </c>
      <c r="BG11" s="8">
        <v>5040</v>
      </c>
      <c r="BH11" s="7">
        <v>0</v>
      </c>
      <c r="BI11" s="7">
        <v>0</v>
      </c>
      <c r="BJ11" s="7">
        <v>0</v>
      </c>
      <c r="BK11" s="7">
        <v>0</v>
      </c>
      <c r="BL11" s="9">
        <v>1468.8</v>
      </c>
      <c r="BM11" s="10">
        <v>39700</v>
      </c>
      <c r="BN11" s="13">
        <f t="shared" si="0"/>
        <v>38231.199999999997</v>
      </c>
      <c r="BO11" s="14">
        <f t="shared" si="1"/>
        <v>26761.839999999997</v>
      </c>
    </row>
    <row r="12" spans="1:67" x14ac:dyDescent="0.4">
      <c r="A12" s="5" t="s">
        <v>93</v>
      </c>
      <c r="B12" s="5" t="s">
        <v>102</v>
      </c>
      <c r="C12" s="5">
        <v>319050</v>
      </c>
      <c r="D12" s="6"/>
      <c r="E12" s="5" t="s">
        <v>31</v>
      </c>
      <c r="F12" s="5" t="s">
        <v>103</v>
      </c>
      <c r="G12" s="5" t="s">
        <v>11</v>
      </c>
      <c r="H12" s="7" t="s">
        <v>7</v>
      </c>
      <c r="I12" s="7" t="s">
        <v>104</v>
      </c>
      <c r="J12" s="7">
        <v>1</v>
      </c>
      <c r="K12" s="7">
        <v>0</v>
      </c>
      <c r="L12" s="7">
        <v>200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</v>
      </c>
      <c r="AC12" s="7">
        <v>0</v>
      </c>
      <c r="AD12" s="7">
        <v>200</v>
      </c>
      <c r="AE12" s="7">
        <v>1</v>
      </c>
      <c r="AF12" s="7">
        <v>0</v>
      </c>
      <c r="AG12" s="7">
        <v>500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38</v>
      </c>
      <c r="AX12" s="8">
        <v>21470</v>
      </c>
      <c r="AY12" s="7">
        <v>0</v>
      </c>
      <c r="AZ12" s="7">
        <v>0</v>
      </c>
      <c r="BA12" s="7">
        <v>0</v>
      </c>
      <c r="BB12" s="7">
        <v>0</v>
      </c>
      <c r="BC12" s="7">
        <v>21</v>
      </c>
      <c r="BD12" s="8">
        <v>12000</v>
      </c>
      <c r="BE12" s="7">
        <v>500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2867</v>
      </c>
      <c r="BM12" s="10">
        <v>34870</v>
      </c>
      <c r="BN12" s="13">
        <f t="shared" si="0"/>
        <v>32003</v>
      </c>
      <c r="BO12" s="14">
        <f t="shared" si="1"/>
        <v>22402.1</v>
      </c>
    </row>
    <row r="13" spans="1:67" x14ac:dyDescent="0.4">
      <c r="A13" s="5" t="s">
        <v>93</v>
      </c>
      <c r="B13" s="5" t="s">
        <v>68</v>
      </c>
      <c r="C13" s="5">
        <v>307024</v>
      </c>
      <c r="D13" s="6"/>
      <c r="E13" s="5" t="s">
        <v>31</v>
      </c>
      <c r="F13" s="5" t="s">
        <v>69</v>
      </c>
      <c r="G13" s="5" t="s">
        <v>11</v>
      </c>
      <c r="H13" s="7" t="s">
        <v>7</v>
      </c>
      <c r="I13" s="7" t="s">
        <v>70</v>
      </c>
      <c r="J13" s="7">
        <v>0</v>
      </c>
      <c r="K13" s="7">
        <v>492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191</v>
      </c>
      <c r="AC13" s="8">
        <v>11480</v>
      </c>
      <c r="AD13" s="8">
        <v>9500</v>
      </c>
      <c r="AE13" s="7">
        <v>1</v>
      </c>
      <c r="AF13" s="7">
        <v>0</v>
      </c>
      <c r="AG13" s="7">
        <v>200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24</v>
      </c>
      <c r="AO13" s="8">
        <v>2200</v>
      </c>
      <c r="AP13" s="7">
        <v>200</v>
      </c>
      <c r="AQ13" s="7">
        <v>0</v>
      </c>
      <c r="AR13" s="7">
        <v>0</v>
      </c>
      <c r="AS13" s="7">
        <v>0</v>
      </c>
      <c r="AT13" s="7">
        <v>2</v>
      </c>
      <c r="AU13" s="7">
        <v>240</v>
      </c>
      <c r="AV13" s="7">
        <v>0</v>
      </c>
      <c r="AW13" s="7">
        <v>0</v>
      </c>
      <c r="AX13" s="7">
        <v>0</v>
      </c>
      <c r="AY13" s="7">
        <v>0</v>
      </c>
      <c r="AZ13" s="7">
        <v>75</v>
      </c>
      <c r="BA13" s="8">
        <v>9000</v>
      </c>
      <c r="BB13" s="7">
        <v>0</v>
      </c>
      <c r="BC13" s="7">
        <v>1</v>
      </c>
      <c r="BD13" s="7">
        <v>240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578.4</v>
      </c>
      <c r="BM13" s="10">
        <v>33060</v>
      </c>
      <c r="BN13" s="13">
        <f t="shared" si="0"/>
        <v>32481.599999999999</v>
      </c>
      <c r="BO13" s="14">
        <f t="shared" si="1"/>
        <v>22737.119999999999</v>
      </c>
    </row>
    <row r="14" spans="1:67" x14ac:dyDescent="0.4">
      <c r="A14" s="5" t="s">
        <v>93</v>
      </c>
      <c r="B14" s="5" t="s">
        <v>51</v>
      </c>
      <c r="C14" s="5">
        <v>467630</v>
      </c>
      <c r="D14" s="6"/>
      <c r="E14" s="5" t="s">
        <v>31</v>
      </c>
      <c r="F14" s="5" t="s">
        <v>52</v>
      </c>
      <c r="G14" s="5" t="s">
        <v>11</v>
      </c>
      <c r="H14" s="7" t="s">
        <v>8</v>
      </c>
      <c r="I14" s="7" t="s">
        <v>29</v>
      </c>
      <c r="J14" s="7">
        <v>0</v>
      </c>
      <c r="K14" s="7">
        <v>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49</v>
      </c>
      <c r="AC14" s="8">
        <v>6360</v>
      </c>
      <c r="AD14" s="8">
        <v>4300</v>
      </c>
      <c r="AE14" s="7">
        <v>8</v>
      </c>
      <c r="AF14" s="8">
        <v>2180</v>
      </c>
      <c r="AG14" s="8">
        <v>1100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1</v>
      </c>
      <c r="AO14" s="7">
        <v>200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65</v>
      </c>
      <c r="BA14" s="8">
        <v>15480</v>
      </c>
      <c r="BB14" s="7">
        <v>0</v>
      </c>
      <c r="BC14" s="7">
        <v>2</v>
      </c>
      <c r="BD14" s="7">
        <v>960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986.4</v>
      </c>
      <c r="BM14" s="10">
        <v>30580</v>
      </c>
      <c r="BN14" s="13">
        <f t="shared" si="0"/>
        <v>29593.599999999999</v>
      </c>
      <c r="BO14" s="14">
        <f t="shared" si="1"/>
        <v>20715.519999999997</v>
      </c>
    </row>
    <row r="15" spans="1:67" x14ac:dyDescent="0.4">
      <c r="A15" s="5" t="s">
        <v>93</v>
      </c>
      <c r="B15" s="5" t="s">
        <v>74</v>
      </c>
      <c r="C15" s="5">
        <v>436040</v>
      </c>
      <c r="D15" s="6"/>
      <c r="E15" s="5" t="s">
        <v>31</v>
      </c>
      <c r="F15" s="5" t="s">
        <v>75</v>
      </c>
      <c r="G15" s="5" t="s">
        <v>11</v>
      </c>
      <c r="H15" s="7" t="s">
        <v>8</v>
      </c>
      <c r="I15" s="7" t="s">
        <v>76</v>
      </c>
      <c r="J15" s="7">
        <v>0</v>
      </c>
      <c r="K15" s="7">
        <v>703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110</v>
      </c>
      <c r="AC15" s="8">
        <v>19000</v>
      </c>
      <c r="AD15" s="8">
        <v>3000</v>
      </c>
      <c r="AE15" s="7">
        <v>15</v>
      </c>
      <c r="AF15" s="8">
        <v>7500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1</v>
      </c>
      <c r="BA15" s="7">
        <v>240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14.4</v>
      </c>
      <c r="BM15" s="10">
        <v>29740</v>
      </c>
      <c r="BN15" s="13">
        <f t="shared" si="0"/>
        <v>29725.599999999999</v>
      </c>
      <c r="BO15" s="14">
        <f t="shared" si="1"/>
        <v>20807.919999999998</v>
      </c>
    </row>
    <row r="16" spans="1:67" ht="19.2" x14ac:dyDescent="0.4">
      <c r="A16" s="5" t="s">
        <v>93</v>
      </c>
      <c r="B16" s="5" t="s">
        <v>35</v>
      </c>
      <c r="C16" s="5">
        <v>434897</v>
      </c>
      <c r="D16" s="6"/>
      <c r="E16" s="5" t="s">
        <v>31</v>
      </c>
      <c r="F16" s="5" t="s">
        <v>36</v>
      </c>
      <c r="G16" s="5" t="s">
        <v>11</v>
      </c>
      <c r="H16" s="7" t="s">
        <v>8</v>
      </c>
      <c r="I16" s="7" t="s">
        <v>37</v>
      </c>
      <c r="J16" s="7">
        <v>5</v>
      </c>
      <c r="K16" s="7">
        <v>759</v>
      </c>
      <c r="L16" s="8">
        <v>1000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93</v>
      </c>
      <c r="AC16" s="8">
        <v>8160</v>
      </c>
      <c r="AD16" s="8">
        <v>10500</v>
      </c>
      <c r="AE16" s="7">
        <v>1</v>
      </c>
      <c r="AF16" s="7">
        <v>400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8</v>
      </c>
      <c r="AO16" s="8">
        <v>1600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29</v>
      </c>
      <c r="BA16" s="8">
        <v>6840</v>
      </c>
      <c r="BB16" s="7">
        <v>0</v>
      </c>
      <c r="BC16" s="7">
        <v>2</v>
      </c>
      <c r="BD16" s="7">
        <v>960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468</v>
      </c>
      <c r="BM16" s="10">
        <v>29460</v>
      </c>
      <c r="BN16" s="13">
        <f t="shared" si="0"/>
        <v>28992</v>
      </c>
      <c r="BO16" s="14">
        <f t="shared" si="1"/>
        <v>20294.399999999998</v>
      </c>
    </row>
    <row r="17" spans="1:67" x14ac:dyDescent="0.4">
      <c r="A17" s="5" t="s">
        <v>93</v>
      </c>
      <c r="B17" s="5" t="s">
        <v>42</v>
      </c>
      <c r="C17" s="5">
        <v>383201</v>
      </c>
      <c r="D17" s="6"/>
      <c r="E17" s="5" t="s">
        <v>31</v>
      </c>
      <c r="F17" s="5" t="s">
        <v>43</v>
      </c>
      <c r="G17" s="5" t="s">
        <v>11</v>
      </c>
      <c r="H17" s="7" t="s">
        <v>7</v>
      </c>
      <c r="I17" s="7" t="s">
        <v>44</v>
      </c>
      <c r="J17" s="7">
        <v>0</v>
      </c>
      <c r="K17" s="7">
        <v>8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94</v>
      </c>
      <c r="AC17" s="8">
        <v>17160</v>
      </c>
      <c r="AD17" s="8">
        <v>3200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36</v>
      </c>
      <c r="BA17" s="8">
        <v>8640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518.4</v>
      </c>
      <c r="BM17" s="10">
        <v>29000</v>
      </c>
      <c r="BN17" s="13">
        <f t="shared" si="0"/>
        <v>28481.599999999999</v>
      </c>
      <c r="BO17" s="14">
        <f t="shared" si="1"/>
        <v>19937.12</v>
      </c>
    </row>
    <row r="18" spans="1:67" x14ac:dyDescent="0.4">
      <c r="A18" s="5" t="s">
        <v>93</v>
      </c>
      <c r="B18" s="5" t="s">
        <v>105</v>
      </c>
      <c r="C18" s="5">
        <v>308339</v>
      </c>
      <c r="D18" s="6"/>
      <c r="E18" s="5" t="s">
        <v>31</v>
      </c>
      <c r="F18" s="5" t="s">
        <v>106</v>
      </c>
      <c r="G18" s="5" t="s">
        <v>11</v>
      </c>
      <c r="H18" s="7" t="s">
        <v>7</v>
      </c>
      <c r="I18" s="7" t="s">
        <v>107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19</v>
      </c>
      <c r="AC18" s="8">
        <v>3700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101</v>
      </c>
      <c r="AU18" s="8">
        <v>24120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9">
        <v>2412</v>
      </c>
      <c r="BM18" s="10">
        <v>27820</v>
      </c>
      <c r="BN18" s="13">
        <f t="shared" si="0"/>
        <v>25408</v>
      </c>
      <c r="BO18" s="14">
        <f t="shared" si="1"/>
        <v>17785.599999999999</v>
      </c>
    </row>
    <row r="19" spans="1:67" x14ac:dyDescent="0.4">
      <c r="A19" s="5" t="s">
        <v>93</v>
      </c>
      <c r="B19" s="5" t="s">
        <v>65</v>
      </c>
      <c r="C19" s="5">
        <v>419155</v>
      </c>
      <c r="D19" s="6"/>
      <c r="E19" s="5" t="s">
        <v>31</v>
      </c>
      <c r="F19" s="5" t="s">
        <v>66</v>
      </c>
      <c r="G19" s="5" t="s">
        <v>11</v>
      </c>
      <c r="H19" s="7" t="s">
        <v>7</v>
      </c>
      <c r="I19" s="7" t="s">
        <v>67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7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2</v>
      </c>
      <c r="AC19" s="7">
        <v>0</v>
      </c>
      <c r="AD19" s="7">
        <v>600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31</v>
      </c>
      <c r="AX19" s="8">
        <v>18600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1860</v>
      </c>
      <c r="BM19" s="10">
        <v>19200</v>
      </c>
      <c r="BN19" s="13">
        <f t="shared" si="0"/>
        <v>17340</v>
      </c>
      <c r="BO19" s="14">
        <f t="shared" si="1"/>
        <v>12138</v>
      </c>
    </row>
    <row r="20" spans="1:67" ht="19.2" x14ac:dyDescent="0.4">
      <c r="A20" s="5" t="s">
        <v>93</v>
      </c>
      <c r="B20" s="5" t="s">
        <v>88</v>
      </c>
      <c r="C20" s="5">
        <v>414835</v>
      </c>
      <c r="D20" s="6"/>
      <c r="E20" s="5" t="s">
        <v>31</v>
      </c>
      <c r="F20" s="5" t="s">
        <v>89</v>
      </c>
      <c r="G20" s="5" t="s">
        <v>11</v>
      </c>
      <c r="H20" s="7" t="s">
        <v>7</v>
      </c>
      <c r="I20" s="7" t="s">
        <v>28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60</v>
      </c>
      <c r="BD20" s="8">
        <v>14400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864</v>
      </c>
      <c r="BM20" s="10">
        <v>14400</v>
      </c>
      <c r="BN20" s="13">
        <f t="shared" si="0"/>
        <v>13536</v>
      </c>
      <c r="BO20" s="14">
        <f t="shared" si="1"/>
        <v>9475.1999999999989</v>
      </c>
    </row>
    <row r="21" spans="1:67" x14ac:dyDescent="0.4">
      <c r="A21" s="5" t="s">
        <v>93</v>
      </c>
      <c r="B21" s="5" t="s">
        <v>85</v>
      </c>
      <c r="C21" s="5">
        <v>336507</v>
      </c>
      <c r="D21" s="6"/>
      <c r="E21" s="5" t="s">
        <v>31</v>
      </c>
      <c r="F21" s="5" t="s">
        <v>86</v>
      </c>
      <c r="G21" s="5" t="s">
        <v>11</v>
      </c>
      <c r="H21" s="7" t="s">
        <v>8</v>
      </c>
      <c r="I21" s="7" t="s">
        <v>87</v>
      </c>
      <c r="J21" s="7">
        <v>5</v>
      </c>
      <c r="K21" s="7">
        <v>0</v>
      </c>
      <c r="L21" s="8">
        <v>1000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18</v>
      </c>
      <c r="AC21" s="8">
        <v>1240</v>
      </c>
      <c r="AD21" s="8">
        <v>2400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25</v>
      </c>
      <c r="AU21" s="8">
        <v>5880</v>
      </c>
      <c r="AV21" s="7">
        <v>0</v>
      </c>
      <c r="AW21" s="7">
        <v>0</v>
      </c>
      <c r="AX21" s="7">
        <v>0</v>
      </c>
      <c r="AY21" s="7">
        <v>0</v>
      </c>
      <c r="AZ21" s="7">
        <v>8</v>
      </c>
      <c r="BA21" s="8">
        <v>1800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696</v>
      </c>
      <c r="BM21" s="10">
        <v>12320</v>
      </c>
      <c r="BN21" s="13">
        <f t="shared" si="0"/>
        <v>11624</v>
      </c>
      <c r="BO21" s="14">
        <f t="shared" si="1"/>
        <v>8136.7999999999993</v>
      </c>
    </row>
    <row r="22" spans="1:67" x14ac:dyDescent="0.4">
      <c r="A22" s="5" t="s">
        <v>93</v>
      </c>
      <c r="B22" s="5" t="s">
        <v>108</v>
      </c>
      <c r="C22" s="5">
        <v>398413</v>
      </c>
      <c r="D22" s="6"/>
      <c r="E22" s="5" t="s">
        <v>31</v>
      </c>
      <c r="F22" s="5" t="s">
        <v>100</v>
      </c>
      <c r="G22" s="5" t="s">
        <v>11</v>
      </c>
      <c r="H22" s="7" t="s">
        <v>8</v>
      </c>
      <c r="I22" s="7" t="s">
        <v>109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50</v>
      </c>
      <c r="BA22" s="8">
        <v>12000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720</v>
      </c>
      <c r="BM22" s="10">
        <v>12000</v>
      </c>
      <c r="BN22" s="13">
        <f t="shared" si="0"/>
        <v>11280</v>
      </c>
      <c r="BO22" s="14">
        <f t="shared" si="1"/>
        <v>7895.9999999999991</v>
      </c>
    </row>
    <row r="23" spans="1:67" x14ac:dyDescent="0.4">
      <c r="A23" s="5" t="s">
        <v>93</v>
      </c>
      <c r="B23" s="5" t="s">
        <v>77</v>
      </c>
      <c r="C23" s="5">
        <v>464964</v>
      </c>
      <c r="D23" s="6"/>
      <c r="E23" s="5" t="s">
        <v>31</v>
      </c>
      <c r="F23" s="5" t="s">
        <v>78</v>
      </c>
      <c r="G23" s="5" t="s">
        <v>11</v>
      </c>
      <c r="H23" s="7" t="s">
        <v>7</v>
      </c>
      <c r="I23" s="7" t="s">
        <v>98</v>
      </c>
      <c r="J23" s="7">
        <v>0</v>
      </c>
      <c r="K23" s="7">
        <v>101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11</v>
      </c>
      <c r="AC23" s="7">
        <v>200</v>
      </c>
      <c r="AD23" s="8">
        <v>2000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20</v>
      </c>
      <c r="AO23" s="8">
        <v>3800</v>
      </c>
      <c r="AP23" s="7">
        <v>200</v>
      </c>
      <c r="AQ23" s="7">
        <v>0</v>
      </c>
      <c r="AR23" s="7">
        <v>0</v>
      </c>
      <c r="AS23" s="7">
        <v>0</v>
      </c>
      <c r="AT23" s="7">
        <v>7</v>
      </c>
      <c r="AU23" s="8">
        <v>1680</v>
      </c>
      <c r="AV23" s="7">
        <v>0</v>
      </c>
      <c r="AW23" s="7">
        <v>0</v>
      </c>
      <c r="AX23" s="7">
        <v>0</v>
      </c>
      <c r="AY23" s="7">
        <v>0</v>
      </c>
      <c r="AZ23" s="7">
        <v>1</v>
      </c>
      <c r="BA23" s="7">
        <v>240</v>
      </c>
      <c r="BB23" s="7">
        <v>0</v>
      </c>
      <c r="BC23" s="7">
        <v>2</v>
      </c>
      <c r="BD23" s="8">
        <v>1200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254.4</v>
      </c>
      <c r="BM23" s="10">
        <v>9320</v>
      </c>
      <c r="BN23" s="13">
        <f t="shared" si="0"/>
        <v>9065.6</v>
      </c>
      <c r="BO23" s="14">
        <f t="shared" si="1"/>
        <v>6345.92</v>
      </c>
    </row>
    <row r="24" spans="1:67" x14ac:dyDescent="0.4">
      <c r="A24" s="5" t="s">
        <v>93</v>
      </c>
      <c r="B24" s="5" t="s">
        <v>58</v>
      </c>
      <c r="C24" s="5">
        <v>403837</v>
      </c>
      <c r="D24" s="6"/>
      <c r="E24" s="5" t="s">
        <v>31</v>
      </c>
      <c r="F24" s="5" t="s">
        <v>59</v>
      </c>
      <c r="G24" s="5" t="s">
        <v>11</v>
      </c>
      <c r="H24" s="7" t="s">
        <v>7</v>
      </c>
      <c r="I24" s="7" t="s">
        <v>60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30</v>
      </c>
      <c r="AC24" s="8">
        <v>4000</v>
      </c>
      <c r="AD24" s="8">
        <v>2000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3</v>
      </c>
      <c r="AU24" s="7">
        <v>720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72</v>
      </c>
      <c r="BM24" s="10">
        <v>6720</v>
      </c>
      <c r="BN24" s="13">
        <f t="shared" si="0"/>
        <v>6648</v>
      </c>
      <c r="BO24" s="14">
        <f t="shared" si="1"/>
        <v>4653.5999999999995</v>
      </c>
    </row>
    <row r="25" spans="1:67" x14ac:dyDescent="0.4">
      <c r="A25" s="5" t="s">
        <v>93</v>
      </c>
      <c r="B25" s="5" t="s">
        <v>63</v>
      </c>
      <c r="C25" s="5">
        <v>465658</v>
      </c>
      <c r="D25" s="6"/>
      <c r="E25" s="5" t="s">
        <v>31</v>
      </c>
      <c r="F25" s="5" t="s">
        <v>64</v>
      </c>
      <c r="G25" s="5" t="s">
        <v>11</v>
      </c>
      <c r="H25" s="7" t="s">
        <v>7</v>
      </c>
      <c r="I25" s="7" t="s">
        <v>96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15</v>
      </c>
      <c r="AC25" s="8">
        <v>1240</v>
      </c>
      <c r="AD25" s="8">
        <v>1800</v>
      </c>
      <c r="AE25" s="7">
        <v>3</v>
      </c>
      <c r="AF25" s="8">
        <v>1160</v>
      </c>
      <c r="AG25" s="7">
        <v>200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7</v>
      </c>
      <c r="BA25" s="8">
        <v>1680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100.8</v>
      </c>
      <c r="BM25" s="10">
        <v>6080</v>
      </c>
      <c r="BN25" s="13">
        <f t="shared" si="0"/>
        <v>5979.2</v>
      </c>
      <c r="BO25" s="14">
        <f t="shared" si="1"/>
        <v>4185.4399999999996</v>
      </c>
    </row>
    <row r="26" spans="1:67" x14ac:dyDescent="0.4">
      <c r="A26" s="5" t="s">
        <v>93</v>
      </c>
      <c r="B26" s="5" t="s">
        <v>110</v>
      </c>
      <c r="C26" s="5">
        <v>351760</v>
      </c>
      <c r="D26" s="6"/>
      <c r="E26" s="5" t="s">
        <v>31</v>
      </c>
      <c r="F26" s="5" t="s">
        <v>111</v>
      </c>
      <c r="G26" s="5" t="s">
        <v>11</v>
      </c>
      <c r="H26" s="7" t="s">
        <v>7</v>
      </c>
      <c r="I26" s="7" t="s">
        <v>112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19</v>
      </c>
      <c r="AC26" s="7">
        <v>0</v>
      </c>
      <c r="AD26" s="8">
        <v>3800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3800</v>
      </c>
      <c r="BN26" s="13">
        <f t="shared" si="0"/>
        <v>3800</v>
      </c>
      <c r="BO26" s="14">
        <f t="shared" si="1"/>
        <v>2660</v>
      </c>
    </row>
    <row r="27" spans="1:67" x14ac:dyDescent="0.4">
      <c r="A27" s="5" t="s">
        <v>93</v>
      </c>
      <c r="B27" s="5" t="s">
        <v>48</v>
      </c>
      <c r="C27" s="5">
        <v>448747</v>
      </c>
      <c r="D27" s="6"/>
      <c r="E27" s="5" t="s">
        <v>31</v>
      </c>
      <c r="F27" s="5" t="s">
        <v>49</v>
      </c>
      <c r="G27" s="5" t="s">
        <v>11</v>
      </c>
      <c r="H27" s="7" t="s">
        <v>7</v>
      </c>
      <c r="I27" s="7" t="s">
        <v>50</v>
      </c>
      <c r="J27" s="7">
        <v>0</v>
      </c>
      <c r="K27" s="7">
        <v>832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7</v>
      </c>
      <c r="AC27" s="7">
        <v>200</v>
      </c>
      <c r="AD27" s="8">
        <v>1200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1</v>
      </c>
      <c r="AO27" s="7">
        <v>200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4</v>
      </c>
      <c r="BA27" s="7">
        <v>960</v>
      </c>
      <c r="BB27" s="7">
        <v>0</v>
      </c>
      <c r="BC27" s="7">
        <v>2</v>
      </c>
      <c r="BD27" s="7">
        <v>960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115.2</v>
      </c>
      <c r="BM27" s="10">
        <v>3520</v>
      </c>
      <c r="BN27" s="13">
        <f t="shared" si="0"/>
        <v>3404.8</v>
      </c>
      <c r="BO27" s="14">
        <f t="shared" si="1"/>
        <v>2383.36</v>
      </c>
    </row>
    <row r="28" spans="1:67" x14ac:dyDescent="0.4">
      <c r="A28" s="5" t="s">
        <v>93</v>
      </c>
      <c r="B28" s="5" t="s">
        <v>113</v>
      </c>
      <c r="C28" s="5">
        <v>320809</v>
      </c>
      <c r="D28" s="6"/>
      <c r="E28" s="5" t="s">
        <v>31</v>
      </c>
      <c r="F28" s="5" t="s">
        <v>114</v>
      </c>
      <c r="G28" s="5" t="s">
        <v>11</v>
      </c>
      <c r="H28" s="7" t="s">
        <v>7</v>
      </c>
      <c r="I28" s="7" t="s">
        <v>115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9</v>
      </c>
      <c r="AC28" s="8">
        <v>2080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2080</v>
      </c>
      <c r="BN28" s="13">
        <f t="shared" si="0"/>
        <v>2080</v>
      </c>
      <c r="BO28" s="14">
        <f t="shared" si="1"/>
        <v>1456</v>
      </c>
    </row>
    <row r="29" spans="1:67" x14ac:dyDescent="0.4">
      <c r="A29" s="5" t="s">
        <v>93</v>
      </c>
      <c r="B29" s="5" t="s">
        <v>116</v>
      </c>
      <c r="C29" s="5">
        <v>461521</v>
      </c>
      <c r="D29" s="6"/>
      <c r="E29" s="5" t="s">
        <v>31</v>
      </c>
      <c r="F29" s="5" t="s">
        <v>117</v>
      </c>
      <c r="G29" s="5" t="s">
        <v>11</v>
      </c>
      <c r="H29" s="7" t="s">
        <v>8</v>
      </c>
      <c r="I29" s="7" t="s">
        <v>118</v>
      </c>
      <c r="J29" s="7">
        <v>0</v>
      </c>
      <c r="K29" s="7">
        <v>187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3</v>
      </c>
      <c r="AC29" s="7">
        <v>600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4</v>
      </c>
      <c r="BA29" s="7">
        <v>960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57.6</v>
      </c>
      <c r="BM29" s="10">
        <v>1560</v>
      </c>
      <c r="BN29" s="13">
        <f t="shared" si="0"/>
        <v>1502.4</v>
      </c>
      <c r="BO29" s="14">
        <f t="shared" si="1"/>
        <v>1051.68</v>
      </c>
    </row>
    <row r="30" spans="1:67" x14ac:dyDescent="0.4">
      <c r="A30" s="5" t="s">
        <v>93</v>
      </c>
      <c r="B30" s="5" t="s">
        <v>119</v>
      </c>
      <c r="C30" s="5">
        <v>330938</v>
      </c>
      <c r="D30" s="6"/>
      <c r="E30" s="5" t="s">
        <v>31</v>
      </c>
      <c r="F30" s="5" t="s">
        <v>86</v>
      </c>
      <c r="G30" s="5" t="s">
        <v>11</v>
      </c>
      <c r="H30" s="7" t="s">
        <v>7</v>
      </c>
      <c r="I30" s="7" t="s">
        <v>120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4</v>
      </c>
      <c r="BA30" s="7">
        <v>960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57.6</v>
      </c>
      <c r="BM30" s="11">
        <v>960</v>
      </c>
      <c r="BN30" s="13">
        <f t="shared" si="0"/>
        <v>902.4</v>
      </c>
      <c r="BO30" s="14">
        <f t="shared" si="1"/>
        <v>631.67999999999995</v>
      </c>
    </row>
    <row r="31" spans="1:67" x14ac:dyDescent="0.4">
      <c r="A31" s="5" t="s">
        <v>93</v>
      </c>
      <c r="B31" s="5" t="s">
        <v>123</v>
      </c>
      <c r="C31" s="5">
        <v>354237</v>
      </c>
      <c r="D31" s="6"/>
      <c r="E31" s="5" t="s">
        <v>31</v>
      </c>
      <c r="F31" s="5" t="s">
        <v>124</v>
      </c>
      <c r="G31" s="5" t="s">
        <v>11</v>
      </c>
      <c r="H31" s="7" t="s">
        <v>7</v>
      </c>
      <c r="I31" s="7" t="s">
        <v>125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2</v>
      </c>
      <c r="AC31" s="7">
        <v>400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1">
        <v>400</v>
      </c>
      <c r="BN31" s="13">
        <f t="shared" si="0"/>
        <v>400</v>
      </c>
      <c r="BO31" s="14">
        <f t="shared" si="1"/>
        <v>280</v>
      </c>
    </row>
    <row r="32" spans="1:67" x14ac:dyDescent="0.4">
      <c r="A32" s="5" t="s">
        <v>93</v>
      </c>
      <c r="B32" s="5" t="s">
        <v>121</v>
      </c>
      <c r="C32" s="5">
        <v>406076</v>
      </c>
      <c r="D32" s="6"/>
      <c r="E32" s="5" t="s">
        <v>31</v>
      </c>
      <c r="F32" s="5" t="s">
        <v>100</v>
      </c>
      <c r="G32" s="5" t="s">
        <v>11</v>
      </c>
      <c r="H32" s="7" t="s">
        <v>8</v>
      </c>
      <c r="I32" s="7" t="s">
        <v>122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2</v>
      </c>
      <c r="AC32" s="7">
        <v>0</v>
      </c>
      <c r="AD32" s="7">
        <v>400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1">
        <v>400</v>
      </c>
      <c r="BN32" s="13">
        <f t="shared" si="0"/>
        <v>400</v>
      </c>
      <c r="BO32" s="14">
        <f t="shared" si="1"/>
        <v>280</v>
      </c>
    </row>
    <row r="33" spans="1:67" x14ac:dyDescent="0.4">
      <c r="A33" s="5" t="s">
        <v>93</v>
      </c>
      <c r="B33" s="5" t="s">
        <v>126</v>
      </c>
      <c r="C33" s="5">
        <v>366233</v>
      </c>
      <c r="D33" s="6"/>
      <c r="E33" s="5" t="s">
        <v>31</v>
      </c>
      <c r="F33" s="5" t="s">
        <v>127</v>
      </c>
      <c r="G33" s="5" t="s">
        <v>11</v>
      </c>
      <c r="H33" s="7" t="s">
        <v>7</v>
      </c>
      <c r="I33" s="7" t="s">
        <v>128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1</v>
      </c>
      <c r="AC33" s="7">
        <v>240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1">
        <v>240</v>
      </c>
      <c r="BN33" s="13">
        <f t="shared" si="0"/>
        <v>240</v>
      </c>
      <c r="BO33" s="14">
        <f t="shared" si="1"/>
        <v>168</v>
      </c>
    </row>
    <row r="34" spans="1:67" x14ac:dyDescent="0.4">
      <c r="A34" s="5" t="s">
        <v>93</v>
      </c>
      <c r="B34" s="5" t="s">
        <v>134</v>
      </c>
      <c r="C34" s="5">
        <v>394045</v>
      </c>
      <c r="D34" s="6"/>
      <c r="E34" s="5" t="s">
        <v>31</v>
      </c>
      <c r="F34" s="5" t="s">
        <v>135</v>
      </c>
      <c r="G34" s="5" t="s">
        <v>11</v>
      </c>
      <c r="H34" s="7" t="s">
        <v>8</v>
      </c>
      <c r="I34" s="7" t="s">
        <v>131</v>
      </c>
      <c r="J34" s="7">
        <v>0</v>
      </c>
      <c r="K34" s="7">
        <v>5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1">
        <v>0</v>
      </c>
      <c r="BN34" s="13">
        <f t="shared" si="0"/>
        <v>0</v>
      </c>
      <c r="BO34" s="14">
        <f t="shared" si="1"/>
        <v>0</v>
      </c>
    </row>
    <row r="35" spans="1:67" x14ac:dyDescent="0.4">
      <c r="A35" s="5" t="s">
        <v>93</v>
      </c>
      <c r="B35" s="5" t="s">
        <v>90</v>
      </c>
      <c r="C35" s="5">
        <v>463278</v>
      </c>
      <c r="D35" s="6"/>
      <c r="E35" s="5" t="s">
        <v>31</v>
      </c>
      <c r="F35" s="5" t="s">
        <v>91</v>
      </c>
      <c r="G35" s="5" t="s">
        <v>11</v>
      </c>
      <c r="H35" s="7" t="s">
        <v>7</v>
      </c>
      <c r="I35" s="7" t="s">
        <v>92</v>
      </c>
      <c r="J35" s="7">
        <v>0</v>
      </c>
      <c r="K35" s="7">
        <v>66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1">
        <v>0</v>
      </c>
      <c r="BN35" s="13">
        <f t="shared" si="0"/>
        <v>0</v>
      </c>
      <c r="BO35" s="14">
        <f t="shared" si="1"/>
        <v>0</v>
      </c>
    </row>
    <row r="36" spans="1:67" x14ac:dyDescent="0.4">
      <c r="A36" s="5" t="s">
        <v>93</v>
      </c>
      <c r="B36" s="5" t="s">
        <v>132</v>
      </c>
      <c r="C36" s="5">
        <v>393567</v>
      </c>
      <c r="D36" s="6"/>
      <c r="E36" s="5" t="s">
        <v>31</v>
      </c>
      <c r="F36" s="5" t="s">
        <v>133</v>
      </c>
      <c r="G36" s="5" t="s">
        <v>11</v>
      </c>
      <c r="H36" s="7" t="s">
        <v>8</v>
      </c>
      <c r="I36" s="7" t="s">
        <v>131</v>
      </c>
      <c r="J36" s="7">
        <v>0</v>
      </c>
      <c r="K36" s="7">
        <v>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1">
        <v>0</v>
      </c>
      <c r="BN36" s="13">
        <f t="shared" si="0"/>
        <v>0</v>
      </c>
      <c r="BO36" s="14">
        <f t="shared" si="1"/>
        <v>0</v>
      </c>
    </row>
    <row r="37" spans="1:67" x14ac:dyDescent="0.4">
      <c r="A37" s="5" t="s">
        <v>93</v>
      </c>
      <c r="B37" s="5" t="s">
        <v>129</v>
      </c>
      <c r="C37" s="5">
        <v>393552</v>
      </c>
      <c r="D37" s="6"/>
      <c r="E37" s="5" t="s">
        <v>31</v>
      </c>
      <c r="F37" s="5" t="s">
        <v>130</v>
      </c>
      <c r="G37" s="5" t="s">
        <v>11</v>
      </c>
      <c r="H37" s="7" t="s">
        <v>7</v>
      </c>
      <c r="I37" s="7" t="s">
        <v>131</v>
      </c>
      <c r="J37" s="7">
        <v>0</v>
      </c>
      <c r="K37" s="7">
        <v>3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1">
        <v>0</v>
      </c>
      <c r="BN37" s="13">
        <f t="shared" si="0"/>
        <v>0</v>
      </c>
      <c r="BO37" s="14">
        <f t="shared" si="1"/>
        <v>0</v>
      </c>
    </row>
    <row r="38" spans="1:67" x14ac:dyDescent="0.4">
      <c r="A38" s="5" t="s">
        <v>93</v>
      </c>
      <c r="B38" s="5" t="s">
        <v>82</v>
      </c>
      <c r="C38" s="5">
        <v>458180</v>
      </c>
      <c r="D38" s="6"/>
      <c r="E38" s="5" t="s">
        <v>31</v>
      </c>
      <c r="F38" s="5" t="s">
        <v>83</v>
      </c>
      <c r="G38" s="5" t="s">
        <v>11</v>
      </c>
      <c r="H38" s="7" t="s">
        <v>7</v>
      </c>
      <c r="I38" s="7" t="s">
        <v>84</v>
      </c>
      <c r="J38" s="7">
        <v>0</v>
      </c>
      <c r="K38" s="7">
        <v>156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1">
        <v>0</v>
      </c>
      <c r="BN38" s="13">
        <f t="shared" si="0"/>
        <v>0</v>
      </c>
      <c r="BO38" s="14">
        <f t="shared" si="1"/>
        <v>0</v>
      </c>
    </row>
    <row r="39" spans="1:67" ht="19.2" x14ac:dyDescent="0.4">
      <c r="A39" s="5" t="s">
        <v>93</v>
      </c>
      <c r="B39" s="5" t="s">
        <v>79</v>
      </c>
      <c r="C39" s="5">
        <v>405596</v>
      </c>
      <c r="D39" s="6"/>
      <c r="E39" s="5" t="s">
        <v>31</v>
      </c>
      <c r="F39" s="5" t="s">
        <v>80</v>
      </c>
      <c r="G39" s="5" t="s">
        <v>11</v>
      </c>
      <c r="H39" s="7" t="s">
        <v>7</v>
      </c>
      <c r="I39" s="7" t="s">
        <v>81</v>
      </c>
      <c r="J39" s="7">
        <v>0</v>
      </c>
      <c r="K39" s="7">
        <v>51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1">
        <v>0</v>
      </c>
      <c r="BN39" s="13">
        <f t="shared" si="0"/>
        <v>0</v>
      </c>
      <c r="BO39" s="14">
        <f t="shared" si="1"/>
        <v>0</v>
      </c>
    </row>
    <row r="40" spans="1:67" ht="19.2" x14ac:dyDescent="0.4">
      <c r="A40" s="5" t="s">
        <v>94</v>
      </c>
      <c r="B40" s="5" t="s">
        <v>61</v>
      </c>
      <c r="C40" s="5">
        <v>380491</v>
      </c>
      <c r="D40" s="6"/>
      <c r="E40" s="5" t="s">
        <v>31</v>
      </c>
      <c r="F40" s="5" t="s">
        <v>62</v>
      </c>
      <c r="G40" s="5" t="s">
        <v>11</v>
      </c>
      <c r="H40" s="7" t="s">
        <v>7</v>
      </c>
      <c r="I40" s="7" t="s">
        <v>60</v>
      </c>
      <c r="J40" s="7">
        <v>0</v>
      </c>
      <c r="K40" s="7">
        <v>961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705</v>
      </c>
      <c r="AC40" s="8">
        <v>78460</v>
      </c>
      <c r="AD40" s="8">
        <v>5100</v>
      </c>
      <c r="AE40" s="7">
        <v>3</v>
      </c>
      <c r="AF40" s="7">
        <v>240</v>
      </c>
      <c r="AG40" s="7">
        <v>400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262</v>
      </c>
      <c r="AO40" s="8">
        <v>25800</v>
      </c>
      <c r="AP40" s="7">
        <v>400</v>
      </c>
      <c r="AQ40" s="7">
        <v>0</v>
      </c>
      <c r="AR40" s="7">
        <v>0</v>
      </c>
      <c r="AS40" s="7">
        <v>0</v>
      </c>
      <c r="AT40" s="7">
        <v>2</v>
      </c>
      <c r="AU40" s="7">
        <v>240</v>
      </c>
      <c r="AV40" s="7">
        <v>0</v>
      </c>
      <c r="AW40" s="7">
        <v>0</v>
      </c>
      <c r="AX40" s="7">
        <v>0</v>
      </c>
      <c r="AY40" s="7">
        <v>0</v>
      </c>
      <c r="AZ40" s="7">
        <v>13</v>
      </c>
      <c r="BA40" s="8">
        <v>1560</v>
      </c>
      <c r="BB40" s="7">
        <v>0</v>
      </c>
      <c r="BC40" s="7">
        <v>0</v>
      </c>
      <c r="BD40" s="7">
        <v>0</v>
      </c>
      <c r="BE40" s="7">
        <v>0</v>
      </c>
      <c r="BF40" s="7">
        <v>9</v>
      </c>
      <c r="BG40" s="8">
        <v>1080</v>
      </c>
      <c r="BH40" s="7">
        <v>0</v>
      </c>
      <c r="BI40" s="7">
        <v>0</v>
      </c>
      <c r="BJ40" s="7">
        <v>0</v>
      </c>
      <c r="BK40" s="7">
        <v>0</v>
      </c>
      <c r="BL40" s="7">
        <v>171.6</v>
      </c>
      <c r="BM40" s="10">
        <v>113280</v>
      </c>
      <c r="BN40" s="13">
        <f t="shared" si="0"/>
        <v>113108.4</v>
      </c>
      <c r="BO40" s="14">
        <f t="shared" si="1"/>
        <v>79175.87999999999</v>
      </c>
    </row>
    <row r="41" spans="1:67" ht="19.2" x14ac:dyDescent="0.4">
      <c r="A41" s="5" t="s">
        <v>94</v>
      </c>
      <c r="B41" s="5" t="s">
        <v>56</v>
      </c>
      <c r="C41" s="5">
        <v>423525</v>
      </c>
      <c r="D41" s="6"/>
      <c r="E41" s="5" t="s">
        <v>31</v>
      </c>
      <c r="F41" s="5" t="s">
        <v>57</v>
      </c>
      <c r="G41" s="5" t="s">
        <v>11</v>
      </c>
      <c r="H41" s="7" t="s">
        <v>7</v>
      </c>
      <c r="I41" s="7" t="s">
        <v>96</v>
      </c>
      <c r="J41" s="7">
        <v>0</v>
      </c>
      <c r="K41" s="8">
        <v>2766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242</v>
      </c>
      <c r="AC41" s="8">
        <v>40120</v>
      </c>
      <c r="AD41" s="8">
        <v>12600</v>
      </c>
      <c r="AE41" s="7">
        <v>3</v>
      </c>
      <c r="AF41" s="7">
        <v>400</v>
      </c>
      <c r="AG41" s="7">
        <v>800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17</v>
      </c>
      <c r="AO41" s="8">
        <v>3400</v>
      </c>
      <c r="AP41" s="7">
        <v>0</v>
      </c>
      <c r="AQ41" s="7">
        <v>0</v>
      </c>
      <c r="AR41" s="7">
        <v>0</v>
      </c>
      <c r="AS41" s="7">
        <v>0</v>
      </c>
      <c r="AT41" s="7">
        <v>1</v>
      </c>
      <c r="AU41" s="7">
        <v>240</v>
      </c>
      <c r="AV41" s="7">
        <v>0</v>
      </c>
      <c r="AW41" s="7">
        <v>0</v>
      </c>
      <c r="AX41" s="7">
        <v>0</v>
      </c>
      <c r="AY41" s="7">
        <v>0</v>
      </c>
      <c r="AZ41" s="7">
        <v>25</v>
      </c>
      <c r="BA41" s="8">
        <v>6000</v>
      </c>
      <c r="BB41" s="7">
        <v>0</v>
      </c>
      <c r="BC41" s="7">
        <v>0</v>
      </c>
      <c r="BD41" s="7">
        <v>0</v>
      </c>
      <c r="BE41" s="7">
        <v>0</v>
      </c>
      <c r="BF41" s="7">
        <v>79</v>
      </c>
      <c r="BG41" s="8">
        <v>18720</v>
      </c>
      <c r="BH41" s="7">
        <v>200</v>
      </c>
      <c r="BI41" s="7">
        <v>5</v>
      </c>
      <c r="BJ41" s="8">
        <v>2400</v>
      </c>
      <c r="BK41" s="7">
        <v>0</v>
      </c>
      <c r="BL41" s="9">
        <v>1440</v>
      </c>
      <c r="BM41" s="10">
        <v>84880</v>
      </c>
      <c r="BN41" s="13">
        <f t="shared" si="0"/>
        <v>83440</v>
      </c>
      <c r="BO41" s="14">
        <f t="shared" si="1"/>
        <v>58407.999999999993</v>
      </c>
    </row>
    <row r="42" spans="1:67" ht="19.2" x14ac:dyDescent="0.4">
      <c r="A42" s="5" t="s">
        <v>94</v>
      </c>
      <c r="B42" s="5" t="s">
        <v>35</v>
      </c>
      <c r="C42" s="5">
        <v>434897</v>
      </c>
      <c r="D42" s="6"/>
      <c r="E42" s="5" t="s">
        <v>31</v>
      </c>
      <c r="F42" s="5" t="s">
        <v>36</v>
      </c>
      <c r="G42" s="5" t="s">
        <v>11</v>
      </c>
      <c r="H42" s="7" t="s">
        <v>8</v>
      </c>
      <c r="I42" s="7" t="s">
        <v>37</v>
      </c>
      <c r="J42" s="7">
        <v>6</v>
      </c>
      <c r="K42" s="7">
        <v>615</v>
      </c>
      <c r="L42" s="8">
        <v>1200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208</v>
      </c>
      <c r="AC42" s="8">
        <v>34380</v>
      </c>
      <c r="AD42" s="8">
        <v>12300</v>
      </c>
      <c r="AE42" s="7">
        <v>54</v>
      </c>
      <c r="AF42" s="8">
        <v>18800</v>
      </c>
      <c r="AG42" s="8">
        <v>2800</v>
      </c>
      <c r="AH42" s="7">
        <v>1</v>
      </c>
      <c r="AI42" s="7">
        <v>240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72</v>
      </c>
      <c r="BM42" s="10">
        <v>69720</v>
      </c>
      <c r="BN42" s="13">
        <f t="shared" si="0"/>
        <v>69648</v>
      </c>
      <c r="BO42" s="14">
        <f t="shared" si="1"/>
        <v>48753.599999999999</v>
      </c>
    </row>
    <row r="43" spans="1:67" ht="19.2" x14ac:dyDescent="0.4">
      <c r="A43" s="5" t="s">
        <v>94</v>
      </c>
      <c r="B43" s="5" t="s">
        <v>30</v>
      </c>
      <c r="C43" s="5">
        <v>435954</v>
      </c>
      <c r="D43" s="6"/>
      <c r="E43" s="5" t="s">
        <v>31</v>
      </c>
      <c r="F43" s="5" t="s">
        <v>32</v>
      </c>
      <c r="G43" s="5" t="s">
        <v>11</v>
      </c>
      <c r="H43" s="7" t="s">
        <v>7</v>
      </c>
      <c r="I43" s="7" t="s">
        <v>97</v>
      </c>
      <c r="J43" s="7">
        <v>0</v>
      </c>
      <c r="K43" s="7">
        <v>27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1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115</v>
      </c>
      <c r="AC43" s="8">
        <v>8340</v>
      </c>
      <c r="AD43" s="8">
        <v>15000</v>
      </c>
      <c r="AE43" s="7">
        <v>23</v>
      </c>
      <c r="AF43" s="8">
        <v>8880</v>
      </c>
      <c r="AG43" s="8">
        <v>1300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23</v>
      </c>
      <c r="AO43" s="8">
        <v>4500</v>
      </c>
      <c r="AP43" s="7">
        <v>0</v>
      </c>
      <c r="AQ43" s="7">
        <v>10</v>
      </c>
      <c r="AR43" s="8">
        <v>4000</v>
      </c>
      <c r="AS43" s="7">
        <v>0</v>
      </c>
      <c r="AT43" s="7">
        <v>2</v>
      </c>
      <c r="AU43" s="7">
        <v>360</v>
      </c>
      <c r="AV43" s="7">
        <v>0</v>
      </c>
      <c r="AW43" s="7">
        <v>0</v>
      </c>
      <c r="AX43" s="7">
        <v>0</v>
      </c>
      <c r="AY43" s="7">
        <v>0</v>
      </c>
      <c r="AZ43" s="7">
        <v>34</v>
      </c>
      <c r="BA43" s="8">
        <v>8160</v>
      </c>
      <c r="BB43" s="7">
        <v>0</v>
      </c>
      <c r="BC43" s="7">
        <v>0</v>
      </c>
      <c r="BD43" s="7">
        <v>0</v>
      </c>
      <c r="BE43" s="7">
        <v>0</v>
      </c>
      <c r="BF43" s="7">
        <v>6</v>
      </c>
      <c r="BG43" s="8">
        <v>1200</v>
      </c>
      <c r="BH43" s="7">
        <v>0</v>
      </c>
      <c r="BI43" s="7">
        <v>1</v>
      </c>
      <c r="BJ43" s="7">
        <v>480</v>
      </c>
      <c r="BK43" s="7">
        <v>0</v>
      </c>
      <c r="BL43" s="7">
        <v>609.6</v>
      </c>
      <c r="BM43" s="10">
        <v>52220</v>
      </c>
      <c r="BN43" s="13">
        <f t="shared" si="0"/>
        <v>51610.400000000001</v>
      </c>
      <c r="BO43" s="14">
        <f t="shared" si="1"/>
        <v>36127.279999999999</v>
      </c>
    </row>
    <row r="44" spans="1:67" ht="19.2" x14ac:dyDescent="0.4">
      <c r="A44" s="5" t="s">
        <v>94</v>
      </c>
      <c r="B44" s="5" t="s">
        <v>33</v>
      </c>
      <c r="C44" s="5">
        <v>465463</v>
      </c>
      <c r="D44" s="6"/>
      <c r="E44" s="5" t="s">
        <v>31</v>
      </c>
      <c r="F44" s="5" t="s">
        <v>34</v>
      </c>
      <c r="G44" s="5" t="s">
        <v>11</v>
      </c>
      <c r="H44" s="7" t="s">
        <v>10</v>
      </c>
      <c r="I44" s="7" t="s">
        <v>98</v>
      </c>
      <c r="J44" s="7">
        <v>0</v>
      </c>
      <c r="K44" s="7">
        <v>5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6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37</v>
      </c>
      <c r="AC44" s="8">
        <v>8640</v>
      </c>
      <c r="AD44" s="7">
        <v>200</v>
      </c>
      <c r="AE44" s="7">
        <v>40</v>
      </c>
      <c r="AF44" s="8">
        <v>17520</v>
      </c>
      <c r="AG44" s="8">
        <v>1400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33</v>
      </c>
      <c r="AR44" s="8">
        <v>13200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40960</v>
      </c>
      <c r="BN44" s="13">
        <f t="shared" si="0"/>
        <v>40960</v>
      </c>
      <c r="BO44" s="14">
        <f t="shared" si="1"/>
        <v>28672</v>
      </c>
    </row>
    <row r="45" spans="1:67" ht="19.2" x14ac:dyDescent="0.4">
      <c r="A45" s="5" t="s">
        <v>94</v>
      </c>
      <c r="B45" s="5" t="s">
        <v>45</v>
      </c>
      <c r="C45" s="5">
        <v>351846</v>
      </c>
      <c r="D45" s="6"/>
      <c r="E45" s="5" t="s">
        <v>31</v>
      </c>
      <c r="F45" s="5" t="s">
        <v>46</v>
      </c>
      <c r="G45" s="5" t="s">
        <v>11</v>
      </c>
      <c r="H45" s="7" t="s">
        <v>7</v>
      </c>
      <c r="I45" s="7" t="s">
        <v>47</v>
      </c>
      <c r="J45" s="7">
        <v>0</v>
      </c>
      <c r="K45" s="7">
        <v>922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217</v>
      </c>
      <c r="AC45" s="8">
        <v>24360</v>
      </c>
      <c r="AD45" s="7">
        <v>700</v>
      </c>
      <c r="AE45" s="7">
        <v>5</v>
      </c>
      <c r="AF45" s="8">
        <v>1200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66</v>
      </c>
      <c r="AO45" s="8">
        <v>6600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32860</v>
      </c>
      <c r="BN45" s="13">
        <f t="shared" si="0"/>
        <v>32860</v>
      </c>
      <c r="BO45" s="14">
        <f t="shared" si="1"/>
        <v>23002</v>
      </c>
    </row>
    <row r="46" spans="1:67" ht="19.2" x14ac:dyDescent="0.4">
      <c r="A46" s="5" t="s">
        <v>94</v>
      </c>
      <c r="B46" s="5" t="s">
        <v>38</v>
      </c>
      <c r="C46" s="5">
        <v>465461</v>
      </c>
      <c r="D46" s="6"/>
      <c r="E46" s="5" t="s">
        <v>31</v>
      </c>
      <c r="F46" s="5" t="s">
        <v>39</v>
      </c>
      <c r="G46" s="5" t="s">
        <v>11</v>
      </c>
      <c r="H46" s="7" t="s">
        <v>7</v>
      </c>
      <c r="I46" s="7" t="s">
        <v>96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72</v>
      </c>
      <c r="AC46" s="8">
        <v>8820</v>
      </c>
      <c r="AD46" s="8">
        <v>6100</v>
      </c>
      <c r="AE46" s="7">
        <v>9</v>
      </c>
      <c r="AF46" s="8">
        <v>2080</v>
      </c>
      <c r="AG46" s="8">
        <v>1600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2</v>
      </c>
      <c r="BA46" s="7">
        <v>480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28.8</v>
      </c>
      <c r="BM46" s="10">
        <v>19080</v>
      </c>
      <c r="BN46" s="13">
        <f t="shared" si="0"/>
        <v>19051.2</v>
      </c>
      <c r="BO46" s="14">
        <f t="shared" si="1"/>
        <v>13335.84</v>
      </c>
    </row>
    <row r="47" spans="1:67" ht="19.2" x14ac:dyDescent="0.4">
      <c r="A47" s="5" t="s">
        <v>94</v>
      </c>
      <c r="B47" s="5" t="s">
        <v>40</v>
      </c>
      <c r="C47" s="5">
        <v>432749</v>
      </c>
      <c r="D47" s="6"/>
      <c r="E47" s="5" t="s">
        <v>31</v>
      </c>
      <c r="F47" s="5" t="s">
        <v>41</v>
      </c>
      <c r="G47" s="5" t="s">
        <v>11</v>
      </c>
      <c r="H47" s="7" t="s">
        <v>7</v>
      </c>
      <c r="I47" s="7" t="s">
        <v>97</v>
      </c>
      <c r="J47" s="7">
        <v>5</v>
      </c>
      <c r="K47" s="8">
        <v>1202</v>
      </c>
      <c r="L47" s="8">
        <v>1000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20</v>
      </c>
      <c r="AC47" s="8">
        <v>1840</v>
      </c>
      <c r="AD47" s="8">
        <v>2300</v>
      </c>
      <c r="AE47" s="7">
        <v>3</v>
      </c>
      <c r="AF47" s="8">
        <v>1280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26</v>
      </c>
      <c r="AO47" s="8">
        <v>5100</v>
      </c>
      <c r="AP47" s="7">
        <v>0</v>
      </c>
      <c r="AQ47" s="7">
        <v>1</v>
      </c>
      <c r="AR47" s="7">
        <v>400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2</v>
      </c>
      <c r="BA47" s="7">
        <v>480</v>
      </c>
      <c r="BB47" s="7">
        <v>0</v>
      </c>
      <c r="BC47" s="7">
        <v>0</v>
      </c>
      <c r="BD47" s="7">
        <v>0</v>
      </c>
      <c r="BE47" s="7">
        <v>0</v>
      </c>
      <c r="BF47" s="7">
        <v>4</v>
      </c>
      <c r="BG47" s="7">
        <v>960</v>
      </c>
      <c r="BH47" s="7">
        <v>0</v>
      </c>
      <c r="BI47" s="7">
        <v>1</v>
      </c>
      <c r="BJ47" s="7">
        <v>480</v>
      </c>
      <c r="BK47" s="7">
        <v>0</v>
      </c>
      <c r="BL47" s="7">
        <v>100.8</v>
      </c>
      <c r="BM47" s="10">
        <v>13840</v>
      </c>
      <c r="BN47" s="13">
        <f t="shared" si="0"/>
        <v>13739.2</v>
      </c>
      <c r="BO47" s="14">
        <f t="shared" si="1"/>
        <v>9617.44</v>
      </c>
    </row>
    <row r="48" spans="1:67" ht="19.2" x14ac:dyDescent="0.4">
      <c r="A48" s="5" t="s">
        <v>94</v>
      </c>
      <c r="B48" s="5" t="s">
        <v>71</v>
      </c>
      <c r="C48" s="5">
        <v>323829</v>
      </c>
      <c r="D48" s="6"/>
      <c r="E48" s="5" t="s">
        <v>31</v>
      </c>
      <c r="F48" s="5" t="s">
        <v>72</v>
      </c>
      <c r="G48" s="5" t="s">
        <v>11</v>
      </c>
      <c r="H48" s="7" t="s">
        <v>7</v>
      </c>
      <c r="I48" s="7" t="s">
        <v>73</v>
      </c>
      <c r="J48" s="7">
        <v>0</v>
      </c>
      <c r="K48" s="7">
        <v>4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16</v>
      </c>
      <c r="AC48" s="8">
        <v>1680</v>
      </c>
      <c r="AD48" s="7">
        <v>200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1</v>
      </c>
      <c r="BG48" s="7">
        <v>120</v>
      </c>
      <c r="BH48" s="7">
        <v>0</v>
      </c>
      <c r="BI48" s="7">
        <v>31</v>
      </c>
      <c r="BJ48" s="8">
        <v>11160</v>
      </c>
      <c r="BK48" s="7">
        <v>0</v>
      </c>
      <c r="BL48" s="7">
        <v>564</v>
      </c>
      <c r="BM48" s="10">
        <v>13160</v>
      </c>
      <c r="BN48" s="13">
        <f t="shared" si="0"/>
        <v>12596</v>
      </c>
      <c r="BO48" s="14">
        <f t="shared" si="1"/>
        <v>8817.1999999999989</v>
      </c>
    </row>
    <row r="49" spans="1:67" ht="19.2" x14ac:dyDescent="0.4">
      <c r="A49" s="5" t="s">
        <v>94</v>
      </c>
      <c r="B49" s="5" t="s">
        <v>53</v>
      </c>
      <c r="C49" s="5">
        <v>412451</v>
      </c>
      <c r="D49" s="6"/>
      <c r="E49" s="5" t="s">
        <v>31</v>
      </c>
      <c r="F49" s="5" t="s">
        <v>54</v>
      </c>
      <c r="G49" s="5" t="s">
        <v>11</v>
      </c>
      <c r="H49" s="7" t="s">
        <v>8</v>
      </c>
      <c r="I49" s="7" t="s">
        <v>55</v>
      </c>
      <c r="J49" s="7">
        <v>5</v>
      </c>
      <c r="K49" s="7">
        <v>3</v>
      </c>
      <c r="L49" s="8">
        <v>1000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36</v>
      </c>
      <c r="AC49" s="8">
        <v>8280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15</v>
      </c>
      <c r="BG49" s="8">
        <v>3600</v>
      </c>
      <c r="BH49" s="7">
        <v>0</v>
      </c>
      <c r="BI49" s="7">
        <v>0</v>
      </c>
      <c r="BJ49" s="7">
        <v>0</v>
      </c>
      <c r="BK49" s="7">
        <v>0</v>
      </c>
      <c r="BL49" s="7">
        <v>180</v>
      </c>
      <c r="BM49" s="10">
        <v>12880</v>
      </c>
      <c r="BN49" s="13">
        <f t="shared" si="0"/>
        <v>12700</v>
      </c>
      <c r="BO49" s="14">
        <f t="shared" si="1"/>
        <v>8890</v>
      </c>
    </row>
    <row r="50" spans="1:67" ht="19.2" x14ac:dyDescent="0.4">
      <c r="A50" s="5" t="s">
        <v>94</v>
      </c>
      <c r="B50" s="5" t="s">
        <v>99</v>
      </c>
      <c r="C50" s="5">
        <v>463455</v>
      </c>
      <c r="D50" s="6"/>
      <c r="E50" s="5" t="s">
        <v>31</v>
      </c>
      <c r="F50" s="5" t="s">
        <v>100</v>
      </c>
      <c r="G50" s="5" t="s">
        <v>11</v>
      </c>
      <c r="H50" s="7" t="s">
        <v>7</v>
      </c>
      <c r="I50" s="7" t="s">
        <v>101</v>
      </c>
      <c r="J50" s="7">
        <v>0</v>
      </c>
      <c r="K50" s="7">
        <v>1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22</v>
      </c>
      <c r="AC50" s="8">
        <v>4800</v>
      </c>
      <c r="AD50" s="7">
        <v>400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7</v>
      </c>
      <c r="BG50" s="8">
        <v>1680</v>
      </c>
      <c r="BH50" s="7">
        <v>0</v>
      </c>
      <c r="BI50" s="7">
        <v>0</v>
      </c>
      <c r="BJ50" s="7">
        <v>0</v>
      </c>
      <c r="BK50" s="7">
        <v>0</v>
      </c>
      <c r="BL50" s="7">
        <v>84</v>
      </c>
      <c r="BM50" s="10">
        <v>6880</v>
      </c>
      <c r="BN50" s="13">
        <f t="shared" si="0"/>
        <v>6796</v>
      </c>
      <c r="BO50" s="14">
        <f t="shared" si="1"/>
        <v>4757.2</v>
      </c>
    </row>
    <row r="51" spans="1:67" ht="19.2" x14ac:dyDescent="0.4">
      <c r="A51" s="5" t="s">
        <v>94</v>
      </c>
      <c r="B51" s="5" t="s">
        <v>116</v>
      </c>
      <c r="C51" s="5">
        <v>461521</v>
      </c>
      <c r="D51" s="6"/>
      <c r="E51" s="5" t="s">
        <v>31</v>
      </c>
      <c r="F51" s="5" t="s">
        <v>117</v>
      </c>
      <c r="G51" s="5" t="s">
        <v>11</v>
      </c>
      <c r="H51" s="7" t="s">
        <v>8</v>
      </c>
      <c r="I51" s="7" t="s">
        <v>118</v>
      </c>
      <c r="J51" s="7">
        <v>0</v>
      </c>
      <c r="K51" s="7">
        <v>70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21</v>
      </c>
      <c r="AC51" s="8">
        <v>5040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5040</v>
      </c>
      <c r="BN51" s="13">
        <f t="shared" si="0"/>
        <v>5040</v>
      </c>
      <c r="BO51" s="14">
        <f t="shared" si="1"/>
        <v>3528</v>
      </c>
    </row>
    <row r="52" spans="1:67" ht="19.2" x14ac:dyDescent="0.4">
      <c r="A52" s="5" t="s">
        <v>94</v>
      </c>
      <c r="B52" s="5" t="s">
        <v>58</v>
      </c>
      <c r="C52" s="5">
        <v>403837</v>
      </c>
      <c r="D52" s="6"/>
      <c r="E52" s="5" t="s">
        <v>31</v>
      </c>
      <c r="F52" s="5" t="s">
        <v>59</v>
      </c>
      <c r="G52" s="5" t="s">
        <v>11</v>
      </c>
      <c r="H52" s="7" t="s">
        <v>7</v>
      </c>
      <c r="I52" s="7" t="s">
        <v>60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10</v>
      </c>
      <c r="AC52" s="7">
        <v>0</v>
      </c>
      <c r="AD52" s="8">
        <v>2000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0">
        <v>2000</v>
      </c>
      <c r="BN52" s="13">
        <f t="shared" si="0"/>
        <v>2000</v>
      </c>
      <c r="BO52" s="14">
        <f t="shared" si="1"/>
        <v>1400</v>
      </c>
    </row>
    <row r="53" spans="1:67" ht="19.2" x14ac:dyDescent="0.4">
      <c r="A53" s="5" t="s">
        <v>94</v>
      </c>
      <c r="B53" s="5" t="s">
        <v>85</v>
      </c>
      <c r="C53" s="5">
        <v>336507</v>
      </c>
      <c r="D53" s="6"/>
      <c r="E53" s="5" t="s">
        <v>31</v>
      </c>
      <c r="F53" s="5" t="s">
        <v>86</v>
      </c>
      <c r="G53" s="5" t="s">
        <v>11</v>
      </c>
      <c r="H53" s="7" t="s">
        <v>8</v>
      </c>
      <c r="I53" s="7" t="s">
        <v>87</v>
      </c>
      <c r="J53" s="7">
        <v>2</v>
      </c>
      <c r="K53" s="7">
        <v>0</v>
      </c>
      <c r="L53" s="7">
        <v>400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3</v>
      </c>
      <c r="AC53" s="7">
        <v>720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1120</v>
      </c>
      <c r="BN53" s="13">
        <f t="shared" si="0"/>
        <v>1120</v>
      </c>
      <c r="BO53" s="14">
        <f t="shared" si="1"/>
        <v>784</v>
      </c>
    </row>
    <row r="54" spans="1:67" ht="19.2" x14ac:dyDescent="0.4">
      <c r="A54" s="5" t="s">
        <v>94</v>
      </c>
      <c r="B54" s="5" t="s">
        <v>51</v>
      </c>
      <c r="C54" s="5">
        <v>467630</v>
      </c>
      <c r="D54" s="6"/>
      <c r="E54" s="5" t="s">
        <v>31</v>
      </c>
      <c r="F54" s="5" t="s">
        <v>52</v>
      </c>
      <c r="G54" s="5" t="s">
        <v>11</v>
      </c>
      <c r="H54" s="7" t="s">
        <v>8</v>
      </c>
      <c r="I54" s="7" t="s">
        <v>29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2</v>
      </c>
      <c r="AF54" s="7">
        <v>0</v>
      </c>
      <c r="AG54" s="7">
        <v>800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1">
        <v>800</v>
      </c>
      <c r="BN54" s="13">
        <f t="shared" si="0"/>
        <v>800</v>
      </c>
      <c r="BO54" s="14">
        <f t="shared" si="1"/>
        <v>560</v>
      </c>
    </row>
    <row r="55" spans="1:67" ht="19.2" x14ac:dyDescent="0.4">
      <c r="A55" s="5" t="s">
        <v>94</v>
      </c>
      <c r="B55" s="5" t="s">
        <v>48</v>
      </c>
      <c r="C55" s="5">
        <v>448747</v>
      </c>
      <c r="D55" s="6"/>
      <c r="E55" s="5" t="s">
        <v>31</v>
      </c>
      <c r="F55" s="5" t="s">
        <v>49</v>
      </c>
      <c r="G55" s="5" t="s">
        <v>11</v>
      </c>
      <c r="H55" s="7" t="s">
        <v>7</v>
      </c>
      <c r="I55" s="7" t="s">
        <v>50</v>
      </c>
      <c r="J55" s="7">
        <v>0</v>
      </c>
      <c r="K55" s="7">
        <v>448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4</v>
      </c>
      <c r="AC55" s="7">
        <v>200</v>
      </c>
      <c r="AD55" s="7">
        <v>600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1">
        <v>800</v>
      </c>
      <c r="BN55" s="13">
        <f t="shared" si="0"/>
        <v>800</v>
      </c>
      <c r="BO55" s="14">
        <f t="shared" si="1"/>
        <v>560</v>
      </c>
    </row>
    <row r="56" spans="1:67" ht="19.2" x14ac:dyDescent="0.4">
      <c r="A56" s="5" t="s">
        <v>94</v>
      </c>
      <c r="B56" s="5" t="s">
        <v>68</v>
      </c>
      <c r="C56" s="5">
        <v>307024</v>
      </c>
      <c r="D56" s="6"/>
      <c r="E56" s="5" t="s">
        <v>31</v>
      </c>
      <c r="F56" s="5" t="s">
        <v>69</v>
      </c>
      <c r="G56" s="5" t="s">
        <v>11</v>
      </c>
      <c r="H56" s="7" t="s">
        <v>7</v>
      </c>
      <c r="I56" s="7" t="s">
        <v>70</v>
      </c>
      <c r="J56" s="7">
        <v>0</v>
      </c>
      <c r="K56" s="7">
        <v>84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6</v>
      </c>
      <c r="AO56" s="7">
        <v>600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1">
        <v>600</v>
      </c>
      <c r="BN56" s="13">
        <f t="shared" si="0"/>
        <v>600</v>
      </c>
      <c r="BO56" s="14">
        <f t="shared" si="1"/>
        <v>420</v>
      </c>
    </row>
    <row r="57" spans="1:67" ht="19.2" x14ac:dyDescent="0.4">
      <c r="A57" s="5" t="s">
        <v>94</v>
      </c>
      <c r="B57" s="5" t="s">
        <v>63</v>
      </c>
      <c r="C57" s="5">
        <v>465658</v>
      </c>
      <c r="D57" s="6"/>
      <c r="E57" s="5" t="s">
        <v>31</v>
      </c>
      <c r="F57" s="5" t="s">
        <v>64</v>
      </c>
      <c r="G57" s="5" t="s">
        <v>11</v>
      </c>
      <c r="H57" s="7" t="s">
        <v>7</v>
      </c>
      <c r="I57" s="7" t="s">
        <v>96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2</v>
      </c>
      <c r="BG57" s="7">
        <v>480</v>
      </c>
      <c r="BH57" s="7">
        <v>0</v>
      </c>
      <c r="BI57" s="7">
        <v>0</v>
      </c>
      <c r="BJ57" s="7">
        <v>0</v>
      </c>
      <c r="BK57" s="7">
        <v>0</v>
      </c>
      <c r="BL57" s="7">
        <v>24</v>
      </c>
      <c r="BM57" s="11">
        <v>480</v>
      </c>
      <c r="BN57" s="13">
        <f t="shared" si="0"/>
        <v>456</v>
      </c>
      <c r="BO57" s="14">
        <f t="shared" si="1"/>
        <v>319.2</v>
      </c>
    </row>
    <row r="58" spans="1:67" ht="19.2" x14ac:dyDescent="0.4">
      <c r="A58" s="5" t="s">
        <v>94</v>
      </c>
      <c r="B58" s="5" t="s">
        <v>74</v>
      </c>
      <c r="C58" s="5">
        <v>436040</v>
      </c>
      <c r="D58" s="6"/>
      <c r="E58" s="5" t="s">
        <v>31</v>
      </c>
      <c r="F58" s="5" t="s">
        <v>75</v>
      </c>
      <c r="G58" s="5" t="s">
        <v>11</v>
      </c>
      <c r="H58" s="7" t="s">
        <v>8</v>
      </c>
      <c r="I58" s="7" t="s">
        <v>76</v>
      </c>
      <c r="J58" s="7">
        <v>0</v>
      </c>
      <c r="K58" s="7">
        <v>229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2</v>
      </c>
      <c r="AC58" s="7">
        <v>240</v>
      </c>
      <c r="AD58" s="7">
        <v>200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1">
        <v>440</v>
      </c>
      <c r="BN58" s="13">
        <f t="shared" si="0"/>
        <v>440</v>
      </c>
      <c r="BO58" s="14">
        <f t="shared" si="1"/>
        <v>308</v>
      </c>
    </row>
    <row r="59" spans="1:67" ht="19.2" x14ac:dyDescent="0.4">
      <c r="A59" s="5" t="s">
        <v>94</v>
      </c>
      <c r="B59" s="5" t="s">
        <v>90</v>
      </c>
      <c r="C59" s="5">
        <v>463278</v>
      </c>
      <c r="D59" s="6"/>
      <c r="E59" s="5" t="s">
        <v>31</v>
      </c>
      <c r="F59" s="5" t="s">
        <v>91</v>
      </c>
      <c r="G59" s="5" t="s">
        <v>11</v>
      </c>
      <c r="H59" s="7" t="s">
        <v>7</v>
      </c>
      <c r="I59" s="7" t="s">
        <v>92</v>
      </c>
      <c r="J59" s="7">
        <v>0</v>
      </c>
      <c r="K59" s="7">
        <v>15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1">
        <v>0</v>
      </c>
      <c r="BN59" s="13">
        <f t="shared" si="0"/>
        <v>0</v>
      </c>
      <c r="BO59" s="14">
        <f t="shared" si="1"/>
        <v>0</v>
      </c>
    </row>
    <row r="60" spans="1:67" ht="19.2" x14ac:dyDescent="0.4">
      <c r="A60" s="5" t="s">
        <v>94</v>
      </c>
      <c r="B60" s="5" t="s">
        <v>79</v>
      </c>
      <c r="C60" s="5">
        <v>405596</v>
      </c>
      <c r="D60" s="6"/>
      <c r="E60" s="5" t="s">
        <v>31</v>
      </c>
      <c r="F60" s="5" t="s">
        <v>80</v>
      </c>
      <c r="G60" s="5" t="s">
        <v>11</v>
      </c>
      <c r="H60" s="7" t="s">
        <v>7</v>
      </c>
      <c r="I60" s="7" t="s">
        <v>81</v>
      </c>
      <c r="J60" s="7">
        <v>0</v>
      </c>
      <c r="K60" s="7">
        <v>48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1">
        <v>0</v>
      </c>
      <c r="BN60" s="13">
        <f t="shared" si="0"/>
        <v>0</v>
      </c>
      <c r="BO60" s="14">
        <f t="shared" si="1"/>
        <v>0</v>
      </c>
    </row>
    <row r="61" spans="1:67" ht="19.2" x14ac:dyDescent="0.4">
      <c r="A61" s="5" t="s">
        <v>94</v>
      </c>
      <c r="B61" s="5" t="s">
        <v>82</v>
      </c>
      <c r="C61" s="5">
        <v>458180</v>
      </c>
      <c r="D61" s="6"/>
      <c r="E61" s="5" t="s">
        <v>31</v>
      </c>
      <c r="F61" s="5" t="s">
        <v>83</v>
      </c>
      <c r="G61" s="5" t="s">
        <v>11</v>
      </c>
      <c r="H61" s="7" t="s">
        <v>7</v>
      </c>
      <c r="I61" s="7" t="s">
        <v>84</v>
      </c>
      <c r="J61" s="7">
        <v>0</v>
      </c>
      <c r="K61" s="7">
        <v>191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1">
        <v>0</v>
      </c>
      <c r="BN61" s="13">
        <f t="shared" si="0"/>
        <v>0</v>
      </c>
      <c r="BO61" s="14">
        <f t="shared" si="1"/>
        <v>0</v>
      </c>
    </row>
    <row r="62" spans="1:67" ht="19.2" x14ac:dyDescent="0.4">
      <c r="A62" s="5" t="s">
        <v>94</v>
      </c>
      <c r="B62" s="5" t="s">
        <v>77</v>
      </c>
      <c r="C62" s="5">
        <v>464964</v>
      </c>
      <c r="D62" s="6"/>
      <c r="E62" s="5" t="s">
        <v>31</v>
      </c>
      <c r="F62" s="5" t="s">
        <v>78</v>
      </c>
      <c r="G62" s="5" t="s">
        <v>11</v>
      </c>
      <c r="H62" s="7" t="s">
        <v>7</v>
      </c>
      <c r="I62" s="7" t="s">
        <v>98</v>
      </c>
      <c r="J62" s="7">
        <v>0</v>
      </c>
      <c r="K62" s="7">
        <v>30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1">
        <v>0</v>
      </c>
      <c r="BN62" s="13">
        <f t="shared" si="0"/>
        <v>0</v>
      </c>
      <c r="BO62" s="14">
        <f t="shared" si="1"/>
        <v>0</v>
      </c>
    </row>
    <row r="63" spans="1:67" x14ac:dyDescent="0.4">
      <c r="A63" s="5" t="s">
        <v>95</v>
      </c>
      <c r="B63" s="5" t="s">
        <v>30</v>
      </c>
      <c r="C63" s="5">
        <v>435954</v>
      </c>
      <c r="D63" s="6"/>
      <c r="E63" s="5" t="s">
        <v>31</v>
      </c>
      <c r="F63" s="5" t="s">
        <v>32</v>
      </c>
      <c r="G63" s="5" t="s">
        <v>11</v>
      </c>
      <c r="H63" s="7" t="s">
        <v>7</v>
      </c>
      <c r="I63" s="7" t="s">
        <v>97</v>
      </c>
      <c r="J63" s="7">
        <v>0</v>
      </c>
      <c r="K63" s="7">
        <v>14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7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270</v>
      </c>
      <c r="AC63" s="8">
        <v>49200</v>
      </c>
      <c r="AD63" s="8">
        <v>4500</v>
      </c>
      <c r="AE63" s="7">
        <v>29</v>
      </c>
      <c r="AF63" s="8">
        <v>3700</v>
      </c>
      <c r="AG63" s="8">
        <v>7100</v>
      </c>
      <c r="AH63" s="7">
        <v>302</v>
      </c>
      <c r="AI63" s="8">
        <v>37220</v>
      </c>
      <c r="AJ63" s="8">
        <v>29200</v>
      </c>
      <c r="AK63" s="7">
        <v>91</v>
      </c>
      <c r="AL63" s="8">
        <v>34792</v>
      </c>
      <c r="AM63" s="8">
        <v>6000</v>
      </c>
      <c r="AN63" s="7">
        <v>8</v>
      </c>
      <c r="AO63" s="8">
        <v>1600</v>
      </c>
      <c r="AP63" s="7">
        <v>0</v>
      </c>
      <c r="AQ63" s="7">
        <v>7</v>
      </c>
      <c r="AR63" s="8">
        <v>2800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9">
        <v>21603.599999999999</v>
      </c>
      <c r="BM63" s="10">
        <v>176112</v>
      </c>
      <c r="BN63" s="13">
        <f t="shared" si="0"/>
        <v>154508.4</v>
      </c>
      <c r="BO63" s="14">
        <f t="shared" si="1"/>
        <v>108155.87999999999</v>
      </c>
    </row>
    <row r="64" spans="1:67" x14ac:dyDescent="0.4">
      <c r="A64" s="5" t="s">
        <v>95</v>
      </c>
      <c r="B64" s="5" t="s">
        <v>38</v>
      </c>
      <c r="C64" s="5">
        <v>465461</v>
      </c>
      <c r="D64" s="6"/>
      <c r="E64" s="5" t="s">
        <v>31</v>
      </c>
      <c r="F64" s="5" t="s">
        <v>39</v>
      </c>
      <c r="G64" s="5" t="s">
        <v>11</v>
      </c>
      <c r="H64" s="7" t="s">
        <v>7</v>
      </c>
      <c r="I64" s="7" t="s">
        <v>96</v>
      </c>
      <c r="J64" s="7">
        <v>0</v>
      </c>
      <c r="K64" s="7">
        <v>6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3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255</v>
      </c>
      <c r="AC64" s="8">
        <v>40700</v>
      </c>
      <c r="AD64" s="8">
        <v>9800</v>
      </c>
      <c r="AE64" s="7">
        <v>52</v>
      </c>
      <c r="AF64" s="8">
        <v>20400</v>
      </c>
      <c r="AG64" s="7">
        <v>400</v>
      </c>
      <c r="AH64" s="7">
        <v>265</v>
      </c>
      <c r="AI64" s="8">
        <v>43560</v>
      </c>
      <c r="AJ64" s="8">
        <v>16300</v>
      </c>
      <c r="AK64" s="7">
        <v>22</v>
      </c>
      <c r="AL64" s="8">
        <v>9120</v>
      </c>
      <c r="AM64" s="8">
        <v>1200</v>
      </c>
      <c r="AN64" s="7">
        <v>17</v>
      </c>
      <c r="AO64" s="8">
        <v>3300</v>
      </c>
      <c r="AP64" s="7">
        <v>0</v>
      </c>
      <c r="AQ64" s="7">
        <v>1</v>
      </c>
      <c r="AR64" s="7">
        <v>400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9">
        <v>15804</v>
      </c>
      <c r="BM64" s="10">
        <v>145180</v>
      </c>
      <c r="BN64" s="13">
        <f t="shared" si="0"/>
        <v>129376</v>
      </c>
      <c r="BO64" s="14">
        <f t="shared" si="1"/>
        <v>90563.199999999997</v>
      </c>
    </row>
    <row r="65" spans="1:67" x14ac:dyDescent="0.4">
      <c r="A65" s="5" t="s">
        <v>95</v>
      </c>
      <c r="B65" s="5" t="s">
        <v>51</v>
      </c>
      <c r="C65" s="5">
        <v>467630</v>
      </c>
      <c r="D65" s="6"/>
      <c r="E65" s="5" t="s">
        <v>31</v>
      </c>
      <c r="F65" s="5" t="s">
        <v>52</v>
      </c>
      <c r="G65" s="5" t="s">
        <v>11</v>
      </c>
      <c r="H65" s="7" t="s">
        <v>8</v>
      </c>
      <c r="I65" s="7" t="s">
        <v>29</v>
      </c>
      <c r="J65" s="7">
        <v>0</v>
      </c>
      <c r="K65" s="7">
        <v>8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81</v>
      </c>
      <c r="AC65" s="8">
        <v>16200</v>
      </c>
      <c r="AD65" s="7">
        <v>0</v>
      </c>
      <c r="AE65" s="7">
        <v>0</v>
      </c>
      <c r="AF65" s="7">
        <v>0</v>
      </c>
      <c r="AG65" s="7">
        <v>0</v>
      </c>
      <c r="AH65" s="7">
        <v>13</v>
      </c>
      <c r="AI65" s="7">
        <v>360</v>
      </c>
      <c r="AJ65" s="8">
        <v>2300</v>
      </c>
      <c r="AK65" s="7">
        <v>91</v>
      </c>
      <c r="AL65" s="8">
        <v>43200</v>
      </c>
      <c r="AM65" s="7">
        <v>400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9">
        <v>13068</v>
      </c>
      <c r="BM65" s="10">
        <v>62460</v>
      </c>
      <c r="BN65" s="13">
        <f t="shared" si="0"/>
        <v>49392</v>
      </c>
      <c r="BO65" s="14">
        <f t="shared" si="1"/>
        <v>34574.399999999994</v>
      </c>
    </row>
    <row r="66" spans="1:67" x14ac:dyDescent="0.4">
      <c r="A66" s="5" t="s">
        <v>95</v>
      </c>
      <c r="B66" s="5" t="s">
        <v>48</v>
      </c>
      <c r="C66" s="5">
        <v>448747</v>
      </c>
      <c r="D66" s="6"/>
      <c r="E66" s="5" t="s">
        <v>31</v>
      </c>
      <c r="F66" s="5" t="s">
        <v>49</v>
      </c>
      <c r="G66" s="5" t="s">
        <v>11</v>
      </c>
      <c r="H66" s="7" t="s">
        <v>7</v>
      </c>
      <c r="I66" s="7" t="s">
        <v>50</v>
      </c>
      <c r="J66" s="7">
        <v>0</v>
      </c>
      <c r="K66" s="7">
        <v>367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10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6</v>
      </c>
      <c r="AC66" s="8">
        <v>1200</v>
      </c>
      <c r="AD66" s="7">
        <v>0</v>
      </c>
      <c r="AE66" s="7">
        <v>98</v>
      </c>
      <c r="AF66" s="8">
        <v>38700</v>
      </c>
      <c r="AG66" s="7">
        <v>500</v>
      </c>
      <c r="AH66" s="7">
        <v>43</v>
      </c>
      <c r="AI66" s="7">
        <v>0</v>
      </c>
      <c r="AJ66" s="8">
        <v>8600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49000</v>
      </c>
      <c r="BN66" s="13">
        <f t="shared" si="0"/>
        <v>49000</v>
      </c>
      <c r="BO66" s="14">
        <f t="shared" si="1"/>
        <v>34300</v>
      </c>
    </row>
    <row r="67" spans="1:67" ht="19.2" x14ac:dyDescent="0.4">
      <c r="A67" s="5" t="s">
        <v>95</v>
      </c>
      <c r="B67" s="5" t="s">
        <v>61</v>
      </c>
      <c r="C67" s="5">
        <v>380491</v>
      </c>
      <c r="D67" s="6"/>
      <c r="E67" s="5" t="s">
        <v>31</v>
      </c>
      <c r="F67" s="5" t="s">
        <v>62</v>
      </c>
      <c r="G67" s="5" t="s">
        <v>11</v>
      </c>
      <c r="H67" s="7" t="s">
        <v>7</v>
      </c>
      <c r="I67" s="7" t="s">
        <v>60</v>
      </c>
      <c r="J67" s="7">
        <v>0</v>
      </c>
      <c r="K67" s="7">
        <v>503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194</v>
      </c>
      <c r="AC67" s="8">
        <v>12300</v>
      </c>
      <c r="AD67" s="8">
        <v>7100</v>
      </c>
      <c r="AE67" s="7">
        <v>0</v>
      </c>
      <c r="AF67" s="7">
        <v>0</v>
      </c>
      <c r="AG67" s="7">
        <v>0</v>
      </c>
      <c r="AH67" s="7">
        <v>214</v>
      </c>
      <c r="AI67" s="8">
        <v>20280</v>
      </c>
      <c r="AJ67" s="8">
        <v>4500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9">
        <v>6084</v>
      </c>
      <c r="BM67" s="10">
        <v>44180</v>
      </c>
      <c r="BN67" s="13">
        <f t="shared" ref="BN67:BN88" si="2">BM67-BL67</f>
        <v>38096</v>
      </c>
      <c r="BO67" s="14">
        <f t="shared" ref="BO67:BO88" si="3">BN67*70%</f>
        <v>26667.199999999997</v>
      </c>
    </row>
    <row r="68" spans="1:67" x14ac:dyDescent="0.4">
      <c r="A68" s="5" t="s">
        <v>95</v>
      </c>
      <c r="B68" s="5" t="s">
        <v>56</v>
      </c>
      <c r="C68" s="5">
        <v>423525</v>
      </c>
      <c r="D68" s="6"/>
      <c r="E68" s="5" t="s">
        <v>31</v>
      </c>
      <c r="F68" s="5" t="s">
        <v>57</v>
      </c>
      <c r="G68" s="5" t="s">
        <v>11</v>
      </c>
      <c r="H68" s="7" t="s">
        <v>7</v>
      </c>
      <c r="I68" s="7" t="s">
        <v>96</v>
      </c>
      <c r="J68" s="7">
        <v>0</v>
      </c>
      <c r="K68" s="8">
        <v>1717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3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28</v>
      </c>
      <c r="AC68" s="8">
        <v>5500</v>
      </c>
      <c r="AD68" s="7">
        <v>0</v>
      </c>
      <c r="AE68" s="7">
        <v>0</v>
      </c>
      <c r="AF68" s="7">
        <v>0</v>
      </c>
      <c r="AG68" s="7">
        <v>0</v>
      </c>
      <c r="AH68" s="7">
        <v>24</v>
      </c>
      <c r="AI68" s="8">
        <v>2176</v>
      </c>
      <c r="AJ68" s="8">
        <v>2800</v>
      </c>
      <c r="AK68" s="7">
        <v>0</v>
      </c>
      <c r="AL68" s="7">
        <v>0</v>
      </c>
      <c r="AM68" s="7">
        <v>0</v>
      </c>
      <c r="AN68" s="7">
        <v>1</v>
      </c>
      <c r="AO68" s="7">
        <v>200</v>
      </c>
      <c r="AP68" s="7">
        <v>0</v>
      </c>
      <c r="AQ68" s="7">
        <v>27</v>
      </c>
      <c r="AR68" s="8">
        <v>10800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77</v>
      </c>
      <c r="BA68" s="8">
        <v>18360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9">
        <v>1754.4</v>
      </c>
      <c r="BM68" s="10">
        <v>39836</v>
      </c>
      <c r="BN68" s="13">
        <f t="shared" si="2"/>
        <v>38081.599999999999</v>
      </c>
      <c r="BO68" s="14">
        <f t="shared" si="3"/>
        <v>26657.119999999999</v>
      </c>
    </row>
    <row r="69" spans="1:67" x14ac:dyDescent="0.4">
      <c r="A69" s="5" t="s">
        <v>95</v>
      </c>
      <c r="B69" s="5" t="s">
        <v>40</v>
      </c>
      <c r="C69" s="5">
        <v>432749</v>
      </c>
      <c r="D69" s="6"/>
      <c r="E69" s="5" t="s">
        <v>31</v>
      </c>
      <c r="F69" s="5" t="s">
        <v>41</v>
      </c>
      <c r="G69" s="5" t="s">
        <v>11</v>
      </c>
      <c r="H69" s="7" t="s">
        <v>7</v>
      </c>
      <c r="I69" s="7" t="s">
        <v>97</v>
      </c>
      <c r="J69" s="7">
        <v>1</v>
      </c>
      <c r="K69" s="7">
        <v>815</v>
      </c>
      <c r="L69" s="7">
        <v>200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4</v>
      </c>
      <c r="AC69" s="7">
        <v>0</v>
      </c>
      <c r="AD69" s="7">
        <v>700</v>
      </c>
      <c r="AE69" s="7">
        <v>2</v>
      </c>
      <c r="AF69" s="7">
        <v>800</v>
      </c>
      <c r="AG69" s="7">
        <v>0</v>
      </c>
      <c r="AH69" s="7">
        <v>119</v>
      </c>
      <c r="AI69" s="8">
        <v>21840</v>
      </c>
      <c r="AJ69" s="8">
        <v>5400</v>
      </c>
      <c r="AK69" s="7">
        <v>2</v>
      </c>
      <c r="AL69" s="7">
        <v>0</v>
      </c>
      <c r="AM69" s="7">
        <v>800</v>
      </c>
      <c r="AN69" s="7">
        <v>7</v>
      </c>
      <c r="AO69" s="8">
        <v>1300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2</v>
      </c>
      <c r="BA69" s="7">
        <v>480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9">
        <v>6580.8</v>
      </c>
      <c r="BM69" s="10">
        <v>31520</v>
      </c>
      <c r="BN69" s="13">
        <f t="shared" si="2"/>
        <v>24939.200000000001</v>
      </c>
      <c r="BO69" s="14">
        <f t="shared" si="3"/>
        <v>17457.439999999999</v>
      </c>
    </row>
    <row r="70" spans="1:67" x14ac:dyDescent="0.4">
      <c r="A70" s="5" t="s">
        <v>95</v>
      </c>
      <c r="B70" s="5" t="s">
        <v>45</v>
      </c>
      <c r="C70" s="5">
        <v>351846</v>
      </c>
      <c r="D70" s="6"/>
      <c r="E70" s="5" t="s">
        <v>31</v>
      </c>
      <c r="F70" s="5" t="s">
        <v>46</v>
      </c>
      <c r="G70" s="5" t="s">
        <v>11</v>
      </c>
      <c r="H70" s="7" t="s">
        <v>7</v>
      </c>
      <c r="I70" s="7" t="s">
        <v>47</v>
      </c>
      <c r="J70" s="7">
        <v>0</v>
      </c>
      <c r="K70" s="7">
        <v>610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143</v>
      </c>
      <c r="AC70" s="8">
        <v>14300</v>
      </c>
      <c r="AD70" s="7">
        <v>0</v>
      </c>
      <c r="AE70" s="7">
        <v>0</v>
      </c>
      <c r="AF70" s="7">
        <v>0</v>
      </c>
      <c r="AG70" s="7">
        <v>0</v>
      </c>
      <c r="AH70" s="7">
        <v>65</v>
      </c>
      <c r="AI70" s="8">
        <v>3722</v>
      </c>
      <c r="AJ70" s="8">
        <v>3400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9">
        <v>1116.5999999999999</v>
      </c>
      <c r="BM70" s="10">
        <v>21422</v>
      </c>
      <c r="BN70" s="13">
        <f t="shared" si="2"/>
        <v>20305.400000000001</v>
      </c>
      <c r="BO70" s="14">
        <f t="shared" si="3"/>
        <v>14213.78</v>
      </c>
    </row>
    <row r="71" spans="1:67" x14ac:dyDescent="0.4">
      <c r="A71" s="5" t="s">
        <v>95</v>
      </c>
      <c r="B71" s="5" t="s">
        <v>33</v>
      </c>
      <c r="C71" s="5">
        <v>465463</v>
      </c>
      <c r="D71" s="6"/>
      <c r="E71" s="5" t="s">
        <v>31</v>
      </c>
      <c r="F71" s="5" t="s">
        <v>34</v>
      </c>
      <c r="G71" s="5" t="s">
        <v>11</v>
      </c>
      <c r="H71" s="7" t="s">
        <v>10</v>
      </c>
      <c r="I71" s="7" t="s">
        <v>98</v>
      </c>
      <c r="J71" s="7">
        <v>0</v>
      </c>
      <c r="K71" s="7">
        <v>3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36</v>
      </c>
      <c r="AI71" s="8">
        <v>8640</v>
      </c>
      <c r="AJ71" s="7">
        <v>0</v>
      </c>
      <c r="AK71" s="7">
        <v>0</v>
      </c>
      <c r="AL71" s="7">
        <v>0</v>
      </c>
      <c r="AM71" s="7">
        <v>0</v>
      </c>
      <c r="AN71" s="7">
        <v>21</v>
      </c>
      <c r="AO71" s="8">
        <v>4000</v>
      </c>
      <c r="AP71" s="7">
        <v>200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9">
        <v>2592</v>
      </c>
      <c r="BM71" s="10">
        <v>12840</v>
      </c>
      <c r="BN71" s="13">
        <f t="shared" si="2"/>
        <v>10248</v>
      </c>
      <c r="BO71" s="14">
        <f t="shared" si="3"/>
        <v>7173.5999999999995</v>
      </c>
    </row>
    <row r="72" spans="1:67" ht="19.2" x14ac:dyDescent="0.4">
      <c r="A72" s="5" t="s">
        <v>95</v>
      </c>
      <c r="B72" s="5" t="s">
        <v>35</v>
      </c>
      <c r="C72" s="5">
        <v>434897</v>
      </c>
      <c r="D72" s="6"/>
      <c r="E72" s="5" t="s">
        <v>31</v>
      </c>
      <c r="F72" s="5" t="s">
        <v>36</v>
      </c>
      <c r="G72" s="5" t="s">
        <v>11</v>
      </c>
      <c r="H72" s="7" t="s">
        <v>8</v>
      </c>
      <c r="I72" s="7" t="s">
        <v>37</v>
      </c>
      <c r="J72" s="7">
        <v>2</v>
      </c>
      <c r="K72" s="7">
        <v>154</v>
      </c>
      <c r="L72" s="7">
        <v>400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44</v>
      </c>
      <c r="AI72" s="8">
        <v>10560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9">
        <v>3168</v>
      </c>
      <c r="BM72" s="10">
        <v>10960</v>
      </c>
      <c r="BN72" s="13">
        <f t="shared" si="2"/>
        <v>7792</v>
      </c>
      <c r="BO72" s="14">
        <f t="shared" si="3"/>
        <v>5454.4</v>
      </c>
    </row>
    <row r="73" spans="1:67" x14ac:dyDescent="0.4">
      <c r="A73" s="5" t="s">
        <v>95</v>
      </c>
      <c r="B73" s="5" t="s">
        <v>65</v>
      </c>
      <c r="C73" s="5">
        <v>419155</v>
      </c>
      <c r="D73" s="6"/>
      <c r="E73" s="5" t="s">
        <v>31</v>
      </c>
      <c r="F73" s="5" t="s">
        <v>66</v>
      </c>
      <c r="G73" s="5" t="s">
        <v>11</v>
      </c>
      <c r="H73" s="7" t="s">
        <v>7</v>
      </c>
      <c r="I73" s="7" t="s">
        <v>67</v>
      </c>
      <c r="J73" s="7">
        <v>0</v>
      </c>
      <c r="K73" s="7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19</v>
      </c>
      <c r="AI73" s="8">
        <v>6840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9">
        <v>2052</v>
      </c>
      <c r="BM73" s="10">
        <v>6840</v>
      </c>
      <c r="BN73" s="13">
        <f t="shared" si="2"/>
        <v>4788</v>
      </c>
      <c r="BO73" s="14">
        <f t="shared" si="3"/>
        <v>3351.6</v>
      </c>
    </row>
    <row r="74" spans="1:67" x14ac:dyDescent="0.4">
      <c r="A74" s="5" t="s">
        <v>95</v>
      </c>
      <c r="B74" s="5" t="s">
        <v>58</v>
      </c>
      <c r="C74" s="5">
        <v>403837</v>
      </c>
      <c r="D74" s="6"/>
      <c r="E74" s="5" t="s">
        <v>31</v>
      </c>
      <c r="F74" s="5" t="s">
        <v>59</v>
      </c>
      <c r="G74" s="5" t="s">
        <v>11</v>
      </c>
      <c r="H74" s="7" t="s">
        <v>7</v>
      </c>
      <c r="I74" s="7" t="s">
        <v>60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10</v>
      </c>
      <c r="AC74" s="8">
        <v>2000</v>
      </c>
      <c r="AD74" s="7">
        <v>0</v>
      </c>
      <c r="AE74" s="7">
        <v>0</v>
      </c>
      <c r="AF74" s="7">
        <v>0</v>
      </c>
      <c r="AG74" s="7">
        <v>0</v>
      </c>
      <c r="AH74" s="7">
        <v>2</v>
      </c>
      <c r="AI74" s="7">
        <v>0</v>
      </c>
      <c r="AJ74" s="7">
        <v>400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2400</v>
      </c>
      <c r="BN74" s="13">
        <f t="shared" si="2"/>
        <v>2400</v>
      </c>
      <c r="BO74" s="14">
        <f t="shared" si="3"/>
        <v>1680</v>
      </c>
    </row>
    <row r="75" spans="1:67" x14ac:dyDescent="0.4">
      <c r="A75" s="5" t="s">
        <v>95</v>
      </c>
      <c r="B75" s="5" t="s">
        <v>77</v>
      </c>
      <c r="C75" s="5">
        <v>464964</v>
      </c>
      <c r="D75" s="6"/>
      <c r="E75" s="5" t="s">
        <v>31</v>
      </c>
      <c r="F75" s="5" t="s">
        <v>78</v>
      </c>
      <c r="G75" s="5" t="s">
        <v>11</v>
      </c>
      <c r="H75" s="7" t="s">
        <v>7</v>
      </c>
      <c r="I75" s="7" t="s">
        <v>98</v>
      </c>
      <c r="J75" s="7">
        <v>0</v>
      </c>
      <c r="K75" s="7">
        <v>29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12</v>
      </c>
      <c r="AI75" s="7">
        <v>0</v>
      </c>
      <c r="AJ75" s="8">
        <v>2400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2400</v>
      </c>
      <c r="BN75" s="13">
        <f t="shared" si="2"/>
        <v>2400</v>
      </c>
      <c r="BO75" s="14">
        <f t="shared" si="3"/>
        <v>1680</v>
      </c>
    </row>
    <row r="76" spans="1:67" x14ac:dyDescent="0.4">
      <c r="A76" s="5" t="s">
        <v>95</v>
      </c>
      <c r="B76" s="5" t="s">
        <v>42</v>
      </c>
      <c r="C76" s="5">
        <v>383201</v>
      </c>
      <c r="D76" s="6"/>
      <c r="E76" s="5" t="s">
        <v>31</v>
      </c>
      <c r="F76" s="5" t="s">
        <v>43</v>
      </c>
      <c r="G76" s="5" t="s">
        <v>11</v>
      </c>
      <c r="H76" s="7" t="s">
        <v>7</v>
      </c>
      <c r="I76" s="7" t="s">
        <v>44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9</v>
      </c>
      <c r="AI76" s="7">
        <v>536</v>
      </c>
      <c r="AJ76" s="8">
        <v>1400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160.80000000000001</v>
      </c>
      <c r="BM76" s="10">
        <v>1936</v>
      </c>
      <c r="BN76" s="13">
        <f t="shared" si="2"/>
        <v>1775.2</v>
      </c>
      <c r="BO76" s="14">
        <f t="shared" si="3"/>
        <v>1242.6399999999999</v>
      </c>
    </row>
    <row r="77" spans="1:67" x14ac:dyDescent="0.4">
      <c r="A77" s="5" t="s">
        <v>95</v>
      </c>
      <c r="B77" s="5" t="s">
        <v>102</v>
      </c>
      <c r="C77" s="5">
        <v>319050</v>
      </c>
      <c r="D77" s="6"/>
      <c r="E77" s="5" t="s">
        <v>31</v>
      </c>
      <c r="F77" s="5" t="s">
        <v>103</v>
      </c>
      <c r="G77" s="5" t="s">
        <v>11</v>
      </c>
      <c r="H77" s="7" t="s">
        <v>7</v>
      </c>
      <c r="I77" s="7" t="s">
        <v>104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4</v>
      </c>
      <c r="AI77" s="7">
        <v>960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288</v>
      </c>
      <c r="BM77" s="11">
        <v>960</v>
      </c>
      <c r="BN77" s="13">
        <f t="shared" si="2"/>
        <v>672</v>
      </c>
      <c r="BO77" s="14">
        <f t="shared" si="3"/>
        <v>470.4</v>
      </c>
    </row>
    <row r="78" spans="1:67" ht="19.2" x14ac:dyDescent="0.4">
      <c r="A78" s="5" t="s">
        <v>95</v>
      </c>
      <c r="B78" s="5" t="s">
        <v>53</v>
      </c>
      <c r="C78" s="5">
        <v>412451</v>
      </c>
      <c r="D78" s="6"/>
      <c r="E78" s="5" t="s">
        <v>31</v>
      </c>
      <c r="F78" s="5" t="s">
        <v>54</v>
      </c>
      <c r="G78" s="5" t="s">
        <v>11</v>
      </c>
      <c r="H78" s="7" t="s">
        <v>8</v>
      </c>
      <c r="I78" s="7" t="s">
        <v>55</v>
      </c>
      <c r="J78" s="7">
        <v>1</v>
      </c>
      <c r="K78" s="7">
        <v>0</v>
      </c>
      <c r="L78" s="7">
        <v>200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1">
        <v>200</v>
      </c>
      <c r="BN78" s="13">
        <f t="shared" si="2"/>
        <v>200</v>
      </c>
      <c r="BO78" s="14">
        <f t="shared" si="3"/>
        <v>140</v>
      </c>
    </row>
    <row r="79" spans="1:67" x14ac:dyDescent="0.4">
      <c r="A79" s="5" t="s">
        <v>95</v>
      </c>
      <c r="B79" s="5" t="s">
        <v>85</v>
      </c>
      <c r="C79" s="5">
        <v>336507</v>
      </c>
      <c r="D79" s="6"/>
      <c r="E79" s="5" t="s">
        <v>31</v>
      </c>
      <c r="F79" s="5" t="s">
        <v>86</v>
      </c>
      <c r="G79" s="5" t="s">
        <v>11</v>
      </c>
      <c r="H79" s="7" t="s">
        <v>8</v>
      </c>
      <c r="I79" s="7" t="s">
        <v>87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1</v>
      </c>
      <c r="AC79" s="7">
        <v>0</v>
      </c>
      <c r="AD79" s="7">
        <v>200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1">
        <v>200</v>
      </c>
      <c r="BN79" s="13">
        <f t="shared" si="2"/>
        <v>200</v>
      </c>
      <c r="BO79" s="14">
        <f t="shared" si="3"/>
        <v>140</v>
      </c>
    </row>
    <row r="80" spans="1:67" x14ac:dyDescent="0.4">
      <c r="A80" s="5" t="s">
        <v>95</v>
      </c>
      <c r="B80" s="5" t="s">
        <v>99</v>
      </c>
      <c r="C80" s="5">
        <v>463455</v>
      </c>
      <c r="D80" s="6"/>
      <c r="E80" s="5" t="s">
        <v>31</v>
      </c>
      <c r="F80" s="5" t="s">
        <v>100</v>
      </c>
      <c r="G80" s="5" t="s">
        <v>11</v>
      </c>
      <c r="H80" s="7" t="s">
        <v>7</v>
      </c>
      <c r="I80" s="7" t="s">
        <v>101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1</v>
      </c>
      <c r="AC80" s="7">
        <v>200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1">
        <v>200</v>
      </c>
      <c r="BN80" s="13">
        <f t="shared" si="2"/>
        <v>200</v>
      </c>
      <c r="BO80" s="14">
        <f t="shared" si="3"/>
        <v>140</v>
      </c>
    </row>
    <row r="81" spans="1:67" x14ac:dyDescent="0.4">
      <c r="A81" s="5" t="s">
        <v>95</v>
      </c>
      <c r="B81" s="5" t="s">
        <v>116</v>
      </c>
      <c r="C81" s="5">
        <v>461521</v>
      </c>
      <c r="D81" s="6"/>
      <c r="E81" s="5" t="s">
        <v>31</v>
      </c>
      <c r="F81" s="5" t="s">
        <v>117</v>
      </c>
      <c r="G81" s="5" t="s">
        <v>11</v>
      </c>
      <c r="H81" s="7" t="s">
        <v>8</v>
      </c>
      <c r="I81" s="7" t="s">
        <v>118</v>
      </c>
      <c r="J81" s="7">
        <v>0</v>
      </c>
      <c r="K81" s="7">
        <v>47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1">
        <v>0</v>
      </c>
      <c r="BN81" s="13">
        <f t="shared" si="2"/>
        <v>0</v>
      </c>
      <c r="BO81" s="14">
        <f t="shared" si="3"/>
        <v>0</v>
      </c>
    </row>
    <row r="82" spans="1:67" x14ac:dyDescent="0.4">
      <c r="A82" s="5" t="s">
        <v>95</v>
      </c>
      <c r="B82" s="5" t="s">
        <v>68</v>
      </c>
      <c r="C82" s="5">
        <v>307024</v>
      </c>
      <c r="D82" s="6"/>
      <c r="E82" s="5" t="s">
        <v>31</v>
      </c>
      <c r="F82" s="5" t="s">
        <v>69</v>
      </c>
      <c r="G82" s="5" t="s">
        <v>11</v>
      </c>
      <c r="H82" s="7" t="s">
        <v>7</v>
      </c>
      <c r="I82" s="7" t="s">
        <v>70</v>
      </c>
      <c r="J82" s="7">
        <v>0</v>
      </c>
      <c r="K82" s="7">
        <v>49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1">
        <v>0</v>
      </c>
      <c r="BN82" s="13">
        <f t="shared" si="2"/>
        <v>0</v>
      </c>
      <c r="BO82" s="14">
        <f t="shared" si="3"/>
        <v>0</v>
      </c>
    </row>
    <row r="83" spans="1:67" x14ac:dyDescent="0.4">
      <c r="A83" s="5" t="s">
        <v>95</v>
      </c>
      <c r="B83" s="5" t="s">
        <v>82</v>
      </c>
      <c r="C83" s="5">
        <v>458180</v>
      </c>
      <c r="D83" s="6"/>
      <c r="E83" s="5" t="s">
        <v>31</v>
      </c>
      <c r="F83" s="5" t="s">
        <v>83</v>
      </c>
      <c r="G83" s="5" t="s">
        <v>11</v>
      </c>
      <c r="H83" s="7" t="s">
        <v>7</v>
      </c>
      <c r="I83" s="7" t="s">
        <v>84</v>
      </c>
      <c r="J83" s="7">
        <v>0</v>
      </c>
      <c r="K83" s="7">
        <v>52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1">
        <v>0</v>
      </c>
      <c r="BN83" s="13">
        <f t="shared" si="2"/>
        <v>0</v>
      </c>
      <c r="BO83" s="14">
        <f t="shared" si="3"/>
        <v>0</v>
      </c>
    </row>
    <row r="84" spans="1:67" x14ac:dyDescent="0.4">
      <c r="A84" s="5" t="s">
        <v>95</v>
      </c>
      <c r="B84" s="5" t="s">
        <v>74</v>
      </c>
      <c r="C84" s="5">
        <v>436040</v>
      </c>
      <c r="D84" s="6"/>
      <c r="E84" s="5" t="s">
        <v>31</v>
      </c>
      <c r="F84" s="5" t="s">
        <v>75</v>
      </c>
      <c r="G84" s="5" t="s">
        <v>11</v>
      </c>
      <c r="H84" s="7" t="s">
        <v>8</v>
      </c>
      <c r="I84" s="7" t="s">
        <v>76</v>
      </c>
      <c r="J84" s="7">
        <v>0</v>
      </c>
      <c r="K84" s="7">
        <v>41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1">
        <v>0</v>
      </c>
      <c r="BN84" s="13">
        <f t="shared" si="2"/>
        <v>0</v>
      </c>
      <c r="BO84" s="14">
        <f t="shared" si="3"/>
        <v>0</v>
      </c>
    </row>
    <row r="85" spans="1:67" x14ac:dyDescent="0.4">
      <c r="A85" s="5" t="s">
        <v>95</v>
      </c>
      <c r="B85" s="5" t="s">
        <v>71</v>
      </c>
      <c r="C85" s="5">
        <v>323829</v>
      </c>
      <c r="D85" s="6"/>
      <c r="E85" s="5" t="s">
        <v>31</v>
      </c>
      <c r="F85" s="5" t="s">
        <v>72</v>
      </c>
      <c r="G85" s="5" t="s">
        <v>11</v>
      </c>
      <c r="H85" s="7" t="s">
        <v>7</v>
      </c>
      <c r="I85" s="7" t="s">
        <v>73</v>
      </c>
      <c r="J85" s="7">
        <v>0</v>
      </c>
      <c r="K85" s="7">
        <v>1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1">
        <v>0</v>
      </c>
      <c r="BN85" s="13">
        <f t="shared" si="2"/>
        <v>0</v>
      </c>
      <c r="BO85" s="14">
        <f t="shared" si="3"/>
        <v>0</v>
      </c>
    </row>
    <row r="86" spans="1:67" x14ac:dyDescent="0.4">
      <c r="A86" s="5" t="s">
        <v>95</v>
      </c>
      <c r="B86" s="5" t="s">
        <v>90</v>
      </c>
      <c r="C86" s="5">
        <v>463278</v>
      </c>
      <c r="D86" s="6"/>
      <c r="E86" s="5" t="s">
        <v>31</v>
      </c>
      <c r="F86" s="5" t="s">
        <v>91</v>
      </c>
      <c r="G86" s="5" t="s">
        <v>11</v>
      </c>
      <c r="H86" s="7" t="s">
        <v>7</v>
      </c>
      <c r="I86" s="7" t="s">
        <v>92</v>
      </c>
      <c r="J86" s="7">
        <v>0</v>
      </c>
      <c r="K86" s="7">
        <v>7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1">
        <v>0</v>
      </c>
      <c r="BN86" s="13">
        <f t="shared" si="2"/>
        <v>0</v>
      </c>
      <c r="BO86" s="14">
        <f t="shared" si="3"/>
        <v>0</v>
      </c>
    </row>
    <row r="87" spans="1:67" ht="19.2" x14ac:dyDescent="0.4">
      <c r="A87" s="5" t="s">
        <v>136</v>
      </c>
      <c r="B87" s="5" t="s">
        <v>48</v>
      </c>
      <c r="C87" s="5">
        <v>448747</v>
      </c>
      <c r="D87" s="6"/>
      <c r="E87" s="5" t="s">
        <v>31</v>
      </c>
      <c r="F87" s="5" t="s">
        <v>49</v>
      </c>
      <c r="G87" s="5" t="s">
        <v>11</v>
      </c>
      <c r="H87" s="7" t="s">
        <v>7</v>
      </c>
      <c r="I87" s="7" t="s">
        <v>50</v>
      </c>
      <c r="J87" s="7">
        <v>0</v>
      </c>
      <c r="K87" s="8">
        <v>4100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292</v>
      </c>
      <c r="AC87" s="8">
        <v>39560</v>
      </c>
      <c r="AD87" s="8">
        <v>20400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6</v>
      </c>
      <c r="AO87" s="8">
        <v>1200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98</v>
      </c>
      <c r="BA87" s="8">
        <v>23520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9">
        <v>1411.2</v>
      </c>
      <c r="BM87" s="10">
        <v>84680</v>
      </c>
      <c r="BN87" s="13">
        <f t="shared" si="2"/>
        <v>83268.800000000003</v>
      </c>
      <c r="BO87" s="14">
        <f t="shared" si="3"/>
        <v>58288.159999999996</v>
      </c>
    </row>
    <row r="88" spans="1:67" ht="19.2" x14ac:dyDescent="0.4">
      <c r="A88" s="5" t="s">
        <v>137</v>
      </c>
      <c r="B88" s="5" t="s">
        <v>48</v>
      </c>
      <c r="C88" s="5">
        <v>448747</v>
      </c>
      <c r="D88" s="6"/>
      <c r="E88" s="5" t="s">
        <v>31</v>
      </c>
      <c r="F88" s="5" t="s">
        <v>49</v>
      </c>
      <c r="G88" s="5" t="s">
        <v>11</v>
      </c>
      <c r="H88" s="7" t="s">
        <v>7</v>
      </c>
      <c r="I88" s="7" t="s">
        <v>50</v>
      </c>
      <c r="J88" s="7">
        <v>0</v>
      </c>
      <c r="K88" s="8">
        <v>1842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25</v>
      </c>
      <c r="AC88" s="7">
        <v>500</v>
      </c>
      <c r="AD88" s="8">
        <v>4500</v>
      </c>
      <c r="AE88" s="7">
        <v>0</v>
      </c>
      <c r="AF88" s="7">
        <v>0</v>
      </c>
      <c r="AG88" s="7">
        <v>0</v>
      </c>
      <c r="AH88" s="7">
        <v>178</v>
      </c>
      <c r="AI88" s="8">
        <v>41040</v>
      </c>
      <c r="AJ88" s="8">
        <v>1400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9">
        <v>12312</v>
      </c>
      <c r="BM88" s="10">
        <v>47440</v>
      </c>
      <c r="BN88" s="13">
        <f t="shared" si="2"/>
        <v>35128</v>
      </c>
      <c r="BO88" s="14">
        <f t="shared" si="3"/>
        <v>24589.599999999999</v>
      </c>
    </row>
    <row r="89" spans="1:67" ht="19.2" x14ac:dyDescent="0.4">
      <c r="A89" s="5" t="s">
        <v>138</v>
      </c>
      <c r="B89" s="5" t="s">
        <v>48</v>
      </c>
      <c r="C89" s="5">
        <v>448747</v>
      </c>
      <c r="D89" s="6"/>
      <c r="E89" s="5" t="s">
        <v>31</v>
      </c>
      <c r="F89" s="5" t="s">
        <v>49</v>
      </c>
      <c r="G89" s="5" t="s">
        <v>11</v>
      </c>
      <c r="H89" s="7" t="s">
        <v>7</v>
      </c>
      <c r="I89" s="7" t="s">
        <v>50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1</v>
      </c>
      <c r="AC89" s="7">
        <v>200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1">
        <v>200</v>
      </c>
      <c r="BN89" s="13">
        <f>BM89-BL89</f>
        <v>200</v>
      </c>
      <c r="BO89" s="14">
        <f>BN89*70%</f>
        <v>140</v>
      </c>
    </row>
    <row r="90" spans="1:67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8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17">
        <f>SUM(BL2:BL89)</f>
        <v>152132</v>
      </c>
      <c r="BM90" s="17">
        <f t="shared" ref="BM90:BO90" si="4">SUM(BM2:BM89)</f>
        <v>3028656</v>
      </c>
      <c r="BN90" s="17">
        <f t="shared" si="4"/>
        <v>2876524.0000000005</v>
      </c>
      <c r="BO90" s="18">
        <f t="shared" si="4"/>
        <v>2013566.7999999993</v>
      </c>
    </row>
    <row r="91" spans="1:67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7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7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7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7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7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8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8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8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8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8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8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/>
      <c r="AS125" s="8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8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8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8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1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1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1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1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1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1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1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1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8"/>
      <c r="L152" s="8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8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8"/>
      <c r="AR152" s="8"/>
      <c r="AS152" s="8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  <c r="AS153" s="8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8"/>
      <c r="AD154" s="8"/>
      <c r="AE154" s="7"/>
      <c r="AF154" s="8"/>
      <c r="AG154" s="8"/>
      <c r="AH154" s="7"/>
      <c r="AI154" s="7"/>
      <c r="AJ154" s="7"/>
      <c r="AK154" s="7"/>
      <c r="AL154" s="7"/>
      <c r="AM154" s="7"/>
      <c r="AN154" s="7"/>
      <c r="AO154" s="8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8"/>
      <c r="L155" s="8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8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8"/>
      <c r="K156" s="8"/>
      <c r="L156" s="8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8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8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8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8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8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8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8"/>
      <c r="AD160" s="7"/>
      <c r="AE160" s="7"/>
      <c r="AF160" s="8"/>
      <c r="AG160" s="8"/>
      <c r="AH160" s="7"/>
      <c r="AI160" s="7"/>
      <c r="AJ160" s="7"/>
      <c r="AK160" s="7"/>
      <c r="AL160" s="7"/>
      <c r="AM160" s="7"/>
      <c r="AN160" s="7"/>
      <c r="AO160" s="8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8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8"/>
      <c r="AF161" s="8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8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8"/>
      <c r="AS162" s="8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8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8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8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8"/>
      <c r="AD173" s="7"/>
      <c r="AE173" s="7"/>
      <c r="AF173" s="8"/>
      <c r="AG173" s="8"/>
      <c r="AH173" s="7"/>
      <c r="AI173" s="7"/>
      <c r="AJ173" s="7"/>
      <c r="AK173" s="7"/>
      <c r="AL173" s="7"/>
      <c r="AM173" s="7"/>
      <c r="AN173" s="7"/>
      <c r="AO173" s="8"/>
      <c r="AP173" s="8"/>
      <c r="AQ173" s="7"/>
      <c r="AR173" s="8"/>
      <c r="AS173" s="8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8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8"/>
      <c r="AD181" s="8"/>
      <c r="AE181" s="7"/>
      <c r="AF181" s="7"/>
      <c r="AG181" s="8"/>
      <c r="AH181" s="7"/>
      <c r="AI181" s="7"/>
      <c r="AJ181" s="7"/>
      <c r="AK181" s="7"/>
      <c r="AL181" s="7"/>
      <c r="AM181" s="7"/>
      <c r="AN181" s="7"/>
      <c r="AO181" s="8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8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8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8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8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8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8"/>
      <c r="AD203" s="8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8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8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8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8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8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8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8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8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8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8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8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8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8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8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8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8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8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8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8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8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8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8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8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8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8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8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8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8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8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8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8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8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8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8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8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8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8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8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8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8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8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8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8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0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0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1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1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1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1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1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1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1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1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1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1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1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1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1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1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1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1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1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1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1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1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1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1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1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8"/>
      <c r="L323" s="8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8"/>
      <c r="AF323" s="8"/>
      <c r="AG323" s="8"/>
      <c r="AH323" s="7"/>
      <c r="AI323" s="7"/>
      <c r="AJ323" s="7"/>
      <c r="AK323" s="8"/>
      <c r="AL323" s="8"/>
      <c r="AM323" s="8"/>
      <c r="AN323" s="7"/>
      <c r="AO323" s="7"/>
      <c r="AP323" s="7"/>
      <c r="AQ323" s="8"/>
      <c r="AR323" s="8"/>
      <c r="AS323" s="8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8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8"/>
      <c r="AF324" s="8"/>
      <c r="AG324" s="8"/>
      <c r="AH324" s="7"/>
      <c r="AI324" s="7"/>
      <c r="AJ324" s="7"/>
      <c r="AK324" s="8"/>
      <c r="AL324" s="8"/>
      <c r="AM324" s="8"/>
      <c r="AN324" s="7"/>
      <c r="AO324" s="7"/>
      <c r="AP324" s="7"/>
      <c r="AQ324" s="7"/>
      <c r="AR324" s="8"/>
      <c r="AS324" s="8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8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8"/>
      <c r="AF325" s="8"/>
      <c r="AG325" s="8"/>
      <c r="AH325" s="7"/>
      <c r="AI325" s="7"/>
      <c r="AJ325" s="7"/>
      <c r="AK325" s="8"/>
      <c r="AL325" s="8"/>
      <c r="AM325" s="8"/>
      <c r="AN325" s="7"/>
      <c r="AO325" s="7"/>
      <c r="AP325" s="7"/>
      <c r="AQ325" s="8"/>
      <c r="AR325" s="8"/>
      <c r="AS325" s="8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8"/>
      <c r="AF326" s="8"/>
      <c r="AG326" s="8"/>
      <c r="AH326" s="7"/>
      <c r="AI326" s="7"/>
      <c r="AJ326" s="7"/>
      <c r="AK326" s="8"/>
      <c r="AL326" s="8"/>
      <c r="AM326" s="8"/>
      <c r="AN326" s="7"/>
      <c r="AO326" s="7"/>
      <c r="AP326" s="7"/>
      <c r="AQ326" s="8"/>
      <c r="AR326" s="8"/>
      <c r="AS326" s="8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8"/>
      <c r="AH327" s="7"/>
      <c r="AI327" s="7"/>
      <c r="AJ327" s="7"/>
      <c r="AK327" s="7"/>
      <c r="AL327" s="8"/>
      <c r="AM327" s="8"/>
      <c r="AN327" s="7"/>
      <c r="AO327" s="7"/>
      <c r="AP327" s="7"/>
      <c r="AQ327" s="7"/>
      <c r="AR327" s="8"/>
      <c r="AS327" s="8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8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8"/>
      <c r="AF328" s="8"/>
      <c r="AG328" s="8"/>
      <c r="AH328" s="7"/>
      <c r="AI328" s="7"/>
      <c r="AJ328" s="7"/>
      <c r="AK328" s="8"/>
      <c r="AL328" s="8"/>
      <c r="AM328" s="8"/>
      <c r="AN328" s="7"/>
      <c r="AO328" s="7"/>
      <c r="AP328" s="7"/>
      <c r="AQ328" s="7"/>
      <c r="AR328" s="8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8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8"/>
      <c r="AF329" s="8"/>
      <c r="AG329" s="8"/>
      <c r="AH329" s="7"/>
      <c r="AI329" s="7"/>
      <c r="AJ329" s="7"/>
      <c r="AK329" s="8"/>
      <c r="AL329" s="8"/>
      <c r="AM329" s="8"/>
      <c r="AN329" s="7"/>
      <c r="AO329" s="7"/>
      <c r="AP329" s="7"/>
      <c r="AQ329" s="7"/>
      <c r="AR329" s="8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8"/>
      <c r="AF330" s="8"/>
      <c r="AG330" s="8"/>
      <c r="AH330" s="7"/>
      <c r="AI330" s="7"/>
      <c r="AJ330" s="7"/>
      <c r="AK330" s="8"/>
      <c r="AL330" s="8"/>
      <c r="AM330" s="8"/>
      <c r="AN330" s="7"/>
      <c r="AO330" s="7"/>
      <c r="AP330" s="7"/>
      <c r="AQ330" s="7"/>
      <c r="AR330" s="8"/>
      <c r="AS330" s="8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8"/>
      <c r="L331" s="8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8"/>
      <c r="AF331" s="8"/>
      <c r="AG331" s="8"/>
      <c r="AH331" s="7"/>
      <c r="AI331" s="7"/>
      <c r="AJ331" s="7"/>
      <c r="AK331" s="8"/>
      <c r="AL331" s="8"/>
      <c r="AM331" s="8"/>
      <c r="AN331" s="7"/>
      <c r="AO331" s="7"/>
      <c r="AP331" s="7"/>
      <c r="AQ331" s="7"/>
      <c r="AR331" s="8"/>
      <c r="AS331" s="8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8"/>
      <c r="AF332" s="8"/>
      <c r="AG332" s="8"/>
      <c r="AH332" s="7"/>
      <c r="AI332" s="7"/>
      <c r="AJ332" s="7"/>
      <c r="AK332" s="8"/>
      <c r="AL332" s="8"/>
      <c r="AM332" s="8"/>
      <c r="AN332" s="7"/>
      <c r="AO332" s="7"/>
      <c r="AP332" s="7"/>
      <c r="AQ332" s="7"/>
      <c r="AR332" s="8"/>
      <c r="AS332" s="8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8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8"/>
      <c r="AF333" s="8"/>
      <c r="AG333" s="8"/>
      <c r="AH333" s="7"/>
      <c r="AI333" s="7"/>
      <c r="AJ333" s="7"/>
      <c r="AK333" s="8"/>
      <c r="AL333" s="8"/>
      <c r="AM333" s="8"/>
      <c r="AN333" s="7"/>
      <c r="AO333" s="7"/>
      <c r="AP333" s="7"/>
      <c r="AQ333" s="7"/>
      <c r="AR333" s="8"/>
      <c r="AS333" s="8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8"/>
      <c r="AH334" s="7"/>
      <c r="AI334" s="7"/>
      <c r="AJ334" s="7"/>
      <c r="AK334" s="8"/>
      <c r="AL334" s="8"/>
      <c r="AM334" s="8"/>
      <c r="AN334" s="7"/>
      <c r="AO334" s="7"/>
      <c r="AP334" s="7"/>
      <c r="AQ334" s="7"/>
      <c r="AR334" s="8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8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8"/>
      <c r="K336" s="7"/>
      <c r="L336" s="8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8"/>
      <c r="AH336" s="7"/>
      <c r="AI336" s="7"/>
      <c r="AJ336" s="7"/>
      <c r="AK336" s="7"/>
      <c r="AL336" s="8"/>
      <c r="AM336" s="8"/>
      <c r="AN336" s="7"/>
      <c r="AO336" s="7"/>
      <c r="AP336" s="7"/>
      <c r="AQ336" s="7"/>
      <c r="AR336" s="8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8"/>
      <c r="AM337" s="8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8"/>
      <c r="AM338" s="8"/>
      <c r="AN338" s="7"/>
      <c r="AO338" s="7"/>
      <c r="AP338" s="7"/>
      <c r="AQ338" s="7"/>
      <c r="AR338" s="8"/>
      <c r="AS338" s="8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8"/>
      <c r="AH339" s="7"/>
      <c r="AI339" s="7"/>
      <c r="AJ339" s="7"/>
      <c r="AK339" s="7"/>
      <c r="AL339" s="8"/>
      <c r="AM339" s="8"/>
      <c r="AN339" s="7"/>
      <c r="AO339" s="7"/>
      <c r="AP339" s="7"/>
      <c r="AQ339" s="7"/>
      <c r="AR339" s="8"/>
      <c r="AS339" s="8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8"/>
      <c r="AJ340" s="8"/>
      <c r="AK340" s="7"/>
      <c r="AL340" s="7"/>
      <c r="AM340" s="7"/>
      <c r="AN340" s="7"/>
      <c r="AO340" s="7"/>
      <c r="AP340" s="7"/>
      <c r="AQ340" s="7"/>
      <c r="AR340" s="8"/>
      <c r="AS340" s="8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8"/>
      <c r="AM341" s="8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8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8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8"/>
      <c r="AS343" s="8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8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8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8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8"/>
      <c r="AN349" s="7"/>
      <c r="AO349" s="7"/>
      <c r="AP349" s="7"/>
      <c r="AQ349" s="7"/>
      <c r="AR349" s="8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8"/>
      <c r="AH350" s="7"/>
      <c r="AI350" s="7"/>
      <c r="AJ350" s="7"/>
      <c r="AK350" s="7"/>
      <c r="AL350" s="8"/>
      <c r="AM350" s="8"/>
      <c r="AN350" s="7"/>
      <c r="AO350" s="7"/>
      <c r="AP350" s="7"/>
      <c r="AQ350" s="7"/>
      <c r="AR350" s="8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8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9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8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8"/>
      <c r="AH354" s="7"/>
      <c r="AI354" s="7"/>
      <c r="AJ354" s="7"/>
      <c r="AK354" s="7"/>
      <c r="AL354" s="8"/>
      <c r="AM354" s="8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8"/>
      <c r="AH355" s="7"/>
      <c r="AI355" s="7"/>
      <c r="AJ355" s="7"/>
      <c r="AK355" s="7"/>
      <c r="AL355" s="8"/>
      <c r="AM355" s="8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8"/>
      <c r="AM356" s="8"/>
      <c r="AN356" s="7"/>
      <c r="AO356" s="7"/>
      <c r="AP356" s="7"/>
      <c r="AQ356" s="7"/>
      <c r="AR356" s="8"/>
      <c r="AS356" s="8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9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8"/>
      <c r="AH357" s="7"/>
      <c r="AI357" s="7"/>
      <c r="AJ357" s="7"/>
      <c r="AK357" s="7"/>
      <c r="AL357" s="8"/>
      <c r="AM357" s="8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8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8"/>
      <c r="AM361" s="8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8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9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8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9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8"/>
      <c r="AM367" s="8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9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8"/>
      <c r="AM368" s="8"/>
      <c r="AN368" s="7"/>
      <c r="AO368" s="7"/>
      <c r="AP368" s="7"/>
      <c r="AQ368" s="7"/>
      <c r="AR368" s="8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8"/>
      <c r="AJ369" s="7"/>
      <c r="AK369" s="7"/>
      <c r="AL369" s="8"/>
      <c r="AM369" s="7"/>
      <c r="AN369" s="7"/>
      <c r="AO369" s="8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8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8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9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9"/>
      <c r="BM372" s="10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8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8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9"/>
      <c r="BM374" s="10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8"/>
      <c r="AS375" s="8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8"/>
      <c r="AM376" s="8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9"/>
      <c r="BM376" s="10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8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9"/>
      <c r="BM377" s="10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8"/>
      <c r="AG378" s="7"/>
      <c r="AH378" s="7"/>
      <c r="AI378" s="7"/>
      <c r="AJ378" s="7"/>
      <c r="AK378" s="7"/>
      <c r="AL378" s="7"/>
      <c r="AM378" s="8"/>
      <c r="AN378" s="7"/>
      <c r="AO378" s="7"/>
      <c r="AP378" s="7"/>
      <c r="AQ378" s="7"/>
      <c r="AR378" s="8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0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8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9"/>
      <c r="BM379" s="10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9"/>
      <c r="BM380" s="10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9"/>
      <c r="BM381" s="10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8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0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8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9"/>
      <c r="BM383" s="10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8"/>
      <c r="AN384" s="7"/>
      <c r="AO384" s="7"/>
      <c r="AP384" s="7"/>
      <c r="AQ384" s="7"/>
      <c r="AR384" s="8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9"/>
      <c r="BM385" s="10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9"/>
      <c r="BM386" s="10"/>
    </row>
    <row r="387" spans="1:65" x14ac:dyDescent="0.4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8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4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8"/>
      <c r="AH388" s="7"/>
      <c r="AI388" s="7"/>
      <c r="AJ388" s="7"/>
      <c r="AK388" s="7"/>
      <c r="AL388" s="8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4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8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9"/>
      <c r="BM389" s="10"/>
    </row>
    <row r="390" spans="1:65" x14ac:dyDescent="0.4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9"/>
      <c r="BM390" s="10"/>
    </row>
    <row r="391" spans="1:65" x14ac:dyDescent="0.4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9"/>
      <c r="BM391" s="10"/>
    </row>
    <row r="392" spans="1:65" x14ac:dyDescent="0.4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8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4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4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9"/>
      <c r="BM394" s="10"/>
    </row>
    <row r="395" spans="1:65" x14ac:dyDescent="0.4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9"/>
      <c r="BM395" s="10"/>
    </row>
    <row r="396" spans="1:65" x14ac:dyDescent="0.4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8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8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4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8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9"/>
      <c r="BM397" s="10"/>
    </row>
    <row r="398" spans="1:65" x14ac:dyDescent="0.4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8"/>
      <c r="AG398" s="8"/>
      <c r="AH398" s="7"/>
      <c r="AI398" s="7"/>
      <c r="AJ398" s="7"/>
      <c r="AK398" s="7"/>
      <c r="AL398" s="7"/>
      <c r="AM398" s="8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4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8"/>
      <c r="AH399" s="7"/>
      <c r="AI399" s="7"/>
      <c r="AJ399" s="7"/>
      <c r="AK399" s="7"/>
      <c r="AL399" s="7"/>
      <c r="AM399" s="8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4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8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4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8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4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9"/>
      <c r="BM402" s="10"/>
    </row>
    <row r="403" spans="1:65" x14ac:dyDescent="0.4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8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0"/>
    </row>
    <row r="404" spans="1:65" x14ac:dyDescent="0.4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8"/>
      <c r="AM404" s="8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4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8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4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8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9"/>
      <c r="BM406" s="10"/>
    </row>
    <row r="407" spans="1:65" x14ac:dyDescent="0.4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8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4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8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4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8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4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8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4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8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4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4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8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4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8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4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8"/>
      <c r="AH415" s="7"/>
      <c r="AI415" s="7"/>
      <c r="AJ415" s="7"/>
      <c r="AK415" s="7"/>
      <c r="AL415" s="7"/>
      <c r="AM415" s="8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4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8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4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8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4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8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0"/>
    </row>
    <row r="419" spans="1:65" x14ac:dyDescent="0.4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8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4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8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4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8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4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8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4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8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4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8"/>
      <c r="AG424" s="7"/>
      <c r="AH424" s="7"/>
      <c r="AI424" s="7"/>
      <c r="AJ424" s="7"/>
      <c r="AK424" s="7"/>
      <c r="AL424" s="7"/>
      <c r="AM424" s="8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4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8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4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8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4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8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0"/>
    </row>
    <row r="428" spans="1:65" x14ac:dyDescent="0.4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8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0"/>
    </row>
    <row r="429" spans="1:65" x14ac:dyDescent="0.4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8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0"/>
    </row>
    <row r="430" spans="1:65" x14ac:dyDescent="0.4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8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0"/>
    </row>
    <row r="431" spans="1:65" x14ac:dyDescent="0.4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8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0"/>
    </row>
    <row r="432" spans="1:65" x14ac:dyDescent="0.4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8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0"/>
    </row>
    <row r="433" spans="1:65" x14ac:dyDescent="0.4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8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0"/>
    </row>
    <row r="434" spans="1:65" x14ac:dyDescent="0.4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0"/>
    </row>
    <row r="435" spans="1:65" x14ac:dyDescent="0.4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8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0"/>
    </row>
    <row r="436" spans="1:65" x14ac:dyDescent="0.4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8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0"/>
    </row>
    <row r="437" spans="1:65" x14ac:dyDescent="0.4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8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0"/>
    </row>
    <row r="438" spans="1:65" x14ac:dyDescent="0.4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1"/>
    </row>
    <row r="439" spans="1:65" x14ac:dyDescent="0.4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1"/>
    </row>
    <row r="440" spans="1:65" x14ac:dyDescent="0.4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1"/>
    </row>
    <row r="441" spans="1:65" x14ac:dyDescent="0.4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1"/>
    </row>
    <row r="442" spans="1:65" x14ac:dyDescent="0.4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1"/>
    </row>
    <row r="443" spans="1:65" x14ac:dyDescent="0.4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1"/>
    </row>
    <row r="444" spans="1:65" x14ac:dyDescent="0.4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1"/>
    </row>
    <row r="445" spans="1:65" x14ac:dyDescent="0.4">
      <c r="A445" s="5"/>
      <c r="B445" s="5"/>
      <c r="C445" s="5"/>
      <c r="D445" s="6"/>
      <c r="E445" s="5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11"/>
    </row>
    <row r="446" spans="1:65" x14ac:dyDescent="0.4">
      <c r="A446" s="5"/>
      <c r="B446" s="5"/>
      <c r="C446" s="5"/>
      <c r="D446" s="6"/>
      <c r="E446" s="5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11"/>
    </row>
    <row r="447" spans="1:65" x14ac:dyDescent="0.4">
      <c r="A447" s="5"/>
      <c r="B447" s="5"/>
      <c r="C447" s="5"/>
      <c r="D447" s="6"/>
      <c r="E447" s="5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11"/>
    </row>
    <row r="448" spans="1:65" x14ac:dyDescent="0.4">
      <c r="A448" s="5"/>
      <c r="B448" s="5"/>
      <c r="C448" s="5"/>
      <c r="D448" s="6"/>
      <c r="E448" s="5"/>
      <c r="F448" s="5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11"/>
    </row>
    <row r="449" spans="1:65" x14ac:dyDescent="0.4">
      <c r="A449" s="5"/>
      <c r="B449" s="5"/>
      <c r="C449" s="5"/>
      <c r="D449" s="6"/>
      <c r="E449" s="5"/>
      <c r="F449" s="5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11"/>
    </row>
    <row r="450" spans="1:65" x14ac:dyDescent="0.4">
      <c r="A450" s="5"/>
      <c r="B450" s="5"/>
      <c r="C450" s="5"/>
      <c r="D450" s="6"/>
      <c r="E450" s="5"/>
      <c r="F450" s="5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11"/>
    </row>
    <row r="451" spans="1:65" x14ac:dyDescent="0.4">
      <c r="A451" s="5"/>
      <c r="B451" s="5"/>
      <c r="C451" s="5"/>
      <c r="D451" s="6"/>
      <c r="E451" s="5"/>
      <c r="F451" s="5"/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11"/>
    </row>
    <row r="452" spans="1:65" x14ac:dyDescent="0.4">
      <c r="A452" s="5"/>
      <c r="B452" s="5"/>
      <c r="C452" s="5"/>
      <c r="D452" s="6"/>
      <c r="E452" s="5"/>
      <c r="F452" s="5"/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2022-07-05T05:56:46Z</dcterms:modified>
</cp:coreProperties>
</file>