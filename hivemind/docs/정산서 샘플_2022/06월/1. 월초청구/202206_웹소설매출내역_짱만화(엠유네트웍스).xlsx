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6180" yWindow="-96" windowWidth="8100" windowHeight="9636"/>
  </bookViews>
  <sheets>
    <sheet name="정산서" sheetId="3" r:id="rId1"/>
    <sheet name="소설" sheetId="4" r:id="rId2"/>
  </sheets>
  <definedNames>
    <definedName name="_xlnm._FilterDatabase" localSheetId="1" hidden="1">소설!$A$1:$W$1</definedName>
  </definedNames>
  <calcPr calcId="152511"/>
</workbook>
</file>

<file path=xl/calcChain.xml><?xml version="1.0" encoding="utf-8"?>
<calcChain xmlns="http://schemas.openxmlformats.org/spreadsheetml/2006/main">
  <c r="I3" i="4" l="1"/>
  <c r="I4" i="4"/>
  <c r="I5" i="4"/>
  <c r="I2" i="4"/>
  <c r="I6" i="4" l="1"/>
  <c r="H2" i="4" l="1"/>
  <c r="H6" i="4" s="1"/>
  <c r="F7" i="3" s="1"/>
  <c r="H3" i="4"/>
  <c r="H4" i="4"/>
  <c r="E6" i="4"/>
  <c r="F6" i="4"/>
  <c r="G6" i="4"/>
  <c r="D6" i="4"/>
  <c r="H5" i="4"/>
  <c r="G7" i="3" l="1"/>
  <c r="G8" i="3" s="1"/>
  <c r="F13" i="3" s="1"/>
  <c r="G13" i="3" s="1"/>
  <c r="F8" i="3"/>
</calcChain>
</file>

<file path=xl/sharedStrings.xml><?xml version="1.0" encoding="utf-8"?>
<sst xmlns="http://schemas.openxmlformats.org/spreadsheetml/2006/main" count="41" uniqueCount="35">
  <si>
    <t>타이틀</t>
  </si>
  <si>
    <t>엠유네트웍스 만화 정산내역서</t>
    <phoneticPr fontId="2" type="noConversion"/>
  </si>
  <si>
    <t>1. 정산내역서</t>
    <phoneticPr fontId="2" type="noConversion"/>
  </si>
  <si>
    <t>서비스시기</t>
    <phoneticPr fontId="2" type="noConversion"/>
  </si>
  <si>
    <t>정산요율</t>
    <phoneticPr fontId="2" type="noConversion"/>
  </si>
  <si>
    <t>CP매출액</t>
    <phoneticPr fontId="2" type="noConversion"/>
  </si>
  <si>
    <t>CP정산금액</t>
    <phoneticPr fontId="2" type="noConversion"/>
  </si>
  <si>
    <t>TOTAL</t>
    <phoneticPr fontId="2" type="noConversion"/>
  </si>
  <si>
    <t>2. 세금계산서 발행내역</t>
    <phoneticPr fontId="2" type="noConversion"/>
  </si>
  <si>
    <t>월</t>
    <phoneticPr fontId="2" type="noConversion"/>
  </si>
  <si>
    <t>품목</t>
    <phoneticPr fontId="2" type="noConversion"/>
  </si>
  <si>
    <t>구분</t>
    <phoneticPr fontId="2" type="noConversion"/>
  </si>
  <si>
    <t>서비스</t>
    <phoneticPr fontId="2" type="noConversion"/>
  </si>
  <si>
    <t>합계</t>
    <phoneticPr fontId="2" type="noConversion"/>
  </si>
  <si>
    <t>작가</t>
    <phoneticPr fontId="2" type="noConversion"/>
  </si>
  <si>
    <t>총 이용금액</t>
    <phoneticPr fontId="2" type="noConversion"/>
  </si>
  <si>
    <t>합계금액</t>
    <phoneticPr fontId="2" type="noConversion"/>
  </si>
  <si>
    <t>공급가액</t>
    <phoneticPr fontId="2" type="noConversion"/>
  </si>
  <si>
    <t>소설</t>
    <phoneticPr fontId="2" type="noConversion"/>
  </si>
  <si>
    <t>소설</t>
    <phoneticPr fontId="2" type="noConversion"/>
  </si>
  <si>
    <t>스토리위즈</t>
    <phoneticPr fontId="2" type="noConversion"/>
  </si>
  <si>
    <t>서향</t>
  </si>
  <si>
    <t>흑막의 신 (개정판)</t>
  </si>
  <si>
    <t>강산</t>
  </si>
  <si>
    <t>2022년 05월</t>
  </si>
  <si>
    <t>컨텐츠 제공료(05월분)</t>
  </si>
  <si>
    <t>2022년 06월</t>
    <phoneticPr fontId="2" type="noConversion"/>
  </si>
  <si>
    <t>악마 귀환</t>
  </si>
  <si>
    <t>킹의 카나리아</t>
  </si>
  <si>
    <t>그대로부터 시작된 밤</t>
  </si>
  <si>
    <t>종량제_이용건수</t>
    <phoneticPr fontId="2" type="noConversion"/>
  </si>
  <si>
    <t>종량제_이용금액</t>
    <phoneticPr fontId="2" type="noConversion"/>
  </si>
  <si>
    <t>정액제_이용건수</t>
    <phoneticPr fontId="2" type="noConversion"/>
  </si>
  <si>
    <t>정액제_이용금액</t>
    <phoneticPr fontId="2" type="noConversion"/>
  </si>
  <si>
    <t>정산금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</si>
</sst>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81" formatCode="#,##0_ "/>
    <numFmt numFmtId="184" formatCode="#,##0_);[Red]\(#,##0\)"/>
  </numFmts>
  <fonts count="2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나눔고딕"/>
      <family val="3"/>
      <charset val="129"/>
    </font>
    <font>
      <sz val="11"/>
      <name val="나눔고딕"/>
      <family val="3"/>
      <charset val="129"/>
    </font>
    <font>
      <b/>
      <sz val="20"/>
      <name val="나눔고딕"/>
      <family val="3"/>
      <charset val="129"/>
    </font>
    <font>
      <b/>
      <sz val="12"/>
      <name val="나눔고딕"/>
      <family val="3"/>
      <charset val="129"/>
    </font>
    <font>
      <sz val="10"/>
      <name val="나눔고딕"/>
      <family val="3"/>
      <charset val="129"/>
    </font>
    <font>
      <sz val="9"/>
      <color indexed="9"/>
      <name val="나눔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0"/>
      <name val="Helv"/>
      <family val="2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9"/>
      <color theme="1"/>
      <name val="나눔고딕"/>
      <family val="3"/>
      <charset val="129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6">
    <xf numFmtId="0" fontId="0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" fillId="0" borderId="0" applyFont="0"/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0" borderId="1" applyNumberForma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9" fillId="21" borderId="2" applyNumberFormat="0" applyFon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3" borderId="3" applyNumberFormat="0" applyAlignment="0" applyProtection="0">
      <alignment vertical="center"/>
    </xf>
    <xf numFmtId="0" fontId="17" fillId="0" borderId="0"/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9" fillId="0" borderId="0">
      <alignment vertical="center"/>
    </xf>
    <xf numFmtId="0" fontId="1" fillId="0" borderId="0">
      <alignment vertical="center"/>
    </xf>
  </cellStyleXfs>
  <cellXfs count="36">
    <xf numFmtId="0" fontId="0" fillId="0" borderId="0" xfId="0">
      <alignment vertical="center"/>
    </xf>
    <xf numFmtId="0" fontId="3" fillId="0" borderId="0" xfId="45" applyFont="1">
      <alignment vertical="center"/>
    </xf>
    <xf numFmtId="0" fontId="4" fillId="0" borderId="0" xfId="45" applyFont="1">
      <alignment vertical="center"/>
    </xf>
    <xf numFmtId="0" fontId="6" fillId="0" borderId="0" xfId="45" applyFont="1">
      <alignment vertical="center"/>
    </xf>
    <xf numFmtId="0" fontId="7" fillId="24" borderId="10" xfId="45" applyFont="1" applyFill="1" applyBorder="1" applyAlignment="1">
      <alignment horizontal="center" vertical="center"/>
    </xf>
    <xf numFmtId="0" fontId="7" fillId="25" borderId="10" xfId="45" applyFont="1" applyFill="1" applyBorder="1" applyAlignment="1">
      <alignment horizontal="center" vertical="center"/>
    </xf>
    <xf numFmtId="0" fontId="7" fillId="0" borderId="10" xfId="45" applyFont="1" applyBorder="1" applyAlignment="1">
      <alignment horizontal="center" vertical="center"/>
    </xf>
    <xf numFmtId="9" fontId="7" fillId="0" borderId="10" xfId="45" applyNumberFormat="1" applyFont="1" applyBorder="1" applyAlignment="1">
      <alignment horizontal="center" vertical="center"/>
    </xf>
    <xf numFmtId="181" fontId="7" fillId="0" borderId="10" xfId="45" applyNumberFormat="1" applyFont="1" applyBorder="1" applyAlignment="1">
      <alignment horizontal="right" vertical="center"/>
    </xf>
    <xf numFmtId="184" fontId="8" fillId="26" borderId="10" xfId="0" applyNumberFormat="1" applyFont="1" applyFill="1" applyBorder="1" applyAlignment="1">
      <alignment horizontal="center" vertical="center"/>
    </xf>
    <xf numFmtId="18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3" fillId="27" borderId="10" xfId="0" applyFont="1" applyFill="1" applyBorder="1" applyAlignment="1">
      <alignment vertical="center"/>
    </xf>
    <xf numFmtId="0" fontId="3" fillId="27" borderId="10" xfId="0" applyFont="1" applyFill="1" applyBorder="1" applyAlignment="1">
      <alignment horizontal="center" vertical="center"/>
    </xf>
    <xf numFmtId="184" fontId="3" fillId="27" borderId="10" xfId="0" applyNumberFormat="1" applyFont="1" applyFill="1" applyBorder="1" applyAlignment="1">
      <alignment horizontal="right" vertical="center"/>
    </xf>
    <xf numFmtId="184" fontId="3" fillId="0" borderId="10" xfId="0" applyNumberFormat="1" applyFont="1" applyBorder="1" applyAlignment="1">
      <alignment vertical="center"/>
    </xf>
    <xf numFmtId="184" fontId="3" fillId="28" borderId="10" xfId="0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181" fontId="7" fillId="0" borderId="10" xfId="45" applyNumberFormat="1" applyFont="1" applyBorder="1" applyAlignment="1">
      <alignment vertical="center"/>
    </xf>
    <xf numFmtId="0" fontId="7" fillId="28" borderId="10" xfId="45" applyFont="1" applyFill="1" applyBorder="1" applyAlignment="1">
      <alignment horizontal="center" vertical="center"/>
    </xf>
    <xf numFmtId="0" fontId="3" fillId="27" borderId="11" xfId="0" applyFont="1" applyFill="1" applyBorder="1" applyAlignment="1">
      <alignment vertical="center"/>
    </xf>
    <xf numFmtId="184" fontId="8" fillId="26" borderId="19" xfId="0" applyNumberFormat="1" applyFont="1" applyFill="1" applyBorder="1" applyAlignment="1">
      <alignment horizontal="center" vertical="center"/>
    </xf>
    <xf numFmtId="0" fontId="8" fillId="26" borderId="19" xfId="0" applyFont="1" applyFill="1" applyBorder="1" applyAlignment="1">
      <alignment horizontal="center" vertical="center"/>
    </xf>
    <xf numFmtId="0" fontId="7" fillId="0" borderId="10" xfId="45" applyFont="1" applyBorder="1" applyAlignment="1">
      <alignment horizontal="center" vertical="center"/>
    </xf>
    <xf numFmtId="0" fontId="7" fillId="28" borderId="10" xfId="45" applyFont="1" applyFill="1" applyBorder="1" applyAlignment="1">
      <alignment horizontal="center" vertical="center"/>
    </xf>
    <xf numFmtId="0" fontId="5" fillId="0" borderId="12" xfId="45" applyFont="1" applyBorder="1" applyAlignment="1">
      <alignment horizontal="center" vertical="center"/>
    </xf>
    <xf numFmtId="0" fontId="5" fillId="0" borderId="13" xfId="45" applyFont="1" applyBorder="1" applyAlignment="1">
      <alignment horizontal="center" vertical="center"/>
    </xf>
    <xf numFmtId="0" fontId="5" fillId="0" borderId="14" xfId="45" applyFont="1" applyBorder="1" applyAlignment="1">
      <alignment horizontal="center" vertical="center"/>
    </xf>
    <xf numFmtId="0" fontId="5" fillId="0" borderId="15" xfId="45" applyFont="1" applyBorder="1" applyAlignment="1">
      <alignment horizontal="center" vertical="center"/>
    </xf>
    <xf numFmtId="0" fontId="7" fillId="24" borderId="10" xfId="45" applyFont="1" applyFill="1" applyBorder="1" applyAlignment="1">
      <alignment horizontal="center" vertical="center"/>
    </xf>
    <xf numFmtId="0" fontId="7" fillId="0" borderId="16" xfId="45" applyFont="1" applyBorder="1" applyAlignment="1">
      <alignment horizontal="center" vertical="center"/>
    </xf>
    <xf numFmtId="0" fontId="7" fillId="0" borderId="17" xfId="45" applyFont="1" applyBorder="1" applyAlignment="1">
      <alignment horizontal="center" vertical="center"/>
    </xf>
    <xf numFmtId="0" fontId="7" fillId="0" borderId="18" xfId="45" applyFont="1" applyBorder="1" applyAlignment="1">
      <alignment horizontal="center" vertical="center"/>
    </xf>
    <xf numFmtId="0" fontId="3" fillId="28" borderId="10" xfId="0" applyFont="1" applyFill="1" applyBorder="1" applyAlignment="1">
      <alignment horizontal="center" vertical="center"/>
    </xf>
    <xf numFmtId="184" fontId="27" fillId="29" borderId="19" xfId="0" applyNumberFormat="1" applyFont="1" applyFill="1" applyBorder="1" applyAlignment="1">
      <alignment horizontal="center" vertical="center"/>
    </xf>
  </cellXfs>
  <cellStyles count="46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Default" xfId="19"/>
    <cellStyle name="강조색1" xfId="20" builtinId="29" customBuiltin="1"/>
    <cellStyle name="강조색2" xfId="21" builtinId="33" customBuiltin="1"/>
    <cellStyle name="강조색3" xfId="22" builtinId="37" customBuiltin="1"/>
    <cellStyle name="강조색4" xfId="23" builtinId="41" customBuiltin="1"/>
    <cellStyle name="강조색5" xfId="24" builtinId="45" customBuiltin="1"/>
    <cellStyle name="강조색6" xfId="25" builtinId="49" customBuiltin="1"/>
    <cellStyle name="경고문" xfId="26" builtinId="11" customBuiltin="1"/>
    <cellStyle name="계산" xfId="27" builtinId="22" customBuiltin="1"/>
    <cellStyle name="나쁨" xfId="28" builtinId="27" customBuiltin="1"/>
    <cellStyle name="메모" xfId="29" builtinId="10" customBuiltin="1"/>
    <cellStyle name="보통" xfId="30" builtinId="28" customBuiltin="1"/>
    <cellStyle name="설명 텍스트" xfId="31" builtinId="53" customBuiltin="1"/>
    <cellStyle name="셀 확인" xfId="32" builtinId="23" customBuiltin="1"/>
    <cellStyle name="스타일 1" xfId="33"/>
    <cellStyle name="연결된 셀" xfId="34" builtinId="24" customBuiltin="1"/>
    <cellStyle name="요약" xfId="35" builtinId="25" customBuiltin="1"/>
    <cellStyle name="입력" xfId="36" builtinId="20" customBuiltin="1"/>
    <cellStyle name="제목" xfId="37" builtinId="15" customBuiltin="1"/>
    <cellStyle name="제목 1" xfId="38" builtinId="16" customBuiltin="1"/>
    <cellStyle name="제목 2" xfId="39" builtinId="17" customBuiltin="1"/>
    <cellStyle name="제목 3" xfId="40" builtinId="18" customBuiltin="1"/>
    <cellStyle name="제목 4" xfId="41" builtinId="19" customBuiltin="1"/>
    <cellStyle name="좋음" xfId="42" builtinId="26" customBuiltin="1"/>
    <cellStyle name="출력" xfId="43" builtinId="21" customBuiltin="1"/>
    <cellStyle name="표준" xfId="0" builtinId="0"/>
    <cellStyle name="표준 2" xfId="44"/>
    <cellStyle name="표준_9월_기세정보통신" xfId="4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tabSelected="1" zoomScaleNormal="100" workbookViewId="0">
      <selection activeCell="G14" sqref="G14"/>
    </sheetView>
  </sheetViews>
  <sheetFormatPr defaultColWidth="8.8984375" defaultRowHeight="22.5" customHeight="1"/>
  <cols>
    <col min="1" max="1" width="11.09765625" style="1" customWidth="1"/>
    <col min="2" max="4" width="9.19921875" style="1" customWidth="1"/>
    <col min="5" max="7" width="12.19921875" style="1" customWidth="1"/>
    <col min="8" max="8" width="12.796875" style="2" customWidth="1"/>
    <col min="9" max="16384" width="8.8984375" style="2"/>
  </cols>
  <sheetData>
    <row r="1" spans="1:7" ht="22.5" customHeight="1" thickBot="1"/>
    <row r="2" spans="1:7" ht="37.5" customHeight="1" thickBot="1">
      <c r="A2" s="26" t="s">
        <v>1</v>
      </c>
      <c r="B2" s="27"/>
      <c r="C2" s="28"/>
      <c r="D2" s="28"/>
      <c r="E2" s="28"/>
      <c r="F2" s="28"/>
      <c r="G2" s="29"/>
    </row>
    <row r="4" spans="1:7" s="1" customFormat="1" ht="22.5" customHeight="1">
      <c r="A4" s="3" t="s">
        <v>2</v>
      </c>
      <c r="B4" s="3"/>
    </row>
    <row r="6" spans="1:7" ht="22.5" customHeight="1">
      <c r="A6" s="4" t="s">
        <v>3</v>
      </c>
      <c r="B6" s="4" t="s">
        <v>11</v>
      </c>
      <c r="C6" s="30" t="s">
        <v>12</v>
      </c>
      <c r="D6" s="30"/>
      <c r="E6" s="4" t="s">
        <v>4</v>
      </c>
      <c r="F6" s="5" t="s">
        <v>5</v>
      </c>
      <c r="G6" s="5" t="s">
        <v>6</v>
      </c>
    </row>
    <row r="7" spans="1:7" ht="22.5" customHeight="1">
      <c r="A7" s="6" t="s">
        <v>24</v>
      </c>
      <c r="B7" s="6" t="s">
        <v>20</v>
      </c>
      <c r="C7" s="24" t="s">
        <v>19</v>
      </c>
      <c r="D7" s="24"/>
      <c r="E7" s="7">
        <v>0.7</v>
      </c>
      <c r="F7" s="8">
        <f>소설!H6</f>
        <v>15400</v>
      </c>
      <c r="G7" s="8">
        <f>F7*E7</f>
        <v>10780</v>
      </c>
    </row>
    <row r="8" spans="1:7" ht="22.5" customHeight="1">
      <c r="A8" s="31" t="s">
        <v>7</v>
      </c>
      <c r="B8" s="32"/>
      <c r="C8" s="32"/>
      <c r="D8" s="32"/>
      <c r="E8" s="33"/>
      <c r="F8" s="8">
        <f>SUM(F7)</f>
        <v>15400</v>
      </c>
      <c r="G8" s="8">
        <f>SUM(G7)</f>
        <v>10780</v>
      </c>
    </row>
    <row r="10" spans="1:7" ht="22.5" customHeight="1">
      <c r="A10" s="3" t="s">
        <v>8</v>
      </c>
    </row>
    <row r="12" spans="1:7" ht="22.5" customHeight="1">
      <c r="A12" s="25" t="s">
        <v>9</v>
      </c>
      <c r="B12" s="25"/>
      <c r="C12" s="25" t="s">
        <v>10</v>
      </c>
      <c r="D12" s="25"/>
      <c r="E12" s="25"/>
      <c r="F12" s="20" t="s">
        <v>17</v>
      </c>
      <c r="G12" s="20" t="s">
        <v>16</v>
      </c>
    </row>
    <row r="13" spans="1:7" ht="22.5" customHeight="1">
      <c r="A13" s="24" t="s">
        <v>26</v>
      </c>
      <c r="B13" s="24"/>
      <c r="C13" s="24" t="s">
        <v>25</v>
      </c>
      <c r="D13" s="24"/>
      <c r="E13" s="24"/>
      <c r="F13" s="19">
        <f>G8</f>
        <v>10780</v>
      </c>
      <c r="G13" s="19">
        <f>F13</f>
        <v>10780</v>
      </c>
    </row>
  </sheetData>
  <mergeCells count="8">
    <mergeCell ref="A13:B13"/>
    <mergeCell ref="A12:B12"/>
    <mergeCell ref="C13:E13"/>
    <mergeCell ref="C12:E12"/>
    <mergeCell ref="A2:G2"/>
    <mergeCell ref="C6:D6"/>
    <mergeCell ref="A8:E8"/>
    <mergeCell ref="C7:D7"/>
  </mergeCells>
  <phoneticPr fontId="2" type="noConversion"/>
  <pageMargins left="0.91" right="0.27" top="1" bottom="0.72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Views>
    <sheetView workbookViewId="0">
      <pane ySplit="1" topLeftCell="A2" activePane="bottomLeft" state="frozen"/>
      <selection pane="bottomLeft" activeCell="K8" sqref="K8"/>
    </sheetView>
  </sheetViews>
  <sheetFormatPr defaultColWidth="8.8984375" defaultRowHeight="13.5" customHeight="1"/>
  <cols>
    <col min="1" max="1" width="16.59765625" style="11" customWidth="1"/>
    <col min="2" max="2" width="14" style="11" customWidth="1"/>
    <col min="3" max="3" width="12.8984375" style="18" customWidth="1"/>
    <col min="4" max="8" width="10" style="10" customWidth="1"/>
    <col min="9" max="9" width="8.8984375" style="11"/>
    <col min="10" max="23" width="8.8984375" style="12"/>
    <col min="24" max="16384" width="8.8984375" style="11"/>
  </cols>
  <sheetData>
    <row r="1" spans="1:9" ht="13.5" customHeight="1">
      <c r="A1" s="23" t="s">
        <v>0</v>
      </c>
      <c r="B1" s="23" t="s">
        <v>14</v>
      </c>
      <c r="C1" s="23" t="s">
        <v>11</v>
      </c>
      <c r="D1" s="9" t="s">
        <v>30</v>
      </c>
      <c r="E1" s="9" t="s">
        <v>31</v>
      </c>
      <c r="F1" s="9" t="s">
        <v>32</v>
      </c>
      <c r="G1" s="9" t="s">
        <v>33</v>
      </c>
      <c r="H1" s="22" t="s">
        <v>15</v>
      </c>
      <c r="I1" s="35" t="s">
        <v>34</v>
      </c>
    </row>
    <row r="2" spans="1:9" ht="13.5" customHeight="1">
      <c r="A2" s="21" t="s">
        <v>22</v>
      </c>
      <c r="B2" s="21" t="s">
        <v>23</v>
      </c>
      <c r="C2" s="14" t="s">
        <v>18</v>
      </c>
      <c r="D2" s="15">
        <v>2</v>
      </c>
      <c r="E2" s="16">
        <v>4000</v>
      </c>
      <c r="F2" s="15">
        <v>0</v>
      </c>
      <c r="G2" s="16">
        <v>0</v>
      </c>
      <c r="H2" s="16">
        <f>E2+G2</f>
        <v>4000</v>
      </c>
      <c r="I2" s="16">
        <f>H2*70%</f>
        <v>2800</v>
      </c>
    </row>
    <row r="3" spans="1:9" ht="13.5" customHeight="1">
      <c r="A3" s="21" t="s">
        <v>27</v>
      </c>
      <c r="B3" s="21" t="s">
        <v>21</v>
      </c>
      <c r="C3" s="14" t="s">
        <v>18</v>
      </c>
      <c r="D3" s="15">
        <v>1</v>
      </c>
      <c r="E3" s="16">
        <v>4000</v>
      </c>
      <c r="F3" s="15">
        <v>0</v>
      </c>
      <c r="G3" s="16">
        <v>0</v>
      </c>
      <c r="H3" s="16">
        <f>E3+G3</f>
        <v>4000</v>
      </c>
      <c r="I3" s="16">
        <f t="shared" ref="I3:I5" si="0">H3*70%</f>
        <v>2800</v>
      </c>
    </row>
    <row r="4" spans="1:9" ht="13.5" customHeight="1">
      <c r="A4" s="21" t="s">
        <v>28</v>
      </c>
      <c r="B4" s="21" t="s">
        <v>21</v>
      </c>
      <c r="C4" s="14" t="s">
        <v>18</v>
      </c>
      <c r="D4" s="15">
        <v>1</v>
      </c>
      <c r="E4" s="16">
        <v>3700</v>
      </c>
      <c r="F4" s="15">
        <v>0</v>
      </c>
      <c r="G4" s="16">
        <v>0</v>
      </c>
      <c r="H4" s="16">
        <f>E4+G4</f>
        <v>3700</v>
      </c>
      <c r="I4" s="16">
        <f t="shared" si="0"/>
        <v>2590</v>
      </c>
    </row>
    <row r="5" spans="1:9" ht="13.5" customHeight="1">
      <c r="A5" s="13" t="s">
        <v>29</v>
      </c>
      <c r="B5" s="13" t="s">
        <v>21</v>
      </c>
      <c r="C5" s="14" t="s">
        <v>18</v>
      </c>
      <c r="D5" s="15">
        <v>1</v>
      </c>
      <c r="E5" s="16">
        <v>3700</v>
      </c>
      <c r="F5" s="15">
        <v>0</v>
      </c>
      <c r="G5" s="16">
        <v>0</v>
      </c>
      <c r="H5" s="16">
        <f>E5+G5</f>
        <v>3700</v>
      </c>
      <c r="I5" s="16">
        <f t="shared" si="0"/>
        <v>2590</v>
      </c>
    </row>
    <row r="6" spans="1:9" ht="13.5" customHeight="1">
      <c r="A6" s="34" t="s">
        <v>13</v>
      </c>
      <c r="B6" s="34"/>
      <c r="C6" s="34"/>
      <c r="D6" s="17">
        <f>SUM(D2:D5)</f>
        <v>5</v>
      </c>
      <c r="E6" s="17">
        <f>SUM(E2:E5)</f>
        <v>15400</v>
      </c>
      <c r="F6" s="17">
        <f>SUM(F2:F5)</f>
        <v>0</v>
      </c>
      <c r="G6" s="17">
        <f>SUM(G2:G5)</f>
        <v>0</v>
      </c>
      <c r="H6" s="17">
        <f>SUM(H2:H5)</f>
        <v>15400</v>
      </c>
      <c r="I6" s="17">
        <f>SUM(I2:I5)</f>
        <v>10780</v>
      </c>
    </row>
  </sheetData>
  <mergeCells count="1">
    <mergeCell ref="A6:C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정산서</vt:lpstr>
      <vt:lpstr>소설</vt:lpstr>
    </vt:vector>
  </TitlesOfParts>
  <Company>(주)엠피언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</dc:creator>
  <cp:lastModifiedBy>storywiz</cp:lastModifiedBy>
  <cp:lastPrinted>2012-09-24T00:55:57Z</cp:lastPrinted>
  <dcterms:created xsi:type="dcterms:W3CDTF">2005-08-07T04:24:10Z</dcterms:created>
  <dcterms:modified xsi:type="dcterms:W3CDTF">2022-07-07T02:29:49Z</dcterms:modified>
</cp:coreProperties>
</file>