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작가정산서1차 취합\은미님\"/>
    </mc:Choice>
  </mc:AlternateContent>
  <bookViews>
    <workbookView xWindow="0" yWindow="0" windowWidth="26640" windowHeight="12192"/>
  </bookViews>
  <sheets>
    <sheet name="합계04" sheetId="1" r:id="rId1"/>
    <sheet name="MG차감내역04" sheetId="20" r:id="rId2"/>
    <sheet name="카카오04_청빙" sheetId="21" r:id="rId3"/>
    <sheet name="구글북스04" sheetId="2" r:id="rId4"/>
    <sheet name="네이버APP04" sheetId="3" r:id="rId5"/>
    <sheet name="네이버PC04" sheetId="4" r:id="rId6"/>
    <sheet name="리디북스04" sheetId="5" r:id="rId7"/>
    <sheet name="무툰04" sheetId="6" r:id="rId8"/>
    <sheet name="문피아04" sheetId="7" r:id="rId9"/>
    <sheet name="버프툰04" sheetId="8" r:id="rId10"/>
    <sheet name="북큐브04" sheetId="9" r:id="rId11"/>
    <sheet name="예스이십사04" sheetId="10" r:id="rId12"/>
    <sheet name="원스토어04" sheetId="11" r:id="rId13"/>
    <sheet name="조아라04" sheetId="12" r:id="rId14"/>
    <sheet name="톡소다04" sheetId="13" r:id="rId15"/>
    <sheet name="알라딘04" sheetId="22" r:id="rId16"/>
    <sheet name="블라이스04" sheetId="23" r:id="rId17"/>
    <sheet name="네이버APP04_장유진" sheetId="14" r:id="rId18"/>
    <sheet name="리디북스04_장유진" sheetId="15" r:id="rId19"/>
    <sheet name="무툰04_장유진" sheetId="16" r:id="rId20"/>
    <sheet name="문피아04_장유진" sheetId="17" r:id="rId21"/>
    <sheet name="미스터블루04_장유진" sheetId="18" r:id="rId22"/>
    <sheet name="카카오04_장유진" sheetId="19" r:id="rId23"/>
  </sheets>
  <externalReferences>
    <externalReference r:id="rId24"/>
    <externalReference r:id="rId25"/>
    <externalReference r:id="rId26"/>
  </externalReferences>
  <definedNames>
    <definedName name="_xlnm._FilterDatabase" localSheetId="1" hidden="1">#REF!</definedName>
    <definedName name="_xlnm._FilterDatabase" hidden="1">#REF!</definedName>
    <definedName name="AFFMST">[1]AFFMST!$A$1:$E$42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 localSheetId="1">'[2]コイン報告書_foreign CP'!#REF!</definedName>
    <definedName name="direct_item">'[2]コイン報告書_foreign CP'!#REF!</definedName>
    <definedName name="direct_items" localSheetId="1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 localSheetId="1">'[2]コイン報告書_foreign CP'!#REF!</definedName>
    <definedName name="direct_report_ym">'[2]コイン報告書_foreign CP'!#REF!</definedName>
    <definedName name="_xlnm.Extract" localSheetId="3">구글북스04!$A$1:$V$1</definedName>
    <definedName name="_xlnm.Extract" localSheetId="4">네이버APP04!$A$1:$AW$1</definedName>
    <definedName name="_xlnm.Extract" localSheetId="17">네이버APP04_장유진!$A$1:$AW$1</definedName>
    <definedName name="_xlnm.Extract" localSheetId="5">네이버PC04!$A$1:$AW$1</definedName>
    <definedName name="_xlnm.Extract" localSheetId="6">리디북스04!$A$1:$AW$1</definedName>
    <definedName name="_xlnm.Extract" localSheetId="18">리디북스04_장유진!$A$1:$AW$1</definedName>
    <definedName name="_xlnm.Extract" localSheetId="7">무툰04!$A$1:$O$1</definedName>
    <definedName name="_xlnm.Extract" localSheetId="19">무툰04_장유진!$A$1:$O$1</definedName>
    <definedName name="_xlnm.Extract" localSheetId="8">문피아04!$A$1:$Q$1</definedName>
    <definedName name="_xlnm.Extract" localSheetId="20">문피아04_장유진!$A$1:$Q$1</definedName>
    <definedName name="_xlnm.Extract" localSheetId="21">미스터블루04_장유진!$A$1:$AJ$1</definedName>
    <definedName name="_xlnm.Extract" localSheetId="9">버프툰04!$A$1:$V$1</definedName>
    <definedName name="_xlnm.Extract" localSheetId="10">북큐브04!$A$1:$M$1</definedName>
    <definedName name="_xlnm.Extract" localSheetId="16">블라이스04!$A$1:$U$1</definedName>
    <definedName name="_xlnm.Extract" localSheetId="15">알라딘04!$A$1:$L$1</definedName>
    <definedName name="_xlnm.Extract" localSheetId="11">예스이십사04!$A$1:$T$1</definedName>
    <definedName name="_xlnm.Extract" localSheetId="12">원스토어04!$A$1:$AD$1</definedName>
    <definedName name="_xlnm.Extract" localSheetId="13">조아라04!$A$1:$I$1</definedName>
    <definedName name="_xlnm.Extract" localSheetId="22">카카오04_장유진!$A$1:$AP$1</definedName>
    <definedName name="_xlnm.Extract" localSheetId="2">카카오04_청빙!$A$1:$AQ$1</definedName>
    <definedName name="_xlnm.Extract" localSheetId="14">톡소다04!$A$1:$S$1</definedName>
    <definedName name="withholdingtaxrate">'[2]コイン報告書_foreign CP'!$W$36</definedName>
    <definedName name="ws_items" localSheetId="1">'[2]コイン報告書_foreign CP'!#REF!</definedName>
    <definedName name="ws_items">'[2]コイン報告書_foreign CP'!#REF!</definedName>
    <definedName name="ws_report_rs_ratio" localSheetId="1">'[2]コイン報告書_foreign CP'!#REF!</definedName>
    <definedName name="ws_report_rs_ratio">'[2]コイン報告書_foreign CP'!#REF!</definedName>
    <definedName name="ws_report_rs_ratio1" localSheetId="1">'[2]コイン報告書_foreign CP'!#REF!</definedName>
    <definedName name="ws_report_rs_ratio1">'[2]コイン報告書_foreign CP'!#REF!</definedName>
    <definedName name="ws_report_rs_ratio2" localSheetId="1">'[2]コイン報告書_foreign CP'!#REF!</definedName>
    <definedName name="ws_report_rs_ratio2">'[2]コイン報告書_foreign CP'!#REF!</definedName>
    <definedName name="ws_report_ym" localSheetId="1">'[2]コイン報告書_foreign CP'!#REF!</definedName>
    <definedName name="ws_report_ym">'[2]コイン報告書_foreign CP'!#REF!</definedName>
    <definedName name="도서출판태랑" hidden="1">#REF!</definedName>
    <definedName name="도서출판탤ㅇ" hidden="1">#REF!</definedName>
    <definedName name="ㄹㄹ" localSheetId="1">'[2]コイン報告書_foreign CP'!#REF!</definedName>
    <definedName name="ㄹㄹ">'[2]コイン報告書_foreign CP'!#REF!</definedName>
    <definedName name="ㅇ" localSheetId="1">'[2]コイン報告書_foreign CP'!#REF!</definedName>
    <definedName name="ㅇ">'[2]コイン報告書_foreign CP'!#REF!</definedName>
    <definedName name="ㅇㅇ" localSheetId="1">'[2]コイン報告書_foreign CP'!#REF!</definedName>
    <definedName name="ㅇㅇ">'[2]コイン報告書_foreign CP'!#REF!</definedName>
    <definedName name="ㅇㅇㅇㅇㅇㅇㅇ">'[2]コイン報告書_foreign CP'!#REF!</definedName>
    <definedName name="타이틀명">[3]hidden!$A$2:$A$120</definedName>
    <definedName name="테스트">'[2]コイン報告書_foreign CP'!#REF!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2" i="21" l="1"/>
  <c r="D41" i="21"/>
  <c r="D27" i="1"/>
  <c r="D26" i="1"/>
  <c r="D23" i="1"/>
  <c r="C23" i="1"/>
  <c r="D17" i="20" l="1"/>
  <c r="D18" i="20" l="1"/>
  <c r="V5" i="23" l="1"/>
  <c r="D5" i="1" l="1"/>
  <c r="D3" i="1"/>
  <c r="D17" i="1"/>
  <c r="C16" i="1"/>
  <c r="D16" i="1" l="1"/>
  <c r="D11" i="1"/>
  <c r="G3" i="22" l="1"/>
  <c r="C15" i="1" s="1"/>
  <c r="D15" i="1" s="1"/>
  <c r="B48" i="21" l="1"/>
  <c r="D37" i="21"/>
  <c r="D38" i="21" s="1"/>
  <c r="D39" i="21" s="1"/>
  <c r="D40" i="21" s="1"/>
  <c r="D43" i="21" s="1"/>
  <c r="D44" i="21" s="1"/>
  <c r="D45" i="21" s="1"/>
  <c r="D46" i="21" s="1"/>
  <c r="AP14" i="21"/>
  <c r="C46" i="21" s="1"/>
  <c r="C48" i="21" s="1"/>
  <c r="D5" i="20" l="1"/>
  <c r="D8" i="20" s="1"/>
  <c r="D9" i="20" s="1"/>
  <c r="D10" i="20" s="1"/>
  <c r="D11" i="20" s="1"/>
  <c r="D12" i="20" s="1"/>
  <c r="D13" i="20" s="1"/>
  <c r="D14" i="20" s="1"/>
  <c r="D15" i="20" s="1"/>
  <c r="D4" i="1"/>
  <c r="D6" i="1"/>
  <c r="D8" i="1"/>
  <c r="D9" i="1"/>
  <c r="D10" i="1"/>
  <c r="D12" i="1"/>
  <c r="D13" i="1"/>
  <c r="D14" i="1"/>
  <c r="C7" i="1"/>
  <c r="O5" i="6"/>
  <c r="C22" i="1"/>
  <c r="D22" i="1" s="1"/>
  <c r="C21" i="1"/>
  <c r="D21" i="1" s="1"/>
  <c r="C20" i="1"/>
  <c r="D20" i="1" s="1"/>
  <c r="C19" i="1"/>
  <c r="D19" i="1" s="1"/>
  <c r="C18" i="1"/>
  <c r="D18" i="1" s="1"/>
  <c r="C17" i="1"/>
  <c r="AP5" i="19"/>
  <c r="AJ4" i="18"/>
  <c r="M4" i="17"/>
  <c r="O5" i="16"/>
  <c r="AP38" i="15"/>
  <c r="AW6" i="14"/>
  <c r="D7" i="1" l="1"/>
</calcChain>
</file>

<file path=xl/comments1.xml><?xml version="1.0" encoding="utf-8"?>
<comments xmlns="http://schemas.openxmlformats.org/spreadsheetml/2006/main">
  <authors>
    <author>jihui</author>
  </authors>
  <commentList>
    <comment ref="C43" authorId="0" shapeId="0">
      <text>
        <r>
          <rPr>
            <b/>
            <sz val="9"/>
            <color indexed="81"/>
            <rFont val="Tahoma"/>
            <family val="2"/>
          </rPr>
          <t>21.12 2000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분할인식</t>
        </r>
        <r>
          <rPr>
            <b/>
            <sz val="9"/>
            <color indexed="81"/>
            <rFont val="Tahoma"/>
            <family val="2"/>
          </rPr>
          <t>/ 186,332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분할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<sst xmlns="http://schemas.openxmlformats.org/spreadsheetml/2006/main" count="5996" uniqueCount="1350">
  <si>
    <t>작가 정산액</t>
  </si>
  <si>
    <t>Earnings Date</t>
  </si>
  <si>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</si>
  <si>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</si>
  <si>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</si>
  <si>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</si>
  <si>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</si>
  <si>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</si>
  <si>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</si>
  <si>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</si>
  <si>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</si>
  <si>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</si>
  <si>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</si>
  <si>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</si>
  <si>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</si>
  <si>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</si>
  <si>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</si>
  <si>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</si>
  <si>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</si>
  <si>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</si>
  <si>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Earnings Currency</t>
  </si>
  <si>
    <t>Earnings Amount</t>
  </si>
  <si>
    <t>출판사</t>
    <phoneticPr fontId="2" type="noConversion"/>
  </si>
  <si>
    <t>22. 4. 30.</t>
  </si>
  <si>
    <t>22. 4. 8.</t>
  </si>
  <si>
    <t>ID:3197-4753-5954-10105</t>
  </si>
  <si>
    <t>Single Purchase</t>
  </si>
  <si>
    <t>Sale</t>
  </si>
  <si>
    <t>None</t>
  </si>
  <si>
    <t>스토리위즈</t>
  </si>
  <si>
    <t>라스트 서바이버 : 진화로 살아남아라! 2권</t>
  </si>
  <si>
    <t>청빙</t>
  </si>
  <si>
    <t>KRW</t>
  </si>
  <si>
    <t>USD</t>
  </si>
  <si>
    <t>US</t>
  </si>
  <si>
    <t>스토리위즈</t>
    <phoneticPr fontId="2" type="noConversion"/>
  </si>
  <si>
    <t>라스트 서바이버 : 진화로 살아남아라! 3권</t>
  </si>
  <si>
    <t>라스트 서바이버 : 진화로 살아남아라! 4권</t>
  </si>
  <si>
    <t>22. 4. 11.</t>
  </si>
  <si>
    <t>ID:3143-6459-0754-52287</t>
  </si>
  <si>
    <t>라스트 서바이버 : 진화로 살아남아라! 5권</t>
  </si>
  <si>
    <t>라스트 서바이버 : 진화로 살아남아라! 6권</t>
  </si>
  <si>
    <t>라스트 서바이버 : 진화로 살아남아라! 7권</t>
  </si>
  <si>
    <t>22. 4. 20.</t>
  </si>
  <si>
    <t>ID:3126-6365-7008-62621</t>
  </si>
  <si>
    <t>삼국지 호접몽전 1부 13권</t>
  </si>
  <si>
    <t>AUD</t>
  </si>
  <si>
    <t>AU</t>
  </si>
  <si>
    <t>22. 4. 21.</t>
  </si>
  <si>
    <t>ID:3178-4407-3113-46557</t>
  </si>
  <si>
    <t>삼국지 호접몽전 2부 5권</t>
  </si>
  <si>
    <t>ID:3132-3069-4122-76281</t>
  </si>
  <si>
    <t>삼국지 호접몽전 1부 14권</t>
  </si>
  <si>
    <t>스토리위즈</t>
    <phoneticPr fontId="2" type="noConversion"/>
  </si>
  <si>
    <t>ID:3107-8220-7095-32050</t>
  </si>
  <si>
    <t>삼국지 호접몽전 2부 1권</t>
  </si>
  <si>
    <t>22. 4. 22.</t>
  </si>
  <si>
    <t>ID:3144-3908-4148-34104</t>
  </si>
  <si>
    <t>삼국지 호접몽전 2부 2권</t>
  </si>
  <si>
    <t>스토리위즈</t>
    <phoneticPr fontId="2" type="noConversion"/>
  </si>
  <si>
    <t>ID:3191-3815-0438-23567</t>
  </si>
  <si>
    <t>삼국지 호접몽전 2부 3권</t>
  </si>
  <si>
    <t>ID:3190-3123-1090-60716</t>
  </si>
  <si>
    <t>삼국지 호접몽전 2부 4권</t>
  </si>
  <si>
    <t>22. 4. 24.</t>
  </si>
  <si>
    <t>ID:3198-2575-5034-85085</t>
  </si>
  <si>
    <t>삼국지 호접몽전 2부 6권</t>
  </si>
  <si>
    <t>ID:3119-4292-1094-42119</t>
  </si>
  <si>
    <t>삼국지 호접몽전 2부 7권</t>
  </si>
  <si>
    <t>ID:3154-2551-5656-26079</t>
  </si>
  <si>
    <t>삼국지 호접몽전 2부 8권</t>
  </si>
  <si>
    <t>ID:3136-9069-6097-30807</t>
  </si>
  <si>
    <t>삼국지 호접몽전 2부 9권</t>
  </si>
  <si>
    <t>스토리위즈</t>
    <phoneticPr fontId="2" type="noConversion"/>
  </si>
  <si>
    <t>22. 4. 25.</t>
  </si>
  <si>
    <t>ID:3117-9791-9261-87539</t>
  </si>
  <si>
    <t>삼국지 호접몽전 2부 10권</t>
  </si>
  <si>
    <t>ID:3102-1014-0952-02666</t>
  </si>
  <si>
    <t>삼국지 호접몽전 3부 1권</t>
  </si>
  <si>
    <t>22. 4. 26.</t>
  </si>
  <si>
    <t>ID:3196-1968-5562-34468</t>
  </si>
  <si>
    <t>삼국지 호접몽전 3부 2권</t>
  </si>
  <si>
    <t>구글북스</t>
  </si>
  <si>
    <t>구분</t>
    <phoneticPr fontId="2" type="noConversion"/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</si>
  <si>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</si>
  <si>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</si>
  <si>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</si>
  <si>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</si>
  <si>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</si>
  <si>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</si>
  <si>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</si>
  <si>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</si>
  <si>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</si>
  <si>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</si>
  <si>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</si>
  <si>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</si>
  <si>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</si>
  <si>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</si>
  <si>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</si>
  <si>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</si>
  <si>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</si>
  <si>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</si>
  <si>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</si>
  <si>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</si>
  <si>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</si>
  <si>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" type="noConversion"/>
  </si>
  <si>
    <t>SW매출</t>
    <phoneticPr fontId="2" type="noConversion"/>
  </si>
  <si>
    <t>시리즈(APP)</t>
  </si>
  <si>
    <t>문답무용 - 삼국지 유비의 모사가 되었다</t>
  </si>
  <si>
    <t>스토리위즈_1</t>
  </si>
  <si>
    <t>전체이용가</t>
  </si>
  <si>
    <t>2021.02.24</t>
  </si>
  <si>
    <t>삼국지 호접몽전 [단행본]</t>
  </si>
  <si>
    <t>2020.05.05</t>
  </si>
  <si>
    <t>라스트 서바이버 : 진화로 살아남아라!</t>
  </si>
  <si>
    <t>2021.03.26</t>
  </si>
  <si>
    <t>문답무용 - 삼국지 유비의 모사가 되었다 [단행본]</t>
  </si>
  <si>
    <t>2021.05.20</t>
  </si>
  <si>
    <t>완전판APP</t>
  </si>
  <si>
    <t>시리즈(IOS)</t>
  </si>
  <si>
    <t>네이버APP</t>
  </si>
  <si>
    <t>구분</t>
    <phoneticPr fontId="2" type="noConversion"/>
  </si>
  <si>
    <t>SW매출</t>
    <phoneticPr fontId="2" type="noConversion"/>
  </si>
  <si>
    <t>N스토어(PC)</t>
  </si>
  <si>
    <t>PC뷰어(PC)</t>
  </si>
  <si>
    <t>네이버PC1</t>
  </si>
  <si>
    <t>시리즈 ID</t>
  </si>
  <si>
    <t>도서 ID</t>
  </si>
  <si>
    <t>제목</t>
  </si>
  <si>
    <t>권/화수</t>
  </si>
  <si>
    <t>저자</t>
  </si>
  <si>
    <t>역자</t>
  </si>
  <si>
    <t>그림</t>
  </si>
  <si>
    <t>시리즈명</t>
  </si>
  <si>
    <t>전자책정가</t>
  </si>
  <si>
    <t>단권판매액</t>
  </si>
  <si>
    <t>단권판매권</t>
  </si>
  <si>
    <t>단권무료권</t>
  </si>
  <si>
    <t>대여액</t>
  </si>
  <si>
    <t>대여유료권( ~ 2020-04 대여권)</t>
  </si>
  <si>
    <t>대여무료권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</si>
  <si>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</si>
  <si>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</si>
  <si>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</si>
  <si>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</si>
  <si>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</si>
  <si>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</si>
  <si>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</si>
  <si>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</si>
  <si>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</si>
  <si>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</si>
  <si>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</si>
  <si>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</si>
  <si>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</si>
  <si>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</si>
  <si>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</si>
  <si>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</si>
  <si>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판매액</t>
  </si>
  <si>
    <t>판매권</t>
  </si>
  <si>
    <t>취소액</t>
  </si>
  <si>
    <t>취소권</t>
  </si>
  <si>
    <t>일반 판매액</t>
  </si>
  <si>
    <t>일반 취소액</t>
  </si>
  <si>
    <t>앱마켓 정산대상액</t>
  </si>
  <si>
    <t>앱마켓 수수료(30%)</t>
    <phoneticPr fontId="2" type="noConversion"/>
  </si>
  <si>
    <t>앱마켓 취소액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</si>
  <si>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</si>
  <si>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</si>
  <si>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</si>
  <si>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</si>
  <si>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</si>
  <si>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</si>
  <si>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</si>
  <si>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</si>
  <si>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[e북]삼국지 호접몽전 1부 6권</t>
  </si>
  <si>
    <t>6</t>
  </si>
  <si>
    <t>[e북]삼국지 호접몽전</t>
  </si>
  <si>
    <t>9791159289262</t>
  </si>
  <si>
    <t>판타지 e북 &gt; 퓨전 판타지</t>
  </si>
  <si>
    <t>[e북]삼국지 호접몽전 1부 10권</t>
  </si>
  <si>
    <t>10</t>
  </si>
  <si>
    <t>9791159289309</t>
  </si>
  <si>
    <t>[e북]삼국지 호접몽전 1부 11권</t>
  </si>
  <si>
    <t>11</t>
  </si>
  <si>
    <t>9791159289316</t>
  </si>
  <si>
    <t>[e북]삼국지 호접몽전 1부 12권</t>
  </si>
  <si>
    <t>12</t>
  </si>
  <si>
    <t>9791159289323</t>
  </si>
  <si>
    <t>[e북]삼국지 호접몽전 1부 13권</t>
  </si>
  <si>
    <t>13</t>
  </si>
  <si>
    <t>9791159289330</t>
  </si>
  <si>
    <t>[e북]삼국지 호접몽전 1부 14권</t>
  </si>
  <si>
    <t>14</t>
  </si>
  <si>
    <t>9791159289347</t>
  </si>
  <si>
    <t>[e북]라스트 서바이버 : 진화로 살아남아라! 3권</t>
  </si>
  <si>
    <t>3</t>
  </si>
  <si>
    <t>[e북]라스트 서바이버 : 진화로 살아남아라!</t>
  </si>
  <si>
    <t>9791137600560</t>
  </si>
  <si>
    <t>[e북]문답무용 - 삼국지 유비의 모사가 되었다 2권</t>
  </si>
  <si>
    <t>2</t>
  </si>
  <si>
    <t>[e북]문답무용 - 삼국지 유비의 모사가 되었다</t>
  </si>
  <si>
    <t>9791166069949</t>
  </si>
  <si>
    <t>[e북]삼국지 호접몽전 1부 2권</t>
  </si>
  <si>
    <t>9791159289224</t>
  </si>
  <si>
    <t>[e북]삼국지 호접몽전 1부 3권</t>
  </si>
  <si>
    <t>9791159289231</t>
  </si>
  <si>
    <t>[e북]삼국지 호접몽전 1부 4권</t>
  </si>
  <si>
    <t>4</t>
  </si>
  <si>
    <t>9791159289248</t>
  </si>
  <si>
    <t>[e북]삼국지 호접몽전 1부 5권</t>
  </si>
  <si>
    <t>5</t>
  </si>
  <si>
    <t>9791159289255</t>
  </si>
  <si>
    <t>[e북]삼국지 호접몽전 1부 7권</t>
  </si>
  <si>
    <t>7</t>
  </si>
  <si>
    <t>9791159289279</t>
  </si>
  <si>
    <t>[e북]삼국지 호접몽전 1부 8권</t>
  </si>
  <si>
    <t>8</t>
  </si>
  <si>
    <t>9791159289286</t>
  </si>
  <si>
    <t>[e북]삼국지 호접몽전 1부 9권</t>
  </si>
  <si>
    <t>9</t>
  </si>
  <si>
    <t>9791159289293</t>
  </si>
  <si>
    <t>[e북]삼국지 호접몽전 2부 1권</t>
  </si>
  <si>
    <t>15</t>
  </si>
  <si>
    <t>9791159289378</t>
  </si>
  <si>
    <t>[e북]삼국지 호접몽전 2부 2권</t>
  </si>
  <si>
    <t>16</t>
  </si>
  <si>
    <t>9791159289385</t>
  </si>
  <si>
    <t>[e북]삼국지 호접몽전 2부 3권</t>
  </si>
  <si>
    <t>17</t>
  </si>
  <si>
    <t>9791159289392</t>
  </si>
  <si>
    <t>[e북]삼국지 호접몽전 2부 4권</t>
  </si>
  <si>
    <t>18</t>
  </si>
  <si>
    <t>9791159289408</t>
  </si>
  <si>
    <t>[e북]삼국지 호접몽전 2부 5권</t>
  </si>
  <si>
    <t>19</t>
  </si>
  <si>
    <t>9791159289415</t>
  </si>
  <si>
    <t>[e북]삼국지 호접몽전 2부 6권</t>
  </si>
  <si>
    <t>20</t>
  </si>
  <si>
    <t>9791159289422</t>
  </si>
  <si>
    <t>[e북]삼국지 호접몽전 2부 7권</t>
  </si>
  <si>
    <t>21</t>
  </si>
  <si>
    <t>9791159289439</t>
  </si>
  <si>
    <t>[e북]삼국지 호접몽전 2부 8권</t>
  </si>
  <si>
    <t>22</t>
  </si>
  <si>
    <t>9791159289446</t>
  </si>
  <si>
    <t>[e북]삼국지 호접몽전 2부 9권</t>
  </si>
  <si>
    <t>23</t>
  </si>
  <si>
    <t>9791159289453</t>
  </si>
  <si>
    <t>[e북]라스트 서바이버 : 진화로 살아남아라! 2권</t>
  </si>
  <si>
    <t>9791137600553</t>
  </si>
  <si>
    <t>[e북]라스트 서바이버 : 진화로 살아남아라! 4권</t>
  </si>
  <si>
    <t>9791137600577</t>
  </si>
  <si>
    <t>[e북]라스트 서바이버 : 진화로 살아남아라! 5권</t>
  </si>
  <si>
    <t>9791137600584</t>
  </si>
  <si>
    <t>[e북]라스트 서바이버 : 진화로 살아남아라! 6권</t>
  </si>
  <si>
    <t>9791137600591</t>
  </si>
  <si>
    <t>[e북]라스트 서바이버 : 진화로 살아남아라! 7권</t>
  </si>
  <si>
    <t>9791137600607</t>
  </si>
  <si>
    <t>[e북]라스트 서바이버 : 진화로 살아남아라! 8권</t>
  </si>
  <si>
    <t>9791137600614</t>
  </si>
  <si>
    <t>라스트 서바이버 28화</t>
  </si>
  <si>
    <t>28</t>
  </si>
  <si>
    <t>라스트 서바이버</t>
  </si>
  <si>
    <t>9791137600119</t>
  </si>
  <si>
    <t>판타지 웹소설 &gt; 퓨전 판타지</t>
  </si>
  <si>
    <t>라스트 서바이버 29화</t>
  </si>
  <si>
    <t>29</t>
  </si>
  <si>
    <t>라스트 서바이버 30화</t>
  </si>
  <si>
    <t>30</t>
  </si>
  <si>
    <t>라스트 서바이버 31화</t>
  </si>
  <si>
    <t>31</t>
  </si>
  <si>
    <t>라스트 서바이버 32화</t>
  </si>
  <si>
    <t>32</t>
  </si>
  <si>
    <t>라스트 서바이버 33화</t>
  </si>
  <si>
    <t>33</t>
  </si>
  <si>
    <t>라스트 서바이버 34화</t>
  </si>
  <si>
    <t>34</t>
  </si>
  <si>
    <t>라스트 서바이버 35화</t>
  </si>
  <si>
    <t>35</t>
  </si>
  <si>
    <t>라스트 서바이버 36화</t>
  </si>
  <si>
    <t>36</t>
  </si>
  <si>
    <t>라스트 서바이버 37화</t>
  </si>
  <si>
    <t>37</t>
  </si>
  <si>
    <t>라스트 서바이버 38화</t>
  </si>
  <si>
    <t>38</t>
  </si>
  <si>
    <t>라스트 서바이버 39화</t>
  </si>
  <si>
    <t>39</t>
  </si>
  <si>
    <t>라스트 서바이버 40화</t>
  </si>
  <si>
    <t>40</t>
  </si>
  <si>
    <t>라스트 서바이버 41화</t>
  </si>
  <si>
    <t>41</t>
  </si>
  <si>
    <t>라스트 서바이버 42화</t>
  </si>
  <si>
    <t>42</t>
  </si>
  <si>
    <t>라스트 서바이버 43화</t>
  </si>
  <si>
    <t>43</t>
  </si>
  <si>
    <t>라스트 서바이버 44화</t>
  </si>
  <si>
    <t>44</t>
  </si>
  <si>
    <t>라스트 서바이버 45화</t>
  </si>
  <si>
    <t>45</t>
  </si>
  <si>
    <t>라스트 서바이버 46화</t>
  </si>
  <si>
    <t>46</t>
  </si>
  <si>
    <t>라스트 서바이버 47화</t>
  </si>
  <si>
    <t>47</t>
  </si>
  <si>
    <t>라스트 서바이버 48화</t>
  </si>
  <si>
    <t>48</t>
  </si>
  <si>
    <t>라스트 서바이버 49화</t>
  </si>
  <si>
    <t>49</t>
  </si>
  <si>
    <t>라스트 서바이버 50화</t>
  </si>
  <si>
    <t>50</t>
  </si>
  <si>
    <t>라스트 서바이버 51화</t>
  </si>
  <si>
    <t>51</t>
  </si>
  <si>
    <t>라스트 서바이버 52화</t>
  </si>
  <si>
    <t>52</t>
  </si>
  <si>
    <t>라스트 서바이버 53화</t>
  </si>
  <si>
    <t>53</t>
  </si>
  <si>
    <t>라스트 서바이버 54화</t>
  </si>
  <si>
    <t>54</t>
  </si>
  <si>
    <t>라스트 서바이버 55화</t>
  </si>
  <si>
    <t>55</t>
  </si>
  <si>
    <t>라스트 서바이버 58화</t>
  </si>
  <si>
    <t>58</t>
  </si>
  <si>
    <t>라스트 서바이버 59화</t>
  </si>
  <si>
    <t>59</t>
  </si>
  <si>
    <t>라스트 서바이버 60화</t>
  </si>
  <si>
    <t>60</t>
  </si>
  <si>
    <t>문답무용 - 삼국지 유비의 모사가 되었다 26화</t>
  </si>
  <si>
    <t>26</t>
  </si>
  <si>
    <t>9791166069475</t>
  </si>
  <si>
    <t>문답무용 - 삼국지 유비의 모사가 되었다 27화</t>
  </si>
  <si>
    <t>27</t>
  </si>
  <si>
    <t>문답무용 - 삼국지 유비의 모사가 되었다 28화</t>
  </si>
  <si>
    <t>문답무용 - 삼국지 유비의 모사가 되었다 29화</t>
  </si>
  <si>
    <t>문답무용 - 삼국지 유비의 모사가 되었다 30화</t>
  </si>
  <si>
    <t>문답무용 - 삼국지 유비의 모사가 되었다 31화</t>
  </si>
  <si>
    <t>문답무용 - 삼국지 유비의 모사가 되었다 32화</t>
  </si>
  <si>
    <t>문답무용 - 삼국지 유비의 모사가 되었다 33화</t>
  </si>
  <si>
    <t>문답무용 - 삼국지 유비의 모사가 되었다 34화</t>
  </si>
  <si>
    <t>문답무용 - 삼국지 유비의 모사가 되었다 35화</t>
  </si>
  <si>
    <t>문답무용 - 삼국지 유비의 모사가 되었다 36화</t>
  </si>
  <si>
    <t>문답무용 - 삼국지 유비의 모사가 되었다 37화</t>
  </si>
  <si>
    <t>문답무용 - 삼국지 유비의 모사가 되었다 38화</t>
  </si>
  <si>
    <t>문답무용 - 삼국지 유비의 모사가 되었다 39화</t>
  </si>
  <si>
    <t>문답무용 - 삼국지 유비의 모사가 되었다 40화</t>
  </si>
  <si>
    <t>문답무용 - 삼국지 유비의 모사가 되었다 41화</t>
  </si>
  <si>
    <t>문답무용 - 삼국지 유비의 모사가 되었다 42화</t>
  </si>
  <si>
    <t>문답무용 - 삼국지 유비의 모사가 되었다 43화</t>
  </si>
  <si>
    <t>문답무용 - 삼국지 유비의 모사가 되었다 44화</t>
  </si>
  <si>
    <t>문답무용 - 삼국지 유비의 모사가 되었다 45화</t>
  </si>
  <si>
    <t>문답무용 - 삼국지 유비의 모사가 되었다 46화</t>
  </si>
  <si>
    <t>문답무용 - 삼국지 유비의 모사가 되었다 47화</t>
  </si>
  <si>
    <t>문답무용 - 삼국지 유비의 모사가 되었다 48화</t>
  </si>
  <si>
    <t>문답무용 - 삼국지 유비의 모사가 되었다 49화</t>
  </si>
  <si>
    <t>문답무용 - 삼국지 유비의 모사가 되었다 50화</t>
  </si>
  <si>
    <t>문답무용 - 삼국지 유비의 모사가 되었다 51화</t>
  </si>
  <si>
    <t>문답무용 - 삼국지 유비의 모사가 되었다 52화</t>
  </si>
  <si>
    <t>문답무용 - 삼국지 유비의 모사가 되었다 53화</t>
  </si>
  <si>
    <t>문답무용 - 삼국지 유비의 모사가 되었다 54화</t>
  </si>
  <si>
    <t>문답무용 - 삼국지 유비의 모사가 되었다 55화</t>
  </si>
  <si>
    <t>문답무용 - 삼국지 유비의 모사가 되었다 56화</t>
  </si>
  <si>
    <t>56</t>
  </si>
  <si>
    <t>문답무용 - 삼국지 유비의 모사가 되었다 57화</t>
  </si>
  <si>
    <t>57</t>
  </si>
  <si>
    <t>문답무용 - 삼국지 유비의 모사가 되었다 58화</t>
  </si>
  <si>
    <t>문답무용 - 삼국지 유비의 모사가 되었다 59화</t>
  </si>
  <si>
    <t>문답무용 - 삼국지 유비의 모사가 되었다 60화</t>
  </si>
  <si>
    <t>문답무용 - 삼국지 유비의 모사가 되었다 61화</t>
  </si>
  <si>
    <t>61</t>
  </si>
  <si>
    <t>문답무용 - 삼국지 유비의 모사가 되었다 62화</t>
  </si>
  <si>
    <t>62</t>
  </si>
  <si>
    <t>문답무용 - 삼국지 유비의 모사가 되었다 63화</t>
  </si>
  <si>
    <t>63</t>
  </si>
  <si>
    <t>문답무용 - 삼국지 유비의 모사가 되었다 64화</t>
  </si>
  <si>
    <t>64</t>
  </si>
  <si>
    <t>문답무용 - 삼국지 유비의 모사가 되었다 65화</t>
  </si>
  <si>
    <t>65</t>
  </si>
  <si>
    <t>문답무용 - 삼국지 유비의 모사가 되었다 66화</t>
  </si>
  <si>
    <t>66</t>
  </si>
  <si>
    <t>문답무용 - 삼국지 유비의 모사가 되었다 67화</t>
  </si>
  <si>
    <t>67</t>
  </si>
  <si>
    <t>문답무용 - 삼국지 유비의 모사가 되었다 68화</t>
  </si>
  <si>
    <t>68</t>
  </si>
  <si>
    <t>문답무용 - 삼국지 유비의 모사가 되었다 69화</t>
  </si>
  <si>
    <t>69</t>
  </si>
  <si>
    <t>문답무용 - 삼국지 유비의 모사가 되었다 70화</t>
  </si>
  <si>
    <t>70</t>
  </si>
  <si>
    <t>문답무용 - 삼국지 유비의 모사가 되었다 71화</t>
  </si>
  <si>
    <t>71</t>
  </si>
  <si>
    <t>라스트 서바이버 27화</t>
  </si>
  <si>
    <t>라스트 서바이버 56화</t>
  </si>
  <si>
    <t>라스트 서바이버 57화</t>
  </si>
  <si>
    <t>라스트 서바이버 61화</t>
  </si>
  <si>
    <t>라스트 서바이버 62화</t>
  </si>
  <si>
    <t>라스트 서바이버 63화</t>
  </si>
  <si>
    <t>라스트 서바이버 64화</t>
  </si>
  <si>
    <t>라스트 서바이버 65화</t>
  </si>
  <si>
    <t>라스트 서바이버 66화</t>
  </si>
  <si>
    <t>라스트 서바이버 67화</t>
  </si>
  <si>
    <t>라스트 서바이버 68화</t>
  </si>
  <si>
    <t>라스트 서바이버 69화</t>
  </si>
  <si>
    <t>라스트 서바이버 70화</t>
  </si>
  <si>
    <t>라스트 서바이버 71화</t>
  </si>
  <si>
    <t>라스트 서바이버 72화</t>
  </si>
  <si>
    <t>72</t>
  </si>
  <si>
    <t>라스트 서바이버 73화</t>
  </si>
  <si>
    <t>73</t>
  </si>
  <si>
    <t>라스트 서바이버 74화</t>
  </si>
  <si>
    <t>74</t>
  </si>
  <si>
    <t>라스트 서바이버 75화</t>
  </si>
  <si>
    <t>75</t>
  </si>
  <si>
    <t>라스트 서바이버 76화</t>
  </si>
  <si>
    <t>76</t>
  </si>
  <si>
    <t>라스트 서바이버 77화</t>
  </si>
  <si>
    <t>77</t>
  </si>
  <si>
    <t>라스트 서바이버 78화</t>
  </si>
  <si>
    <t>78</t>
  </si>
  <si>
    <t>라스트 서바이버 79화</t>
  </si>
  <si>
    <t>79</t>
  </si>
  <si>
    <t>라스트 서바이버 80화</t>
  </si>
  <si>
    <t>80</t>
  </si>
  <si>
    <t>라스트 서바이버 81화</t>
  </si>
  <si>
    <t>81</t>
  </si>
  <si>
    <t>라스트 서바이버 82화</t>
  </si>
  <si>
    <t>82</t>
  </si>
  <si>
    <t>라스트 서바이버 83화</t>
  </si>
  <si>
    <t>83</t>
  </si>
  <si>
    <t>라스트 서바이버 84화</t>
  </si>
  <si>
    <t>84</t>
  </si>
  <si>
    <t>라스트 서바이버 85화</t>
  </si>
  <si>
    <t>85</t>
  </si>
  <si>
    <t>라스트 서바이버 86화</t>
  </si>
  <si>
    <t>86</t>
  </si>
  <si>
    <t>라스트 서바이버 87화</t>
  </si>
  <si>
    <t>87</t>
  </si>
  <si>
    <t>라스트 서바이버 88화</t>
  </si>
  <si>
    <t>88</t>
  </si>
  <si>
    <t>라스트 서바이버 89화</t>
  </si>
  <si>
    <t>89</t>
  </si>
  <si>
    <t>라스트 서바이버 90화</t>
  </si>
  <si>
    <t>90</t>
  </si>
  <si>
    <t>라스트 서바이버 91화</t>
  </si>
  <si>
    <t>91</t>
  </si>
  <si>
    <t>라스트 서바이버 92화</t>
  </si>
  <si>
    <t>92</t>
  </si>
  <si>
    <t>라스트 서바이버 93화</t>
  </si>
  <si>
    <t>93</t>
  </si>
  <si>
    <t>라스트 서바이버 94화</t>
  </si>
  <si>
    <t>94</t>
  </si>
  <si>
    <t>라스트 서바이버 95화</t>
  </si>
  <si>
    <t>95</t>
  </si>
  <si>
    <t>라스트 서바이버 96화</t>
  </si>
  <si>
    <t>96</t>
  </si>
  <si>
    <t>라스트 서바이버 97화</t>
  </si>
  <si>
    <t>97</t>
  </si>
  <si>
    <t>라스트 서바이버 98화</t>
  </si>
  <si>
    <t>98</t>
  </si>
  <si>
    <t>라스트 서바이버 99화</t>
  </si>
  <si>
    <t>99</t>
  </si>
  <si>
    <t>라스트 서바이버 100화</t>
  </si>
  <si>
    <t>100</t>
  </si>
  <si>
    <t>라스트 서바이버 101화</t>
  </si>
  <si>
    <t>101</t>
  </si>
  <si>
    <t>라스트 서바이버 102화</t>
  </si>
  <si>
    <t>102</t>
  </si>
  <si>
    <t>라스트 서바이버 103화</t>
  </si>
  <si>
    <t>103</t>
  </si>
  <si>
    <t>라스트 서바이버 104화</t>
  </si>
  <si>
    <t>104</t>
  </si>
  <si>
    <t>라스트 서바이버 105화</t>
  </si>
  <si>
    <t>105</t>
  </si>
  <si>
    <t>라스트 서바이버 106화</t>
  </si>
  <si>
    <t>106</t>
  </si>
  <si>
    <t>라스트 서바이버 107화</t>
  </si>
  <si>
    <t>107</t>
  </si>
  <si>
    <t>라스트 서바이버 108화</t>
  </si>
  <si>
    <t>108</t>
  </si>
  <si>
    <t>라스트 서바이버 109화</t>
  </si>
  <si>
    <t>109</t>
  </si>
  <si>
    <t>라스트 서바이버 110화</t>
  </si>
  <si>
    <t>110</t>
  </si>
  <si>
    <t>라스트 서바이버 111화</t>
  </si>
  <si>
    <t>111</t>
  </si>
  <si>
    <t>라스트 서바이버 112화</t>
  </si>
  <si>
    <t>112</t>
  </si>
  <si>
    <t>라스트 서바이버 113화</t>
  </si>
  <si>
    <t>113</t>
  </si>
  <si>
    <t>라스트 서바이버 114화</t>
  </si>
  <si>
    <t>114</t>
  </si>
  <si>
    <t>라스트 서바이버 115화</t>
  </si>
  <si>
    <t>115</t>
  </si>
  <si>
    <t>라스트 서바이버 116화</t>
  </si>
  <si>
    <t>116</t>
  </si>
  <si>
    <t>라스트 서바이버 117화</t>
  </si>
  <si>
    <t>117</t>
  </si>
  <si>
    <t>라스트 서바이버 118화</t>
  </si>
  <si>
    <t>118</t>
  </si>
  <si>
    <t>라스트 서바이버 301화</t>
  </si>
  <si>
    <t>301</t>
  </si>
  <si>
    <t>라스트 서바이버 306화</t>
  </si>
  <si>
    <t>306</t>
  </si>
  <si>
    <t>라스트 서바이버 314화</t>
  </si>
  <si>
    <t>314</t>
  </si>
  <si>
    <t>라스트 서바이버 315화</t>
  </si>
  <si>
    <t>315</t>
  </si>
  <si>
    <t>라스트 서바이버 316화</t>
  </si>
  <si>
    <t>316</t>
  </si>
  <si>
    <t>라스트 서바이버 317화</t>
  </si>
  <si>
    <t>317</t>
  </si>
  <si>
    <t>라스트 서바이버 326화 (완결)</t>
  </si>
  <si>
    <t>326</t>
  </si>
  <si>
    <t>문답무용 - 삼국지 유비의 모사가 되었다 72화</t>
  </si>
  <si>
    <t>문답무용 - 삼국지 유비의 모사가 되었다 73화</t>
  </si>
  <si>
    <t>문답무용 - 삼국지 유비의 모사가 되었다 74화</t>
  </si>
  <si>
    <t>문답무용 - 삼국지 유비의 모사가 되었다 75화</t>
  </si>
  <si>
    <t>문답무용 - 삼국지 유비의 모사가 되었다 76화</t>
  </si>
  <si>
    <t>문답무용 - 삼국지 유비의 모사가 되었다 77화</t>
  </si>
  <si>
    <t>문답무용 - 삼국지 유비의 모사가 되었다 78화</t>
  </si>
  <si>
    <t>문답무용 - 삼국지 유비의 모사가 되었다 79화</t>
  </si>
  <si>
    <t>문답무용 - 삼국지 유비의 모사가 되었다 80화</t>
  </si>
  <si>
    <t>문답무용 - 삼국지 유비의 모사가 되었다 81화</t>
  </si>
  <si>
    <t>문답무용 - 삼국지 유비의 모사가 되었다 82화</t>
  </si>
  <si>
    <t>문답무용 - 삼국지 유비의 모사가 되었다 83화</t>
  </si>
  <si>
    <t>문답무용 - 삼국지 유비의 모사가 되었다 84화</t>
  </si>
  <si>
    <t>문답무용 - 삼국지 유비의 모사가 되었다 85화</t>
  </si>
  <si>
    <t>문답무용 - 삼국지 유비의 모사가 되었다 86화</t>
  </si>
  <si>
    <t>문답무용 - 삼국지 유비의 모사가 되었다 87화</t>
  </si>
  <si>
    <t>문답무용 - 삼국지 유비의 모사가 되었다 88화</t>
  </si>
  <si>
    <t>문답무용 - 삼국지 유비의 모사가 되었다 89화</t>
  </si>
  <si>
    <t>문답무용 - 삼국지 유비의 모사가 되었다 90화</t>
  </si>
  <si>
    <t>문답무용 - 삼국지 유비의 모사가 되었다 91화</t>
  </si>
  <si>
    <t>문답무용 - 삼국지 유비의 모사가 되었다 92화</t>
  </si>
  <si>
    <t>문답무용 - 삼국지 유비의 모사가 되었다 93화</t>
  </si>
  <si>
    <t>문답무용 - 삼국지 유비의 모사가 되었다 94화</t>
  </si>
  <si>
    <t>문답무용 - 삼국지 유비의 모사가 되었다 95화</t>
  </si>
  <si>
    <t>문답무용 - 삼국지 유비의 모사가 되었다 96화</t>
  </si>
  <si>
    <t>문답무용 - 삼국지 유비의 모사가 되었다 97화</t>
  </si>
  <si>
    <t>문답무용 - 삼국지 유비의 모사가 되었다 98화</t>
  </si>
  <si>
    <t>문답무용 - 삼국지 유비의 모사가 되었다 99화</t>
  </si>
  <si>
    <t>문답무용 - 삼국지 유비의 모사가 되었다 100화</t>
  </si>
  <si>
    <t>문답무용 - 삼국지 유비의 모사가 되었다 101화</t>
  </si>
  <si>
    <t>문답무용 - 삼국지 유비의 모사가 되었다 102화</t>
  </si>
  <si>
    <t>문답무용 - 삼국지 유비의 모사가 되었다 103화</t>
  </si>
  <si>
    <t>문답무용 - 삼국지 유비의 모사가 되었다 104화</t>
  </si>
  <si>
    <t>문답무용 - 삼국지 유비의 모사가 되었다 105화</t>
  </si>
  <si>
    <t>문답무용 - 삼국지 유비의 모사가 되었다 106화</t>
  </si>
  <si>
    <t>삼국지 호접몽전 1부 1화</t>
  </si>
  <si>
    <t>1</t>
  </si>
  <si>
    <t>삼국지 호접몽전</t>
  </si>
  <si>
    <t>9791159287794</t>
  </si>
  <si>
    <t>삼국지 호접몽전 1부 2화</t>
  </si>
  <si>
    <t>삼국지 호접몽전 1부 3화</t>
  </si>
  <si>
    <t>삼국지 호접몽전 1부 4화</t>
  </si>
  <si>
    <t>삼국지 호접몽전 1부 5화</t>
  </si>
  <si>
    <t>삼국지 호접몽전 1부 6화</t>
  </si>
  <si>
    <t>삼국지 호접몽전 1부 7화</t>
  </si>
  <si>
    <t>삼국지 호접몽전 1부 8화</t>
  </si>
  <si>
    <t>삼국지 호접몽전 1부 9화</t>
  </si>
  <si>
    <t>삼국지 호접몽전 1부 10화</t>
  </si>
  <si>
    <t>삼국지 호접몽전 1부 11화</t>
  </si>
  <si>
    <t>삼국지 호접몽전 1부 12화</t>
  </si>
  <si>
    <t>삼국지 호접몽전 1부 13화</t>
  </si>
  <si>
    <t>삼국지 호접몽전 1부 14화</t>
  </si>
  <si>
    <t>삼국지 호접몽전 1부 15화</t>
  </si>
  <si>
    <t>삼국지 호접몽전 1부 16화</t>
  </si>
  <si>
    <t>삼국지 호접몽전 1부 17화</t>
  </si>
  <si>
    <t>삼국지 호접몽전 1부 18화</t>
  </si>
  <si>
    <t>삼국지 호접몽전 1부 19화</t>
  </si>
  <si>
    <t>삼국지 호접몽전 1부 20화</t>
  </si>
  <si>
    <t>삼국지 호접몽전 1부 21화</t>
  </si>
  <si>
    <t>삼국지 호접몽전 1부 22화</t>
  </si>
  <si>
    <t>삼국지 호접몽전 1부 23화</t>
  </si>
  <si>
    <t>삼국지 호접몽전 1부 24화</t>
  </si>
  <si>
    <t>24</t>
  </si>
  <si>
    <t>삼국지 호접몽전 1부 25화</t>
  </si>
  <si>
    <t>25</t>
  </si>
  <si>
    <t>[e북]삼국지 호접몽전 1부 1권</t>
  </si>
  <si>
    <t>9791159289217</t>
  </si>
  <si>
    <t>라스트 서바이버 1화</t>
  </si>
  <si>
    <t>라스트 서바이버 2화</t>
  </si>
  <si>
    <t>라스트 서바이버 3화</t>
  </si>
  <si>
    <t>라스트 서바이버 4화</t>
  </si>
  <si>
    <t>라스트 서바이버 5화</t>
  </si>
  <si>
    <t>라스트 서바이버 6화</t>
  </si>
  <si>
    <t>라스트 서바이버 7화</t>
  </si>
  <si>
    <t>라스트 서바이버 8화</t>
  </si>
  <si>
    <t>라스트 서바이버 9화</t>
  </si>
  <si>
    <t>라스트 서바이버 10화</t>
  </si>
  <si>
    <t>라스트 서바이버 11화</t>
  </si>
  <si>
    <t>라스트 서바이버 12화</t>
  </si>
  <si>
    <t>라스트 서바이버 13화</t>
  </si>
  <si>
    <t>라스트 서바이버 14화</t>
  </si>
  <si>
    <t>라스트 서바이버 15화</t>
  </si>
  <si>
    <t>라스트 서바이버 16화</t>
  </si>
  <si>
    <t>라스트 서바이버 17화</t>
  </si>
  <si>
    <t>라스트 서바이버 18화</t>
  </si>
  <si>
    <t>라스트 서바이버 19화</t>
  </si>
  <si>
    <t>라스트 서바이버 20화</t>
  </si>
  <si>
    <t>라스트 서바이버 21화</t>
  </si>
  <si>
    <t>라스트 서바이버 22화</t>
  </si>
  <si>
    <t>라스트 서바이버 23화</t>
  </si>
  <si>
    <t>라스트 서바이버 24화</t>
  </si>
  <si>
    <t>라스트 서바이버 25화</t>
  </si>
  <si>
    <t>라스트 서바이버 26화</t>
  </si>
  <si>
    <t>문답무용 - 삼국지 유비의 모사가 되었다 1화</t>
  </si>
  <si>
    <t>문답무용 - 삼국지 유비의 모사가 되었다 2화</t>
  </si>
  <si>
    <t>문답무용 - 삼국지 유비의 모사가 되었다 3화</t>
  </si>
  <si>
    <t>문답무용 - 삼국지 유비의 모사가 되었다 4화</t>
  </si>
  <si>
    <t>문답무용 - 삼국지 유비의 모사가 되었다 5화</t>
  </si>
  <si>
    <t>문답무용 - 삼국지 유비의 모사가 되었다 6화</t>
  </si>
  <si>
    <t>문답무용 - 삼국지 유비의 모사가 되었다 7화</t>
  </si>
  <si>
    <t>문답무용 - 삼국지 유비의 모사가 되었다 8화</t>
  </si>
  <si>
    <t>문답무용 - 삼국지 유비의 모사가 되었다 9화</t>
  </si>
  <si>
    <t>문답무용 - 삼국지 유비의 모사가 되었다 10화</t>
  </si>
  <si>
    <t>문답무용 - 삼국지 유비의 모사가 되었다 11화</t>
  </si>
  <si>
    <t>문답무용 - 삼국지 유비의 모사가 되었다 12화</t>
  </si>
  <si>
    <t>문답무용 - 삼국지 유비의 모사가 되었다 13화</t>
  </si>
  <si>
    <t>문답무용 - 삼국지 유비의 모사가 되었다 14화</t>
  </si>
  <si>
    <t>문답무용 - 삼국지 유비의 모사가 되었다 15화</t>
  </si>
  <si>
    <t>문답무용 - 삼국지 유비의 모사가 되었다 16화</t>
  </si>
  <si>
    <t>문답무용 - 삼국지 유비의 모사가 되었다 17화</t>
  </si>
  <si>
    <t>문답무용 - 삼국지 유비의 모사가 되었다 18화</t>
  </si>
  <si>
    <t>문답무용 - 삼국지 유비의 모사가 되었다 19화</t>
  </si>
  <si>
    <t>문답무용 - 삼국지 유비의 모사가 되었다 20화</t>
  </si>
  <si>
    <t>문답무용 - 삼국지 유비의 모사가 되었다 21화</t>
  </si>
  <si>
    <t>문답무용 - 삼국지 유비의 모사가 되었다 22화</t>
  </si>
  <si>
    <t>문답무용 - 삼국지 유비의 모사가 되었다 23화</t>
  </si>
  <si>
    <t>문답무용 - 삼국지 유비의 모사가 되었다 24화</t>
  </si>
  <si>
    <t>문답무용 - 삼국지 유비의 모사가 되었다 25화</t>
  </si>
  <si>
    <t>[e북]라스트 서바이버 : 진화로 살아남아라! 1권</t>
  </si>
  <si>
    <t>9791137600546</t>
  </si>
  <si>
    <t>[e북]문답무용 - 삼국지 유비의 모사가 되었다 1권</t>
  </si>
  <si>
    <t>9791166069932</t>
  </si>
  <si>
    <t>리디북스1</t>
  </si>
  <si>
    <t>NO</t>
  </si>
  <si>
    <t>작가</t>
  </si>
  <si>
    <t>타이틀</t>
  </si>
  <si>
    <t>플랫폼</t>
  </si>
  <si>
    <t>코인</t>
  </si>
  <si>
    <t>금액</t>
  </si>
  <si>
    <t>결제</t>
  </si>
  <si>
    <t>이벤트</t>
  </si>
  <si>
    <t>수수료공제액</t>
    <phoneticPr fontId="2" type="noConversion"/>
  </si>
  <si>
    <t>정산비율</t>
  </si>
  <si>
    <t>M</t>
  </si>
  <si>
    <t>W</t>
  </si>
  <si>
    <t>A</t>
  </si>
  <si>
    <t>무툰</t>
  </si>
  <si>
    <t>날짜</t>
  </si>
  <si>
    <t>구분</t>
  </si>
  <si>
    <t>계정</t>
  </si>
  <si>
    <t>작품코드</t>
  </si>
  <si>
    <t>작품</t>
  </si>
  <si>
    <t>구매</t>
  </si>
  <si>
    <t>구매취소</t>
  </si>
  <si>
    <t>대여</t>
  </si>
  <si>
    <t>대여취소</t>
  </si>
  <si>
    <t>총매출</t>
  </si>
  <si>
    <t>IOS매출</t>
  </si>
  <si>
    <t>정산</t>
  </si>
  <si>
    <t>문피아</t>
  </si>
  <si>
    <t>청빙</t>
    <phoneticPr fontId="2" type="noConversion"/>
  </si>
  <si>
    <t>kt_0601</t>
  </si>
  <si>
    <t>라스트 서바이버 : 진화로 살아남아라! [D]</t>
  </si>
  <si>
    <t>작품번호</t>
  </si>
  <si>
    <t>작품명</t>
  </si>
  <si>
    <t>작가명</t>
    <phoneticPr fontId="15" type="noConversion"/>
  </si>
  <si>
    <t>연동계정명</t>
  </si>
  <si>
    <t>주문상태</t>
  </si>
  <si>
    <t>주문유형</t>
  </si>
  <si>
    <t>주문건수</t>
  </si>
  <si>
    <t>합계금액</t>
  </si>
  <si>
    <t>작품기간할인</t>
  </si>
  <si>
    <t>일괄구매할인</t>
  </si>
  <si>
    <t>모아무이용권</t>
  </si>
  <si>
    <t>이용권</t>
  </si>
  <si>
    <t>유료코인</t>
  </si>
  <si>
    <t>이벤트코인</t>
  </si>
  <si>
    <t>보너스코인</t>
  </si>
  <si>
    <t>AOS유료코인</t>
  </si>
  <si>
    <t>AOS이벤트코인</t>
  </si>
  <si>
    <t>AOS보너스코인</t>
  </si>
  <si>
    <t>IOS유료코인</t>
  </si>
  <si>
    <t>IOS이벤트코인</t>
  </si>
  <si>
    <t>IOS보너스코인</t>
  </si>
  <si>
    <t>정산금액</t>
  </si>
  <si>
    <t>1007668</t>
  </si>
  <si>
    <t>주문완료</t>
  </si>
  <si>
    <t>-</t>
  </si>
  <si>
    <t>버프툰</t>
  </si>
  <si>
    <t>출판권자</t>
  </si>
  <si>
    <t>판매처</t>
  </si>
  <si>
    <t>판매유형</t>
  </si>
  <si>
    <t>부수</t>
  </si>
  <si>
    <t>정가</t>
  </si>
  <si>
    <t>할인</t>
  </si>
  <si>
    <t>수수료</t>
  </si>
  <si>
    <t>정산대상금액</t>
  </si>
  <si>
    <t>라스트 서바이버 : 진화로 살아남아라! 10</t>
  </si>
  <si>
    <t>B2B</t>
  </si>
  <si>
    <t>제주관광대학교</t>
  </si>
  <si>
    <t>라스트 서바이버 : 진화로 살아남아라! 11</t>
  </si>
  <si>
    <t>라스트 서바이버 : 진화로 살아남아라! 12</t>
  </si>
  <si>
    <t>라스트 서바이버 : 진화로 살아남아라! 13 (완결)</t>
  </si>
  <si>
    <t>라스트 서바이버 : 진화로 살아남아라! 2</t>
  </si>
  <si>
    <t>라스트 서바이버 : 진화로 살아남아라! 3</t>
  </si>
  <si>
    <t>라스트 서바이버 : 진화로 살아남아라! 4</t>
  </si>
  <si>
    <t>라스트 서바이버 : 진화로 살아남아라! 5</t>
  </si>
  <si>
    <t>라스트 서바이버 : 진화로 살아남아라! 6</t>
  </si>
  <si>
    <t>라스트 서바이버 : 진화로 살아남아라! 7</t>
  </si>
  <si>
    <t>라스트 서바이버 : 진화로 살아남아라! 8</t>
  </si>
  <si>
    <t>라스트 서바이버 : 진화로 살아남아라! 9</t>
  </si>
  <si>
    <t>B2C</t>
  </si>
  <si>
    <t>프리미엄</t>
  </si>
  <si>
    <t>문답무용 - 삼국지 유비의 모사가 되었다 2</t>
  </si>
  <si>
    <t>단권</t>
  </si>
  <si>
    <t>북큐브</t>
  </si>
  <si>
    <t>No</t>
  </si>
  <si>
    <t>도서명</t>
  </si>
  <si>
    <t>출판사판매가</t>
  </si>
  <si>
    <t>판매서점</t>
  </si>
  <si>
    <t>서점판매가</t>
  </si>
  <si>
    <t>서점환불가</t>
  </si>
  <si>
    <t>원가율</t>
  </si>
  <si>
    <t>출판사정산액</t>
  </si>
  <si>
    <t>이벤트구분</t>
  </si>
  <si>
    <t>판매구분</t>
  </si>
  <si>
    <t>이벤트판매가</t>
  </si>
  <si>
    <t>저자명</t>
  </si>
  <si>
    <t>출판사</t>
    <phoneticPr fontId="15" type="noConversion"/>
  </si>
  <si>
    <t>ePubID</t>
  </si>
  <si>
    <t>세트코드</t>
  </si>
  <si>
    <t>종이책ISBN</t>
  </si>
  <si>
    <t>전자책ISBN</t>
  </si>
  <si>
    <t>판매일</t>
  </si>
  <si>
    <t>환불일</t>
    <phoneticPr fontId="15" type="noConversion"/>
  </si>
  <si>
    <t>삼국지 호접몽전 1부 01권</t>
  </si>
  <si>
    <t>0</t>
  </si>
  <si>
    <t>YES24</t>
  </si>
  <si>
    <t>일반</t>
  </si>
  <si>
    <t>1186278</t>
  </si>
  <si>
    <t>2022-04-23 00:38:29.437</t>
  </si>
  <si>
    <t/>
  </si>
  <si>
    <t>삼국지 호접몽전 1부 02권</t>
  </si>
  <si>
    <t>3200</t>
  </si>
  <si>
    <t>1186279</t>
  </si>
  <si>
    <t>삼국지 호접몽전 1부 03권</t>
  </si>
  <si>
    <t>1186280</t>
  </si>
  <si>
    <t>삼국지 호접몽전 1부 04권</t>
  </si>
  <si>
    <t>1186281</t>
  </si>
  <si>
    <t>삼국지 호접몽전 1부 05권</t>
  </si>
  <si>
    <t>1186282</t>
  </si>
  <si>
    <t>삼국지 호접몽전 1부 06권</t>
  </si>
  <si>
    <t>1186283</t>
  </si>
  <si>
    <t>삼국지 호접몽전 1부 07권</t>
  </si>
  <si>
    <t>1186284</t>
  </si>
  <si>
    <t>삼국지 호접몽전 1부 08권</t>
  </si>
  <si>
    <t>1186285</t>
  </si>
  <si>
    <t>삼국지 호접몽전 1부 09권</t>
  </si>
  <si>
    <t>1186286</t>
  </si>
  <si>
    <t>삼국지 호접몽전 1부 10권</t>
  </si>
  <si>
    <t>1186287</t>
  </si>
  <si>
    <t>삼국지 호접몽전 1부 11권</t>
  </si>
  <si>
    <t>1186288</t>
  </si>
  <si>
    <t>삼국지 호접몽전 1부 12권</t>
  </si>
  <si>
    <t>1186289</t>
  </si>
  <si>
    <t>1186290</t>
  </si>
  <si>
    <t>1186291</t>
  </si>
  <si>
    <t>삼국지 호접몽전 2부 01권</t>
  </si>
  <si>
    <t>1186292</t>
  </si>
  <si>
    <t>삼국지 호접몽전 2부 02권</t>
  </si>
  <si>
    <t>1186293</t>
  </si>
  <si>
    <t>삼국지 호접몽전 2부 03권</t>
  </si>
  <si>
    <t>1186294</t>
  </si>
  <si>
    <t>삼국지 호접몽전 2부 04권</t>
  </si>
  <si>
    <t>1186295</t>
  </si>
  <si>
    <t>삼국지 호접몽전 2부 05권</t>
  </si>
  <si>
    <t>1186296</t>
  </si>
  <si>
    <t>삼국지 호접몽전 2부 06권</t>
  </si>
  <si>
    <t>1186297</t>
  </si>
  <si>
    <t>삼국지 호접몽전 2부 07권</t>
  </si>
  <si>
    <t>1186298</t>
  </si>
  <si>
    <t>삼국지 호접몽전 2부 08권</t>
  </si>
  <si>
    <t>1186299</t>
  </si>
  <si>
    <t>삼국지 호접몽전 2부 09권</t>
  </si>
  <si>
    <t>1186300</t>
  </si>
  <si>
    <t>1186301</t>
  </si>
  <si>
    <t>9791159289460</t>
  </si>
  <si>
    <t>1186302</t>
  </si>
  <si>
    <t>9791159289477</t>
  </si>
  <si>
    <t>1186303</t>
  </si>
  <si>
    <t>9791159289484</t>
  </si>
  <si>
    <t>삼국지 호접몽전 3부 3권</t>
  </si>
  <si>
    <t>1186304</t>
  </si>
  <si>
    <t>9791159289491</t>
  </si>
  <si>
    <t>삼국지 호접몽전 3부 4권</t>
  </si>
  <si>
    <t>1186305</t>
  </si>
  <si>
    <t>9791159289507</t>
  </si>
  <si>
    <t>삼국지 호접몽전 3부 5권</t>
  </si>
  <si>
    <t>1186306</t>
  </si>
  <si>
    <t>9791159289514</t>
  </si>
  <si>
    <t>삼국지 호접몽전 3부 6권</t>
  </si>
  <si>
    <t>1186307</t>
  </si>
  <si>
    <t>9791159289521</t>
  </si>
  <si>
    <t>삼국지 호접몽전 4부 1권</t>
  </si>
  <si>
    <t>1186308</t>
  </si>
  <si>
    <t>9791159289538</t>
  </si>
  <si>
    <t>삼국지 호접몽전 4부 2권</t>
  </si>
  <si>
    <t>1186309</t>
  </si>
  <si>
    <t>9791159289545</t>
  </si>
  <si>
    <t>삼국지 호접몽전 4부 3권</t>
  </si>
  <si>
    <t>1186310</t>
  </si>
  <si>
    <t>9791159289552</t>
  </si>
  <si>
    <t>삼국지 호접몽전 4부 4권 (완결)</t>
  </si>
  <si>
    <t>1186311</t>
  </si>
  <si>
    <t>9791159289569</t>
  </si>
  <si>
    <t>라스트 서바이버 : 진화로 살아남아라! 01권</t>
  </si>
  <si>
    <t>1285414</t>
  </si>
  <si>
    <t>2022-04-12 02:47:47.133</t>
  </si>
  <si>
    <t>[세트] 삼국지 호접몽전 (총34권/완결)</t>
  </si>
  <si>
    <t>105600</t>
  </si>
  <si>
    <t>세트 일반</t>
  </si>
  <si>
    <t>45672</t>
  </si>
  <si>
    <t>2022-03-31 23:04:29.977</t>
  </si>
  <si>
    <t>2022-04-01 05:07:37.593</t>
  </si>
  <si>
    <t>2022-03-31 22:56:10.71</t>
  </si>
  <si>
    <t>2022-04-01 05:05:50.087</t>
  </si>
  <si>
    <t>예스이십사</t>
  </si>
  <si>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</si>
  <si>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</si>
  <si>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</si>
  <si>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</si>
  <si>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</si>
  <si>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</si>
  <si>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</si>
  <si>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</si>
  <si>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</si>
  <si>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</si>
  <si>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글작가</t>
  </si>
  <si>
    <t>그림작가</t>
  </si>
  <si>
    <t>타입</t>
    <phoneticPr fontId="15" type="noConversion"/>
  </si>
  <si>
    <t>판매건수</t>
  </si>
  <si>
    <t>취소건수</t>
  </si>
  <si>
    <t>정액제 정산대상액</t>
  </si>
  <si>
    <t>판매_건수</t>
    <phoneticPr fontId="15" type="noConversion"/>
  </si>
  <si>
    <t>판매_금액</t>
    <phoneticPr fontId="15" type="noConversion"/>
  </si>
  <si>
    <t>취소_건수</t>
    <phoneticPr fontId="15" type="noConversion"/>
  </si>
  <si>
    <t>취소_금액</t>
    <phoneticPr fontId="15" type="noConversion"/>
  </si>
  <si>
    <t>결제수단_고객결제</t>
    <phoneticPr fontId="15" type="noConversion"/>
  </si>
  <si>
    <t>결제수단_고객결제(현금영수증)</t>
    <phoneticPr fontId="15" type="noConversion"/>
  </si>
  <si>
    <t>결제수단_쿠폰/포인트등</t>
    <phoneticPr fontId="15" type="noConversion"/>
  </si>
  <si>
    <t>서비스이용료_고객결제서비스이용료</t>
    <phoneticPr fontId="15" type="noConversion"/>
  </si>
  <si>
    <t>서비스이용료_쿠폰/포인트 등</t>
    <phoneticPr fontId="15" type="noConversion"/>
  </si>
  <si>
    <t>서비스이용료_차감</t>
    <phoneticPr fontId="15" type="noConversion"/>
  </si>
  <si>
    <t>정산지급액</t>
  </si>
  <si>
    <t>정산유형</t>
  </si>
  <si>
    <t>주식회사 스토리위즈</t>
  </si>
  <si>
    <t>storywiz1</t>
  </si>
  <si>
    <t>원스토어㈜</t>
  </si>
  <si>
    <t>H038934564</t>
  </si>
  <si>
    <t>호접몽전</t>
  </si>
  <si>
    <t>호접몽전 1부 10권</t>
  </si>
  <si>
    <t>H038934733</t>
  </si>
  <si>
    <t>2차</t>
  </si>
  <si>
    <t>eBook</t>
  </si>
  <si>
    <t>단행</t>
  </si>
  <si>
    <t>정규</t>
  </si>
  <si>
    <t>호접몽전 1부 11권</t>
  </si>
  <si>
    <t>H038934732</t>
  </si>
  <si>
    <t>호접몽전 1부 12권</t>
  </si>
  <si>
    <t>H038934731</t>
  </si>
  <si>
    <t>호접몽전 1부 13권</t>
  </si>
  <si>
    <t>H038934730</t>
  </si>
  <si>
    <t>호접몽전 1부 14권</t>
  </si>
  <si>
    <t>H038934729</t>
  </si>
  <si>
    <t>호접몽전 1부 2권</t>
  </si>
  <si>
    <t>H038934741</t>
  </si>
  <si>
    <t>호접몽전 1부 3권</t>
  </si>
  <si>
    <t>H038934740</t>
  </si>
  <si>
    <t>호접몽전 1부 6권</t>
  </si>
  <si>
    <t>H038934737</t>
  </si>
  <si>
    <t>호접몽전 2부 10권</t>
  </si>
  <si>
    <t>H038934719</t>
  </si>
  <si>
    <t>호접몽전 2부 1권</t>
  </si>
  <si>
    <t>H038934728</t>
  </si>
  <si>
    <t>호접몽전 2부 2권</t>
  </si>
  <si>
    <t>H038934727</t>
  </si>
  <si>
    <t>호접몽전 2부 3권</t>
  </si>
  <si>
    <t>H038934726</t>
  </si>
  <si>
    <t>호접몽전 2부 4권</t>
  </si>
  <si>
    <t>H038934725</t>
  </si>
  <si>
    <t>호접몽전 2부 5권</t>
  </si>
  <si>
    <t>H038934724</t>
  </si>
  <si>
    <t>호접몽전 2부 6권</t>
  </si>
  <si>
    <t>H038934723</t>
  </si>
  <si>
    <t>호접몽전 2부 7권</t>
  </si>
  <si>
    <t>H038934722</t>
  </si>
  <si>
    <t>호접몽전 2부 8권</t>
  </si>
  <si>
    <t>H038934721</t>
  </si>
  <si>
    <t>호접몽전 2부 9권</t>
  </si>
  <si>
    <t>H038934720</t>
  </si>
  <si>
    <t>호접몽전 3부 1권</t>
  </si>
  <si>
    <t>H038934718</t>
  </si>
  <si>
    <t>호접몽전 3부 2권</t>
  </si>
  <si>
    <t>H038934717</t>
  </si>
  <si>
    <t>호접몽전 3부 3권</t>
  </si>
  <si>
    <t>H038934716</t>
  </si>
  <si>
    <t>호접몽전 3부 4권</t>
  </si>
  <si>
    <t>H038934715</t>
  </si>
  <si>
    <t>호접몽전 3부 5권</t>
  </si>
  <si>
    <t>H038934714</t>
  </si>
  <si>
    <t>호접몽전 3부 6권</t>
  </si>
  <si>
    <t>H038934713</t>
  </si>
  <si>
    <t>호접몽전 4부 1권</t>
  </si>
  <si>
    <t>H038934712</t>
  </si>
  <si>
    <t>호접몽전 4부 2권</t>
  </si>
  <si>
    <t>H038934711</t>
  </si>
  <si>
    <t>호접몽전 4부 3권</t>
  </si>
  <si>
    <t>H038934710</t>
  </si>
  <si>
    <t>호접몽전 4부 4권 (완결)</t>
  </si>
  <si>
    <t>H038934709</t>
  </si>
  <si>
    <t>H040204830</t>
  </si>
  <si>
    <t>문답무용 - 삼국지 유비의 모사가 되었다 100회</t>
  </si>
  <si>
    <t>H040223440</t>
  </si>
  <si>
    <t>연재</t>
  </si>
  <si>
    <t>문답무용 - 삼국지 유비의 모사가 되었다 101회</t>
  </si>
  <si>
    <t>H040223439</t>
  </si>
  <si>
    <t>문답무용 - 삼국지 유비의 모사가 되었다 103회</t>
  </si>
  <si>
    <t>H040223437</t>
  </si>
  <si>
    <t>문답무용 - 삼국지 유비의 모사가 되었다 104회</t>
  </si>
  <si>
    <t>H040223436</t>
  </si>
  <si>
    <t>문답무용 - 삼국지 유비의 모사가 되었다 105회</t>
  </si>
  <si>
    <t>H040223435</t>
  </si>
  <si>
    <t>문답무용 - 삼국지 유비의 모사가 되었다 151회</t>
  </si>
  <si>
    <t>151</t>
  </si>
  <si>
    <t>H040223389</t>
  </si>
  <si>
    <t>문답무용 - 삼국지 유비의 모사가 되었다 201회</t>
  </si>
  <si>
    <t>201</t>
  </si>
  <si>
    <t>H040223339</t>
  </si>
  <si>
    <t>문답무용 - 삼국지 유비의 모사가 되었다 245회 (완결)</t>
  </si>
  <si>
    <t>245</t>
  </si>
  <si>
    <t>H040223295</t>
  </si>
  <si>
    <t>문답무용 - 삼국지 유비의 모사가 되었다 26회</t>
  </si>
  <si>
    <t>H040223514</t>
  </si>
  <si>
    <t>문답무용 - 삼국지 유비의 모사가 되었다 27회</t>
  </si>
  <si>
    <t>H040223513</t>
  </si>
  <si>
    <t>문답무용 - 삼국지 유비의 모사가 되었다 28회</t>
  </si>
  <si>
    <t>H040223512</t>
  </si>
  <si>
    <t>문답무용 - 삼국지 유비의 모사가 되었다 29회</t>
  </si>
  <si>
    <t>H040223511</t>
  </si>
  <si>
    <t>문답무용 - 삼국지 유비의 모사가 되었다 30회</t>
  </si>
  <si>
    <t>H040223510</t>
  </si>
  <si>
    <t>문답무용 - 삼국지 유비의 모사가 되었다 32회</t>
  </si>
  <si>
    <t>H040223508</t>
  </si>
  <si>
    <t>문답무용 - 삼국지 유비의 모사가 되었다 33회</t>
  </si>
  <si>
    <t>H040223507</t>
  </si>
  <si>
    <t>문답무용 - 삼국지 유비의 모사가 되었다 34회</t>
  </si>
  <si>
    <t>H040223506</t>
  </si>
  <si>
    <t>문답무용 - 삼국지 유비의 모사가 되었다 35회</t>
  </si>
  <si>
    <t>H040223505</t>
  </si>
  <si>
    <t>문답무용 - 삼국지 유비의 모사가 되었다 36회</t>
  </si>
  <si>
    <t>H040223504</t>
  </si>
  <si>
    <t>문답무용 - 삼국지 유비의 모사가 되었다 37회</t>
  </si>
  <si>
    <t>H040223503</t>
  </si>
  <si>
    <t>문답무용 - 삼국지 유비의 모사가 되었다 38회</t>
  </si>
  <si>
    <t>H040223502</t>
  </si>
  <si>
    <t>문답무용 - 삼국지 유비의 모사가 되었다 39회</t>
  </si>
  <si>
    <t>H040223501</t>
  </si>
  <si>
    <t>문답무용 - 삼국지 유비의 모사가 되었다 41회</t>
  </si>
  <si>
    <t>H040223499</t>
  </si>
  <si>
    <t>문답무용 - 삼국지 유비의 모사가 되었다 42회</t>
  </si>
  <si>
    <t>H040223498</t>
  </si>
  <si>
    <t>문답무용 - 삼국지 유비의 모사가 되었다 43회</t>
  </si>
  <si>
    <t>H040223497</t>
  </si>
  <si>
    <t>문답무용 - 삼국지 유비의 모사가 되었다 44회</t>
  </si>
  <si>
    <t>H040223496</t>
  </si>
  <si>
    <t>문답무용 - 삼국지 유비의 모사가 되었다 45회</t>
  </si>
  <si>
    <t>H040223495</t>
  </si>
  <si>
    <t>문답무용 - 삼국지 유비의 모사가 되었다 46회</t>
  </si>
  <si>
    <t>H040223494</t>
  </si>
  <si>
    <t>문답무용 - 삼국지 유비의 모사가 되었다 48회</t>
  </si>
  <si>
    <t>H040223492</t>
  </si>
  <si>
    <t>문답무용 - 삼국지 유비의 모사가 되었다 49회</t>
  </si>
  <si>
    <t>H040223491</t>
  </si>
  <si>
    <t>문답무용 - 삼국지 유비의 모사가 되었다 50회</t>
  </si>
  <si>
    <t>H040223490</t>
  </si>
  <si>
    <t>문답무용 - 삼국지 유비의 모사가 되었다 51회</t>
  </si>
  <si>
    <t>H040223489</t>
  </si>
  <si>
    <t>문답무용 - 삼국지 유비의 모사가 되었다 53회</t>
  </si>
  <si>
    <t>H040223487</t>
  </si>
  <si>
    <t>문답무용 - 삼국지 유비의 모사가 되었다 54회</t>
  </si>
  <si>
    <t>H040223486</t>
  </si>
  <si>
    <t>문답무용 - 삼국지 유비의 모사가 되었다 55회</t>
  </si>
  <si>
    <t>H040223485</t>
  </si>
  <si>
    <t>문답무용 - 삼국지 유비의 모사가 되었다 56회</t>
  </si>
  <si>
    <t>H040223484</t>
  </si>
  <si>
    <t>문답무용 - 삼국지 유비의 모사가 되었다 57회</t>
  </si>
  <si>
    <t>H040223483</t>
  </si>
  <si>
    <t>문답무용 - 삼국지 유비의 모사가 되었다 59회</t>
  </si>
  <si>
    <t>H040223481</t>
  </si>
  <si>
    <t>문답무용 - 삼국지 유비의 모사가 되었다 60회</t>
  </si>
  <si>
    <t>H040223480</t>
  </si>
  <si>
    <t>문답무용 - 삼국지 유비의 모사가 되었다 61회</t>
  </si>
  <si>
    <t>H040223479</t>
  </si>
  <si>
    <t>문답무용 - 삼국지 유비의 모사가 되었다 62회</t>
  </si>
  <si>
    <t>H040223478</t>
  </si>
  <si>
    <t>문답무용 - 삼국지 유비의 모사가 되었다 63회</t>
  </si>
  <si>
    <t>H040223477</t>
  </si>
  <si>
    <t>문답무용 - 삼국지 유비의 모사가 되었다 64회</t>
  </si>
  <si>
    <t>H040223476</t>
  </si>
  <si>
    <t>문답무용 - 삼국지 유비의 모사가 되었다 65회</t>
  </si>
  <si>
    <t>H040223475</t>
  </si>
  <si>
    <t>문답무용 - 삼국지 유비의 모사가 되었다 66회</t>
  </si>
  <si>
    <t>H040223474</t>
  </si>
  <si>
    <t>문답무용 - 삼국지 유비의 모사가 되었다 67회</t>
  </si>
  <si>
    <t>H040223473</t>
  </si>
  <si>
    <t>문답무용 - 삼국지 유비의 모사가 되었다 68회</t>
  </si>
  <si>
    <t>H040223472</t>
  </si>
  <si>
    <t>문답무용 - 삼국지 유비의 모사가 되었다 70회</t>
  </si>
  <si>
    <t>H040223470</t>
  </si>
  <si>
    <t>문답무용 - 삼국지 유비의 모사가 되었다 71회</t>
  </si>
  <si>
    <t>H040223469</t>
  </si>
  <si>
    <t>문답무용 - 삼국지 유비의 모사가 되었다 72회</t>
  </si>
  <si>
    <t>H040223468</t>
  </si>
  <si>
    <t>문답무용 - 삼국지 유비의 모사가 되었다 73회</t>
  </si>
  <si>
    <t>H040223467</t>
  </si>
  <si>
    <t>문답무용 - 삼국지 유비의 모사가 되었다 75회</t>
  </si>
  <si>
    <t>H040223465</t>
  </si>
  <si>
    <t>문답무용 - 삼국지 유비의 모사가 되었다 77회</t>
  </si>
  <si>
    <t>H040223463</t>
  </si>
  <si>
    <t>문답무용 - 삼국지 유비의 모사가 되었다 78회</t>
  </si>
  <si>
    <t>H040223462</t>
  </si>
  <si>
    <t>문답무용 - 삼국지 유비의 모사가 되었다 79회</t>
  </si>
  <si>
    <t>H040223461</t>
  </si>
  <si>
    <t>문답무용 - 삼국지 유비의 모사가 되었다 80회</t>
  </si>
  <si>
    <t>H040223460</t>
  </si>
  <si>
    <t>문답무용 - 삼국지 유비의 모사가 되었다 82회</t>
  </si>
  <si>
    <t>H040223458</t>
  </si>
  <si>
    <t>문답무용 - 삼국지 유비의 모사가 되었다 83회</t>
  </si>
  <si>
    <t>H040223457</t>
  </si>
  <si>
    <t>문답무용 - 삼국지 유비의 모사가 되었다 84회</t>
  </si>
  <si>
    <t>H040223456</t>
  </si>
  <si>
    <t>문답무용 - 삼국지 유비의 모사가 되었다 85회</t>
  </si>
  <si>
    <t>H040223455</t>
  </si>
  <si>
    <t>문답무용 - 삼국지 유비의 모사가 되었다 86회</t>
  </si>
  <si>
    <t>H040223454</t>
  </si>
  <si>
    <t>문답무용 - 삼국지 유비의 모사가 되었다 87회</t>
  </si>
  <si>
    <t>H040223453</t>
  </si>
  <si>
    <t>문답무용 - 삼국지 유비의 모사가 되었다 88회</t>
  </si>
  <si>
    <t>H040223452</t>
  </si>
  <si>
    <t>문답무용 - 삼국지 유비의 모사가 되었다 89회</t>
  </si>
  <si>
    <t>H040223451</t>
  </si>
  <si>
    <t>문답무용 - 삼국지 유비의 모사가 되었다 90회</t>
  </si>
  <si>
    <t>H040223450</t>
  </si>
  <si>
    <t>문답무용 - 삼국지 유비의 모사가 되었다 91회</t>
  </si>
  <si>
    <t>H040223449</t>
  </si>
  <si>
    <t>문답무용 - 삼국지 유비의 모사가 되었다 92회</t>
  </si>
  <si>
    <t>H040223448</t>
  </si>
  <si>
    <t>문답무용 - 삼국지 유비의 모사가 되었다 93회</t>
  </si>
  <si>
    <t>H040223447</t>
  </si>
  <si>
    <t>문답무용 - 삼국지 유비의 모사가 되었다 94회</t>
  </si>
  <si>
    <t>H040223446</t>
  </si>
  <si>
    <t>문답무용 - 삼국지 유비의 모사가 되었다 95회</t>
  </si>
  <si>
    <t>H040223445</t>
  </si>
  <si>
    <t>문답무용 - 삼국지 유비의 모사가 되었다 96회</t>
  </si>
  <si>
    <t>H040223444</t>
  </si>
  <si>
    <t>문답무용 - 삼국지 유비의 모사가 되었다 97회</t>
  </si>
  <si>
    <t>H040223443</t>
  </si>
  <si>
    <t>문답무용 - 삼국지 유비의 모사가 되었다 98회</t>
  </si>
  <si>
    <t>H040223442</t>
  </si>
  <si>
    <t>문답무용 - 삼국지 유비의 모사가 되었다 99회</t>
  </si>
  <si>
    <t>H040223441</t>
  </si>
  <si>
    <t>H040423313</t>
  </si>
  <si>
    <t>라스트 서바이버 132회</t>
  </si>
  <si>
    <t>132</t>
  </si>
  <si>
    <t>H040423559</t>
  </si>
  <si>
    <t>라스트 서바이버 133회</t>
  </si>
  <si>
    <t>133</t>
  </si>
  <si>
    <t>H040423558</t>
  </si>
  <si>
    <t>라스트 서바이버 134회</t>
  </si>
  <si>
    <t>134</t>
  </si>
  <si>
    <t>H040423557</t>
  </si>
  <si>
    <t>H040585192</t>
  </si>
  <si>
    <t>문답무용 - 삼국지 유비의 모사가 되었다 10권</t>
  </si>
  <si>
    <t>H040585197</t>
  </si>
  <si>
    <t>문답무용 - 삼국지 유비의 모사가 되었다 11권 (완결)</t>
  </si>
  <si>
    <t>H040585196</t>
  </si>
  <si>
    <t>문답무용 - 삼국지 유비의 모사가 되었다 3권</t>
  </si>
  <si>
    <t>H040585204</t>
  </si>
  <si>
    <t>문답무용 - 삼국지 유비의 모사가 되었다 4권</t>
  </si>
  <si>
    <t>H040585203</t>
  </si>
  <si>
    <t>문답무용 - 삼국지 유비의 모사가 되었다 5권</t>
  </si>
  <si>
    <t>H040585202</t>
  </si>
  <si>
    <t>문답무용 - 삼국지 유비의 모사가 되었다 6권</t>
  </si>
  <si>
    <t>H040585201</t>
  </si>
  <si>
    <t>문답무용 - 삼국지 유비의 모사가 되었다 7권</t>
  </si>
  <si>
    <t>H040585200</t>
  </si>
  <si>
    <t>문답무용 - 삼국지 유비의 모사가 되었다 8권</t>
  </si>
  <si>
    <t>H040585199</t>
  </si>
  <si>
    <t>문답무용 - 삼국지 유비의 모사가 되었다 9권</t>
  </si>
  <si>
    <t>H040585198</t>
  </si>
  <si>
    <t>원스토어</t>
  </si>
  <si>
    <t>단가</t>
  </si>
  <si>
    <t>비율</t>
  </si>
  <si>
    <t>출판사명</t>
    <phoneticPr fontId="2" type="noConversion"/>
  </si>
  <si>
    <t>조아라</t>
  </si>
  <si>
    <t>상품구분</t>
  </si>
  <si>
    <t>대분류</t>
  </si>
  <si>
    <t>중분류</t>
  </si>
  <si>
    <t>바코드</t>
  </si>
  <si>
    <t>판매채널</t>
  </si>
  <si>
    <t>회차수</t>
  </si>
  <si>
    <t>공급사</t>
  </si>
  <si>
    <t>판매가</t>
  </si>
  <si>
    <t>정산대상 기준 판매금액</t>
  </si>
  <si>
    <t>수량</t>
  </si>
  <si>
    <t>총판매금액</t>
  </si>
  <si>
    <t>정산대상 기준 총 판매금액</t>
  </si>
  <si>
    <t>정산율</t>
  </si>
  <si>
    <t>출판사</t>
    <phoneticPr fontId="15" type="noConversion"/>
  </si>
  <si>
    <t>웹소설</t>
  </si>
  <si>
    <t>판타지</t>
  </si>
  <si>
    <t>퓨전</t>
  </si>
  <si>
    <t>76M2012152412</t>
  </si>
  <si>
    <t>ANDROID</t>
  </si>
  <si>
    <t>스토리위즈(주)</t>
  </si>
  <si>
    <t>소장 판매</t>
  </si>
  <si>
    <t>스토리위즈</t>
    <phoneticPr fontId="15" type="noConversion"/>
  </si>
  <si>
    <t>톡소다</t>
  </si>
  <si>
    <t>플랫폼별 매출 내역</t>
    <phoneticPr fontId="2" type="noConversion"/>
  </si>
  <si>
    <t>유통처</t>
    <phoneticPr fontId="2" type="noConversion"/>
  </si>
  <si>
    <t>스토리위즈 매출액</t>
    <phoneticPr fontId="2" type="noConversion"/>
  </si>
  <si>
    <t>4월</t>
    <phoneticPr fontId="2" type="noConversion"/>
  </si>
  <si>
    <t>구분</t>
    <phoneticPr fontId="2" type="noConversion"/>
  </si>
  <si>
    <t>순매출(합계-수수료)</t>
    <phoneticPr fontId="2" type="noConversion"/>
  </si>
  <si>
    <t>SW매출</t>
    <phoneticPr fontId="2" type="noConversion"/>
  </si>
  <si>
    <t>절대자의 귀환</t>
  </si>
  <si>
    <t>장유진</t>
  </si>
  <si>
    <t>12세 이상 이용가능</t>
  </si>
  <si>
    <t>2021.01.19</t>
  </si>
  <si>
    <t>절대자의 귀환 [단행본]</t>
  </si>
  <si>
    <t>2021.04.15</t>
  </si>
  <si>
    <t>앱마켓 수수료(30%)</t>
    <phoneticPr fontId="2" type="noConversion"/>
  </si>
  <si>
    <t>[e북]절대자의 귀환 2권</t>
  </si>
  <si>
    <t>[e북]절대자의 귀환</t>
  </si>
  <si>
    <t>9791166069772</t>
  </si>
  <si>
    <t>[e북]절대자의 귀환 3권</t>
  </si>
  <si>
    <t>9791166069789</t>
  </si>
  <si>
    <t>[e북]절대자의 귀환 4권</t>
  </si>
  <si>
    <t>9791166069796</t>
  </si>
  <si>
    <t>절대자의 귀환 26화</t>
  </si>
  <si>
    <t>9791166069154</t>
  </si>
  <si>
    <t>절대자의 귀환 27화</t>
  </si>
  <si>
    <t>절대자의 귀환 28화</t>
  </si>
  <si>
    <t>절대자의 귀환 29화</t>
  </si>
  <si>
    <t>절대자의 귀환 30화</t>
  </si>
  <si>
    <t>절대자의 귀환 31화</t>
  </si>
  <si>
    <t>절대자의 귀환 32화</t>
  </si>
  <si>
    <t>절대자의 귀환 1화</t>
  </si>
  <si>
    <t>절대자의 귀환 2화</t>
  </si>
  <si>
    <t>절대자의 귀환 3화</t>
  </si>
  <si>
    <t>절대자의 귀환 4화</t>
  </si>
  <si>
    <t>절대자의 귀환 5화</t>
  </si>
  <si>
    <t>절대자의 귀환 6화</t>
  </si>
  <si>
    <t>절대자의 귀환 7화</t>
  </si>
  <si>
    <t>절대자의 귀환 8화</t>
  </si>
  <si>
    <t>절대자의 귀환 9화</t>
  </si>
  <si>
    <t>절대자의 귀환 10화</t>
  </si>
  <si>
    <t>절대자의 귀환 11화</t>
  </si>
  <si>
    <t>절대자의 귀환 12화</t>
  </si>
  <si>
    <t>절대자의 귀환 13화</t>
  </si>
  <si>
    <t>절대자의 귀환 14화</t>
  </si>
  <si>
    <t>절대자의 귀환 15화</t>
  </si>
  <si>
    <t>절대자의 귀환 16화</t>
  </si>
  <si>
    <t>절대자의 귀환 17화</t>
  </si>
  <si>
    <t>절대자의 귀환 18화</t>
  </si>
  <si>
    <t>절대자의 귀환 19화</t>
  </si>
  <si>
    <t>절대자의 귀환 20화</t>
  </si>
  <si>
    <t>절대자의 귀환 21화</t>
  </si>
  <si>
    <t>절대자의 귀환 22화</t>
  </si>
  <si>
    <t>절대자의 귀환 23화</t>
  </si>
  <si>
    <t>절대자의 귀환 24화</t>
  </si>
  <si>
    <t>절대자의 귀환 25화</t>
  </si>
  <si>
    <t>[e북]절대자의 귀환 1권</t>
  </si>
  <si>
    <t>9791166069765</t>
  </si>
  <si>
    <t>수수료공제액</t>
    <phoneticPr fontId="2" type="noConversion"/>
  </si>
  <si>
    <t>장유진</t>
    <phoneticPr fontId="2" type="noConversion"/>
  </si>
  <si>
    <t>절대자의 귀환 [D]</t>
  </si>
  <si>
    <t>절대자의 귀환 [장유진 작가 - 퓨전판타지 소설]</t>
  </si>
  <si>
    <t>코드</t>
  </si>
  <si>
    <t>정액_건수</t>
    <phoneticPr fontId="15" type="noConversion"/>
  </si>
  <si>
    <t>정액_매출액</t>
    <phoneticPr fontId="15" type="noConversion"/>
  </si>
  <si>
    <t>정액_정산액</t>
    <phoneticPr fontId="15" type="noConversion"/>
  </si>
  <si>
    <t>블루머니_권별대여_건수</t>
    <phoneticPr fontId="2" type="noConversion"/>
  </si>
  <si>
    <t>블루머니_권별대여_이용권(화) 수</t>
    <phoneticPr fontId="2" type="noConversion"/>
  </si>
  <si>
    <t>블루머니_권별대여_매출액</t>
    <phoneticPr fontId="2" type="noConversion"/>
  </si>
  <si>
    <t>블루머니_권별소장_건수</t>
    <phoneticPr fontId="2" type="noConversion"/>
  </si>
  <si>
    <t>블루머니_권별소장_이용권(화) 수</t>
    <phoneticPr fontId="2" type="noConversion"/>
  </si>
  <si>
    <t>블루머니_권별소장_매출액</t>
    <phoneticPr fontId="2" type="noConversion"/>
  </si>
  <si>
    <t>블루머니_전권대여_건수</t>
    <phoneticPr fontId="2" type="noConversion"/>
  </si>
  <si>
    <t>블루머니_전권대여_이용권(화) 수</t>
    <phoneticPr fontId="2" type="noConversion"/>
  </si>
  <si>
    <t>블루머니_전권대여_매출액</t>
    <phoneticPr fontId="2" type="noConversion"/>
  </si>
  <si>
    <t>블루머니_전권소장_건수</t>
    <phoneticPr fontId="2" type="noConversion"/>
  </si>
  <si>
    <t>블루머니_전권소장_이용권(화) 수</t>
    <phoneticPr fontId="2" type="noConversion"/>
  </si>
  <si>
    <t>블루머니_전권소장_매출액</t>
    <phoneticPr fontId="2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</si>
  <si>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</si>
  <si>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</si>
  <si>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</si>
  <si>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</si>
  <si>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</si>
  <si>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</si>
  <si>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</si>
  <si>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</si>
  <si>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</si>
  <si>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</si>
  <si>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</si>
  <si>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</si>
  <si>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계_건수</t>
    <phoneticPr fontId="2" type="noConversion"/>
  </si>
  <si>
    <t>계_이용권(화)수</t>
    <phoneticPr fontId="2" type="noConversion"/>
  </si>
  <si>
    <t>계_매출액</t>
    <phoneticPr fontId="2" type="noConversion"/>
  </si>
  <si>
    <t>계_정산액</t>
    <phoneticPr fontId="2" type="noConversion"/>
  </si>
  <si>
    <t>매출액</t>
    <phoneticPr fontId="15" type="noConversion"/>
  </si>
  <si>
    <t>정산액</t>
    <phoneticPr fontId="15" type="noConversion"/>
  </si>
  <si>
    <t>절대자의 귀환 (연재)</t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</si>
  <si>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</si>
  <si>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</si>
  <si>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</si>
  <si>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</si>
  <si>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</si>
  <si>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</si>
  <si>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</si>
  <si>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</si>
  <si>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시리즈ID</t>
  </si>
  <si>
    <t>발행자가 부여하는 코드</t>
    <phoneticPr fontId="15" type="noConversion"/>
  </si>
  <si>
    <t>레이블</t>
    <phoneticPr fontId="15" type="noConversion"/>
  </si>
  <si>
    <t>ISBN(유/무)</t>
  </si>
  <si>
    <t>CP정산율_안드로이드/이벤트캐시</t>
  </si>
  <si>
    <t>CP정산율_iOS</t>
  </si>
  <si>
    <t>이용권 종류</t>
  </si>
  <si>
    <t>이용권 금액</t>
  </si>
  <si>
    <t>캐시_합계</t>
    <phoneticPr fontId="2" type="noConversion"/>
  </si>
  <si>
    <t>캐시_CPP</t>
    <phoneticPr fontId="2" type="noConversion"/>
  </si>
  <si>
    <t>캐시_CPI</t>
    <phoneticPr fontId="2" type="noConversion"/>
  </si>
  <si>
    <t>캐시_CP1</t>
    <phoneticPr fontId="2" type="noConversion"/>
  </si>
  <si>
    <t>캐시_CP2</t>
    <phoneticPr fontId="2" type="noConversion"/>
  </si>
  <si>
    <t>캐시_CP3</t>
    <phoneticPr fontId="2" type="noConversion"/>
  </si>
  <si>
    <t>캐시_CP7</t>
    <phoneticPr fontId="2" type="noConversion"/>
  </si>
  <si>
    <t>캐시_CP8</t>
    <phoneticPr fontId="2" type="noConversion"/>
  </si>
  <si>
    <t>캐시_CP9</t>
    <phoneticPr fontId="2" type="noConversion"/>
  </si>
  <si>
    <t>캐시_이벤트캐시</t>
    <phoneticPr fontId="2" type="noConversion"/>
  </si>
  <si>
    <t>원화_합계</t>
    <phoneticPr fontId="2" type="noConversion"/>
  </si>
  <si>
    <t>원화_CPP</t>
    <phoneticPr fontId="2" type="noConversion"/>
  </si>
  <si>
    <t>원화_CPI</t>
    <phoneticPr fontId="2" type="noConversion"/>
  </si>
  <si>
    <t>원화_CP1</t>
    <phoneticPr fontId="2" type="noConversion"/>
  </si>
  <si>
    <t>원화_CP2</t>
    <phoneticPr fontId="2" type="noConversion"/>
  </si>
  <si>
    <t>원화_CP3</t>
    <phoneticPr fontId="2" type="noConversion"/>
  </si>
  <si>
    <t>원화_CP7</t>
    <phoneticPr fontId="2" type="noConversion"/>
  </si>
  <si>
    <t>원화_CP8</t>
    <phoneticPr fontId="2" type="noConversion"/>
  </si>
  <si>
    <t>원화_CP9</t>
    <phoneticPr fontId="2" type="noConversion"/>
  </si>
  <si>
    <t>원화_이벤트캐시</t>
    <phoneticPr fontId="2" type="noConversion"/>
  </si>
  <si>
    <t>공급가액</t>
  </si>
  <si>
    <t>부가세</t>
  </si>
  <si>
    <t>공급대가</t>
  </si>
  <si>
    <t>일반계약</t>
  </si>
  <si>
    <t>3828601768</t>
  </si>
  <si>
    <t>면세</t>
  </si>
  <si>
    <t>N</t>
  </si>
  <si>
    <t>소설</t>
  </si>
  <si>
    <t>Y</t>
  </si>
  <si>
    <t>단일 이용권</t>
  </si>
  <si>
    <t>시리즈 이용권 패키지</t>
  </si>
  <si>
    <t>네이버APP(장유진)</t>
    <phoneticPr fontId="2" type="noConversion"/>
  </si>
  <si>
    <t>리디북스1(장유진)</t>
    <phoneticPr fontId="2" type="noConversion"/>
  </si>
  <si>
    <t>무툰(장유진)</t>
    <phoneticPr fontId="2" type="noConversion"/>
  </si>
  <si>
    <t>문피아(장유진)</t>
    <phoneticPr fontId="2" type="noConversion"/>
  </si>
  <si>
    <t>미스터블루(장유진)</t>
    <phoneticPr fontId="2" type="noConversion"/>
  </si>
  <si>
    <t>카카오(장유진)</t>
    <phoneticPr fontId="2" type="noConversion"/>
  </si>
  <si>
    <t>구분</t>
    <phoneticPr fontId="2" type="noConversion"/>
  </si>
  <si>
    <t>금액</t>
    <phoneticPr fontId="2" type="noConversion"/>
  </si>
  <si>
    <t>선MG</t>
  </si>
  <si>
    <t>보증보험료</t>
    <phoneticPr fontId="2" type="noConversion"/>
  </si>
  <si>
    <t>총 합계</t>
    <phoneticPr fontId="2" type="noConversion"/>
  </si>
  <si>
    <t>대상월</t>
    <phoneticPr fontId="2" type="noConversion"/>
  </si>
  <si>
    <t>스토리위즈 매출액</t>
    <phoneticPr fontId="2" type="noConversion"/>
  </si>
  <si>
    <t>잔여 선MG</t>
    <phoneticPr fontId="2" type="noConversion"/>
  </si>
  <si>
    <t>카카오 선MG 차감 내역</t>
    <phoneticPr fontId="2" type="noConversion"/>
  </si>
  <si>
    <t>당월 차감 MG</t>
    <phoneticPr fontId="2" type="noConversion"/>
  </si>
  <si>
    <t>잔여 MG</t>
    <phoneticPr fontId="2" type="noConversion"/>
  </si>
  <si>
    <t>*  월별 상세 내역은 카카오 시트 확인</t>
    <phoneticPr fontId="2" type="noConversion"/>
  </si>
  <si>
    <t>2차 (21.12월 정산)</t>
    <phoneticPr fontId="2" type="noConversion"/>
  </si>
  <si>
    <t>발행자가 부여하는 코드</t>
    <phoneticPr fontId="15" type="noConversion"/>
  </si>
  <si>
    <t>레이블</t>
    <phoneticPr fontId="15" type="noConversion"/>
  </si>
  <si>
    <t>캐시_합계</t>
    <phoneticPr fontId="2" type="noConversion"/>
  </si>
  <si>
    <t>캐시_CPP</t>
    <phoneticPr fontId="2" type="noConversion"/>
  </si>
  <si>
    <t>캐시_CPI</t>
    <phoneticPr fontId="2" type="noConversion"/>
  </si>
  <si>
    <t>캐시_CP1</t>
    <phoneticPr fontId="2" type="noConversion"/>
  </si>
  <si>
    <t>캐시_CP2</t>
    <phoneticPr fontId="2" type="noConversion"/>
  </si>
  <si>
    <t>캐시_CP7</t>
    <phoneticPr fontId="2" type="noConversion"/>
  </si>
  <si>
    <t>캐시_CP9</t>
    <phoneticPr fontId="2" type="noConversion"/>
  </si>
  <si>
    <t>캐시_이벤트캐시</t>
    <phoneticPr fontId="2" type="noConversion"/>
  </si>
  <si>
    <t>원화_합계</t>
    <phoneticPr fontId="2" type="noConversion"/>
  </si>
  <si>
    <t>원화_CPP</t>
    <phoneticPr fontId="2" type="noConversion"/>
  </si>
  <si>
    <t>원화_CP1</t>
    <phoneticPr fontId="2" type="noConversion"/>
  </si>
  <si>
    <t>원화_CP2</t>
    <phoneticPr fontId="2" type="noConversion"/>
  </si>
  <si>
    <t>원화_CP3</t>
    <phoneticPr fontId="2" type="noConversion"/>
  </si>
  <si>
    <t>원화_CP7</t>
    <phoneticPr fontId="2" type="noConversion"/>
  </si>
  <si>
    <t>원화_CP8</t>
    <phoneticPr fontId="2" type="noConversion"/>
  </si>
  <si>
    <t>원화_CP9</t>
    <phoneticPr fontId="2" type="noConversion"/>
  </si>
  <si>
    <t>원화_이벤트캐시</t>
    <phoneticPr fontId="2" type="noConversion"/>
  </si>
  <si>
    <t>특별계약</t>
  </si>
  <si>
    <t>1941</t>
  </si>
  <si>
    <t>선투자</t>
  </si>
  <si>
    <t>ㅇ MG차감 내역</t>
    <phoneticPr fontId="15" type="noConversion"/>
  </si>
  <si>
    <t>유통년월</t>
    <phoneticPr fontId="15" type="noConversion"/>
  </si>
  <si>
    <t xml:space="preserve">선MG </t>
    <phoneticPr fontId="2" type="noConversion"/>
  </si>
  <si>
    <t xml:space="preserve">KT 매출 </t>
    <phoneticPr fontId="2" type="noConversion"/>
  </si>
  <si>
    <t>MG 잔여</t>
    <phoneticPr fontId="2" type="noConversion"/>
  </si>
  <si>
    <t>합계</t>
    <phoneticPr fontId="15" type="noConversion"/>
  </si>
  <si>
    <t>판매/취소일시</t>
  </si>
  <si>
    <t>ItemId</t>
  </si>
  <si>
    <t>판매형태</t>
  </si>
  <si>
    <t>원주문일시</t>
  </si>
  <si>
    <t>출판사명</t>
  </si>
  <si>
    <t>정산처명</t>
  </si>
  <si>
    <t>ISBN</t>
  </si>
  <si>
    <t>[세트] 라스트 서바이버 : 진화로 살아남아라! (총13권/완결)</t>
  </si>
  <si>
    <t>판매</t>
  </si>
  <si>
    <t>최영진(청빙)</t>
  </si>
  <si>
    <t>9791137601000</t>
  </si>
  <si>
    <t>알라딘</t>
    <phoneticPr fontId="2" type="noConversion"/>
  </si>
  <si>
    <t>판매월</t>
  </si>
  <si>
    <t>정산월</t>
  </si>
  <si>
    <t>작품NO</t>
  </si>
  <si>
    <t>CP순번</t>
  </si>
  <si>
    <t>닉네임</t>
  </si>
  <si>
    <t>필명</t>
  </si>
  <si>
    <t>전체</t>
  </si>
  <si>
    <t>PC웹/모바일웹</t>
  </si>
  <si>
    <t>구글플레이</t>
  </si>
  <si>
    <t>애플앱스토어</t>
  </si>
  <si>
    <t>블라이스증정</t>
  </si>
  <si>
    <t>스토리위즈</t>
    <phoneticPr fontId="42" type="noConversion"/>
  </si>
  <si>
    <t>38539</t>
  </si>
  <si>
    <t>케이티블라이스</t>
  </si>
  <si>
    <t>129981</t>
  </si>
  <si>
    <t>16486</t>
  </si>
  <si>
    <t>케이티</t>
  </si>
  <si>
    <t>100569</t>
  </si>
  <si>
    <t>블라이스</t>
    <phoneticPr fontId="2" type="noConversion"/>
  </si>
  <si>
    <t>출판사</t>
    <phoneticPr fontId="42" type="noConversion"/>
  </si>
  <si>
    <t>수수료(결제 대행 수수료 + 블라이스 운영 수수료)</t>
  </si>
  <si>
    <t>문답무용 - 삼국지 유비의 모사가 되었다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</si>
</sst>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(* #,##0_);_(* \(#,##0\);_(* &quot;-&quot;_);_(@_)"/>
    <numFmt numFmtId="177" formatCode="#,##0.0_ "/>
    <numFmt numFmtId="178" formatCode="_-* #,##0_-;\-* #,##0_-;_-* &quot;-&quot;??_-;_-@_-"/>
    <numFmt numFmtId="179" formatCode="yyyy/mm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</font>
    <font>
      <b/>
      <sz val="11"/>
      <color rgb="FF2F3743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b/>
      <sz val="10"/>
      <color rgb="FFFF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indexed="8"/>
      <name val="맑은 고딕"/>
      <family val="2"/>
    </font>
    <font>
      <b/>
      <sz val="11"/>
      <color indexed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5E6E9"/>
        <bgColor indexed="64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3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0F8FF"/>
        <bgColor rgb="FF0000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0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20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176" fontId="21" fillId="0" borderId="0">
      <alignment vertical="center"/>
    </xf>
    <xf numFmtId="0" fontId="21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40" fillId="0" borderId="0">
      <alignment vertical="center"/>
    </xf>
  </cellStyleXfs>
  <cellXfs count="157">
    <xf numFmtId="0" fontId="0" fillId="0" borderId="0" xfId="0">
      <alignment vertical="center"/>
    </xf>
    <xf numFmtId="0" fontId="0" fillId="2" borderId="0" xfId="0" applyFill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3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176" fontId="5" fillId="2" borderId="0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4" fontId="7" fillId="0" borderId="0" xfId="0" applyNumberFormat="1" applyFont="1" applyAlignment="1">
      <alignment vertical="center" wrapText="1"/>
    </xf>
    <xf numFmtId="177" fontId="0" fillId="0" borderId="0" xfId="0" applyNumberFormat="1" applyBorder="1">
      <alignment vertical="center"/>
    </xf>
    <xf numFmtId="176" fontId="0" fillId="0" borderId="0" xfId="1" applyFont="1" applyBorder="1">
      <alignment vertical="center"/>
    </xf>
    <xf numFmtId="4" fontId="6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176" fontId="0" fillId="2" borderId="0" xfId="1" applyFont="1" applyFill="1">
      <alignment vertical="center"/>
    </xf>
    <xf numFmtId="0" fontId="8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right" vertical="center" wrapText="1"/>
    </xf>
    <xf numFmtId="0" fontId="0" fillId="0" borderId="2" xfId="0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76" fontId="10" fillId="0" borderId="4" xfId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indent="1"/>
    </xf>
    <xf numFmtId="176" fontId="11" fillId="0" borderId="4" xfId="1" applyFont="1" applyFill="1" applyBorder="1" applyAlignment="1">
      <alignment horizontal="center" vertical="center"/>
    </xf>
    <xf numFmtId="176" fontId="12" fillId="0" borderId="4" xfId="1" applyFont="1" applyBorder="1">
      <alignment vertical="center"/>
    </xf>
    <xf numFmtId="0" fontId="14" fillId="4" borderId="5" xfId="2" applyFont="1" applyFill="1" applyBorder="1" applyAlignment="1">
      <alignment horizontal="center" vertical="center"/>
    </xf>
    <xf numFmtId="0" fontId="13" fillId="0" borderId="0" xfId="2">
      <alignment vertical="center"/>
    </xf>
    <xf numFmtId="0" fontId="16" fillId="0" borderId="5" xfId="2" applyFont="1" applyFill="1" applyBorder="1" applyAlignment="1">
      <alignment horizontal="right" vertical="center"/>
    </xf>
    <xf numFmtId="3" fontId="16" fillId="0" borderId="5" xfId="2" applyNumberFormat="1" applyFont="1" applyFill="1" applyBorder="1" applyAlignment="1">
      <alignment horizontal="right" vertical="center"/>
    </xf>
    <xf numFmtId="0" fontId="17" fillId="5" borderId="4" xfId="0" applyFont="1" applyFill="1" applyBorder="1" applyAlignment="1">
      <alignment horizontal="center" vertical="center"/>
    </xf>
    <xf numFmtId="176" fontId="17" fillId="5" borderId="4" xfId="1" applyFont="1" applyFill="1" applyBorder="1" applyAlignment="1">
      <alignment horizontal="center" vertical="center"/>
    </xf>
    <xf numFmtId="0" fontId="13" fillId="4" borderId="6" xfId="2" applyFill="1" applyBorder="1" applyAlignment="1">
      <alignment horizontal="center"/>
    </xf>
    <xf numFmtId="0" fontId="13" fillId="2" borderId="6" xfId="2" applyFill="1" applyBorder="1" applyAlignment="1">
      <alignment horizontal="center"/>
    </xf>
    <xf numFmtId="0" fontId="13" fillId="0" borderId="5" xfId="2" applyBorder="1" applyAlignment="1">
      <alignment vertical="center"/>
    </xf>
    <xf numFmtId="0" fontId="13" fillId="4" borderId="7" xfId="2" applyFill="1" applyBorder="1" applyAlignment="1">
      <alignment horizontal="center"/>
    </xf>
    <xf numFmtId="0" fontId="13" fillId="0" borderId="0" xfId="2" applyNumberFormat="1">
      <alignment vertical="center"/>
    </xf>
    <xf numFmtId="49" fontId="13" fillId="6" borderId="0" xfId="2" applyNumberFormat="1" applyFill="1" applyBorder="1" applyAlignment="1">
      <alignment horizontal="center" vertical="center" wrapText="1"/>
    </xf>
    <xf numFmtId="49" fontId="13" fillId="7" borderId="0" xfId="2" applyNumberFormat="1" applyFill="1" applyBorder="1" applyAlignment="1">
      <alignment horizontal="center" vertical="center" wrapText="1"/>
    </xf>
    <xf numFmtId="49" fontId="13" fillId="6" borderId="0" xfId="2" applyNumberFormat="1" applyFill="1" applyBorder="1" applyAlignment="1">
      <alignment vertical="center" wrapText="1"/>
    </xf>
    <xf numFmtId="49" fontId="13" fillId="8" borderId="0" xfId="2" applyNumberFormat="1" applyFill="1" applyBorder="1" applyAlignment="1">
      <alignment vertical="center" wrapText="1"/>
    </xf>
    <xf numFmtId="49" fontId="13" fillId="0" borderId="4" xfId="2" applyNumberFormat="1" applyFill="1" applyBorder="1" applyAlignment="1">
      <alignment horizontal="left" vertical="center"/>
    </xf>
    <xf numFmtId="3" fontId="13" fillId="0" borderId="4" xfId="2" applyNumberFormat="1" applyFill="1" applyBorder="1" applyAlignment="1">
      <alignment horizontal="right" vertical="center"/>
    </xf>
    <xf numFmtId="0" fontId="16" fillId="0" borderId="0" xfId="3">
      <alignment vertical="center"/>
    </xf>
    <xf numFmtId="176" fontId="16" fillId="0" borderId="0" xfId="1" applyFont="1">
      <alignment vertical="center"/>
    </xf>
    <xf numFmtId="0" fontId="18" fillId="0" borderId="0" xfId="0" applyFont="1" applyFill="1" applyBorder="1">
      <alignment vertical="center"/>
    </xf>
    <xf numFmtId="9" fontId="0" fillId="0" borderId="0" xfId="0" applyNumberFormat="1">
      <alignment vertical="center"/>
    </xf>
    <xf numFmtId="0" fontId="14" fillId="4" borderId="0" xfId="2" applyFont="1" applyFill="1" applyAlignment="1">
      <alignment horizontal="center"/>
    </xf>
    <xf numFmtId="0" fontId="14" fillId="9" borderId="0" xfId="2" applyFont="1" applyFill="1" applyAlignment="1">
      <alignment horizontal="center"/>
    </xf>
    <xf numFmtId="176" fontId="14" fillId="9" borderId="0" xfId="4" applyFont="1" applyFill="1" applyAlignment="1">
      <alignment horizontal="center"/>
    </xf>
    <xf numFmtId="0" fontId="16" fillId="0" borderId="0" xfId="2" applyFont="1" applyAlignment="1">
      <alignment horizontal="left"/>
    </xf>
    <xf numFmtId="0" fontId="0" fillId="0" borderId="0" xfId="0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6" fontId="9" fillId="0" borderId="4" xfId="1" applyFont="1" applyBorder="1" applyAlignment="1">
      <alignment horizontal="center" vertical="center"/>
    </xf>
    <xf numFmtId="0" fontId="19" fillId="0" borderId="0" xfId="6" applyFont="1" applyAlignment="1">
      <alignment vertical="top" wrapText="1"/>
    </xf>
    <xf numFmtId="0" fontId="21" fillId="0" borderId="0" xfId="6" applyFont="1" applyAlignment="1">
      <alignment horizontal="right" vertical="top" wrapText="1"/>
    </xf>
    <xf numFmtId="0" fontId="17" fillId="0" borderId="0" xfId="6" applyFont="1" applyAlignment="1">
      <alignment horizontal="right" vertical="center"/>
    </xf>
    <xf numFmtId="0" fontId="22" fillId="0" borderId="0" xfId="6" applyFont="1" applyAlignment="1">
      <alignment horizontal="center" vertical="center"/>
    </xf>
    <xf numFmtId="0" fontId="23" fillId="2" borderId="4" xfId="7" applyFont="1" applyFill="1" applyBorder="1" applyAlignment="1">
      <alignment horizontal="center" vertical="center"/>
    </xf>
    <xf numFmtId="0" fontId="23" fillId="2" borderId="4" xfId="8" applyFont="1" applyFill="1" applyBorder="1" applyAlignment="1">
      <alignment horizontal="center" vertical="center"/>
    </xf>
    <xf numFmtId="0" fontId="19" fillId="0" borderId="0" xfId="5" applyNumberFormat="1" applyFont="1" applyAlignment="1">
      <alignment horizontal="center" vertical="top" wrapText="1"/>
    </xf>
    <xf numFmtId="3" fontId="9" fillId="0" borderId="2" xfId="0" applyNumberFormat="1" applyFont="1" applyBorder="1" applyAlignment="1">
      <alignment horizontal="right" vertical="center" wrapText="1"/>
    </xf>
    <xf numFmtId="0" fontId="25" fillId="10" borderId="4" xfId="9" applyFont="1" applyFill="1" applyBorder="1" applyAlignment="1">
      <alignment vertical="center" wrapText="1"/>
    </xf>
    <xf numFmtId="0" fontId="25" fillId="11" borderId="4" xfId="9" applyFont="1" applyFill="1" applyBorder="1" applyAlignment="1">
      <alignment vertical="center" wrapText="1"/>
    </xf>
    <xf numFmtId="0" fontId="26" fillId="12" borderId="4" xfId="10" applyFont="1" applyFill="1" applyBorder="1" applyAlignment="1">
      <alignment vertical="center" wrapText="1"/>
    </xf>
    <xf numFmtId="0" fontId="26" fillId="13" borderId="4" xfId="10" applyFont="1" applyFill="1" applyBorder="1" applyAlignment="1">
      <alignment vertical="center" wrapText="1"/>
    </xf>
    <xf numFmtId="0" fontId="26" fillId="14" borderId="4" xfId="10" applyFont="1" applyFill="1" applyBorder="1" applyAlignment="1">
      <alignment vertical="center" wrapText="1"/>
    </xf>
    <xf numFmtId="0" fontId="26" fillId="15" borderId="4" xfId="10" applyFont="1" applyFill="1" applyBorder="1" applyAlignment="1">
      <alignment vertical="center" wrapText="1"/>
    </xf>
    <xf numFmtId="176" fontId="26" fillId="15" borderId="4" xfId="11" applyFont="1" applyFill="1" applyBorder="1" applyAlignment="1">
      <alignment vertical="center" wrapText="1"/>
    </xf>
    <xf numFmtId="0" fontId="20" fillId="0" borderId="0" xfId="10">
      <alignment vertical="center"/>
    </xf>
    <xf numFmtId="0" fontId="27" fillId="0" borderId="8" xfId="10" applyFont="1" applyBorder="1" applyAlignment="1">
      <alignment horizontal="left" vertical="center" wrapText="1"/>
    </xf>
    <xf numFmtId="0" fontId="28" fillId="0" borderId="8" xfId="10" applyFont="1" applyBorder="1" applyAlignment="1">
      <alignment horizontal="right" vertical="center" wrapText="1"/>
    </xf>
    <xf numFmtId="4" fontId="28" fillId="0" borderId="8" xfId="10" applyNumberFormat="1" applyFont="1" applyBorder="1" applyAlignment="1">
      <alignment horizontal="right" vertical="center" wrapText="1"/>
    </xf>
    <xf numFmtId="4" fontId="29" fillId="0" borderId="8" xfId="10" applyNumberFormat="1" applyFont="1" applyBorder="1" applyAlignment="1">
      <alignment horizontal="right" vertical="center" wrapText="1"/>
    </xf>
    <xf numFmtId="4" fontId="29" fillId="0" borderId="9" xfId="10" applyNumberFormat="1" applyFont="1" applyBorder="1" applyAlignment="1">
      <alignment horizontal="right" vertical="center" wrapText="1"/>
    </xf>
    <xf numFmtId="0" fontId="13" fillId="16" borderId="10" xfId="12" applyFill="1" applyBorder="1" applyAlignment="1">
      <alignment horizontal="center"/>
    </xf>
    <xf numFmtId="0" fontId="13" fillId="2" borderId="10" xfId="12" applyFill="1" applyBorder="1" applyAlignment="1">
      <alignment horizontal="center"/>
    </xf>
    <xf numFmtId="0" fontId="13" fillId="0" borderId="0" xfId="12">
      <alignment vertical="center"/>
    </xf>
    <xf numFmtId="0" fontId="13" fillId="0" borderId="11" xfId="12" applyBorder="1" applyAlignment="1"/>
    <xf numFmtId="3" fontId="13" fillId="0" borderId="11" xfId="12" applyNumberFormat="1" applyBorder="1" applyAlignment="1"/>
    <xf numFmtId="176" fontId="0" fillId="0" borderId="0" xfId="0" applyNumberFormat="1">
      <alignment vertical="center"/>
    </xf>
    <xf numFmtId="4" fontId="20" fillId="0" borderId="0" xfId="10" applyNumberFormat="1">
      <alignment vertical="center"/>
    </xf>
    <xf numFmtId="3" fontId="13" fillId="0" borderId="0" xfId="12" applyNumberFormat="1">
      <alignment vertical="center"/>
    </xf>
    <xf numFmtId="176" fontId="23" fillId="5" borderId="4" xfId="13" applyFont="1" applyFill="1" applyBorder="1" applyAlignment="1">
      <alignment horizontal="center" vertical="center" wrapText="1"/>
    </xf>
    <xf numFmtId="176" fontId="30" fillId="5" borderId="4" xfId="13" applyFont="1" applyFill="1" applyBorder="1" applyAlignment="1">
      <alignment horizontal="center" vertical="center" wrapText="1"/>
    </xf>
    <xf numFmtId="178" fontId="31" fillId="0" borderId="4" xfId="13" applyNumberFormat="1" applyFont="1" applyFill="1" applyBorder="1" applyAlignment="1">
      <alignment horizontal="center" vertical="center" wrapText="1"/>
    </xf>
    <xf numFmtId="0" fontId="22" fillId="5" borderId="4" xfId="14" applyFont="1" applyFill="1" applyBorder="1" applyAlignment="1">
      <alignment horizontal="center" vertical="center"/>
    </xf>
    <xf numFmtId="0" fontId="21" fillId="0" borderId="0" xfId="14">
      <alignment vertical="center"/>
    </xf>
    <xf numFmtId="176" fontId="31" fillId="0" borderId="14" xfId="15" applyFont="1" applyBorder="1">
      <alignment vertical="center"/>
    </xf>
    <xf numFmtId="176" fontId="21" fillId="0" borderId="0" xfId="13" applyFont="1">
      <alignment vertical="center"/>
    </xf>
    <xf numFmtId="176" fontId="31" fillId="17" borderId="14" xfId="15" applyFont="1" applyFill="1" applyBorder="1">
      <alignment vertical="center"/>
    </xf>
    <xf numFmtId="179" fontId="32" fillId="0" borderId="4" xfId="14" applyNumberFormat="1" applyFont="1" applyFill="1" applyBorder="1" applyAlignment="1">
      <alignment horizontal="center" vertical="center"/>
    </xf>
    <xf numFmtId="176" fontId="32" fillId="0" borderId="4" xfId="13" applyFont="1" applyFill="1" applyBorder="1">
      <alignment vertical="center"/>
    </xf>
    <xf numFmtId="179" fontId="33" fillId="17" borderId="4" xfId="14" applyNumberFormat="1" applyFont="1" applyFill="1" applyBorder="1" applyAlignment="1">
      <alignment horizontal="center" vertical="center"/>
    </xf>
    <xf numFmtId="176" fontId="32" fillId="17" borderId="4" xfId="13" applyFont="1" applyFill="1" applyBorder="1">
      <alignment vertical="center"/>
    </xf>
    <xf numFmtId="176" fontId="30" fillId="17" borderId="4" xfId="13" applyFont="1" applyFill="1" applyBorder="1">
      <alignment vertical="center"/>
    </xf>
    <xf numFmtId="0" fontId="17" fillId="0" borderId="0" xfId="6" applyFont="1" applyAlignment="1">
      <alignment horizontal="left" vertical="center"/>
    </xf>
    <xf numFmtId="0" fontId="21" fillId="0" borderId="0" xfId="16" applyNumberFormat="1">
      <alignment vertical="center"/>
    </xf>
    <xf numFmtId="176" fontId="34" fillId="0" borderId="0" xfId="13" applyFont="1" applyAlignment="1">
      <alignment horizontal="center" vertical="center"/>
    </xf>
    <xf numFmtId="0" fontId="23" fillId="5" borderId="4" xfId="14" applyFont="1" applyFill="1" applyBorder="1" applyAlignment="1">
      <alignment horizontal="center" vertical="center"/>
    </xf>
    <xf numFmtId="176" fontId="23" fillId="0" borderId="12" xfId="13" applyFont="1" applyFill="1" applyBorder="1" applyAlignment="1">
      <alignment vertical="center"/>
    </xf>
    <xf numFmtId="176" fontId="23" fillId="0" borderId="13" xfId="13" applyFont="1" applyFill="1" applyBorder="1" applyAlignment="1">
      <alignment vertical="center"/>
    </xf>
    <xf numFmtId="176" fontId="35" fillId="0" borderId="12" xfId="13" applyFont="1" applyFill="1" applyBorder="1" applyAlignment="1">
      <alignment vertical="center"/>
    </xf>
    <xf numFmtId="176" fontId="35" fillId="0" borderId="13" xfId="13" applyFont="1" applyFill="1" applyBorder="1" applyAlignment="1">
      <alignment vertical="center"/>
    </xf>
    <xf numFmtId="0" fontId="34" fillId="0" borderId="0" xfId="0" applyFont="1">
      <alignment vertical="center"/>
    </xf>
    <xf numFmtId="0" fontId="13" fillId="16" borderId="10" xfId="2" applyFill="1" applyBorder="1" applyAlignment="1">
      <alignment horizontal="center"/>
    </xf>
    <xf numFmtId="0" fontId="13" fillId="2" borderId="10" xfId="2" applyFill="1" applyBorder="1" applyAlignment="1">
      <alignment horizontal="center"/>
    </xf>
    <xf numFmtId="0" fontId="13" fillId="0" borderId="11" xfId="2" applyBorder="1" applyAlignment="1"/>
    <xf numFmtId="3" fontId="13" fillId="0" borderId="11" xfId="2" applyNumberFormat="1" applyBorder="1" applyAlignment="1"/>
    <xf numFmtId="3" fontId="13" fillId="2" borderId="0" xfId="2" applyNumberFormat="1" applyFill="1">
      <alignment vertical="center"/>
    </xf>
    <xf numFmtId="0" fontId="17" fillId="0" borderId="0" xfId="6" applyFont="1" applyAlignment="1">
      <alignment vertical="center"/>
    </xf>
    <xf numFmtId="0" fontId="20" fillId="0" borderId="0" xfId="6" applyAlignment="1">
      <alignment vertical="center"/>
    </xf>
    <xf numFmtId="0" fontId="13" fillId="0" borderId="0" xfId="5">
      <alignment vertical="center"/>
    </xf>
    <xf numFmtId="0" fontId="17" fillId="18" borderId="4" xfId="6" applyFont="1" applyFill="1" applyBorder="1" applyAlignment="1">
      <alignment horizontal="center" vertical="center"/>
    </xf>
    <xf numFmtId="0" fontId="13" fillId="0" borderId="4" xfId="2" applyBorder="1" applyAlignment="1">
      <alignment horizontal="center" vertical="center"/>
    </xf>
    <xf numFmtId="41" fontId="0" fillId="0" borderId="4" xfId="17" applyFont="1" applyBorder="1">
      <alignment vertical="center"/>
    </xf>
    <xf numFmtId="41" fontId="0" fillId="0" borderId="4" xfId="17" applyFont="1" applyBorder="1" applyAlignment="1">
      <alignment vertical="center"/>
    </xf>
    <xf numFmtId="41" fontId="13" fillId="0" borderId="4" xfId="2" applyNumberFormat="1" applyBorder="1">
      <alignment vertical="center"/>
    </xf>
    <xf numFmtId="3" fontId="13" fillId="0" borderId="4" xfId="2" applyNumberFormat="1" applyBorder="1" applyAlignment="1">
      <alignment vertical="center"/>
    </xf>
    <xf numFmtId="41" fontId="13" fillId="0" borderId="4" xfId="2" applyNumberFormat="1" applyBorder="1" applyAlignment="1">
      <alignment horizontal="center" vertical="center"/>
    </xf>
    <xf numFmtId="41" fontId="0" fillId="0" borderId="4" xfId="17" applyFont="1" applyBorder="1" applyAlignment="1">
      <alignment horizontal="center" vertical="center"/>
    </xf>
    <xf numFmtId="3" fontId="36" fillId="0" borderId="4" xfId="2" applyNumberFormat="1" applyFont="1" applyFill="1" applyBorder="1" applyAlignment="1">
      <alignment vertical="center"/>
    </xf>
    <xf numFmtId="41" fontId="37" fillId="0" borderId="4" xfId="2" applyNumberFormat="1" applyFont="1" applyBorder="1" applyAlignment="1">
      <alignment horizontal="center" vertical="center"/>
    </xf>
    <xf numFmtId="0" fontId="16" fillId="0" borderId="0" xfId="18">
      <alignment vertical="center"/>
    </xf>
    <xf numFmtId="22" fontId="0" fillId="0" borderId="0" xfId="0" applyNumberFormat="1">
      <alignment vertical="center"/>
    </xf>
    <xf numFmtId="0" fontId="40" fillId="0" borderId="0" xfId="19">
      <alignment vertical="center"/>
    </xf>
    <xf numFmtId="0" fontId="41" fillId="19" borderId="15" xfId="0" applyFont="1" applyFill="1" applyBorder="1" applyAlignment="1">
      <alignment horizontal="center" vertical="center" wrapText="1"/>
    </xf>
    <xf numFmtId="0" fontId="43" fillId="0" borderId="3" xfId="0" applyFont="1" applyBorder="1" applyAlignment="1">
      <alignment vertical="center" wrapText="1"/>
    </xf>
    <xf numFmtId="0" fontId="43" fillId="0" borderId="15" xfId="0" applyFont="1" applyBorder="1" applyAlignment="1">
      <alignment vertical="center" wrapText="1"/>
    </xf>
    <xf numFmtId="0" fontId="43" fillId="0" borderId="15" xfId="0" applyFont="1" applyFill="1" applyBorder="1" applyAlignment="1">
      <alignment vertical="center" wrapText="1"/>
    </xf>
    <xf numFmtId="49" fontId="43" fillId="0" borderId="15" xfId="0" applyNumberFormat="1" applyFont="1" applyBorder="1" applyAlignment="1">
      <alignment vertical="center" wrapText="1"/>
    </xf>
    <xf numFmtId="3" fontId="43" fillId="0" borderId="15" xfId="0" applyNumberFormat="1" applyFont="1" applyBorder="1" applyAlignment="1">
      <alignment vertical="center" wrapText="1"/>
    </xf>
    <xf numFmtId="3" fontId="40" fillId="0" borderId="0" xfId="19" applyNumberFormat="1">
      <alignment vertical="center"/>
    </xf>
    <xf numFmtId="0" fontId="22" fillId="5" borderId="12" xfId="14" applyFont="1" applyFill="1" applyBorder="1" applyAlignment="1">
      <alignment horizontal="center" vertical="center"/>
    </xf>
    <xf numFmtId="0" fontId="22" fillId="5" borderId="13" xfId="14" applyFont="1" applyFill="1" applyBorder="1" applyAlignment="1">
      <alignment horizontal="center" vertical="center"/>
    </xf>
    <xf numFmtId="176" fontId="31" fillId="0" borderId="12" xfId="15" applyFont="1" applyBorder="1" applyAlignment="1">
      <alignment horizontal="center" vertical="center"/>
    </xf>
    <xf numFmtId="176" fontId="31" fillId="0" borderId="13" xfId="15" applyFont="1" applyBorder="1" applyAlignment="1">
      <alignment horizontal="center" vertical="center"/>
    </xf>
    <xf numFmtId="176" fontId="31" fillId="17" borderId="12" xfId="15" applyFont="1" applyFill="1" applyBorder="1" applyAlignment="1">
      <alignment horizontal="center" vertical="center"/>
    </xf>
    <xf numFmtId="176" fontId="31" fillId="17" borderId="13" xfId="15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center" vertical="center" wrapText="1"/>
    </xf>
    <xf numFmtId="0" fontId="41" fillId="19" borderId="19" xfId="0" applyFont="1" applyFill="1" applyBorder="1" applyAlignment="1">
      <alignment horizontal="center" vertical="center" wrapText="1"/>
    </xf>
    <xf numFmtId="0" fontId="41" fillId="19" borderId="16" xfId="0" applyFont="1" applyFill="1" applyBorder="1" applyAlignment="1">
      <alignment horizontal="center" vertical="center" wrapText="1"/>
    </xf>
    <xf numFmtId="0" fontId="41" fillId="19" borderId="17" xfId="0" applyFont="1" applyFill="1" applyBorder="1" applyAlignment="1">
      <alignment horizontal="center" vertical="center" wrapText="1"/>
    </xf>
    <xf numFmtId="0" fontId="41" fillId="19" borderId="18" xfId="0" applyFont="1" applyFill="1" applyBorder="1" applyAlignment="1">
      <alignment horizontal="center" vertical="center" wrapText="1"/>
    </xf>
    <xf numFmtId="0" fontId="41" fillId="19" borderId="20" xfId="0" applyFont="1" applyFill="1" applyBorder="1" applyAlignment="1">
      <alignment horizontal="center" vertical="center" wrapText="1"/>
    </xf>
  </cellXfs>
  <cellStyles count="20">
    <cellStyle name="쉼표 [0]" xfId="1" builtinId="6"/>
    <cellStyle name="쉼표 [0] 2" xfId="4"/>
    <cellStyle name="쉼표 [0] 2 2" xfId="11"/>
    <cellStyle name="쉼표 [0] 2 2 2" xfId="13"/>
    <cellStyle name="쉼표 [0] 3" xfId="17"/>
    <cellStyle name="쉼표 [0] 3 2 2 2" xfId="15"/>
    <cellStyle name="표준" xfId="0" builtinId="0"/>
    <cellStyle name="표준 16 2 2 2 2" xfId="9"/>
    <cellStyle name="표준 2" xfId="2"/>
    <cellStyle name="표준 2 2" xfId="10"/>
    <cellStyle name="표준 2 2 2" xfId="7"/>
    <cellStyle name="표준 2 3" xfId="8"/>
    <cellStyle name="표준 3" xfId="12"/>
    <cellStyle name="표준 3 2" xfId="6"/>
    <cellStyle name="표준 3 2 2" xfId="14"/>
    <cellStyle name="표준 4" xfId="5"/>
    <cellStyle name="표준 5" xfId="16"/>
    <cellStyle name="표준 6" xfId="19"/>
    <cellStyle name="표준_월별합계(11)" xfId="18"/>
    <cellStyle name="표준_합계 (6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/>
      <sheetData sheetId="3">
        <row r="17">
          <cell r="K17">
            <v>166222.22222222225</v>
          </cell>
          <cell r="L17">
            <v>1813152</v>
          </cell>
        </row>
      </sheetData>
      <sheetData sheetId="4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/>
  </sheetViews>
  <sheetFormatPr defaultRowHeight="17.399999999999999"/>
  <cols>
    <col min="1" max="1" width="6.59765625" style="63" customWidth="1"/>
    <col min="2" max="2" width="20.09765625" style="63" customWidth="1"/>
    <col min="3" max="3" width="16.09765625" style="63" customWidth="1"/>
    <col min="4" max="4" width="17.59765625" style="63" customWidth="1"/>
  </cols>
  <sheetData>
    <row r="1" spans="1:4" ht="19.2">
      <c r="A1" s="72" t="s">
        <v>1130</v>
      </c>
      <c r="B1" s="66" t="s">
        <v>1127</v>
      </c>
      <c r="C1" s="67"/>
      <c r="D1" s="68"/>
    </row>
    <row r="2" spans="1:4">
      <c r="A2" s="69"/>
      <c r="B2" s="70" t="s">
        <v>1128</v>
      </c>
      <c r="C2" s="71" t="s">
        <v>1129</v>
      </c>
      <c r="D2" s="70" t="s">
        <v>0</v>
      </c>
    </row>
    <row r="3" spans="1:4">
      <c r="B3" s="64" t="s">
        <v>82</v>
      </c>
      <c r="C3" s="65">
        <v>41859</v>
      </c>
      <c r="D3" s="97">
        <f>C3*60%</f>
        <v>25115.399999999998</v>
      </c>
    </row>
    <row r="4" spans="1:4">
      <c r="B4" s="64" t="s">
        <v>120</v>
      </c>
      <c r="C4" s="65">
        <v>213492</v>
      </c>
      <c r="D4" s="97">
        <f t="shared" ref="D4:D22" si="0">C4*60%</f>
        <v>128095.2</v>
      </c>
    </row>
    <row r="5" spans="1:4">
      <c r="B5" s="64" t="s">
        <v>125</v>
      </c>
      <c r="C5" s="65">
        <v>25211</v>
      </c>
      <c r="D5" s="97">
        <f>C5*60%</f>
        <v>15126.599999999999</v>
      </c>
    </row>
    <row r="6" spans="1:4">
      <c r="B6" s="64" t="s">
        <v>631</v>
      </c>
      <c r="C6" s="65">
        <v>104650</v>
      </c>
      <c r="D6" s="97">
        <f t="shared" si="0"/>
        <v>62790</v>
      </c>
    </row>
    <row r="7" spans="1:4">
      <c r="B7" s="64" t="s">
        <v>645</v>
      </c>
      <c r="C7" s="65">
        <f>무툰04!O5</f>
        <v>630</v>
      </c>
      <c r="D7" s="97">
        <f t="shared" si="0"/>
        <v>378</v>
      </c>
    </row>
    <row r="8" spans="1:4">
      <c r="B8" s="64" t="s">
        <v>658</v>
      </c>
      <c r="C8" s="65">
        <v>26208</v>
      </c>
      <c r="D8" s="97">
        <f t="shared" si="0"/>
        <v>15724.8</v>
      </c>
    </row>
    <row r="9" spans="1:4">
      <c r="B9" s="64" t="s">
        <v>687</v>
      </c>
      <c r="C9" s="65">
        <v>3290</v>
      </c>
      <c r="D9" s="97">
        <f t="shared" si="0"/>
        <v>1974</v>
      </c>
    </row>
    <row r="10" spans="1:4">
      <c r="B10" s="64" t="s">
        <v>714</v>
      </c>
      <c r="C10" s="65">
        <v>36840</v>
      </c>
      <c r="D10" s="97">
        <f t="shared" si="0"/>
        <v>22104</v>
      </c>
    </row>
    <row r="11" spans="1:4">
      <c r="B11" s="64" t="s">
        <v>825</v>
      </c>
      <c r="C11" s="65">
        <v>-73920</v>
      </c>
      <c r="D11" s="97">
        <f>C11*60%</f>
        <v>-44352</v>
      </c>
    </row>
    <row r="12" spans="1:4">
      <c r="B12" s="64" t="s">
        <v>1099</v>
      </c>
      <c r="C12" s="65">
        <v>88200</v>
      </c>
      <c r="D12" s="97">
        <f t="shared" si="0"/>
        <v>52920</v>
      </c>
    </row>
    <row r="13" spans="1:4">
      <c r="B13" s="64" t="s">
        <v>1103</v>
      </c>
      <c r="C13" s="65">
        <v>16920</v>
      </c>
      <c r="D13" s="97">
        <f t="shared" si="0"/>
        <v>10152</v>
      </c>
    </row>
    <row r="14" spans="1:4">
      <c r="B14" s="64" t="s">
        <v>1126</v>
      </c>
      <c r="C14" s="65">
        <v>70</v>
      </c>
      <c r="D14" s="97">
        <f t="shared" si="0"/>
        <v>42</v>
      </c>
    </row>
    <row r="15" spans="1:4">
      <c r="B15" s="64" t="s">
        <v>1327</v>
      </c>
      <c r="C15" s="65">
        <f>알라딘04!G3</f>
        <v>26880</v>
      </c>
      <c r="D15" s="97">
        <f t="shared" si="0"/>
        <v>16128</v>
      </c>
    </row>
    <row r="16" spans="1:4">
      <c r="B16" s="64" t="s">
        <v>1346</v>
      </c>
      <c r="C16" s="65">
        <f>블라이스04!V5</f>
        <v>105910</v>
      </c>
      <c r="D16" s="97">
        <f>C16*60%</f>
        <v>63546</v>
      </c>
    </row>
    <row r="17" spans="2:4">
      <c r="B17" s="64" t="s">
        <v>1269</v>
      </c>
      <c r="C17" s="65">
        <f>네이버APP04_장유진!AW6</f>
        <v>148527.32999999999</v>
      </c>
      <c r="D17" s="97">
        <f>C17*60%</f>
        <v>89116.397999999986</v>
      </c>
    </row>
    <row r="18" spans="2:4">
      <c r="B18" s="64" t="s">
        <v>1270</v>
      </c>
      <c r="C18" s="65">
        <f>리디북스04_장유진!AP38</f>
        <v>9450</v>
      </c>
      <c r="D18" s="97">
        <f t="shared" si="0"/>
        <v>5670</v>
      </c>
    </row>
    <row r="19" spans="2:4">
      <c r="B19" s="64" t="s">
        <v>1271</v>
      </c>
      <c r="C19" s="65">
        <f>무툰04_장유진!O5</f>
        <v>910</v>
      </c>
      <c r="D19" s="97">
        <f t="shared" si="0"/>
        <v>546</v>
      </c>
    </row>
    <row r="20" spans="2:4">
      <c r="B20" s="64" t="s">
        <v>1272</v>
      </c>
      <c r="C20" s="65">
        <f>문피아04_장유진!M4</f>
        <v>5418</v>
      </c>
      <c r="D20" s="97">
        <f t="shared" si="0"/>
        <v>3250.7999999999997</v>
      </c>
    </row>
    <row r="21" spans="2:4">
      <c r="B21" s="64" t="s">
        <v>1273</v>
      </c>
      <c r="C21" s="65">
        <f>미스터블루04_장유진!AJ4</f>
        <v>4536</v>
      </c>
      <c r="D21" s="97">
        <f t="shared" si="0"/>
        <v>2721.6</v>
      </c>
    </row>
    <row r="22" spans="2:4">
      <c r="B22" s="64" t="s">
        <v>1274</v>
      </c>
      <c r="C22" s="65">
        <f>카카오04_장유진!AP5</f>
        <v>5600</v>
      </c>
      <c r="D22" s="97">
        <f t="shared" si="0"/>
        <v>3360</v>
      </c>
    </row>
    <row r="23" spans="2:4">
      <c r="B23" s="95" t="s">
        <v>104</v>
      </c>
      <c r="C23" s="96">
        <f>SUM(C3:C22)</f>
        <v>790681.33</v>
      </c>
      <c r="D23" s="96">
        <f>ROUND(SUM(D3:D22),0)</f>
        <v>474409</v>
      </c>
    </row>
    <row r="25" spans="2:4">
      <c r="B25" s="108" t="s">
        <v>1283</v>
      </c>
      <c r="C25" s="109"/>
      <c r="D25" s="110" t="s">
        <v>1287</v>
      </c>
    </row>
    <row r="26" spans="2:4">
      <c r="B26" s="111" t="s">
        <v>1284</v>
      </c>
      <c r="C26" s="112"/>
      <c r="D26" s="113">
        <f>MG차감내역04!C18</f>
        <v>474409</v>
      </c>
    </row>
    <row r="27" spans="2:4">
      <c r="B27" s="111" t="s">
        <v>1285</v>
      </c>
      <c r="C27" s="114"/>
      <c r="D27" s="115">
        <f>MG차감내역04!D18</f>
        <v>31465609</v>
      </c>
    </row>
    <row r="28" spans="2:4">
      <c r="B28" s="116" t="s">
        <v>1286</v>
      </c>
      <c r="C28"/>
      <c r="D2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H18"/>
  <sheetViews>
    <sheetView workbookViewId="0">
      <selection activeCell="F16" sqref="F16"/>
    </sheetView>
  </sheetViews>
  <sheetFormatPr defaultColWidth="9" defaultRowHeight="17.399999999999999"/>
  <cols>
    <col min="1" max="1" width="3.59765625" style="99" customWidth="1"/>
    <col min="2" max="2" width="17.09765625" style="99" bestFit="1" customWidth="1"/>
    <col min="3" max="3" width="16.5" style="99" customWidth="1"/>
    <col min="4" max="4" width="16.19921875" style="99" customWidth="1"/>
    <col min="5" max="7" width="9" style="99"/>
    <col min="8" max="8" width="11.19921875" style="99" bestFit="1" customWidth="1"/>
    <col min="9" max="16384" width="9" style="99"/>
  </cols>
  <sheetData>
    <row r="2" spans="2:8">
      <c r="B2" s="145" t="s">
        <v>1275</v>
      </c>
      <c r="C2" s="146"/>
      <c r="D2" s="98" t="s">
        <v>1276</v>
      </c>
    </row>
    <row r="3" spans="2:8">
      <c r="B3" s="147" t="s">
        <v>1277</v>
      </c>
      <c r="C3" s="148"/>
      <c r="D3" s="100">
        <v>50000000</v>
      </c>
      <c r="H3" s="101"/>
    </row>
    <row r="4" spans="2:8">
      <c r="B4" s="147" t="s">
        <v>1278</v>
      </c>
      <c r="C4" s="148"/>
      <c r="D4" s="100">
        <v>2542500</v>
      </c>
      <c r="H4" s="101"/>
    </row>
    <row r="5" spans="2:8">
      <c r="B5" s="149" t="s">
        <v>1279</v>
      </c>
      <c r="C5" s="150"/>
      <c r="D5" s="102">
        <f>D3+D4</f>
        <v>52542500</v>
      </c>
      <c r="H5" s="101"/>
    </row>
    <row r="7" spans="2:8">
      <c r="B7" s="98" t="s">
        <v>1280</v>
      </c>
      <c r="C7" s="98" t="s">
        <v>1281</v>
      </c>
      <c r="D7" s="98" t="s">
        <v>1282</v>
      </c>
    </row>
    <row r="8" spans="2:8">
      <c r="B8" s="103">
        <v>44349</v>
      </c>
      <c r="C8" s="104">
        <v>1339391</v>
      </c>
      <c r="D8" s="104">
        <f>D5-C8</f>
        <v>51203109</v>
      </c>
    </row>
    <row r="9" spans="2:8">
      <c r="B9" s="103">
        <v>44378</v>
      </c>
      <c r="C9" s="104">
        <v>1267013</v>
      </c>
      <c r="D9" s="104">
        <f t="shared" ref="D9:D16" si="0">D8-C9</f>
        <v>49936096</v>
      </c>
    </row>
    <row r="10" spans="2:8">
      <c r="B10" s="103">
        <v>44409</v>
      </c>
      <c r="C10" s="104">
        <v>1696410</v>
      </c>
      <c r="D10" s="104">
        <f t="shared" si="0"/>
        <v>48239686</v>
      </c>
    </row>
    <row r="11" spans="2:8">
      <c r="B11" s="103">
        <v>44440</v>
      </c>
      <c r="C11" s="104">
        <v>527385</v>
      </c>
      <c r="D11" s="104">
        <f t="shared" si="0"/>
        <v>47712301</v>
      </c>
    </row>
    <row r="12" spans="2:8">
      <c r="B12" s="103">
        <v>44470</v>
      </c>
      <c r="C12" s="104">
        <v>388214</v>
      </c>
      <c r="D12" s="104">
        <f t="shared" si="0"/>
        <v>47324087</v>
      </c>
    </row>
    <row r="13" spans="2:8">
      <c r="B13" s="103">
        <v>44501</v>
      </c>
      <c r="C13" s="104">
        <v>718576</v>
      </c>
      <c r="D13" s="104">
        <f t="shared" si="0"/>
        <v>46605511</v>
      </c>
    </row>
    <row r="14" spans="2:8">
      <c r="B14" s="103">
        <v>44531</v>
      </c>
      <c r="C14" s="104">
        <v>12447502</v>
      </c>
      <c r="D14" s="104">
        <f t="shared" si="0"/>
        <v>34158009</v>
      </c>
    </row>
    <row r="15" spans="2:8">
      <c r="B15" s="103">
        <v>44562</v>
      </c>
      <c r="C15" s="104">
        <v>928377</v>
      </c>
      <c r="D15" s="104">
        <f t="shared" si="0"/>
        <v>33229632</v>
      </c>
    </row>
    <row r="16" spans="2:8">
      <c r="B16" s="103">
        <v>44593</v>
      </c>
      <c r="C16" s="104">
        <v>600504</v>
      </c>
      <c r="D16" s="104">
        <v>32629128</v>
      </c>
    </row>
    <row r="17" spans="2:4">
      <c r="B17" s="103">
        <v>44621</v>
      </c>
      <c r="C17" s="104">
        <v>689110</v>
      </c>
      <c r="D17" s="104">
        <f>D16-C17</f>
        <v>31940018</v>
      </c>
    </row>
    <row r="18" spans="2:4">
      <c r="B18" s="105">
        <v>44652</v>
      </c>
      <c r="C18" s="106">
        <v>474409</v>
      </c>
      <c r="D18" s="107">
        <f>D17-C18</f>
        <v>31465609</v>
      </c>
    </row>
  </sheetData>
  <mergeCells count="4">
    <mergeCell ref="B2:C2"/>
    <mergeCell ref="B3:C3"/>
    <mergeCell ref="B4:C4"/>
    <mergeCell ref="B5:C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48"/>
  <sheetViews>
    <sheetView topLeftCell="A25" workbookViewId="0">
      <selection activeCell="B42" sqref="B42"/>
    </sheetView>
  </sheetViews>
  <sheetFormatPr defaultRowHeight="17.399999999999999"/>
  <cols>
    <col min="1" max="1" width="9.296875" style="39" bestFit="1" customWidth="1"/>
    <col min="2" max="2" width="18.8984375" style="39" bestFit="1" customWidth="1"/>
    <col min="3" max="3" width="11.5" style="39" bestFit="1" customWidth="1"/>
    <col min="4" max="4" width="11.69921875" style="39" bestFit="1" customWidth="1"/>
    <col min="5" max="5" width="8.09765625" style="39" bestFit="1" customWidth="1"/>
    <col min="6" max="6" width="8.59765625" style="39" bestFit="1" customWidth="1"/>
    <col min="7" max="7" width="12.296875" style="39" bestFit="1" customWidth="1"/>
    <col min="8" max="8" width="16.296875" style="39" bestFit="1" customWidth="1"/>
    <col min="9" max="9" width="8.59765625" style="39" bestFit="1" customWidth="1"/>
    <col min="10" max="10" width="9.3984375" style="39" bestFit="1" customWidth="1"/>
    <col min="11" max="11" width="36" style="39" bestFit="1" customWidth="1"/>
    <col min="12" max="12" width="21.5" style="39" bestFit="1" customWidth="1"/>
    <col min="13" max="14" width="6.796875" style="39" bestFit="1" customWidth="1"/>
    <col min="15" max="15" width="10.796875" style="39" bestFit="1" customWidth="1"/>
    <col min="16" max="16" width="30" style="39" bestFit="1" customWidth="1"/>
    <col min="17" max="17" width="12.69921875" style="39" bestFit="1" customWidth="1"/>
    <col min="18" max="18" width="19.59765625" style="39" bestFit="1" customWidth="1"/>
    <col min="19" max="19" width="11.09765625" style="39" bestFit="1" customWidth="1"/>
    <col min="20" max="20" width="9.3984375" style="39" bestFit="1" customWidth="1"/>
    <col min="21" max="21" width="8.8984375" style="39" bestFit="1" customWidth="1"/>
    <col min="22" max="22" width="8.3984375" style="39" bestFit="1" customWidth="1"/>
    <col min="23" max="28" width="8.8984375" style="39" bestFit="1" customWidth="1"/>
    <col min="29" max="29" width="15.19921875" style="39" bestFit="1" customWidth="1"/>
    <col min="30" max="30" width="9.3984375" style="39" bestFit="1" customWidth="1"/>
    <col min="31" max="31" width="8.8984375" style="39" bestFit="1" customWidth="1"/>
    <col min="32" max="32" width="8.3984375" style="39" bestFit="1" customWidth="1"/>
    <col min="33" max="38" width="8.8984375" style="39" bestFit="1" customWidth="1"/>
    <col min="39" max="39" width="15.19921875" style="39" bestFit="1" customWidth="1"/>
    <col min="40" max="40" width="8.59765625" style="39" bestFit="1" customWidth="1"/>
    <col min="41" max="41" width="6.796875" style="39" bestFit="1" customWidth="1"/>
    <col min="42" max="42" width="8.59765625" style="39" bestFit="1" customWidth="1"/>
    <col min="43" max="16384" width="8.796875" style="39"/>
  </cols>
  <sheetData>
    <row r="1" spans="1:42" ht="18" thickBot="1">
      <c r="A1" s="117" t="s">
        <v>1222</v>
      </c>
      <c r="B1" s="117" t="s">
        <v>1223</v>
      </c>
      <c r="C1" s="117" t="s">
        <v>1224</v>
      </c>
      <c r="D1" s="117" t="s">
        <v>1225</v>
      </c>
      <c r="E1" s="117" t="s">
        <v>1226</v>
      </c>
      <c r="F1" s="117" t="s">
        <v>1227</v>
      </c>
      <c r="G1" s="117" t="s">
        <v>1228</v>
      </c>
      <c r="H1" s="117" t="s">
        <v>1229</v>
      </c>
      <c r="I1" s="117" t="s">
        <v>835</v>
      </c>
      <c r="J1" s="117" t="s">
        <v>1230</v>
      </c>
      <c r="K1" s="117" t="s">
        <v>133</v>
      </c>
      <c r="L1" s="117" t="s">
        <v>1288</v>
      </c>
      <c r="M1" s="117" t="s">
        <v>1289</v>
      </c>
      <c r="N1" s="118" t="s">
        <v>88</v>
      </c>
      <c r="O1" s="117" t="s">
        <v>1233</v>
      </c>
      <c r="P1" s="118" t="s">
        <v>1234</v>
      </c>
      <c r="Q1" s="117" t="s">
        <v>1235</v>
      </c>
      <c r="R1" s="117" t="s">
        <v>1236</v>
      </c>
      <c r="S1" s="117" t="s">
        <v>1237</v>
      </c>
      <c r="T1" s="117" t="s">
        <v>1290</v>
      </c>
      <c r="U1" s="117" t="s">
        <v>1291</v>
      </c>
      <c r="V1" s="117" t="s">
        <v>1292</v>
      </c>
      <c r="W1" s="117" t="s">
        <v>1293</v>
      </c>
      <c r="X1" s="117" t="s">
        <v>1294</v>
      </c>
      <c r="Y1" s="117" t="s">
        <v>1243</v>
      </c>
      <c r="Z1" s="117" t="s">
        <v>1295</v>
      </c>
      <c r="AA1" s="117" t="s">
        <v>1245</v>
      </c>
      <c r="AB1" s="117" t="s">
        <v>1296</v>
      </c>
      <c r="AC1" s="117" t="s">
        <v>1297</v>
      </c>
      <c r="AD1" s="118" t="s">
        <v>1298</v>
      </c>
      <c r="AE1" s="117" t="s">
        <v>1299</v>
      </c>
      <c r="AF1" s="117" t="s">
        <v>1250</v>
      </c>
      <c r="AG1" s="117" t="s">
        <v>1300</v>
      </c>
      <c r="AH1" s="117" t="s">
        <v>1301</v>
      </c>
      <c r="AI1" s="117" t="s">
        <v>1302</v>
      </c>
      <c r="AJ1" s="117" t="s">
        <v>1303</v>
      </c>
      <c r="AK1" s="117" t="s">
        <v>1304</v>
      </c>
      <c r="AL1" s="117" t="s">
        <v>1305</v>
      </c>
      <c r="AM1" s="117" t="s">
        <v>1306</v>
      </c>
      <c r="AN1" s="117" t="s">
        <v>1258</v>
      </c>
      <c r="AO1" s="117" t="s">
        <v>1259</v>
      </c>
      <c r="AP1" s="118" t="s">
        <v>1260</v>
      </c>
    </row>
    <row r="2" spans="1:42" ht="18" thickTop="1">
      <c r="A2" s="119" t="s">
        <v>1307</v>
      </c>
      <c r="B2" s="119" t="s">
        <v>854</v>
      </c>
      <c r="C2" s="119" t="s">
        <v>1262</v>
      </c>
      <c r="D2" s="119" t="s">
        <v>29</v>
      </c>
      <c r="E2" s="119" t="s">
        <v>1308</v>
      </c>
      <c r="F2" s="119" t="s">
        <v>1309</v>
      </c>
      <c r="G2" s="119" t="s">
        <v>1263</v>
      </c>
      <c r="H2" s="119" t="s">
        <v>1264</v>
      </c>
      <c r="I2" s="119" t="s">
        <v>1265</v>
      </c>
      <c r="J2" s="119">
        <v>51936303</v>
      </c>
      <c r="K2" s="119" t="s">
        <v>858</v>
      </c>
      <c r="L2" s="119"/>
      <c r="M2" s="119"/>
      <c r="N2" s="119" t="s">
        <v>31</v>
      </c>
      <c r="O2" s="119" t="s">
        <v>1266</v>
      </c>
      <c r="P2" s="119">
        <v>0.55000000000000004</v>
      </c>
      <c r="Q2" s="119">
        <v>0.55000000000000004</v>
      </c>
      <c r="R2" s="120" t="s">
        <v>1267</v>
      </c>
      <c r="S2" s="120">
        <v>100</v>
      </c>
      <c r="T2" s="120">
        <v>119000</v>
      </c>
      <c r="U2" s="120">
        <v>20850</v>
      </c>
      <c r="V2" s="120">
        <v>0</v>
      </c>
      <c r="W2" s="120">
        <v>0</v>
      </c>
      <c r="X2" s="120">
        <v>0</v>
      </c>
      <c r="Y2" s="120">
        <v>0</v>
      </c>
      <c r="Z2" s="120">
        <v>0</v>
      </c>
      <c r="AA2" s="120">
        <v>0</v>
      </c>
      <c r="AB2" s="120">
        <v>0</v>
      </c>
      <c r="AC2" s="120">
        <v>98150</v>
      </c>
      <c r="AD2" s="120">
        <v>119000</v>
      </c>
      <c r="AE2" s="120">
        <v>20850</v>
      </c>
      <c r="AF2" s="120">
        <v>0</v>
      </c>
      <c r="AG2" s="120">
        <v>0</v>
      </c>
      <c r="AH2" s="120">
        <v>0</v>
      </c>
      <c r="AI2" s="120">
        <v>0</v>
      </c>
      <c r="AJ2" s="120">
        <v>0</v>
      </c>
      <c r="AK2" s="120">
        <v>0</v>
      </c>
      <c r="AL2" s="120">
        <v>0</v>
      </c>
      <c r="AM2" s="120">
        <v>98150</v>
      </c>
      <c r="AN2" s="120">
        <v>65450</v>
      </c>
      <c r="AO2" s="120">
        <v>0</v>
      </c>
      <c r="AP2" s="120">
        <v>65450</v>
      </c>
    </row>
    <row r="3" spans="1:42">
      <c r="A3" s="119" t="s">
        <v>1307</v>
      </c>
      <c r="B3" s="119" t="s">
        <v>854</v>
      </c>
      <c r="C3" s="119" t="s">
        <v>1262</v>
      </c>
      <c r="D3" s="119" t="s">
        <v>29</v>
      </c>
      <c r="E3" s="119" t="s">
        <v>1308</v>
      </c>
      <c r="F3" s="119" t="s">
        <v>1309</v>
      </c>
      <c r="G3" s="119" t="s">
        <v>1263</v>
      </c>
      <c r="H3" s="119" t="s">
        <v>1264</v>
      </c>
      <c r="I3" s="119" t="s">
        <v>1265</v>
      </c>
      <c r="J3" s="119">
        <v>51936303</v>
      </c>
      <c r="K3" s="119" t="s">
        <v>858</v>
      </c>
      <c r="L3" s="119"/>
      <c r="M3" s="119"/>
      <c r="N3" s="119" t="s">
        <v>31</v>
      </c>
      <c r="O3" s="119" t="s">
        <v>1266</v>
      </c>
      <c r="P3" s="119">
        <v>0.55000000000000004</v>
      </c>
      <c r="Q3" s="119">
        <v>0.55000000000000004</v>
      </c>
      <c r="R3" s="120" t="s">
        <v>1268</v>
      </c>
      <c r="S3" s="120">
        <v>2400</v>
      </c>
      <c r="T3" s="120">
        <v>33500</v>
      </c>
      <c r="U3" s="120">
        <v>23600</v>
      </c>
      <c r="V3" s="120">
        <v>0</v>
      </c>
      <c r="W3" s="120">
        <v>0</v>
      </c>
      <c r="X3" s="120">
        <v>0</v>
      </c>
      <c r="Y3" s="120">
        <v>0</v>
      </c>
      <c r="Z3" s="120">
        <v>0</v>
      </c>
      <c r="AA3" s="120">
        <v>0</v>
      </c>
      <c r="AB3" s="120">
        <v>0</v>
      </c>
      <c r="AC3" s="120">
        <v>9900</v>
      </c>
      <c r="AD3" s="120">
        <v>33500</v>
      </c>
      <c r="AE3" s="120">
        <v>23600</v>
      </c>
      <c r="AF3" s="120">
        <v>0</v>
      </c>
      <c r="AG3" s="120">
        <v>0</v>
      </c>
      <c r="AH3" s="120">
        <v>0</v>
      </c>
      <c r="AI3" s="120">
        <v>0</v>
      </c>
      <c r="AJ3" s="120">
        <v>0</v>
      </c>
      <c r="AK3" s="120">
        <v>0</v>
      </c>
      <c r="AL3" s="120">
        <v>0</v>
      </c>
      <c r="AM3" s="120">
        <v>9900</v>
      </c>
      <c r="AN3" s="120">
        <v>18425</v>
      </c>
      <c r="AO3" s="120">
        <v>0</v>
      </c>
      <c r="AP3" s="120">
        <v>18425</v>
      </c>
    </row>
    <row r="4" spans="1:42">
      <c r="A4" s="119" t="s">
        <v>1307</v>
      </c>
      <c r="B4" s="119" t="s">
        <v>854</v>
      </c>
      <c r="C4" s="119" t="s">
        <v>1262</v>
      </c>
      <c r="D4" s="119" t="s">
        <v>29</v>
      </c>
      <c r="E4" s="119" t="s">
        <v>1308</v>
      </c>
      <c r="F4" s="119" t="s">
        <v>1309</v>
      </c>
      <c r="G4" s="119" t="s">
        <v>1263</v>
      </c>
      <c r="H4" s="119" t="s">
        <v>1264</v>
      </c>
      <c r="I4" s="119" t="s">
        <v>1265</v>
      </c>
      <c r="J4" s="119">
        <v>51936303</v>
      </c>
      <c r="K4" s="119" t="s">
        <v>858</v>
      </c>
      <c r="L4" s="119"/>
      <c r="M4" s="119"/>
      <c r="N4" s="119" t="s">
        <v>31</v>
      </c>
      <c r="O4" s="119" t="s">
        <v>1266</v>
      </c>
      <c r="P4" s="119">
        <v>0.55000000000000004</v>
      </c>
      <c r="Q4" s="119">
        <v>0.55000000000000004</v>
      </c>
      <c r="R4" s="120" t="s">
        <v>1268</v>
      </c>
      <c r="S4" s="120">
        <v>9200</v>
      </c>
      <c r="T4" s="120">
        <v>64400</v>
      </c>
      <c r="U4" s="120">
        <v>64400</v>
      </c>
      <c r="V4" s="120">
        <v>0</v>
      </c>
      <c r="W4" s="120">
        <v>0</v>
      </c>
      <c r="X4" s="120">
        <v>0</v>
      </c>
      <c r="Y4" s="120">
        <v>0</v>
      </c>
      <c r="Z4" s="120">
        <v>0</v>
      </c>
      <c r="AA4" s="120">
        <v>0</v>
      </c>
      <c r="AB4" s="120">
        <v>0</v>
      </c>
      <c r="AC4" s="120">
        <v>0</v>
      </c>
      <c r="AD4" s="120">
        <v>64400</v>
      </c>
      <c r="AE4" s="120">
        <v>64400</v>
      </c>
      <c r="AF4" s="120">
        <v>0</v>
      </c>
      <c r="AG4" s="120">
        <v>0</v>
      </c>
      <c r="AH4" s="120">
        <v>0</v>
      </c>
      <c r="AI4" s="120">
        <v>0</v>
      </c>
      <c r="AJ4" s="120">
        <v>0</v>
      </c>
      <c r="AK4" s="120">
        <v>0</v>
      </c>
      <c r="AL4" s="120">
        <v>0</v>
      </c>
      <c r="AM4" s="120">
        <v>0</v>
      </c>
      <c r="AN4" s="120">
        <v>35420</v>
      </c>
      <c r="AO4" s="120">
        <v>0</v>
      </c>
      <c r="AP4" s="120">
        <v>35420</v>
      </c>
    </row>
    <row r="5" spans="1:42">
      <c r="A5" s="119" t="s">
        <v>1307</v>
      </c>
      <c r="B5" s="119" t="s">
        <v>854</v>
      </c>
      <c r="C5" s="119" t="s">
        <v>1262</v>
      </c>
      <c r="D5" s="119" t="s">
        <v>29</v>
      </c>
      <c r="E5" s="119" t="s">
        <v>1308</v>
      </c>
      <c r="F5" s="119" t="s">
        <v>1309</v>
      </c>
      <c r="G5" s="119" t="s">
        <v>1263</v>
      </c>
      <c r="H5" s="119" t="s">
        <v>1264</v>
      </c>
      <c r="I5" s="119" t="s">
        <v>1265</v>
      </c>
      <c r="J5" s="119">
        <v>51936303</v>
      </c>
      <c r="K5" s="119" t="s">
        <v>858</v>
      </c>
      <c r="L5" s="119"/>
      <c r="M5" s="119"/>
      <c r="N5" s="119" t="s">
        <v>31</v>
      </c>
      <c r="O5" s="119" t="s">
        <v>1266</v>
      </c>
      <c r="P5" s="119">
        <v>0.55000000000000004</v>
      </c>
      <c r="Q5" s="119">
        <v>0.55000000000000004</v>
      </c>
      <c r="R5" s="120" t="s">
        <v>1268</v>
      </c>
      <c r="S5" s="120">
        <v>18000</v>
      </c>
      <c r="T5" s="120">
        <v>54000</v>
      </c>
      <c r="U5" s="120">
        <v>54000</v>
      </c>
      <c r="V5" s="120">
        <v>0</v>
      </c>
      <c r="W5" s="120">
        <v>0</v>
      </c>
      <c r="X5" s="120">
        <v>0</v>
      </c>
      <c r="Y5" s="120">
        <v>0</v>
      </c>
      <c r="Z5" s="120">
        <v>0</v>
      </c>
      <c r="AA5" s="120">
        <v>0</v>
      </c>
      <c r="AB5" s="120">
        <v>0</v>
      </c>
      <c r="AC5" s="120">
        <v>0</v>
      </c>
      <c r="AD5" s="120">
        <v>54000</v>
      </c>
      <c r="AE5" s="120">
        <v>54000</v>
      </c>
      <c r="AF5" s="120">
        <v>0</v>
      </c>
      <c r="AG5" s="120">
        <v>0</v>
      </c>
      <c r="AH5" s="120">
        <v>0</v>
      </c>
      <c r="AI5" s="120">
        <v>0</v>
      </c>
      <c r="AJ5" s="120">
        <v>0</v>
      </c>
      <c r="AK5" s="120">
        <v>0</v>
      </c>
      <c r="AL5" s="120">
        <v>0</v>
      </c>
      <c r="AM5" s="120">
        <v>0</v>
      </c>
      <c r="AN5" s="120">
        <v>29700</v>
      </c>
      <c r="AO5" s="120">
        <v>0</v>
      </c>
      <c r="AP5" s="120">
        <v>29700</v>
      </c>
    </row>
    <row r="6" spans="1:42">
      <c r="A6" s="119" t="s">
        <v>1307</v>
      </c>
      <c r="B6" s="119" t="s">
        <v>854</v>
      </c>
      <c r="C6" s="119" t="s">
        <v>1262</v>
      </c>
      <c r="D6" s="119" t="s">
        <v>29</v>
      </c>
      <c r="E6" s="119" t="s">
        <v>1308</v>
      </c>
      <c r="F6" s="119" t="s">
        <v>1309</v>
      </c>
      <c r="G6" s="119" t="s">
        <v>1263</v>
      </c>
      <c r="H6" s="119" t="s">
        <v>1264</v>
      </c>
      <c r="I6" s="119" t="s">
        <v>1265</v>
      </c>
      <c r="J6" s="119">
        <v>54212515</v>
      </c>
      <c r="K6" s="119" t="s">
        <v>114</v>
      </c>
      <c r="L6" s="119"/>
      <c r="M6" s="119"/>
      <c r="N6" s="119" t="s">
        <v>31</v>
      </c>
      <c r="O6" s="119" t="s">
        <v>1266</v>
      </c>
      <c r="P6" s="119">
        <v>0.55000000000000004</v>
      </c>
      <c r="Q6" s="119">
        <v>0.55000000000000004</v>
      </c>
      <c r="R6" s="120" t="s">
        <v>1267</v>
      </c>
      <c r="S6" s="120">
        <v>100</v>
      </c>
      <c r="T6" s="120">
        <v>27000</v>
      </c>
      <c r="U6" s="120">
        <v>13700</v>
      </c>
      <c r="V6" s="120">
        <v>0</v>
      </c>
      <c r="W6" s="120">
        <v>0</v>
      </c>
      <c r="X6" s="120">
        <v>0</v>
      </c>
      <c r="Y6" s="120">
        <v>0</v>
      </c>
      <c r="Z6" s="120">
        <v>0</v>
      </c>
      <c r="AA6" s="120">
        <v>0</v>
      </c>
      <c r="AB6" s="120">
        <v>0</v>
      </c>
      <c r="AC6" s="120">
        <v>13300</v>
      </c>
      <c r="AD6" s="120">
        <v>27000</v>
      </c>
      <c r="AE6" s="120">
        <v>13700</v>
      </c>
      <c r="AF6" s="120">
        <v>0</v>
      </c>
      <c r="AG6" s="120">
        <v>0</v>
      </c>
      <c r="AH6" s="120">
        <v>0</v>
      </c>
      <c r="AI6" s="120">
        <v>0</v>
      </c>
      <c r="AJ6" s="120">
        <v>0</v>
      </c>
      <c r="AK6" s="120">
        <v>0</v>
      </c>
      <c r="AL6" s="120">
        <v>0</v>
      </c>
      <c r="AM6" s="120">
        <v>13300</v>
      </c>
      <c r="AN6" s="120">
        <v>14850</v>
      </c>
      <c r="AO6" s="120">
        <v>0</v>
      </c>
      <c r="AP6" s="120">
        <v>14850</v>
      </c>
    </row>
    <row r="7" spans="1:42">
      <c r="A7" s="119" t="s">
        <v>1307</v>
      </c>
      <c r="B7" s="119" t="s">
        <v>854</v>
      </c>
      <c r="C7" s="119" t="s">
        <v>1262</v>
      </c>
      <c r="D7" s="119" t="s">
        <v>29</v>
      </c>
      <c r="E7" s="119" t="s">
        <v>1308</v>
      </c>
      <c r="F7" s="119" t="s">
        <v>1309</v>
      </c>
      <c r="G7" s="119" t="s">
        <v>1263</v>
      </c>
      <c r="H7" s="119" t="s">
        <v>1264</v>
      </c>
      <c r="I7" s="119" t="s">
        <v>1265</v>
      </c>
      <c r="J7" s="119">
        <v>54212515</v>
      </c>
      <c r="K7" s="119" t="s">
        <v>114</v>
      </c>
      <c r="L7" s="119"/>
      <c r="M7" s="119"/>
      <c r="N7" s="119" t="s">
        <v>31</v>
      </c>
      <c r="O7" s="119" t="s">
        <v>1266</v>
      </c>
      <c r="P7" s="119">
        <v>0.55000000000000004</v>
      </c>
      <c r="Q7" s="119">
        <v>0.55000000000000004</v>
      </c>
      <c r="R7" s="120" t="s">
        <v>1268</v>
      </c>
      <c r="S7" s="120">
        <v>2400</v>
      </c>
      <c r="T7" s="120">
        <v>79200</v>
      </c>
      <c r="U7" s="120">
        <v>75100</v>
      </c>
      <c r="V7" s="120">
        <v>0</v>
      </c>
      <c r="W7" s="120">
        <v>0</v>
      </c>
      <c r="X7" s="120">
        <v>0</v>
      </c>
      <c r="Y7" s="120">
        <v>0</v>
      </c>
      <c r="Z7" s="120">
        <v>0</v>
      </c>
      <c r="AA7" s="120">
        <v>0</v>
      </c>
      <c r="AB7" s="120">
        <v>0</v>
      </c>
      <c r="AC7" s="120">
        <v>4100</v>
      </c>
      <c r="AD7" s="120">
        <v>79200</v>
      </c>
      <c r="AE7" s="120">
        <v>75100</v>
      </c>
      <c r="AF7" s="120">
        <v>0</v>
      </c>
      <c r="AG7" s="120">
        <v>0</v>
      </c>
      <c r="AH7" s="120">
        <v>0</v>
      </c>
      <c r="AI7" s="120">
        <v>0</v>
      </c>
      <c r="AJ7" s="120">
        <v>0</v>
      </c>
      <c r="AK7" s="120">
        <v>0</v>
      </c>
      <c r="AL7" s="120">
        <v>0</v>
      </c>
      <c r="AM7" s="120">
        <v>4100</v>
      </c>
      <c r="AN7" s="120">
        <v>43560</v>
      </c>
      <c r="AO7" s="120">
        <v>0</v>
      </c>
      <c r="AP7" s="120">
        <v>43560</v>
      </c>
    </row>
    <row r="8" spans="1:42">
      <c r="A8" s="119" t="s">
        <v>1307</v>
      </c>
      <c r="B8" s="119" t="s">
        <v>854</v>
      </c>
      <c r="C8" s="119" t="s">
        <v>1262</v>
      </c>
      <c r="D8" s="119" t="s">
        <v>29</v>
      </c>
      <c r="E8" s="119" t="s">
        <v>1308</v>
      </c>
      <c r="F8" s="119" t="s">
        <v>1309</v>
      </c>
      <c r="G8" s="119" t="s">
        <v>1263</v>
      </c>
      <c r="H8" s="119" t="s">
        <v>1264</v>
      </c>
      <c r="I8" s="119" t="s">
        <v>1265</v>
      </c>
      <c r="J8" s="119">
        <v>54212515</v>
      </c>
      <c r="K8" s="119" t="s">
        <v>114</v>
      </c>
      <c r="L8" s="119"/>
      <c r="M8" s="119"/>
      <c r="N8" s="119" t="s">
        <v>31</v>
      </c>
      <c r="O8" s="119" t="s">
        <v>1266</v>
      </c>
      <c r="P8" s="119">
        <v>0.55000000000000004</v>
      </c>
      <c r="Q8" s="119">
        <v>0.55000000000000004</v>
      </c>
      <c r="R8" s="120" t="s">
        <v>1268</v>
      </c>
      <c r="S8" s="120">
        <v>9200</v>
      </c>
      <c r="T8" s="120">
        <v>9200</v>
      </c>
      <c r="U8" s="120">
        <v>9200</v>
      </c>
      <c r="V8" s="120">
        <v>0</v>
      </c>
      <c r="W8" s="120">
        <v>0</v>
      </c>
      <c r="X8" s="120">
        <v>0</v>
      </c>
      <c r="Y8" s="120">
        <v>0</v>
      </c>
      <c r="Z8" s="120">
        <v>0</v>
      </c>
      <c r="AA8" s="120">
        <v>0</v>
      </c>
      <c r="AB8" s="120">
        <v>0</v>
      </c>
      <c r="AC8" s="120">
        <v>0</v>
      </c>
      <c r="AD8" s="120">
        <v>9200</v>
      </c>
      <c r="AE8" s="120">
        <v>9200</v>
      </c>
      <c r="AF8" s="120">
        <v>0</v>
      </c>
      <c r="AG8" s="120">
        <v>0</v>
      </c>
      <c r="AH8" s="120">
        <v>0</v>
      </c>
      <c r="AI8" s="120">
        <v>0</v>
      </c>
      <c r="AJ8" s="120">
        <v>0</v>
      </c>
      <c r="AK8" s="120">
        <v>0</v>
      </c>
      <c r="AL8" s="120">
        <v>0</v>
      </c>
      <c r="AM8" s="120">
        <v>0</v>
      </c>
      <c r="AN8" s="120">
        <v>5060</v>
      </c>
      <c r="AO8" s="120">
        <v>0</v>
      </c>
      <c r="AP8" s="120">
        <v>5060</v>
      </c>
    </row>
    <row r="9" spans="1:42">
      <c r="A9" s="119" t="s">
        <v>1307</v>
      </c>
      <c r="B9" s="119" t="s">
        <v>854</v>
      </c>
      <c r="C9" s="119" t="s">
        <v>1262</v>
      </c>
      <c r="D9" s="119" t="s">
        <v>29</v>
      </c>
      <c r="E9" s="119" t="s">
        <v>1308</v>
      </c>
      <c r="F9" s="119" t="s">
        <v>1309</v>
      </c>
      <c r="G9" s="119" t="s">
        <v>1263</v>
      </c>
      <c r="H9" s="119" t="s">
        <v>1264</v>
      </c>
      <c r="I9" s="119" t="s">
        <v>1265</v>
      </c>
      <c r="J9" s="119">
        <v>54212515</v>
      </c>
      <c r="K9" s="119" t="s">
        <v>114</v>
      </c>
      <c r="L9" s="119"/>
      <c r="M9" s="119"/>
      <c r="N9" s="119" t="s">
        <v>31</v>
      </c>
      <c r="O9" s="119" t="s">
        <v>1266</v>
      </c>
      <c r="P9" s="119">
        <v>0.55000000000000004</v>
      </c>
      <c r="Q9" s="119">
        <v>0.55000000000000004</v>
      </c>
      <c r="R9" s="120" t="s">
        <v>1268</v>
      </c>
      <c r="S9" s="120">
        <v>18000</v>
      </c>
      <c r="T9" s="120">
        <v>70600</v>
      </c>
      <c r="U9" s="120">
        <v>70600</v>
      </c>
      <c r="V9" s="120">
        <v>0</v>
      </c>
      <c r="W9" s="120">
        <v>0</v>
      </c>
      <c r="X9" s="120">
        <v>0</v>
      </c>
      <c r="Y9" s="120">
        <v>0</v>
      </c>
      <c r="Z9" s="120">
        <v>0</v>
      </c>
      <c r="AA9" s="120">
        <v>0</v>
      </c>
      <c r="AB9" s="120">
        <v>0</v>
      </c>
      <c r="AC9" s="120">
        <v>0</v>
      </c>
      <c r="AD9" s="120">
        <v>70600</v>
      </c>
      <c r="AE9" s="120">
        <v>70600</v>
      </c>
      <c r="AF9" s="120">
        <v>0</v>
      </c>
      <c r="AG9" s="120">
        <v>0</v>
      </c>
      <c r="AH9" s="120">
        <v>0</v>
      </c>
      <c r="AI9" s="120">
        <v>0</v>
      </c>
      <c r="AJ9" s="120">
        <v>0</v>
      </c>
      <c r="AK9" s="120">
        <v>0</v>
      </c>
      <c r="AL9" s="120">
        <v>0</v>
      </c>
      <c r="AM9" s="120">
        <v>0</v>
      </c>
      <c r="AN9" s="120">
        <v>38830</v>
      </c>
      <c r="AO9" s="120">
        <v>0</v>
      </c>
      <c r="AP9" s="120">
        <v>38830</v>
      </c>
    </row>
    <row r="10" spans="1:42">
      <c r="A10" s="119" t="s">
        <v>1307</v>
      </c>
      <c r="B10" s="119" t="s">
        <v>854</v>
      </c>
      <c r="C10" s="119" t="s">
        <v>1262</v>
      </c>
      <c r="D10" s="119" t="s">
        <v>29</v>
      </c>
      <c r="E10" s="119" t="s">
        <v>1308</v>
      </c>
      <c r="F10" s="119" t="s">
        <v>1309</v>
      </c>
      <c r="G10" s="119" t="s">
        <v>1263</v>
      </c>
      <c r="H10" s="119" t="s">
        <v>1264</v>
      </c>
      <c r="I10" s="119" t="s">
        <v>1265</v>
      </c>
      <c r="J10" s="119">
        <v>56380069</v>
      </c>
      <c r="K10" s="119" t="s">
        <v>108</v>
      </c>
      <c r="L10" s="119"/>
      <c r="M10" s="119"/>
      <c r="N10" s="119" t="s">
        <v>31</v>
      </c>
      <c r="O10" s="119" t="s">
        <v>1266</v>
      </c>
      <c r="P10" s="119">
        <v>0.55000000000000004</v>
      </c>
      <c r="Q10" s="119">
        <v>0.55000000000000004</v>
      </c>
      <c r="R10" s="120" t="s">
        <v>1267</v>
      </c>
      <c r="S10" s="120">
        <v>100</v>
      </c>
      <c r="T10" s="120">
        <v>700</v>
      </c>
      <c r="U10" s="120">
        <v>-200</v>
      </c>
      <c r="V10" s="120">
        <v>0</v>
      </c>
      <c r="W10" s="120">
        <v>0</v>
      </c>
      <c r="X10" s="120">
        <v>0</v>
      </c>
      <c r="Y10" s="120">
        <v>0</v>
      </c>
      <c r="Z10" s="120">
        <v>0</v>
      </c>
      <c r="AA10" s="120">
        <v>0</v>
      </c>
      <c r="AB10" s="120">
        <v>0</v>
      </c>
      <c r="AC10" s="120">
        <v>900</v>
      </c>
      <c r="AD10" s="120">
        <v>700</v>
      </c>
      <c r="AE10" s="120">
        <v>-200</v>
      </c>
      <c r="AF10" s="120">
        <v>0</v>
      </c>
      <c r="AG10" s="120">
        <v>0</v>
      </c>
      <c r="AH10" s="120">
        <v>0</v>
      </c>
      <c r="AI10" s="120">
        <v>0</v>
      </c>
      <c r="AJ10" s="120">
        <v>0</v>
      </c>
      <c r="AK10" s="120">
        <v>0</v>
      </c>
      <c r="AL10" s="120">
        <v>0</v>
      </c>
      <c r="AM10" s="120">
        <v>900</v>
      </c>
      <c r="AN10" s="120">
        <v>385</v>
      </c>
      <c r="AO10" s="120">
        <v>0</v>
      </c>
      <c r="AP10" s="120">
        <v>385</v>
      </c>
    </row>
    <row r="11" spans="1:42">
      <c r="A11" s="119" t="s">
        <v>1307</v>
      </c>
      <c r="B11" s="119" t="s">
        <v>854</v>
      </c>
      <c r="C11" s="119" t="s">
        <v>1262</v>
      </c>
      <c r="D11" s="119" t="s">
        <v>29</v>
      </c>
      <c r="E11" s="119" t="s">
        <v>1308</v>
      </c>
      <c r="F11" s="119" t="s">
        <v>1309</v>
      </c>
      <c r="G11" s="119" t="s">
        <v>1263</v>
      </c>
      <c r="H11" s="119" t="s">
        <v>1264</v>
      </c>
      <c r="I11" s="119" t="s">
        <v>1265</v>
      </c>
      <c r="J11" s="119">
        <v>56380069</v>
      </c>
      <c r="K11" s="119" t="s">
        <v>108</v>
      </c>
      <c r="L11" s="119"/>
      <c r="M11" s="119"/>
      <c r="N11" s="119" t="s">
        <v>31</v>
      </c>
      <c r="O11" s="119" t="s">
        <v>1266</v>
      </c>
      <c r="P11" s="119">
        <v>0.55000000000000004</v>
      </c>
      <c r="Q11" s="119">
        <v>0.55000000000000004</v>
      </c>
      <c r="R11" s="120" t="s">
        <v>1268</v>
      </c>
      <c r="S11" s="120">
        <v>2400</v>
      </c>
      <c r="T11" s="120">
        <v>7200</v>
      </c>
      <c r="U11" s="120">
        <v>2400</v>
      </c>
      <c r="V11" s="120">
        <v>0</v>
      </c>
      <c r="W11" s="120">
        <v>0</v>
      </c>
      <c r="X11" s="120">
        <v>0</v>
      </c>
      <c r="Y11" s="120">
        <v>0</v>
      </c>
      <c r="Z11" s="120">
        <v>0</v>
      </c>
      <c r="AA11" s="120">
        <v>0</v>
      </c>
      <c r="AB11" s="120">
        <v>0</v>
      </c>
      <c r="AC11" s="120">
        <v>4800</v>
      </c>
      <c r="AD11" s="120">
        <v>7200</v>
      </c>
      <c r="AE11" s="120">
        <v>2400</v>
      </c>
      <c r="AF11" s="120">
        <v>0</v>
      </c>
      <c r="AG11" s="120">
        <v>0</v>
      </c>
      <c r="AH11" s="120">
        <v>0</v>
      </c>
      <c r="AI11" s="120">
        <v>0</v>
      </c>
      <c r="AJ11" s="120">
        <v>0</v>
      </c>
      <c r="AK11" s="120">
        <v>0</v>
      </c>
      <c r="AL11" s="120">
        <v>0</v>
      </c>
      <c r="AM11" s="120">
        <v>4800</v>
      </c>
      <c r="AN11" s="120">
        <v>3960</v>
      </c>
      <c r="AO11" s="120">
        <v>0</v>
      </c>
      <c r="AP11" s="120">
        <v>3960</v>
      </c>
    </row>
    <row r="12" spans="1:42">
      <c r="A12" s="119" t="s">
        <v>1307</v>
      </c>
      <c r="B12" s="119" t="s">
        <v>854</v>
      </c>
      <c r="C12" s="119" t="s">
        <v>1262</v>
      </c>
      <c r="D12" s="119" t="s">
        <v>29</v>
      </c>
      <c r="E12" s="119" t="s">
        <v>1308</v>
      </c>
      <c r="F12" s="119" t="s">
        <v>1309</v>
      </c>
      <c r="G12" s="119" t="s">
        <v>1263</v>
      </c>
      <c r="H12" s="119" t="s">
        <v>1264</v>
      </c>
      <c r="I12" s="119" t="s">
        <v>1265</v>
      </c>
      <c r="J12" s="119">
        <v>56380069</v>
      </c>
      <c r="K12" s="119" t="s">
        <v>108</v>
      </c>
      <c r="L12" s="119"/>
      <c r="M12" s="119"/>
      <c r="N12" s="119" t="s">
        <v>31</v>
      </c>
      <c r="O12" s="119" t="s">
        <v>1266</v>
      </c>
      <c r="P12" s="119">
        <v>0.55000000000000004</v>
      </c>
      <c r="Q12" s="119">
        <v>0.55000000000000004</v>
      </c>
      <c r="R12" s="120" t="s">
        <v>1268</v>
      </c>
      <c r="S12" s="120">
        <v>9200</v>
      </c>
      <c r="T12" s="120">
        <v>1100</v>
      </c>
      <c r="U12" s="120">
        <v>1100</v>
      </c>
      <c r="V12" s="120">
        <v>0</v>
      </c>
      <c r="W12" s="120">
        <v>0</v>
      </c>
      <c r="X12" s="120">
        <v>0</v>
      </c>
      <c r="Y12" s="120">
        <v>0</v>
      </c>
      <c r="Z12" s="120">
        <v>0</v>
      </c>
      <c r="AA12" s="120">
        <v>0</v>
      </c>
      <c r="AB12" s="120">
        <v>0</v>
      </c>
      <c r="AC12" s="120">
        <v>0</v>
      </c>
      <c r="AD12" s="120">
        <v>1100</v>
      </c>
      <c r="AE12" s="120">
        <v>1100</v>
      </c>
      <c r="AF12" s="120">
        <v>0</v>
      </c>
      <c r="AG12" s="120">
        <v>0</v>
      </c>
      <c r="AH12" s="120">
        <v>0</v>
      </c>
      <c r="AI12" s="120">
        <v>0</v>
      </c>
      <c r="AJ12" s="120">
        <v>0</v>
      </c>
      <c r="AK12" s="120">
        <v>0</v>
      </c>
      <c r="AL12" s="120">
        <v>0</v>
      </c>
      <c r="AM12" s="120">
        <v>0</v>
      </c>
      <c r="AN12" s="120">
        <v>605</v>
      </c>
      <c r="AO12" s="120">
        <v>0</v>
      </c>
      <c r="AP12" s="120">
        <v>605</v>
      </c>
    </row>
    <row r="13" spans="1:42">
      <c r="A13" s="119" t="s">
        <v>1307</v>
      </c>
      <c r="B13" s="119" t="s">
        <v>854</v>
      </c>
      <c r="C13" s="119" t="s">
        <v>1262</v>
      </c>
      <c r="D13" s="119" t="s">
        <v>29</v>
      </c>
      <c r="E13" s="119" t="s">
        <v>1308</v>
      </c>
      <c r="F13" s="119" t="s">
        <v>1309</v>
      </c>
      <c r="G13" s="119" t="s">
        <v>1263</v>
      </c>
      <c r="H13" s="119" t="s">
        <v>1264</v>
      </c>
      <c r="I13" s="119" t="s">
        <v>1265</v>
      </c>
      <c r="J13" s="119">
        <v>56380069</v>
      </c>
      <c r="K13" s="119" t="s">
        <v>108</v>
      </c>
      <c r="L13" s="119"/>
      <c r="M13" s="119"/>
      <c r="N13" s="119" t="s">
        <v>31</v>
      </c>
      <c r="O13" s="119" t="s">
        <v>1266</v>
      </c>
      <c r="P13" s="119">
        <v>0.55000000000000004</v>
      </c>
      <c r="Q13" s="119">
        <v>0.55000000000000004</v>
      </c>
      <c r="R13" s="120" t="s">
        <v>1268</v>
      </c>
      <c r="S13" s="120">
        <v>18000</v>
      </c>
      <c r="T13" s="120">
        <v>6200</v>
      </c>
      <c r="U13" s="120">
        <v>6200</v>
      </c>
      <c r="V13" s="120">
        <v>0</v>
      </c>
      <c r="W13" s="120">
        <v>0</v>
      </c>
      <c r="X13" s="120">
        <v>0</v>
      </c>
      <c r="Y13" s="120">
        <v>0</v>
      </c>
      <c r="Z13" s="120">
        <v>0</v>
      </c>
      <c r="AA13" s="120">
        <v>0</v>
      </c>
      <c r="AB13" s="120">
        <v>0</v>
      </c>
      <c r="AC13" s="120">
        <v>0</v>
      </c>
      <c r="AD13" s="120">
        <v>6200</v>
      </c>
      <c r="AE13" s="120">
        <v>6200</v>
      </c>
      <c r="AF13" s="120">
        <v>0</v>
      </c>
      <c r="AG13" s="120">
        <v>0</v>
      </c>
      <c r="AH13" s="120">
        <v>0</v>
      </c>
      <c r="AI13" s="120">
        <v>0</v>
      </c>
      <c r="AJ13" s="120">
        <v>0</v>
      </c>
      <c r="AK13" s="120">
        <v>0</v>
      </c>
      <c r="AL13" s="120">
        <v>0</v>
      </c>
      <c r="AM13" s="120">
        <v>0</v>
      </c>
      <c r="AN13" s="120">
        <v>3410</v>
      </c>
      <c r="AO13" s="120">
        <v>0</v>
      </c>
      <c r="AP13" s="120">
        <v>3410</v>
      </c>
    </row>
    <row r="14" spans="1:42">
      <c r="AP14" s="121">
        <f>SUM(AP2:AP13)</f>
        <v>259655</v>
      </c>
    </row>
    <row r="16" spans="1:42">
      <c r="A16" s="122" t="s">
        <v>1310</v>
      </c>
      <c r="B16" s="123"/>
      <c r="C16" s="123"/>
      <c r="D16" s="124"/>
    </row>
    <row r="17" spans="1:4">
      <c r="A17" s="125" t="s">
        <v>1311</v>
      </c>
      <c r="B17" s="125" t="s">
        <v>1312</v>
      </c>
      <c r="C17" s="125" t="s">
        <v>1313</v>
      </c>
      <c r="D17" s="125" t="s">
        <v>1314</v>
      </c>
    </row>
    <row r="18" spans="1:4">
      <c r="A18" s="126">
        <v>201912</v>
      </c>
      <c r="B18" s="127">
        <v>50000000</v>
      </c>
      <c r="C18" s="128">
        <v>616705</v>
      </c>
      <c r="D18" s="129">
        <v>49383295</v>
      </c>
    </row>
    <row r="19" spans="1:4">
      <c r="A19" s="126">
        <v>202001</v>
      </c>
      <c r="B19" s="127"/>
      <c r="C19" s="128">
        <v>702488</v>
      </c>
      <c r="D19" s="129">
        <v>48680807</v>
      </c>
    </row>
    <row r="20" spans="1:4">
      <c r="A20" s="126">
        <v>202002</v>
      </c>
      <c r="B20" s="127"/>
      <c r="C20" s="128">
        <v>631686</v>
      </c>
      <c r="D20" s="129">
        <v>48049121</v>
      </c>
    </row>
    <row r="21" spans="1:4">
      <c r="A21" s="126">
        <v>202003</v>
      </c>
      <c r="B21" s="127"/>
      <c r="C21" s="128">
        <v>569830</v>
      </c>
      <c r="D21" s="129">
        <v>47479291</v>
      </c>
    </row>
    <row r="22" spans="1:4">
      <c r="A22" s="126">
        <v>202004</v>
      </c>
      <c r="B22" s="127"/>
      <c r="C22" s="128">
        <v>19193902</v>
      </c>
      <c r="D22" s="129">
        <v>28285389</v>
      </c>
    </row>
    <row r="23" spans="1:4">
      <c r="A23" s="126">
        <v>202005</v>
      </c>
      <c r="B23" s="127"/>
      <c r="C23" s="128">
        <v>5406095</v>
      </c>
      <c r="D23" s="129">
        <v>22879294</v>
      </c>
    </row>
    <row r="24" spans="1:4">
      <c r="A24" s="126">
        <v>202006</v>
      </c>
      <c r="B24" s="127"/>
      <c r="C24" s="128">
        <v>2614141</v>
      </c>
      <c r="D24" s="129">
        <v>20265153</v>
      </c>
    </row>
    <row r="25" spans="1:4">
      <c r="A25" s="126">
        <v>202007</v>
      </c>
      <c r="B25" s="127"/>
      <c r="C25" s="128">
        <v>3800817</v>
      </c>
      <c r="D25" s="129">
        <v>16464336</v>
      </c>
    </row>
    <row r="26" spans="1:4">
      <c r="A26" s="126">
        <v>202008</v>
      </c>
      <c r="B26" s="126"/>
      <c r="C26" s="130">
        <v>2432478</v>
      </c>
      <c r="D26" s="131">
        <v>14031858</v>
      </c>
    </row>
    <row r="27" spans="1:4">
      <c r="A27" s="126">
        <v>202009</v>
      </c>
      <c r="B27" s="126"/>
      <c r="C27" s="130">
        <v>1712223</v>
      </c>
      <c r="D27" s="131">
        <v>12319635</v>
      </c>
    </row>
    <row r="28" spans="1:4">
      <c r="A28" s="126">
        <v>202010</v>
      </c>
      <c r="B28" s="126"/>
      <c r="C28" s="130">
        <v>4755890</v>
      </c>
      <c r="D28" s="131">
        <v>7563745</v>
      </c>
    </row>
    <row r="29" spans="1:4">
      <c r="A29" s="126">
        <v>202011</v>
      </c>
      <c r="B29" s="126"/>
      <c r="C29" s="130">
        <v>1758007</v>
      </c>
      <c r="D29" s="131">
        <v>5805738</v>
      </c>
    </row>
    <row r="30" spans="1:4">
      <c r="A30" s="126">
        <v>202012</v>
      </c>
      <c r="B30" s="126"/>
      <c r="C30" s="130">
        <v>562936</v>
      </c>
      <c r="D30" s="131">
        <v>5242802</v>
      </c>
    </row>
    <row r="31" spans="1:4">
      <c r="A31" s="126">
        <v>202101</v>
      </c>
      <c r="B31" s="126"/>
      <c r="C31" s="130">
        <v>529072</v>
      </c>
      <c r="D31" s="131">
        <v>4713730</v>
      </c>
    </row>
    <row r="32" spans="1:4">
      <c r="A32" s="126">
        <v>202102</v>
      </c>
      <c r="B32" s="126"/>
      <c r="C32" s="130">
        <v>474507</v>
      </c>
      <c r="D32" s="131">
        <v>4239223</v>
      </c>
    </row>
    <row r="33" spans="1:4">
      <c r="A33" s="126">
        <v>202103</v>
      </c>
      <c r="B33" s="126"/>
      <c r="C33" s="130">
        <v>784410</v>
      </c>
      <c r="D33" s="131">
        <v>3454813</v>
      </c>
    </row>
    <row r="34" spans="1:4">
      <c r="A34" s="126">
        <v>202104</v>
      </c>
      <c r="B34" s="126"/>
      <c r="C34" s="130">
        <v>679371</v>
      </c>
      <c r="D34" s="131">
        <v>2775442</v>
      </c>
    </row>
    <row r="35" spans="1:4">
      <c r="A35" s="126">
        <v>202105</v>
      </c>
      <c r="B35" s="126"/>
      <c r="C35" s="130">
        <v>488373</v>
      </c>
      <c r="D35" s="131">
        <v>2287069</v>
      </c>
    </row>
    <row r="36" spans="1:4">
      <c r="A36" s="126">
        <v>202106</v>
      </c>
      <c r="B36" s="126"/>
      <c r="C36" s="130">
        <v>442222</v>
      </c>
      <c r="D36" s="131">
        <v>1844847</v>
      </c>
    </row>
    <row r="37" spans="1:4">
      <c r="A37" s="126">
        <v>202107</v>
      </c>
      <c r="B37" s="126"/>
      <c r="C37" s="130">
        <v>321530</v>
      </c>
      <c r="D37" s="131">
        <f>D36-C37</f>
        <v>1523317</v>
      </c>
    </row>
    <row r="38" spans="1:4">
      <c r="A38" s="126">
        <v>202108</v>
      </c>
      <c r="B38" s="126"/>
      <c r="C38" s="130">
        <v>300806</v>
      </c>
      <c r="D38" s="131">
        <f>D37-C38</f>
        <v>1222511</v>
      </c>
    </row>
    <row r="39" spans="1:4">
      <c r="A39" s="126">
        <v>202109</v>
      </c>
      <c r="B39" s="126"/>
      <c r="C39" s="130">
        <v>188639</v>
      </c>
      <c r="D39" s="131">
        <f>D38-C39</f>
        <v>1033872</v>
      </c>
    </row>
    <row r="40" spans="1:4">
      <c r="A40" s="126">
        <v>202110</v>
      </c>
      <c r="B40" s="126"/>
      <c r="C40" s="130">
        <v>325666</v>
      </c>
      <c r="D40" s="131">
        <f>D39-C40</f>
        <v>708206</v>
      </c>
    </row>
    <row r="41" spans="1:4">
      <c r="A41" s="126">
        <v>202111</v>
      </c>
      <c r="B41" s="126"/>
      <c r="C41" s="130">
        <v>295037</v>
      </c>
      <c r="D41" s="131">
        <f>D40-C41</f>
        <v>413169</v>
      </c>
    </row>
    <row r="42" spans="1:4">
      <c r="A42" s="126">
        <v>202112</v>
      </c>
      <c r="B42" s="132">
        <v>20000000</v>
      </c>
      <c r="C42" s="130">
        <v>353299</v>
      </c>
      <c r="D42" s="131">
        <f>D41-C42+B42</f>
        <v>20059870</v>
      </c>
    </row>
    <row r="43" spans="1:4">
      <c r="A43" s="126">
        <v>202201</v>
      </c>
      <c r="B43" s="132"/>
      <c r="C43" s="130">
        <v>246202</v>
      </c>
      <c r="D43" s="131">
        <f>D42-C43</f>
        <v>19813668</v>
      </c>
    </row>
    <row r="44" spans="1:4">
      <c r="A44" s="126">
        <v>202202</v>
      </c>
      <c r="B44" s="132"/>
      <c r="C44" s="133">
        <v>173976</v>
      </c>
      <c r="D44" s="131">
        <f>D43-C44</f>
        <v>19639692</v>
      </c>
    </row>
    <row r="45" spans="1:4">
      <c r="A45" s="126">
        <v>202203</v>
      </c>
      <c r="B45" s="132"/>
      <c r="C45" s="133">
        <v>279606</v>
      </c>
      <c r="D45" s="131">
        <f>D44-C45</f>
        <v>19360086</v>
      </c>
    </row>
    <row r="46" spans="1:4">
      <c r="A46" s="126">
        <v>202204</v>
      </c>
      <c r="B46" s="126"/>
      <c r="C46" s="130">
        <f>AP14</f>
        <v>259655</v>
      </c>
      <c r="D46" s="131">
        <f>D45-C46</f>
        <v>19100431</v>
      </c>
    </row>
    <row r="47" spans="1:4">
      <c r="A47" s="126"/>
      <c r="B47" s="126"/>
      <c r="C47" s="130"/>
      <c r="D47" s="131"/>
    </row>
    <row r="48" spans="1:4">
      <c r="A48" s="126" t="s">
        <v>1315</v>
      </c>
      <c r="B48" s="134">
        <f>SUM(B18:B46)</f>
        <v>70000000</v>
      </c>
      <c r="C48" s="134">
        <f>SUM(C18:C46)</f>
        <v>50899569</v>
      </c>
      <c r="D48" s="126"/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topLeftCell="B1" workbookViewId="0">
      <selection activeCell="B1" sqref="B1"/>
    </sheetView>
  </sheetViews>
  <sheetFormatPr defaultRowHeight="17.399999999999999"/>
  <cols>
    <col min="1" max="1" width="12.69921875" bestFit="1" customWidth="1"/>
    <col min="2" max="2" width="15.3984375" bestFit="1" customWidth="1"/>
    <col min="3" max="3" width="23.69921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19921875" bestFit="1" customWidth="1"/>
    <col min="8" max="8" width="12.69921875" bestFit="1" customWidth="1"/>
    <col min="9" max="9" width="12.8984375" bestFit="1" customWidth="1"/>
    <col min="10" max="10" width="37.199218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69921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19921875" bestFit="1" customWidth="1"/>
    <col min="21" max="21" width="15.69921875" bestFit="1" customWidth="1"/>
    <col min="22" max="22" width="10.3984375" bestFit="1" customWidth="1"/>
  </cols>
  <sheetData>
    <row r="1" spans="1:2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s="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s="1" t="s">
        <v>21</v>
      </c>
      <c r="V1" t="s">
        <v>22</v>
      </c>
    </row>
    <row r="2" spans="1:2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1</v>
      </c>
      <c r="H2">
        <v>9791137600553</v>
      </c>
      <c r="I2" t="s">
        <v>29</v>
      </c>
      <c r="J2" t="s">
        <v>30</v>
      </c>
      <c r="K2" t="s">
        <v>31</v>
      </c>
      <c r="L2" t="s">
        <v>32</v>
      </c>
      <c r="M2" s="2">
        <v>3200</v>
      </c>
      <c r="N2" t="s">
        <v>33</v>
      </c>
      <c r="O2">
        <v>2.64</v>
      </c>
      <c r="P2">
        <v>2.64</v>
      </c>
      <c r="Q2" t="s">
        <v>34</v>
      </c>
      <c r="R2" s="3">
        <v>0.7</v>
      </c>
      <c r="S2">
        <v>1.85</v>
      </c>
      <c r="T2" t="s">
        <v>32</v>
      </c>
      <c r="U2" s="2">
        <v>2266</v>
      </c>
      <c r="V2" t="s">
        <v>35</v>
      </c>
    </row>
    <row r="3" spans="1:2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1</v>
      </c>
      <c r="H3">
        <v>9791137600560</v>
      </c>
      <c r="I3" t="s">
        <v>29</v>
      </c>
      <c r="J3" t="s">
        <v>36</v>
      </c>
      <c r="K3" t="s">
        <v>31</v>
      </c>
      <c r="L3" t="s">
        <v>32</v>
      </c>
      <c r="M3" s="2">
        <v>3200</v>
      </c>
      <c r="N3" t="s">
        <v>33</v>
      </c>
      <c r="O3">
        <v>2.64</v>
      </c>
      <c r="P3">
        <v>2.64</v>
      </c>
      <c r="Q3" t="s">
        <v>34</v>
      </c>
      <c r="R3" s="3">
        <v>0.7</v>
      </c>
      <c r="S3">
        <v>1.85</v>
      </c>
      <c r="T3" t="s">
        <v>32</v>
      </c>
      <c r="U3" s="2">
        <v>2266</v>
      </c>
      <c r="V3" t="s">
        <v>35</v>
      </c>
    </row>
    <row r="4" spans="1:22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1</v>
      </c>
      <c r="H4">
        <v>9791137600577</v>
      </c>
      <c r="I4" t="s">
        <v>29</v>
      </c>
      <c r="J4" t="s">
        <v>37</v>
      </c>
      <c r="K4" t="s">
        <v>31</v>
      </c>
      <c r="L4" t="s">
        <v>32</v>
      </c>
      <c r="M4" s="2">
        <v>3200</v>
      </c>
      <c r="N4" t="s">
        <v>33</v>
      </c>
      <c r="O4">
        <v>2.64</v>
      </c>
      <c r="P4">
        <v>2.64</v>
      </c>
      <c r="Q4" t="s">
        <v>34</v>
      </c>
      <c r="R4" s="3">
        <v>0.7</v>
      </c>
      <c r="S4">
        <v>1.85</v>
      </c>
      <c r="T4" t="s">
        <v>32</v>
      </c>
      <c r="U4" s="2">
        <v>2266</v>
      </c>
      <c r="V4" t="s">
        <v>35</v>
      </c>
    </row>
    <row r="5" spans="1:22">
      <c r="A5" t="s">
        <v>23</v>
      </c>
      <c r="B5" t="s">
        <v>38</v>
      </c>
      <c r="C5" t="s">
        <v>39</v>
      </c>
      <c r="D5" t="s">
        <v>26</v>
      </c>
      <c r="E5" t="s">
        <v>27</v>
      </c>
      <c r="F5" t="s">
        <v>28</v>
      </c>
      <c r="G5">
        <v>1</v>
      </c>
      <c r="H5">
        <v>9791137600584</v>
      </c>
      <c r="I5" t="s">
        <v>29</v>
      </c>
      <c r="J5" t="s">
        <v>40</v>
      </c>
      <c r="K5" t="s">
        <v>31</v>
      </c>
      <c r="L5" t="s">
        <v>32</v>
      </c>
      <c r="M5" s="2">
        <v>3200</v>
      </c>
      <c r="N5" t="s">
        <v>33</v>
      </c>
      <c r="O5">
        <v>2.64</v>
      </c>
      <c r="P5">
        <v>2.64</v>
      </c>
      <c r="Q5" t="s">
        <v>34</v>
      </c>
      <c r="R5" s="3">
        <v>0.7</v>
      </c>
      <c r="S5">
        <v>1.85</v>
      </c>
      <c r="T5" t="s">
        <v>32</v>
      </c>
      <c r="U5" s="2">
        <v>2282</v>
      </c>
      <c r="V5" t="s">
        <v>35</v>
      </c>
    </row>
    <row r="6" spans="1:22">
      <c r="A6" t="s">
        <v>23</v>
      </c>
      <c r="B6" t="s">
        <v>38</v>
      </c>
      <c r="C6" t="s">
        <v>39</v>
      </c>
      <c r="D6" t="s">
        <v>26</v>
      </c>
      <c r="E6" t="s">
        <v>27</v>
      </c>
      <c r="F6" t="s">
        <v>28</v>
      </c>
      <c r="G6">
        <v>1</v>
      </c>
      <c r="H6">
        <v>9791137600591</v>
      </c>
      <c r="I6" t="s">
        <v>29</v>
      </c>
      <c r="J6" t="s">
        <v>41</v>
      </c>
      <c r="K6" t="s">
        <v>31</v>
      </c>
      <c r="L6" t="s">
        <v>32</v>
      </c>
      <c r="M6" s="2">
        <v>3200</v>
      </c>
      <c r="N6" t="s">
        <v>33</v>
      </c>
      <c r="O6">
        <v>2.64</v>
      </c>
      <c r="P6">
        <v>2.64</v>
      </c>
      <c r="Q6" t="s">
        <v>34</v>
      </c>
      <c r="R6" s="3">
        <v>0.7</v>
      </c>
      <c r="S6">
        <v>1.85</v>
      </c>
      <c r="T6" t="s">
        <v>32</v>
      </c>
      <c r="U6" s="2">
        <v>2282</v>
      </c>
      <c r="V6" t="s">
        <v>35</v>
      </c>
    </row>
    <row r="7" spans="1:22">
      <c r="A7" t="s">
        <v>23</v>
      </c>
      <c r="B7" t="s">
        <v>38</v>
      </c>
      <c r="C7" t="s">
        <v>39</v>
      </c>
      <c r="D7" t="s">
        <v>26</v>
      </c>
      <c r="E7" t="s">
        <v>27</v>
      </c>
      <c r="F7" t="s">
        <v>28</v>
      </c>
      <c r="G7">
        <v>1</v>
      </c>
      <c r="H7">
        <v>9791137600607</v>
      </c>
      <c r="I7" t="s">
        <v>29</v>
      </c>
      <c r="J7" t="s">
        <v>42</v>
      </c>
      <c r="K7" t="s">
        <v>31</v>
      </c>
      <c r="L7" t="s">
        <v>32</v>
      </c>
      <c r="M7" s="2">
        <v>3200</v>
      </c>
      <c r="N7" t="s">
        <v>33</v>
      </c>
      <c r="O7">
        <v>2.64</v>
      </c>
      <c r="P7">
        <v>2.64</v>
      </c>
      <c r="Q7" t="s">
        <v>34</v>
      </c>
      <c r="R7" s="3">
        <v>0.7</v>
      </c>
      <c r="S7">
        <v>1.85</v>
      </c>
      <c r="T7" t="s">
        <v>32</v>
      </c>
      <c r="U7" s="2">
        <v>2282</v>
      </c>
      <c r="V7" t="s">
        <v>35</v>
      </c>
    </row>
    <row r="8" spans="1:22">
      <c r="A8" t="s">
        <v>23</v>
      </c>
      <c r="B8" t="s">
        <v>43</v>
      </c>
      <c r="C8" t="s">
        <v>44</v>
      </c>
      <c r="D8" t="s">
        <v>26</v>
      </c>
      <c r="E8" t="s">
        <v>27</v>
      </c>
      <c r="F8" t="s">
        <v>28</v>
      </c>
      <c r="G8">
        <v>1</v>
      </c>
      <c r="H8">
        <v>9791166065897</v>
      </c>
      <c r="I8" t="s">
        <v>29</v>
      </c>
      <c r="J8" t="s">
        <v>45</v>
      </c>
      <c r="K8" t="s">
        <v>31</v>
      </c>
      <c r="L8" t="s">
        <v>32</v>
      </c>
      <c r="M8" s="2">
        <v>3200</v>
      </c>
      <c r="N8" t="s">
        <v>46</v>
      </c>
      <c r="O8">
        <v>3.5</v>
      </c>
      <c r="P8">
        <v>3.18</v>
      </c>
      <c r="Q8" t="s">
        <v>47</v>
      </c>
      <c r="R8" s="3">
        <v>0.7</v>
      </c>
      <c r="S8">
        <v>2.23</v>
      </c>
      <c r="T8" t="s">
        <v>32</v>
      </c>
      <c r="U8" s="2">
        <v>2049</v>
      </c>
      <c r="V8" t="s">
        <v>35</v>
      </c>
    </row>
    <row r="9" spans="1:22">
      <c r="A9" t="s">
        <v>23</v>
      </c>
      <c r="B9" t="s">
        <v>48</v>
      </c>
      <c r="C9" t="s">
        <v>49</v>
      </c>
      <c r="D9" t="s">
        <v>26</v>
      </c>
      <c r="E9" t="s">
        <v>27</v>
      </c>
      <c r="F9" t="s">
        <v>28</v>
      </c>
      <c r="G9">
        <v>1</v>
      </c>
      <c r="H9">
        <v>9791166065958</v>
      </c>
      <c r="I9" t="s">
        <v>29</v>
      </c>
      <c r="J9" t="s">
        <v>50</v>
      </c>
      <c r="K9" t="s">
        <v>31</v>
      </c>
      <c r="L9" t="s">
        <v>32</v>
      </c>
      <c r="M9" s="2">
        <v>3200</v>
      </c>
      <c r="N9" t="s">
        <v>46</v>
      </c>
      <c r="O9">
        <v>3.5</v>
      </c>
      <c r="P9">
        <v>3.18</v>
      </c>
      <c r="Q9" t="s">
        <v>47</v>
      </c>
      <c r="R9" s="3">
        <v>0.7</v>
      </c>
      <c r="S9">
        <v>2.23</v>
      </c>
      <c r="T9" t="s">
        <v>32</v>
      </c>
      <c r="U9" s="2">
        <v>2036</v>
      </c>
      <c r="V9" t="s">
        <v>35</v>
      </c>
    </row>
    <row r="10" spans="1:22">
      <c r="A10" t="s">
        <v>23</v>
      </c>
      <c r="B10" t="s">
        <v>48</v>
      </c>
      <c r="C10" t="s">
        <v>51</v>
      </c>
      <c r="D10" t="s">
        <v>26</v>
      </c>
      <c r="E10" t="s">
        <v>27</v>
      </c>
      <c r="F10" t="s">
        <v>28</v>
      </c>
      <c r="G10">
        <v>1</v>
      </c>
      <c r="H10">
        <v>9791166065903</v>
      </c>
      <c r="I10" t="s">
        <v>29</v>
      </c>
      <c r="J10" t="s">
        <v>52</v>
      </c>
      <c r="K10" t="s">
        <v>31</v>
      </c>
      <c r="L10" t="s">
        <v>32</v>
      </c>
      <c r="M10" s="2">
        <v>3200</v>
      </c>
      <c r="N10" t="s">
        <v>46</v>
      </c>
      <c r="O10">
        <v>3.5</v>
      </c>
      <c r="P10">
        <v>3.18</v>
      </c>
      <c r="Q10" t="s">
        <v>47</v>
      </c>
      <c r="R10" s="3">
        <v>0.7</v>
      </c>
      <c r="S10">
        <v>2.23</v>
      </c>
      <c r="T10" t="s">
        <v>32</v>
      </c>
      <c r="U10" s="2">
        <v>2036</v>
      </c>
      <c r="V10" t="s">
        <v>53</v>
      </c>
    </row>
    <row r="11" spans="1:22">
      <c r="A11" t="s">
        <v>23</v>
      </c>
      <c r="B11" t="s">
        <v>48</v>
      </c>
      <c r="C11" t="s">
        <v>54</v>
      </c>
      <c r="D11" t="s">
        <v>26</v>
      </c>
      <c r="E11" t="s">
        <v>27</v>
      </c>
      <c r="F11" t="s">
        <v>28</v>
      </c>
      <c r="G11">
        <v>1</v>
      </c>
      <c r="H11">
        <v>9791166065910</v>
      </c>
      <c r="I11" t="s">
        <v>29</v>
      </c>
      <c r="J11" t="s">
        <v>55</v>
      </c>
      <c r="K11" t="s">
        <v>31</v>
      </c>
      <c r="L11" t="s">
        <v>32</v>
      </c>
      <c r="M11" s="2">
        <v>3200</v>
      </c>
      <c r="N11" t="s">
        <v>46</v>
      </c>
      <c r="O11">
        <v>3.5</v>
      </c>
      <c r="P11">
        <v>3.18</v>
      </c>
      <c r="Q11" t="s">
        <v>47</v>
      </c>
      <c r="R11" s="3">
        <v>0.7</v>
      </c>
      <c r="S11">
        <v>2.23</v>
      </c>
      <c r="T11" t="s">
        <v>32</v>
      </c>
      <c r="U11" s="2">
        <v>2039</v>
      </c>
      <c r="V11" t="s">
        <v>35</v>
      </c>
    </row>
    <row r="12" spans="1:22">
      <c r="A12" t="s">
        <v>23</v>
      </c>
      <c r="B12" t="s">
        <v>56</v>
      </c>
      <c r="C12" t="s">
        <v>57</v>
      </c>
      <c r="D12" t="s">
        <v>26</v>
      </c>
      <c r="E12" t="s">
        <v>27</v>
      </c>
      <c r="F12" t="s">
        <v>28</v>
      </c>
      <c r="G12">
        <v>1</v>
      </c>
      <c r="H12">
        <v>9791166065927</v>
      </c>
      <c r="I12" t="s">
        <v>29</v>
      </c>
      <c r="J12" t="s">
        <v>58</v>
      </c>
      <c r="K12" t="s">
        <v>31</v>
      </c>
      <c r="L12" t="s">
        <v>32</v>
      </c>
      <c r="M12" s="2">
        <v>3200</v>
      </c>
      <c r="N12" t="s">
        <v>46</v>
      </c>
      <c r="O12">
        <v>3.5</v>
      </c>
      <c r="P12">
        <v>3.18</v>
      </c>
      <c r="Q12" t="s">
        <v>47</v>
      </c>
      <c r="R12" s="3">
        <v>0.7</v>
      </c>
      <c r="S12">
        <v>2.23</v>
      </c>
      <c r="T12" t="s">
        <v>32</v>
      </c>
      <c r="U12" s="2">
        <v>2021</v>
      </c>
      <c r="V12" t="s">
        <v>59</v>
      </c>
    </row>
    <row r="13" spans="1:22">
      <c r="A13" t="s">
        <v>23</v>
      </c>
      <c r="B13" t="s">
        <v>56</v>
      </c>
      <c r="C13" t="s">
        <v>60</v>
      </c>
      <c r="D13" t="s">
        <v>26</v>
      </c>
      <c r="E13" t="s">
        <v>27</v>
      </c>
      <c r="F13" t="s">
        <v>28</v>
      </c>
      <c r="G13">
        <v>1</v>
      </c>
      <c r="H13">
        <v>9791166065934</v>
      </c>
      <c r="I13" t="s">
        <v>29</v>
      </c>
      <c r="J13" t="s">
        <v>61</v>
      </c>
      <c r="K13" t="s">
        <v>31</v>
      </c>
      <c r="L13" t="s">
        <v>32</v>
      </c>
      <c r="M13" s="2">
        <v>3200</v>
      </c>
      <c r="N13" t="s">
        <v>46</v>
      </c>
      <c r="O13">
        <v>3.5</v>
      </c>
      <c r="P13">
        <v>3.18</v>
      </c>
      <c r="Q13" t="s">
        <v>47</v>
      </c>
      <c r="R13" s="3">
        <v>0.7</v>
      </c>
      <c r="S13">
        <v>2.23</v>
      </c>
      <c r="T13" t="s">
        <v>32</v>
      </c>
      <c r="U13" s="2">
        <v>2019</v>
      </c>
      <c r="V13" t="s">
        <v>53</v>
      </c>
    </row>
    <row r="14" spans="1:22">
      <c r="A14" t="s">
        <v>23</v>
      </c>
      <c r="B14" t="s">
        <v>56</v>
      </c>
      <c r="C14" t="s">
        <v>62</v>
      </c>
      <c r="D14" t="s">
        <v>26</v>
      </c>
      <c r="E14" t="s">
        <v>27</v>
      </c>
      <c r="F14" t="s">
        <v>28</v>
      </c>
      <c r="G14">
        <v>1</v>
      </c>
      <c r="H14">
        <v>9791166065941</v>
      </c>
      <c r="I14" t="s">
        <v>29</v>
      </c>
      <c r="J14" t="s">
        <v>63</v>
      </c>
      <c r="K14" t="s">
        <v>31</v>
      </c>
      <c r="L14" t="s">
        <v>32</v>
      </c>
      <c r="M14" s="2">
        <v>3200</v>
      </c>
      <c r="N14" t="s">
        <v>46</v>
      </c>
      <c r="O14">
        <v>3.5</v>
      </c>
      <c r="P14">
        <v>3.18</v>
      </c>
      <c r="Q14" t="s">
        <v>47</v>
      </c>
      <c r="R14" s="3">
        <v>0.7</v>
      </c>
      <c r="S14">
        <v>2.23</v>
      </c>
      <c r="T14" t="s">
        <v>32</v>
      </c>
      <c r="U14" s="2">
        <v>2010</v>
      </c>
      <c r="V14" t="s">
        <v>35</v>
      </c>
    </row>
    <row r="15" spans="1:22">
      <c r="A15" t="s">
        <v>23</v>
      </c>
      <c r="B15" t="s">
        <v>64</v>
      </c>
      <c r="C15" t="s">
        <v>65</v>
      </c>
      <c r="D15" t="s">
        <v>26</v>
      </c>
      <c r="E15" t="s">
        <v>27</v>
      </c>
      <c r="F15" t="s">
        <v>28</v>
      </c>
      <c r="G15">
        <v>1</v>
      </c>
      <c r="H15">
        <v>9791166065965</v>
      </c>
      <c r="I15" t="s">
        <v>29</v>
      </c>
      <c r="J15" t="s">
        <v>66</v>
      </c>
      <c r="K15" t="s">
        <v>31</v>
      </c>
      <c r="L15" t="s">
        <v>32</v>
      </c>
      <c r="M15" s="2">
        <v>3200</v>
      </c>
      <c r="N15" t="s">
        <v>46</v>
      </c>
      <c r="O15">
        <v>3.5</v>
      </c>
      <c r="P15">
        <v>3.18</v>
      </c>
      <c r="Q15" t="s">
        <v>47</v>
      </c>
      <c r="R15" s="3">
        <v>0.7</v>
      </c>
      <c r="S15">
        <v>2.23</v>
      </c>
      <c r="T15" t="s">
        <v>32</v>
      </c>
      <c r="U15" s="2">
        <v>2002</v>
      </c>
      <c r="V15" t="s">
        <v>35</v>
      </c>
    </row>
    <row r="16" spans="1:22">
      <c r="A16" t="s">
        <v>23</v>
      </c>
      <c r="B16" t="s">
        <v>64</v>
      </c>
      <c r="C16" t="s">
        <v>67</v>
      </c>
      <c r="D16" t="s">
        <v>26</v>
      </c>
      <c r="E16" t="s">
        <v>27</v>
      </c>
      <c r="F16" t="s">
        <v>28</v>
      </c>
      <c r="G16">
        <v>1</v>
      </c>
      <c r="H16">
        <v>9791166065972</v>
      </c>
      <c r="I16" t="s">
        <v>29</v>
      </c>
      <c r="J16" t="s">
        <v>68</v>
      </c>
      <c r="K16" t="s">
        <v>31</v>
      </c>
      <c r="L16" t="s">
        <v>32</v>
      </c>
      <c r="M16" s="2">
        <v>3200</v>
      </c>
      <c r="N16" t="s">
        <v>46</v>
      </c>
      <c r="O16">
        <v>3.5</v>
      </c>
      <c r="P16">
        <v>3.18</v>
      </c>
      <c r="Q16" t="s">
        <v>47</v>
      </c>
      <c r="R16" s="3">
        <v>0.7</v>
      </c>
      <c r="S16">
        <v>2.23</v>
      </c>
      <c r="T16" t="s">
        <v>32</v>
      </c>
      <c r="U16" s="2">
        <v>2002</v>
      </c>
      <c r="V16" t="s">
        <v>35</v>
      </c>
    </row>
    <row r="17" spans="1:22">
      <c r="A17" t="s">
        <v>23</v>
      </c>
      <c r="B17" t="s">
        <v>64</v>
      </c>
      <c r="C17" t="s">
        <v>69</v>
      </c>
      <c r="D17" t="s">
        <v>26</v>
      </c>
      <c r="E17" t="s">
        <v>27</v>
      </c>
      <c r="F17" t="s">
        <v>28</v>
      </c>
      <c r="G17">
        <v>1</v>
      </c>
      <c r="H17">
        <v>9791166065989</v>
      </c>
      <c r="I17" t="s">
        <v>29</v>
      </c>
      <c r="J17" t="s">
        <v>70</v>
      </c>
      <c r="K17" t="s">
        <v>31</v>
      </c>
      <c r="L17" t="s">
        <v>32</v>
      </c>
      <c r="M17" s="2">
        <v>3200</v>
      </c>
      <c r="N17" t="s">
        <v>46</v>
      </c>
      <c r="O17">
        <v>3.5</v>
      </c>
      <c r="P17">
        <v>3.18</v>
      </c>
      <c r="Q17" t="s">
        <v>47</v>
      </c>
      <c r="R17" s="3">
        <v>0.7</v>
      </c>
      <c r="S17">
        <v>2.23</v>
      </c>
      <c r="T17" t="s">
        <v>32</v>
      </c>
      <c r="U17" s="2">
        <v>2006</v>
      </c>
      <c r="V17" t="s">
        <v>35</v>
      </c>
    </row>
    <row r="18" spans="1:22">
      <c r="A18" t="s">
        <v>23</v>
      </c>
      <c r="B18" t="s">
        <v>64</v>
      </c>
      <c r="C18" t="s">
        <v>71</v>
      </c>
      <c r="D18" t="s">
        <v>26</v>
      </c>
      <c r="E18" t="s">
        <v>27</v>
      </c>
      <c r="F18" t="s">
        <v>28</v>
      </c>
      <c r="G18">
        <v>1</v>
      </c>
      <c r="H18">
        <v>9791166065996</v>
      </c>
      <c r="I18" t="s">
        <v>29</v>
      </c>
      <c r="J18" t="s">
        <v>72</v>
      </c>
      <c r="K18" t="s">
        <v>31</v>
      </c>
      <c r="L18" t="s">
        <v>32</v>
      </c>
      <c r="M18" s="2">
        <v>3200</v>
      </c>
      <c r="N18" t="s">
        <v>46</v>
      </c>
      <c r="O18">
        <v>3.5</v>
      </c>
      <c r="P18">
        <v>3.18</v>
      </c>
      <c r="Q18" t="s">
        <v>47</v>
      </c>
      <c r="R18" s="3">
        <v>0.7</v>
      </c>
      <c r="S18">
        <v>2.23</v>
      </c>
      <c r="T18" t="s">
        <v>32</v>
      </c>
      <c r="U18" s="2">
        <v>1998</v>
      </c>
      <c r="V18" t="s">
        <v>73</v>
      </c>
    </row>
    <row r="19" spans="1:22">
      <c r="A19" t="s">
        <v>23</v>
      </c>
      <c r="B19" t="s">
        <v>74</v>
      </c>
      <c r="C19" t="s">
        <v>75</v>
      </c>
      <c r="D19" t="s">
        <v>26</v>
      </c>
      <c r="E19" t="s">
        <v>27</v>
      </c>
      <c r="F19" t="s">
        <v>28</v>
      </c>
      <c r="G19">
        <v>1</v>
      </c>
      <c r="H19">
        <v>9791166066009</v>
      </c>
      <c r="I19" t="s">
        <v>29</v>
      </c>
      <c r="J19" t="s">
        <v>76</v>
      </c>
      <c r="K19" t="s">
        <v>31</v>
      </c>
      <c r="L19" t="s">
        <v>32</v>
      </c>
      <c r="M19" s="2">
        <v>3200</v>
      </c>
      <c r="N19" t="s">
        <v>46</v>
      </c>
      <c r="O19">
        <v>3.5</v>
      </c>
      <c r="P19">
        <v>3.18</v>
      </c>
      <c r="Q19" t="s">
        <v>47</v>
      </c>
      <c r="R19" s="3">
        <v>0.7</v>
      </c>
      <c r="S19">
        <v>2.23</v>
      </c>
      <c r="T19" t="s">
        <v>32</v>
      </c>
      <c r="U19" s="2">
        <v>1995</v>
      </c>
      <c r="V19" t="s">
        <v>35</v>
      </c>
    </row>
    <row r="20" spans="1:22">
      <c r="A20" t="s">
        <v>23</v>
      </c>
      <c r="B20" t="s">
        <v>74</v>
      </c>
      <c r="C20" t="s">
        <v>77</v>
      </c>
      <c r="D20" t="s">
        <v>26</v>
      </c>
      <c r="E20" t="s">
        <v>27</v>
      </c>
      <c r="F20" t="s">
        <v>28</v>
      </c>
      <c r="G20">
        <v>1</v>
      </c>
      <c r="H20">
        <v>9791166066016</v>
      </c>
      <c r="I20" t="s">
        <v>29</v>
      </c>
      <c r="J20" t="s">
        <v>78</v>
      </c>
      <c r="K20" t="s">
        <v>31</v>
      </c>
      <c r="L20" t="s">
        <v>32</v>
      </c>
      <c r="M20" s="2">
        <v>3200</v>
      </c>
      <c r="N20" t="s">
        <v>46</v>
      </c>
      <c r="O20">
        <v>3.5</v>
      </c>
      <c r="P20">
        <v>3.18</v>
      </c>
      <c r="Q20" t="s">
        <v>47</v>
      </c>
      <c r="R20" s="3">
        <v>0.7</v>
      </c>
      <c r="S20">
        <v>2.23</v>
      </c>
      <c r="T20" t="s">
        <v>32</v>
      </c>
      <c r="U20" s="2">
        <v>1991</v>
      </c>
      <c r="V20" t="s">
        <v>59</v>
      </c>
    </row>
    <row r="21" spans="1:22">
      <c r="A21" t="s">
        <v>23</v>
      </c>
      <c r="B21" t="s">
        <v>79</v>
      </c>
      <c r="C21" t="s">
        <v>80</v>
      </c>
      <c r="D21" t="s">
        <v>26</v>
      </c>
      <c r="E21" t="s">
        <v>27</v>
      </c>
      <c r="F21" t="s">
        <v>28</v>
      </c>
      <c r="G21">
        <v>1</v>
      </c>
      <c r="H21">
        <v>9791166066023</v>
      </c>
      <c r="I21" t="s">
        <v>29</v>
      </c>
      <c r="J21" t="s">
        <v>81</v>
      </c>
      <c r="K21" t="s">
        <v>31</v>
      </c>
      <c r="L21" t="s">
        <v>32</v>
      </c>
      <c r="M21" s="2">
        <v>3200</v>
      </c>
      <c r="N21" t="s">
        <v>46</v>
      </c>
      <c r="O21">
        <v>3.5</v>
      </c>
      <c r="P21">
        <v>3.18</v>
      </c>
      <c r="Q21" t="s">
        <v>47</v>
      </c>
      <c r="R21" s="3">
        <v>0.7</v>
      </c>
      <c r="S21">
        <v>2.23</v>
      </c>
      <c r="T21" t="s">
        <v>32</v>
      </c>
      <c r="U21" s="2">
        <v>2011</v>
      </c>
      <c r="V21" t="s">
        <v>35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"/>
  <sheetViews>
    <sheetView topLeftCell="B1" workbookViewId="0">
      <selection activeCell="B1" sqref="B1"/>
    </sheetView>
  </sheetViews>
  <sheetFormatPr defaultRowHeight="17.399999999999999"/>
  <cols>
    <col min="1" max="1" width="7.699218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4.69921875" bestFit="1" customWidth="1"/>
    <col min="7" max="8" width="7.19921875" bestFit="1" customWidth="1"/>
    <col min="9" max="9" width="7.3984375" bestFit="1" customWidth="1"/>
    <col min="10" max="10" width="3.59765625" bestFit="1" customWidth="1"/>
    <col min="11" max="11" width="4.69921875" bestFit="1" customWidth="1"/>
    <col min="12" max="12" width="7.19921875" bestFit="1" customWidth="1"/>
    <col min="13" max="14" width="6" bestFit="1" customWidth="1"/>
    <col min="15" max="16" width="6.19921875" bestFit="1" customWidth="1"/>
    <col min="17" max="18" width="8.3984375" bestFit="1" customWidth="1"/>
    <col min="19" max="19" width="3.59765625" bestFit="1" customWidth="1"/>
    <col min="20" max="20" width="4.69921875" bestFit="1" customWidth="1"/>
    <col min="21" max="21" width="7.19921875" bestFit="1" customWidth="1"/>
    <col min="22" max="23" width="6" bestFit="1" customWidth="1"/>
    <col min="24" max="25" width="6.19921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7.3984375" bestFit="1" customWidth="1"/>
    <col min="48" max="48" width="9.69921875" bestFit="1" customWidth="1"/>
    <col min="49" max="49" width="8.19921875" bestFit="1" customWidth="1"/>
  </cols>
  <sheetData>
    <row r="1" spans="1:49" ht="19.2">
      <c r="A1" s="4" t="s">
        <v>83</v>
      </c>
      <c r="B1" s="4">
        <v>4</v>
      </c>
      <c r="C1" s="4" t="s">
        <v>85</v>
      </c>
      <c r="D1" s="5" t="s">
        <v>86</v>
      </c>
      <c r="E1" s="4" t="s">
        <v>87</v>
      </c>
      <c r="F1" s="6" t="s">
        <v>88</v>
      </c>
      <c r="G1" s="4" t="s">
        <v>89</v>
      </c>
      <c r="H1" s="5" t="s">
        <v>90</v>
      </c>
      <c r="I1" s="5" t="s">
        <v>91</v>
      </c>
      <c r="J1" s="7" t="s">
        <v>92</v>
      </c>
      <c r="K1" s="7" t="s">
        <v>93</v>
      </c>
      <c r="L1" s="7" t="s">
        <v>94</v>
      </c>
      <c r="M1" s="7" t="s">
        <v>95</v>
      </c>
      <c r="N1" s="7" t="s">
        <v>96</v>
      </c>
      <c r="O1" s="7" t="s">
        <v>97</v>
      </c>
      <c r="P1" s="7" t="s">
        <v>98</v>
      </c>
      <c r="Q1" s="7" t="s">
        <v>99</v>
      </c>
      <c r="R1" s="7" t="s">
        <v>100</v>
      </c>
      <c r="S1" s="7" t="s">
        <v>92</v>
      </c>
      <c r="T1" s="7" t="s">
        <v>93</v>
      </c>
      <c r="U1" s="7" t="s">
        <v>94</v>
      </c>
      <c r="V1" s="7" t="s">
        <v>95</v>
      </c>
      <c r="W1" s="7" t="s">
        <v>96</v>
      </c>
      <c r="X1" s="7" t="s">
        <v>97</v>
      </c>
      <c r="Y1" s="7" t="s">
        <v>98</v>
      </c>
      <c r="Z1" s="7" t="s">
        <v>99</v>
      </c>
      <c r="AA1" s="7" t="s">
        <v>100</v>
      </c>
      <c r="AB1" s="7" t="s">
        <v>92</v>
      </c>
      <c r="AC1" s="7" t="s">
        <v>101</v>
      </c>
      <c r="AD1" s="7" t="s">
        <v>102</v>
      </c>
      <c r="AE1" s="7" t="s">
        <v>92</v>
      </c>
      <c r="AF1" s="7" t="s">
        <v>101</v>
      </c>
      <c r="AG1" s="7" t="s">
        <v>102</v>
      </c>
      <c r="AH1" s="7" t="s">
        <v>92</v>
      </c>
      <c r="AI1" s="7" t="s">
        <v>101</v>
      </c>
      <c r="AJ1" s="7" t="s">
        <v>102</v>
      </c>
      <c r="AK1" s="7" t="s">
        <v>92</v>
      </c>
      <c r="AL1" s="7" t="s">
        <v>101</v>
      </c>
      <c r="AM1" s="7" t="s">
        <v>102</v>
      </c>
      <c r="AN1" s="8" t="s">
        <v>103</v>
      </c>
      <c r="AO1" s="7" t="s">
        <v>92</v>
      </c>
      <c r="AP1" s="7" t="s">
        <v>101</v>
      </c>
      <c r="AQ1" s="7" t="s">
        <v>102</v>
      </c>
      <c r="AR1" s="7" t="s">
        <v>92</v>
      </c>
      <c r="AS1" s="7" t="s">
        <v>101</v>
      </c>
      <c r="AT1" s="7" t="s">
        <v>102</v>
      </c>
      <c r="AU1" s="8" t="s">
        <v>104</v>
      </c>
      <c r="AV1" s="9" t="s">
        <v>105</v>
      </c>
      <c r="AW1" s="10" t="s">
        <v>106</v>
      </c>
    </row>
    <row r="2" spans="1:49" ht="28.8">
      <c r="A2" s="11" t="s">
        <v>107</v>
      </c>
      <c r="B2" s="11" t="s">
        <v>108</v>
      </c>
      <c r="C2" s="11">
        <v>425289</v>
      </c>
      <c r="D2" s="12"/>
      <c r="E2" s="11" t="s">
        <v>109</v>
      </c>
      <c r="F2" s="11" t="s">
        <v>31</v>
      </c>
      <c r="G2" s="11" t="s">
        <v>29</v>
      </c>
      <c r="H2" s="13" t="s">
        <v>110</v>
      </c>
      <c r="I2" s="13" t="s">
        <v>111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4">
        <v>106600</v>
      </c>
      <c r="AV2" s="15">
        <v>106600</v>
      </c>
      <c r="AW2" s="16">
        <v>74620</v>
      </c>
    </row>
    <row r="3" spans="1:49" ht="19.2">
      <c r="A3" s="11" t="s">
        <v>107</v>
      </c>
      <c r="B3" s="11" t="s">
        <v>112</v>
      </c>
      <c r="C3" s="11">
        <v>395179</v>
      </c>
      <c r="D3" s="12"/>
      <c r="E3" s="11" t="s">
        <v>109</v>
      </c>
      <c r="F3" s="11" t="s">
        <v>31</v>
      </c>
      <c r="G3" s="11" t="s">
        <v>29</v>
      </c>
      <c r="H3" s="13" t="s">
        <v>110</v>
      </c>
      <c r="I3" s="13" t="s">
        <v>113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4">
        <v>73600</v>
      </c>
      <c r="AV3" s="15">
        <v>73600</v>
      </c>
      <c r="AW3" s="16">
        <v>51520</v>
      </c>
    </row>
    <row r="4" spans="1:49" ht="28.8">
      <c r="A4" s="11" t="s">
        <v>107</v>
      </c>
      <c r="B4" s="11" t="s">
        <v>114</v>
      </c>
      <c r="C4" s="11">
        <v>428319</v>
      </c>
      <c r="D4" s="12"/>
      <c r="E4" s="11" t="s">
        <v>109</v>
      </c>
      <c r="F4" s="11" t="s">
        <v>31</v>
      </c>
      <c r="G4" s="11" t="s">
        <v>29</v>
      </c>
      <c r="H4" s="13" t="s">
        <v>110</v>
      </c>
      <c r="I4" s="13" t="s">
        <v>115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4">
        <v>31200</v>
      </c>
      <c r="AV4" s="15">
        <v>31200</v>
      </c>
      <c r="AW4" s="16">
        <v>21840</v>
      </c>
    </row>
    <row r="5" spans="1:49" ht="38.4">
      <c r="A5" s="11" t="s">
        <v>107</v>
      </c>
      <c r="B5" s="11" t="s">
        <v>116</v>
      </c>
      <c r="C5" s="11">
        <v>431511</v>
      </c>
      <c r="D5" s="12"/>
      <c r="E5" s="11" t="s">
        <v>109</v>
      </c>
      <c r="F5" s="11" t="s">
        <v>31</v>
      </c>
      <c r="G5" s="11" t="s">
        <v>29</v>
      </c>
      <c r="H5" s="13" t="s">
        <v>110</v>
      </c>
      <c r="I5" s="13" t="s">
        <v>117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4">
        <v>22400</v>
      </c>
      <c r="AV5" s="15">
        <v>22400</v>
      </c>
      <c r="AW5" s="16">
        <v>15679.999999999998</v>
      </c>
    </row>
    <row r="6" spans="1:49" ht="28.8">
      <c r="A6" s="11" t="s">
        <v>118</v>
      </c>
      <c r="B6" s="11" t="s">
        <v>108</v>
      </c>
      <c r="C6" s="11">
        <v>425289</v>
      </c>
      <c r="D6" s="12"/>
      <c r="E6" s="11" t="s">
        <v>109</v>
      </c>
      <c r="F6" s="11" t="s">
        <v>31</v>
      </c>
      <c r="G6" s="11" t="s">
        <v>29</v>
      </c>
      <c r="H6" s="13" t="s">
        <v>110</v>
      </c>
      <c r="I6" s="13" t="s">
        <v>111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4">
        <v>3300</v>
      </c>
      <c r="AV6" s="15">
        <v>3300</v>
      </c>
      <c r="AW6" s="16">
        <v>2310</v>
      </c>
    </row>
    <row r="7" spans="1:49" ht="19.2">
      <c r="A7" s="11" t="s">
        <v>119</v>
      </c>
      <c r="B7" s="11" t="s">
        <v>112</v>
      </c>
      <c r="C7" s="11">
        <v>395179</v>
      </c>
      <c r="D7" s="12"/>
      <c r="E7" s="11" t="s">
        <v>109</v>
      </c>
      <c r="F7" s="11" t="s">
        <v>31</v>
      </c>
      <c r="G7" s="11" t="s">
        <v>29</v>
      </c>
      <c r="H7" s="13" t="s">
        <v>110</v>
      </c>
      <c r="I7" s="13" t="s">
        <v>113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7">
        <v>14652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4">
        <v>81740</v>
      </c>
      <c r="AV7" s="15">
        <v>67088</v>
      </c>
      <c r="AW7" s="16">
        <v>46961.599999999999</v>
      </c>
    </row>
    <row r="8" spans="1:49" ht="28.8">
      <c r="A8" s="11" t="s">
        <v>119</v>
      </c>
      <c r="B8" s="11" t="s">
        <v>114</v>
      </c>
      <c r="C8" s="11">
        <v>428319</v>
      </c>
      <c r="D8" s="12"/>
      <c r="E8" s="11" t="s">
        <v>109</v>
      </c>
      <c r="F8" s="11" t="s">
        <v>31</v>
      </c>
      <c r="G8" s="11" t="s">
        <v>29</v>
      </c>
      <c r="H8" s="13" t="s">
        <v>110</v>
      </c>
      <c r="I8" s="13" t="s">
        <v>115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8">
        <v>800</v>
      </c>
      <c r="AV8" s="15">
        <v>800</v>
      </c>
      <c r="AW8" s="16">
        <v>560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Views>
    <sheetView topLeftCell="B1" workbookViewId="0">
      <selection activeCell="B1" sqref="B1"/>
    </sheetView>
  </sheetViews>
  <sheetFormatPr defaultRowHeight="17.399999999999999"/>
  <cols>
    <col min="1" max="1" width="8" bestFit="1" customWidth="1"/>
    <col min="3" max="3" width="6.5" bestFit="1" customWidth="1"/>
    <col min="4" max="4" width="7.19921875" bestFit="1" customWidth="1"/>
    <col min="5" max="5" width="8.3984375" bestFit="1" customWidth="1"/>
    <col min="6" max="6" width="4.69921875" bestFit="1" customWidth="1"/>
    <col min="7" max="8" width="7.19921875" bestFit="1" customWidth="1"/>
    <col min="9" max="9" width="7.3984375" bestFit="1" customWidth="1"/>
    <col min="10" max="10" width="3.59765625" bestFit="1" customWidth="1"/>
    <col min="11" max="11" width="4.69921875" bestFit="1" customWidth="1"/>
    <col min="12" max="12" width="7.19921875" bestFit="1" customWidth="1"/>
    <col min="13" max="14" width="6" bestFit="1" customWidth="1"/>
    <col min="15" max="16" width="6.19921875" bestFit="1" customWidth="1"/>
    <col min="17" max="18" width="8.3984375" bestFit="1" customWidth="1"/>
    <col min="19" max="19" width="3.59765625" bestFit="1" customWidth="1"/>
    <col min="20" max="20" width="4.69921875" bestFit="1" customWidth="1"/>
    <col min="21" max="21" width="7.19921875" bestFit="1" customWidth="1"/>
    <col min="22" max="23" width="6" bestFit="1" customWidth="1"/>
    <col min="24" max="25" width="6.19921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6.69921875" bestFit="1" customWidth="1"/>
    <col min="49" max="49" width="8.3984375" bestFit="1" customWidth="1"/>
  </cols>
  <sheetData>
    <row r="1" spans="1:49" ht="19.2">
      <c r="A1" s="19" t="s">
        <v>121</v>
      </c>
      <c r="B1" s="4" t="s">
        <v>84</v>
      </c>
      <c r="C1" s="4" t="s">
        <v>85</v>
      </c>
      <c r="D1" s="5" t="s">
        <v>86</v>
      </c>
      <c r="E1" s="4" t="s">
        <v>87</v>
      </c>
      <c r="F1" s="6" t="s">
        <v>88</v>
      </c>
      <c r="G1" s="4" t="s">
        <v>89</v>
      </c>
      <c r="H1" s="5" t="s">
        <v>90</v>
      </c>
      <c r="I1" s="5" t="s">
        <v>91</v>
      </c>
      <c r="J1" s="7" t="s">
        <v>92</v>
      </c>
      <c r="K1" s="7" t="s">
        <v>93</v>
      </c>
      <c r="L1" s="7" t="s">
        <v>94</v>
      </c>
      <c r="M1" s="7" t="s">
        <v>95</v>
      </c>
      <c r="N1" s="7" t="s">
        <v>96</v>
      </c>
      <c r="O1" s="7" t="s">
        <v>97</v>
      </c>
      <c r="P1" s="7" t="s">
        <v>98</v>
      </c>
      <c r="Q1" s="7" t="s">
        <v>99</v>
      </c>
      <c r="R1" s="7" t="s">
        <v>100</v>
      </c>
      <c r="S1" s="7" t="s">
        <v>92</v>
      </c>
      <c r="T1" s="7" t="s">
        <v>93</v>
      </c>
      <c r="U1" s="7" t="s">
        <v>94</v>
      </c>
      <c r="V1" s="7" t="s">
        <v>95</v>
      </c>
      <c r="W1" s="7" t="s">
        <v>96</v>
      </c>
      <c r="X1" s="7" t="s">
        <v>97</v>
      </c>
      <c r="Y1" s="7" t="s">
        <v>98</v>
      </c>
      <c r="Z1" s="7" t="s">
        <v>99</v>
      </c>
      <c r="AA1" s="7" t="s">
        <v>100</v>
      </c>
      <c r="AB1" s="7" t="s">
        <v>92</v>
      </c>
      <c r="AC1" s="7" t="s">
        <v>101</v>
      </c>
      <c r="AD1" s="7" t="s">
        <v>102</v>
      </c>
      <c r="AE1" s="7" t="s">
        <v>92</v>
      </c>
      <c r="AF1" s="7" t="s">
        <v>101</v>
      </c>
      <c r="AG1" s="7" t="s">
        <v>102</v>
      </c>
      <c r="AH1" s="7" t="s">
        <v>92</v>
      </c>
      <c r="AI1" s="7" t="s">
        <v>101</v>
      </c>
      <c r="AJ1" s="7" t="s">
        <v>102</v>
      </c>
      <c r="AK1" s="7" t="s">
        <v>92</v>
      </c>
      <c r="AL1" s="7" t="s">
        <v>101</v>
      </c>
      <c r="AM1" s="7" t="s">
        <v>102</v>
      </c>
      <c r="AN1" s="8" t="s">
        <v>103</v>
      </c>
      <c r="AO1" s="7" t="s">
        <v>92</v>
      </c>
      <c r="AP1" s="7" t="s">
        <v>101</v>
      </c>
      <c r="AQ1" s="7" t="s">
        <v>102</v>
      </c>
      <c r="AR1" s="7" t="s">
        <v>92</v>
      </c>
      <c r="AS1" s="7" t="s">
        <v>101</v>
      </c>
      <c r="AT1" s="7" t="s">
        <v>102</v>
      </c>
      <c r="AU1" s="8" t="s">
        <v>104</v>
      </c>
      <c r="AV1" s="9" t="s">
        <v>105</v>
      </c>
      <c r="AW1" s="20" t="s">
        <v>122</v>
      </c>
    </row>
    <row r="2" spans="1:49" ht="19.2">
      <c r="A2" s="11" t="s">
        <v>123</v>
      </c>
      <c r="B2" s="11" t="s">
        <v>112</v>
      </c>
      <c r="C2" s="11">
        <v>395179</v>
      </c>
      <c r="D2" s="12"/>
      <c r="E2" s="11" t="s">
        <v>109</v>
      </c>
      <c r="F2" s="11" t="s">
        <v>31</v>
      </c>
      <c r="G2" s="11" t="s">
        <v>29</v>
      </c>
      <c r="H2" s="13" t="s">
        <v>110</v>
      </c>
      <c r="I2" s="13" t="s">
        <v>113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4">
        <v>3200</v>
      </c>
      <c r="AV2" s="15">
        <v>3200</v>
      </c>
      <c r="AW2" s="21">
        <v>2240</v>
      </c>
    </row>
    <row r="3" spans="1:49" ht="19.2">
      <c r="A3" s="11" t="s">
        <v>124</v>
      </c>
      <c r="B3" s="11" t="s">
        <v>112</v>
      </c>
      <c r="C3" s="11">
        <v>395179</v>
      </c>
      <c r="D3" s="12"/>
      <c r="E3" s="11" t="s">
        <v>109</v>
      </c>
      <c r="F3" s="11" t="s">
        <v>31</v>
      </c>
      <c r="G3" s="11" t="s">
        <v>29</v>
      </c>
      <c r="H3" s="13" t="s">
        <v>110</v>
      </c>
      <c r="I3" s="13" t="s">
        <v>113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7">
        <v>5364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4">
        <v>34980</v>
      </c>
      <c r="AV3" s="15">
        <v>29616</v>
      </c>
      <c r="AW3" s="21">
        <v>20731.199999999997</v>
      </c>
    </row>
    <row r="4" spans="1:49" ht="38.4">
      <c r="A4" s="11" t="s">
        <v>124</v>
      </c>
      <c r="B4" s="11" t="s">
        <v>116</v>
      </c>
      <c r="C4" s="11">
        <v>431511</v>
      </c>
      <c r="D4" s="12"/>
      <c r="E4" s="11" t="s">
        <v>109</v>
      </c>
      <c r="F4" s="11" t="s">
        <v>31</v>
      </c>
      <c r="G4" s="11" t="s">
        <v>29</v>
      </c>
      <c r="H4" s="13" t="s">
        <v>110</v>
      </c>
      <c r="I4" s="13" t="s">
        <v>117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4">
        <v>3200</v>
      </c>
      <c r="AV4" s="15">
        <v>3200</v>
      </c>
      <c r="AW4" s="21">
        <v>2240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90"/>
  <sheetViews>
    <sheetView topLeftCell="B1" workbookViewId="0">
      <selection activeCell="B1" sqref="B1"/>
    </sheetView>
  </sheetViews>
  <sheetFormatPr defaultRowHeight="17.399999999999999"/>
  <cols>
    <col min="1" max="2" width="11.5" bestFit="1" customWidth="1"/>
    <col min="3" max="3" width="43.69921875" bestFit="1" customWidth="1"/>
    <col min="4" max="4" width="7.5" bestFit="1" customWidth="1"/>
    <col min="5" max="7" width="5" bestFit="1" customWidth="1"/>
    <col min="8" max="8" width="10.3984375" bestFit="1" customWidth="1"/>
    <col min="9" max="9" width="40.09765625" bestFit="1" customWidth="1"/>
    <col min="10" max="13" width="10.3984375" bestFit="1" customWidth="1"/>
    <col min="14" max="14" width="6.69921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69921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69921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>
      <c r="A1" t="s">
        <v>126</v>
      </c>
      <c r="B1" t="s">
        <v>127</v>
      </c>
      <c r="C1" t="s">
        <v>128</v>
      </c>
      <c r="D1" t="s">
        <v>129</v>
      </c>
      <c r="E1" s="1" t="s">
        <v>130</v>
      </c>
      <c r="F1" t="s">
        <v>131</v>
      </c>
      <c r="G1" t="s">
        <v>132</v>
      </c>
      <c r="H1" t="s">
        <v>89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s="22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</row>
    <row r="2" spans="1:49">
      <c r="A2">
        <v>2313007047</v>
      </c>
      <c r="B2">
        <v>2313007052</v>
      </c>
      <c r="C2" t="s">
        <v>174</v>
      </c>
      <c r="D2" t="s">
        <v>175</v>
      </c>
      <c r="E2" t="s">
        <v>31</v>
      </c>
      <c r="H2" t="s">
        <v>29</v>
      </c>
      <c r="I2" t="s">
        <v>176</v>
      </c>
      <c r="J2">
        <v>3200</v>
      </c>
      <c r="K2">
        <v>6400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6400</v>
      </c>
      <c r="AH2">
        <v>2</v>
      </c>
      <c r="AI2">
        <v>0</v>
      </c>
      <c r="AJ2">
        <v>0</v>
      </c>
      <c r="AK2">
        <v>6400</v>
      </c>
      <c r="AL2">
        <v>0</v>
      </c>
      <c r="AM2">
        <v>0</v>
      </c>
      <c r="AN2">
        <v>0</v>
      </c>
      <c r="AO2">
        <v>0</v>
      </c>
      <c r="AP2">
        <v>4480</v>
      </c>
      <c r="AT2" t="s">
        <v>177</v>
      </c>
      <c r="AV2" t="s">
        <v>178</v>
      </c>
    </row>
    <row r="3" spans="1:49">
      <c r="A3">
        <v>2313007047</v>
      </c>
      <c r="B3">
        <v>2313007056</v>
      </c>
      <c r="C3" t="s">
        <v>179</v>
      </c>
      <c r="D3" t="s">
        <v>180</v>
      </c>
      <c r="E3" t="s">
        <v>31</v>
      </c>
      <c r="H3" t="s">
        <v>29</v>
      </c>
      <c r="I3" t="s">
        <v>176</v>
      </c>
      <c r="J3">
        <v>3200</v>
      </c>
      <c r="K3">
        <v>6400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6400</v>
      </c>
      <c r="AH3">
        <v>2</v>
      </c>
      <c r="AI3">
        <v>0</v>
      </c>
      <c r="AJ3">
        <v>0</v>
      </c>
      <c r="AK3">
        <v>6400</v>
      </c>
      <c r="AL3">
        <v>0</v>
      </c>
      <c r="AM3">
        <v>0</v>
      </c>
      <c r="AN3">
        <v>0</v>
      </c>
      <c r="AO3">
        <v>0</v>
      </c>
      <c r="AP3">
        <v>4480</v>
      </c>
      <c r="AT3" t="s">
        <v>181</v>
      </c>
      <c r="AV3" t="s">
        <v>178</v>
      </c>
    </row>
    <row r="4" spans="1:49">
      <c r="A4">
        <v>2313007047</v>
      </c>
      <c r="B4">
        <v>2313007057</v>
      </c>
      <c r="C4" t="s">
        <v>182</v>
      </c>
      <c r="D4" t="s">
        <v>183</v>
      </c>
      <c r="E4" t="s">
        <v>31</v>
      </c>
      <c r="H4" t="s">
        <v>29</v>
      </c>
      <c r="I4" t="s">
        <v>176</v>
      </c>
      <c r="J4">
        <v>3200</v>
      </c>
      <c r="K4">
        <v>6400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6400</v>
      </c>
      <c r="AH4">
        <v>2</v>
      </c>
      <c r="AI4">
        <v>0</v>
      </c>
      <c r="AJ4">
        <v>0</v>
      </c>
      <c r="AK4">
        <v>6400</v>
      </c>
      <c r="AL4">
        <v>0</v>
      </c>
      <c r="AM4">
        <v>0</v>
      </c>
      <c r="AN4">
        <v>0</v>
      </c>
      <c r="AO4">
        <v>0</v>
      </c>
      <c r="AP4">
        <v>4480</v>
      </c>
      <c r="AT4" t="s">
        <v>184</v>
      </c>
      <c r="AV4" t="s">
        <v>178</v>
      </c>
    </row>
    <row r="5" spans="1:49">
      <c r="A5">
        <v>2313007047</v>
      </c>
      <c r="B5">
        <v>2313007058</v>
      </c>
      <c r="C5" t="s">
        <v>185</v>
      </c>
      <c r="D5" t="s">
        <v>186</v>
      </c>
      <c r="E5" t="s">
        <v>31</v>
      </c>
      <c r="H5" t="s">
        <v>29</v>
      </c>
      <c r="I5" t="s">
        <v>176</v>
      </c>
      <c r="J5">
        <v>3200</v>
      </c>
      <c r="K5">
        <v>6400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6400</v>
      </c>
      <c r="AH5">
        <v>2</v>
      </c>
      <c r="AI5">
        <v>0</v>
      </c>
      <c r="AJ5">
        <v>0</v>
      </c>
      <c r="AK5">
        <v>6400</v>
      </c>
      <c r="AL5">
        <v>0</v>
      </c>
      <c r="AM5">
        <v>0</v>
      </c>
      <c r="AN5">
        <v>0</v>
      </c>
      <c r="AO5">
        <v>0</v>
      </c>
      <c r="AP5">
        <v>4480</v>
      </c>
      <c r="AT5" t="s">
        <v>187</v>
      </c>
      <c r="AV5" t="s">
        <v>178</v>
      </c>
    </row>
    <row r="6" spans="1:49">
      <c r="A6">
        <v>2313007047</v>
      </c>
      <c r="B6">
        <v>2313007059</v>
      </c>
      <c r="C6" t="s">
        <v>188</v>
      </c>
      <c r="D6" t="s">
        <v>189</v>
      </c>
      <c r="E6" t="s">
        <v>31</v>
      </c>
      <c r="H6" t="s">
        <v>29</v>
      </c>
      <c r="I6" t="s">
        <v>176</v>
      </c>
      <c r="J6">
        <v>3200</v>
      </c>
      <c r="K6">
        <v>6400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6400</v>
      </c>
      <c r="AH6">
        <v>2</v>
      </c>
      <c r="AI6">
        <v>0</v>
      </c>
      <c r="AJ6">
        <v>0</v>
      </c>
      <c r="AK6">
        <v>6400</v>
      </c>
      <c r="AL6">
        <v>0</v>
      </c>
      <c r="AM6">
        <v>0</v>
      </c>
      <c r="AN6">
        <v>0</v>
      </c>
      <c r="AO6">
        <v>0</v>
      </c>
      <c r="AP6">
        <v>4480</v>
      </c>
      <c r="AT6" t="s">
        <v>190</v>
      </c>
      <c r="AV6" t="s">
        <v>178</v>
      </c>
    </row>
    <row r="7" spans="1:49">
      <c r="A7">
        <v>2313007047</v>
      </c>
      <c r="B7">
        <v>2313007060</v>
      </c>
      <c r="C7" t="s">
        <v>191</v>
      </c>
      <c r="D7" t="s">
        <v>192</v>
      </c>
      <c r="E7" t="s">
        <v>31</v>
      </c>
      <c r="H7" t="s">
        <v>29</v>
      </c>
      <c r="I7" t="s">
        <v>176</v>
      </c>
      <c r="J7">
        <v>3200</v>
      </c>
      <c r="K7">
        <v>6400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6400</v>
      </c>
      <c r="AH7">
        <v>2</v>
      </c>
      <c r="AI7">
        <v>0</v>
      </c>
      <c r="AJ7">
        <v>0</v>
      </c>
      <c r="AK7">
        <v>6400</v>
      </c>
      <c r="AL7">
        <v>0</v>
      </c>
      <c r="AM7">
        <v>0</v>
      </c>
      <c r="AN7">
        <v>0</v>
      </c>
      <c r="AO7">
        <v>0</v>
      </c>
      <c r="AP7">
        <v>4480</v>
      </c>
      <c r="AT7" t="s">
        <v>193</v>
      </c>
      <c r="AV7" t="s">
        <v>178</v>
      </c>
    </row>
    <row r="8" spans="1:49">
      <c r="A8">
        <v>2313011372</v>
      </c>
      <c r="B8">
        <v>2313011374</v>
      </c>
      <c r="C8" t="s">
        <v>194</v>
      </c>
      <c r="D8" t="s">
        <v>195</v>
      </c>
      <c r="E8" t="s">
        <v>31</v>
      </c>
      <c r="H8" t="s">
        <v>29</v>
      </c>
      <c r="I8" t="s">
        <v>196</v>
      </c>
      <c r="J8">
        <v>3200</v>
      </c>
      <c r="K8">
        <v>6400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6400</v>
      </c>
      <c r="AH8">
        <v>2</v>
      </c>
      <c r="AI8">
        <v>0</v>
      </c>
      <c r="AJ8">
        <v>0</v>
      </c>
      <c r="AK8">
        <v>6400</v>
      </c>
      <c r="AL8">
        <v>0</v>
      </c>
      <c r="AM8">
        <v>0</v>
      </c>
      <c r="AN8">
        <v>0</v>
      </c>
      <c r="AO8">
        <v>0</v>
      </c>
      <c r="AP8">
        <v>4480</v>
      </c>
      <c r="AT8" t="s">
        <v>197</v>
      </c>
      <c r="AV8" t="s">
        <v>178</v>
      </c>
    </row>
    <row r="9" spans="1:49">
      <c r="A9">
        <v>2313011386</v>
      </c>
      <c r="B9">
        <v>2313011387</v>
      </c>
      <c r="C9" t="s">
        <v>198</v>
      </c>
      <c r="D9" t="s">
        <v>199</v>
      </c>
      <c r="E9" t="s">
        <v>31</v>
      </c>
      <c r="H9" t="s">
        <v>29</v>
      </c>
      <c r="I9" t="s">
        <v>200</v>
      </c>
      <c r="J9">
        <v>3200</v>
      </c>
      <c r="K9">
        <v>6400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6400</v>
      </c>
      <c r="AH9">
        <v>2</v>
      </c>
      <c r="AI9">
        <v>0</v>
      </c>
      <c r="AJ9">
        <v>0</v>
      </c>
      <c r="AK9">
        <v>6400</v>
      </c>
      <c r="AL9">
        <v>0</v>
      </c>
      <c r="AM9">
        <v>0</v>
      </c>
      <c r="AN9">
        <v>0</v>
      </c>
      <c r="AO9">
        <v>0</v>
      </c>
      <c r="AP9">
        <v>4480</v>
      </c>
      <c r="AT9" t="s">
        <v>201</v>
      </c>
      <c r="AV9" t="s">
        <v>178</v>
      </c>
    </row>
    <row r="10" spans="1:49">
      <c r="A10">
        <v>2313007047</v>
      </c>
      <c r="B10">
        <v>2313007048</v>
      </c>
      <c r="C10" t="s">
        <v>202</v>
      </c>
      <c r="D10" t="s">
        <v>199</v>
      </c>
      <c r="E10" t="s">
        <v>31</v>
      </c>
      <c r="H10" t="s">
        <v>29</v>
      </c>
      <c r="I10" t="s">
        <v>176</v>
      </c>
      <c r="J10">
        <v>3200</v>
      </c>
      <c r="K10">
        <v>3200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3200</v>
      </c>
      <c r="AH10">
        <v>1</v>
      </c>
      <c r="AI10">
        <v>0</v>
      </c>
      <c r="AJ10">
        <v>0</v>
      </c>
      <c r="AK10">
        <v>3200</v>
      </c>
      <c r="AL10">
        <v>0</v>
      </c>
      <c r="AM10">
        <v>0</v>
      </c>
      <c r="AN10">
        <v>0</v>
      </c>
      <c r="AO10">
        <v>0</v>
      </c>
      <c r="AP10">
        <v>2240</v>
      </c>
      <c r="AT10" t="s">
        <v>203</v>
      </c>
      <c r="AV10" t="s">
        <v>178</v>
      </c>
    </row>
    <row r="11" spans="1:49">
      <c r="A11">
        <v>2313007047</v>
      </c>
      <c r="B11">
        <v>2313007049</v>
      </c>
      <c r="C11" t="s">
        <v>204</v>
      </c>
      <c r="D11" t="s">
        <v>195</v>
      </c>
      <c r="E11" t="s">
        <v>31</v>
      </c>
      <c r="H11" t="s">
        <v>29</v>
      </c>
      <c r="I11" t="s">
        <v>176</v>
      </c>
      <c r="J11">
        <v>3200</v>
      </c>
      <c r="K11">
        <v>3200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3200</v>
      </c>
      <c r="AH11">
        <v>1</v>
      </c>
      <c r="AI11">
        <v>0</v>
      </c>
      <c r="AJ11">
        <v>0</v>
      </c>
      <c r="AK11">
        <v>3200</v>
      </c>
      <c r="AL11">
        <v>0</v>
      </c>
      <c r="AM11">
        <v>0</v>
      </c>
      <c r="AN11">
        <v>0</v>
      </c>
      <c r="AO11">
        <v>0</v>
      </c>
      <c r="AP11">
        <v>2240</v>
      </c>
      <c r="AT11" t="s">
        <v>205</v>
      </c>
      <c r="AV11" t="s">
        <v>178</v>
      </c>
    </row>
    <row r="12" spans="1:49">
      <c r="A12">
        <v>2313007047</v>
      </c>
      <c r="B12">
        <v>2313007050</v>
      </c>
      <c r="C12" t="s">
        <v>206</v>
      </c>
      <c r="D12" t="s">
        <v>207</v>
      </c>
      <c r="E12" t="s">
        <v>31</v>
      </c>
      <c r="H12" t="s">
        <v>29</v>
      </c>
      <c r="I12" t="s">
        <v>176</v>
      </c>
      <c r="J12">
        <v>3200</v>
      </c>
      <c r="K12">
        <v>3200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3200</v>
      </c>
      <c r="AH12">
        <v>1</v>
      </c>
      <c r="AI12">
        <v>0</v>
      </c>
      <c r="AJ12">
        <v>0</v>
      </c>
      <c r="AK12">
        <v>3200</v>
      </c>
      <c r="AL12">
        <v>0</v>
      </c>
      <c r="AM12">
        <v>0</v>
      </c>
      <c r="AN12">
        <v>0</v>
      </c>
      <c r="AO12">
        <v>0</v>
      </c>
      <c r="AP12">
        <v>2240</v>
      </c>
      <c r="AT12" t="s">
        <v>208</v>
      </c>
      <c r="AV12" t="s">
        <v>178</v>
      </c>
    </row>
    <row r="13" spans="1:49">
      <c r="A13">
        <v>2313007047</v>
      </c>
      <c r="B13">
        <v>2313007051</v>
      </c>
      <c r="C13" t="s">
        <v>209</v>
      </c>
      <c r="D13" t="s">
        <v>210</v>
      </c>
      <c r="E13" t="s">
        <v>31</v>
      </c>
      <c r="H13" t="s">
        <v>29</v>
      </c>
      <c r="I13" t="s">
        <v>176</v>
      </c>
      <c r="J13">
        <v>3200</v>
      </c>
      <c r="K13">
        <v>3200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3200</v>
      </c>
      <c r="AH13">
        <v>1</v>
      </c>
      <c r="AI13">
        <v>0</v>
      </c>
      <c r="AJ13">
        <v>0</v>
      </c>
      <c r="AK13">
        <v>3200</v>
      </c>
      <c r="AL13">
        <v>0</v>
      </c>
      <c r="AM13">
        <v>0</v>
      </c>
      <c r="AN13">
        <v>0</v>
      </c>
      <c r="AO13">
        <v>0</v>
      </c>
      <c r="AP13">
        <v>2240</v>
      </c>
      <c r="AT13" t="s">
        <v>211</v>
      </c>
      <c r="AV13" t="s">
        <v>178</v>
      </c>
    </row>
    <row r="14" spans="1:49">
      <c r="A14">
        <v>2313007047</v>
      </c>
      <c r="B14">
        <v>2313007053</v>
      </c>
      <c r="C14" t="s">
        <v>212</v>
      </c>
      <c r="D14" t="s">
        <v>213</v>
      </c>
      <c r="E14" t="s">
        <v>31</v>
      </c>
      <c r="H14" t="s">
        <v>29</v>
      </c>
      <c r="I14" t="s">
        <v>176</v>
      </c>
      <c r="J14">
        <v>3200</v>
      </c>
      <c r="K14">
        <v>3200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3200</v>
      </c>
      <c r="AH14">
        <v>1</v>
      </c>
      <c r="AI14">
        <v>0</v>
      </c>
      <c r="AJ14">
        <v>0</v>
      </c>
      <c r="AK14">
        <v>3200</v>
      </c>
      <c r="AL14">
        <v>0</v>
      </c>
      <c r="AM14">
        <v>0</v>
      </c>
      <c r="AN14">
        <v>0</v>
      </c>
      <c r="AO14">
        <v>0</v>
      </c>
      <c r="AP14">
        <v>2240</v>
      </c>
      <c r="AT14" t="s">
        <v>214</v>
      </c>
      <c r="AV14" t="s">
        <v>178</v>
      </c>
    </row>
    <row r="15" spans="1:49">
      <c r="A15">
        <v>2313007047</v>
      </c>
      <c r="B15">
        <v>2313007054</v>
      </c>
      <c r="C15" t="s">
        <v>215</v>
      </c>
      <c r="D15" t="s">
        <v>216</v>
      </c>
      <c r="E15" t="s">
        <v>31</v>
      </c>
      <c r="H15" t="s">
        <v>29</v>
      </c>
      <c r="I15" t="s">
        <v>176</v>
      </c>
      <c r="J15">
        <v>3200</v>
      </c>
      <c r="K15">
        <v>3200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3200</v>
      </c>
      <c r="AH15">
        <v>1</v>
      </c>
      <c r="AI15">
        <v>0</v>
      </c>
      <c r="AJ15">
        <v>0</v>
      </c>
      <c r="AK15">
        <v>3200</v>
      </c>
      <c r="AL15">
        <v>0</v>
      </c>
      <c r="AM15">
        <v>0</v>
      </c>
      <c r="AN15">
        <v>0</v>
      </c>
      <c r="AO15">
        <v>0</v>
      </c>
      <c r="AP15">
        <v>2240</v>
      </c>
      <c r="AT15" t="s">
        <v>217</v>
      </c>
      <c r="AV15" t="s">
        <v>178</v>
      </c>
    </row>
    <row r="16" spans="1:49">
      <c r="A16">
        <v>2313007047</v>
      </c>
      <c r="B16">
        <v>2313007055</v>
      </c>
      <c r="C16" t="s">
        <v>218</v>
      </c>
      <c r="D16" t="s">
        <v>219</v>
      </c>
      <c r="E16" t="s">
        <v>31</v>
      </c>
      <c r="H16" t="s">
        <v>29</v>
      </c>
      <c r="I16" t="s">
        <v>176</v>
      </c>
      <c r="J16">
        <v>3200</v>
      </c>
      <c r="K16">
        <v>3200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3200</v>
      </c>
      <c r="AH16">
        <v>1</v>
      </c>
      <c r="AI16">
        <v>0</v>
      </c>
      <c r="AJ16">
        <v>0</v>
      </c>
      <c r="AK16">
        <v>3200</v>
      </c>
      <c r="AL16">
        <v>0</v>
      </c>
      <c r="AM16">
        <v>0</v>
      </c>
      <c r="AN16">
        <v>0</v>
      </c>
      <c r="AO16">
        <v>0</v>
      </c>
      <c r="AP16">
        <v>2240</v>
      </c>
      <c r="AT16" t="s">
        <v>220</v>
      </c>
      <c r="AV16" t="s">
        <v>178</v>
      </c>
    </row>
    <row r="17" spans="1:48">
      <c r="A17">
        <v>2313007047</v>
      </c>
      <c r="B17">
        <v>2313007061</v>
      </c>
      <c r="C17" t="s">
        <v>221</v>
      </c>
      <c r="D17" t="s">
        <v>222</v>
      </c>
      <c r="E17" t="s">
        <v>31</v>
      </c>
      <c r="H17" t="s">
        <v>29</v>
      </c>
      <c r="I17" t="s">
        <v>176</v>
      </c>
      <c r="J17">
        <v>3200</v>
      </c>
      <c r="K17">
        <v>3200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3200</v>
      </c>
      <c r="AH17">
        <v>1</v>
      </c>
      <c r="AI17">
        <v>0</v>
      </c>
      <c r="AJ17">
        <v>0</v>
      </c>
      <c r="AK17">
        <v>3200</v>
      </c>
      <c r="AL17">
        <v>0</v>
      </c>
      <c r="AM17">
        <v>0</v>
      </c>
      <c r="AN17">
        <v>0</v>
      </c>
      <c r="AO17">
        <v>0</v>
      </c>
      <c r="AP17">
        <v>2240</v>
      </c>
      <c r="AT17" t="s">
        <v>223</v>
      </c>
      <c r="AV17" t="s">
        <v>178</v>
      </c>
    </row>
    <row r="18" spans="1:48">
      <c r="A18">
        <v>2313007047</v>
      </c>
      <c r="B18">
        <v>2313007062</v>
      </c>
      <c r="C18" t="s">
        <v>224</v>
      </c>
      <c r="D18" t="s">
        <v>225</v>
      </c>
      <c r="E18" t="s">
        <v>31</v>
      </c>
      <c r="H18" t="s">
        <v>29</v>
      </c>
      <c r="I18" t="s">
        <v>176</v>
      </c>
      <c r="J18">
        <v>3200</v>
      </c>
      <c r="K18">
        <v>3200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3200</v>
      </c>
      <c r="AH18">
        <v>1</v>
      </c>
      <c r="AI18">
        <v>0</v>
      </c>
      <c r="AJ18">
        <v>0</v>
      </c>
      <c r="AK18">
        <v>3200</v>
      </c>
      <c r="AL18">
        <v>0</v>
      </c>
      <c r="AM18">
        <v>0</v>
      </c>
      <c r="AN18">
        <v>0</v>
      </c>
      <c r="AO18">
        <v>0</v>
      </c>
      <c r="AP18">
        <v>2240</v>
      </c>
      <c r="AT18" t="s">
        <v>226</v>
      </c>
      <c r="AV18" t="s">
        <v>178</v>
      </c>
    </row>
    <row r="19" spans="1:48">
      <c r="A19">
        <v>2313007047</v>
      </c>
      <c r="B19">
        <v>2313007063</v>
      </c>
      <c r="C19" t="s">
        <v>227</v>
      </c>
      <c r="D19" t="s">
        <v>228</v>
      </c>
      <c r="E19" t="s">
        <v>31</v>
      </c>
      <c r="H19" t="s">
        <v>29</v>
      </c>
      <c r="I19" t="s">
        <v>176</v>
      </c>
      <c r="J19">
        <v>3200</v>
      </c>
      <c r="K19">
        <v>3200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3200</v>
      </c>
      <c r="AH19">
        <v>1</v>
      </c>
      <c r="AI19">
        <v>0</v>
      </c>
      <c r="AJ19">
        <v>0</v>
      </c>
      <c r="AK19">
        <v>3200</v>
      </c>
      <c r="AL19">
        <v>0</v>
      </c>
      <c r="AM19">
        <v>0</v>
      </c>
      <c r="AN19">
        <v>0</v>
      </c>
      <c r="AO19">
        <v>0</v>
      </c>
      <c r="AP19">
        <v>2240</v>
      </c>
      <c r="AT19" t="s">
        <v>229</v>
      </c>
      <c r="AV19" t="s">
        <v>178</v>
      </c>
    </row>
    <row r="20" spans="1:48">
      <c r="A20">
        <v>2313007047</v>
      </c>
      <c r="B20">
        <v>2313007064</v>
      </c>
      <c r="C20" t="s">
        <v>230</v>
      </c>
      <c r="D20" t="s">
        <v>231</v>
      </c>
      <c r="E20" t="s">
        <v>31</v>
      </c>
      <c r="H20" t="s">
        <v>29</v>
      </c>
      <c r="I20" t="s">
        <v>176</v>
      </c>
      <c r="J20">
        <v>3200</v>
      </c>
      <c r="K20">
        <v>3200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3200</v>
      </c>
      <c r="AH20">
        <v>1</v>
      </c>
      <c r="AI20">
        <v>0</v>
      </c>
      <c r="AJ20">
        <v>0</v>
      </c>
      <c r="AK20">
        <v>3200</v>
      </c>
      <c r="AL20">
        <v>0</v>
      </c>
      <c r="AM20">
        <v>0</v>
      </c>
      <c r="AN20">
        <v>0</v>
      </c>
      <c r="AO20">
        <v>0</v>
      </c>
      <c r="AP20">
        <v>2240</v>
      </c>
      <c r="AT20" t="s">
        <v>232</v>
      </c>
      <c r="AV20" t="s">
        <v>178</v>
      </c>
    </row>
    <row r="21" spans="1:48">
      <c r="A21">
        <v>2313007047</v>
      </c>
      <c r="B21">
        <v>2313007065</v>
      </c>
      <c r="C21" t="s">
        <v>233</v>
      </c>
      <c r="D21" t="s">
        <v>234</v>
      </c>
      <c r="E21" t="s">
        <v>31</v>
      </c>
      <c r="H21" t="s">
        <v>29</v>
      </c>
      <c r="I21" t="s">
        <v>176</v>
      </c>
      <c r="J21">
        <v>3200</v>
      </c>
      <c r="K21">
        <v>3200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3200</v>
      </c>
      <c r="AH21">
        <v>1</v>
      </c>
      <c r="AI21">
        <v>0</v>
      </c>
      <c r="AJ21">
        <v>0</v>
      </c>
      <c r="AK21">
        <v>3200</v>
      </c>
      <c r="AL21">
        <v>0</v>
      </c>
      <c r="AM21">
        <v>0</v>
      </c>
      <c r="AN21">
        <v>0</v>
      </c>
      <c r="AO21">
        <v>0</v>
      </c>
      <c r="AP21">
        <v>2240</v>
      </c>
      <c r="AT21" t="s">
        <v>235</v>
      </c>
      <c r="AV21" t="s">
        <v>178</v>
      </c>
    </row>
    <row r="22" spans="1:48">
      <c r="A22">
        <v>2313007047</v>
      </c>
      <c r="B22">
        <v>2313007066</v>
      </c>
      <c r="C22" t="s">
        <v>236</v>
      </c>
      <c r="D22" t="s">
        <v>237</v>
      </c>
      <c r="E22" t="s">
        <v>31</v>
      </c>
      <c r="H22" t="s">
        <v>29</v>
      </c>
      <c r="I22" t="s">
        <v>176</v>
      </c>
      <c r="J22">
        <v>3200</v>
      </c>
      <c r="K22">
        <v>3200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3200</v>
      </c>
      <c r="AH22">
        <v>1</v>
      </c>
      <c r="AI22">
        <v>0</v>
      </c>
      <c r="AJ22">
        <v>0</v>
      </c>
      <c r="AK22">
        <v>3200</v>
      </c>
      <c r="AL22">
        <v>0</v>
      </c>
      <c r="AM22">
        <v>0</v>
      </c>
      <c r="AN22">
        <v>0</v>
      </c>
      <c r="AO22">
        <v>0</v>
      </c>
      <c r="AP22">
        <v>2240</v>
      </c>
      <c r="AT22" t="s">
        <v>238</v>
      </c>
      <c r="AV22" t="s">
        <v>178</v>
      </c>
    </row>
    <row r="23" spans="1:48">
      <c r="A23">
        <v>2313007047</v>
      </c>
      <c r="B23">
        <v>2313007067</v>
      </c>
      <c r="C23" t="s">
        <v>239</v>
      </c>
      <c r="D23" t="s">
        <v>240</v>
      </c>
      <c r="E23" t="s">
        <v>31</v>
      </c>
      <c r="H23" t="s">
        <v>29</v>
      </c>
      <c r="I23" t="s">
        <v>176</v>
      </c>
      <c r="J23">
        <v>3200</v>
      </c>
      <c r="K23">
        <v>3200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3200</v>
      </c>
      <c r="AH23">
        <v>1</v>
      </c>
      <c r="AI23">
        <v>0</v>
      </c>
      <c r="AJ23">
        <v>0</v>
      </c>
      <c r="AK23">
        <v>3200</v>
      </c>
      <c r="AL23">
        <v>0</v>
      </c>
      <c r="AM23">
        <v>0</v>
      </c>
      <c r="AN23">
        <v>0</v>
      </c>
      <c r="AO23">
        <v>0</v>
      </c>
      <c r="AP23">
        <v>2240</v>
      </c>
      <c r="AT23" t="s">
        <v>241</v>
      </c>
      <c r="AV23" t="s">
        <v>178</v>
      </c>
    </row>
    <row r="24" spans="1:48">
      <c r="A24">
        <v>2313007047</v>
      </c>
      <c r="B24">
        <v>2313007068</v>
      </c>
      <c r="C24" t="s">
        <v>242</v>
      </c>
      <c r="D24" t="s">
        <v>243</v>
      </c>
      <c r="E24" t="s">
        <v>31</v>
      </c>
      <c r="H24" t="s">
        <v>29</v>
      </c>
      <c r="I24" t="s">
        <v>176</v>
      </c>
      <c r="J24">
        <v>3200</v>
      </c>
      <c r="K24">
        <v>3200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3200</v>
      </c>
      <c r="AH24">
        <v>1</v>
      </c>
      <c r="AI24">
        <v>0</v>
      </c>
      <c r="AJ24">
        <v>0</v>
      </c>
      <c r="AK24">
        <v>3200</v>
      </c>
      <c r="AL24">
        <v>0</v>
      </c>
      <c r="AM24">
        <v>0</v>
      </c>
      <c r="AN24">
        <v>0</v>
      </c>
      <c r="AO24">
        <v>0</v>
      </c>
      <c r="AP24">
        <v>2240</v>
      </c>
      <c r="AT24" t="s">
        <v>244</v>
      </c>
      <c r="AV24" t="s">
        <v>178</v>
      </c>
    </row>
    <row r="25" spans="1:48">
      <c r="A25">
        <v>2313007047</v>
      </c>
      <c r="B25">
        <v>2313007069</v>
      </c>
      <c r="C25" t="s">
        <v>245</v>
      </c>
      <c r="D25" t="s">
        <v>246</v>
      </c>
      <c r="E25" t="s">
        <v>31</v>
      </c>
      <c r="H25" t="s">
        <v>29</v>
      </c>
      <c r="I25" t="s">
        <v>176</v>
      </c>
      <c r="J25">
        <v>3200</v>
      </c>
      <c r="K25">
        <v>3200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3200</v>
      </c>
      <c r="AH25">
        <v>1</v>
      </c>
      <c r="AI25">
        <v>0</v>
      </c>
      <c r="AJ25">
        <v>0</v>
      </c>
      <c r="AK25">
        <v>3200</v>
      </c>
      <c r="AL25">
        <v>0</v>
      </c>
      <c r="AM25">
        <v>0</v>
      </c>
      <c r="AN25">
        <v>0</v>
      </c>
      <c r="AO25">
        <v>0</v>
      </c>
      <c r="AP25">
        <v>2240</v>
      </c>
      <c r="AT25" t="s">
        <v>247</v>
      </c>
      <c r="AV25" t="s">
        <v>178</v>
      </c>
    </row>
    <row r="26" spans="1:48">
      <c r="A26">
        <v>2313011372</v>
      </c>
      <c r="B26">
        <v>2313011373</v>
      </c>
      <c r="C26" t="s">
        <v>248</v>
      </c>
      <c r="D26" t="s">
        <v>199</v>
      </c>
      <c r="E26" t="s">
        <v>31</v>
      </c>
      <c r="H26" t="s">
        <v>29</v>
      </c>
      <c r="I26" t="s">
        <v>196</v>
      </c>
      <c r="J26">
        <v>3200</v>
      </c>
      <c r="K26">
        <v>3200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3200</v>
      </c>
      <c r="AH26">
        <v>1</v>
      </c>
      <c r="AI26">
        <v>0</v>
      </c>
      <c r="AJ26">
        <v>0</v>
      </c>
      <c r="AK26">
        <v>3200</v>
      </c>
      <c r="AL26">
        <v>0</v>
      </c>
      <c r="AM26">
        <v>0</v>
      </c>
      <c r="AN26">
        <v>0</v>
      </c>
      <c r="AO26">
        <v>0</v>
      </c>
      <c r="AP26">
        <v>2240</v>
      </c>
      <c r="AT26" t="s">
        <v>249</v>
      </c>
      <c r="AV26" t="s">
        <v>178</v>
      </c>
    </row>
    <row r="27" spans="1:48">
      <c r="A27">
        <v>2313011372</v>
      </c>
      <c r="B27">
        <v>2313011375</v>
      </c>
      <c r="C27" t="s">
        <v>250</v>
      </c>
      <c r="D27" t="s">
        <v>207</v>
      </c>
      <c r="E27" t="s">
        <v>31</v>
      </c>
      <c r="H27" t="s">
        <v>29</v>
      </c>
      <c r="I27" t="s">
        <v>196</v>
      </c>
      <c r="J27">
        <v>3200</v>
      </c>
      <c r="K27">
        <v>3200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3200</v>
      </c>
      <c r="AH27">
        <v>1</v>
      </c>
      <c r="AI27">
        <v>0</v>
      </c>
      <c r="AJ27">
        <v>0</v>
      </c>
      <c r="AK27">
        <v>3200</v>
      </c>
      <c r="AL27">
        <v>0</v>
      </c>
      <c r="AM27">
        <v>0</v>
      </c>
      <c r="AN27">
        <v>0</v>
      </c>
      <c r="AO27">
        <v>0</v>
      </c>
      <c r="AP27">
        <v>2240</v>
      </c>
      <c r="AT27" t="s">
        <v>251</v>
      </c>
      <c r="AV27" t="s">
        <v>178</v>
      </c>
    </row>
    <row r="28" spans="1:48">
      <c r="A28">
        <v>2313011372</v>
      </c>
      <c r="B28">
        <v>2313011376</v>
      </c>
      <c r="C28" t="s">
        <v>252</v>
      </c>
      <c r="D28" t="s">
        <v>210</v>
      </c>
      <c r="E28" t="s">
        <v>31</v>
      </c>
      <c r="H28" t="s">
        <v>29</v>
      </c>
      <c r="I28" t="s">
        <v>196</v>
      </c>
      <c r="J28">
        <v>3200</v>
      </c>
      <c r="K28">
        <v>3200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3200</v>
      </c>
      <c r="AH28">
        <v>1</v>
      </c>
      <c r="AI28">
        <v>0</v>
      </c>
      <c r="AJ28">
        <v>0</v>
      </c>
      <c r="AK28">
        <v>3200</v>
      </c>
      <c r="AL28">
        <v>0</v>
      </c>
      <c r="AM28">
        <v>0</v>
      </c>
      <c r="AN28">
        <v>0</v>
      </c>
      <c r="AO28">
        <v>0</v>
      </c>
      <c r="AP28">
        <v>2240</v>
      </c>
      <c r="AT28" t="s">
        <v>253</v>
      </c>
      <c r="AV28" t="s">
        <v>178</v>
      </c>
    </row>
    <row r="29" spans="1:48">
      <c r="A29">
        <v>2313011372</v>
      </c>
      <c r="B29">
        <v>2313011377</v>
      </c>
      <c r="C29" t="s">
        <v>254</v>
      </c>
      <c r="D29" t="s">
        <v>175</v>
      </c>
      <c r="E29" t="s">
        <v>31</v>
      </c>
      <c r="H29" t="s">
        <v>29</v>
      </c>
      <c r="I29" t="s">
        <v>196</v>
      </c>
      <c r="J29">
        <v>3200</v>
      </c>
      <c r="K29">
        <v>3200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3200</v>
      </c>
      <c r="AH29">
        <v>1</v>
      </c>
      <c r="AI29">
        <v>0</v>
      </c>
      <c r="AJ29">
        <v>0</v>
      </c>
      <c r="AK29">
        <v>3200</v>
      </c>
      <c r="AL29">
        <v>0</v>
      </c>
      <c r="AM29">
        <v>0</v>
      </c>
      <c r="AN29">
        <v>0</v>
      </c>
      <c r="AO29">
        <v>0</v>
      </c>
      <c r="AP29">
        <v>2240</v>
      </c>
      <c r="AT29" t="s">
        <v>255</v>
      </c>
      <c r="AV29" t="s">
        <v>178</v>
      </c>
    </row>
    <row r="30" spans="1:48">
      <c r="A30">
        <v>2313011372</v>
      </c>
      <c r="B30">
        <v>2313011378</v>
      </c>
      <c r="C30" t="s">
        <v>256</v>
      </c>
      <c r="D30" t="s">
        <v>213</v>
      </c>
      <c r="E30" t="s">
        <v>31</v>
      </c>
      <c r="H30" t="s">
        <v>29</v>
      </c>
      <c r="I30" t="s">
        <v>196</v>
      </c>
      <c r="J30">
        <v>3200</v>
      </c>
      <c r="K30">
        <v>3200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3200</v>
      </c>
      <c r="AH30">
        <v>1</v>
      </c>
      <c r="AI30">
        <v>0</v>
      </c>
      <c r="AJ30">
        <v>0</v>
      </c>
      <c r="AK30">
        <v>3200</v>
      </c>
      <c r="AL30">
        <v>0</v>
      </c>
      <c r="AM30">
        <v>0</v>
      </c>
      <c r="AN30">
        <v>0</v>
      </c>
      <c r="AO30">
        <v>0</v>
      </c>
      <c r="AP30">
        <v>2240</v>
      </c>
      <c r="AT30" t="s">
        <v>257</v>
      </c>
      <c r="AV30" t="s">
        <v>178</v>
      </c>
    </row>
    <row r="31" spans="1:48">
      <c r="A31">
        <v>2313011372</v>
      </c>
      <c r="B31">
        <v>2313011379</v>
      </c>
      <c r="C31" t="s">
        <v>258</v>
      </c>
      <c r="D31" t="s">
        <v>216</v>
      </c>
      <c r="E31" t="s">
        <v>31</v>
      </c>
      <c r="H31" t="s">
        <v>29</v>
      </c>
      <c r="I31" t="s">
        <v>196</v>
      </c>
      <c r="J31">
        <v>3200</v>
      </c>
      <c r="K31">
        <v>3200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3200</v>
      </c>
      <c r="AH31">
        <v>1</v>
      </c>
      <c r="AI31">
        <v>0</v>
      </c>
      <c r="AJ31">
        <v>0</v>
      </c>
      <c r="AK31">
        <v>3200</v>
      </c>
      <c r="AL31">
        <v>0</v>
      </c>
      <c r="AM31">
        <v>0</v>
      </c>
      <c r="AN31">
        <v>0</v>
      </c>
      <c r="AO31">
        <v>0</v>
      </c>
      <c r="AP31">
        <v>2240</v>
      </c>
      <c r="AT31" t="s">
        <v>259</v>
      </c>
      <c r="AV31" t="s">
        <v>178</v>
      </c>
    </row>
    <row r="32" spans="1:48">
      <c r="A32">
        <v>2313010585</v>
      </c>
      <c r="B32">
        <v>2313010612</v>
      </c>
      <c r="C32" t="s">
        <v>260</v>
      </c>
      <c r="D32" t="s">
        <v>261</v>
      </c>
      <c r="E32" t="s">
        <v>31</v>
      </c>
      <c r="H32" t="s">
        <v>29</v>
      </c>
      <c r="I32" t="s">
        <v>262</v>
      </c>
      <c r="J32">
        <v>100</v>
      </c>
      <c r="K32">
        <v>300</v>
      </c>
      <c r="L32">
        <v>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300</v>
      </c>
      <c r="AH32">
        <v>3</v>
      </c>
      <c r="AI32">
        <v>0</v>
      </c>
      <c r="AJ32">
        <v>0</v>
      </c>
      <c r="AK32">
        <v>300</v>
      </c>
      <c r="AL32">
        <v>0</v>
      </c>
      <c r="AM32">
        <v>0</v>
      </c>
      <c r="AN32">
        <v>0</v>
      </c>
      <c r="AO32">
        <v>0</v>
      </c>
      <c r="AP32">
        <v>210</v>
      </c>
      <c r="AT32" t="s">
        <v>263</v>
      </c>
      <c r="AV32" t="s">
        <v>264</v>
      </c>
    </row>
    <row r="33" spans="1:48">
      <c r="A33">
        <v>2313010585</v>
      </c>
      <c r="B33">
        <v>2313010613</v>
      </c>
      <c r="C33" t="s">
        <v>265</v>
      </c>
      <c r="D33" t="s">
        <v>266</v>
      </c>
      <c r="E33" t="s">
        <v>31</v>
      </c>
      <c r="H33" t="s">
        <v>29</v>
      </c>
      <c r="I33" t="s">
        <v>262</v>
      </c>
      <c r="J33">
        <v>100</v>
      </c>
      <c r="K33">
        <v>300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300</v>
      </c>
      <c r="AH33">
        <v>3</v>
      </c>
      <c r="AI33">
        <v>0</v>
      </c>
      <c r="AJ33">
        <v>0</v>
      </c>
      <c r="AK33">
        <v>300</v>
      </c>
      <c r="AL33">
        <v>0</v>
      </c>
      <c r="AM33">
        <v>0</v>
      </c>
      <c r="AN33">
        <v>0</v>
      </c>
      <c r="AO33">
        <v>0</v>
      </c>
      <c r="AP33">
        <v>210</v>
      </c>
      <c r="AT33" t="s">
        <v>263</v>
      </c>
      <c r="AV33" t="s">
        <v>264</v>
      </c>
    </row>
    <row r="34" spans="1:48">
      <c r="A34">
        <v>2313010585</v>
      </c>
      <c r="B34">
        <v>2313010614</v>
      </c>
      <c r="C34" t="s">
        <v>267</v>
      </c>
      <c r="D34" t="s">
        <v>268</v>
      </c>
      <c r="E34" t="s">
        <v>31</v>
      </c>
      <c r="H34" t="s">
        <v>29</v>
      </c>
      <c r="I34" t="s">
        <v>262</v>
      </c>
      <c r="J34">
        <v>100</v>
      </c>
      <c r="K34">
        <v>300</v>
      </c>
      <c r="L34">
        <v>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300</v>
      </c>
      <c r="AH34">
        <v>3</v>
      </c>
      <c r="AI34">
        <v>0</v>
      </c>
      <c r="AJ34">
        <v>0</v>
      </c>
      <c r="AK34">
        <v>300</v>
      </c>
      <c r="AL34">
        <v>0</v>
      </c>
      <c r="AM34">
        <v>0</v>
      </c>
      <c r="AN34">
        <v>0</v>
      </c>
      <c r="AO34">
        <v>0</v>
      </c>
      <c r="AP34">
        <v>210</v>
      </c>
      <c r="AT34" t="s">
        <v>263</v>
      </c>
      <c r="AV34" t="s">
        <v>264</v>
      </c>
    </row>
    <row r="35" spans="1:48">
      <c r="A35">
        <v>2313010585</v>
      </c>
      <c r="B35">
        <v>2313010615</v>
      </c>
      <c r="C35" t="s">
        <v>269</v>
      </c>
      <c r="D35" t="s">
        <v>270</v>
      </c>
      <c r="E35" t="s">
        <v>31</v>
      </c>
      <c r="H35" t="s">
        <v>29</v>
      </c>
      <c r="I35" t="s">
        <v>262</v>
      </c>
      <c r="J35">
        <v>100</v>
      </c>
      <c r="K35">
        <v>300</v>
      </c>
      <c r="L35">
        <v>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300</v>
      </c>
      <c r="AH35">
        <v>3</v>
      </c>
      <c r="AI35">
        <v>0</v>
      </c>
      <c r="AJ35">
        <v>0</v>
      </c>
      <c r="AK35">
        <v>300</v>
      </c>
      <c r="AL35">
        <v>0</v>
      </c>
      <c r="AM35">
        <v>0</v>
      </c>
      <c r="AN35">
        <v>0</v>
      </c>
      <c r="AO35">
        <v>0</v>
      </c>
      <c r="AP35">
        <v>210</v>
      </c>
      <c r="AT35" t="s">
        <v>263</v>
      </c>
      <c r="AV35" t="s">
        <v>264</v>
      </c>
    </row>
    <row r="36" spans="1:48">
      <c r="A36">
        <v>2313010585</v>
      </c>
      <c r="B36">
        <v>2313010616</v>
      </c>
      <c r="C36" t="s">
        <v>271</v>
      </c>
      <c r="D36" t="s">
        <v>272</v>
      </c>
      <c r="E36" t="s">
        <v>31</v>
      </c>
      <c r="H36" t="s">
        <v>29</v>
      </c>
      <c r="I36" t="s">
        <v>262</v>
      </c>
      <c r="J36">
        <v>100</v>
      </c>
      <c r="K36">
        <v>300</v>
      </c>
      <c r="L36">
        <v>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300</v>
      </c>
      <c r="AH36">
        <v>3</v>
      </c>
      <c r="AI36">
        <v>0</v>
      </c>
      <c r="AJ36">
        <v>0</v>
      </c>
      <c r="AK36">
        <v>300</v>
      </c>
      <c r="AL36">
        <v>0</v>
      </c>
      <c r="AM36">
        <v>0</v>
      </c>
      <c r="AN36">
        <v>0</v>
      </c>
      <c r="AO36">
        <v>0</v>
      </c>
      <c r="AP36">
        <v>210</v>
      </c>
      <c r="AT36" t="s">
        <v>263</v>
      </c>
      <c r="AV36" t="s">
        <v>264</v>
      </c>
    </row>
    <row r="37" spans="1:48">
      <c r="A37">
        <v>2313010585</v>
      </c>
      <c r="B37">
        <v>2313010617</v>
      </c>
      <c r="C37" t="s">
        <v>273</v>
      </c>
      <c r="D37" t="s">
        <v>274</v>
      </c>
      <c r="E37" t="s">
        <v>31</v>
      </c>
      <c r="H37" t="s">
        <v>29</v>
      </c>
      <c r="I37" t="s">
        <v>262</v>
      </c>
      <c r="J37">
        <v>100</v>
      </c>
      <c r="K37">
        <v>300</v>
      </c>
      <c r="L37">
        <v>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300</v>
      </c>
      <c r="AH37">
        <v>3</v>
      </c>
      <c r="AI37">
        <v>0</v>
      </c>
      <c r="AJ37">
        <v>0</v>
      </c>
      <c r="AK37">
        <v>300</v>
      </c>
      <c r="AL37">
        <v>0</v>
      </c>
      <c r="AM37">
        <v>0</v>
      </c>
      <c r="AN37">
        <v>0</v>
      </c>
      <c r="AO37">
        <v>0</v>
      </c>
      <c r="AP37">
        <v>210</v>
      </c>
      <c r="AT37" t="s">
        <v>263</v>
      </c>
      <c r="AV37" t="s">
        <v>264</v>
      </c>
    </row>
    <row r="38" spans="1:48">
      <c r="A38">
        <v>2313010585</v>
      </c>
      <c r="B38">
        <v>2313010618</v>
      </c>
      <c r="C38" t="s">
        <v>275</v>
      </c>
      <c r="D38" t="s">
        <v>276</v>
      </c>
      <c r="E38" t="s">
        <v>31</v>
      </c>
      <c r="H38" t="s">
        <v>29</v>
      </c>
      <c r="I38" t="s">
        <v>262</v>
      </c>
      <c r="J38">
        <v>100</v>
      </c>
      <c r="K38">
        <v>300</v>
      </c>
      <c r="L38">
        <v>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300</v>
      </c>
      <c r="AH38">
        <v>3</v>
      </c>
      <c r="AI38">
        <v>0</v>
      </c>
      <c r="AJ38">
        <v>0</v>
      </c>
      <c r="AK38">
        <v>300</v>
      </c>
      <c r="AL38">
        <v>0</v>
      </c>
      <c r="AM38">
        <v>0</v>
      </c>
      <c r="AN38">
        <v>0</v>
      </c>
      <c r="AO38">
        <v>0</v>
      </c>
      <c r="AP38">
        <v>210</v>
      </c>
      <c r="AT38" t="s">
        <v>263</v>
      </c>
      <c r="AV38" t="s">
        <v>264</v>
      </c>
    </row>
    <row r="39" spans="1:48">
      <c r="A39">
        <v>2313010585</v>
      </c>
      <c r="B39">
        <v>2313010619</v>
      </c>
      <c r="C39" t="s">
        <v>277</v>
      </c>
      <c r="D39" t="s">
        <v>278</v>
      </c>
      <c r="E39" t="s">
        <v>31</v>
      </c>
      <c r="H39" t="s">
        <v>29</v>
      </c>
      <c r="I39" t="s">
        <v>262</v>
      </c>
      <c r="J39">
        <v>100</v>
      </c>
      <c r="K39">
        <v>300</v>
      </c>
      <c r="L39">
        <v>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300</v>
      </c>
      <c r="AH39">
        <v>3</v>
      </c>
      <c r="AI39">
        <v>0</v>
      </c>
      <c r="AJ39">
        <v>0</v>
      </c>
      <c r="AK39">
        <v>300</v>
      </c>
      <c r="AL39">
        <v>0</v>
      </c>
      <c r="AM39">
        <v>0</v>
      </c>
      <c r="AN39">
        <v>0</v>
      </c>
      <c r="AO39">
        <v>0</v>
      </c>
      <c r="AP39">
        <v>210</v>
      </c>
      <c r="AT39" t="s">
        <v>263</v>
      </c>
      <c r="AV39" t="s">
        <v>264</v>
      </c>
    </row>
    <row r="40" spans="1:48">
      <c r="A40">
        <v>2313010585</v>
      </c>
      <c r="B40">
        <v>2313010620</v>
      </c>
      <c r="C40" t="s">
        <v>279</v>
      </c>
      <c r="D40" t="s">
        <v>280</v>
      </c>
      <c r="E40" t="s">
        <v>31</v>
      </c>
      <c r="H40" t="s">
        <v>29</v>
      </c>
      <c r="I40" t="s">
        <v>262</v>
      </c>
      <c r="J40">
        <v>100</v>
      </c>
      <c r="K40">
        <v>300</v>
      </c>
      <c r="L40">
        <v>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300</v>
      </c>
      <c r="AH40">
        <v>3</v>
      </c>
      <c r="AI40">
        <v>0</v>
      </c>
      <c r="AJ40">
        <v>0</v>
      </c>
      <c r="AK40">
        <v>300</v>
      </c>
      <c r="AL40">
        <v>0</v>
      </c>
      <c r="AM40">
        <v>0</v>
      </c>
      <c r="AN40">
        <v>0</v>
      </c>
      <c r="AO40">
        <v>0</v>
      </c>
      <c r="AP40">
        <v>210</v>
      </c>
      <c r="AT40" t="s">
        <v>263</v>
      </c>
      <c r="AV40" t="s">
        <v>264</v>
      </c>
    </row>
    <row r="41" spans="1:48">
      <c r="A41">
        <v>2313010585</v>
      </c>
      <c r="B41">
        <v>2313010621</v>
      </c>
      <c r="C41" t="s">
        <v>281</v>
      </c>
      <c r="D41" t="s">
        <v>282</v>
      </c>
      <c r="E41" t="s">
        <v>31</v>
      </c>
      <c r="H41" t="s">
        <v>29</v>
      </c>
      <c r="I41" t="s">
        <v>262</v>
      </c>
      <c r="J41">
        <v>100</v>
      </c>
      <c r="K41">
        <v>300</v>
      </c>
      <c r="L41">
        <v>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300</v>
      </c>
      <c r="AH41">
        <v>3</v>
      </c>
      <c r="AI41">
        <v>0</v>
      </c>
      <c r="AJ41">
        <v>0</v>
      </c>
      <c r="AK41">
        <v>300</v>
      </c>
      <c r="AL41">
        <v>0</v>
      </c>
      <c r="AM41">
        <v>0</v>
      </c>
      <c r="AN41">
        <v>0</v>
      </c>
      <c r="AO41">
        <v>0</v>
      </c>
      <c r="AP41">
        <v>210</v>
      </c>
      <c r="AT41" t="s">
        <v>263</v>
      </c>
      <c r="AV41" t="s">
        <v>264</v>
      </c>
    </row>
    <row r="42" spans="1:48">
      <c r="A42">
        <v>2313010585</v>
      </c>
      <c r="B42">
        <v>2313010622</v>
      </c>
      <c r="C42" t="s">
        <v>283</v>
      </c>
      <c r="D42" t="s">
        <v>284</v>
      </c>
      <c r="E42" t="s">
        <v>31</v>
      </c>
      <c r="H42" t="s">
        <v>29</v>
      </c>
      <c r="I42" t="s">
        <v>262</v>
      </c>
      <c r="J42">
        <v>100</v>
      </c>
      <c r="K42">
        <v>300</v>
      </c>
      <c r="L42">
        <v>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300</v>
      </c>
      <c r="AH42">
        <v>3</v>
      </c>
      <c r="AI42">
        <v>0</v>
      </c>
      <c r="AJ42">
        <v>0</v>
      </c>
      <c r="AK42">
        <v>300</v>
      </c>
      <c r="AL42">
        <v>0</v>
      </c>
      <c r="AM42">
        <v>0</v>
      </c>
      <c r="AN42">
        <v>0</v>
      </c>
      <c r="AO42">
        <v>0</v>
      </c>
      <c r="AP42">
        <v>210</v>
      </c>
      <c r="AT42" t="s">
        <v>263</v>
      </c>
      <c r="AV42" t="s">
        <v>264</v>
      </c>
    </row>
    <row r="43" spans="1:48">
      <c r="A43">
        <v>2313010585</v>
      </c>
      <c r="B43">
        <v>2313010623</v>
      </c>
      <c r="C43" t="s">
        <v>285</v>
      </c>
      <c r="D43" t="s">
        <v>286</v>
      </c>
      <c r="E43" t="s">
        <v>31</v>
      </c>
      <c r="H43" t="s">
        <v>29</v>
      </c>
      <c r="I43" t="s">
        <v>262</v>
      </c>
      <c r="J43">
        <v>100</v>
      </c>
      <c r="K43">
        <v>300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300</v>
      </c>
      <c r="AH43">
        <v>3</v>
      </c>
      <c r="AI43">
        <v>0</v>
      </c>
      <c r="AJ43">
        <v>0</v>
      </c>
      <c r="AK43">
        <v>300</v>
      </c>
      <c r="AL43">
        <v>0</v>
      </c>
      <c r="AM43">
        <v>0</v>
      </c>
      <c r="AN43">
        <v>0</v>
      </c>
      <c r="AO43">
        <v>0</v>
      </c>
      <c r="AP43">
        <v>210</v>
      </c>
      <c r="AT43" t="s">
        <v>263</v>
      </c>
      <c r="AV43" t="s">
        <v>264</v>
      </c>
    </row>
    <row r="44" spans="1:48">
      <c r="A44">
        <v>2313010585</v>
      </c>
      <c r="B44">
        <v>2313010624</v>
      </c>
      <c r="C44" t="s">
        <v>287</v>
      </c>
      <c r="D44" t="s">
        <v>288</v>
      </c>
      <c r="E44" t="s">
        <v>31</v>
      </c>
      <c r="H44" t="s">
        <v>29</v>
      </c>
      <c r="I44" t="s">
        <v>262</v>
      </c>
      <c r="J44">
        <v>100</v>
      </c>
      <c r="K44">
        <v>300</v>
      </c>
      <c r="L44">
        <v>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300</v>
      </c>
      <c r="AH44">
        <v>3</v>
      </c>
      <c r="AI44">
        <v>0</v>
      </c>
      <c r="AJ44">
        <v>0</v>
      </c>
      <c r="AK44">
        <v>300</v>
      </c>
      <c r="AL44">
        <v>0</v>
      </c>
      <c r="AM44">
        <v>0</v>
      </c>
      <c r="AN44">
        <v>0</v>
      </c>
      <c r="AO44">
        <v>0</v>
      </c>
      <c r="AP44">
        <v>210</v>
      </c>
      <c r="AT44" t="s">
        <v>263</v>
      </c>
      <c r="AV44" t="s">
        <v>264</v>
      </c>
    </row>
    <row r="45" spans="1:48">
      <c r="A45">
        <v>2313010585</v>
      </c>
      <c r="B45">
        <v>2313010625</v>
      </c>
      <c r="C45" t="s">
        <v>289</v>
      </c>
      <c r="D45" t="s">
        <v>290</v>
      </c>
      <c r="E45" t="s">
        <v>31</v>
      </c>
      <c r="H45" t="s">
        <v>29</v>
      </c>
      <c r="I45" t="s">
        <v>262</v>
      </c>
      <c r="J45">
        <v>100</v>
      </c>
      <c r="K45">
        <v>300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300</v>
      </c>
      <c r="AH45">
        <v>3</v>
      </c>
      <c r="AI45">
        <v>0</v>
      </c>
      <c r="AJ45">
        <v>0</v>
      </c>
      <c r="AK45">
        <v>300</v>
      </c>
      <c r="AL45">
        <v>0</v>
      </c>
      <c r="AM45">
        <v>0</v>
      </c>
      <c r="AN45">
        <v>0</v>
      </c>
      <c r="AO45">
        <v>0</v>
      </c>
      <c r="AP45">
        <v>210</v>
      </c>
      <c r="AT45" t="s">
        <v>263</v>
      </c>
      <c r="AV45" t="s">
        <v>264</v>
      </c>
    </row>
    <row r="46" spans="1:48">
      <c r="A46">
        <v>2313010585</v>
      </c>
      <c r="B46">
        <v>2313010626</v>
      </c>
      <c r="C46" t="s">
        <v>291</v>
      </c>
      <c r="D46" t="s">
        <v>292</v>
      </c>
      <c r="E46" t="s">
        <v>31</v>
      </c>
      <c r="H46" t="s">
        <v>29</v>
      </c>
      <c r="I46" t="s">
        <v>262</v>
      </c>
      <c r="J46">
        <v>100</v>
      </c>
      <c r="K46">
        <v>300</v>
      </c>
      <c r="L46">
        <v>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300</v>
      </c>
      <c r="AH46">
        <v>3</v>
      </c>
      <c r="AI46">
        <v>0</v>
      </c>
      <c r="AJ46">
        <v>0</v>
      </c>
      <c r="AK46">
        <v>300</v>
      </c>
      <c r="AL46">
        <v>0</v>
      </c>
      <c r="AM46">
        <v>0</v>
      </c>
      <c r="AN46">
        <v>0</v>
      </c>
      <c r="AO46">
        <v>0</v>
      </c>
      <c r="AP46">
        <v>210</v>
      </c>
      <c r="AT46" t="s">
        <v>263</v>
      </c>
      <c r="AV46" t="s">
        <v>264</v>
      </c>
    </row>
    <row r="47" spans="1:48">
      <c r="A47">
        <v>2313010585</v>
      </c>
      <c r="B47">
        <v>2313010627</v>
      </c>
      <c r="C47" t="s">
        <v>293</v>
      </c>
      <c r="D47" t="s">
        <v>294</v>
      </c>
      <c r="E47" t="s">
        <v>31</v>
      </c>
      <c r="H47" t="s">
        <v>29</v>
      </c>
      <c r="I47" t="s">
        <v>262</v>
      </c>
      <c r="J47">
        <v>100</v>
      </c>
      <c r="K47">
        <v>300</v>
      </c>
      <c r="L47">
        <v>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300</v>
      </c>
      <c r="AH47">
        <v>3</v>
      </c>
      <c r="AI47">
        <v>0</v>
      </c>
      <c r="AJ47">
        <v>0</v>
      </c>
      <c r="AK47">
        <v>300</v>
      </c>
      <c r="AL47">
        <v>0</v>
      </c>
      <c r="AM47">
        <v>0</v>
      </c>
      <c r="AN47">
        <v>0</v>
      </c>
      <c r="AO47">
        <v>0</v>
      </c>
      <c r="AP47">
        <v>210</v>
      </c>
      <c r="AT47" t="s">
        <v>263</v>
      </c>
      <c r="AV47" t="s">
        <v>264</v>
      </c>
    </row>
    <row r="48" spans="1:48">
      <c r="A48">
        <v>2313010585</v>
      </c>
      <c r="B48">
        <v>2313010628</v>
      </c>
      <c r="C48" t="s">
        <v>295</v>
      </c>
      <c r="D48" t="s">
        <v>296</v>
      </c>
      <c r="E48" t="s">
        <v>31</v>
      </c>
      <c r="H48" t="s">
        <v>29</v>
      </c>
      <c r="I48" t="s">
        <v>262</v>
      </c>
      <c r="J48">
        <v>100</v>
      </c>
      <c r="K48">
        <v>300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300</v>
      </c>
      <c r="AH48">
        <v>3</v>
      </c>
      <c r="AI48">
        <v>0</v>
      </c>
      <c r="AJ48">
        <v>0</v>
      </c>
      <c r="AK48">
        <v>300</v>
      </c>
      <c r="AL48">
        <v>0</v>
      </c>
      <c r="AM48">
        <v>0</v>
      </c>
      <c r="AN48">
        <v>0</v>
      </c>
      <c r="AO48">
        <v>0</v>
      </c>
      <c r="AP48">
        <v>210</v>
      </c>
      <c r="AT48" t="s">
        <v>263</v>
      </c>
      <c r="AV48" t="s">
        <v>264</v>
      </c>
    </row>
    <row r="49" spans="1:48">
      <c r="A49">
        <v>2313010585</v>
      </c>
      <c r="B49">
        <v>2313010629</v>
      </c>
      <c r="C49" t="s">
        <v>297</v>
      </c>
      <c r="D49" t="s">
        <v>298</v>
      </c>
      <c r="E49" t="s">
        <v>31</v>
      </c>
      <c r="H49" t="s">
        <v>29</v>
      </c>
      <c r="I49" t="s">
        <v>262</v>
      </c>
      <c r="J49">
        <v>100</v>
      </c>
      <c r="K49">
        <v>300</v>
      </c>
      <c r="L49">
        <v>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300</v>
      </c>
      <c r="AH49">
        <v>3</v>
      </c>
      <c r="AI49">
        <v>0</v>
      </c>
      <c r="AJ49">
        <v>0</v>
      </c>
      <c r="AK49">
        <v>300</v>
      </c>
      <c r="AL49">
        <v>0</v>
      </c>
      <c r="AM49">
        <v>0</v>
      </c>
      <c r="AN49">
        <v>0</v>
      </c>
      <c r="AO49">
        <v>0</v>
      </c>
      <c r="AP49">
        <v>210</v>
      </c>
      <c r="AT49" t="s">
        <v>263</v>
      </c>
      <c r="AV49" t="s">
        <v>264</v>
      </c>
    </row>
    <row r="50" spans="1:48">
      <c r="A50">
        <v>2313010585</v>
      </c>
      <c r="B50">
        <v>2313010630</v>
      </c>
      <c r="C50" t="s">
        <v>299</v>
      </c>
      <c r="D50" t="s">
        <v>300</v>
      </c>
      <c r="E50" t="s">
        <v>31</v>
      </c>
      <c r="H50" t="s">
        <v>29</v>
      </c>
      <c r="I50" t="s">
        <v>262</v>
      </c>
      <c r="J50">
        <v>100</v>
      </c>
      <c r="K50">
        <v>300</v>
      </c>
      <c r="L50">
        <v>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300</v>
      </c>
      <c r="AH50">
        <v>3</v>
      </c>
      <c r="AI50">
        <v>0</v>
      </c>
      <c r="AJ50">
        <v>0</v>
      </c>
      <c r="AK50">
        <v>300</v>
      </c>
      <c r="AL50">
        <v>0</v>
      </c>
      <c r="AM50">
        <v>0</v>
      </c>
      <c r="AN50">
        <v>0</v>
      </c>
      <c r="AO50">
        <v>0</v>
      </c>
      <c r="AP50">
        <v>210</v>
      </c>
      <c r="AT50" t="s">
        <v>263</v>
      </c>
      <c r="AV50" t="s">
        <v>264</v>
      </c>
    </row>
    <row r="51" spans="1:48">
      <c r="A51">
        <v>2313010585</v>
      </c>
      <c r="B51">
        <v>2313010631</v>
      </c>
      <c r="C51" t="s">
        <v>301</v>
      </c>
      <c r="D51" t="s">
        <v>302</v>
      </c>
      <c r="E51" t="s">
        <v>31</v>
      </c>
      <c r="H51" t="s">
        <v>29</v>
      </c>
      <c r="I51" t="s">
        <v>262</v>
      </c>
      <c r="J51">
        <v>100</v>
      </c>
      <c r="K51">
        <v>300</v>
      </c>
      <c r="L51">
        <v>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300</v>
      </c>
      <c r="AH51">
        <v>3</v>
      </c>
      <c r="AI51">
        <v>0</v>
      </c>
      <c r="AJ51">
        <v>0</v>
      </c>
      <c r="AK51">
        <v>300</v>
      </c>
      <c r="AL51">
        <v>0</v>
      </c>
      <c r="AM51">
        <v>0</v>
      </c>
      <c r="AN51">
        <v>0</v>
      </c>
      <c r="AO51">
        <v>0</v>
      </c>
      <c r="AP51">
        <v>210</v>
      </c>
      <c r="AT51" t="s">
        <v>263</v>
      </c>
      <c r="AV51" t="s">
        <v>264</v>
      </c>
    </row>
    <row r="52" spans="1:48">
      <c r="A52">
        <v>2313010585</v>
      </c>
      <c r="B52">
        <v>2313010632</v>
      </c>
      <c r="C52" t="s">
        <v>303</v>
      </c>
      <c r="D52" t="s">
        <v>304</v>
      </c>
      <c r="E52" t="s">
        <v>31</v>
      </c>
      <c r="H52" t="s">
        <v>29</v>
      </c>
      <c r="I52" t="s">
        <v>262</v>
      </c>
      <c r="J52">
        <v>100</v>
      </c>
      <c r="K52">
        <v>300</v>
      </c>
      <c r="L52">
        <v>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300</v>
      </c>
      <c r="AH52">
        <v>3</v>
      </c>
      <c r="AI52">
        <v>0</v>
      </c>
      <c r="AJ52">
        <v>0</v>
      </c>
      <c r="AK52">
        <v>300</v>
      </c>
      <c r="AL52">
        <v>0</v>
      </c>
      <c r="AM52">
        <v>0</v>
      </c>
      <c r="AN52">
        <v>0</v>
      </c>
      <c r="AO52">
        <v>0</v>
      </c>
      <c r="AP52">
        <v>210</v>
      </c>
      <c r="AT52" t="s">
        <v>263</v>
      </c>
      <c r="AV52" t="s">
        <v>264</v>
      </c>
    </row>
    <row r="53" spans="1:48">
      <c r="A53">
        <v>2313010585</v>
      </c>
      <c r="B53">
        <v>2313010633</v>
      </c>
      <c r="C53" t="s">
        <v>305</v>
      </c>
      <c r="D53" t="s">
        <v>306</v>
      </c>
      <c r="E53" t="s">
        <v>31</v>
      </c>
      <c r="H53" t="s">
        <v>29</v>
      </c>
      <c r="I53" t="s">
        <v>262</v>
      </c>
      <c r="J53">
        <v>100</v>
      </c>
      <c r="K53">
        <v>300</v>
      </c>
      <c r="L53">
        <v>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300</v>
      </c>
      <c r="AH53">
        <v>3</v>
      </c>
      <c r="AI53">
        <v>0</v>
      </c>
      <c r="AJ53">
        <v>0</v>
      </c>
      <c r="AK53">
        <v>300</v>
      </c>
      <c r="AL53">
        <v>0</v>
      </c>
      <c r="AM53">
        <v>0</v>
      </c>
      <c r="AN53">
        <v>0</v>
      </c>
      <c r="AO53">
        <v>0</v>
      </c>
      <c r="AP53">
        <v>210</v>
      </c>
      <c r="AT53" t="s">
        <v>263</v>
      </c>
      <c r="AV53" t="s">
        <v>264</v>
      </c>
    </row>
    <row r="54" spans="1:48">
      <c r="A54">
        <v>2313010585</v>
      </c>
      <c r="B54">
        <v>2313010634</v>
      </c>
      <c r="C54" t="s">
        <v>307</v>
      </c>
      <c r="D54" t="s">
        <v>308</v>
      </c>
      <c r="E54" t="s">
        <v>31</v>
      </c>
      <c r="H54" t="s">
        <v>29</v>
      </c>
      <c r="I54" t="s">
        <v>262</v>
      </c>
      <c r="J54">
        <v>100</v>
      </c>
      <c r="K54">
        <v>200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200</v>
      </c>
      <c r="AH54">
        <v>2</v>
      </c>
      <c r="AI54">
        <v>0</v>
      </c>
      <c r="AJ54">
        <v>0</v>
      </c>
      <c r="AK54">
        <v>200</v>
      </c>
      <c r="AL54">
        <v>0</v>
      </c>
      <c r="AM54">
        <v>0</v>
      </c>
      <c r="AN54">
        <v>0</v>
      </c>
      <c r="AO54">
        <v>0</v>
      </c>
      <c r="AP54">
        <v>140</v>
      </c>
      <c r="AT54" t="s">
        <v>263</v>
      </c>
      <c r="AV54" t="s">
        <v>264</v>
      </c>
    </row>
    <row r="55" spans="1:48">
      <c r="A55">
        <v>2313010585</v>
      </c>
      <c r="B55">
        <v>2313010635</v>
      </c>
      <c r="C55" t="s">
        <v>309</v>
      </c>
      <c r="D55" t="s">
        <v>310</v>
      </c>
      <c r="E55" t="s">
        <v>31</v>
      </c>
      <c r="H55" t="s">
        <v>29</v>
      </c>
      <c r="I55" t="s">
        <v>262</v>
      </c>
      <c r="J55">
        <v>100</v>
      </c>
      <c r="K55">
        <v>200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200</v>
      </c>
      <c r="AH55">
        <v>2</v>
      </c>
      <c r="AI55">
        <v>0</v>
      </c>
      <c r="AJ55">
        <v>0</v>
      </c>
      <c r="AK55">
        <v>200</v>
      </c>
      <c r="AL55">
        <v>0</v>
      </c>
      <c r="AM55">
        <v>0</v>
      </c>
      <c r="AN55">
        <v>0</v>
      </c>
      <c r="AO55">
        <v>0</v>
      </c>
      <c r="AP55">
        <v>140</v>
      </c>
      <c r="AT55" t="s">
        <v>263</v>
      </c>
      <c r="AV55" t="s">
        <v>264</v>
      </c>
    </row>
    <row r="56" spans="1:48">
      <c r="A56">
        <v>2313010585</v>
      </c>
      <c r="B56">
        <v>2313010636</v>
      </c>
      <c r="C56" t="s">
        <v>311</v>
      </c>
      <c r="D56" t="s">
        <v>312</v>
      </c>
      <c r="E56" t="s">
        <v>31</v>
      </c>
      <c r="H56" t="s">
        <v>29</v>
      </c>
      <c r="I56" t="s">
        <v>262</v>
      </c>
      <c r="J56">
        <v>100</v>
      </c>
      <c r="K56">
        <v>200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200</v>
      </c>
      <c r="AH56">
        <v>2</v>
      </c>
      <c r="AI56">
        <v>0</v>
      </c>
      <c r="AJ56">
        <v>0</v>
      </c>
      <c r="AK56">
        <v>200</v>
      </c>
      <c r="AL56">
        <v>0</v>
      </c>
      <c r="AM56">
        <v>0</v>
      </c>
      <c r="AN56">
        <v>0</v>
      </c>
      <c r="AO56">
        <v>0</v>
      </c>
      <c r="AP56">
        <v>140</v>
      </c>
      <c r="AT56" t="s">
        <v>263</v>
      </c>
      <c r="AV56" t="s">
        <v>264</v>
      </c>
    </row>
    <row r="57" spans="1:48">
      <c r="A57">
        <v>2313010585</v>
      </c>
      <c r="B57">
        <v>2313010637</v>
      </c>
      <c r="C57" t="s">
        <v>313</v>
      </c>
      <c r="D57" t="s">
        <v>314</v>
      </c>
      <c r="E57" t="s">
        <v>31</v>
      </c>
      <c r="H57" t="s">
        <v>29</v>
      </c>
      <c r="I57" t="s">
        <v>262</v>
      </c>
      <c r="J57">
        <v>100</v>
      </c>
      <c r="K57">
        <v>200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200</v>
      </c>
      <c r="AH57">
        <v>2</v>
      </c>
      <c r="AI57">
        <v>0</v>
      </c>
      <c r="AJ57">
        <v>0</v>
      </c>
      <c r="AK57">
        <v>200</v>
      </c>
      <c r="AL57">
        <v>0</v>
      </c>
      <c r="AM57">
        <v>0</v>
      </c>
      <c r="AN57">
        <v>0</v>
      </c>
      <c r="AO57">
        <v>0</v>
      </c>
      <c r="AP57">
        <v>140</v>
      </c>
      <c r="AT57" t="s">
        <v>263</v>
      </c>
      <c r="AV57" t="s">
        <v>264</v>
      </c>
    </row>
    <row r="58" spans="1:48">
      <c r="A58">
        <v>2313010585</v>
      </c>
      <c r="B58">
        <v>2313010638</v>
      </c>
      <c r="C58" t="s">
        <v>315</v>
      </c>
      <c r="D58" t="s">
        <v>316</v>
      </c>
      <c r="E58" t="s">
        <v>31</v>
      </c>
      <c r="H58" t="s">
        <v>29</v>
      </c>
      <c r="I58" t="s">
        <v>262</v>
      </c>
      <c r="J58">
        <v>100</v>
      </c>
      <c r="K58">
        <v>200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200</v>
      </c>
      <c r="AH58">
        <v>2</v>
      </c>
      <c r="AI58">
        <v>0</v>
      </c>
      <c r="AJ58">
        <v>0</v>
      </c>
      <c r="AK58">
        <v>200</v>
      </c>
      <c r="AL58">
        <v>0</v>
      </c>
      <c r="AM58">
        <v>0</v>
      </c>
      <c r="AN58">
        <v>0</v>
      </c>
      <c r="AO58">
        <v>0</v>
      </c>
      <c r="AP58">
        <v>140</v>
      </c>
      <c r="AT58" t="s">
        <v>263</v>
      </c>
      <c r="AV58" t="s">
        <v>264</v>
      </c>
    </row>
    <row r="59" spans="1:48">
      <c r="A59">
        <v>2313010585</v>
      </c>
      <c r="B59">
        <v>2313010639</v>
      </c>
      <c r="C59" t="s">
        <v>317</v>
      </c>
      <c r="D59" t="s">
        <v>318</v>
      </c>
      <c r="E59" t="s">
        <v>31</v>
      </c>
      <c r="H59" t="s">
        <v>29</v>
      </c>
      <c r="I59" t="s">
        <v>262</v>
      </c>
      <c r="J59">
        <v>100</v>
      </c>
      <c r="K59">
        <v>200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200</v>
      </c>
      <c r="AH59">
        <v>2</v>
      </c>
      <c r="AI59">
        <v>0</v>
      </c>
      <c r="AJ59">
        <v>0</v>
      </c>
      <c r="AK59">
        <v>200</v>
      </c>
      <c r="AL59">
        <v>0</v>
      </c>
      <c r="AM59">
        <v>0</v>
      </c>
      <c r="AN59">
        <v>0</v>
      </c>
      <c r="AO59">
        <v>0</v>
      </c>
      <c r="AP59">
        <v>140</v>
      </c>
      <c r="AT59" t="s">
        <v>263</v>
      </c>
      <c r="AV59" t="s">
        <v>264</v>
      </c>
    </row>
    <row r="60" spans="1:48">
      <c r="A60">
        <v>2313010585</v>
      </c>
      <c r="B60">
        <v>2313010642</v>
      </c>
      <c r="C60" t="s">
        <v>319</v>
      </c>
      <c r="D60" t="s">
        <v>320</v>
      </c>
      <c r="E60" t="s">
        <v>31</v>
      </c>
      <c r="H60" t="s">
        <v>29</v>
      </c>
      <c r="I60" t="s">
        <v>262</v>
      </c>
      <c r="J60">
        <v>100</v>
      </c>
      <c r="K60">
        <v>200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200</v>
      </c>
      <c r="AH60">
        <v>2</v>
      </c>
      <c r="AI60">
        <v>0</v>
      </c>
      <c r="AJ60">
        <v>0</v>
      </c>
      <c r="AK60">
        <v>200</v>
      </c>
      <c r="AL60">
        <v>0</v>
      </c>
      <c r="AM60">
        <v>0</v>
      </c>
      <c r="AN60">
        <v>0</v>
      </c>
      <c r="AO60">
        <v>0</v>
      </c>
      <c r="AP60">
        <v>140</v>
      </c>
      <c r="AT60" t="s">
        <v>263</v>
      </c>
      <c r="AV60" t="s">
        <v>264</v>
      </c>
    </row>
    <row r="61" spans="1:48">
      <c r="A61">
        <v>2313010585</v>
      </c>
      <c r="B61">
        <v>2313010643</v>
      </c>
      <c r="C61" t="s">
        <v>321</v>
      </c>
      <c r="D61" t="s">
        <v>322</v>
      </c>
      <c r="E61" t="s">
        <v>31</v>
      </c>
      <c r="H61" t="s">
        <v>29</v>
      </c>
      <c r="I61" t="s">
        <v>262</v>
      </c>
      <c r="J61">
        <v>100</v>
      </c>
      <c r="K61">
        <v>200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200</v>
      </c>
      <c r="AH61">
        <v>2</v>
      </c>
      <c r="AI61">
        <v>0</v>
      </c>
      <c r="AJ61">
        <v>0</v>
      </c>
      <c r="AK61">
        <v>200</v>
      </c>
      <c r="AL61">
        <v>0</v>
      </c>
      <c r="AM61">
        <v>0</v>
      </c>
      <c r="AN61">
        <v>0</v>
      </c>
      <c r="AO61">
        <v>0</v>
      </c>
      <c r="AP61">
        <v>140</v>
      </c>
      <c r="AT61" t="s">
        <v>263</v>
      </c>
      <c r="AV61" t="s">
        <v>264</v>
      </c>
    </row>
    <row r="62" spans="1:48">
      <c r="A62">
        <v>2313010585</v>
      </c>
      <c r="B62">
        <v>2313010644</v>
      </c>
      <c r="C62" t="s">
        <v>323</v>
      </c>
      <c r="D62" t="s">
        <v>324</v>
      </c>
      <c r="E62" t="s">
        <v>31</v>
      </c>
      <c r="H62" t="s">
        <v>29</v>
      </c>
      <c r="I62" t="s">
        <v>262</v>
      </c>
      <c r="J62">
        <v>100</v>
      </c>
      <c r="K62">
        <v>200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200</v>
      </c>
      <c r="AH62">
        <v>2</v>
      </c>
      <c r="AI62">
        <v>0</v>
      </c>
      <c r="AJ62">
        <v>0</v>
      </c>
      <c r="AK62">
        <v>200</v>
      </c>
      <c r="AL62">
        <v>0</v>
      </c>
      <c r="AM62">
        <v>0</v>
      </c>
      <c r="AN62">
        <v>0</v>
      </c>
      <c r="AO62">
        <v>0</v>
      </c>
      <c r="AP62">
        <v>140</v>
      </c>
      <c r="AT62" t="s">
        <v>263</v>
      </c>
      <c r="AV62" t="s">
        <v>264</v>
      </c>
    </row>
    <row r="63" spans="1:48">
      <c r="A63">
        <v>2313010911</v>
      </c>
      <c r="B63">
        <v>2313010936</v>
      </c>
      <c r="C63" t="s">
        <v>325</v>
      </c>
      <c r="D63" t="s">
        <v>326</v>
      </c>
      <c r="E63" t="s">
        <v>31</v>
      </c>
      <c r="H63" t="s">
        <v>29</v>
      </c>
      <c r="I63" t="s">
        <v>108</v>
      </c>
      <c r="J63">
        <v>100</v>
      </c>
      <c r="K63">
        <v>200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200</v>
      </c>
      <c r="AH63">
        <v>2</v>
      </c>
      <c r="AI63">
        <v>0</v>
      </c>
      <c r="AJ63">
        <v>0</v>
      </c>
      <c r="AK63">
        <v>200</v>
      </c>
      <c r="AL63">
        <v>0</v>
      </c>
      <c r="AM63">
        <v>0</v>
      </c>
      <c r="AN63">
        <v>0</v>
      </c>
      <c r="AO63">
        <v>0</v>
      </c>
      <c r="AP63">
        <v>140</v>
      </c>
      <c r="AT63" t="s">
        <v>327</v>
      </c>
      <c r="AV63" t="s">
        <v>264</v>
      </c>
    </row>
    <row r="64" spans="1:48">
      <c r="A64">
        <v>2313010911</v>
      </c>
      <c r="B64">
        <v>2313010937</v>
      </c>
      <c r="C64" t="s">
        <v>328</v>
      </c>
      <c r="D64" t="s">
        <v>329</v>
      </c>
      <c r="E64" t="s">
        <v>31</v>
      </c>
      <c r="H64" t="s">
        <v>29</v>
      </c>
      <c r="I64" t="s">
        <v>108</v>
      </c>
      <c r="J64">
        <v>100</v>
      </c>
      <c r="K64">
        <v>200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200</v>
      </c>
      <c r="AH64">
        <v>2</v>
      </c>
      <c r="AI64">
        <v>0</v>
      </c>
      <c r="AJ64">
        <v>0</v>
      </c>
      <c r="AK64">
        <v>200</v>
      </c>
      <c r="AL64">
        <v>0</v>
      </c>
      <c r="AM64">
        <v>0</v>
      </c>
      <c r="AN64">
        <v>0</v>
      </c>
      <c r="AO64">
        <v>0</v>
      </c>
      <c r="AP64">
        <v>140</v>
      </c>
      <c r="AT64" t="s">
        <v>327</v>
      </c>
      <c r="AV64" t="s">
        <v>264</v>
      </c>
    </row>
    <row r="65" spans="1:48">
      <c r="A65">
        <v>2313010911</v>
      </c>
      <c r="B65">
        <v>2313010938</v>
      </c>
      <c r="C65" t="s">
        <v>330</v>
      </c>
      <c r="D65" t="s">
        <v>261</v>
      </c>
      <c r="E65" t="s">
        <v>31</v>
      </c>
      <c r="H65" t="s">
        <v>29</v>
      </c>
      <c r="I65" t="s">
        <v>108</v>
      </c>
      <c r="J65">
        <v>100</v>
      </c>
      <c r="K65">
        <v>200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200</v>
      </c>
      <c r="AH65">
        <v>2</v>
      </c>
      <c r="AI65">
        <v>0</v>
      </c>
      <c r="AJ65">
        <v>0</v>
      </c>
      <c r="AK65">
        <v>200</v>
      </c>
      <c r="AL65">
        <v>0</v>
      </c>
      <c r="AM65">
        <v>0</v>
      </c>
      <c r="AN65">
        <v>0</v>
      </c>
      <c r="AO65">
        <v>0</v>
      </c>
      <c r="AP65">
        <v>140</v>
      </c>
      <c r="AT65" t="s">
        <v>327</v>
      </c>
      <c r="AV65" t="s">
        <v>264</v>
      </c>
    </row>
    <row r="66" spans="1:48">
      <c r="A66">
        <v>2313010911</v>
      </c>
      <c r="B66">
        <v>2313010939</v>
      </c>
      <c r="C66" t="s">
        <v>331</v>
      </c>
      <c r="D66" t="s">
        <v>266</v>
      </c>
      <c r="E66" t="s">
        <v>31</v>
      </c>
      <c r="H66" t="s">
        <v>29</v>
      </c>
      <c r="I66" t="s">
        <v>108</v>
      </c>
      <c r="J66">
        <v>100</v>
      </c>
      <c r="K66">
        <v>200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200</v>
      </c>
      <c r="AH66">
        <v>2</v>
      </c>
      <c r="AI66">
        <v>0</v>
      </c>
      <c r="AJ66">
        <v>0</v>
      </c>
      <c r="AK66">
        <v>200</v>
      </c>
      <c r="AL66">
        <v>0</v>
      </c>
      <c r="AM66">
        <v>0</v>
      </c>
      <c r="AN66">
        <v>0</v>
      </c>
      <c r="AO66">
        <v>0</v>
      </c>
      <c r="AP66">
        <v>140</v>
      </c>
      <c r="AT66" t="s">
        <v>327</v>
      </c>
      <c r="AV66" t="s">
        <v>264</v>
      </c>
    </row>
    <row r="67" spans="1:48">
      <c r="A67">
        <v>2313010911</v>
      </c>
      <c r="B67">
        <v>2313010940</v>
      </c>
      <c r="C67" t="s">
        <v>332</v>
      </c>
      <c r="D67" t="s">
        <v>268</v>
      </c>
      <c r="E67" t="s">
        <v>31</v>
      </c>
      <c r="H67" t="s">
        <v>29</v>
      </c>
      <c r="I67" t="s">
        <v>108</v>
      </c>
      <c r="J67">
        <v>100</v>
      </c>
      <c r="K67">
        <v>200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200</v>
      </c>
      <c r="AH67">
        <v>2</v>
      </c>
      <c r="AI67">
        <v>0</v>
      </c>
      <c r="AJ67">
        <v>0</v>
      </c>
      <c r="AK67">
        <v>200</v>
      </c>
      <c r="AL67">
        <v>0</v>
      </c>
      <c r="AM67">
        <v>0</v>
      </c>
      <c r="AN67">
        <v>0</v>
      </c>
      <c r="AO67">
        <v>0</v>
      </c>
      <c r="AP67">
        <v>140</v>
      </c>
      <c r="AT67" t="s">
        <v>327</v>
      </c>
      <c r="AV67" t="s">
        <v>264</v>
      </c>
    </row>
    <row r="68" spans="1:48">
      <c r="A68">
        <v>2313010911</v>
      </c>
      <c r="B68">
        <v>2313010941</v>
      </c>
      <c r="C68" t="s">
        <v>333</v>
      </c>
      <c r="D68" t="s">
        <v>270</v>
      </c>
      <c r="E68" t="s">
        <v>31</v>
      </c>
      <c r="H68" t="s">
        <v>29</v>
      </c>
      <c r="I68" t="s">
        <v>108</v>
      </c>
      <c r="J68">
        <v>100</v>
      </c>
      <c r="K68">
        <v>200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200</v>
      </c>
      <c r="AH68">
        <v>2</v>
      </c>
      <c r="AI68">
        <v>0</v>
      </c>
      <c r="AJ68">
        <v>0</v>
      </c>
      <c r="AK68">
        <v>200</v>
      </c>
      <c r="AL68">
        <v>0</v>
      </c>
      <c r="AM68">
        <v>0</v>
      </c>
      <c r="AN68">
        <v>0</v>
      </c>
      <c r="AO68">
        <v>0</v>
      </c>
      <c r="AP68">
        <v>140</v>
      </c>
      <c r="AT68" t="s">
        <v>327</v>
      </c>
      <c r="AV68" t="s">
        <v>264</v>
      </c>
    </row>
    <row r="69" spans="1:48">
      <c r="A69">
        <v>2313010911</v>
      </c>
      <c r="B69">
        <v>2313010942</v>
      </c>
      <c r="C69" t="s">
        <v>334</v>
      </c>
      <c r="D69" t="s">
        <v>272</v>
      </c>
      <c r="E69" t="s">
        <v>31</v>
      </c>
      <c r="H69" t="s">
        <v>29</v>
      </c>
      <c r="I69" t="s">
        <v>108</v>
      </c>
      <c r="J69">
        <v>100</v>
      </c>
      <c r="K69">
        <v>200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200</v>
      </c>
      <c r="AH69">
        <v>2</v>
      </c>
      <c r="AI69">
        <v>0</v>
      </c>
      <c r="AJ69">
        <v>0</v>
      </c>
      <c r="AK69">
        <v>200</v>
      </c>
      <c r="AL69">
        <v>0</v>
      </c>
      <c r="AM69">
        <v>0</v>
      </c>
      <c r="AN69">
        <v>0</v>
      </c>
      <c r="AO69">
        <v>0</v>
      </c>
      <c r="AP69">
        <v>140</v>
      </c>
      <c r="AT69" t="s">
        <v>327</v>
      </c>
      <c r="AV69" t="s">
        <v>264</v>
      </c>
    </row>
    <row r="70" spans="1:48">
      <c r="A70">
        <v>2313010911</v>
      </c>
      <c r="B70">
        <v>2313010943</v>
      </c>
      <c r="C70" t="s">
        <v>335</v>
      </c>
      <c r="D70" t="s">
        <v>274</v>
      </c>
      <c r="E70" t="s">
        <v>31</v>
      </c>
      <c r="H70" t="s">
        <v>29</v>
      </c>
      <c r="I70" t="s">
        <v>108</v>
      </c>
      <c r="J70">
        <v>100</v>
      </c>
      <c r="K70">
        <v>200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200</v>
      </c>
      <c r="AH70">
        <v>2</v>
      </c>
      <c r="AI70">
        <v>0</v>
      </c>
      <c r="AJ70">
        <v>0</v>
      </c>
      <c r="AK70">
        <v>200</v>
      </c>
      <c r="AL70">
        <v>0</v>
      </c>
      <c r="AM70">
        <v>0</v>
      </c>
      <c r="AN70">
        <v>0</v>
      </c>
      <c r="AO70">
        <v>0</v>
      </c>
      <c r="AP70">
        <v>140</v>
      </c>
      <c r="AT70" t="s">
        <v>327</v>
      </c>
      <c r="AV70" t="s">
        <v>264</v>
      </c>
    </row>
    <row r="71" spans="1:48">
      <c r="A71">
        <v>2313010911</v>
      </c>
      <c r="B71">
        <v>2313010944</v>
      </c>
      <c r="C71" t="s">
        <v>336</v>
      </c>
      <c r="D71" t="s">
        <v>276</v>
      </c>
      <c r="E71" t="s">
        <v>31</v>
      </c>
      <c r="H71" t="s">
        <v>29</v>
      </c>
      <c r="I71" t="s">
        <v>108</v>
      </c>
      <c r="J71">
        <v>100</v>
      </c>
      <c r="K71">
        <v>200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200</v>
      </c>
      <c r="AH71">
        <v>2</v>
      </c>
      <c r="AI71">
        <v>0</v>
      </c>
      <c r="AJ71">
        <v>0</v>
      </c>
      <c r="AK71">
        <v>200</v>
      </c>
      <c r="AL71">
        <v>0</v>
      </c>
      <c r="AM71">
        <v>0</v>
      </c>
      <c r="AN71">
        <v>0</v>
      </c>
      <c r="AO71">
        <v>0</v>
      </c>
      <c r="AP71">
        <v>140</v>
      </c>
      <c r="AT71" t="s">
        <v>327</v>
      </c>
      <c r="AV71" t="s">
        <v>264</v>
      </c>
    </row>
    <row r="72" spans="1:48">
      <c r="A72">
        <v>2313010911</v>
      </c>
      <c r="B72">
        <v>2313010945</v>
      </c>
      <c r="C72" t="s">
        <v>337</v>
      </c>
      <c r="D72" t="s">
        <v>278</v>
      </c>
      <c r="E72" t="s">
        <v>31</v>
      </c>
      <c r="H72" t="s">
        <v>29</v>
      </c>
      <c r="I72" t="s">
        <v>108</v>
      </c>
      <c r="J72">
        <v>100</v>
      </c>
      <c r="K72">
        <v>200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200</v>
      </c>
      <c r="AH72">
        <v>2</v>
      </c>
      <c r="AI72">
        <v>0</v>
      </c>
      <c r="AJ72">
        <v>0</v>
      </c>
      <c r="AK72">
        <v>200</v>
      </c>
      <c r="AL72">
        <v>0</v>
      </c>
      <c r="AM72">
        <v>0</v>
      </c>
      <c r="AN72">
        <v>0</v>
      </c>
      <c r="AO72">
        <v>0</v>
      </c>
      <c r="AP72">
        <v>140</v>
      </c>
      <c r="AT72" t="s">
        <v>327</v>
      </c>
      <c r="AV72" t="s">
        <v>264</v>
      </c>
    </row>
    <row r="73" spans="1:48">
      <c r="A73">
        <v>2313010911</v>
      </c>
      <c r="B73">
        <v>2313010946</v>
      </c>
      <c r="C73" t="s">
        <v>338</v>
      </c>
      <c r="D73" t="s">
        <v>280</v>
      </c>
      <c r="E73" t="s">
        <v>31</v>
      </c>
      <c r="H73" t="s">
        <v>29</v>
      </c>
      <c r="I73" t="s">
        <v>108</v>
      </c>
      <c r="J73">
        <v>100</v>
      </c>
      <c r="K73">
        <v>200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200</v>
      </c>
      <c r="AH73">
        <v>2</v>
      </c>
      <c r="AI73">
        <v>0</v>
      </c>
      <c r="AJ73">
        <v>0</v>
      </c>
      <c r="AK73">
        <v>200</v>
      </c>
      <c r="AL73">
        <v>0</v>
      </c>
      <c r="AM73">
        <v>0</v>
      </c>
      <c r="AN73">
        <v>0</v>
      </c>
      <c r="AO73">
        <v>0</v>
      </c>
      <c r="AP73">
        <v>140</v>
      </c>
      <c r="AT73" t="s">
        <v>327</v>
      </c>
      <c r="AV73" t="s">
        <v>264</v>
      </c>
    </row>
    <row r="74" spans="1:48">
      <c r="A74">
        <v>2313010911</v>
      </c>
      <c r="B74">
        <v>2313010947</v>
      </c>
      <c r="C74" t="s">
        <v>339</v>
      </c>
      <c r="D74" t="s">
        <v>282</v>
      </c>
      <c r="E74" t="s">
        <v>31</v>
      </c>
      <c r="H74" t="s">
        <v>29</v>
      </c>
      <c r="I74" t="s">
        <v>108</v>
      </c>
      <c r="J74">
        <v>100</v>
      </c>
      <c r="K74">
        <v>200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200</v>
      </c>
      <c r="AH74">
        <v>2</v>
      </c>
      <c r="AI74">
        <v>0</v>
      </c>
      <c r="AJ74">
        <v>0</v>
      </c>
      <c r="AK74">
        <v>200</v>
      </c>
      <c r="AL74">
        <v>0</v>
      </c>
      <c r="AM74">
        <v>0</v>
      </c>
      <c r="AN74">
        <v>0</v>
      </c>
      <c r="AO74">
        <v>0</v>
      </c>
      <c r="AP74">
        <v>140</v>
      </c>
      <c r="AT74" t="s">
        <v>327</v>
      </c>
      <c r="AV74" t="s">
        <v>264</v>
      </c>
    </row>
    <row r="75" spans="1:48">
      <c r="A75">
        <v>2313010911</v>
      </c>
      <c r="B75">
        <v>2313010948</v>
      </c>
      <c r="C75" t="s">
        <v>340</v>
      </c>
      <c r="D75" t="s">
        <v>284</v>
      </c>
      <c r="E75" t="s">
        <v>31</v>
      </c>
      <c r="H75" t="s">
        <v>29</v>
      </c>
      <c r="I75" t="s">
        <v>108</v>
      </c>
      <c r="J75">
        <v>100</v>
      </c>
      <c r="K75">
        <v>200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200</v>
      </c>
      <c r="AH75">
        <v>2</v>
      </c>
      <c r="AI75">
        <v>0</v>
      </c>
      <c r="AJ75">
        <v>0</v>
      </c>
      <c r="AK75">
        <v>200</v>
      </c>
      <c r="AL75">
        <v>0</v>
      </c>
      <c r="AM75">
        <v>0</v>
      </c>
      <c r="AN75">
        <v>0</v>
      </c>
      <c r="AO75">
        <v>0</v>
      </c>
      <c r="AP75">
        <v>140</v>
      </c>
      <c r="AT75" t="s">
        <v>327</v>
      </c>
      <c r="AV75" t="s">
        <v>264</v>
      </c>
    </row>
    <row r="76" spans="1:48">
      <c r="A76">
        <v>2313010911</v>
      </c>
      <c r="B76">
        <v>2313010949</v>
      </c>
      <c r="C76" t="s">
        <v>341</v>
      </c>
      <c r="D76" t="s">
        <v>286</v>
      </c>
      <c r="E76" t="s">
        <v>31</v>
      </c>
      <c r="H76" t="s">
        <v>29</v>
      </c>
      <c r="I76" t="s">
        <v>108</v>
      </c>
      <c r="J76">
        <v>100</v>
      </c>
      <c r="K76">
        <v>200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200</v>
      </c>
      <c r="AH76">
        <v>2</v>
      </c>
      <c r="AI76">
        <v>0</v>
      </c>
      <c r="AJ76">
        <v>0</v>
      </c>
      <c r="AK76">
        <v>200</v>
      </c>
      <c r="AL76">
        <v>0</v>
      </c>
      <c r="AM76">
        <v>0</v>
      </c>
      <c r="AN76">
        <v>0</v>
      </c>
      <c r="AO76">
        <v>0</v>
      </c>
      <c r="AP76">
        <v>140</v>
      </c>
      <c r="AT76" t="s">
        <v>327</v>
      </c>
      <c r="AV76" t="s">
        <v>264</v>
      </c>
    </row>
    <row r="77" spans="1:48">
      <c r="A77">
        <v>2313010911</v>
      </c>
      <c r="B77">
        <v>2313010950</v>
      </c>
      <c r="C77" t="s">
        <v>342</v>
      </c>
      <c r="D77" t="s">
        <v>288</v>
      </c>
      <c r="E77" t="s">
        <v>31</v>
      </c>
      <c r="H77" t="s">
        <v>29</v>
      </c>
      <c r="I77" t="s">
        <v>108</v>
      </c>
      <c r="J77">
        <v>100</v>
      </c>
      <c r="K77">
        <v>200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200</v>
      </c>
      <c r="AH77">
        <v>2</v>
      </c>
      <c r="AI77">
        <v>0</v>
      </c>
      <c r="AJ77">
        <v>0</v>
      </c>
      <c r="AK77">
        <v>200</v>
      </c>
      <c r="AL77">
        <v>0</v>
      </c>
      <c r="AM77">
        <v>0</v>
      </c>
      <c r="AN77">
        <v>0</v>
      </c>
      <c r="AO77">
        <v>0</v>
      </c>
      <c r="AP77">
        <v>140</v>
      </c>
      <c r="AT77" t="s">
        <v>327</v>
      </c>
      <c r="AV77" t="s">
        <v>264</v>
      </c>
    </row>
    <row r="78" spans="1:48">
      <c r="A78">
        <v>2313010911</v>
      </c>
      <c r="B78">
        <v>2313010951</v>
      </c>
      <c r="C78" t="s">
        <v>343</v>
      </c>
      <c r="D78" t="s">
        <v>290</v>
      </c>
      <c r="E78" t="s">
        <v>31</v>
      </c>
      <c r="H78" t="s">
        <v>29</v>
      </c>
      <c r="I78" t="s">
        <v>108</v>
      </c>
      <c r="J78">
        <v>100</v>
      </c>
      <c r="K78">
        <v>200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200</v>
      </c>
      <c r="AH78">
        <v>2</v>
      </c>
      <c r="AI78">
        <v>0</v>
      </c>
      <c r="AJ78">
        <v>0</v>
      </c>
      <c r="AK78">
        <v>200</v>
      </c>
      <c r="AL78">
        <v>0</v>
      </c>
      <c r="AM78">
        <v>0</v>
      </c>
      <c r="AN78">
        <v>0</v>
      </c>
      <c r="AO78">
        <v>0</v>
      </c>
      <c r="AP78">
        <v>140</v>
      </c>
      <c r="AT78" t="s">
        <v>327</v>
      </c>
      <c r="AV78" t="s">
        <v>264</v>
      </c>
    </row>
    <row r="79" spans="1:48">
      <c r="A79">
        <v>2313010911</v>
      </c>
      <c r="B79">
        <v>2313010952</v>
      </c>
      <c r="C79" t="s">
        <v>344</v>
      </c>
      <c r="D79" t="s">
        <v>292</v>
      </c>
      <c r="E79" t="s">
        <v>31</v>
      </c>
      <c r="H79" t="s">
        <v>29</v>
      </c>
      <c r="I79" t="s">
        <v>108</v>
      </c>
      <c r="J79">
        <v>100</v>
      </c>
      <c r="K79">
        <v>200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200</v>
      </c>
      <c r="AH79">
        <v>2</v>
      </c>
      <c r="AI79">
        <v>0</v>
      </c>
      <c r="AJ79">
        <v>0</v>
      </c>
      <c r="AK79">
        <v>200</v>
      </c>
      <c r="AL79">
        <v>0</v>
      </c>
      <c r="AM79">
        <v>0</v>
      </c>
      <c r="AN79">
        <v>0</v>
      </c>
      <c r="AO79">
        <v>0</v>
      </c>
      <c r="AP79">
        <v>140</v>
      </c>
      <c r="AT79" t="s">
        <v>327</v>
      </c>
      <c r="AV79" t="s">
        <v>264</v>
      </c>
    </row>
    <row r="80" spans="1:48">
      <c r="A80">
        <v>2313010911</v>
      </c>
      <c r="B80">
        <v>2313010953</v>
      </c>
      <c r="C80" t="s">
        <v>345</v>
      </c>
      <c r="D80" t="s">
        <v>294</v>
      </c>
      <c r="E80" t="s">
        <v>31</v>
      </c>
      <c r="H80" t="s">
        <v>29</v>
      </c>
      <c r="I80" t="s">
        <v>108</v>
      </c>
      <c r="J80">
        <v>100</v>
      </c>
      <c r="K80">
        <v>200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200</v>
      </c>
      <c r="AH80">
        <v>2</v>
      </c>
      <c r="AI80">
        <v>0</v>
      </c>
      <c r="AJ80">
        <v>0</v>
      </c>
      <c r="AK80">
        <v>200</v>
      </c>
      <c r="AL80">
        <v>0</v>
      </c>
      <c r="AM80">
        <v>0</v>
      </c>
      <c r="AN80">
        <v>0</v>
      </c>
      <c r="AO80">
        <v>0</v>
      </c>
      <c r="AP80">
        <v>140</v>
      </c>
      <c r="AT80" t="s">
        <v>327</v>
      </c>
      <c r="AV80" t="s">
        <v>264</v>
      </c>
    </row>
    <row r="81" spans="1:48">
      <c r="A81">
        <v>2313010911</v>
      </c>
      <c r="B81">
        <v>2313010954</v>
      </c>
      <c r="C81" t="s">
        <v>346</v>
      </c>
      <c r="D81" t="s">
        <v>296</v>
      </c>
      <c r="E81" t="s">
        <v>31</v>
      </c>
      <c r="H81" t="s">
        <v>29</v>
      </c>
      <c r="I81" t="s">
        <v>108</v>
      </c>
      <c r="J81">
        <v>100</v>
      </c>
      <c r="K81">
        <v>200</v>
      </c>
      <c r="L81">
        <v>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200</v>
      </c>
      <c r="AH81">
        <v>2</v>
      </c>
      <c r="AI81">
        <v>0</v>
      </c>
      <c r="AJ81">
        <v>0</v>
      </c>
      <c r="AK81">
        <v>200</v>
      </c>
      <c r="AL81">
        <v>0</v>
      </c>
      <c r="AM81">
        <v>0</v>
      </c>
      <c r="AN81">
        <v>0</v>
      </c>
      <c r="AO81">
        <v>0</v>
      </c>
      <c r="AP81">
        <v>140</v>
      </c>
      <c r="AT81" t="s">
        <v>327</v>
      </c>
      <c r="AV81" t="s">
        <v>264</v>
      </c>
    </row>
    <row r="82" spans="1:48">
      <c r="A82">
        <v>2313010911</v>
      </c>
      <c r="B82">
        <v>2313010955</v>
      </c>
      <c r="C82" t="s">
        <v>347</v>
      </c>
      <c r="D82" t="s">
        <v>298</v>
      </c>
      <c r="E82" t="s">
        <v>31</v>
      </c>
      <c r="H82" t="s">
        <v>29</v>
      </c>
      <c r="I82" t="s">
        <v>108</v>
      </c>
      <c r="J82">
        <v>100</v>
      </c>
      <c r="K82">
        <v>200</v>
      </c>
      <c r="L82">
        <v>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200</v>
      </c>
      <c r="AH82">
        <v>2</v>
      </c>
      <c r="AI82">
        <v>0</v>
      </c>
      <c r="AJ82">
        <v>0</v>
      </c>
      <c r="AK82">
        <v>200</v>
      </c>
      <c r="AL82">
        <v>0</v>
      </c>
      <c r="AM82">
        <v>0</v>
      </c>
      <c r="AN82">
        <v>0</v>
      </c>
      <c r="AO82">
        <v>0</v>
      </c>
      <c r="AP82">
        <v>140</v>
      </c>
      <c r="AT82" t="s">
        <v>327</v>
      </c>
      <c r="AV82" t="s">
        <v>264</v>
      </c>
    </row>
    <row r="83" spans="1:48">
      <c r="A83">
        <v>2313010911</v>
      </c>
      <c r="B83">
        <v>2313010956</v>
      </c>
      <c r="C83" t="s">
        <v>348</v>
      </c>
      <c r="D83" t="s">
        <v>300</v>
      </c>
      <c r="E83" t="s">
        <v>31</v>
      </c>
      <c r="H83" t="s">
        <v>29</v>
      </c>
      <c r="I83" t="s">
        <v>108</v>
      </c>
      <c r="J83">
        <v>100</v>
      </c>
      <c r="K83">
        <v>200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200</v>
      </c>
      <c r="AH83">
        <v>2</v>
      </c>
      <c r="AI83">
        <v>0</v>
      </c>
      <c r="AJ83">
        <v>0</v>
      </c>
      <c r="AK83">
        <v>200</v>
      </c>
      <c r="AL83">
        <v>0</v>
      </c>
      <c r="AM83">
        <v>0</v>
      </c>
      <c r="AN83">
        <v>0</v>
      </c>
      <c r="AO83">
        <v>0</v>
      </c>
      <c r="AP83">
        <v>140</v>
      </c>
      <c r="AT83" t="s">
        <v>327</v>
      </c>
      <c r="AV83" t="s">
        <v>264</v>
      </c>
    </row>
    <row r="84" spans="1:48">
      <c r="A84">
        <v>2313010911</v>
      </c>
      <c r="B84">
        <v>2313010957</v>
      </c>
      <c r="C84" t="s">
        <v>349</v>
      </c>
      <c r="D84" t="s">
        <v>302</v>
      </c>
      <c r="E84" t="s">
        <v>31</v>
      </c>
      <c r="H84" t="s">
        <v>29</v>
      </c>
      <c r="I84" t="s">
        <v>108</v>
      </c>
      <c r="J84">
        <v>100</v>
      </c>
      <c r="K84">
        <v>200</v>
      </c>
      <c r="L84">
        <v>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200</v>
      </c>
      <c r="AH84">
        <v>2</v>
      </c>
      <c r="AI84">
        <v>0</v>
      </c>
      <c r="AJ84">
        <v>0</v>
      </c>
      <c r="AK84">
        <v>200</v>
      </c>
      <c r="AL84">
        <v>0</v>
      </c>
      <c r="AM84">
        <v>0</v>
      </c>
      <c r="AN84">
        <v>0</v>
      </c>
      <c r="AO84">
        <v>0</v>
      </c>
      <c r="AP84">
        <v>140</v>
      </c>
      <c r="AT84" t="s">
        <v>327</v>
      </c>
      <c r="AV84" t="s">
        <v>264</v>
      </c>
    </row>
    <row r="85" spans="1:48">
      <c r="A85">
        <v>2313010911</v>
      </c>
      <c r="B85">
        <v>2313010958</v>
      </c>
      <c r="C85" t="s">
        <v>350</v>
      </c>
      <c r="D85" t="s">
        <v>304</v>
      </c>
      <c r="E85" t="s">
        <v>31</v>
      </c>
      <c r="H85" t="s">
        <v>29</v>
      </c>
      <c r="I85" t="s">
        <v>108</v>
      </c>
      <c r="J85">
        <v>100</v>
      </c>
      <c r="K85">
        <v>200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200</v>
      </c>
      <c r="AH85">
        <v>2</v>
      </c>
      <c r="AI85">
        <v>0</v>
      </c>
      <c r="AJ85">
        <v>0</v>
      </c>
      <c r="AK85">
        <v>200</v>
      </c>
      <c r="AL85">
        <v>0</v>
      </c>
      <c r="AM85">
        <v>0</v>
      </c>
      <c r="AN85">
        <v>0</v>
      </c>
      <c r="AO85">
        <v>0</v>
      </c>
      <c r="AP85">
        <v>140</v>
      </c>
      <c r="AT85" t="s">
        <v>327</v>
      </c>
      <c r="AV85" t="s">
        <v>264</v>
      </c>
    </row>
    <row r="86" spans="1:48">
      <c r="A86">
        <v>2313010911</v>
      </c>
      <c r="B86">
        <v>2313010959</v>
      </c>
      <c r="C86" t="s">
        <v>351</v>
      </c>
      <c r="D86" t="s">
        <v>306</v>
      </c>
      <c r="E86" t="s">
        <v>31</v>
      </c>
      <c r="H86" t="s">
        <v>29</v>
      </c>
      <c r="I86" t="s">
        <v>108</v>
      </c>
      <c r="J86">
        <v>100</v>
      </c>
      <c r="K86">
        <v>200</v>
      </c>
      <c r="L86">
        <v>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200</v>
      </c>
      <c r="AH86">
        <v>2</v>
      </c>
      <c r="AI86">
        <v>0</v>
      </c>
      <c r="AJ86">
        <v>0</v>
      </c>
      <c r="AK86">
        <v>200</v>
      </c>
      <c r="AL86">
        <v>0</v>
      </c>
      <c r="AM86">
        <v>0</v>
      </c>
      <c r="AN86">
        <v>0</v>
      </c>
      <c r="AO86">
        <v>0</v>
      </c>
      <c r="AP86">
        <v>140</v>
      </c>
      <c r="AT86" t="s">
        <v>327</v>
      </c>
      <c r="AV86" t="s">
        <v>264</v>
      </c>
    </row>
    <row r="87" spans="1:48">
      <c r="A87">
        <v>2313010911</v>
      </c>
      <c r="B87">
        <v>2313010960</v>
      </c>
      <c r="C87" t="s">
        <v>352</v>
      </c>
      <c r="D87" t="s">
        <v>308</v>
      </c>
      <c r="E87" t="s">
        <v>31</v>
      </c>
      <c r="H87" t="s">
        <v>29</v>
      </c>
      <c r="I87" t="s">
        <v>108</v>
      </c>
      <c r="J87">
        <v>100</v>
      </c>
      <c r="K87">
        <v>200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200</v>
      </c>
      <c r="AH87">
        <v>2</v>
      </c>
      <c r="AI87">
        <v>0</v>
      </c>
      <c r="AJ87">
        <v>0</v>
      </c>
      <c r="AK87">
        <v>200</v>
      </c>
      <c r="AL87">
        <v>0</v>
      </c>
      <c r="AM87">
        <v>0</v>
      </c>
      <c r="AN87">
        <v>0</v>
      </c>
      <c r="AO87">
        <v>0</v>
      </c>
      <c r="AP87">
        <v>140</v>
      </c>
      <c r="AT87" t="s">
        <v>327</v>
      </c>
      <c r="AV87" t="s">
        <v>264</v>
      </c>
    </row>
    <row r="88" spans="1:48">
      <c r="A88">
        <v>2313010911</v>
      </c>
      <c r="B88">
        <v>2313010961</v>
      </c>
      <c r="C88" t="s">
        <v>353</v>
      </c>
      <c r="D88" t="s">
        <v>310</v>
      </c>
      <c r="E88" t="s">
        <v>31</v>
      </c>
      <c r="H88" t="s">
        <v>29</v>
      </c>
      <c r="I88" t="s">
        <v>108</v>
      </c>
      <c r="J88">
        <v>100</v>
      </c>
      <c r="K88">
        <v>200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200</v>
      </c>
      <c r="AH88">
        <v>2</v>
      </c>
      <c r="AI88">
        <v>0</v>
      </c>
      <c r="AJ88">
        <v>0</v>
      </c>
      <c r="AK88">
        <v>200</v>
      </c>
      <c r="AL88">
        <v>0</v>
      </c>
      <c r="AM88">
        <v>0</v>
      </c>
      <c r="AN88">
        <v>0</v>
      </c>
      <c r="AO88">
        <v>0</v>
      </c>
      <c r="AP88">
        <v>140</v>
      </c>
      <c r="AT88" t="s">
        <v>327</v>
      </c>
      <c r="AV88" t="s">
        <v>264</v>
      </c>
    </row>
    <row r="89" spans="1:48">
      <c r="A89">
        <v>2313010911</v>
      </c>
      <c r="B89">
        <v>2313010962</v>
      </c>
      <c r="C89" t="s">
        <v>354</v>
      </c>
      <c r="D89" t="s">
        <v>312</v>
      </c>
      <c r="E89" t="s">
        <v>31</v>
      </c>
      <c r="H89" t="s">
        <v>29</v>
      </c>
      <c r="I89" t="s">
        <v>108</v>
      </c>
      <c r="J89">
        <v>100</v>
      </c>
      <c r="K89">
        <v>200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200</v>
      </c>
      <c r="AH89">
        <v>2</v>
      </c>
      <c r="AI89">
        <v>0</v>
      </c>
      <c r="AJ89">
        <v>0</v>
      </c>
      <c r="AK89">
        <v>200</v>
      </c>
      <c r="AL89">
        <v>0</v>
      </c>
      <c r="AM89">
        <v>0</v>
      </c>
      <c r="AN89">
        <v>0</v>
      </c>
      <c r="AO89">
        <v>0</v>
      </c>
      <c r="AP89">
        <v>140</v>
      </c>
      <c r="AT89" t="s">
        <v>327</v>
      </c>
      <c r="AV89" t="s">
        <v>264</v>
      </c>
    </row>
    <row r="90" spans="1:48">
      <c r="A90">
        <v>2313010911</v>
      </c>
      <c r="B90">
        <v>2313010963</v>
      </c>
      <c r="C90" t="s">
        <v>355</v>
      </c>
      <c r="D90" t="s">
        <v>314</v>
      </c>
      <c r="E90" t="s">
        <v>31</v>
      </c>
      <c r="H90" t="s">
        <v>29</v>
      </c>
      <c r="I90" t="s">
        <v>108</v>
      </c>
      <c r="J90">
        <v>100</v>
      </c>
      <c r="K90">
        <v>200</v>
      </c>
      <c r="L90">
        <v>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200</v>
      </c>
      <c r="AH90">
        <v>2</v>
      </c>
      <c r="AI90">
        <v>0</v>
      </c>
      <c r="AJ90">
        <v>0</v>
      </c>
      <c r="AK90">
        <v>200</v>
      </c>
      <c r="AL90">
        <v>0</v>
      </c>
      <c r="AM90">
        <v>0</v>
      </c>
      <c r="AN90">
        <v>0</v>
      </c>
      <c r="AO90">
        <v>0</v>
      </c>
      <c r="AP90">
        <v>140</v>
      </c>
      <c r="AT90" t="s">
        <v>327</v>
      </c>
      <c r="AV90" t="s">
        <v>264</v>
      </c>
    </row>
    <row r="91" spans="1:48">
      <c r="A91">
        <v>2313010911</v>
      </c>
      <c r="B91">
        <v>2313010964</v>
      </c>
      <c r="C91" t="s">
        <v>356</v>
      </c>
      <c r="D91" t="s">
        <v>316</v>
      </c>
      <c r="E91" t="s">
        <v>31</v>
      </c>
      <c r="H91" t="s">
        <v>29</v>
      </c>
      <c r="I91" t="s">
        <v>108</v>
      </c>
      <c r="J91">
        <v>100</v>
      </c>
      <c r="K91">
        <v>200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200</v>
      </c>
      <c r="AH91">
        <v>2</v>
      </c>
      <c r="AI91">
        <v>0</v>
      </c>
      <c r="AJ91">
        <v>0</v>
      </c>
      <c r="AK91">
        <v>200</v>
      </c>
      <c r="AL91">
        <v>0</v>
      </c>
      <c r="AM91">
        <v>0</v>
      </c>
      <c r="AN91">
        <v>0</v>
      </c>
      <c r="AO91">
        <v>0</v>
      </c>
      <c r="AP91">
        <v>140</v>
      </c>
      <c r="AT91" t="s">
        <v>327</v>
      </c>
      <c r="AV91" t="s">
        <v>264</v>
      </c>
    </row>
    <row r="92" spans="1:48">
      <c r="A92">
        <v>2313010911</v>
      </c>
      <c r="B92">
        <v>2313010965</v>
      </c>
      <c r="C92" t="s">
        <v>357</v>
      </c>
      <c r="D92" t="s">
        <v>318</v>
      </c>
      <c r="E92" t="s">
        <v>31</v>
      </c>
      <c r="H92" t="s">
        <v>29</v>
      </c>
      <c r="I92" t="s">
        <v>108</v>
      </c>
      <c r="J92">
        <v>100</v>
      </c>
      <c r="K92">
        <v>200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200</v>
      </c>
      <c r="AH92">
        <v>2</v>
      </c>
      <c r="AI92">
        <v>0</v>
      </c>
      <c r="AJ92">
        <v>0</v>
      </c>
      <c r="AK92">
        <v>200</v>
      </c>
      <c r="AL92">
        <v>0</v>
      </c>
      <c r="AM92">
        <v>0</v>
      </c>
      <c r="AN92">
        <v>0</v>
      </c>
      <c r="AO92">
        <v>0</v>
      </c>
      <c r="AP92">
        <v>140</v>
      </c>
      <c r="AT92" t="s">
        <v>327</v>
      </c>
      <c r="AV92" t="s">
        <v>264</v>
      </c>
    </row>
    <row r="93" spans="1:48">
      <c r="A93">
        <v>2313010911</v>
      </c>
      <c r="B93">
        <v>2313010966</v>
      </c>
      <c r="C93" t="s">
        <v>358</v>
      </c>
      <c r="D93" t="s">
        <v>359</v>
      </c>
      <c r="E93" t="s">
        <v>31</v>
      </c>
      <c r="H93" t="s">
        <v>29</v>
      </c>
      <c r="I93" t="s">
        <v>108</v>
      </c>
      <c r="J93">
        <v>100</v>
      </c>
      <c r="K93">
        <v>200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200</v>
      </c>
      <c r="AH93">
        <v>2</v>
      </c>
      <c r="AI93">
        <v>0</v>
      </c>
      <c r="AJ93">
        <v>0</v>
      </c>
      <c r="AK93">
        <v>200</v>
      </c>
      <c r="AL93">
        <v>0</v>
      </c>
      <c r="AM93">
        <v>0</v>
      </c>
      <c r="AN93">
        <v>0</v>
      </c>
      <c r="AO93">
        <v>0</v>
      </c>
      <c r="AP93">
        <v>140</v>
      </c>
      <c r="AT93" t="s">
        <v>327</v>
      </c>
      <c r="AV93" t="s">
        <v>264</v>
      </c>
    </row>
    <row r="94" spans="1:48">
      <c r="A94">
        <v>2313010911</v>
      </c>
      <c r="B94">
        <v>2313010967</v>
      </c>
      <c r="C94" t="s">
        <v>360</v>
      </c>
      <c r="D94" t="s">
        <v>361</v>
      </c>
      <c r="E94" t="s">
        <v>31</v>
      </c>
      <c r="H94" t="s">
        <v>29</v>
      </c>
      <c r="I94" t="s">
        <v>108</v>
      </c>
      <c r="J94">
        <v>100</v>
      </c>
      <c r="K94">
        <v>200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200</v>
      </c>
      <c r="AH94">
        <v>2</v>
      </c>
      <c r="AI94">
        <v>0</v>
      </c>
      <c r="AJ94">
        <v>0</v>
      </c>
      <c r="AK94">
        <v>200</v>
      </c>
      <c r="AL94">
        <v>0</v>
      </c>
      <c r="AM94">
        <v>0</v>
      </c>
      <c r="AN94">
        <v>0</v>
      </c>
      <c r="AO94">
        <v>0</v>
      </c>
      <c r="AP94">
        <v>140</v>
      </c>
      <c r="AT94" t="s">
        <v>327</v>
      </c>
      <c r="AV94" t="s">
        <v>264</v>
      </c>
    </row>
    <row r="95" spans="1:48">
      <c r="A95">
        <v>2313010911</v>
      </c>
      <c r="B95">
        <v>2313010968</v>
      </c>
      <c r="C95" t="s">
        <v>362</v>
      </c>
      <c r="D95" t="s">
        <v>320</v>
      </c>
      <c r="E95" t="s">
        <v>31</v>
      </c>
      <c r="H95" t="s">
        <v>29</v>
      </c>
      <c r="I95" t="s">
        <v>108</v>
      </c>
      <c r="J95">
        <v>100</v>
      </c>
      <c r="K95">
        <v>200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200</v>
      </c>
      <c r="AH95">
        <v>2</v>
      </c>
      <c r="AI95">
        <v>0</v>
      </c>
      <c r="AJ95">
        <v>0</v>
      </c>
      <c r="AK95">
        <v>200</v>
      </c>
      <c r="AL95">
        <v>0</v>
      </c>
      <c r="AM95">
        <v>0</v>
      </c>
      <c r="AN95">
        <v>0</v>
      </c>
      <c r="AO95">
        <v>0</v>
      </c>
      <c r="AP95">
        <v>140</v>
      </c>
      <c r="AT95" t="s">
        <v>327</v>
      </c>
      <c r="AV95" t="s">
        <v>264</v>
      </c>
    </row>
    <row r="96" spans="1:48">
      <c r="A96">
        <v>2313010911</v>
      </c>
      <c r="B96">
        <v>2313010969</v>
      </c>
      <c r="C96" t="s">
        <v>363</v>
      </c>
      <c r="D96" t="s">
        <v>322</v>
      </c>
      <c r="E96" t="s">
        <v>31</v>
      </c>
      <c r="H96" t="s">
        <v>29</v>
      </c>
      <c r="I96" t="s">
        <v>108</v>
      </c>
      <c r="J96">
        <v>100</v>
      </c>
      <c r="K96">
        <v>200</v>
      </c>
      <c r="L96">
        <v>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200</v>
      </c>
      <c r="AH96">
        <v>2</v>
      </c>
      <c r="AI96">
        <v>0</v>
      </c>
      <c r="AJ96">
        <v>0</v>
      </c>
      <c r="AK96">
        <v>200</v>
      </c>
      <c r="AL96">
        <v>0</v>
      </c>
      <c r="AM96">
        <v>0</v>
      </c>
      <c r="AN96">
        <v>0</v>
      </c>
      <c r="AO96">
        <v>0</v>
      </c>
      <c r="AP96">
        <v>140</v>
      </c>
      <c r="AT96" t="s">
        <v>327</v>
      </c>
      <c r="AV96" t="s">
        <v>264</v>
      </c>
    </row>
    <row r="97" spans="1:48">
      <c r="A97">
        <v>2313010911</v>
      </c>
      <c r="B97">
        <v>2313010970</v>
      </c>
      <c r="C97" t="s">
        <v>364</v>
      </c>
      <c r="D97" t="s">
        <v>324</v>
      </c>
      <c r="E97" t="s">
        <v>31</v>
      </c>
      <c r="H97" t="s">
        <v>29</v>
      </c>
      <c r="I97" t="s">
        <v>108</v>
      </c>
      <c r="J97">
        <v>100</v>
      </c>
      <c r="K97">
        <v>200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200</v>
      </c>
      <c r="AH97">
        <v>2</v>
      </c>
      <c r="AI97">
        <v>0</v>
      </c>
      <c r="AJ97">
        <v>0</v>
      </c>
      <c r="AK97">
        <v>200</v>
      </c>
      <c r="AL97">
        <v>0</v>
      </c>
      <c r="AM97">
        <v>0</v>
      </c>
      <c r="AN97">
        <v>0</v>
      </c>
      <c r="AO97">
        <v>0</v>
      </c>
      <c r="AP97">
        <v>140</v>
      </c>
      <c r="AT97" t="s">
        <v>327</v>
      </c>
      <c r="AV97" t="s">
        <v>264</v>
      </c>
    </row>
    <row r="98" spans="1:48">
      <c r="A98">
        <v>2313010911</v>
      </c>
      <c r="B98">
        <v>2313010971</v>
      </c>
      <c r="C98" t="s">
        <v>365</v>
      </c>
      <c r="D98" t="s">
        <v>366</v>
      </c>
      <c r="E98" t="s">
        <v>31</v>
      </c>
      <c r="H98" t="s">
        <v>29</v>
      </c>
      <c r="I98" t="s">
        <v>108</v>
      </c>
      <c r="J98">
        <v>100</v>
      </c>
      <c r="K98">
        <v>200</v>
      </c>
      <c r="L98">
        <v>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200</v>
      </c>
      <c r="AH98">
        <v>2</v>
      </c>
      <c r="AI98">
        <v>0</v>
      </c>
      <c r="AJ98">
        <v>0</v>
      </c>
      <c r="AK98">
        <v>200</v>
      </c>
      <c r="AL98">
        <v>0</v>
      </c>
      <c r="AM98">
        <v>0</v>
      </c>
      <c r="AN98">
        <v>0</v>
      </c>
      <c r="AO98">
        <v>0</v>
      </c>
      <c r="AP98">
        <v>140</v>
      </c>
      <c r="AT98" t="s">
        <v>327</v>
      </c>
      <c r="AV98" t="s">
        <v>264</v>
      </c>
    </row>
    <row r="99" spans="1:48">
      <c r="A99">
        <v>2313010911</v>
      </c>
      <c r="B99">
        <v>2313010972</v>
      </c>
      <c r="C99" t="s">
        <v>367</v>
      </c>
      <c r="D99" t="s">
        <v>368</v>
      </c>
      <c r="E99" t="s">
        <v>31</v>
      </c>
      <c r="H99" t="s">
        <v>29</v>
      </c>
      <c r="I99" t="s">
        <v>108</v>
      </c>
      <c r="J99">
        <v>100</v>
      </c>
      <c r="K99">
        <v>200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200</v>
      </c>
      <c r="AH99">
        <v>2</v>
      </c>
      <c r="AI99">
        <v>0</v>
      </c>
      <c r="AJ99">
        <v>0</v>
      </c>
      <c r="AK99">
        <v>200</v>
      </c>
      <c r="AL99">
        <v>0</v>
      </c>
      <c r="AM99">
        <v>0</v>
      </c>
      <c r="AN99">
        <v>0</v>
      </c>
      <c r="AO99">
        <v>0</v>
      </c>
      <c r="AP99">
        <v>140</v>
      </c>
      <c r="AT99" t="s">
        <v>327</v>
      </c>
      <c r="AV99" t="s">
        <v>264</v>
      </c>
    </row>
    <row r="100" spans="1:48">
      <c r="A100">
        <v>2313010911</v>
      </c>
      <c r="B100">
        <v>2313010973</v>
      </c>
      <c r="C100" t="s">
        <v>369</v>
      </c>
      <c r="D100" t="s">
        <v>370</v>
      </c>
      <c r="E100" t="s">
        <v>31</v>
      </c>
      <c r="H100" t="s">
        <v>29</v>
      </c>
      <c r="I100" t="s">
        <v>108</v>
      </c>
      <c r="J100">
        <v>100</v>
      </c>
      <c r="K100">
        <v>200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200</v>
      </c>
      <c r="AH100">
        <v>2</v>
      </c>
      <c r="AI100">
        <v>0</v>
      </c>
      <c r="AJ100">
        <v>0</v>
      </c>
      <c r="AK100">
        <v>200</v>
      </c>
      <c r="AL100">
        <v>0</v>
      </c>
      <c r="AM100">
        <v>0</v>
      </c>
      <c r="AN100">
        <v>0</v>
      </c>
      <c r="AO100">
        <v>0</v>
      </c>
      <c r="AP100">
        <v>140</v>
      </c>
      <c r="AT100" t="s">
        <v>327</v>
      </c>
      <c r="AV100" t="s">
        <v>264</v>
      </c>
    </row>
    <row r="101" spans="1:48">
      <c r="A101">
        <v>2313010911</v>
      </c>
      <c r="B101">
        <v>2313010974</v>
      </c>
      <c r="C101" t="s">
        <v>371</v>
      </c>
      <c r="D101" t="s">
        <v>372</v>
      </c>
      <c r="E101" t="s">
        <v>31</v>
      </c>
      <c r="H101" t="s">
        <v>29</v>
      </c>
      <c r="I101" t="s">
        <v>108</v>
      </c>
      <c r="J101">
        <v>100</v>
      </c>
      <c r="K101">
        <v>200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200</v>
      </c>
      <c r="AH101">
        <v>2</v>
      </c>
      <c r="AI101">
        <v>0</v>
      </c>
      <c r="AJ101">
        <v>0</v>
      </c>
      <c r="AK101">
        <v>200</v>
      </c>
      <c r="AL101">
        <v>0</v>
      </c>
      <c r="AM101">
        <v>0</v>
      </c>
      <c r="AN101">
        <v>0</v>
      </c>
      <c r="AO101">
        <v>0</v>
      </c>
      <c r="AP101">
        <v>140</v>
      </c>
      <c r="AT101" t="s">
        <v>327</v>
      </c>
      <c r="AV101" t="s">
        <v>264</v>
      </c>
    </row>
    <row r="102" spans="1:48">
      <c r="A102">
        <v>2313010911</v>
      </c>
      <c r="B102">
        <v>2313010975</v>
      </c>
      <c r="C102" t="s">
        <v>373</v>
      </c>
      <c r="D102" t="s">
        <v>374</v>
      </c>
      <c r="E102" t="s">
        <v>31</v>
      </c>
      <c r="H102" t="s">
        <v>29</v>
      </c>
      <c r="I102" t="s">
        <v>108</v>
      </c>
      <c r="J102">
        <v>100</v>
      </c>
      <c r="K102">
        <v>200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200</v>
      </c>
      <c r="AH102">
        <v>2</v>
      </c>
      <c r="AI102">
        <v>0</v>
      </c>
      <c r="AJ102">
        <v>0</v>
      </c>
      <c r="AK102">
        <v>200</v>
      </c>
      <c r="AL102">
        <v>0</v>
      </c>
      <c r="AM102">
        <v>0</v>
      </c>
      <c r="AN102">
        <v>0</v>
      </c>
      <c r="AO102">
        <v>0</v>
      </c>
      <c r="AP102">
        <v>140</v>
      </c>
      <c r="AT102" t="s">
        <v>327</v>
      </c>
      <c r="AV102" t="s">
        <v>264</v>
      </c>
    </row>
    <row r="103" spans="1:48">
      <c r="A103">
        <v>2313010911</v>
      </c>
      <c r="B103">
        <v>2313010976</v>
      </c>
      <c r="C103" t="s">
        <v>375</v>
      </c>
      <c r="D103" t="s">
        <v>376</v>
      </c>
      <c r="E103" t="s">
        <v>31</v>
      </c>
      <c r="H103" t="s">
        <v>29</v>
      </c>
      <c r="I103" t="s">
        <v>108</v>
      </c>
      <c r="J103">
        <v>100</v>
      </c>
      <c r="K103">
        <v>200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200</v>
      </c>
      <c r="AH103">
        <v>2</v>
      </c>
      <c r="AI103">
        <v>0</v>
      </c>
      <c r="AJ103">
        <v>0</v>
      </c>
      <c r="AK103">
        <v>200</v>
      </c>
      <c r="AL103">
        <v>0</v>
      </c>
      <c r="AM103">
        <v>0</v>
      </c>
      <c r="AN103">
        <v>0</v>
      </c>
      <c r="AO103">
        <v>0</v>
      </c>
      <c r="AP103">
        <v>140</v>
      </c>
      <c r="AT103" t="s">
        <v>327</v>
      </c>
      <c r="AV103" t="s">
        <v>264</v>
      </c>
    </row>
    <row r="104" spans="1:48">
      <c r="A104">
        <v>2313010911</v>
      </c>
      <c r="B104">
        <v>2313010977</v>
      </c>
      <c r="C104" t="s">
        <v>377</v>
      </c>
      <c r="D104" t="s">
        <v>378</v>
      </c>
      <c r="E104" t="s">
        <v>31</v>
      </c>
      <c r="H104" t="s">
        <v>29</v>
      </c>
      <c r="I104" t="s">
        <v>108</v>
      </c>
      <c r="J104">
        <v>100</v>
      </c>
      <c r="K104">
        <v>200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200</v>
      </c>
      <c r="AH104">
        <v>2</v>
      </c>
      <c r="AI104">
        <v>0</v>
      </c>
      <c r="AJ104">
        <v>0</v>
      </c>
      <c r="AK104">
        <v>200</v>
      </c>
      <c r="AL104">
        <v>0</v>
      </c>
      <c r="AM104">
        <v>0</v>
      </c>
      <c r="AN104">
        <v>0</v>
      </c>
      <c r="AO104">
        <v>0</v>
      </c>
      <c r="AP104">
        <v>140</v>
      </c>
      <c r="AT104" t="s">
        <v>327</v>
      </c>
      <c r="AV104" t="s">
        <v>264</v>
      </c>
    </row>
    <row r="105" spans="1:48">
      <c r="A105">
        <v>2313010911</v>
      </c>
      <c r="B105">
        <v>2313010978</v>
      </c>
      <c r="C105" t="s">
        <v>379</v>
      </c>
      <c r="D105" t="s">
        <v>380</v>
      </c>
      <c r="E105" t="s">
        <v>31</v>
      </c>
      <c r="H105" t="s">
        <v>29</v>
      </c>
      <c r="I105" t="s">
        <v>108</v>
      </c>
      <c r="J105">
        <v>100</v>
      </c>
      <c r="K105">
        <v>200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200</v>
      </c>
      <c r="AH105">
        <v>2</v>
      </c>
      <c r="AI105">
        <v>0</v>
      </c>
      <c r="AJ105">
        <v>0</v>
      </c>
      <c r="AK105">
        <v>200</v>
      </c>
      <c r="AL105">
        <v>0</v>
      </c>
      <c r="AM105">
        <v>0</v>
      </c>
      <c r="AN105">
        <v>0</v>
      </c>
      <c r="AO105">
        <v>0</v>
      </c>
      <c r="AP105">
        <v>140</v>
      </c>
      <c r="AT105" t="s">
        <v>327</v>
      </c>
      <c r="AV105" t="s">
        <v>264</v>
      </c>
    </row>
    <row r="106" spans="1:48">
      <c r="A106">
        <v>2313010911</v>
      </c>
      <c r="B106">
        <v>2313010979</v>
      </c>
      <c r="C106" t="s">
        <v>381</v>
      </c>
      <c r="D106" t="s">
        <v>382</v>
      </c>
      <c r="E106" t="s">
        <v>31</v>
      </c>
      <c r="H106" t="s">
        <v>29</v>
      </c>
      <c r="I106" t="s">
        <v>108</v>
      </c>
      <c r="J106">
        <v>100</v>
      </c>
      <c r="K106">
        <v>200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200</v>
      </c>
      <c r="AH106">
        <v>2</v>
      </c>
      <c r="AI106">
        <v>0</v>
      </c>
      <c r="AJ106">
        <v>0</v>
      </c>
      <c r="AK106">
        <v>200</v>
      </c>
      <c r="AL106">
        <v>0</v>
      </c>
      <c r="AM106">
        <v>0</v>
      </c>
      <c r="AN106">
        <v>0</v>
      </c>
      <c r="AO106">
        <v>0</v>
      </c>
      <c r="AP106">
        <v>140</v>
      </c>
      <c r="AT106" t="s">
        <v>327</v>
      </c>
      <c r="AV106" t="s">
        <v>264</v>
      </c>
    </row>
    <row r="107" spans="1:48">
      <c r="A107">
        <v>2313010911</v>
      </c>
      <c r="B107">
        <v>2313010980</v>
      </c>
      <c r="C107" t="s">
        <v>383</v>
      </c>
      <c r="D107" t="s">
        <v>384</v>
      </c>
      <c r="E107" t="s">
        <v>31</v>
      </c>
      <c r="H107" t="s">
        <v>29</v>
      </c>
      <c r="I107" t="s">
        <v>108</v>
      </c>
      <c r="J107">
        <v>100</v>
      </c>
      <c r="K107">
        <v>200</v>
      </c>
      <c r="L107">
        <v>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200</v>
      </c>
      <c r="AH107">
        <v>2</v>
      </c>
      <c r="AI107">
        <v>0</v>
      </c>
      <c r="AJ107">
        <v>0</v>
      </c>
      <c r="AK107">
        <v>200</v>
      </c>
      <c r="AL107">
        <v>0</v>
      </c>
      <c r="AM107">
        <v>0</v>
      </c>
      <c r="AN107">
        <v>0</v>
      </c>
      <c r="AO107">
        <v>0</v>
      </c>
      <c r="AP107">
        <v>140</v>
      </c>
      <c r="AT107" t="s">
        <v>327</v>
      </c>
      <c r="AV107" t="s">
        <v>264</v>
      </c>
    </row>
    <row r="108" spans="1:48">
      <c r="A108">
        <v>2313010911</v>
      </c>
      <c r="B108">
        <v>2313010981</v>
      </c>
      <c r="C108" t="s">
        <v>385</v>
      </c>
      <c r="D108" t="s">
        <v>386</v>
      </c>
      <c r="E108" t="s">
        <v>31</v>
      </c>
      <c r="H108" t="s">
        <v>29</v>
      </c>
      <c r="I108" t="s">
        <v>108</v>
      </c>
      <c r="J108">
        <v>100</v>
      </c>
      <c r="K108">
        <v>200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200</v>
      </c>
      <c r="AH108">
        <v>2</v>
      </c>
      <c r="AI108">
        <v>0</v>
      </c>
      <c r="AJ108">
        <v>0</v>
      </c>
      <c r="AK108">
        <v>200</v>
      </c>
      <c r="AL108">
        <v>0</v>
      </c>
      <c r="AM108">
        <v>0</v>
      </c>
      <c r="AN108">
        <v>0</v>
      </c>
      <c r="AO108">
        <v>0</v>
      </c>
      <c r="AP108">
        <v>140</v>
      </c>
      <c r="AT108" t="s">
        <v>327</v>
      </c>
      <c r="AV108" t="s">
        <v>264</v>
      </c>
    </row>
    <row r="109" spans="1:48">
      <c r="A109">
        <v>2313010585</v>
      </c>
      <c r="B109">
        <v>2313010611</v>
      </c>
      <c r="C109" t="s">
        <v>387</v>
      </c>
      <c r="D109" t="s">
        <v>329</v>
      </c>
      <c r="E109" t="s">
        <v>31</v>
      </c>
      <c r="H109" t="s">
        <v>29</v>
      </c>
      <c r="I109" t="s">
        <v>262</v>
      </c>
      <c r="J109">
        <v>100</v>
      </c>
      <c r="K109">
        <v>100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100</v>
      </c>
      <c r="AH109">
        <v>1</v>
      </c>
      <c r="AI109">
        <v>0</v>
      </c>
      <c r="AJ109">
        <v>0</v>
      </c>
      <c r="AK109">
        <v>100</v>
      </c>
      <c r="AL109">
        <v>0</v>
      </c>
      <c r="AM109">
        <v>0</v>
      </c>
      <c r="AN109">
        <v>0</v>
      </c>
      <c r="AO109">
        <v>0</v>
      </c>
      <c r="AP109">
        <v>70</v>
      </c>
      <c r="AT109" t="s">
        <v>263</v>
      </c>
      <c r="AV109" t="s">
        <v>264</v>
      </c>
    </row>
    <row r="110" spans="1:48">
      <c r="A110">
        <v>2313010585</v>
      </c>
      <c r="B110">
        <v>2313010640</v>
      </c>
      <c r="C110" t="s">
        <v>388</v>
      </c>
      <c r="D110" t="s">
        <v>359</v>
      </c>
      <c r="E110" t="s">
        <v>31</v>
      </c>
      <c r="H110" t="s">
        <v>29</v>
      </c>
      <c r="I110" t="s">
        <v>262</v>
      </c>
      <c r="J110">
        <v>100</v>
      </c>
      <c r="K110">
        <v>100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100</v>
      </c>
      <c r="AH110">
        <v>1</v>
      </c>
      <c r="AI110">
        <v>0</v>
      </c>
      <c r="AJ110">
        <v>0</v>
      </c>
      <c r="AK110">
        <v>100</v>
      </c>
      <c r="AL110">
        <v>0</v>
      </c>
      <c r="AM110">
        <v>0</v>
      </c>
      <c r="AN110">
        <v>0</v>
      </c>
      <c r="AO110">
        <v>0</v>
      </c>
      <c r="AP110">
        <v>70</v>
      </c>
      <c r="AT110" t="s">
        <v>263</v>
      </c>
      <c r="AV110" t="s">
        <v>264</v>
      </c>
    </row>
    <row r="111" spans="1:48">
      <c r="A111">
        <v>2313010585</v>
      </c>
      <c r="B111">
        <v>2313010641</v>
      </c>
      <c r="C111" t="s">
        <v>389</v>
      </c>
      <c r="D111" t="s">
        <v>361</v>
      </c>
      <c r="E111" t="s">
        <v>31</v>
      </c>
      <c r="H111" t="s">
        <v>29</v>
      </c>
      <c r="I111" t="s">
        <v>262</v>
      </c>
      <c r="J111">
        <v>100</v>
      </c>
      <c r="K111">
        <v>100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100</v>
      </c>
      <c r="AH111">
        <v>1</v>
      </c>
      <c r="AI111">
        <v>0</v>
      </c>
      <c r="AJ111">
        <v>0</v>
      </c>
      <c r="AK111">
        <v>100</v>
      </c>
      <c r="AL111">
        <v>0</v>
      </c>
      <c r="AM111">
        <v>0</v>
      </c>
      <c r="AN111">
        <v>0</v>
      </c>
      <c r="AO111">
        <v>0</v>
      </c>
      <c r="AP111">
        <v>70</v>
      </c>
      <c r="AT111" t="s">
        <v>263</v>
      </c>
      <c r="AV111" t="s">
        <v>264</v>
      </c>
    </row>
    <row r="112" spans="1:48">
      <c r="A112">
        <v>2313010585</v>
      </c>
      <c r="B112">
        <v>2313010645</v>
      </c>
      <c r="C112" t="s">
        <v>390</v>
      </c>
      <c r="D112" t="s">
        <v>366</v>
      </c>
      <c r="E112" t="s">
        <v>31</v>
      </c>
      <c r="H112" t="s">
        <v>29</v>
      </c>
      <c r="I112" t="s">
        <v>262</v>
      </c>
      <c r="J112">
        <v>100</v>
      </c>
      <c r="K112">
        <v>100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100</v>
      </c>
      <c r="AH112">
        <v>1</v>
      </c>
      <c r="AI112">
        <v>0</v>
      </c>
      <c r="AJ112">
        <v>0</v>
      </c>
      <c r="AK112">
        <v>100</v>
      </c>
      <c r="AL112">
        <v>0</v>
      </c>
      <c r="AM112">
        <v>0</v>
      </c>
      <c r="AN112">
        <v>0</v>
      </c>
      <c r="AO112">
        <v>0</v>
      </c>
      <c r="AP112">
        <v>70</v>
      </c>
      <c r="AT112" t="s">
        <v>263</v>
      </c>
      <c r="AV112" t="s">
        <v>264</v>
      </c>
    </row>
    <row r="113" spans="1:48">
      <c r="A113">
        <v>2313010585</v>
      </c>
      <c r="B113">
        <v>2313010646</v>
      </c>
      <c r="C113" t="s">
        <v>391</v>
      </c>
      <c r="D113" t="s">
        <v>368</v>
      </c>
      <c r="E113" t="s">
        <v>31</v>
      </c>
      <c r="H113" t="s">
        <v>29</v>
      </c>
      <c r="I113" t="s">
        <v>262</v>
      </c>
      <c r="J113">
        <v>100</v>
      </c>
      <c r="K113">
        <v>100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100</v>
      </c>
      <c r="AH113">
        <v>1</v>
      </c>
      <c r="AI113">
        <v>0</v>
      </c>
      <c r="AJ113">
        <v>0</v>
      </c>
      <c r="AK113">
        <v>100</v>
      </c>
      <c r="AL113">
        <v>0</v>
      </c>
      <c r="AM113">
        <v>0</v>
      </c>
      <c r="AN113">
        <v>0</v>
      </c>
      <c r="AO113">
        <v>0</v>
      </c>
      <c r="AP113">
        <v>70</v>
      </c>
      <c r="AT113" t="s">
        <v>263</v>
      </c>
      <c r="AV113" t="s">
        <v>264</v>
      </c>
    </row>
    <row r="114" spans="1:48">
      <c r="A114">
        <v>2313010585</v>
      </c>
      <c r="B114">
        <v>2313010647</v>
      </c>
      <c r="C114" t="s">
        <v>392</v>
      </c>
      <c r="D114" t="s">
        <v>370</v>
      </c>
      <c r="E114" t="s">
        <v>31</v>
      </c>
      <c r="H114" t="s">
        <v>29</v>
      </c>
      <c r="I114" t="s">
        <v>262</v>
      </c>
      <c r="J114">
        <v>100</v>
      </c>
      <c r="K114">
        <v>100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100</v>
      </c>
      <c r="AH114">
        <v>1</v>
      </c>
      <c r="AI114">
        <v>0</v>
      </c>
      <c r="AJ114">
        <v>0</v>
      </c>
      <c r="AK114">
        <v>100</v>
      </c>
      <c r="AL114">
        <v>0</v>
      </c>
      <c r="AM114">
        <v>0</v>
      </c>
      <c r="AN114">
        <v>0</v>
      </c>
      <c r="AO114">
        <v>0</v>
      </c>
      <c r="AP114">
        <v>70</v>
      </c>
      <c r="AT114" t="s">
        <v>263</v>
      </c>
      <c r="AV114" t="s">
        <v>264</v>
      </c>
    </row>
    <row r="115" spans="1:48">
      <c r="A115">
        <v>2313010585</v>
      </c>
      <c r="B115">
        <v>2313010648</v>
      </c>
      <c r="C115" t="s">
        <v>393</v>
      </c>
      <c r="D115" t="s">
        <v>372</v>
      </c>
      <c r="E115" t="s">
        <v>31</v>
      </c>
      <c r="H115" t="s">
        <v>29</v>
      </c>
      <c r="I115" t="s">
        <v>262</v>
      </c>
      <c r="J115">
        <v>100</v>
      </c>
      <c r="K115">
        <v>100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100</v>
      </c>
      <c r="AH115">
        <v>1</v>
      </c>
      <c r="AI115">
        <v>0</v>
      </c>
      <c r="AJ115">
        <v>0</v>
      </c>
      <c r="AK115">
        <v>100</v>
      </c>
      <c r="AL115">
        <v>0</v>
      </c>
      <c r="AM115">
        <v>0</v>
      </c>
      <c r="AN115">
        <v>0</v>
      </c>
      <c r="AO115">
        <v>0</v>
      </c>
      <c r="AP115">
        <v>70</v>
      </c>
      <c r="AT115" t="s">
        <v>263</v>
      </c>
      <c r="AV115" t="s">
        <v>264</v>
      </c>
    </row>
    <row r="116" spans="1:48">
      <c r="A116">
        <v>2313010585</v>
      </c>
      <c r="B116">
        <v>2313010649</v>
      </c>
      <c r="C116" t="s">
        <v>394</v>
      </c>
      <c r="D116" t="s">
        <v>374</v>
      </c>
      <c r="E116" t="s">
        <v>31</v>
      </c>
      <c r="H116" t="s">
        <v>29</v>
      </c>
      <c r="I116" t="s">
        <v>262</v>
      </c>
      <c r="J116">
        <v>100</v>
      </c>
      <c r="K116">
        <v>100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100</v>
      </c>
      <c r="AH116">
        <v>1</v>
      </c>
      <c r="AI116">
        <v>0</v>
      </c>
      <c r="AJ116">
        <v>0</v>
      </c>
      <c r="AK116">
        <v>100</v>
      </c>
      <c r="AL116">
        <v>0</v>
      </c>
      <c r="AM116">
        <v>0</v>
      </c>
      <c r="AN116">
        <v>0</v>
      </c>
      <c r="AO116">
        <v>0</v>
      </c>
      <c r="AP116">
        <v>70</v>
      </c>
      <c r="AT116" t="s">
        <v>263</v>
      </c>
      <c r="AV116" t="s">
        <v>264</v>
      </c>
    </row>
    <row r="117" spans="1:48">
      <c r="A117">
        <v>2313010585</v>
      </c>
      <c r="B117">
        <v>2313010650</v>
      </c>
      <c r="C117" t="s">
        <v>395</v>
      </c>
      <c r="D117" t="s">
        <v>376</v>
      </c>
      <c r="E117" t="s">
        <v>31</v>
      </c>
      <c r="H117" t="s">
        <v>29</v>
      </c>
      <c r="I117" t="s">
        <v>262</v>
      </c>
      <c r="J117">
        <v>100</v>
      </c>
      <c r="K117">
        <v>100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100</v>
      </c>
      <c r="AH117">
        <v>1</v>
      </c>
      <c r="AI117">
        <v>0</v>
      </c>
      <c r="AJ117">
        <v>0</v>
      </c>
      <c r="AK117">
        <v>100</v>
      </c>
      <c r="AL117">
        <v>0</v>
      </c>
      <c r="AM117">
        <v>0</v>
      </c>
      <c r="AN117">
        <v>0</v>
      </c>
      <c r="AO117">
        <v>0</v>
      </c>
      <c r="AP117">
        <v>70</v>
      </c>
      <c r="AT117" t="s">
        <v>263</v>
      </c>
      <c r="AV117" t="s">
        <v>264</v>
      </c>
    </row>
    <row r="118" spans="1:48">
      <c r="A118">
        <v>2313010585</v>
      </c>
      <c r="B118">
        <v>2313010651</v>
      </c>
      <c r="C118" t="s">
        <v>396</v>
      </c>
      <c r="D118" t="s">
        <v>378</v>
      </c>
      <c r="E118" t="s">
        <v>31</v>
      </c>
      <c r="H118" t="s">
        <v>29</v>
      </c>
      <c r="I118" t="s">
        <v>262</v>
      </c>
      <c r="J118">
        <v>100</v>
      </c>
      <c r="K118">
        <v>100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100</v>
      </c>
      <c r="AH118">
        <v>1</v>
      </c>
      <c r="AI118">
        <v>0</v>
      </c>
      <c r="AJ118">
        <v>0</v>
      </c>
      <c r="AK118">
        <v>100</v>
      </c>
      <c r="AL118">
        <v>0</v>
      </c>
      <c r="AM118">
        <v>0</v>
      </c>
      <c r="AN118">
        <v>0</v>
      </c>
      <c r="AO118">
        <v>0</v>
      </c>
      <c r="AP118">
        <v>70</v>
      </c>
      <c r="AT118" t="s">
        <v>263</v>
      </c>
      <c r="AV118" t="s">
        <v>264</v>
      </c>
    </row>
    <row r="119" spans="1:48">
      <c r="A119">
        <v>2313010585</v>
      </c>
      <c r="B119">
        <v>2313010652</v>
      </c>
      <c r="C119" t="s">
        <v>397</v>
      </c>
      <c r="D119" t="s">
        <v>380</v>
      </c>
      <c r="E119" t="s">
        <v>31</v>
      </c>
      <c r="H119" t="s">
        <v>29</v>
      </c>
      <c r="I119" t="s">
        <v>262</v>
      </c>
      <c r="J119">
        <v>100</v>
      </c>
      <c r="K119">
        <v>100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100</v>
      </c>
      <c r="AH119">
        <v>1</v>
      </c>
      <c r="AI119">
        <v>0</v>
      </c>
      <c r="AJ119">
        <v>0</v>
      </c>
      <c r="AK119">
        <v>100</v>
      </c>
      <c r="AL119">
        <v>0</v>
      </c>
      <c r="AM119">
        <v>0</v>
      </c>
      <c r="AN119">
        <v>0</v>
      </c>
      <c r="AO119">
        <v>0</v>
      </c>
      <c r="AP119">
        <v>70</v>
      </c>
      <c r="AT119" t="s">
        <v>263</v>
      </c>
      <c r="AV119" t="s">
        <v>264</v>
      </c>
    </row>
    <row r="120" spans="1:48">
      <c r="A120">
        <v>2313010585</v>
      </c>
      <c r="B120">
        <v>2313010653</v>
      </c>
      <c r="C120" t="s">
        <v>398</v>
      </c>
      <c r="D120" t="s">
        <v>382</v>
      </c>
      <c r="E120" t="s">
        <v>31</v>
      </c>
      <c r="H120" t="s">
        <v>29</v>
      </c>
      <c r="I120" t="s">
        <v>262</v>
      </c>
      <c r="J120">
        <v>100</v>
      </c>
      <c r="K120">
        <v>100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100</v>
      </c>
      <c r="AH120">
        <v>1</v>
      </c>
      <c r="AI120">
        <v>0</v>
      </c>
      <c r="AJ120">
        <v>0</v>
      </c>
      <c r="AK120">
        <v>100</v>
      </c>
      <c r="AL120">
        <v>0</v>
      </c>
      <c r="AM120">
        <v>0</v>
      </c>
      <c r="AN120">
        <v>0</v>
      </c>
      <c r="AO120">
        <v>0</v>
      </c>
      <c r="AP120">
        <v>70</v>
      </c>
      <c r="AT120" t="s">
        <v>263</v>
      </c>
      <c r="AV120" t="s">
        <v>264</v>
      </c>
    </row>
    <row r="121" spans="1:48">
      <c r="A121">
        <v>2313010585</v>
      </c>
      <c r="B121">
        <v>2313010654</v>
      </c>
      <c r="C121" t="s">
        <v>399</v>
      </c>
      <c r="D121" t="s">
        <v>384</v>
      </c>
      <c r="E121" t="s">
        <v>31</v>
      </c>
      <c r="H121" t="s">
        <v>29</v>
      </c>
      <c r="I121" t="s">
        <v>262</v>
      </c>
      <c r="J121">
        <v>100</v>
      </c>
      <c r="K121">
        <v>100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100</v>
      </c>
      <c r="AH121">
        <v>1</v>
      </c>
      <c r="AI121">
        <v>0</v>
      </c>
      <c r="AJ121">
        <v>0</v>
      </c>
      <c r="AK121">
        <v>100</v>
      </c>
      <c r="AL121">
        <v>0</v>
      </c>
      <c r="AM121">
        <v>0</v>
      </c>
      <c r="AN121">
        <v>0</v>
      </c>
      <c r="AO121">
        <v>0</v>
      </c>
      <c r="AP121">
        <v>70</v>
      </c>
      <c r="AT121" t="s">
        <v>263</v>
      </c>
      <c r="AV121" t="s">
        <v>264</v>
      </c>
    </row>
    <row r="122" spans="1:48">
      <c r="A122">
        <v>2313010585</v>
      </c>
      <c r="B122">
        <v>2313010655</v>
      </c>
      <c r="C122" t="s">
        <v>400</v>
      </c>
      <c r="D122" t="s">
        <v>386</v>
      </c>
      <c r="E122" t="s">
        <v>31</v>
      </c>
      <c r="H122" t="s">
        <v>29</v>
      </c>
      <c r="I122" t="s">
        <v>262</v>
      </c>
      <c r="J122">
        <v>100</v>
      </c>
      <c r="K122">
        <v>100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100</v>
      </c>
      <c r="AH122">
        <v>1</v>
      </c>
      <c r="AI122">
        <v>0</v>
      </c>
      <c r="AJ122">
        <v>0</v>
      </c>
      <c r="AK122">
        <v>100</v>
      </c>
      <c r="AL122">
        <v>0</v>
      </c>
      <c r="AM122">
        <v>0</v>
      </c>
      <c r="AN122">
        <v>0</v>
      </c>
      <c r="AO122">
        <v>0</v>
      </c>
      <c r="AP122">
        <v>70</v>
      </c>
      <c r="AT122" t="s">
        <v>263</v>
      </c>
      <c r="AV122" t="s">
        <v>264</v>
      </c>
    </row>
    <row r="123" spans="1:48">
      <c r="A123">
        <v>2313010585</v>
      </c>
      <c r="B123">
        <v>2313010656</v>
      </c>
      <c r="C123" t="s">
        <v>401</v>
      </c>
      <c r="D123" t="s">
        <v>402</v>
      </c>
      <c r="E123" t="s">
        <v>31</v>
      </c>
      <c r="H123" t="s">
        <v>29</v>
      </c>
      <c r="I123" t="s">
        <v>262</v>
      </c>
      <c r="J123">
        <v>100</v>
      </c>
      <c r="K123">
        <v>100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100</v>
      </c>
      <c r="AH123">
        <v>1</v>
      </c>
      <c r="AI123">
        <v>0</v>
      </c>
      <c r="AJ123">
        <v>0</v>
      </c>
      <c r="AK123">
        <v>100</v>
      </c>
      <c r="AL123">
        <v>0</v>
      </c>
      <c r="AM123">
        <v>0</v>
      </c>
      <c r="AN123">
        <v>0</v>
      </c>
      <c r="AO123">
        <v>0</v>
      </c>
      <c r="AP123">
        <v>70</v>
      </c>
      <c r="AT123" t="s">
        <v>263</v>
      </c>
      <c r="AV123" t="s">
        <v>264</v>
      </c>
    </row>
    <row r="124" spans="1:48">
      <c r="A124">
        <v>2313010585</v>
      </c>
      <c r="B124">
        <v>2313010657</v>
      </c>
      <c r="C124" t="s">
        <v>403</v>
      </c>
      <c r="D124" t="s">
        <v>404</v>
      </c>
      <c r="E124" t="s">
        <v>31</v>
      </c>
      <c r="H124" t="s">
        <v>29</v>
      </c>
      <c r="I124" t="s">
        <v>262</v>
      </c>
      <c r="J124">
        <v>100</v>
      </c>
      <c r="K124">
        <v>100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100</v>
      </c>
      <c r="AH124">
        <v>1</v>
      </c>
      <c r="AI124">
        <v>0</v>
      </c>
      <c r="AJ124">
        <v>0</v>
      </c>
      <c r="AK124">
        <v>100</v>
      </c>
      <c r="AL124">
        <v>0</v>
      </c>
      <c r="AM124">
        <v>0</v>
      </c>
      <c r="AN124">
        <v>0</v>
      </c>
      <c r="AO124">
        <v>0</v>
      </c>
      <c r="AP124">
        <v>70</v>
      </c>
      <c r="AT124" t="s">
        <v>263</v>
      </c>
      <c r="AV124" t="s">
        <v>264</v>
      </c>
    </row>
    <row r="125" spans="1:48">
      <c r="A125">
        <v>2313010585</v>
      </c>
      <c r="B125">
        <v>2313010658</v>
      </c>
      <c r="C125" t="s">
        <v>405</v>
      </c>
      <c r="D125" t="s">
        <v>406</v>
      </c>
      <c r="E125" t="s">
        <v>31</v>
      </c>
      <c r="H125" t="s">
        <v>29</v>
      </c>
      <c r="I125" t="s">
        <v>262</v>
      </c>
      <c r="J125">
        <v>100</v>
      </c>
      <c r="K125">
        <v>100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100</v>
      </c>
      <c r="AH125">
        <v>1</v>
      </c>
      <c r="AI125">
        <v>0</v>
      </c>
      <c r="AJ125">
        <v>0</v>
      </c>
      <c r="AK125">
        <v>100</v>
      </c>
      <c r="AL125">
        <v>0</v>
      </c>
      <c r="AM125">
        <v>0</v>
      </c>
      <c r="AN125">
        <v>0</v>
      </c>
      <c r="AO125">
        <v>0</v>
      </c>
      <c r="AP125">
        <v>70</v>
      </c>
      <c r="AT125" t="s">
        <v>263</v>
      </c>
      <c r="AV125" t="s">
        <v>264</v>
      </c>
    </row>
    <row r="126" spans="1:48">
      <c r="A126">
        <v>2313010585</v>
      </c>
      <c r="B126">
        <v>2313010659</v>
      </c>
      <c r="C126" t="s">
        <v>407</v>
      </c>
      <c r="D126" t="s">
        <v>408</v>
      </c>
      <c r="E126" t="s">
        <v>31</v>
      </c>
      <c r="H126" t="s">
        <v>29</v>
      </c>
      <c r="I126" t="s">
        <v>262</v>
      </c>
      <c r="J126">
        <v>100</v>
      </c>
      <c r="K126">
        <v>100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100</v>
      </c>
      <c r="AH126">
        <v>1</v>
      </c>
      <c r="AI126">
        <v>0</v>
      </c>
      <c r="AJ126">
        <v>0</v>
      </c>
      <c r="AK126">
        <v>100</v>
      </c>
      <c r="AL126">
        <v>0</v>
      </c>
      <c r="AM126">
        <v>0</v>
      </c>
      <c r="AN126">
        <v>0</v>
      </c>
      <c r="AO126">
        <v>0</v>
      </c>
      <c r="AP126">
        <v>70</v>
      </c>
      <c r="AT126" t="s">
        <v>263</v>
      </c>
      <c r="AV126" t="s">
        <v>264</v>
      </c>
    </row>
    <row r="127" spans="1:48">
      <c r="A127">
        <v>2313010585</v>
      </c>
      <c r="B127">
        <v>2313010660</v>
      </c>
      <c r="C127" t="s">
        <v>409</v>
      </c>
      <c r="D127" t="s">
        <v>410</v>
      </c>
      <c r="E127" t="s">
        <v>31</v>
      </c>
      <c r="H127" t="s">
        <v>29</v>
      </c>
      <c r="I127" t="s">
        <v>262</v>
      </c>
      <c r="J127">
        <v>100</v>
      </c>
      <c r="K127">
        <v>100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100</v>
      </c>
      <c r="AH127">
        <v>1</v>
      </c>
      <c r="AI127">
        <v>0</v>
      </c>
      <c r="AJ127">
        <v>0</v>
      </c>
      <c r="AK127">
        <v>100</v>
      </c>
      <c r="AL127">
        <v>0</v>
      </c>
      <c r="AM127">
        <v>0</v>
      </c>
      <c r="AN127">
        <v>0</v>
      </c>
      <c r="AO127">
        <v>0</v>
      </c>
      <c r="AP127">
        <v>70</v>
      </c>
      <c r="AT127" t="s">
        <v>263</v>
      </c>
      <c r="AV127" t="s">
        <v>264</v>
      </c>
    </row>
    <row r="128" spans="1:48">
      <c r="A128">
        <v>2313010585</v>
      </c>
      <c r="B128">
        <v>2313010661</v>
      </c>
      <c r="C128" t="s">
        <v>411</v>
      </c>
      <c r="D128" t="s">
        <v>412</v>
      </c>
      <c r="E128" t="s">
        <v>31</v>
      </c>
      <c r="H128" t="s">
        <v>29</v>
      </c>
      <c r="I128" t="s">
        <v>262</v>
      </c>
      <c r="J128">
        <v>100</v>
      </c>
      <c r="K128">
        <v>100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100</v>
      </c>
      <c r="AH128">
        <v>1</v>
      </c>
      <c r="AI128">
        <v>0</v>
      </c>
      <c r="AJ128">
        <v>0</v>
      </c>
      <c r="AK128">
        <v>100</v>
      </c>
      <c r="AL128">
        <v>0</v>
      </c>
      <c r="AM128">
        <v>0</v>
      </c>
      <c r="AN128">
        <v>0</v>
      </c>
      <c r="AO128">
        <v>0</v>
      </c>
      <c r="AP128">
        <v>70</v>
      </c>
      <c r="AT128" t="s">
        <v>263</v>
      </c>
      <c r="AV128" t="s">
        <v>264</v>
      </c>
    </row>
    <row r="129" spans="1:48">
      <c r="A129">
        <v>2313010585</v>
      </c>
      <c r="B129">
        <v>2313010662</v>
      </c>
      <c r="C129" t="s">
        <v>413</v>
      </c>
      <c r="D129" t="s">
        <v>414</v>
      </c>
      <c r="E129" t="s">
        <v>31</v>
      </c>
      <c r="H129" t="s">
        <v>29</v>
      </c>
      <c r="I129" t="s">
        <v>262</v>
      </c>
      <c r="J129">
        <v>100</v>
      </c>
      <c r="K129">
        <v>100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100</v>
      </c>
      <c r="AH129">
        <v>1</v>
      </c>
      <c r="AI129">
        <v>0</v>
      </c>
      <c r="AJ129">
        <v>0</v>
      </c>
      <c r="AK129">
        <v>100</v>
      </c>
      <c r="AL129">
        <v>0</v>
      </c>
      <c r="AM129">
        <v>0</v>
      </c>
      <c r="AN129">
        <v>0</v>
      </c>
      <c r="AO129">
        <v>0</v>
      </c>
      <c r="AP129">
        <v>70</v>
      </c>
      <c r="AT129" t="s">
        <v>263</v>
      </c>
      <c r="AV129" t="s">
        <v>264</v>
      </c>
    </row>
    <row r="130" spans="1:48">
      <c r="A130">
        <v>2313010585</v>
      </c>
      <c r="B130">
        <v>2313010663</v>
      </c>
      <c r="C130" t="s">
        <v>415</v>
      </c>
      <c r="D130" t="s">
        <v>416</v>
      </c>
      <c r="E130" t="s">
        <v>31</v>
      </c>
      <c r="H130" t="s">
        <v>29</v>
      </c>
      <c r="I130" t="s">
        <v>262</v>
      </c>
      <c r="J130">
        <v>100</v>
      </c>
      <c r="K130">
        <v>100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100</v>
      </c>
      <c r="AH130">
        <v>1</v>
      </c>
      <c r="AI130">
        <v>0</v>
      </c>
      <c r="AJ130">
        <v>0</v>
      </c>
      <c r="AK130">
        <v>100</v>
      </c>
      <c r="AL130">
        <v>0</v>
      </c>
      <c r="AM130">
        <v>0</v>
      </c>
      <c r="AN130">
        <v>0</v>
      </c>
      <c r="AO130">
        <v>0</v>
      </c>
      <c r="AP130">
        <v>70</v>
      </c>
      <c r="AT130" t="s">
        <v>263</v>
      </c>
      <c r="AV130" t="s">
        <v>264</v>
      </c>
    </row>
    <row r="131" spans="1:48">
      <c r="A131">
        <v>2313010585</v>
      </c>
      <c r="B131">
        <v>2313010664</v>
      </c>
      <c r="C131" t="s">
        <v>417</v>
      </c>
      <c r="D131" t="s">
        <v>418</v>
      </c>
      <c r="E131" t="s">
        <v>31</v>
      </c>
      <c r="H131" t="s">
        <v>29</v>
      </c>
      <c r="I131" t="s">
        <v>262</v>
      </c>
      <c r="J131">
        <v>100</v>
      </c>
      <c r="K131">
        <v>100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100</v>
      </c>
      <c r="AH131">
        <v>1</v>
      </c>
      <c r="AI131">
        <v>0</v>
      </c>
      <c r="AJ131">
        <v>0</v>
      </c>
      <c r="AK131">
        <v>100</v>
      </c>
      <c r="AL131">
        <v>0</v>
      </c>
      <c r="AM131">
        <v>0</v>
      </c>
      <c r="AN131">
        <v>0</v>
      </c>
      <c r="AO131">
        <v>0</v>
      </c>
      <c r="AP131">
        <v>70</v>
      </c>
      <c r="AT131" t="s">
        <v>263</v>
      </c>
      <c r="AV131" t="s">
        <v>264</v>
      </c>
    </row>
    <row r="132" spans="1:48">
      <c r="A132">
        <v>2313010585</v>
      </c>
      <c r="B132">
        <v>2313010665</v>
      </c>
      <c r="C132" t="s">
        <v>419</v>
      </c>
      <c r="D132" t="s">
        <v>420</v>
      </c>
      <c r="E132" t="s">
        <v>31</v>
      </c>
      <c r="H132" t="s">
        <v>29</v>
      </c>
      <c r="I132" t="s">
        <v>262</v>
      </c>
      <c r="J132">
        <v>100</v>
      </c>
      <c r="K132">
        <v>100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100</v>
      </c>
      <c r="AH132">
        <v>1</v>
      </c>
      <c r="AI132">
        <v>0</v>
      </c>
      <c r="AJ132">
        <v>0</v>
      </c>
      <c r="AK132">
        <v>100</v>
      </c>
      <c r="AL132">
        <v>0</v>
      </c>
      <c r="AM132">
        <v>0</v>
      </c>
      <c r="AN132">
        <v>0</v>
      </c>
      <c r="AO132">
        <v>0</v>
      </c>
      <c r="AP132">
        <v>70</v>
      </c>
      <c r="AT132" t="s">
        <v>263</v>
      </c>
      <c r="AV132" t="s">
        <v>264</v>
      </c>
    </row>
    <row r="133" spans="1:48">
      <c r="A133">
        <v>2313010585</v>
      </c>
      <c r="B133">
        <v>2313010666</v>
      </c>
      <c r="C133" t="s">
        <v>421</v>
      </c>
      <c r="D133" t="s">
        <v>422</v>
      </c>
      <c r="E133" t="s">
        <v>31</v>
      </c>
      <c r="H133" t="s">
        <v>29</v>
      </c>
      <c r="I133" t="s">
        <v>262</v>
      </c>
      <c r="J133">
        <v>100</v>
      </c>
      <c r="K133">
        <v>100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100</v>
      </c>
      <c r="AH133">
        <v>1</v>
      </c>
      <c r="AI133">
        <v>0</v>
      </c>
      <c r="AJ133">
        <v>0</v>
      </c>
      <c r="AK133">
        <v>100</v>
      </c>
      <c r="AL133">
        <v>0</v>
      </c>
      <c r="AM133">
        <v>0</v>
      </c>
      <c r="AN133">
        <v>0</v>
      </c>
      <c r="AO133">
        <v>0</v>
      </c>
      <c r="AP133">
        <v>70</v>
      </c>
      <c r="AT133" t="s">
        <v>263</v>
      </c>
      <c r="AV133" t="s">
        <v>264</v>
      </c>
    </row>
    <row r="134" spans="1:48">
      <c r="A134">
        <v>2313010585</v>
      </c>
      <c r="B134">
        <v>2313010667</v>
      </c>
      <c r="C134" t="s">
        <v>423</v>
      </c>
      <c r="D134" t="s">
        <v>424</v>
      </c>
      <c r="E134" t="s">
        <v>31</v>
      </c>
      <c r="H134" t="s">
        <v>29</v>
      </c>
      <c r="I134" t="s">
        <v>262</v>
      </c>
      <c r="J134">
        <v>100</v>
      </c>
      <c r="K134">
        <v>100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100</v>
      </c>
      <c r="AH134">
        <v>1</v>
      </c>
      <c r="AI134">
        <v>0</v>
      </c>
      <c r="AJ134">
        <v>0</v>
      </c>
      <c r="AK134">
        <v>100</v>
      </c>
      <c r="AL134">
        <v>0</v>
      </c>
      <c r="AM134">
        <v>0</v>
      </c>
      <c r="AN134">
        <v>0</v>
      </c>
      <c r="AO134">
        <v>0</v>
      </c>
      <c r="AP134">
        <v>70</v>
      </c>
      <c r="AT134" t="s">
        <v>263</v>
      </c>
      <c r="AV134" t="s">
        <v>264</v>
      </c>
    </row>
    <row r="135" spans="1:48">
      <c r="A135">
        <v>2313010585</v>
      </c>
      <c r="B135">
        <v>2313010668</v>
      </c>
      <c r="C135" t="s">
        <v>425</v>
      </c>
      <c r="D135" t="s">
        <v>426</v>
      </c>
      <c r="E135" t="s">
        <v>31</v>
      </c>
      <c r="H135" t="s">
        <v>29</v>
      </c>
      <c r="I135" t="s">
        <v>262</v>
      </c>
      <c r="J135">
        <v>100</v>
      </c>
      <c r="K135">
        <v>100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100</v>
      </c>
      <c r="AH135">
        <v>1</v>
      </c>
      <c r="AI135">
        <v>0</v>
      </c>
      <c r="AJ135">
        <v>0</v>
      </c>
      <c r="AK135">
        <v>100</v>
      </c>
      <c r="AL135">
        <v>0</v>
      </c>
      <c r="AM135">
        <v>0</v>
      </c>
      <c r="AN135">
        <v>0</v>
      </c>
      <c r="AO135">
        <v>0</v>
      </c>
      <c r="AP135">
        <v>70</v>
      </c>
      <c r="AT135" t="s">
        <v>263</v>
      </c>
      <c r="AV135" t="s">
        <v>264</v>
      </c>
    </row>
    <row r="136" spans="1:48">
      <c r="A136">
        <v>2313010585</v>
      </c>
      <c r="B136">
        <v>2313010669</v>
      </c>
      <c r="C136" t="s">
        <v>427</v>
      </c>
      <c r="D136" t="s">
        <v>428</v>
      </c>
      <c r="E136" t="s">
        <v>31</v>
      </c>
      <c r="H136" t="s">
        <v>29</v>
      </c>
      <c r="I136" t="s">
        <v>262</v>
      </c>
      <c r="J136">
        <v>100</v>
      </c>
      <c r="K136">
        <v>100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100</v>
      </c>
      <c r="AH136">
        <v>1</v>
      </c>
      <c r="AI136">
        <v>0</v>
      </c>
      <c r="AJ136">
        <v>0</v>
      </c>
      <c r="AK136">
        <v>100</v>
      </c>
      <c r="AL136">
        <v>0</v>
      </c>
      <c r="AM136">
        <v>0</v>
      </c>
      <c r="AN136">
        <v>0</v>
      </c>
      <c r="AO136">
        <v>0</v>
      </c>
      <c r="AP136">
        <v>70</v>
      </c>
      <c r="AT136" t="s">
        <v>263</v>
      </c>
      <c r="AV136" t="s">
        <v>264</v>
      </c>
    </row>
    <row r="137" spans="1:48">
      <c r="A137">
        <v>2313010585</v>
      </c>
      <c r="B137">
        <v>2313010670</v>
      </c>
      <c r="C137" t="s">
        <v>429</v>
      </c>
      <c r="D137" t="s">
        <v>430</v>
      </c>
      <c r="E137" t="s">
        <v>31</v>
      </c>
      <c r="H137" t="s">
        <v>29</v>
      </c>
      <c r="I137" t="s">
        <v>262</v>
      </c>
      <c r="J137">
        <v>100</v>
      </c>
      <c r="K137">
        <v>100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100</v>
      </c>
      <c r="AH137">
        <v>1</v>
      </c>
      <c r="AI137">
        <v>0</v>
      </c>
      <c r="AJ137">
        <v>0</v>
      </c>
      <c r="AK137">
        <v>100</v>
      </c>
      <c r="AL137">
        <v>0</v>
      </c>
      <c r="AM137">
        <v>0</v>
      </c>
      <c r="AN137">
        <v>0</v>
      </c>
      <c r="AO137">
        <v>0</v>
      </c>
      <c r="AP137">
        <v>70</v>
      </c>
      <c r="AT137" t="s">
        <v>263</v>
      </c>
      <c r="AV137" t="s">
        <v>264</v>
      </c>
    </row>
    <row r="138" spans="1:48">
      <c r="A138">
        <v>2313010585</v>
      </c>
      <c r="B138">
        <v>2313010671</v>
      </c>
      <c r="C138" t="s">
        <v>431</v>
      </c>
      <c r="D138" t="s">
        <v>432</v>
      </c>
      <c r="E138" t="s">
        <v>31</v>
      </c>
      <c r="H138" t="s">
        <v>29</v>
      </c>
      <c r="I138" t="s">
        <v>262</v>
      </c>
      <c r="J138">
        <v>100</v>
      </c>
      <c r="K138">
        <v>100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100</v>
      </c>
      <c r="AH138">
        <v>1</v>
      </c>
      <c r="AI138">
        <v>0</v>
      </c>
      <c r="AJ138">
        <v>0</v>
      </c>
      <c r="AK138">
        <v>100</v>
      </c>
      <c r="AL138">
        <v>0</v>
      </c>
      <c r="AM138">
        <v>0</v>
      </c>
      <c r="AN138">
        <v>0</v>
      </c>
      <c r="AO138">
        <v>0</v>
      </c>
      <c r="AP138">
        <v>70</v>
      </c>
      <c r="AT138" t="s">
        <v>263</v>
      </c>
      <c r="AV138" t="s">
        <v>264</v>
      </c>
    </row>
    <row r="139" spans="1:48">
      <c r="A139">
        <v>2313010585</v>
      </c>
      <c r="B139">
        <v>2313010672</v>
      </c>
      <c r="C139" t="s">
        <v>433</v>
      </c>
      <c r="D139" t="s">
        <v>434</v>
      </c>
      <c r="E139" t="s">
        <v>31</v>
      </c>
      <c r="H139" t="s">
        <v>29</v>
      </c>
      <c r="I139" t="s">
        <v>262</v>
      </c>
      <c r="J139">
        <v>100</v>
      </c>
      <c r="K139">
        <v>100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100</v>
      </c>
      <c r="AH139">
        <v>1</v>
      </c>
      <c r="AI139">
        <v>0</v>
      </c>
      <c r="AJ139">
        <v>0</v>
      </c>
      <c r="AK139">
        <v>100</v>
      </c>
      <c r="AL139">
        <v>0</v>
      </c>
      <c r="AM139">
        <v>0</v>
      </c>
      <c r="AN139">
        <v>0</v>
      </c>
      <c r="AO139">
        <v>0</v>
      </c>
      <c r="AP139">
        <v>70</v>
      </c>
      <c r="AT139" t="s">
        <v>263</v>
      </c>
      <c r="AV139" t="s">
        <v>264</v>
      </c>
    </row>
    <row r="140" spans="1:48">
      <c r="A140">
        <v>2313010585</v>
      </c>
      <c r="B140">
        <v>2313010673</v>
      </c>
      <c r="C140" t="s">
        <v>435</v>
      </c>
      <c r="D140" t="s">
        <v>436</v>
      </c>
      <c r="E140" t="s">
        <v>31</v>
      </c>
      <c r="H140" t="s">
        <v>29</v>
      </c>
      <c r="I140" t="s">
        <v>262</v>
      </c>
      <c r="J140">
        <v>100</v>
      </c>
      <c r="K140">
        <v>100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100</v>
      </c>
      <c r="AH140">
        <v>1</v>
      </c>
      <c r="AI140">
        <v>0</v>
      </c>
      <c r="AJ140">
        <v>0</v>
      </c>
      <c r="AK140">
        <v>100</v>
      </c>
      <c r="AL140">
        <v>0</v>
      </c>
      <c r="AM140">
        <v>0</v>
      </c>
      <c r="AN140">
        <v>0</v>
      </c>
      <c r="AO140">
        <v>0</v>
      </c>
      <c r="AP140">
        <v>70</v>
      </c>
      <c r="AT140" t="s">
        <v>263</v>
      </c>
      <c r="AV140" t="s">
        <v>264</v>
      </c>
    </row>
    <row r="141" spans="1:48">
      <c r="A141">
        <v>2313010585</v>
      </c>
      <c r="B141">
        <v>2313010674</v>
      </c>
      <c r="C141" t="s">
        <v>437</v>
      </c>
      <c r="D141" t="s">
        <v>438</v>
      </c>
      <c r="E141" t="s">
        <v>31</v>
      </c>
      <c r="H141" t="s">
        <v>29</v>
      </c>
      <c r="I141" t="s">
        <v>262</v>
      </c>
      <c r="J141">
        <v>100</v>
      </c>
      <c r="K141">
        <v>100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100</v>
      </c>
      <c r="AH141">
        <v>1</v>
      </c>
      <c r="AI141">
        <v>0</v>
      </c>
      <c r="AJ141">
        <v>0</v>
      </c>
      <c r="AK141">
        <v>100</v>
      </c>
      <c r="AL141">
        <v>0</v>
      </c>
      <c r="AM141">
        <v>0</v>
      </c>
      <c r="AN141">
        <v>0</v>
      </c>
      <c r="AO141">
        <v>0</v>
      </c>
      <c r="AP141">
        <v>70</v>
      </c>
      <c r="AT141" t="s">
        <v>263</v>
      </c>
      <c r="AV141" t="s">
        <v>264</v>
      </c>
    </row>
    <row r="142" spans="1:48">
      <c r="A142">
        <v>2313010585</v>
      </c>
      <c r="B142">
        <v>2313010675</v>
      </c>
      <c r="C142" t="s">
        <v>439</v>
      </c>
      <c r="D142" t="s">
        <v>440</v>
      </c>
      <c r="E142" t="s">
        <v>31</v>
      </c>
      <c r="H142" t="s">
        <v>29</v>
      </c>
      <c r="I142" t="s">
        <v>262</v>
      </c>
      <c r="J142">
        <v>100</v>
      </c>
      <c r="K142">
        <v>100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100</v>
      </c>
      <c r="AH142">
        <v>1</v>
      </c>
      <c r="AI142">
        <v>0</v>
      </c>
      <c r="AJ142">
        <v>0</v>
      </c>
      <c r="AK142">
        <v>100</v>
      </c>
      <c r="AL142">
        <v>0</v>
      </c>
      <c r="AM142">
        <v>0</v>
      </c>
      <c r="AN142">
        <v>0</v>
      </c>
      <c r="AO142">
        <v>0</v>
      </c>
      <c r="AP142">
        <v>70</v>
      </c>
      <c r="AT142" t="s">
        <v>263</v>
      </c>
      <c r="AV142" t="s">
        <v>264</v>
      </c>
    </row>
    <row r="143" spans="1:48">
      <c r="A143">
        <v>2313010585</v>
      </c>
      <c r="B143">
        <v>2313010676</v>
      </c>
      <c r="C143" t="s">
        <v>441</v>
      </c>
      <c r="D143" t="s">
        <v>442</v>
      </c>
      <c r="E143" t="s">
        <v>31</v>
      </c>
      <c r="H143" t="s">
        <v>29</v>
      </c>
      <c r="I143" t="s">
        <v>262</v>
      </c>
      <c r="J143">
        <v>100</v>
      </c>
      <c r="K143">
        <v>100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100</v>
      </c>
      <c r="AH143">
        <v>1</v>
      </c>
      <c r="AI143">
        <v>0</v>
      </c>
      <c r="AJ143">
        <v>0</v>
      </c>
      <c r="AK143">
        <v>100</v>
      </c>
      <c r="AL143">
        <v>0</v>
      </c>
      <c r="AM143">
        <v>0</v>
      </c>
      <c r="AN143">
        <v>0</v>
      </c>
      <c r="AO143">
        <v>0</v>
      </c>
      <c r="AP143">
        <v>70</v>
      </c>
      <c r="AT143" t="s">
        <v>263</v>
      </c>
      <c r="AV143" t="s">
        <v>264</v>
      </c>
    </row>
    <row r="144" spans="1:48">
      <c r="A144">
        <v>2313010585</v>
      </c>
      <c r="B144">
        <v>2313010677</v>
      </c>
      <c r="C144" t="s">
        <v>443</v>
      </c>
      <c r="D144" t="s">
        <v>444</v>
      </c>
      <c r="E144" t="s">
        <v>31</v>
      </c>
      <c r="H144" t="s">
        <v>29</v>
      </c>
      <c r="I144" t="s">
        <v>262</v>
      </c>
      <c r="J144">
        <v>100</v>
      </c>
      <c r="K144">
        <v>100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100</v>
      </c>
      <c r="AH144">
        <v>1</v>
      </c>
      <c r="AI144">
        <v>0</v>
      </c>
      <c r="AJ144">
        <v>0</v>
      </c>
      <c r="AK144">
        <v>100</v>
      </c>
      <c r="AL144">
        <v>0</v>
      </c>
      <c r="AM144">
        <v>0</v>
      </c>
      <c r="AN144">
        <v>0</v>
      </c>
      <c r="AO144">
        <v>0</v>
      </c>
      <c r="AP144">
        <v>70</v>
      </c>
      <c r="AT144" t="s">
        <v>263</v>
      </c>
      <c r="AV144" t="s">
        <v>264</v>
      </c>
    </row>
    <row r="145" spans="1:48">
      <c r="A145">
        <v>2313010585</v>
      </c>
      <c r="B145">
        <v>2313010678</v>
      </c>
      <c r="C145" t="s">
        <v>445</v>
      </c>
      <c r="D145" t="s">
        <v>446</v>
      </c>
      <c r="E145" t="s">
        <v>31</v>
      </c>
      <c r="H145" t="s">
        <v>29</v>
      </c>
      <c r="I145" t="s">
        <v>262</v>
      </c>
      <c r="J145">
        <v>100</v>
      </c>
      <c r="K145">
        <v>100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100</v>
      </c>
      <c r="AH145">
        <v>1</v>
      </c>
      <c r="AI145">
        <v>0</v>
      </c>
      <c r="AJ145">
        <v>0</v>
      </c>
      <c r="AK145">
        <v>100</v>
      </c>
      <c r="AL145">
        <v>0</v>
      </c>
      <c r="AM145">
        <v>0</v>
      </c>
      <c r="AN145">
        <v>0</v>
      </c>
      <c r="AO145">
        <v>0</v>
      </c>
      <c r="AP145">
        <v>70</v>
      </c>
      <c r="AT145" t="s">
        <v>263</v>
      </c>
      <c r="AV145" t="s">
        <v>264</v>
      </c>
    </row>
    <row r="146" spans="1:48">
      <c r="A146">
        <v>2313010585</v>
      </c>
      <c r="B146">
        <v>2313010679</v>
      </c>
      <c r="C146" t="s">
        <v>447</v>
      </c>
      <c r="D146" t="s">
        <v>448</v>
      </c>
      <c r="E146" t="s">
        <v>31</v>
      </c>
      <c r="H146" t="s">
        <v>29</v>
      </c>
      <c r="I146" t="s">
        <v>262</v>
      </c>
      <c r="J146">
        <v>100</v>
      </c>
      <c r="K146">
        <v>100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100</v>
      </c>
      <c r="AH146">
        <v>1</v>
      </c>
      <c r="AI146">
        <v>0</v>
      </c>
      <c r="AJ146">
        <v>0</v>
      </c>
      <c r="AK146">
        <v>100</v>
      </c>
      <c r="AL146">
        <v>0</v>
      </c>
      <c r="AM146">
        <v>0</v>
      </c>
      <c r="AN146">
        <v>0</v>
      </c>
      <c r="AO146">
        <v>0</v>
      </c>
      <c r="AP146">
        <v>70</v>
      </c>
      <c r="AT146" t="s">
        <v>263</v>
      </c>
      <c r="AV146" t="s">
        <v>264</v>
      </c>
    </row>
    <row r="147" spans="1:48">
      <c r="A147">
        <v>2313010585</v>
      </c>
      <c r="B147">
        <v>2313010680</v>
      </c>
      <c r="C147" t="s">
        <v>449</v>
      </c>
      <c r="D147" t="s">
        <v>450</v>
      </c>
      <c r="E147" t="s">
        <v>31</v>
      </c>
      <c r="H147" t="s">
        <v>29</v>
      </c>
      <c r="I147" t="s">
        <v>262</v>
      </c>
      <c r="J147">
        <v>100</v>
      </c>
      <c r="K147">
        <v>100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100</v>
      </c>
      <c r="AH147">
        <v>1</v>
      </c>
      <c r="AI147">
        <v>0</v>
      </c>
      <c r="AJ147">
        <v>0</v>
      </c>
      <c r="AK147">
        <v>100</v>
      </c>
      <c r="AL147">
        <v>0</v>
      </c>
      <c r="AM147">
        <v>0</v>
      </c>
      <c r="AN147">
        <v>0</v>
      </c>
      <c r="AO147">
        <v>0</v>
      </c>
      <c r="AP147">
        <v>70</v>
      </c>
      <c r="AT147" t="s">
        <v>263</v>
      </c>
      <c r="AV147" t="s">
        <v>264</v>
      </c>
    </row>
    <row r="148" spans="1:48">
      <c r="A148">
        <v>2313010585</v>
      </c>
      <c r="B148">
        <v>2313010681</v>
      </c>
      <c r="C148" t="s">
        <v>451</v>
      </c>
      <c r="D148" t="s">
        <v>452</v>
      </c>
      <c r="E148" t="s">
        <v>31</v>
      </c>
      <c r="H148" t="s">
        <v>29</v>
      </c>
      <c r="I148" t="s">
        <v>262</v>
      </c>
      <c r="J148">
        <v>100</v>
      </c>
      <c r="K148">
        <v>100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100</v>
      </c>
      <c r="AH148">
        <v>1</v>
      </c>
      <c r="AI148">
        <v>0</v>
      </c>
      <c r="AJ148">
        <v>0</v>
      </c>
      <c r="AK148">
        <v>100</v>
      </c>
      <c r="AL148">
        <v>0</v>
      </c>
      <c r="AM148">
        <v>0</v>
      </c>
      <c r="AN148">
        <v>0</v>
      </c>
      <c r="AO148">
        <v>0</v>
      </c>
      <c r="AP148">
        <v>70</v>
      </c>
      <c r="AT148" t="s">
        <v>263</v>
      </c>
      <c r="AV148" t="s">
        <v>264</v>
      </c>
    </row>
    <row r="149" spans="1:48">
      <c r="A149">
        <v>2313010585</v>
      </c>
      <c r="B149">
        <v>2313010682</v>
      </c>
      <c r="C149" t="s">
        <v>453</v>
      </c>
      <c r="D149" t="s">
        <v>454</v>
      </c>
      <c r="E149" t="s">
        <v>31</v>
      </c>
      <c r="H149" t="s">
        <v>29</v>
      </c>
      <c r="I149" t="s">
        <v>262</v>
      </c>
      <c r="J149">
        <v>100</v>
      </c>
      <c r="K149">
        <v>100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100</v>
      </c>
      <c r="AH149">
        <v>1</v>
      </c>
      <c r="AI149">
        <v>0</v>
      </c>
      <c r="AJ149">
        <v>0</v>
      </c>
      <c r="AK149">
        <v>100</v>
      </c>
      <c r="AL149">
        <v>0</v>
      </c>
      <c r="AM149">
        <v>0</v>
      </c>
      <c r="AN149">
        <v>0</v>
      </c>
      <c r="AO149">
        <v>0</v>
      </c>
      <c r="AP149">
        <v>70</v>
      </c>
      <c r="AT149" t="s">
        <v>263</v>
      </c>
      <c r="AV149" t="s">
        <v>264</v>
      </c>
    </row>
    <row r="150" spans="1:48">
      <c r="A150">
        <v>2313010585</v>
      </c>
      <c r="B150">
        <v>2313010683</v>
      </c>
      <c r="C150" t="s">
        <v>455</v>
      </c>
      <c r="D150" t="s">
        <v>456</v>
      </c>
      <c r="E150" t="s">
        <v>31</v>
      </c>
      <c r="H150" t="s">
        <v>29</v>
      </c>
      <c r="I150" t="s">
        <v>262</v>
      </c>
      <c r="J150">
        <v>100</v>
      </c>
      <c r="K150">
        <v>100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100</v>
      </c>
      <c r="AH150">
        <v>1</v>
      </c>
      <c r="AI150">
        <v>0</v>
      </c>
      <c r="AJ150">
        <v>0</v>
      </c>
      <c r="AK150">
        <v>100</v>
      </c>
      <c r="AL150">
        <v>0</v>
      </c>
      <c r="AM150">
        <v>0</v>
      </c>
      <c r="AN150">
        <v>0</v>
      </c>
      <c r="AO150">
        <v>0</v>
      </c>
      <c r="AP150">
        <v>70</v>
      </c>
      <c r="AT150" t="s">
        <v>263</v>
      </c>
      <c r="AV150" t="s">
        <v>264</v>
      </c>
    </row>
    <row r="151" spans="1:48">
      <c r="A151">
        <v>2313010585</v>
      </c>
      <c r="B151">
        <v>2313010684</v>
      </c>
      <c r="C151" t="s">
        <v>457</v>
      </c>
      <c r="D151" t="s">
        <v>458</v>
      </c>
      <c r="E151" t="s">
        <v>31</v>
      </c>
      <c r="H151" t="s">
        <v>29</v>
      </c>
      <c r="I151" t="s">
        <v>262</v>
      </c>
      <c r="J151">
        <v>100</v>
      </c>
      <c r="K151">
        <v>100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100</v>
      </c>
      <c r="AH151">
        <v>1</v>
      </c>
      <c r="AI151">
        <v>0</v>
      </c>
      <c r="AJ151">
        <v>0</v>
      </c>
      <c r="AK151">
        <v>100</v>
      </c>
      <c r="AL151">
        <v>0</v>
      </c>
      <c r="AM151">
        <v>0</v>
      </c>
      <c r="AN151">
        <v>0</v>
      </c>
      <c r="AO151">
        <v>0</v>
      </c>
      <c r="AP151">
        <v>70</v>
      </c>
      <c r="AT151" t="s">
        <v>263</v>
      </c>
      <c r="AV151" t="s">
        <v>264</v>
      </c>
    </row>
    <row r="152" spans="1:48">
      <c r="A152">
        <v>2313010585</v>
      </c>
      <c r="B152">
        <v>2313010685</v>
      </c>
      <c r="C152" t="s">
        <v>459</v>
      </c>
      <c r="D152" t="s">
        <v>460</v>
      </c>
      <c r="E152" t="s">
        <v>31</v>
      </c>
      <c r="H152" t="s">
        <v>29</v>
      </c>
      <c r="I152" t="s">
        <v>262</v>
      </c>
      <c r="J152">
        <v>100</v>
      </c>
      <c r="K152">
        <v>100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100</v>
      </c>
      <c r="AH152">
        <v>1</v>
      </c>
      <c r="AI152">
        <v>0</v>
      </c>
      <c r="AJ152">
        <v>0</v>
      </c>
      <c r="AK152">
        <v>100</v>
      </c>
      <c r="AL152">
        <v>0</v>
      </c>
      <c r="AM152">
        <v>0</v>
      </c>
      <c r="AN152">
        <v>0</v>
      </c>
      <c r="AO152">
        <v>0</v>
      </c>
      <c r="AP152">
        <v>70</v>
      </c>
      <c r="AT152" t="s">
        <v>263</v>
      </c>
      <c r="AV152" t="s">
        <v>264</v>
      </c>
    </row>
    <row r="153" spans="1:48">
      <c r="A153">
        <v>2313010585</v>
      </c>
      <c r="B153">
        <v>2313010686</v>
      </c>
      <c r="C153" t="s">
        <v>461</v>
      </c>
      <c r="D153" t="s">
        <v>462</v>
      </c>
      <c r="E153" t="s">
        <v>31</v>
      </c>
      <c r="H153" t="s">
        <v>29</v>
      </c>
      <c r="I153" t="s">
        <v>262</v>
      </c>
      <c r="J153">
        <v>100</v>
      </c>
      <c r="K153">
        <v>100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100</v>
      </c>
      <c r="AH153">
        <v>1</v>
      </c>
      <c r="AI153">
        <v>0</v>
      </c>
      <c r="AJ153">
        <v>0</v>
      </c>
      <c r="AK153">
        <v>100</v>
      </c>
      <c r="AL153">
        <v>0</v>
      </c>
      <c r="AM153">
        <v>0</v>
      </c>
      <c r="AN153">
        <v>0</v>
      </c>
      <c r="AO153">
        <v>0</v>
      </c>
      <c r="AP153">
        <v>70</v>
      </c>
      <c r="AT153" t="s">
        <v>263</v>
      </c>
      <c r="AV153" t="s">
        <v>264</v>
      </c>
    </row>
    <row r="154" spans="1:48">
      <c r="A154">
        <v>2313010585</v>
      </c>
      <c r="B154">
        <v>2313010687</v>
      </c>
      <c r="C154" t="s">
        <v>463</v>
      </c>
      <c r="D154" t="s">
        <v>464</v>
      </c>
      <c r="E154" t="s">
        <v>31</v>
      </c>
      <c r="H154" t="s">
        <v>29</v>
      </c>
      <c r="I154" t="s">
        <v>262</v>
      </c>
      <c r="J154">
        <v>100</v>
      </c>
      <c r="K154">
        <v>100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100</v>
      </c>
      <c r="AH154">
        <v>1</v>
      </c>
      <c r="AI154">
        <v>0</v>
      </c>
      <c r="AJ154">
        <v>0</v>
      </c>
      <c r="AK154">
        <v>100</v>
      </c>
      <c r="AL154">
        <v>0</v>
      </c>
      <c r="AM154">
        <v>0</v>
      </c>
      <c r="AN154">
        <v>0</v>
      </c>
      <c r="AO154">
        <v>0</v>
      </c>
      <c r="AP154">
        <v>70</v>
      </c>
      <c r="AT154" t="s">
        <v>263</v>
      </c>
      <c r="AV154" t="s">
        <v>264</v>
      </c>
    </row>
    <row r="155" spans="1:48">
      <c r="A155">
        <v>2313010585</v>
      </c>
      <c r="B155">
        <v>2313010688</v>
      </c>
      <c r="C155" t="s">
        <v>465</v>
      </c>
      <c r="D155" t="s">
        <v>466</v>
      </c>
      <c r="E155" t="s">
        <v>31</v>
      </c>
      <c r="H155" t="s">
        <v>29</v>
      </c>
      <c r="I155" t="s">
        <v>262</v>
      </c>
      <c r="J155">
        <v>100</v>
      </c>
      <c r="K155">
        <v>100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100</v>
      </c>
      <c r="AH155">
        <v>1</v>
      </c>
      <c r="AI155">
        <v>0</v>
      </c>
      <c r="AJ155">
        <v>0</v>
      </c>
      <c r="AK155">
        <v>100</v>
      </c>
      <c r="AL155">
        <v>0</v>
      </c>
      <c r="AM155">
        <v>0</v>
      </c>
      <c r="AN155">
        <v>0</v>
      </c>
      <c r="AO155">
        <v>0</v>
      </c>
      <c r="AP155">
        <v>70</v>
      </c>
      <c r="AT155" t="s">
        <v>263</v>
      </c>
      <c r="AV155" t="s">
        <v>264</v>
      </c>
    </row>
    <row r="156" spans="1:48">
      <c r="A156">
        <v>2313010585</v>
      </c>
      <c r="B156">
        <v>2313010689</v>
      </c>
      <c r="C156" t="s">
        <v>467</v>
      </c>
      <c r="D156" t="s">
        <v>468</v>
      </c>
      <c r="E156" t="s">
        <v>31</v>
      </c>
      <c r="H156" t="s">
        <v>29</v>
      </c>
      <c r="I156" t="s">
        <v>262</v>
      </c>
      <c r="J156">
        <v>100</v>
      </c>
      <c r="K156">
        <v>100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100</v>
      </c>
      <c r="AH156">
        <v>1</v>
      </c>
      <c r="AI156">
        <v>0</v>
      </c>
      <c r="AJ156">
        <v>0</v>
      </c>
      <c r="AK156">
        <v>100</v>
      </c>
      <c r="AL156">
        <v>0</v>
      </c>
      <c r="AM156">
        <v>0</v>
      </c>
      <c r="AN156">
        <v>0</v>
      </c>
      <c r="AO156">
        <v>0</v>
      </c>
      <c r="AP156">
        <v>70</v>
      </c>
      <c r="AT156" t="s">
        <v>263</v>
      </c>
      <c r="AV156" t="s">
        <v>264</v>
      </c>
    </row>
    <row r="157" spans="1:48">
      <c r="A157">
        <v>2313010585</v>
      </c>
      <c r="B157">
        <v>2313010690</v>
      </c>
      <c r="C157" t="s">
        <v>469</v>
      </c>
      <c r="D157" t="s">
        <v>470</v>
      </c>
      <c r="E157" t="s">
        <v>31</v>
      </c>
      <c r="H157" t="s">
        <v>29</v>
      </c>
      <c r="I157" t="s">
        <v>262</v>
      </c>
      <c r="J157">
        <v>100</v>
      </c>
      <c r="K157">
        <v>100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100</v>
      </c>
      <c r="AH157">
        <v>1</v>
      </c>
      <c r="AI157">
        <v>0</v>
      </c>
      <c r="AJ157">
        <v>0</v>
      </c>
      <c r="AK157">
        <v>100</v>
      </c>
      <c r="AL157">
        <v>0</v>
      </c>
      <c r="AM157">
        <v>0</v>
      </c>
      <c r="AN157">
        <v>0</v>
      </c>
      <c r="AO157">
        <v>0</v>
      </c>
      <c r="AP157">
        <v>70</v>
      </c>
      <c r="AT157" t="s">
        <v>263</v>
      </c>
      <c r="AV157" t="s">
        <v>264</v>
      </c>
    </row>
    <row r="158" spans="1:48">
      <c r="A158">
        <v>2313010585</v>
      </c>
      <c r="B158">
        <v>2313010691</v>
      </c>
      <c r="C158" t="s">
        <v>471</v>
      </c>
      <c r="D158" t="s">
        <v>472</v>
      </c>
      <c r="E158" t="s">
        <v>31</v>
      </c>
      <c r="H158" t="s">
        <v>29</v>
      </c>
      <c r="I158" t="s">
        <v>262</v>
      </c>
      <c r="J158">
        <v>100</v>
      </c>
      <c r="K158">
        <v>100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100</v>
      </c>
      <c r="AH158">
        <v>1</v>
      </c>
      <c r="AI158">
        <v>0</v>
      </c>
      <c r="AJ158">
        <v>0</v>
      </c>
      <c r="AK158">
        <v>100</v>
      </c>
      <c r="AL158">
        <v>0</v>
      </c>
      <c r="AM158">
        <v>0</v>
      </c>
      <c r="AN158">
        <v>0</v>
      </c>
      <c r="AO158">
        <v>0</v>
      </c>
      <c r="AP158">
        <v>70</v>
      </c>
      <c r="AT158" t="s">
        <v>263</v>
      </c>
      <c r="AV158" t="s">
        <v>264</v>
      </c>
    </row>
    <row r="159" spans="1:48">
      <c r="A159">
        <v>2313010585</v>
      </c>
      <c r="B159">
        <v>2313010692</v>
      </c>
      <c r="C159" t="s">
        <v>473</v>
      </c>
      <c r="D159" t="s">
        <v>474</v>
      </c>
      <c r="E159" t="s">
        <v>31</v>
      </c>
      <c r="H159" t="s">
        <v>29</v>
      </c>
      <c r="I159" t="s">
        <v>262</v>
      </c>
      <c r="J159">
        <v>100</v>
      </c>
      <c r="K159">
        <v>100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100</v>
      </c>
      <c r="AH159">
        <v>1</v>
      </c>
      <c r="AI159">
        <v>0</v>
      </c>
      <c r="AJ159">
        <v>0</v>
      </c>
      <c r="AK159">
        <v>100</v>
      </c>
      <c r="AL159">
        <v>0</v>
      </c>
      <c r="AM159">
        <v>0</v>
      </c>
      <c r="AN159">
        <v>0</v>
      </c>
      <c r="AO159">
        <v>0</v>
      </c>
      <c r="AP159">
        <v>70</v>
      </c>
      <c r="AT159" t="s">
        <v>263</v>
      </c>
      <c r="AV159" t="s">
        <v>264</v>
      </c>
    </row>
    <row r="160" spans="1:48">
      <c r="A160">
        <v>2313010585</v>
      </c>
      <c r="B160">
        <v>2313010693</v>
      </c>
      <c r="C160" t="s">
        <v>475</v>
      </c>
      <c r="D160" t="s">
        <v>476</v>
      </c>
      <c r="E160" t="s">
        <v>31</v>
      </c>
      <c r="H160" t="s">
        <v>29</v>
      </c>
      <c r="I160" t="s">
        <v>262</v>
      </c>
      <c r="J160">
        <v>100</v>
      </c>
      <c r="K160">
        <v>100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100</v>
      </c>
      <c r="AH160">
        <v>1</v>
      </c>
      <c r="AI160">
        <v>0</v>
      </c>
      <c r="AJ160">
        <v>0</v>
      </c>
      <c r="AK160">
        <v>100</v>
      </c>
      <c r="AL160">
        <v>0</v>
      </c>
      <c r="AM160">
        <v>0</v>
      </c>
      <c r="AN160">
        <v>0</v>
      </c>
      <c r="AO160">
        <v>0</v>
      </c>
      <c r="AP160">
        <v>70</v>
      </c>
      <c r="AT160" t="s">
        <v>263</v>
      </c>
      <c r="AV160" t="s">
        <v>264</v>
      </c>
    </row>
    <row r="161" spans="1:48">
      <c r="A161">
        <v>2313010585</v>
      </c>
      <c r="B161">
        <v>2313010694</v>
      </c>
      <c r="C161" t="s">
        <v>477</v>
      </c>
      <c r="D161" t="s">
        <v>478</v>
      </c>
      <c r="E161" t="s">
        <v>31</v>
      </c>
      <c r="H161" t="s">
        <v>29</v>
      </c>
      <c r="I161" t="s">
        <v>262</v>
      </c>
      <c r="J161">
        <v>100</v>
      </c>
      <c r="K161">
        <v>100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100</v>
      </c>
      <c r="AH161">
        <v>1</v>
      </c>
      <c r="AI161">
        <v>0</v>
      </c>
      <c r="AJ161">
        <v>0</v>
      </c>
      <c r="AK161">
        <v>100</v>
      </c>
      <c r="AL161">
        <v>0</v>
      </c>
      <c r="AM161">
        <v>0</v>
      </c>
      <c r="AN161">
        <v>0</v>
      </c>
      <c r="AO161">
        <v>0</v>
      </c>
      <c r="AP161">
        <v>70</v>
      </c>
      <c r="AT161" t="s">
        <v>263</v>
      </c>
      <c r="AV161" t="s">
        <v>264</v>
      </c>
    </row>
    <row r="162" spans="1:48">
      <c r="A162">
        <v>2313010585</v>
      </c>
      <c r="B162">
        <v>2313010695</v>
      </c>
      <c r="C162" t="s">
        <v>479</v>
      </c>
      <c r="D162" t="s">
        <v>480</v>
      </c>
      <c r="E162" t="s">
        <v>31</v>
      </c>
      <c r="H162" t="s">
        <v>29</v>
      </c>
      <c r="I162" t="s">
        <v>262</v>
      </c>
      <c r="J162">
        <v>100</v>
      </c>
      <c r="K162">
        <v>100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100</v>
      </c>
      <c r="AH162">
        <v>1</v>
      </c>
      <c r="AI162">
        <v>0</v>
      </c>
      <c r="AJ162">
        <v>0</v>
      </c>
      <c r="AK162">
        <v>100</v>
      </c>
      <c r="AL162">
        <v>0</v>
      </c>
      <c r="AM162">
        <v>0</v>
      </c>
      <c r="AN162">
        <v>0</v>
      </c>
      <c r="AO162">
        <v>0</v>
      </c>
      <c r="AP162">
        <v>70</v>
      </c>
      <c r="AT162" t="s">
        <v>263</v>
      </c>
      <c r="AV162" t="s">
        <v>264</v>
      </c>
    </row>
    <row r="163" spans="1:48">
      <c r="A163">
        <v>2313010585</v>
      </c>
      <c r="B163">
        <v>2313010696</v>
      </c>
      <c r="C163" t="s">
        <v>481</v>
      </c>
      <c r="D163" t="s">
        <v>482</v>
      </c>
      <c r="E163" t="s">
        <v>31</v>
      </c>
      <c r="H163" t="s">
        <v>29</v>
      </c>
      <c r="I163" t="s">
        <v>262</v>
      </c>
      <c r="J163">
        <v>100</v>
      </c>
      <c r="K163">
        <v>100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100</v>
      </c>
      <c r="AH163">
        <v>1</v>
      </c>
      <c r="AI163">
        <v>0</v>
      </c>
      <c r="AJ163">
        <v>0</v>
      </c>
      <c r="AK163">
        <v>100</v>
      </c>
      <c r="AL163">
        <v>0</v>
      </c>
      <c r="AM163">
        <v>0</v>
      </c>
      <c r="AN163">
        <v>0</v>
      </c>
      <c r="AO163">
        <v>0</v>
      </c>
      <c r="AP163">
        <v>70</v>
      </c>
      <c r="AT163" t="s">
        <v>263</v>
      </c>
      <c r="AV163" t="s">
        <v>264</v>
      </c>
    </row>
    <row r="164" spans="1:48">
      <c r="A164">
        <v>2313010585</v>
      </c>
      <c r="B164">
        <v>2313010697</v>
      </c>
      <c r="C164" t="s">
        <v>483</v>
      </c>
      <c r="D164" t="s">
        <v>484</v>
      </c>
      <c r="E164" t="s">
        <v>31</v>
      </c>
      <c r="H164" t="s">
        <v>29</v>
      </c>
      <c r="I164" t="s">
        <v>262</v>
      </c>
      <c r="J164">
        <v>100</v>
      </c>
      <c r="K164">
        <v>100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100</v>
      </c>
      <c r="AH164">
        <v>1</v>
      </c>
      <c r="AI164">
        <v>0</v>
      </c>
      <c r="AJ164">
        <v>0</v>
      </c>
      <c r="AK164">
        <v>100</v>
      </c>
      <c r="AL164">
        <v>0</v>
      </c>
      <c r="AM164">
        <v>0</v>
      </c>
      <c r="AN164">
        <v>0</v>
      </c>
      <c r="AO164">
        <v>0</v>
      </c>
      <c r="AP164">
        <v>70</v>
      </c>
      <c r="AT164" t="s">
        <v>263</v>
      </c>
      <c r="AV164" t="s">
        <v>264</v>
      </c>
    </row>
    <row r="165" spans="1:48">
      <c r="A165">
        <v>2313010585</v>
      </c>
      <c r="B165">
        <v>2313010698</v>
      </c>
      <c r="C165" t="s">
        <v>485</v>
      </c>
      <c r="D165" t="s">
        <v>486</v>
      </c>
      <c r="E165" t="s">
        <v>31</v>
      </c>
      <c r="H165" t="s">
        <v>29</v>
      </c>
      <c r="I165" t="s">
        <v>262</v>
      </c>
      <c r="J165">
        <v>100</v>
      </c>
      <c r="K165">
        <v>100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100</v>
      </c>
      <c r="AH165">
        <v>1</v>
      </c>
      <c r="AI165">
        <v>0</v>
      </c>
      <c r="AJ165">
        <v>0</v>
      </c>
      <c r="AK165">
        <v>100</v>
      </c>
      <c r="AL165">
        <v>0</v>
      </c>
      <c r="AM165">
        <v>0</v>
      </c>
      <c r="AN165">
        <v>0</v>
      </c>
      <c r="AO165">
        <v>0</v>
      </c>
      <c r="AP165">
        <v>70</v>
      </c>
      <c r="AT165" t="s">
        <v>263</v>
      </c>
      <c r="AV165" t="s">
        <v>264</v>
      </c>
    </row>
    <row r="166" spans="1:48">
      <c r="A166">
        <v>2313010585</v>
      </c>
      <c r="B166">
        <v>2313010699</v>
      </c>
      <c r="C166" t="s">
        <v>487</v>
      </c>
      <c r="D166" t="s">
        <v>488</v>
      </c>
      <c r="E166" t="s">
        <v>31</v>
      </c>
      <c r="H166" t="s">
        <v>29</v>
      </c>
      <c r="I166" t="s">
        <v>262</v>
      </c>
      <c r="J166">
        <v>100</v>
      </c>
      <c r="K166">
        <v>100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100</v>
      </c>
      <c r="AH166">
        <v>1</v>
      </c>
      <c r="AI166">
        <v>0</v>
      </c>
      <c r="AJ166">
        <v>0</v>
      </c>
      <c r="AK166">
        <v>100</v>
      </c>
      <c r="AL166">
        <v>0</v>
      </c>
      <c r="AM166">
        <v>0</v>
      </c>
      <c r="AN166">
        <v>0</v>
      </c>
      <c r="AO166">
        <v>0</v>
      </c>
      <c r="AP166">
        <v>70</v>
      </c>
      <c r="AT166" t="s">
        <v>263</v>
      </c>
      <c r="AV166" t="s">
        <v>264</v>
      </c>
    </row>
    <row r="167" spans="1:48">
      <c r="A167">
        <v>2313010585</v>
      </c>
      <c r="B167">
        <v>2313010700</v>
      </c>
      <c r="C167" t="s">
        <v>489</v>
      </c>
      <c r="D167" t="s">
        <v>490</v>
      </c>
      <c r="E167" t="s">
        <v>31</v>
      </c>
      <c r="H167" t="s">
        <v>29</v>
      </c>
      <c r="I167" t="s">
        <v>262</v>
      </c>
      <c r="J167">
        <v>100</v>
      </c>
      <c r="K167">
        <v>100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100</v>
      </c>
      <c r="AH167">
        <v>1</v>
      </c>
      <c r="AI167">
        <v>0</v>
      </c>
      <c r="AJ167">
        <v>0</v>
      </c>
      <c r="AK167">
        <v>100</v>
      </c>
      <c r="AL167">
        <v>0</v>
      </c>
      <c r="AM167">
        <v>0</v>
      </c>
      <c r="AN167">
        <v>0</v>
      </c>
      <c r="AO167">
        <v>0</v>
      </c>
      <c r="AP167">
        <v>70</v>
      </c>
      <c r="AT167" t="s">
        <v>263</v>
      </c>
      <c r="AV167" t="s">
        <v>264</v>
      </c>
    </row>
    <row r="168" spans="1:48">
      <c r="A168">
        <v>2313010585</v>
      </c>
      <c r="B168">
        <v>2313010701</v>
      </c>
      <c r="C168" t="s">
        <v>491</v>
      </c>
      <c r="D168" t="s">
        <v>492</v>
      </c>
      <c r="E168" t="s">
        <v>31</v>
      </c>
      <c r="H168" t="s">
        <v>29</v>
      </c>
      <c r="I168" t="s">
        <v>262</v>
      </c>
      <c r="J168">
        <v>100</v>
      </c>
      <c r="K168">
        <v>100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100</v>
      </c>
      <c r="AH168">
        <v>1</v>
      </c>
      <c r="AI168">
        <v>0</v>
      </c>
      <c r="AJ168">
        <v>0</v>
      </c>
      <c r="AK168">
        <v>100</v>
      </c>
      <c r="AL168">
        <v>0</v>
      </c>
      <c r="AM168">
        <v>0</v>
      </c>
      <c r="AN168">
        <v>0</v>
      </c>
      <c r="AO168">
        <v>0</v>
      </c>
      <c r="AP168">
        <v>70</v>
      </c>
      <c r="AT168" t="s">
        <v>263</v>
      </c>
      <c r="AV168" t="s">
        <v>264</v>
      </c>
    </row>
    <row r="169" spans="1:48">
      <c r="A169">
        <v>2313010585</v>
      </c>
      <c r="B169">
        <v>2313010702</v>
      </c>
      <c r="C169" t="s">
        <v>493</v>
      </c>
      <c r="D169" t="s">
        <v>494</v>
      </c>
      <c r="E169" t="s">
        <v>31</v>
      </c>
      <c r="H169" t="s">
        <v>29</v>
      </c>
      <c r="I169" t="s">
        <v>262</v>
      </c>
      <c r="J169">
        <v>100</v>
      </c>
      <c r="K169">
        <v>100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100</v>
      </c>
      <c r="AH169">
        <v>1</v>
      </c>
      <c r="AI169">
        <v>0</v>
      </c>
      <c r="AJ169">
        <v>0</v>
      </c>
      <c r="AK169">
        <v>100</v>
      </c>
      <c r="AL169">
        <v>0</v>
      </c>
      <c r="AM169">
        <v>0</v>
      </c>
      <c r="AN169">
        <v>0</v>
      </c>
      <c r="AO169">
        <v>0</v>
      </c>
      <c r="AP169">
        <v>70</v>
      </c>
      <c r="AT169" t="s">
        <v>263</v>
      </c>
      <c r="AV169" t="s">
        <v>264</v>
      </c>
    </row>
    <row r="170" spans="1:48">
      <c r="A170">
        <v>2313010585</v>
      </c>
      <c r="B170">
        <v>2313010885</v>
      </c>
      <c r="C170" t="s">
        <v>495</v>
      </c>
      <c r="D170" t="s">
        <v>496</v>
      </c>
      <c r="E170" t="s">
        <v>31</v>
      </c>
      <c r="H170" t="s">
        <v>29</v>
      </c>
      <c r="I170" t="s">
        <v>262</v>
      </c>
      <c r="J170">
        <v>100</v>
      </c>
      <c r="K170">
        <v>100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100</v>
      </c>
      <c r="AH170">
        <v>1</v>
      </c>
      <c r="AI170">
        <v>0</v>
      </c>
      <c r="AJ170">
        <v>0</v>
      </c>
      <c r="AK170">
        <v>100</v>
      </c>
      <c r="AL170">
        <v>0</v>
      </c>
      <c r="AM170">
        <v>0</v>
      </c>
      <c r="AN170">
        <v>0</v>
      </c>
      <c r="AO170">
        <v>0</v>
      </c>
      <c r="AP170">
        <v>70</v>
      </c>
      <c r="AT170" t="s">
        <v>263</v>
      </c>
      <c r="AV170" t="s">
        <v>264</v>
      </c>
    </row>
    <row r="171" spans="1:48">
      <c r="A171">
        <v>2313010585</v>
      </c>
      <c r="B171">
        <v>2313010890</v>
      </c>
      <c r="C171" t="s">
        <v>497</v>
      </c>
      <c r="D171" t="s">
        <v>498</v>
      </c>
      <c r="E171" t="s">
        <v>31</v>
      </c>
      <c r="H171" t="s">
        <v>29</v>
      </c>
      <c r="I171" t="s">
        <v>262</v>
      </c>
      <c r="J171">
        <v>100</v>
      </c>
      <c r="K171">
        <v>100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100</v>
      </c>
      <c r="AH171">
        <v>1</v>
      </c>
      <c r="AI171">
        <v>0</v>
      </c>
      <c r="AJ171">
        <v>0</v>
      </c>
      <c r="AK171">
        <v>100</v>
      </c>
      <c r="AL171">
        <v>0</v>
      </c>
      <c r="AM171">
        <v>0</v>
      </c>
      <c r="AN171">
        <v>0</v>
      </c>
      <c r="AO171">
        <v>0</v>
      </c>
      <c r="AP171">
        <v>70</v>
      </c>
      <c r="AT171" t="s">
        <v>263</v>
      </c>
      <c r="AV171" t="s">
        <v>264</v>
      </c>
    </row>
    <row r="172" spans="1:48">
      <c r="A172">
        <v>2313010585</v>
      </c>
      <c r="B172">
        <v>2313010898</v>
      </c>
      <c r="C172" t="s">
        <v>499</v>
      </c>
      <c r="D172" t="s">
        <v>500</v>
      </c>
      <c r="E172" t="s">
        <v>31</v>
      </c>
      <c r="H172" t="s">
        <v>29</v>
      </c>
      <c r="I172" t="s">
        <v>262</v>
      </c>
      <c r="J172">
        <v>100</v>
      </c>
      <c r="K172">
        <v>100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100</v>
      </c>
      <c r="AH172">
        <v>1</v>
      </c>
      <c r="AI172">
        <v>0</v>
      </c>
      <c r="AJ172">
        <v>0</v>
      </c>
      <c r="AK172">
        <v>100</v>
      </c>
      <c r="AL172">
        <v>0</v>
      </c>
      <c r="AM172">
        <v>0</v>
      </c>
      <c r="AN172">
        <v>0</v>
      </c>
      <c r="AO172">
        <v>0</v>
      </c>
      <c r="AP172">
        <v>70</v>
      </c>
      <c r="AT172" t="s">
        <v>263</v>
      </c>
      <c r="AV172" t="s">
        <v>264</v>
      </c>
    </row>
    <row r="173" spans="1:48">
      <c r="A173">
        <v>2313010585</v>
      </c>
      <c r="B173">
        <v>2313010899</v>
      </c>
      <c r="C173" t="s">
        <v>501</v>
      </c>
      <c r="D173" t="s">
        <v>502</v>
      </c>
      <c r="E173" t="s">
        <v>31</v>
      </c>
      <c r="H173" t="s">
        <v>29</v>
      </c>
      <c r="I173" t="s">
        <v>262</v>
      </c>
      <c r="J173">
        <v>100</v>
      </c>
      <c r="K173">
        <v>100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100</v>
      </c>
      <c r="AH173">
        <v>1</v>
      </c>
      <c r="AI173">
        <v>0</v>
      </c>
      <c r="AJ173">
        <v>0</v>
      </c>
      <c r="AK173">
        <v>100</v>
      </c>
      <c r="AL173">
        <v>0</v>
      </c>
      <c r="AM173">
        <v>0</v>
      </c>
      <c r="AN173">
        <v>0</v>
      </c>
      <c r="AO173">
        <v>0</v>
      </c>
      <c r="AP173">
        <v>70</v>
      </c>
      <c r="AT173" t="s">
        <v>263</v>
      </c>
      <c r="AV173" t="s">
        <v>264</v>
      </c>
    </row>
    <row r="174" spans="1:48">
      <c r="A174">
        <v>2313010585</v>
      </c>
      <c r="B174">
        <v>2313010900</v>
      </c>
      <c r="C174" t="s">
        <v>503</v>
      </c>
      <c r="D174" t="s">
        <v>504</v>
      </c>
      <c r="E174" t="s">
        <v>31</v>
      </c>
      <c r="H174" t="s">
        <v>29</v>
      </c>
      <c r="I174" t="s">
        <v>262</v>
      </c>
      <c r="J174">
        <v>100</v>
      </c>
      <c r="K174">
        <v>100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100</v>
      </c>
      <c r="AH174">
        <v>1</v>
      </c>
      <c r="AI174">
        <v>0</v>
      </c>
      <c r="AJ174">
        <v>0</v>
      </c>
      <c r="AK174">
        <v>100</v>
      </c>
      <c r="AL174">
        <v>0</v>
      </c>
      <c r="AM174">
        <v>0</v>
      </c>
      <c r="AN174">
        <v>0</v>
      </c>
      <c r="AO174">
        <v>0</v>
      </c>
      <c r="AP174">
        <v>70</v>
      </c>
      <c r="AT174" t="s">
        <v>263</v>
      </c>
      <c r="AV174" t="s">
        <v>264</v>
      </c>
    </row>
    <row r="175" spans="1:48">
      <c r="A175">
        <v>2313010585</v>
      </c>
      <c r="B175">
        <v>2313010901</v>
      </c>
      <c r="C175" t="s">
        <v>505</v>
      </c>
      <c r="D175" t="s">
        <v>506</v>
      </c>
      <c r="E175" t="s">
        <v>31</v>
      </c>
      <c r="H175" t="s">
        <v>29</v>
      </c>
      <c r="I175" t="s">
        <v>262</v>
      </c>
      <c r="J175">
        <v>100</v>
      </c>
      <c r="K175">
        <v>100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100</v>
      </c>
      <c r="AH175">
        <v>1</v>
      </c>
      <c r="AI175">
        <v>0</v>
      </c>
      <c r="AJ175">
        <v>0</v>
      </c>
      <c r="AK175">
        <v>100</v>
      </c>
      <c r="AL175">
        <v>0</v>
      </c>
      <c r="AM175">
        <v>0</v>
      </c>
      <c r="AN175">
        <v>0</v>
      </c>
      <c r="AO175">
        <v>0</v>
      </c>
      <c r="AP175">
        <v>70</v>
      </c>
      <c r="AT175" t="s">
        <v>263</v>
      </c>
      <c r="AV175" t="s">
        <v>264</v>
      </c>
    </row>
    <row r="176" spans="1:48">
      <c r="A176">
        <v>2313010585</v>
      </c>
      <c r="B176">
        <v>2313010910</v>
      </c>
      <c r="C176" t="s">
        <v>507</v>
      </c>
      <c r="D176" t="s">
        <v>508</v>
      </c>
      <c r="E176" t="s">
        <v>31</v>
      </c>
      <c r="H176" t="s">
        <v>29</v>
      </c>
      <c r="I176" t="s">
        <v>262</v>
      </c>
      <c r="J176">
        <v>100</v>
      </c>
      <c r="K176">
        <v>100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100</v>
      </c>
      <c r="AH176">
        <v>1</v>
      </c>
      <c r="AI176">
        <v>0</v>
      </c>
      <c r="AJ176">
        <v>0</v>
      </c>
      <c r="AK176">
        <v>100</v>
      </c>
      <c r="AL176">
        <v>0</v>
      </c>
      <c r="AM176">
        <v>0</v>
      </c>
      <c r="AN176">
        <v>0</v>
      </c>
      <c r="AO176">
        <v>0</v>
      </c>
      <c r="AP176">
        <v>70</v>
      </c>
      <c r="AT176" t="s">
        <v>263</v>
      </c>
      <c r="AV176" t="s">
        <v>264</v>
      </c>
    </row>
    <row r="177" spans="1:48">
      <c r="A177">
        <v>2313010911</v>
      </c>
      <c r="B177">
        <v>2313010982</v>
      </c>
      <c r="C177" t="s">
        <v>509</v>
      </c>
      <c r="D177" t="s">
        <v>402</v>
      </c>
      <c r="E177" t="s">
        <v>31</v>
      </c>
      <c r="H177" t="s">
        <v>29</v>
      </c>
      <c r="I177" t="s">
        <v>108</v>
      </c>
      <c r="J177">
        <v>100</v>
      </c>
      <c r="K177">
        <v>100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100</v>
      </c>
      <c r="AH177">
        <v>1</v>
      </c>
      <c r="AI177">
        <v>0</v>
      </c>
      <c r="AJ177">
        <v>0</v>
      </c>
      <c r="AK177">
        <v>100</v>
      </c>
      <c r="AL177">
        <v>0</v>
      </c>
      <c r="AM177">
        <v>0</v>
      </c>
      <c r="AN177">
        <v>0</v>
      </c>
      <c r="AO177">
        <v>0</v>
      </c>
      <c r="AP177">
        <v>70</v>
      </c>
      <c r="AT177" t="s">
        <v>327</v>
      </c>
      <c r="AV177" t="s">
        <v>264</v>
      </c>
    </row>
    <row r="178" spans="1:48">
      <c r="A178">
        <v>2313010911</v>
      </c>
      <c r="B178">
        <v>2313010983</v>
      </c>
      <c r="C178" t="s">
        <v>510</v>
      </c>
      <c r="D178" t="s">
        <v>404</v>
      </c>
      <c r="E178" t="s">
        <v>31</v>
      </c>
      <c r="H178" t="s">
        <v>29</v>
      </c>
      <c r="I178" t="s">
        <v>108</v>
      </c>
      <c r="J178">
        <v>100</v>
      </c>
      <c r="K178">
        <v>100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100</v>
      </c>
      <c r="AH178">
        <v>1</v>
      </c>
      <c r="AI178">
        <v>0</v>
      </c>
      <c r="AJ178">
        <v>0</v>
      </c>
      <c r="AK178">
        <v>100</v>
      </c>
      <c r="AL178">
        <v>0</v>
      </c>
      <c r="AM178">
        <v>0</v>
      </c>
      <c r="AN178">
        <v>0</v>
      </c>
      <c r="AO178">
        <v>0</v>
      </c>
      <c r="AP178">
        <v>70</v>
      </c>
      <c r="AT178" t="s">
        <v>327</v>
      </c>
      <c r="AV178" t="s">
        <v>264</v>
      </c>
    </row>
    <row r="179" spans="1:48">
      <c r="A179">
        <v>2313010911</v>
      </c>
      <c r="B179">
        <v>2313010984</v>
      </c>
      <c r="C179" t="s">
        <v>511</v>
      </c>
      <c r="D179" t="s">
        <v>406</v>
      </c>
      <c r="E179" t="s">
        <v>31</v>
      </c>
      <c r="H179" t="s">
        <v>29</v>
      </c>
      <c r="I179" t="s">
        <v>108</v>
      </c>
      <c r="J179">
        <v>100</v>
      </c>
      <c r="K179">
        <v>100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100</v>
      </c>
      <c r="AH179">
        <v>1</v>
      </c>
      <c r="AI179">
        <v>0</v>
      </c>
      <c r="AJ179">
        <v>0</v>
      </c>
      <c r="AK179">
        <v>100</v>
      </c>
      <c r="AL179">
        <v>0</v>
      </c>
      <c r="AM179">
        <v>0</v>
      </c>
      <c r="AN179">
        <v>0</v>
      </c>
      <c r="AO179">
        <v>0</v>
      </c>
      <c r="AP179">
        <v>70</v>
      </c>
      <c r="AT179" t="s">
        <v>327</v>
      </c>
      <c r="AV179" t="s">
        <v>264</v>
      </c>
    </row>
    <row r="180" spans="1:48">
      <c r="A180">
        <v>2313010911</v>
      </c>
      <c r="B180">
        <v>2313010985</v>
      </c>
      <c r="C180" t="s">
        <v>512</v>
      </c>
      <c r="D180" t="s">
        <v>408</v>
      </c>
      <c r="E180" t="s">
        <v>31</v>
      </c>
      <c r="H180" t="s">
        <v>29</v>
      </c>
      <c r="I180" t="s">
        <v>108</v>
      </c>
      <c r="J180">
        <v>100</v>
      </c>
      <c r="K180">
        <v>100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100</v>
      </c>
      <c r="AH180">
        <v>1</v>
      </c>
      <c r="AI180">
        <v>0</v>
      </c>
      <c r="AJ180">
        <v>0</v>
      </c>
      <c r="AK180">
        <v>100</v>
      </c>
      <c r="AL180">
        <v>0</v>
      </c>
      <c r="AM180">
        <v>0</v>
      </c>
      <c r="AN180">
        <v>0</v>
      </c>
      <c r="AO180">
        <v>0</v>
      </c>
      <c r="AP180">
        <v>70</v>
      </c>
      <c r="AT180" t="s">
        <v>327</v>
      </c>
      <c r="AV180" t="s">
        <v>264</v>
      </c>
    </row>
    <row r="181" spans="1:48">
      <c r="A181">
        <v>2313010911</v>
      </c>
      <c r="B181">
        <v>2313010986</v>
      </c>
      <c r="C181" t="s">
        <v>513</v>
      </c>
      <c r="D181" t="s">
        <v>410</v>
      </c>
      <c r="E181" t="s">
        <v>31</v>
      </c>
      <c r="H181" t="s">
        <v>29</v>
      </c>
      <c r="I181" t="s">
        <v>108</v>
      </c>
      <c r="J181">
        <v>100</v>
      </c>
      <c r="K181">
        <v>100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100</v>
      </c>
      <c r="AH181">
        <v>1</v>
      </c>
      <c r="AI181">
        <v>0</v>
      </c>
      <c r="AJ181">
        <v>0</v>
      </c>
      <c r="AK181">
        <v>100</v>
      </c>
      <c r="AL181">
        <v>0</v>
      </c>
      <c r="AM181">
        <v>0</v>
      </c>
      <c r="AN181">
        <v>0</v>
      </c>
      <c r="AO181">
        <v>0</v>
      </c>
      <c r="AP181">
        <v>70</v>
      </c>
      <c r="AT181" t="s">
        <v>327</v>
      </c>
      <c r="AV181" t="s">
        <v>264</v>
      </c>
    </row>
    <row r="182" spans="1:48">
      <c r="A182">
        <v>2313010911</v>
      </c>
      <c r="B182">
        <v>2313010987</v>
      </c>
      <c r="C182" t="s">
        <v>514</v>
      </c>
      <c r="D182" t="s">
        <v>412</v>
      </c>
      <c r="E182" t="s">
        <v>31</v>
      </c>
      <c r="H182" t="s">
        <v>29</v>
      </c>
      <c r="I182" t="s">
        <v>108</v>
      </c>
      <c r="J182">
        <v>100</v>
      </c>
      <c r="K182">
        <v>100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100</v>
      </c>
      <c r="AH182">
        <v>1</v>
      </c>
      <c r="AI182">
        <v>0</v>
      </c>
      <c r="AJ182">
        <v>0</v>
      </c>
      <c r="AK182">
        <v>100</v>
      </c>
      <c r="AL182">
        <v>0</v>
      </c>
      <c r="AM182">
        <v>0</v>
      </c>
      <c r="AN182">
        <v>0</v>
      </c>
      <c r="AO182">
        <v>0</v>
      </c>
      <c r="AP182">
        <v>70</v>
      </c>
      <c r="AT182" t="s">
        <v>327</v>
      </c>
      <c r="AV182" t="s">
        <v>264</v>
      </c>
    </row>
    <row r="183" spans="1:48">
      <c r="A183">
        <v>2313010911</v>
      </c>
      <c r="B183">
        <v>2313010988</v>
      </c>
      <c r="C183" t="s">
        <v>515</v>
      </c>
      <c r="D183" t="s">
        <v>414</v>
      </c>
      <c r="E183" t="s">
        <v>31</v>
      </c>
      <c r="H183" t="s">
        <v>29</v>
      </c>
      <c r="I183" t="s">
        <v>108</v>
      </c>
      <c r="J183">
        <v>100</v>
      </c>
      <c r="K183">
        <v>100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100</v>
      </c>
      <c r="AH183">
        <v>1</v>
      </c>
      <c r="AI183">
        <v>0</v>
      </c>
      <c r="AJ183">
        <v>0</v>
      </c>
      <c r="AK183">
        <v>100</v>
      </c>
      <c r="AL183">
        <v>0</v>
      </c>
      <c r="AM183">
        <v>0</v>
      </c>
      <c r="AN183">
        <v>0</v>
      </c>
      <c r="AO183">
        <v>0</v>
      </c>
      <c r="AP183">
        <v>70</v>
      </c>
      <c r="AT183" t="s">
        <v>327</v>
      </c>
      <c r="AV183" t="s">
        <v>264</v>
      </c>
    </row>
    <row r="184" spans="1:48">
      <c r="A184">
        <v>2313010911</v>
      </c>
      <c r="B184">
        <v>2313010989</v>
      </c>
      <c r="C184" t="s">
        <v>516</v>
      </c>
      <c r="D184" t="s">
        <v>416</v>
      </c>
      <c r="E184" t="s">
        <v>31</v>
      </c>
      <c r="H184" t="s">
        <v>29</v>
      </c>
      <c r="I184" t="s">
        <v>108</v>
      </c>
      <c r="J184">
        <v>100</v>
      </c>
      <c r="K184">
        <v>100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100</v>
      </c>
      <c r="AH184">
        <v>1</v>
      </c>
      <c r="AI184">
        <v>0</v>
      </c>
      <c r="AJ184">
        <v>0</v>
      </c>
      <c r="AK184">
        <v>100</v>
      </c>
      <c r="AL184">
        <v>0</v>
      </c>
      <c r="AM184">
        <v>0</v>
      </c>
      <c r="AN184">
        <v>0</v>
      </c>
      <c r="AO184">
        <v>0</v>
      </c>
      <c r="AP184">
        <v>70</v>
      </c>
      <c r="AT184" t="s">
        <v>327</v>
      </c>
      <c r="AV184" t="s">
        <v>264</v>
      </c>
    </row>
    <row r="185" spans="1:48">
      <c r="A185">
        <v>2313010911</v>
      </c>
      <c r="B185">
        <v>2313010990</v>
      </c>
      <c r="C185" t="s">
        <v>517</v>
      </c>
      <c r="D185" t="s">
        <v>418</v>
      </c>
      <c r="E185" t="s">
        <v>31</v>
      </c>
      <c r="H185" t="s">
        <v>29</v>
      </c>
      <c r="I185" t="s">
        <v>108</v>
      </c>
      <c r="J185">
        <v>100</v>
      </c>
      <c r="K185">
        <v>100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100</v>
      </c>
      <c r="AH185">
        <v>1</v>
      </c>
      <c r="AI185">
        <v>0</v>
      </c>
      <c r="AJ185">
        <v>0</v>
      </c>
      <c r="AK185">
        <v>100</v>
      </c>
      <c r="AL185">
        <v>0</v>
      </c>
      <c r="AM185">
        <v>0</v>
      </c>
      <c r="AN185">
        <v>0</v>
      </c>
      <c r="AO185">
        <v>0</v>
      </c>
      <c r="AP185">
        <v>70</v>
      </c>
      <c r="AT185" t="s">
        <v>327</v>
      </c>
      <c r="AV185" t="s">
        <v>264</v>
      </c>
    </row>
    <row r="186" spans="1:48">
      <c r="A186">
        <v>2313010911</v>
      </c>
      <c r="B186">
        <v>2313010991</v>
      </c>
      <c r="C186" t="s">
        <v>518</v>
      </c>
      <c r="D186" t="s">
        <v>420</v>
      </c>
      <c r="E186" t="s">
        <v>31</v>
      </c>
      <c r="H186" t="s">
        <v>29</v>
      </c>
      <c r="I186" t="s">
        <v>108</v>
      </c>
      <c r="J186">
        <v>100</v>
      </c>
      <c r="K186">
        <v>100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100</v>
      </c>
      <c r="AH186">
        <v>1</v>
      </c>
      <c r="AI186">
        <v>0</v>
      </c>
      <c r="AJ186">
        <v>0</v>
      </c>
      <c r="AK186">
        <v>100</v>
      </c>
      <c r="AL186">
        <v>0</v>
      </c>
      <c r="AM186">
        <v>0</v>
      </c>
      <c r="AN186">
        <v>0</v>
      </c>
      <c r="AO186">
        <v>0</v>
      </c>
      <c r="AP186">
        <v>70</v>
      </c>
      <c r="AT186" t="s">
        <v>327</v>
      </c>
      <c r="AV186" t="s">
        <v>264</v>
      </c>
    </row>
    <row r="187" spans="1:48">
      <c r="A187">
        <v>2313010911</v>
      </c>
      <c r="B187">
        <v>2313010992</v>
      </c>
      <c r="C187" t="s">
        <v>519</v>
      </c>
      <c r="D187" t="s">
        <v>422</v>
      </c>
      <c r="E187" t="s">
        <v>31</v>
      </c>
      <c r="H187" t="s">
        <v>29</v>
      </c>
      <c r="I187" t="s">
        <v>108</v>
      </c>
      <c r="J187">
        <v>100</v>
      </c>
      <c r="K187">
        <v>100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100</v>
      </c>
      <c r="AH187">
        <v>1</v>
      </c>
      <c r="AI187">
        <v>0</v>
      </c>
      <c r="AJ187">
        <v>0</v>
      </c>
      <c r="AK187">
        <v>100</v>
      </c>
      <c r="AL187">
        <v>0</v>
      </c>
      <c r="AM187">
        <v>0</v>
      </c>
      <c r="AN187">
        <v>0</v>
      </c>
      <c r="AO187">
        <v>0</v>
      </c>
      <c r="AP187">
        <v>70</v>
      </c>
      <c r="AT187" t="s">
        <v>327</v>
      </c>
      <c r="AV187" t="s">
        <v>264</v>
      </c>
    </row>
    <row r="188" spans="1:48">
      <c r="A188">
        <v>2313010911</v>
      </c>
      <c r="B188">
        <v>2313010993</v>
      </c>
      <c r="C188" t="s">
        <v>520</v>
      </c>
      <c r="D188" t="s">
        <v>424</v>
      </c>
      <c r="E188" t="s">
        <v>31</v>
      </c>
      <c r="H188" t="s">
        <v>29</v>
      </c>
      <c r="I188" t="s">
        <v>108</v>
      </c>
      <c r="J188">
        <v>100</v>
      </c>
      <c r="K188">
        <v>100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100</v>
      </c>
      <c r="AH188">
        <v>1</v>
      </c>
      <c r="AI188">
        <v>0</v>
      </c>
      <c r="AJ188">
        <v>0</v>
      </c>
      <c r="AK188">
        <v>100</v>
      </c>
      <c r="AL188">
        <v>0</v>
      </c>
      <c r="AM188">
        <v>0</v>
      </c>
      <c r="AN188">
        <v>0</v>
      </c>
      <c r="AO188">
        <v>0</v>
      </c>
      <c r="AP188">
        <v>70</v>
      </c>
      <c r="AT188" t="s">
        <v>327</v>
      </c>
      <c r="AV188" t="s">
        <v>264</v>
      </c>
    </row>
    <row r="189" spans="1:48">
      <c r="A189">
        <v>2313010911</v>
      </c>
      <c r="B189">
        <v>2313010994</v>
      </c>
      <c r="C189" t="s">
        <v>521</v>
      </c>
      <c r="D189" t="s">
        <v>426</v>
      </c>
      <c r="E189" t="s">
        <v>31</v>
      </c>
      <c r="H189" t="s">
        <v>29</v>
      </c>
      <c r="I189" t="s">
        <v>108</v>
      </c>
      <c r="J189">
        <v>100</v>
      </c>
      <c r="K189">
        <v>100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100</v>
      </c>
      <c r="AH189">
        <v>1</v>
      </c>
      <c r="AI189">
        <v>0</v>
      </c>
      <c r="AJ189">
        <v>0</v>
      </c>
      <c r="AK189">
        <v>100</v>
      </c>
      <c r="AL189">
        <v>0</v>
      </c>
      <c r="AM189">
        <v>0</v>
      </c>
      <c r="AN189">
        <v>0</v>
      </c>
      <c r="AO189">
        <v>0</v>
      </c>
      <c r="AP189">
        <v>70</v>
      </c>
      <c r="AT189" t="s">
        <v>327</v>
      </c>
      <c r="AV189" t="s">
        <v>264</v>
      </c>
    </row>
    <row r="190" spans="1:48">
      <c r="A190">
        <v>2313010911</v>
      </c>
      <c r="B190">
        <v>2313010995</v>
      </c>
      <c r="C190" t="s">
        <v>522</v>
      </c>
      <c r="D190" t="s">
        <v>428</v>
      </c>
      <c r="E190" t="s">
        <v>31</v>
      </c>
      <c r="H190" t="s">
        <v>29</v>
      </c>
      <c r="I190" t="s">
        <v>108</v>
      </c>
      <c r="J190">
        <v>100</v>
      </c>
      <c r="K190">
        <v>100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100</v>
      </c>
      <c r="AH190">
        <v>1</v>
      </c>
      <c r="AI190">
        <v>0</v>
      </c>
      <c r="AJ190">
        <v>0</v>
      </c>
      <c r="AK190">
        <v>100</v>
      </c>
      <c r="AL190">
        <v>0</v>
      </c>
      <c r="AM190">
        <v>0</v>
      </c>
      <c r="AN190">
        <v>0</v>
      </c>
      <c r="AO190">
        <v>0</v>
      </c>
      <c r="AP190">
        <v>70</v>
      </c>
      <c r="AT190" t="s">
        <v>327</v>
      </c>
      <c r="AV190" t="s">
        <v>264</v>
      </c>
    </row>
    <row r="191" spans="1:48">
      <c r="A191">
        <v>2313010911</v>
      </c>
      <c r="B191">
        <v>2313010996</v>
      </c>
      <c r="C191" t="s">
        <v>523</v>
      </c>
      <c r="D191" t="s">
        <v>430</v>
      </c>
      <c r="E191" t="s">
        <v>31</v>
      </c>
      <c r="H191" t="s">
        <v>29</v>
      </c>
      <c r="I191" t="s">
        <v>108</v>
      </c>
      <c r="J191">
        <v>100</v>
      </c>
      <c r="K191">
        <v>100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100</v>
      </c>
      <c r="AH191">
        <v>1</v>
      </c>
      <c r="AI191">
        <v>0</v>
      </c>
      <c r="AJ191">
        <v>0</v>
      </c>
      <c r="AK191">
        <v>100</v>
      </c>
      <c r="AL191">
        <v>0</v>
      </c>
      <c r="AM191">
        <v>0</v>
      </c>
      <c r="AN191">
        <v>0</v>
      </c>
      <c r="AO191">
        <v>0</v>
      </c>
      <c r="AP191">
        <v>70</v>
      </c>
      <c r="AT191" t="s">
        <v>327</v>
      </c>
      <c r="AV191" t="s">
        <v>264</v>
      </c>
    </row>
    <row r="192" spans="1:48">
      <c r="A192">
        <v>2313010911</v>
      </c>
      <c r="B192">
        <v>2313010997</v>
      </c>
      <c r="C192" t="s">
        <v>524</v>
      </c>
      <c r="D192" t="s">
        <v>432</v>
      </c>
      <c r="E192" t="s">
        <v>31</v>
      </c>
      <c r="H192" t="s">
        <v>29</v>
      </c>
      <c r="I192" t="s">
        <v>108</v>
      </c>
      <c r="J192">
        <v>100</v>
      </c>
      <c r="K192">
        <v>100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100</v>
      </c>
      <c r="AH192">
        <v>1</v>
      </c>
      <c r="AI192">
        <v>0</v>
      </c>
      <c r="AJ192">
        <v>0</v>
      </c>
      <c r="AK192">
        <v>100</v>
      </c>
      <c r="AL192">
        <v>0</v>
      </c>
      <c r="AM192">
        <v>0</v>
      </c>
      <c r="AN192">
        <v>0</v>
      </c>
      <c r="AO192">
        <v>0</v>
      </c>
      <c r="AP192">
        <v>70</v>
      </c>
      <c r="AT192" t="s">
        <v>327</v>
      </c>
      <c r="AV192" t="s">
        <v>264</v>
      </c>
    </row>
    <row r="193" spans="1:48">
      <c r="A193">
        <v>2313010911</v>
      </c>
      <c r="B193">
        <v>2313010998</v>
      </c>
      <c r="C193" t="s">
        <v>525</v>
      </c>
      <c r="D193" t="s">
        <v>434</v>
      </c>
      <c r="E193" t="s">
        <v>31</v>
      </c>
      <c r="H193" t="s">
        <v>29</v>
      </c>
      <c r="I193" t="s">
        <v>108</v>
      </c>
      <c r="J193">
        <v>100</v>
      </c>
      <c r="K193">
        <v>100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100</v>
      </c>
      <c r="AH193">
        <v>1</v>
      </c>
      <c r="AI193">
        <v>0</v>
      </c>
      <c r="AJ193">
        <v>0</v>
      </c>
      <c r="AK193">
        <v>100</v>
      </c>
      <c r="AL193">
        <v>0</v>
      </c>
      <c r="AM193">
        <v>0</v>
      </c>
      <c r="AN193">
        <v>0</v>
      </c>
      <c r="AO193">
        <v>0</v>
      </c>
      <c r="AP193">
        <v>70</v>
      </c>
      <c r="AT193" t="s">
        <v>327</v>
      </c>
      <c r="AV193" t="s">
        <v>264</v>
      </c>
    </row>
    <row r="194" spans="1:48">
      <c r="A194">
        <v>2313010911</v>
      </c>
      <c r="B194">
        <v>2313010999</v>
      </c>
      <c r="C194" t="s">
        <v>526</v>
      </c>
      <c r="D194" t="s">
        <v>436</v>
      </c>
      <c r="E194" t="s">
        <v>31</v>
      </c>
      <c r="H194" t="s">
        <v>29</v>
      </c>
      <c r="I194" t="s">
        <v>108</v>
      </c>
      <c r="J194">
        <v>100</v>
      </c>
      <c r="K194">
        <v>100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100</v>
      </c>
      <c r="AH194">
        <v>1</v>
      </c>
      <c r="AI194">
        <v>0</v>
      </c>
      <c r="AJ194">
        <v>0</v>
      </c>
      <c r="AK194">
        <v>100</v>
      </c>
      <c r="AL194">
        <v>0</v>
      </c>
      <c r="AM194">
        <v>0</v>
      </c>
      <c r="AN194">
        <v>0</v>
      </c>
      <c r="AO194">
        <v>0</v>
      </c>
      <c r="AP194">
        <v>70</v>
      </c>
      <c r="AT194" t="s">
        <v>327</v>
      </c>
      <c r="AV194" t="s">
        <v>264</v>
      </c>
    </row>
    <row r="195" spans="1:48">
      <c r="A195">
        <v>2313010911</v>
      </c>
      <c r="B195">
        <v>2313011000</v>
      </c>
      <c r="C195" t="s">
        <v>527</v>
      </c>
      <c r="D195" t="s">
        <v>438</v>
      </c>
      <c r="E195" t="s">
        <v>31</v>
      </c>
      <c r="H195" t="s">
        <v>29</v>
      </c>
      <c r="I195" t="s">
        <v>108</v>
      </c>
      <c r="J195">
        <v>100</v>
      </c>
      <c r="K195">
        <v>100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100</v>
      </c>
      <c r="AH195">
        <v>1</v>
      </c>
      <c r="AI195">
        <v>0</v>
      </c>
      <c r="AJ195">
        <v>0</v>
      </c>
      <c r="AK195">
        <v>100</v>
      </c>
      <c r="AL195">
        <v>0</v>
      </c>
      <c r="AM195">
        <v>0</v>
      </c>
      <c r="AN195">
        <v>0</v>
      </c>
      <c r="AO195">
        <v>0</v>
      </c>
      <c r="AP195">
        <v>70</v>
      </c>
      <c r="AT195" t="s">
        <v>327</v>
      </c>
      <c r="AV195" t="s">
        <v>264</v>
      </c>
    </row>
    <row r="196" spans="1:48">
      <c r="A196">
        <v>2313010911</v>
      </c>
      <c r="B196">
        <v>2313011001</v>
      </c>
      <c r="C196" t="s">
        <v>528</v>
      </c>
      <c r="D196" t="s">
        <v>440</v>
      </c>
      <c r="E196" t="s">
        <v>31</v>
      </c>
      <c r="H196" t="s">
        <v>29</v>
      </c>
      <c r="I196" t="s">
        <v>108</v>
      </c>
      <c r="J196">
        <v>100</v>
      </c>
      <c r="K196">
        <v>100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100</v>
      </c>
      <c r="AH196">
        <v>1</v>
      </c>
      <c r="AI196">
        <v>0</v>
      </c>
      <c r="AJ196">
        <v>0</v>
      </c>
      <c r="AK196">
        <v>100</v>
      </c>
      <c r="AL196">
        <v>0</v>
      </c>
      <c r="AM196">
        <v>0</v>
      </c>
      <c r="AN196">
        <v>0</v>
      </c>
      <c r="AO196">
        <v>0</v>
      </c>
      <c r="AP196">
        <v>70</v>
      </c>
      <c r="AT196" t="s">
        <v>327</v>
      </c>
      <c r="AV196" t="s">
        <v>264</v>
      </c>
    </row>
    <row r="197" spans="1:48">
      <c r="A197">
        <v>2313010911</v>
      </c>
      <c r="B197">
        <v>2313011002</v>
      </c>
      <c r="C197" t="s">
        <v>529</v>
      </c>
      <c r="D197" t="s">
        <v>442</v>
      </c>
      <c r="E197" t="s">
        <v>31</v>
      </c>
      <c r="H197" t="s">
        <v>29</v>
      </c>
      <c r="I197" t="s">
        <v>108</v>
      </c>
      <c r="J197">
        <v>100</v>
      </c>
      <c r="K197">
        <v>100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100</v>
      </c>
      <c r="AH197">
        <v>1</v>
      </c>
      <c r="AI197">
        <v>0</v>
      </c>
      <c r="AJ197">
        <v>0</v>
      </c>
      <c r="AK197">
        <v>100</v>
      </c>
      <c r="AL197">
        <v>0</v>
      </c>
      <c r="AM197">
        <v>0</v>
      </c>
      <c r="AN197">
        <v>0</v>
      </c>
      <c r="AO197">
        <v>0</v>
      </c>
      <c r="AP197">
        <v>70</v>
      </c>
      <c r="AT197" t="s">
        <v>327</v>
      </c>
      <c r="AV197" t="s">
        <v>264</v>
      </c>
    </row>
    <row r="198" spans="1:48">
      <c r="A198">
        <v>2313010911</v>
      </c>
      <c r="B198">
        <v>2313011003</v>
      </c>
      <c r="C198" t="s">
        <v>530</v>
      </c>
      <c r="D198" t="s">
        <v>444</v>
      </c>
      <c r="E198" t="s">
        <v>31</v>
      </c>
      <c r="H198" t="s">
        <v>29</v>
      </c>
      <c r="I198" t="s">
        <v>108</v>
      </c>
      <c r="J198">
        <v>100</v>
      </c>
      <c r="K198">
        <v>100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100</v>
      </c>
      <c r="AH198">
        <v>1</v>
      </c>
      <c r="AI198">
        <v>0</v>
      </c>
      <c r="AJ198">
        <v>0</v>
      </c>
      <c r="AK198">
        <v>100</v>
      </c>
      <c r="AL198">
        <v>0</v>
      </c>
      <c r="AM198">
        <v>0</v>
      </c>
      <c r="AN198">
        <v>0</v>
      </c>
      <c r="AO198">
        <v>0</v>
      </c>
      <c r="AP198">
        <v>70</v>
      </c>
      <c r="AT198" t="s">
        <v>327</v>
      </c>
      <c r="AV198" t="s">
        <v>264</v>
      </c>
    </row>
    <row r="199" spans="1:48">
      <c r="A199">
        <v>2313010911</v>
      </c>
      <c r="B199">
        <v>2313011004</v>
      </c>
      <c r="C199" t="s">
        <v>531</v>
      </c>
      <c r="D199" t="s">
        <v>446</v>
      </c>
      <c r="E199" t="s">
        <v>31</v>
      </c>
      <c r="H199" t="s">
        <v>29</v>
      </c>
      <c r="I199" t="s">
        <v>108</v>
      </c>
      <c r="J199">
        <v>100</v>
      </c>
      <c r="K199">
        <v>100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100</v>
      </c>
      <c r="AH199">
        <v>1</v>
      </c>
      <c r="AI199">
        <v>0</v>
      </c>
      <c r="AJ199">
        <v>0</v>
      </c>
      <c r="AK199">
        <v>100</v>
      </c>
      <c r="AL199">
        <v>0</v>
      </c>
      <c r="AM199">
        <v>0</v>
      </c>
      <c r="AN199">
        <v>0</v>
      </c>
      <c r="AO199">
        <v>0</v>
      </c>
      <c r="AP199">
        <v>70</v>
      </c>
      <c r="AT199" t="s">
        <v>327</v>
      </c>
      <c r="AV199" t="s">
        <v>264</v>
      </c>
    </row>
    <row r="200" spans="1:48">
      <c r="A200">
        <v>2313010911</v>
      </c>
      <c r="B200">
        <v>2313011005</v>
      </c>
      <c r="C200" t="s">
        <v>532</v>
      </c>
      <c r="D200" t="s">
        <v>448</v>
      </c>
      <c r="E200" t="s">
        <v>31</v>
      </c>
      <c r="H200" t="s">
        <v>29</v>
      </c>
      <c r="I200" t="s">
        <v>108</v>
      </c>
      <c r="J200">
        <v>100</v>
      </c>
      <c r="K200">
        <v>100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100</v>
      </c>
      <c r="AH200">
        <v>1</v>
      </c>
      <c r="AI200">
        <v>0</v>
      </c>
      <c r="AJ200">
        <v>0</v>
      </c>
      <c r="AK200">
        <v>100</v>
      </c>
      <c r="AL200">
        <v>0</v>
      </c>
      <c r="AM200">
        <v>0</v>
      </c>
      <c r="AN200">
        <v>0</v>
      </c>
      <c r="AO200">
        <v>0</v>
      </c>
      <c r="AP200">
        <v>70</v>
      </c>
      <c r="AT200" t="s">
        <v>327</v>
      </c>
      <c r="AV200" t="s">
        <v>264</v>
      </c>
    </row>
    <row r="201" spans="1:48">
      <c r="A201">
        <v>2313010911</v>
      </c>
      <c r="B201">
        <v>2313011006</v>
      </c>
      <c r="C201" t="s">
        <v>533</v>
      </c>
      <c r="D201" t="s">
        <v>450</v>
      </c>
      <c r="E201" t="s">
        <v>31</v>
      </c>
      <c r="H201" t="s">
        <v>29</v>
      </c>
      <c r="I201" t="s">
        <v>108</v>
      </c>
      <c r="J201">
        <v>100</v>
      </c>
      <c r="K201">
        <v>100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100</v>
      </c>
      <c r="AH201">
        <v>1</v>
      </c>
      <c r="AI201">
        <v>0</v>
      </c>
      <c r="AJ201">
        <v>0</v>
      </c>
      <c r="AK201">
        <v>100</v>
      </c>
      <c r="AL201">
        <v>0</v>
      </c>
      <c r="AM201">
        <v>0</v>
      </c>
      <c r="AN201">
        <v>0</v>
      </c>
      <c r="AO201">
        <v>0</v>
      </c>
      <c r="AP201">
        <v>70</v>
      </c>
      <c r="AT201" t="s">
        <v>327</v>
      </c>
      <c r="AV201" t="s">
        <v>264</v>
      </c>
    </row>
    <row r="202" spans="1:48">
      <c r="A202">
        <v>2313010911</v>
      </c>
      <c r="B202">
        <v>2313011007</v>
      </c>
      <c r="C202" t="s">
        <v>534</v>
      </c>
      <c r="D202" t="s">
        <v>452</v>
      </c>
      <c r="E202" t="s">
        <v>31</v>
      </c>
      <c r="H202" t="s">
        <v>29</v>
      </c>
      <c r="I202" t="s">
        <v>108</v>
      </c>
      <c r="J202">
        <v>100</v>
      </c>
      <c r="K202">
        <v>100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100</v>
      </c>
      <c r="AH202">
        <v>1</v>
      </c>
      <c r="AI202">
        <v>0</v>
      </c>
      <c r="AJ202">
        <v>0</v>
      </c>
      <c r="AK202">
        <v>100</v>
      </c>
      <c r="AL202">
        <v>0</v>
      </c>
      <c r="AM202">
        <v>0</v>
      </c>
      <c r="AN202">
        <v>0</v>
      </c>
      <c r="AO202">
        <v>0</v>
      </c>
      <c r="AP202">
        <v>70</v>
      </c>
      <c r="AT202" t="s">
        <v>327</v>
      </c>
      <c r="AV202" t="s">
        <v>264</v>
      </c>
    </row>
    <row r="203" spans="1:48">
      <c r="A203">
        <v>2313010911</v>
      </c>
      <c r="B203">
        <v>2313011008</v>
      </c>
      <c r="C203" t="s">
        <v>535</v>
      </c>
      <c r="D203" t="s">
        <v>454</v>
      </c>
      <c r="E203" t="s">
        <v>31</v>
      </c>
      <c r="H203" t="s">
        <v>29</v>
      </c>
      <c r="I203" t="s">
        <v>108</v>
      </c>
      <c r="J203">
        <v>100</v>
      </c>
      <c r="K203">
        <v>100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100</v>
      </c>
      <c r="AH203">
        <v>1</v>
      </c>
      <c r="AI203">
        <v>0</v>
      </c>
      <c r="AJ203">
        <v>0</v>
      </c>
      <c r="AK203">
        <v>100</v>
      </c>
      <c r="AL203">
        <v>0</v>
      </c>
      <c r="AM203">
        <v>0</v>
      </c>
      <c r="AN203">
        <v>0</v>
      </c>
      <c r="AO203">
        <v>0</v>
      </c>
      <c r="AP203">
        <v>70</v>
      </c>
      <c r="AT203" t="s">
        <v>327</v>
      </c>
      <c r="AV203" t="s">
        <v>264</v>
      </c>
    </row>
    <row r="204" spans="1:48">
      <c r="A204">
        <v>2313010911</v>
      </c>
      <c r="B204">
        <v>2313011009</v>
      </c>
      <c r="C204" t="s">
        <v>536</v>
      </c>
      <c r="D204" t="s">
        <v>456</v>
      </c>
      <c r="E204" t="s">
        <v>31</v>
      </c>
      <c r="H204" t="s">
        <v>29</v>
      </c>
      <c r="I204" t="s">
        <v>108</v>
      </c>
      <c r="J204">
        <v>100</v>
      </c>
      <c r="K204">
        <v>100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100</v>
      </c>
      <c r="AH204">
        <v>1</v>
      </c>
      <c r="AI204">
        <v>0</v>
      </c>
      <c r="AJ204">
        <v>0</v>
      </c>
      <c r="AK204">
        <v>100</v>
      </c>
      <c r="AL204">
        <v>0</v>
      </c>
      <c r="AM204">
        <v>0</v>
      </c>
      <c r="AN204">
        <v>0</v>
      </c>
      <c r="AO204">
        <v>0</v>
      </c>
      <c r="AP204">
        <v>70</v>
      </c>
      <c r="AT204" t="s">
        <v>327</v>
      </c>
      <c r="AV204" t="s">
        <v>264</v>
      </c>
    </row>
    <row r="205" spans="1:48">
      <c r="A205">
        <v>2313010911</v>
      </c>
      <c r="B205">
        <v>2313011010</v>
      </c>
      <c r="C205" t="s">
        <v>537</v>
      </c>
      <c r="D205" t="s">
        <v>458</v>
      </c>
      <c r="E205" t="s">
        <v>31</v>
      </c>
      <c r="H205" t="s">
        <v>29</v>
      </c>
      <c r="I205" t="s">
        <v>108</v>
      </c>
      <c r="J205">
        <v>100</v>
      </c>
      <c r="K205">
        <v>100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100</v>
      </c>
      <c r="AH205">
        <v>1</v>
      </c>
      <c r="AI205">
        <v>0</v>
      </c>
      <c r="AJ205">
        <v>0</v>
      </c>
      <c r="AK205">
        <v>100</v>
      </c>
      <c r="AL205">
        <v>0</v>
      </c>
      <c r="AM205">
        <v>0</v>
      </c>
      <c r="AN205">
        <v>0</v>
      </c>
      <c r="AO205">
        <v>0</v>
      </c>
      <c r="AP205">
        <v>70</v>
      </c>
      <c r="AT205" t="s">
        <v>327</v>
      </c>
      <c r="AV205" t="s">
        <v>264</v>
      </c>
    </row>
    <row r="206" spans="1:48">
      <c r="A206">
        <v>2313010911</v>
      </c>
      <c r="B206">
        <v>2313011011</v>
      </c>
      <c r="C206" t="s">
        <v>538</v>
      </c>
      <c r="D206" t="s">
        <v>460</v>
      </c>
      <c r="E206" t="s">
        <v>31</v>
      </c>
      <c r="H206" t="s">
        <v>29</v>
      </c>
      <c r="I206" t="s">
        <v>108</v>
      </c>
      <c r="J206">
        <v>100</v>
      </c>
      <c r="K206">
        <v>100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100</v>
      </c>
      <c r="AH206">
        <v>1</v>
      </c>
      <c r="AI206">
        <v>0</v>
      </c>
      <c r="AJ206">
        <v>0</v>
      </c>
      <c r="AK206">
        <v>100</v>
      </c>
      <c r="AL206">
        <v>0</v>
      </c>
      <c r="AM206">
        <v>0</v>
      </c>
      <c r="AN206">
        <v>0</v>
      </c>
      <c r="AO206">
        <v>0</v>
      </c>
      <c r="AP206">
        <v>70</v>
      </c>
      <c r="AT206" t="s">
        <v>327</v>
      </c>
      <c r="AV206" t="s">
        <v>264</v>
      </c>
    </row>
    <row r="207" spans="1:48">
      <c r="A207">
        <v>2313010911</v>
      </c>
      <c r="B207">
        <v>2313011012</v>
      </c>
      <c r="C207" t="s">
        <v>539</v>
      </c>
      <c r="D207" t="s">
        <v>462</v>
      </c>
      <c r="E207" t="s">
        <v>31</v>
      </c>
      <c r="H207" t="s">
        <v>29</v>
      </c>
      <c r="I207" t="s">
        <v>108</v>
      </c>
      <c r="J207">
        <v>100</v>
      </c>
      <c r="K207">
        <v>100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100</v>
      </c>
      <c r="AH207">
        <v>1</v>
      </c>
      <c r="AI207">
        <v>0</v>
      </c>
      <c r="AJ207">
        <v>0</v>
      </c>
      <c r="AK207">
        <v>100</v>
      </c>
      <c r="AL207">
        <v>0</v>
      </c>
      <c r="AM207">
        <v>0</v>
      </c>
      <c r="AN207">
        <v>0</v>
      </c>
      <c r="AO207">
        <v>0</v>
      </c>
      <c r="AP207">
        <v>70</v>
      </c>
      <c r="AT207" t="s">
        <v>327</v>
      </c>
      <c r="AV207" t="s">
        <v>264</v>
      </c>
    </row>
    <row r="208" spans="1:48">
      <c r="A208">
        <v>2313010911</v>
      </c>
      <c r="B208">
        <v>2313011013</v>
      </c>
      <c r="C208" t="s">
        <v>540</v>
      </c>
      <c r="D208" t="s">
        <v>464</v>
      </c>
      <c r="E208" t="s">
        <v>31</v>
      </c>
      <c r="H208" t="s">
        <v>29</v>
      </c>
      <c r="I208" t="s">
        <v>108</v>
      </c>
      <c r="J208">
        <v>100</v>
      </c>
      <c r="K208">
        <v>100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100</v>
      </c>
      <c r="AH208">
        <v>1</v>
      </c>
      <c r="AI208">
        <v>0</v>
      </c>
      <c r="AJ208">
        <v>0</v>
      </c>
      <c r="AK208">
        <v>100</v>
      </c>
      <c r="AL208">
        <v>0</v>
      </c>
      <c r="AM208">
        <v>0</v>
      </c>
      <c r="AN208">
        <v>0</v>
      </c>
      <c r="AO208">
        <v>0</v>
      </c>
      <c r="AP208">
        <v>70</v>
      </c>
      <c r="AT208" t="s">
        <v>327</v>
      </c>
      <c r="AV208" t="s">
        <v>264</v>
      </c>
    </row>
    <row r="209" spans="1:48">
      <c r="A209">
        <v>2313010911</v>
      </c>
      <c r="B209">
        <v>2313011014</v>
      </c>
      <c r="C209" t="s">
        <v>541</v>
      </c>
      <c r="D209" t="s">
        <v>466</v>
      </c>
      <c r="E209" t="s">
        <v>31</v>
      </c>
      <c r="H209" t="s">
        <v>29</v>
      </c>
      <c r="I209" t="s">
        <v>108</v>
      </c>
      <c r="J209">
        <v>100</v>
      </c>
      <c r="K209">
        <v>100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100</v>
      </c>
      <c r="AH209">
        <v>1</v>
      </c>
      <c r="AI209">
        <v>0</v>
      </c>
      <c r="AJ209">
        <v>0</v>
      </c>
      <c r="AK209">
        <v>100</v>
      </c>
      <c r="AL209">
        <v>0</v>
      </c>
      <c r="AM209">
        <v>0</v>
      </c>
      <c r="AN209">
        <v>0</v>
      </c>
      <c r="AO209">
        <v>0</v>
      </c>
      <c r="AP209">
        <v>70</v>
      </c>
      <c r="AT209" t="s">
        <v>327</v>
      </c>
      <c r="AV209" t="s">
        <v>264</v>
      </c>
    </row>
    <row r="210" spans="1:48">
      <c r="A210">
        <v>2313010911</v>
      </c>
      <c r="B210">
        <v>2313011015</v>
      </c>
      <c r="C210" t="s">
        <v>542</v>
      </c>
      <c r="D210" t="s">
        <v>468</v>
      </c>
      <c r="E210" t="s">
        <v>31</v>
      </c>
      <c r="H210" t="s">
        <v>29</v>
      </c>
      <c r="I210" t="s">
        <v>108</v>
      </c>
      <c r="J210">
        <v>100</v>
      </c>
      <c r="K210">
        <v>100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100</v>
      </c>
      <c r="AH210">
        <v>1</v>
      </c>
      <c r="AI210">
        <v>0</v>
      </c>
      <c r="AJ210">
        <v>0</v>
      </c>
      <c r="AK210">
        <v>100</v>
      </c>
      <c r="AL210">
        <v>0</v>
      </c>
      <c r="AM210">
        <v>0</v>
      </c>
      <c r="AN210">
        <v>0</v>
      </c>
      <c r="AO210">
        <v>0</v>
      </c>
      <c r="AP210">
        <v>70</v>
      </c>
      <c r="AT210" t="s">
        <v>327</v>
      </c>
      <c r="AV210" t="s">
        <v>264</v>
      </c>
    </row>
    <row r="211" spans="1:48">
      <c r="A211">
        <v>2313010911</v>
      </c>
      <c r="B211">
        <v>2313011016</v>
      </c>
      <c r="C211" t="s">
        <v>543</v>
      </c>
      <c r="D211" t="s">
        <v>470</v>
      </c>
      <c r="E211" t="s">
        <v>31</v>
      </c>
      <c r="H211" t="s">
        <v>29</v>
      </c>
      <c r="I211" t="s">
        <v>108</v>
      </c>
      <c r="J211">
        <v>100</v>
      </c>
      <c r="K211">
        <v>100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100</v>
      </c>
      <c r="AH211">
        <v>1</v>
      </c>
      <c r="AI211">
        <v>0</v>
      </c>
      <c r="AJ211">
        <v>0</v>
      </c>
      <c r="AK211">
        <v>100</v>
      </c>
      <c r="AL211">
        <v>0</v>
      </c>
      <c r="AM211">
        <v>0</v>
      </c>
      <c r="AN211">
        <v>0</v>
      </c>
      <c r="AO211">
        <v>0</v>
      </c>
      <c r="AP211">
        <v>70</v>
      </c>
      <c r="AT211" t="s">
        <v>327</v>
      </c>
      <c r="AV211" t="s">
        <v>264</v>
      </c>
    </row>
    <row r="212" spans="1:48">
      <c r="A212">
        <v>2313005998</v>
      </c>
      <c r="B212">
        <v>2313005998</v>
      </c>
      <c r="C212" t="s">
        <v>544</v>
      </c>
      <c r="D212" t="s">
        <v>545</v>
      </c>
      <c r="E212" t="s">
        <v>31</v>
      </c>
      <c r="H212" t="s">
        <v>29</v>
      </c>
      <c r="I212" t="s">
        <v>546</v>
      </c>
      <c r="J212">
        <v>0</v>
      </c>
      <c r="K212">
        <v>0</v>
      </c>
      <c r="L212">
        <v>0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T212" t="s">
        <v>547</v>
      </c>
      <c r="AV212" t="s">
        <v>264</v>
      </c>
    </row>
    <row r="213" spans="1:48">
      <c r="A213">
        <v>2313005998</v>
      </c>
      <c r="B213">
        <v>2313005999</v>
      </c>
      <c r="C213" t="s">
        <v>548</v>
      </c>
      <c r="D213" t="s">
        <v>199</v>
      </c>
      <c r="E213" t="s">
        <v>31</v>
      </c>
      <c r="H213" t="s">
        <v>29</v>
      </c>
      <c r="I213" t="s">
        <v>546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T213" t="s">
        <v>547</v>
      </c>
      <c r="AV213" t="s">
        <v>264</v>
      </c>
    </row>
    <row r="214" spans="1:48">
      <c r="A214">
        <v>2313005998</v>
      </c>
      <c r="B214">
        <v>2313006000</v>
      </c>
      <c r="C214" t="s">
        <v>549</v>
      </c>
      <c r="D214" t="s">
        <v>195</v>
      </c>
      <c r="E214" t="s">
        <v>31</v>
      </c>
      <c r="H214" t="s">
        <v>29</v>
      </c>
      <c r="I214" t="s">
        <v>546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T214" t="s">
        <v>547</v>
      </c>
      <c r="AV214" t="s">
        <v>264</v>
      </c>
    </row>
    <row r="215" spans="1:48">
      <c r="A215">
        <v>2313005998</v>
      </c>
      <c r="B215">
        <v>2313006001</v>
      </c>
      <c r="C215" t="s">
        <v>550</v>
      </c>
      <c r="D215" t="s">
        <v>207</v>
      </c>
      <c r="E215" t="s">
        <v>31</v>
      </c>
      <c r="H215" t="s">
        <v>29</v>
      </c>
      <c r="I215" t="s">
        <v>546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T215" t="s">
        <v>547</v>
      </c>
      <c r="AV215" t="s">
        <v>264</v>
      </c>
    </row>
    <row r="216" spans="1:48">
      <c r="A216">
        <v>2313005998</v>
      </c>
      <c r="B216">
        <v>2313006002</v>
      </c>
      <c r="C216" t="s">
        <v>551</v>
      </c>
      <c r="D216" t="s">
        <v>210</v>
      </c>
      <c r="E216" t="s">
        <v>31</v>
      </c>
      <c r="H216" t="s">
        <v>29</v>
      </c>
      <c r="I216" t="s">
        <v>546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T216" t="s">
        <v>547</v>
      </c>
      <c r="AV216" t="s">
        <v>264</v>
      </c>
    </row>
    <row r="217" spans="1:48">
      <c r="A217">
        <v>2313005998</v>
      </c>
      <c r="B217">
        <v>2313006003</v>
      </c>
      <c r="C217" t="s">
        <v>552</v>
      </c>
      <c r="D217" t="s">
        <v>175</v>
      </c>
      <c r="E217" t="s">
        <v>31</v>
      </c>
      <c r="H217" t="s">
        <v>29</v>
      </c>
      <c r="I217" t="s">
        <v>546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T217" t="s">
        <v>547</v>
      </c>
      <c r="AV217" t="s">
        <v>264</v>
      </c>
    </row>
    <row r="218" spans="1:48">
      <c r="A218">
        <v>2313005998</v>
      </c>
      <c r="B218">
        <v>2313006004</v>
      </c>
      <c r="C218" t="s">
        <v>553</v>
      </c>
      <c r="D218" t="s">
        <v>213</v>
      </c>
      <c r="E218" t="s">
        <v>31</v>
      </c>
      <c r="H218" t="s">
        <v>29</v>
      </c>
      <c r="I218" t="s">
        <v>546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T218" t="s">
        <v>547</v>
      </c>
      <c r="AV218" t="s">
        <v>264</v>
      </c>
    </row>
    <row r="219" spans="1:48">
      <c r="A219">
        <v>2313005998</v>
      </c>
      <c r="B219">
        <v>2313006005</v>
      </c>
      <c r="C219" t="s">
        <v>554</v>
      </c>
      <c r="D219" t="s">
        <v>216</v>
      </c>
      <c r="E219" t="s">
        <v>31</v>
      </c>
      <c r="H219" t="s">
        <v>29</v>
      </c>
      <c r="I219" t="s">
        <v>546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T219" t="s">
        <v>547</v>
      </c>
      <c r="AV219" t="s">
        <v>264</v>
      </c>
    </row>
    <row r="220" spans="1:48">
      <c r="A220">
        <v>2313005998</v>
      </c>
      <c r="B220">
        <v>2313006006</v>
      </c>
      <c r="C220" t="s">
        <v>555</v>
      </c>
      <c r="D220" t="s">
        <v>219</v>
      </c>
      <c r="E220" t="s">
        <v>31</v>
      </c>
      <c r="H220" t="s">
        <v>29</v>
      </c>
      <c r="I220" t="s">
        <v>546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T220" t="s">
        <v>547</v>
      </c>
      <c r="AV220" t="s">
        <v>264</v>
      </c>
    </row>
    <row r="221" spans="1:48">
      <c r="A221">
        <v>2313005998</v>
      </c>
      <c r="B221">
        <v>2313006007</v>
      </c>
      <c r="C221" t="s">
        <v>556</v>
      </c>
      <c r="D221" t="s">
        <v>180</v>
      </c>
      <c r="E221" t="s">
        <v>31</v>
      </c>
      <c r="H221" t="s">
        <v>29</v>
      </c>
      <c r="I221" t="s">
        <v>546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T221" t="s">
        <v>547</v>
      </c>
      <c r="AV221" t="s">
        <v>264</v>
      </c>
    </row>
    <row r="222" spans="1:48">
      <c r="A222">
        <v>2313005998</v>
      </c>
      <c r="B222">
        <v>2313006008</v>
      </c>
      <c r="C222" t="s">
        <v>557</v>
      </c>
      <c r="D222" t="s">
        <v>183</v>
      </c>
      <c r="E222" t="s">
        <v>31</v>
      </c>
      <c r="H222" t="s">
        <v>29</v>
      </c>
      <c r="I222" t="s">
        <v>546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T222" t="s">
        <v>547</v>
      </c>
      <c r="AV222" t="s">
        <v>264</v>
      </c>
    </row>
    <row r="223" spans="1:48">
      <c r="A223">
        <v>2313005998</v>
      </c>
      <c r="B223">
        <v>2313006009</v>
      </c>
      <c r="C223" t="s">
        <v>558</v>
      </c>
      <c r="D223" t="s">
        <v>186</v>
      </c>
      <c r="E223" t="s">
        <v>31</v>
      </c>
      <c r="H223" t="s">
        <v>29</v>
      </c>
      <c r="I223" t="s">
        <v>546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T223" t="s">
        <v>547</v>
      </c>
      <c r="AV223" t="s">
        <v>264</v>
      </c>
    </row>
    <row r="224" spans="1:48">
      <c r="A224">
        <v>2313005998</v>
      </c>
      <c r="B224">
        <v>2313006010</v>
      </c>
      <c r="C224" t="s">
        <v>559</v>
      </c>
      <c r="D224" t="s">
        <v>189</v>
      </c>
      <c r="E224" t="s">
        <v>31</v>
      </c>
      <c r="H224" t="s">
        <v>29</v>
      </c>
      <c r="I224" t="s">
        <v>546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T224" t="s">
        <v>547</v>
      </c>
      <c r="AV224" t="s">
        <v>264</v>
      </c>
    </row>
    <row r="225" spans="1:48">
      <c r="A225">
        <v>2313005998</v>
      </c>
      <c r="B225">
        <v>2313006011</v>
      </c>
      <c r="C225" t="s">
        <v>560</v>
      </c>
      <c r="D225" t="s">
        <v>192</v>
      </c>
      <c r="E225" t="s">
        <v>31</v>
      </c>
      <c r="H225" t="s">
        <v>29</v>
      </c>
      <c r="I225" t="s">
        <v>546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T225" t="s">
        <v>547</v>
      </c>
      <c r="AV225" t="s">
        <v>264</v>
      </c>
    </row>
    <row r="226" spans="1:48">
      <c r="A226">
        <v>2313005998</v>
      </c>
      <c r="B226">
        <v>2313006012</v>
      </c>
      <c r="C226" t="s">
        <v>561</v>
      </c>
      <c r="D226" t="s">
        <v>222</v>
      </c>
      <c r="E226" t="s">
        <v>31</v>
      </c>
      <c r="H226" t="s">
        <v>29</v>
      </c>
      <c r="I226" t="s">
        <v>546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T226" t="s">
        <v>547</v>
      </c>
      <c r="AV226" t="s">
        <v>264</v>
      </c>
    </row>
    <row r="227" spans="1:48">
      <c r="A227">
        <v>2313005998</v>
      </c>
      <c r="B227">
        <v>2313006013</v>
      </c>
      <c r="C227" t="s">
        <v>562</v>
      </c>
      <c r="D227" t="s">
        <v>225</v>
      </c>
      <c r="E227" t="s">
        <v>31</v>
      </c>
      <c r="H227" t="s">
        <v>29</v>
      </c>
      <c r="I227" t="s">
        <v>546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T227" t="s">
        <v>547</v>
      </c>
      <c r="AV227" t="s">
        <v>264</v>
      </c>
    </row>
    <row r="228" spans="1:48">
      <c r="A228">
        <v>2313005998</v>
      </c>
      <c r="B228">
        <v>2313006014</v>
      </c>
      <c r="C228" t="s">
        <v>563</v>
      </c>
      <c r="D228" t="s">
        <v>228</v>
      </c>
      <c r="E228" t="s">
        <v>31</v>
      </c>
      <c r="H228" t="s">
        <v>29</v>
      </c>
      <c r="I228" t="s">
        <v>546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T228" t="s">
        <v>547</v>
      </c>
      <c r="AV228" t="s">
        <v>264</v>
      </c>
    </row>
    <row r="229" spans="1:48">
      <c r="A229">
        <v>2313005998</v>
      </c>
      <c r="B229">
        <v>2313006015</v>
      </c>
      <c r="C229" t="s">
        <v>564</v>
      </c>
      <c r="D229" t="s">
        <v>231</v>
      </c>
      <c r="E229" t="s">
        <v>31</v>
      </c>
      <c r="H229" t="s">
        <v>29</v>
      </c>
      <c r="I229" t="s">
        <v>546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T229" t="s">
        <v>547</v>
      </c>
      <c r="AV229" t="s">
        <v>264</v>
      </c>
    </row>
    <row r="230" spans="1:48">
      <c r="A230">
        <v>2313005998</v>
      </c>
      <c r="B230">
        <v>2313006016</v>
      </c>
      <c r="C230" t="s">
        <v>565</v>
      </c>
      <c r="D230" t="s">
        <v>234</v>
      </c>
      <c r="E230" t="s">
        <v>31</v>
      </c>
      <c r="H230" t="s">
        <v>29</v>
      </c>
      <c r="I230" t="s">
        <v>546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T230" t="s">
        <v>547</v>
      </c>
      <c r="AV230" t="s">
        <v>264</v>
      </c>
    </row>
    <row r="231" spans="1:48">
      <c r="A231">
        <v>2313005998</v>
      </c>
      <c r="B231">
        <v>2313006017</v>
      </c>
      <c r="C231" t="s">
        <v>566</v>
      </c>
      <c r="D231" t="s">
        <v>237</v>
      </c>
      <c r="E231" t="s">
        <v>31</v>
      </c>
      <c r="H231" t="s">
        <v>29</v>
      </c>
      <c r="I231" t="s">
        <v>546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T231" t="s">
        <v>547</v>
      </c>
      <c r="AV231" t="s">
        <v>264</v>
      </c>
    </row>
    <row r="232" spans="1:48">
      <c r="A232">
        <v>2313005998</v>
      </c>
      <c r="B232">
        <v>2313006018</v>
      </c>
      <c r="C232" t="s">
        <v>567</v>
      </c>
      <c r="D232" t="s">
        <v>240</v>
      </c>
      <c r="E232" t="s">
        <v>31</v>
      </c>
      <c r="H232" t="s">
        <v>29</v>
      </c>
      <c r="I232" t="s">
        <v>546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T232" t="s">
        <v>547</v>
      </c>
      <c r="AV232" t="s">
        <v>264</v>
      </c>
    </row>
    <row r="233" spans="1:48">
      <c r="A233">
        <v>2313005998</v>
      </c>
      <c r="B233">
        <v>2313006019</v>
      </c>
      <c r="C233" t="s">
        <v>568</v>
      </c>
      <c r="D233" t="s">
        <v>243</v>
      </c>
      <c r="E233" t="s">
        <v>31</v>
      </c>
      <c r="H233" t="s">
        <v>29</v>
      </c>
      <c r="I233" t="s">
        <v>546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T233" t="s">
        <v>547</v>
      </c>
      <c r="AV233" t="s">
        <v>264</v>
      </c>
    </row>
    <row r="234" spans="1:48">
      <c r="A234">
        <v>2313005998</v>
      </c>
      <c r="B234">
        <v>2313006020</v>
      </c>
      <c r="C234" t="s">
        <v>569</v>
      </c>
      <c r="D234" t="s">
        <v>246</v>
      </c>
      <c r="E234" t="s">
        <v>31</v>
      </c>
      <c r="H234" t="s">
        <v>29</v>
      </c>
      <c r="I234" t="s">
        <v>546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T234" t="s">
        <v>547</v>
      </c>
      <c r="AV234" t="s">
        <v>264</v>
      </c>
    </row>
    <row r="235" spans="1:48">
      <c r="A235">
        <v>2313005998</v>
      </c>
      <c r="B235">
        <v>2313006021</v>
      </c>
      <c r="C235" t="s">
        <v>570</v>
      </c>
      <c r="D235" t="s">
        <v>571</v>
      </c>
      <c r="E235" t="s">
        <v>31</v>
      </c>
      <c r="H235" t="s">
        <v>29</v>
      </c>
      <c r="I235" t="s">
        <v>546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T235" t="s">
        <v>547</v>
      </c>
      <c r="AV235" t="s">
        <v>264</v>
      </c>
    </row>
    <row r="236" spans="1:48">
      <c r="A236">
        <v>2313005998</v>
      </c>
      <c r="B236">
        <v>2313006022</v>
      </c>
      <c r="C236" t="s">
        <v>572</v>
      </c>
      <c r="D236" t="s">
        <v>573</v>
      </c>
      <c r="E236" t="s">
        <v>31</v>
      </c>
      <c r="H236" t="s">
        <v>29</v>
      </c>
      <c r="I236" t="s">
        <v>546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T236" t="s">
        <v>547</v>
      </c>
      <c r="AV236" t="s">
        <v>264</v>
      </c>
    </row>
    <row r="237" spans="1:48">
      <c r="A237">
        <v>2313007047</v>
      </c>
      <c r="B237">
        <v>2313007047</v>
      </c>
      <c r="C237" t="s">
        <v>574</v>
      </c>
      <c r="D237" t="s">
        <v>545</v>
      </c>
      <c r="E237" t="s">
        <v>31</v>
      </c>
      <c r="H237" t="s">
        <v>29</v>
      </c>
      <c r="I237" t="s">
        <v>176</v>
      </c>
      <c r="J237">
        <v>0</v>
      </c>
      <c r="K237">
        <v>0</v>
      </c>
      <c r="L237">
        <v>0</v>
      </c>
      <c r="M237">
        <v>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T237" t="s">
        <v>575</v>
      </c>
      <c r="AV237" t="s">
        <v>178</v>
      </c>
    </row>
    <row r="238" spans="1:48">
      <c r="A238">
        <v>2313010585</v>
      </c>
      <c r="B238">
        <v>2313010585</v>
      </c>
      <c r="C238" t="s">
        <v>576</v>
      </c>
      <c r="D238" t="s">
        <v>545</v>
      </c>
      <c r="E238" t="s">
        <v>31</v>
      </c>
      <c r="H238" t="s">
        <v>29</v>
      </c>
      <c r="I238" t="s">
        <v>262</v>
      </c>
      <c r="J238">
        <v>0</v>
      </c>
      <c r="K238">
        <v>0</v>
      </c>
      <c r="L238">
        <v>0</v>
      </c>
      <c r="M238">
        <v>13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13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T238" t="s">
        <v>263</v>
      </c>
      <c r="AV238" t="s">
        <v>264</v>
      </c>
    </row>
    <row r="239" spans="1:48">
      <c r="A239">
        <v>2313010585</v>
      </c>
      <c r="B239">
        <v>2313010586</v>
      </c>
      <c r="C239" t="s">
        <v>577</v>
      </c>
      <c r="D239" t="s">
        <v>199</v>
      </c>
      <c r="E239" t="s">
        <v>31</v>
      </c>
      <c r="H239" t="s">
        <v>29</v>
      </c>
      <c r="I239" t="s">
        <v>262</v>
      </c>
      <c r="J239">
        <v>0</v>
      </c>
      <c r="K239">
        <v>0</v>
      </c>
      <c r="L239">
        <v>0</v>
      </c>
      <c r="M239">
        <v>10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T239" t="s">
        <v>263</v>
      </c>
      <c r="AV239" t="s">
        <v>264</v>
      </c>
    </row>
    <row r="240" spans="1:48">
      <c r="A240">
        <v>2313010585</v>
      </c>
      <c r="B240">
        <v>2313010587</v>
      </c>
      <c r="C240" t="s">
        <v>578</v>
      </c>
      <c r="D240" t="s">
        <v>195</v>
      </c>
      <c r="E240" t="s">
        <v>31</v>
      </c>
      <c r="H240" t="s">
        <v>29</v>
      </c>
      <c r="I240" t="s">
        <v>262</v>
      </c>
      <c r="J240">
        <v>0</v>
      </c>
      <c r="K240">
        <v>0</v>
      </c>
      <c r="L240">
        <v>0</v>
      </c>
      <c r="M240">
        <v>10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T240" t="s">
        <v>263</v>
      </c>
      <c r="AV240" t="s">
        <v>264</v>
      </c>
    </row>
    <row r="241" spans="1:48">
      <c r="A241">
        <v>2313010585</v>
      </c>
      <c r="B241">
        <v>2313010588</v>
      </c>
      <c r="C241" t="s">
        <v>579</v>
      </c>
      <c r="D241" t="s">
        <v>207</v>
      </c>
      <c r="E241" t="s">
        <v>31</v>
      </c>
      <c r="H241" t="s">
        <v>29</v>
      </c>
      <c r="I241" t="s">
        <v>262</v>
      </c>
      <c r="J241">
        <v>0</v>
      </c>
      <c r="K241">
        <v>0</v>
      </c>
      <c r="L241">
        <v>0</v>
      </c>
      <c r="M241">
        <v>10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T241" t="s">
        <v>263</v>
      </c>
      <c r="AV241" t="s">
        <v>264</v>
      </c>
    </row>
    <row r="242" spans="1:48">
      <c r="A242">
        <v>2313010585</v>
      </c>
      <c r="B242">
        <v>2313010589</v>
      </c>
      <c r="C242" t="s">
        <v>580</v>
      </c>
      <c r="D242" t="s">
        <v>210</v>
      </c>
      <c r="E242" t="s">
        <v>31</v>
      </c>
      <c r="H242" t="s">
        <v>29</v>
      </c>
      <c r="I242" t="s">
        <v>262</v>
      </c>
      <c r="J242">
        <v>0</v>
      </c>
      <c r="K242">
        <v>0</v>
      </c>
      <c r="L242">
        <v>0</v>
      </c>
      <c r="M242">
        <v>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9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T242" t="s">
        <v>263</v>
      </c>
      <c r="AV242" t="s">
        <v>264</v>
      </c>
    </row>
    <row r="243" spans="1:48">
      <c r="A243">
        <v>2313010585</v>
      </c>
      <c r="B243">
        <v>2313010590</v>
      </c>
      <c r="C243" t="s">
        <v>581</v>
      </c>
      <c r="D243" t="s">
        <v>175</v>
      </c>
      <c r="E243" t="s">
        <v>31</v>
      </c>
      <c r="H243" t="s">
        <v>29</v>
      </c>
      <c r="I243" t="s">
        <v>262</v>
      </c>
      <c r="J243">
        <v>0</v>
      </c>
      <c r="K243">
        <v>0</v>
      </c>
      <c r="L243">
        <v>0</v>
      </c>
      <c r="M243">
        <v>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8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T243" t="s">
        <v>263</v>
      </c>
      <c r="AV243" t="s">
        <v>264</v>
      </c>
    </row>
    <row r="244" spans="1:48">
      <c r="A244">
        <v>2313010585</v>
      </c>
      <c r="B244">
        <v>2313010591</v>
      </c>
      <c r="C244" t="s">
        <v>582</v>
      </c>
      <c r="D244" t="s">
        <v>213</v>
      </c>
      <c r="E244" t="s">
        <v>31</v>
      </c>
      <c r="H244" t="s">
        <v>29</v>
      </c>
      <c r="I244" t="s">
        <v>262</v>
      </c>
      <c r="J244">
        <v>0</v>
      </c>
      <c r="K244">
        <v>0</v>
      </c>
      <c r="L244">
        <v>0</v>
      </c>
      <c r="M244">
        <v>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T244" t="s">
        <v>263</v>
      </c>
      <c r="AV244" t="s">
        <v>264</v>
      </c>
    </row>
    <row r="245" spans="1:48">
      <c r="A245">
        <v>2313010585</v>
      </c>
      <c r="B245">
        <v>2313010592</v>
      </c>
      <c r="C245" t="s">
        <v>583</v>
      </c>
      <c r="D245" t="s">
        <v>216</v>
      </c>
      <c r="E245" t="s">
        <v>31</v>
      </c>
      <c r="H245" t="s">
        <v>29</v>
      </c>
      <c r="I245" t="s">
        <v>262</v>
      </c>
      <c r="J245">
        <v>0</v>
      </c>
      <c r="K245">
        <v>0</v>
      </c>
      <c r="L245">
        <v>0</v>
      </c>
      <c r="M245">
        <v>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T245" t="s">
        <v>263</v>
      </c>
      <c r="AV245" t="s">
        <v>264</v>
      </c>
    </row>
    <row r="246" spans="1:48">
      <c r="A246">
        <v>2313010585</v>
      </c>
      <c r="B246">
        <v>2313010593</v>
      </c>
      <c r="C246" t="s">
        <v>584</v>
      </c>
      <c r="D246" t="s">
        <v>219</v>
      </c>
      <c r="E246" t="s">
        <v>31</v>
      </c>
      <c r="H246" t="s">
        <v>29</v>
      </c>
      <c r="I246" t="s">
        <v>262</v>
      </c>
      <c r="J246">
        <v>0</v>
      </c>
      <c r="K246">
        <v>0</v>
      </c>
      <c r="L246">
        <v>0</v>
      </c>
      <c r="M246">
        <v>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T246" t="s">
        <v>263</v>
      </c>
      <c r="AV246" t="s">
        <v>264</v>
      </c>
    </row>
    <row r="247" spans="1:48">
      <c r="A247">
        <v>2313010585</v>
      </c>
      <c r="B247">
        <v>2313010594</v>
      </c>
      <c r="C247" t="s">
        <v>585</v>
      </c>
      <c r="D247" t="s">
        <v>180</v>
      </c>
      <c r="E247" t="s">
        <v>31</v>
      </c>
      <c r="H247" t="s">
        <v>29</v>
      </c>
      <c r="I247" t="s">
        <v>262</v>
      </c>
      <c r="J247">
        <v>0</v>
      </c>
      <c r="K247">
        <v>0</v>
      </c>
      <c r="L247">
        <v>0</v>
      </c>
      <c r="M247">
        <v>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6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T247" t="s">
        <v>263</v>
      </c>
      <c r="AV247" t="s">
        <v>264</v>
      </c>
    </row>
    <row r="248" spans="1:48">
      <c r="A248">
        <v>2313010585</v>
      </c>
      <c r="B248">
        <v>2313010595</v>
      </c>
      <c r="C248" t="s">
        <v>586</v>
      </c>
      <c r="D248" t="s">
        <v>183</v>
      </c>
      <c r="E248" t="s">
        <v>31</v>
      </c>
      <c r="H248" t="s">
        <v>29</v>
      </c>
      <c r="I248" t="s">
        <v>262</v>
      </c>
      <c r="J248">
        <v>0</v>
      </c>
      <c r="K248">
        <v>0</v>
      </c>
      <c r="L248">
        <v>0</v>
      </c>
      <c r="M248">
        <v>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6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T248" t="s">
        <v>263</v>
      </c>
      <c r="AV248" t="s">
        <v>264</v>
      </c>
    </row>
    <row r="249" spans="1:48">
      <c r="A249">
        <v>2313010585</v>
      </c>
      <c r="B249">
        <v>2313010596</v>
      </c>
      <c r="C249" t="s">
        <v>587</v>
      </c>
      <c r="D249" t="s">
        <v>186</v>
      </c>
      <c r="E249" t="s">
        <v>31</v>
      </c>
      <c r="H249" t="s">
        <v>29</v>
      </c>
      <c r="I249" t="s">
        <v>262</v>
      </c>
      <c r="J249">
        <v>0</v>
      </c>
      <c r="K249">
        <v>0</v>
      </c>
      <c r="L249">
        <v>0</v>
      </c>
      <c r="M249">
        <v>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6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T249" t="s">
        <v>263</v>
      </c>
      <c r="AV249" t="s">
        <v>264</v>
      </c>
    </row>
    <row r="250" spans="1:48">
      <c r="A250">
        <v>2313010585</v>
      </c>
      <c r="B250">
        <v>2313010597</v>
      </c>
      <c r="C250" t="s">
        <v>588</v>
      </c>
      <c r="D250" t="s">
        <v>189</v>
      </c>
      <c r="E250" t="s">
        <v>31</v>
      </c>
      <c r="H250" t="s">
        <v>29</v>
      </c>
      <c r="I250" t="s">
        <v>262</v>
      </c>
      <c r="J250">
        <v>0</v>
      </c>
      <c r="K250">
        <v>0</v>
      </c>
      <c r="L250">
        <v>0</v>
      </c>
      <c r="M250">
        <v>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5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T250" t="s">
        <v>263</v>
      </c>
      <c r="AV250" t="s">
        <v>264</v>
      </c>
    </row>
    <row r="251" spans="1:48">
      <c r="A251">
        <v>2313010585</v>
      </c>
      <c r="B251">
        <v>2313010598</v>
      </c>
      <c r="C251" t="s">
        <v>589</v>
      </c>
      <c r="D251" t="s">
        <v>192</v>
      </c>
      <c r="E251" t="s">
        <v>31</v>
      </c>
      <c r="H251" t="s">
        <v>29</v>
      </c>
      <c r="I251" t="s">
        <v>262</v>
      </c>
      <c r="J251">
        <v>0</v>
      </c>
      <c r="K251">
        <v>0</v>
      </c>
      <c r="L251">
        <v>0</v>
      </c>
      <c r="M251">
        <v>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5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T251" t="s">
        <v>263</v>
      </c>
      <c r="AV251" t="s">
        <v>264</v>
      </c>
    </row>
    <row r="252" spans="1:48">
      <c r="A252">
        <v>2313010585</v>
      </c>
      <c r="B252">
        <v>2313010599</v>
      </c>
      <c r="C252" t="s">
        <v>590</v>
      </c>
      <c r="D252" t="s">
        <v>222</v>
      </c>
      <c r="E252" t="s">
        <v>31</v>
      </c>
      <c r="H252" t="s">
        <v>29</v>
      </c>
      <c r="I252" t="s">
        <v>262</v>
      </c>
      <c r="J252">
        <v>0</v>
      </c>
      <c r="K252">
        <v>0</v>
      </c>
      <c r="L252">
        <v>0</v>
      </c>
      <c r="M252">
        <v>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5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T252" t="s">
        <v>263</v>
      </c>
      <c r="AV252" t="s">
        <v>264</v>
      </c>
    </row>
    <row r="253" spans="1:48">
      <c r="A253">
        <v>2313010585</v>
      </c>
      <c r="B253">
        <v>2313010600</v>
      </c>
      <c r="C253" t="s">
        <v>591</v>
      </c>
      <c r="D253" t="s">
        <v>225</v>
      </c>
      <c r="E253" t="s">
        <v>31</v>
      </c>
      <c r="H253" t="s">
        <v>29</v>
      </c>
      <c r="I253" t="s">
        <v>262</v>
      </c>
      <c r="J253">
        <v>0</v>
      </c>
      <c r="K253">
        <v>0</v>
      </c>
      <c r="L253">
        <v>0</v>
      </c>
      <c r="M253">
        <v>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5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T253" t="s">
        <v>263</v>
      </c>
      <c r="AV253" t="s">
        <v>264</v>
      </c>
    </row>
    <row r="254" spans="1:48">
      <c r="A254">
        <v>2313010585</v>
      </c>
      <c r="B254">
        <v>2313010601</v>
      </c>
      <c r="C254" t="s">
        <v>592</v>
      </c>
      <c r="D254" t="s">
        <v>228</v>
      </c>
      <c r="E254" t="s">
        <v>31</v>
      </c>
      <c r="H254" t="s">
        <v>29</v>
      </c>
      <c r="I254" t="s">
        <v>262</v>
      </c>
      <c r="J254">
        <v>0</v>
      </c>
      <c r="K254">
        <v>0</v>
      </c>
      <c r="L254">
        <v>0</v>
      </c>
      <c r="M254">
        <v>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5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T254" t="s">
        <v>263</v>
      </c>
      <c r="AV254" t="s">
        <v>264</v>
      </c>
    </row>
    <row r="255" spans="1:48">
      <c r="A255">
        <v>2313010585</v>
      </c>
      <c r="B255">
        <v>2313010602</v>
      </c>
      <c r="C255" t="s">
        <v>593</v>
      </c>
      <c r="D255" t="s">
        <v>231</v>
      </c>
      <c r="E255" t="s">
        <v>31</v>
      </c>
      <c r="H255" t="s">
        <v>29</v>
      </c>
      <c r="I255" t="s">
        <v>262</v>
      </c>
      <c r="J255">
        <v>0</v>
      </c>
      <c r="K255">
        <v>0</v>
      </c>
      <c r="L255">
        <v>0</v>
      </c>
      <c r="M255">
        <v>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5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T255" t="s">
        <v>263</v>
      </c>
      <c r="AV255" t="s">
        <v>264</v>
      </c>
    </row>
    <row r="256" spans="1:48">
      <c r="A256">
        <v>2313010585</v>
      </c>
      <c r="B256">
        <v>2313010603</v>
      </c>
      <c r="C256" t="s">
        <v>594</v>
      </c>
      <c r="D256" t="s">
        <v>234</v>
      </c>
      <c r="E256" t="s">
        <v>31</v>
      </c>
      <c r="H256" t="s">
        <v>29</v>
      </c>
      <c r="I256" t="s">
        <v>262</v>
      </c>
      <c r="J256">
        <v>0</v>
      </c>
      <c r="K256">
        <v>0</v>
      </c>
      <c r="L256">
        <v>0</v>
      </c>
      <c r="M256">
        <v>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5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T256" t="s">
        <v>263</v>
      </c>
      <c r="AV256" t="s">
        <v>264</v>
      </c>
    </row>
    <row r="257" spans="1:48">
      <c r="A257">
        <v>2313010585</v>
      </c>
      <c r="B257">
        <v>2313010604</v>
      </c>
      <c r="C257" t="s">
        <v>595</v>
      </c>
      <c r="D257" t="s">
        <v>237</v>
      </c>
      <c r="E257" t="s">
        <v>31</v>
      </c>
      <c r="H257" t="s">
        <v>29</v>
      </c>
      <c r="I257" t="s">
        <v>262</v>
      </c>
      <c r="J257">
        <v>0</v>
      </c>
      <c r="K257">
        <v>0</v>
      </c>
      <c r="L257">
        <v>0</v>
      </c>
      <c r="M257">
        <v>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5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T257" t="s">
        <v>263</v>
      </c>
      <c r="AV257" t="s">
        <v>264</v>
      </c>
    </row>
    <row r="258" spans="1:48">
      <c r="A258">
        <v>2313010585</v>
      </c>
      <c r="B258">
        <v>2313010605</v>
      </c>
      <c r="C258" t="s">
        <v>596</v>
      </c>
      <c r="D258" t="s">
        <v>240</v>
      </c>
      <c r="E258" t="s">
        <v>31</v>
      </c>
      <c r="H258" t="s">
        <v>29</v>
      </c>
      <c r="I258" t="s">
        <v>262</v>
      </c>
      <c r="J258">
        <v>0</v>
      </c>
      <c r="K258">
        <v>0</v>
      </c>
      <c r="L258">
        <v>0</v>
      </c>
      <c r="M258">
        <v>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5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T258" t="s">
        <v>263</v>
      </c>
      <c r="AV258" t="s">
        <v>264</v>
      </c>
    </row>
    <row r="259" spans="1:48">
      <c r="A259">
        <v>2313010585</v>
      </c>
      <c r="B259">
        <v>2313010606</v>
      </c>
      <c r="C259" t="s">
        <v>597</v>
      </c>
      <c r="D259" t="s">
        <v>243</v>
      </c>
      <c r="E259" t="s">
        <v>31</v>
      </c>
      <c r="H259" t="s">
        <v>29</v>
      </c>
      <c r="I259" t="s">
        <v>262</v>
      </c>
      <c r="J259">
        <v>0</v>
      </c>
      <c r="K259">
        <v>0</v>
      </c>
      <c r="L259">
        <v>0</v>
      </c>
      <c r="M259">
        <v>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5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T259" t="s">
        <v>263</v>
      </c>
      <c r="AV259" t="s">
        <v>264</v>
      </c>
    </row>
    <row r="260" spans="1:48">
      <c r="A260">
        <v>2313010585</v>
      </c>
      <c r="B260">
        <v>2313010607</v>
      </c>
      <c r="C260" t="s">
        <v>598</v>
      </c>
      <c r="D260" t="s">
        <v>246</v>
      </c>
      <c r="E260" t="s">
        <v>31</v>
      </c>
      <c r="H260" t="s">
        <v>29</v>
      </c>
      <c r="I260" t="s">
        <v>262</v>
      </c>
      <c r="J260">
        <v>0</v>
      </c>
      <c r="K260">
        <v>0</v>
      </c>
      <c r="L260">
        <v>0</v>
      </c>
      <c r="M260">
        <v>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5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T260" t="s">
        <v>263</v>
      </c>
      <c r="AV260" t="s">
        <v>264</v>
      </c>
    </row>
    <row r="261" spans="1:48">
      <c r="A261">
        <v>2313010585</v>
      </c>
      <c r="B261">
        <v>2313010608</v>
      </c>
      <c r="C261" t="s">
        <v>599</v>
      </c>
      <c r="D261" t="s">
        <v>571</v>
      </c>
      <c r="E261" t="s">
        <v>31</v>
      </c>
      <c r="H261" t="s">
        <v>29</v>
      </c>
      <c r="I261" t="s">
        <v>262</v>
      </c>
      <c r="J261">
        <v>0</v>
      </c>
      <c r="K261">
        <v>0</v>
      </c>
      <c r="L261">
        <v>0</v>
      </c>
      <c r="M261">
        <v>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5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T261" t="s">
        <v>263</v>
      </c>
      <c r="AV261" t="s">
        <v>264</v>
      </c>
    </row>
    <row r="262" spans="1:48">
      <c r="A262">
        <v>2313010585</v>
      </c>
      <c r="B262">
        <v>2313010609</v>
      </c>
      <c r="C262" t="s">
        <v>600</v>
      </c>
      <c r="D262" t="s">
        <v>573</v>
      </c>
      <c r="E262" t="s">
        <v>31</v>
      </c>
      <c r="H262" t="s">
        <v>29</v>
      </c>
      <c r="I262" t="s">
        <v>262</v>
      </c>
      <c r="J262">
        <v>0</v>
      </c>
      <c r="K262">
        <v>0</v>
      </c>
      <c r="L262">
        <v>0</v>
      </c>
      <c r="M262">
        <v>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3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T262" t="s">
        <v>263</v>
      </c>
      <c r="AV262" t="s">
        <v>264</v>
      </c>
    </row>
    <row r="263" spans="1:48">
      <c r="A263">
        <v>2313010585</v>
      </c>
      <c r="B263">
        <v>2313010610</v>
      </c>
      <c r="C263" t="s">
        <v>601</v>
      </c>
      <c r="D263" t="s">
        <v>326</v>
      </c>
      <c r="E263" t="s">
        <v>31</v>
      </c>
      <c r="H263" t="s">
        <v>29</v>
      </c>
      <c r="I263" t="s">
        <v>262</v>
      </c>
      <c r="J263">
        <v>0</v>
      </c>
      <c r="K263">
        <v>0</v>
      </c>
      <c r="L263">
        <v>0</v>
      </c>
      <c r="M263">
        <v>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5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T263" t="s">
        <v>263</v>
      </c>
      <c r="AV263" t="s">
        <v>264</v>
      </c>
    </row>
    <row r="264" spans="1:48">
      <c r="A264">
        <v>2313010911</v>
      </c>
      <c r="B264">
        <v>2313010911</v>
      </c>
      <c r="C264" t="s">
        <v>602</v>
      </c>
      <c r="D264" t="s">
        <v>545</v>
      </c>
      <c r="E264" t="s">
        <v>31</v>
      </c>
      <c r="H264" t="s">
        <v>29</v>
      </c>
      <c r="I264" t="s">
        <v>108</v>
      </c>
      <c r="J264">
        <v>0</v>
      </c>
      <c r="K264">
        <v>0</v>
      </c>
      <c r="L264">
        <v>0</v>
      </c>
      <c r="M264">
        <v>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2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T264" t="s">
        <v>327</v>
      </c>
      <c r="AV264" t="s">
        <v>264</v>
      </c>
    </row>
    <row r="265" spans="1:48">
      <c r="A265">
        <v>2313010911</v>
      </c>
      <c r="B265">
        <v>2313010912</v>
      </c>
      <c r="C265" t="s">
        <v>603</v>
      </c>
      <c r="D265" t="s">
        <v>199</v>
      </c>
      <c r="E265" t="s">
        <v>31</v>
      </c>
      <c r="H265" t="s">
        <v>29</v>
      </c>
      <c r="I265" t="s">
        <v>108</v>
      </c>
      <c r="J265">
        <v>0</v>
      </c>
      <c r="K265">
        <v>0</v>
      </c>
      <c r="L265">
        <v>0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2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T265" t="s">
        <v>327</v>
      </c>
      <c r="AV265" t="s">
        <v>264</v>
      </c>
    </row>
    <row r="266" spans="1:48">
      <c r="A266">
        <v>2313010911</v>
      </c>
      <c r="B266">
        <v>2313010913</v>
      </c>
      <c r="C266" t="s">
        <v>604</v>
      </c>
      <c r="D266" t="s">
        <v>195</v>
      </c>
      <c r="E266" t="s">
        <v>31</v>
      </c>
      <c r="H266" t="s">
        <v>29</v>
      </c>
      <c r="I266" t="s">
        <v>108</v>
      </c>
      <c r="J266">
        <v>0</v>
      </c>
      <c r="K266">
        <v>0</v>
      </c>
      <c r="L266">
        <v>0</v>
      </c>
      <c r="M266">
        <v>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2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T266" t="s">
        <v>327</v>
      </c>
      <c r="AV266" t="s">
        <v>264</v>
      </c>
    </row>
    <row r="267" spans="1:48">
      <c r="A267">
        <v>2313010911</v>
      </c>
      <c r="B267">
        <v>2313010914</v>
      </c>
      <c r="C267" t="s">
        <v>605</v>
      </c>
      <c r="D267" t="s">
        <v>207</v>
      </c>
      <c r="E267" t="s">
        <v>31</v>
      </c>
      <c r="H267" t="s">
        <v>29</v>
      </c>
      <c r="I267" t="s">
        <v>108</v>
      </c>
      <c r="J267">
        <v>0</v>
      </c>
      <c r="K267">
        <v>0</v>
      </c>
      <c r="L267">
        <v>0</v>
      </c>
      <c r="M267">
        <v>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2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T267" t="s">
        <v>327</v>
      </c>
      <c r="AV267" t="s">
        <v>264</v>
      </c>
    </row>
    <row r="268" spans="1:48">
      <c r="A268">
        <v>2313010911</v>
      </c>
      <c r="B268">
        <v>2313010915</v>
      </c>
      <c r="C268" t="s">
        <v>606</v>
      </c>
      <c r="D268" t="s">
        <v>210</v>
      </c>
      <c r="E268" t="s">
        <v>31</v>
      </c>
      <c r="H268" t="s">
        <v>29</v>
      </c>
      <c r="I268" t="s">
        <v>108</v>
      </c>
      <c r="J268">
        <v>0</v>
      </c>
      <c r="K268">
        <v>0</v>
      </c>
      <c r="L268">
        <v>0</v>
      </c>
      <c r="M268">
        <v>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2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T268" t="s">
        <v>327</v>
      </c>
      <c r="AV268" t="s">
        <v>264</v>
      </c>
    </row>
    <row r="269" spans="1:48">
      <c r="A269">
        <v>2313010911</v>
      </c>
      <c r="B269">
        <v>2313010916</v>
      </c>
      <c r="C269" t="s">
        <v>607</v>
      </c>
      <c r="D269" t="s">
        <v>175</v>
      </c>
      <c r="E269" t="s">
        <v>31</v>
      </c>
      <c r="H269" t="s">
        <v>29</v>
      </c>
      <c r="I269" t="s">
        <v>108</v>
      </c>
      <c r="J269">
        <v>0</v>
      </c>
      <c r="K269">
        <v>0</v>
      </c>
      <c r="L269">
        <v>0</v>
      </c>
      <c r="M269">
        <v>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2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T269" t="s">
        <v>327</v>
      </c>
      <c r="AV269" t="s">
        <v>264</v>
      </c>
    </row>
    <row r="270" spans="1:48">
      <c r="A270">
        <v>2313010911</v>
      </c>
      <c r="B270">
        <v>2313010917</v>
      </c>
      <c r="C270" t="s">
        <v>608</v>
      </c>
      <c r="D270" t="s">
        <v>213</v>
      </c>
      <c r="E270" t="s">
        <v>31</v>
      </c>
      <c r="H270" t="s">
        <v>29</v>
      </c>
      <c r="I270" t="s">
        <v>108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T270" t="s">
        <v>327</v>
      </c>
      <c r="AV270" t="s">
        <v>264</v>
      </c>
    </row>
    <row r="271" spans="1:48">
      <c r="A271">
        <v>2313010911</v>
      </c>
      <c r="B271">
        <v>2313010918</v>
      </c>
      <c r="C271" t="s">
        <v>609</v>
      </c>
      <c r="D271" t="s">
        <v>216</v>
      </c>
      <c r="E271" t="s">
        <v>31</v>
      </c>
      <c r="H271" t="s">
        <v>29</v>
      </c>
      <c r="I271" t="s">
        <v>108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T271" t="s">
        <v>327</v>
      </c>
      <c r="AV271" t="s">
        <v>264</v>
      </c>
    </row>
    <row r="272" spans="1:48">
      <c r="A272">
        <v>2313010911</v>
      </c>
      <c r="B272">
        <v>2313010919</v>
      </c>
      <c r="C272" t="s">
        <v>610</v>
      </c>
      <c r="D272" t="s">
        <v>219</v>
      </c>
      <c r="E272" t="s">
        <v>31</v>
      </c>
      <c r="H272" t="s">
        <v>29</v>
      </c>
      <c r="I272" t="s">
        <v>108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T272" t="s">
        <v>327</v>
      </c>
      <c r="AV272" t="s">
        <v>264</v>
      </c>
    </row>
    <row r="273" spans="1:48">
      <c r="A273">
        <v>2313010911</v>
      </c>
      <c r="B273">
        <v>2313010920</v>
      </c>
      <c r="C273" t="s">
        <v>611</v>
      </c>
      <c r="D273" t="s">
        <v>180</v>
      </c>
      <c r="E273" t="s">
        <v>31</v>
      </c>
      <c r="H273" t="s">
        <v>29</v>
      </c>
      <c r="I273" t="s">
        <v>108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T273" t="s">
        <v>327</v>
      </c>
      <c r="AV273" t="s">
        <v>264</v>
      </c>
    </row>
    <row r="274" spans="1:48">
      <c r="A274">
        <v>2313010911</v>
      </c>
      <c r="B274">
        <v>2313010921</v>
      </c>
      <c r="C274" t="s">
        <v>612</v>
      </c>
      <c r="D274" t="s">
        <v>183</v>
      </c>
      <c r="E274" t="s">
        <v>31</v>
      </c>
      <c r="H274" t="s">
        <v>29</v>
      </c>
      <c r="I274" t="s">
        <v>108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T274" t="s">
        <v>327</v>
      </c>
      <c r="AV274" t="s">
        <v>264</v>
      </c>
    </row>
    <row r="275" spans="1:48">
      <c r="A275">
        <v>2313010911</v>
      </c>
      <c r="B275">
        <v>2313010922</v>
      </c>
      <c r="C275" t="s">
        <v>613</v>
      </c>
      <c r="D275" t="s">
        <v>186</v>
      </c>
      <c r="E275" t="s">
        <v>31</v>
      </c>
      <c r="H275" t="s">
        <v>29</v>
      </c>
      <c r="I275" t="s">
        <v>108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T275" t="s">
        <v>327</v>
      </c>
      <c r="AV275" t="s">
        <v>264</v>
      </c>
    </row>
    <row r="276" spans="1:48">
      <c r="A276">
        <v>2313010911</v>
      </c>
      <c r="B276">
        <v>2313010923</v>
      </c>
      <c r="C276" t="s">
        <v>614</v>
      </c>
      <c r="D276" t="s">
        <v>189</v>
      </c>
      <c r="E276" t="s">
        <v>31</v>
      </c>
      <c r="H276" t="s">
        <v>29</v>
      </c>
      <c r="I276" t="s">
        <v>108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T276" t="s">
        <v>327</v>
      </c>
      <c r="AV276" t="s">
        <v>264</v>
      </c>
    </row>
    <row r="277" spans="1:48">
      <c r="A277">
        <v>2313010911</v>
      </c>
      <c r="B277">
        <v>2313010924</v>
      </c>
      <c r="C277" t="s">
        <v>615</v>
      </c>
      <c r="D277" t="s">
        <v>192</v>
      </c>
      <c r="E277" t="s">
        <v>31</v>
      </c>
      <c r="H277" t="s">
        <v>29</v>
      </c>
      <c r="I277" t="s">
        <v>108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T277" t="s">
        <v>327</v>
      </c>
      <c r="AV277" t="s">
        <v>264</v>
      </c>
    </row>
    <row r="278" spans="1:48">
      <c r="A278">
        <v>2313010911</v>
      </c>
      <c r="B278">
        <v>2313010925</v>
      </c>
      <c r="C278" t="s">
        <v>616</v>
      </c>
      <c r="D278" t="s">
        <v>222</v>
      </c>
      <c r="E278" t="s">
        <v>31</v>
      </c>
      <c r="H278" t="s">
        <v>29</v>
      </c>
      <c r="I278" t="s">
        <v>108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T278" t="s">
        <v>327</v>
      </c>
      <c r="AV278" t="s">
        <v>264</v>
      </c>
    </row>
    <row r="279" spans="1:48">
      <c r="A279">
        <v>2313010911</v>
      </c>
      <c r="B279">
        <v>2313010926</v>
      </c>
      <c r="C279" t="s">
        <v>617</v>
      </c>
      <c r="D279" t="s">
        <v>225</v>
      </c>
      <c r="E279" t="s">
        <v>31</v>
      </c>
      <c r="H279" t="s">
        <v>29</v>
      </c>
      <c r="I279" t="s">
        <v>108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T279" t="s">
        <v>327</v>
      </c>
      <c r="AV279" t="s">
        <v>264</v>
      </c>
    </row>
    <row r="280" spans="1:48">
      <c r="A280">
        <v>2313010911</v>
      </c>
      <c r="B280">
        <v>2313010927</v>
      </c>
      <c r="C280" t="s">
        <v>618</v>
      </c>
      <c r="D280" t="s">
        <v>228</v>
      </c>
      <c r="E280" t="s">
        <v>31</v>
      </c>
      <c r="H280" t="s">
        <v>29</v>
      </c>
      <c r="I280" t="s">
        <v>108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T280" t="s">
        <v>327</v>
      </c>
      <c r="AV280" t="s">
        <v>264</v>
      </c>
    </row>
    <row r="281" spans="1:48">
      <c r="A281">
        <v>2313010911</v>
      </c>
      <c r="B281">
        <v>2313010928</v>
      </c>
      <c r="C281" t="s">
        <v>619</v>
      </c>
      <c r="D281" t="s">
        <v>231</v>
      </c>
      <c r="E281" t="s">
        <v>31</v>
      </c>
      <c r="H281" t="s">
        <v>29</v>
      </c>
      <c r="I281" t="s">
        <v>108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T281" t="s">
        <v>327</v>
      </c>
      <c r="AV281" t="s">
        <v>264</v>
      </c>
    </row>
    <row r="282" spans="1:48">
      <c r="A282">
        <v>2313010911</v>
      </c>
      <c r="B282">
        <v>2313010929</v>
      </c>
      <c r="C282" t="s">
        <v>620</v>
      </c>
      <c r="D282" t="s">
        <v>234</v>
      </c>
      <c r="E282" t="s">
        <v>31</v>
      </c>
      <c r="H282" t="s">
        <v>29</v>
      </c>
      <c r="I282" t="s">
        <v>108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T282" t="s">
        <v>327</v>
      </c>
      <c r="AV282" t="s">
        <v>264</v>
      </c>
    </row>
    <row r="283" spans="1:48">
      <c r="A283">
        <v>2313010911</v>
      </c>
      <c r="B283">
        <v>2313010930</v>
      </c>
      <c r="C283" t="s">
        <v>621</v>
      </c>
      <c r="D283" t="s">
        <v>237</v>
      </c>
      <c r="E283" t="s">
        <v>31</v>
      </c>
      <c r="H283" t="s">
        <v>29</v>
      </c>
      <c r="I283" t="s">
        <v>108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T283" t="s">
        <v>327</v>
      </c>
      <c r="AV283" t="s">
        <v>264</v>
      </c>
    </row>
    <row r="284" spans="1:48">
      <c r="A284">
        <v>2313010911</v>
      </c>
      <c r="B284">
        <v>2313010931</v>
      </c>
      <c r="C284" t="s">
        <v>622</v>
      </c>
      <c r="D284" t="s">
        <v>240</v>
      </c>
      <c r="E284" t="s">
        <v>31</v>
      </c>
      <c r="H284" t="s">
        <v>29</v>
      </c>
      <c r="I284" t="s">
        <v>108</v>
      </c>
      <c r="J284">
        <v>0</v>
      </c>
      <c r="K284">
        <v>0</v>
      </c>
      <c r="L284">
        <v>0</v>
      </c>
      <c r="M284">
        <v>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2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T284" t="s">
        <v>327</v>
      </c>
      <c r="AV284" t="s">
        <v>264</v>
      </c>
    </row>
    <row r="285" spans="1:48">
      <c r="A285">
        <v>2313010911</v>
      </c>
      <c r="B285">
        <v>2313010932</v>
      </c>
      <c r="C285" t="s">
        <v>623</v>
      </c>
      <c r="D285" t="s">
        <v>243</v>
      </c>
      <c r="E285" t="s">
        <v>31</v>
      </c>
      <c r="H285" t="s">
        <v>29</v>
      </c>
      <c r="I285" t="s">
        <v>108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T285" t="s">
        <v>327</v>
      </c>
      <c r="AV285" t="s">
        <v>264</v>
      </c>
    </row>
    <row r="286" spans="1:48">
      <c r="A286">
        <v>2313010911</v>
      </c>
      <c r="B286">
        <v>2313010933</v>
      </c>
      <c r="C286" t="s">
        <v>624</v>
      </c>
      <c r="D286" t="s">
        <v>246</v>
      </c>
      <c r="E286" t="s">
        <v>31</v>
      </c>
      <c r="H286" t="s">
        <v>29</v>
      </c>
      <c r="I286" t="s">
        <v>108</v>
      </c>
      <c r="J286">
        <v>0</v>
      </c>
      <c r="K286">
        <v>0</v>
      </c>
      <c r="L286">
        <v>0</v>
      </c>
      <c r="M286">
        <v>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2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T286" t="s">
        <v>327</v>
      </c>
      <c r="AV286" t="s">
        <v>264</v>
      </c>
    </row>
    <row r="287" spans="1:48">
      <c r="A287">
        <v>2313010911</v>
      </c>
      <c r="B287">
        <v>2313010934</v>
      </c>
      <c r="C287" t="s">
        <v>625</v>
      </c>
      <c r="D287" t="s">
        <v>571</v>
      </c>
      <c r="E287" t="s">
        <v>31</v>
      </c>
      <c r="H287" t="s">
        <v>29</v>
      </c>
      <c r="I287" t="s">
        <v>108</v>
      </c>
      <c r="J287">
        <v>0</v>
      </c>
      <c r="K287">
        <v>0</v>
      </c>
      <c r="L287">
        <v>0</v>
      </c>
      <c r="M287">
        <v>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2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T287" t="s">
        <v>327</v>
      </c>
      <c r="AV287" t="s">
        <v>264</v>
      </c>
    </row>
    <row r="288" spans="1:48">
      <c r="A288">
        <v>2313010911</v>
      </c>
      <c r="B288">
        <v>2313010935</v>
      </c>
      <c r="C288" t="s">
        <v>626</v>
      </c>
      <c r="D288" t="s">
        <v>573</v>
      </c>
      <c r="E288" t="s">
        <v>31</v>
      </c>
      <c r="H288" t="s">
        <v>29</v>
      </c>
      <c r="I288" t="s">
        <v>108</v>
      </c>
      <c r="J288">
        <v>0</v>
      </c>
      <c r="K288">
        <v>0</v>
      </c>
      <c r="L288">
        <v>0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T288" t="s">
        <v>327</v>
      </c>
      <c r="AV288" t="s">
        <v>264</v>
      </c>
    </row>
    <row r="289" spans="1:48">
      <c r="A289">
        <v>2313011372</v>
      </c>
      <c r="B289">
        <v>2313011372</v>
      </c>
      <c r="C289" t="s">
        <v>627</v>
      </c>
      <c r="D289" t="s">
        <v>545</v>
      </c>
      <c r="E289" t="s">
        <v>31</v>
      </c>
      <c r="H289" t="s">
        <v>29</v>
      </c>
      <c r="I289" t="s">
        <v>196</v>
      </c>
      <c r="J289">
        <v>0</v>
      </c>
      <c r="K289">
        <v>0</v>
      </c>
      <c r="L289">
        <v>0</v>
      </c>
      <c r="M289">
        <v>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6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T289" t="s">
        <v>628</v>
      </c>
      <c r="AV289" t="s">
        <v>178</v>
      </c>
    </row>
    <row r="290" spans="1:48">
      <c r="A290">
        <v>2313011386</v>
      </c>
      <c r="B290">
        <v>2313011386</v>
      </c>
      <c r="C290" t="s">
        <v>629</v>
      </c>
      <c r="D290" t="s">
        <v>545</v>
      </c>
      <c r="E290" t="s">
        <v>31</v>
      </c>
      <c r="H290" t="s">
        <v>29</v>
      </c>
      <c r="I290" t="s">
        <v>200</v>
      </c>
      <c r="J290">
        <v>0</v>
      </c>
      <c r="K290">
        <v>0</v>
      </c>
      <c r="L290">
        <v>0</v>
      </c>
      <c r="M290">
        <v>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5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T290" t="s">
        <v>630</v>
      </c>
      <c r="AV290" t="s">
        <v>178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opLeftCell="B1" workbookViewId="0">
      <selection activeCell="O5" sqref="O5"/>
    </sheetView>
  </sheetViews>
  <sheetFormatPr defaultRowHeight="17.399999999999999"/>
  <cols>
    <col min="1" max="1" width="4.09765625" bestFit="1" customWidth="1"/>
    <col min="2" max="2" width="4.69921875" bestFit="1" customWidth="1"/>
    <col min="4" max="4" width="6.5" bestFit="1" customWidth="1"/>
    <col min="5" max="11" width="4.69921875" bestFit="1" customWidth="1"/>
    <col min="12" max="12" width="6.5" bestFit="1" customWidth="1"/>
    <col min="13" max="14" width="8.19921875" bestFit="1" customWidth="1"/>
    <col min="15" max="15" width="6.5" bestFit="1" customWidth="1"/>
  </cols>
  <sheetData>
    <row r="1" spans="1:15" ht="31.2">
      <c r="A1" s="23" t="s">
        <v>632</v>
      </c>
      <c r="B1" s="24" t="s">
        <v>633</v>
      </c>
      <c r="C1" s="23" t="s">
        <v>634</v>
      </c>
      <c r="D1" s="23" t="s">
        <v>635</v>
      </c>
      <c r="E1" s="25" t="s">
        <v>636</v>
      </c>
      <c r="F1" s="25" t="s">
        <v>637</v>
      </c>
      <c r="G1" s="25" t="s">
        <v>636</v>
      </c>
      <c r="H1" s="25" t="s">
        <v>637</v>
      </c>
      <c r="I1" s="25" t="s">
        <v>636</v>
      </c>
      <c r="J1" s="25" t="s">
        <v>637</v>
      </c>
      <c r="K1" s="25" t="s">
        <v>638</v>
      </c>
      <c r="L1" s="25" t="s">
        <v>639</v>
      </c>
      <c r="M1" s="26" t="s">
        <v>640</v>
      </c>
      <c r="N1" s="23" t="s">
        <v>641</v>
      </c>
      <c r="O1" s="24" t="s">
        <v>166</v>
      </c>
    </row>
    <row r="2" spans="1:15" ht="31.2">
      <c r="A2" s="27">
        <v>52</v>
      </c>
      <c r="B2" s="28" t="s">
        <v>31</v>
      </c>
      <c r="C2" s="28" t="s">
        <v>546</v>
      </c>
      <c r="D2" s="29" t="s">
        <v>642</v>
      </c>
      <c r="E2" s="30">
        <v>0</v>
      </c>
      <c r="F2" s="30">
        <v>0</v>
      </c>
      <c r="G2" s="30">
        <v>0</v>
      </c>
      <c r="H2" s="30">
        <v>0</v>
      </c>
      <c r="I2" s="30">
        <v>0</v>
      </c>
      <c r="J2" s="30">
        <v>0</v>
      </c>
      <c r="K2" s="30">
        <v>0</v>
      </c>
      <c r="L2" s="30">
        <v>0</v>
      </c>
      <c r="M2" s="30">
        <v>0</v>
      </c>
      <c r="N2" s="31"/>
      <c r="O2" s="30">
        <v>0</v>
      </c>
    </row>
    <row r="3" spans="1:15" ht="31.2">
      <c r="A3" s="27">
        <v>52</v>
      </c>
      <c r="B3" s="28" t="s">
        <v>31</v>
      </c>
      <c r="C3" s="28" t="s">
        <v>546</v>
      </c>
      <c r="D3" s="29" t="s">
        <v>643</v>
      </c>
      <c r="E3" s="30">
        <v>9</v>
      </c>
      <c r="F3" s="30">
        <v>900</v>
      </c>
      <c r="G3" s="30">
        <v>9</v>
      </c>
      <c r="H3" s="30">
        <v>900</v>
      </c>
      <c r="I3" s="30">
        <v>9</v>
      </c>
      <c r="J3" s="30">
        <v>900</v>
      </c>
      <c r="K3" s="30">
        <v>0</v>
      </c>
      <c r="L3" s="30">
        <v>0</v>
      </c>
      <c r="M3" s="30">
        <v>900</v>
      </c>
      <c r="N3" s="31"/>
      <c r="O3" s="30">
        <v>630</v>
      </c>
    </row>
    <row r="4" spans="1:15" ht="31.2">
      <c r="A4" s="27">
        <v>52</v>
      </c>
      <c r="B4" s="28" t="s">
        <v>31</v>
      </c>
      <c r="C4" s="28" t="s">
        <v>546</v>
      </c>
      <c r="D4" s="29" t="s">
        <v>644</v>
      </c>
      <c r="E4" s="30">
        <v>0</v>
      </c>
      <c r="F4" s="30">
        <v>0</v>
      </c>
      <c r="G4" s="30">
        <v>0</v>
      </c>
      <c r="H4" s="30">
        <v>0</v>
      </c>
      <c r="I4" s="30">
        <v>0</v>
      </c>
      <c r="J4" s="30">
        <v>0</v>
      </c>
      <c r="K4" s="30">
        <v>0</v>
      </c>
      <c r="L4" s="30">
        <v>0</v>
      </c>
      <c r="M4" s="30">
        <v>0</v>
      </c>
      <c r="N4" s="31"/>
      <c r="O4" s="30">
        <v>0</v>
      </c>
    </row>
    <row r="5" spans="1:15">
      <c r="O5">
        <f>SUM(O2:O4)</f>
        <v>630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opLeftCell="B1" workbookViewId="0">
      <selection activeCell="B1" sqref="B1"/>
    </sheetView>
  </sheetViews>
  <sheetFormatPr defaultRowHeight="17.399999999999999"/>
  <cols>
    <col min="1" max="1" width="6.69921875" bestFit="1" customWidth="1"/>
    <col min="2" max="2" width="5.69921875" bestFit="1" customWidth="1"/>
    <col min="3" max="3" width="4.3984375" bestFit="1" customWidth="1"/>
    <col min="4" max="4" width="6.19921875" bestFit="1" customWidth="1"/>
    <col min="5" max="5" width="7.3984375" bestFit="1" customWidth="1"/>
    <col min="6" max="6" width="32.5976562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69921875" bestFit="1" customWidth="1"/>
  </cols>
  <sheetData>
    <row r="1" spans="1:13">
      <c r="A1" s="32" t="s">
        <v>646</v>
      </c>
      <c r="B1" s="32" t="s">
        <v>647</v>
      </c>
      <c r="C1" s="32" t="s">
        <v>633</v>
      </c>
      <c r="D1" s="32" t="s">
        <v>648</v>
      </c>
      <c r="E1" s="32" t="s">
        <v>649</v>
      </c>
      <c r="F1" s="32" t="s">
        <v>650</v>
      </c>
      <c r="G1" s="33" t="s">
        <v>651</v>
      </c>
      <c r="H1" s="33" t="s">
        <v>652</v>
      </c>
      <c r="I1" s="33" t="s">
        <v>653</v>
      </c>
      <c r="J1" s="33" t="s">
        <v>654</v>
      </c>
      <c r="K1" s="33" t="s">
        <v>655</v>
      </c>
      <c r="L1" s="33" t="s">
        <v>656</v>
      </c>
      <c r="M1" s="33" t="s">
        <v>657</v>
      </c>
    </row>
    <row r="2" spans="1:13">
      <c r="A2" s="34">
        <v>2022.03</v>
      </c>
      <c r="B2" s="34" t="s">
        <v>658</v>
      </c>
      <c r="C2" s="34" t="s">
        <v>659</v>
      </c>
      <c r="D2" s="34" t="s">
        <v>660</v>
      </c>
      <c r="E2" s="34">
        <v>270858</v>
      </c>
      <c r="F2" s="35" t="s">
        <v>661</v>
      </c>
      <c r="G2" s="36">
        <v>13</v>
      </c>
      <c r="H2" s="36">
        <v>0</v>
      </c>
      <c r="I2" s="36">
        <v>0</v>
      </c>
      <c r="J2" s="36">
        <v>0</v>
      </c>
      <c r="K2" s="37">
        <v>41600</v>
      </c>
      <c r="L2" s="37">
        <v>0</v>
      </c>
      <c r="M2" s="36">
        <v>26208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opLeftCell="B1" workbookViewId="0">
      <selection activeCell="B1" sqref="B1"/>
    </sheetView>
  </sheetViews>
  <sheetFormatPr defaultColWidth="9" defaultRowHeight="17.399999999999999"/>
  <cols>
    <col min="1" max="1" width="8.59765625" style="39" bestFit="1" customWidth="1"/>
    <col min="2" max="2" width="33.59765625" style="39" bestFit="1" customWidth="1"/>
    <col min="3" max="3" width="6.69921875" style="39" bestFit="1" customWidth="1"/>
    <col min="4" max="4" width="10.3984375" style="39" bestFit="1" customWidth="1"/>
    <col min="5" max="8" width="8.59765625" style="39" bestFit="1" customWidth="1"/>
    <col min="9" max="11" width="12.3984375" style="39" bestFit="1" customWidth="1"/>
    <col min="12" max="12" width="6.69921875" style="39" bestFit="1" customWidth="1"/>
    <col min="13" max="13" width="8.59765625" style="39" bestFit="1" customWidth="1"/>
    <col min="14" max="15" width="10.3984375" style="39" bestFit="1" customWidth="1"/>
    <col min="16" max="16" width="12.5" style="39" bestFit="1" customWidth="1"/>
    <col min="17" max="18" width="14.5" style="39" bestFit="1" customWidth="1"/>
    <col min="19" max="19" width="11.69921875" style="39" bestFit="1" customWidth="1"/>
    <col min="20" max="21" width="13.69921875" style="39" bestFit="1" customWidth="1"/>
    <col min="22" max="22" width="8.59765625" style="39" bestFit="1" customWidth="1"/>
    <col min="23" max="16384" width="9" style="39"/>
  </cols>
  <sheetData>
    <row r="1" spans="1:22">
      <c r="A1" s="38" t="s">
        <v>662</v>
      </c>
      <c r="B1" s="38" t="s">
        <v>663</v>
      </c>
      <c r="C1" s="38" t="s">
        <v>664</v>
      </c>
      <c r="D1" s="38" t="s">
        <v>665</v>
      </c>
      <c r="E1" s="38" t="s">
        <v>666</v>
      </c>
      <c r="F1" s="38" t="s">
        <v>667</v>
      </c>
      <c r="G1" s="38" t="s">
        <v>668</v>
      </c>
      <c r="H1" s="38" t="s">
        <v>669</v>
      </c>
      <c r="I1" s="38" t="s">
        <v>670</v>
      </c>
      <c r="J1" s="38" t="s">
        <v>671</v>
      </c>
      <c r="K1" s="38" t="s">
        <v>672</v>
      </c>
      <c r="L1" s="38" t="s">
        <v>673</v>
      </c>
      <c r="M1" s="38" t="s">
        <v>674</v>
      </c>
      <c r="N1" s="38" t="s">
        <v>675</v>
      </c>
      <c r="O1" s="38" t="s">
        <v>676</v>
      </c>
      <c r="P1" s="38" t="s">
        <v>677</v>
      </c>
      <c r="Q1" s="38" t="s">
        <v>678</v>
      </c>
      <c r="R1" s="38" t="s">
        <v>679</v>
      </c>
      <c r="S1" s="38" t="s">
        <v>680</v>
      </c>
      <c r="T1" s="38" t="s">
        <v>681</v>
      </c>
      <c r="U1" s="38" t="s">
        <v>682</v>
      </c>
      <c r="V1" s="38" t="s">
        <v>683</v>
      </c>
    </row>
    <row r="2" spans="1:22">
      <c r="A2" s="40" t="s">
        <v>684</v>
      </c>
      <c r="B2" s="40" t="s">
        <v>114</v>
      </c>
      <c r="C2" s="40" t="s">
        <v>31</v>
      </c>
      <c r="D2" s="40" t="s">
        <v>29</v>
      </c>
      <c r="E2" s="40" t="s">
        <v>685</v>
      </c>
      <c r="F2" s="40" t="s">
        <v>653</v>
      </c>
      <c r="G2" s="41">
        <v>47</v>
      </c>
      <c r="H2" s="41">
        <v>4700</v>
      </c>
      <c r="I2" s="40" t="s">
        <v>686</v>
      </c>
      <c r="J2" s="40" t="s">
        <v>686</v>
      </c>
      <c r="K2" s="41">
        <v>4700</v>
      </c>
      <c r="L2" s="40" t="s">
        <v>686</v>
      </c>
      <c r="M2" s="40" t="s">
        <v>686</v>
      </c>
      <c r="N2" s="40" t="s">
        <v>686</v>
      </c>
      <c r="O2" s="40" t="s">
        <v>686</v>
      </c>
      <c r="P2" s="40" t="s">
        <v>686</v>
      </c>
      <c r="Q2" s="40" t="s">
        <v>686</v>
      </c>
      <c r="R2" s="40" t="s">
        <v>686</v>
      </c>
      <c r="S2" s="40" t="s">
        <v>686</v>
      </c>
      <c r="T2" s="40" t="s">
        <v>686</v>
      </c>
      <c r="U2" s="40" t="s">
        <v>686</v>
      </c>
      <c r="V2" s="41">
        <v>3290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opLeftCell="B1" workbookViewId="0">
      <selection activeCell="M14" sqref="M14"/>
    </sheetView>
  </sheetViews>
  <sheetFormatPr defaultRowHeight="17.399999999999999"/>
  <cols>
    <col min="1" max="1" width="42.09765625" bestFit="1" customWidth="1"/>
    <col min="2" max="2" width="5" bestFit="1" customWidth="1"/>
    <col min="3" max="3" width="10.3984375" bestFit="1" customWidth="1"/>
    <col min="4" max="4" width="6.69921875" bestFit="1" customWidth="1"/>
    <col min="5" max="5" width="14.398437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</cols>
  <sheetData>
    <row r="1" spans="1:12">
      <c r="A1" s="42" t="s">
        <v>128</v>
      </c>
      <c r="B1" s="42" t="s">
        <v>130</v>
      </c>
      <c r="C1" s="42" t="s">
        <v>688</v>
      </c>
      <c r="D1" s="42" t="s">
        <v>689</v>
      </c>
      <c r="E1" s="42" t="s">
        <v>690</v>
      </c>
      <c r="F1" s="43" t="s">
        <v>691</v>
      </c>
      <c r="G1" s="43" t="s">
        <v>692</v>
      </c>
      <c r="H1" s="43" t="s">
        <v>157</v>
      </c>
      <c r="I1" s="43" t="s">
        <v>693</v>
      </c>
      <c r="J1" s="43" t="s">
        <v>694</v>
      </c>
      <c r="K1" s="43" t="s">
        <v>695</v>
      </c>
      <c r="L1" s="43" t="s">
        <v>166</v>
      </c>
    </row>
    <row r="2" spans="1:12">
      <c r="A2" t="s">
        <v>696</v>
      </c>
      <c r="B2" t="s">
        <v>31</v>
      </c>
      <c r="C2" t="s">
        <v>29</v>
      </c>
      <c r="D2" t="s">
        <v>697</v>
      </c>
      <c r="E2" t="s">
        <v>698</v>
      </c>
      <c r="F2">
        <v>1</v>
      </c>
      <c r="G2">
        <v>3200</v>
      </c>
      <c r="H2">
        <v>3200</v>
      </c>
      <c r="I2">
        <v>0</v>
      </c>
      <c r="J2">
        <v>0</v>
      </c>
      <c r="K2">
        <v>3200</v>
      </c>
      <c r="L2">
        <v>1600</v>
      </c>
    </row>
    <row r="3" spans="1:12">
      <c r="A3" t="s">
        <v>699</v>
      </c>
      <c r="B3" t="s">
        <v>31</v>
      </c>
      <c r="C3" t="s">
        <v>29</v>
      </c>
      <c r="D3" t="s">
        <v>697</v>
      </c>
      <c r="E3" t="s">
        <v>698</v>
      </c>
      <c r="F3">
        <v>1</v>
      </c>
      <c r="G3">
        <v>3200</v>
      </c>
      <c r="H3">
        <v>3200</v>
      </c>
      <c r="I3">
        <v>0</v>
      </c>
      <c r="J3">
        <v>0</v>
      </c>
      <c r="K3">
        <v>3200</v>
      </c>
      <c r="L3">
        <v>1600</v>
      </c>
    </row>
    <row r="4" spans="1:12">
      <c r="A4" t="s">
        <v>700</v>
      </c>
      <c r="B4" t="s">
        <v>31</v>
      </c>
      <c r="C4" t="s">
        <v>29</v>
      </c>
      <c r="D4" t="s">
        <v>697</v>
      </c>
      <c r="E4" t="s">
        <v>698</v>
      </c>
      <c r="F4">
        <v>1</v>
      </c>
      <c r="G4">
        <v>3200</v>
      </c>
      <c r="H4">
        <v>3200</v>
      </c>
      <c r="I4">
        <v>0</v>
      </c>
      <c r="J4">
        <v>0</v>
      </c>
      <c r="K4">
        <v>3200</v>
      </c>
      <c r="L4">
        <v>1600</v>
      </c>
    </row>
    <row r="5" spans="1:12">
      <c r="A5" t="s">
        <v>701</v>
      </c>
      <c r="B5" t="s">
        <v>31</v>
      </c>
      <c r="C5" t="s">
        <v>29</v>
      </c>
      <c r="D5" t="s">
        <v>697</v>
      </c>
      <c r="E5" t="s">
        <v>698</v>
      </c>
      <c r="F5">
        <v>1</v>
      </c>
      <c r="G5">
        <v>3200</v>
      </c>
      <c r="H5">
        <v>3200</v>
      </c>
      <c r="I5">
        <v>0</v>
      </c>
      <c r="J5">
        <v>0</v>
      </c>
      <c r="K5">
        <v>3200</v>
      </c>
      <c r="L5">
        <v>1600</v>
      </c>
    </row>
    <row r="6" spans="1:12">
      <c r="A6" t="s">
        <v>702</v>
      </c>
      <c r="B6" t="s">
        <v>31</v>
      </c>
      <c r="C6" t="s">
        <v>29</v>
      </c>
      <c r="D6" t="s">
        <v>697</v>
      </c>
      <c r="E6" t="s">
        <v>698</v>
      </c>
      <c r="F6">
        <v>1</v>
      </c>
      <c r="G6">
        <v>3200</v>
      </c>
      <c r="H6">
        <v>3200</v>
      </c>
      <c r="I6">
        <v>0</v>
      </c>
      <c r="J6">
        <v>0</v>
      </c>
      <c r="K6">
        <v>3200</v>
      </c>
      <c r="L6">
        <v>1600</v>
      </c>
    </row>
    <row r="7" spans="1:12">
      <c r="A7" t="s">
        <v>703</v>
      </c>
      <c r="B7" t="s">
        <v>31</v>
      </c>
      <c r="C7" t="s">
        <v>29</v>
      </c>
      <c r="D7" t="s">
        <v>697</v>
      </c>
      <c r="E7" t="s">
        <v>698</v>
      </c>
      <c r="F7">
        <v>1</v>
      </c>
      <c r="G7">
        <v>3200</v>
      </c>
      <c r="H7">
        <v>3200</v>
      </c>
      <c r="I7">
        <v>0</v>
      </c>
      <c r="J7">
        <v>0</v>
      </c>
      <c r="K7">
        <v>3200</v>
      </c>
      <c r="L7">
        <v>1600</v>
      </c>
    </row>
    <row r="8" spans="1:12">
      <c r="A8" t="s">
        <v>704</v>
      </c>
      <c r="B8" t="s">
        <v>31</v>
      </c>
      <c r="C8" t="s">
        <v>29</v>
      </c>
      <c r="D8" t="s">
        <v>697</v>
      </c>
      <c r="E8" t="s">
        <v>698</v>
      </c>
      <c r="F8">
        <v>1</v>
      </c>
      <c r="G8">
        <v>3200</v>
      </c>
      <c r="H8">
        <v>3200</v>
      </c>
      <c r="I8">
        <v>0</v>
      </c>
      <c r="J8">
        <v>0</v>
      </c>
      <c r="K8">
        <v>3200</v>
      </c>
      <c r="L8">
        <v>1600</v>
      </c>
    </row>
    <row r="9" spans="1:12">
      <c r="A9" t="s">
        <v>705</v>
      </c>
      <c r="B9" t="s">
        <v>31</v>
      </c>
      <c r="C9" t="s">
        <v>29</v>
      </c>
      <c r="D9" t="s">
        <v>697</v>
      </c>
      <c r="E9" t="s">
        <v>698</v>
      </c>
      <c r="F9">
        <v>1</v>
      </c>
      <c r="G9">
        <v>3200</v>
      </c>
      <c r="H9">
        <v>3200</v>
      </c>
      <c r="I9">
        <v>0</v>
      </c>
      <c r="J9">
        <v>0</v>
      </c>
      <c r="K9">
        <v>3200</v>
      </c>
      <c r="L9">
        <v>1600</v>
      </c>
    </row>
    <row r="10" spans="1:12">
      <c r="A10" t="s">
        <v>706</v>
      </c>
      <c r="B10" t="s">
        <v>31</v>
      </c>
      <c r="C10" t="s">
        <v>29</v>
      </c>
      <c r="D10" t="s">
        <v>697</v>
      </c>
      <c r="E10" t="s">
        <v>698</v>
      </c>
      <c r="F10">
        <v>1</v>
      </c>
      <c r="G10">
        <v>3200</v>
      </c>
      <c r="H10">
        <v>3200</v>
      </c>
      <c r="I10">
        <v>0</v>
      </c>
      <c r="J10">
        <v>0</v>
      </c>
      <c r="K10">
        <v>3200</v>
      </c>
      <c r="L10">
        <v>1600</v>
      </c>
    </row>
    <row r="11" spans="1:12">
      <c r="A11" t="s">
        <v>707</v>
      </c>
      <c r="B11" t="s">
        <v>31</v>
      </c>
      <c r="C11" t="s">
        <v>29</v>
      </c>
      <c r="D11" t="s">
        <v>697</v>
      </c>
      <c r="E11" t="s">
        <v>698</v>
      </c>
      <c r="F11">
        <v>1</v>
      </c>
      <c r="G11">
        <v>3200</v>
      </c>
      <c r="H11">
        <v>3200</v>
      </c>
      <c r="I11">
        <v>0</v>
      </c>
      <c r="J11">
        <v>0</v>
      </c>
      <c r="K11">
        <v>3200</v>
      </c>
      <c r="L11">
        <v>1600</v>
      </c>
    </row>
    <row r="12" spans="1:12">
      <c r="A12" t="s">
        <v>708</v>
      </c>
      <c r="B12" t="s">
        <v>31</v>
      </c>
      <c r="C12" t="s">
        <v>29</v>
      </c>
      <c r="D12" t="s">
        <v>697</v>
      </c>
      <c r="E12" t="s">
        <v>698</v>
      </c>
      <c r="F12">
        <v>1</v>
      </c>
      <c r="G12">
        <v>3200</v>
      </c>
      <c r="H12">
        <v>3200</v>
      </c>
      <c r="I12">
        <v>0</v>
      </c>
      <c r="J12">
        <v>0</v>
      </c>
      <c r="K12">
        <v>3200</v>
      </c>
      <c r="L12">
        <v>1600</v>
      </c>
    </row>
    <row r="13" spans="1:12">
      <c r="A13" t="s">
        <v>709</v>
      </c>
      <c r="B13" t="s">
        <v>31</v>
      </c>
      <c r="C13" t="s">
        <v>29</v>
      </c>
      <c r="D13" t="s">
        <v>697</v>
      </c>
      <c r="E13" t="s">
        <v>698</v>
      </c>
      <c r="F13">
        <v>1</v>
      </c>
      <c r="G13">
        <v>3200</v>
      </c>
      <c r="H13">
        <v>3200</v>
      </c>
      <c r="I13">
        <v>0</v>
      </c>
      <c r="J13">
        <v>0</v>
      </c>
      <c r="K13">
        <v>3200</v>
      </c>
      <c r="L13">
        <v>1600</v>
      </c>
    </row>
    <row r="14" spans="1:12">
      <c r="A14" t="s">
        <v>108</v>
      </c>
      <c r="B14" t="s">
        <v>31</v>
      </c>
      <c r="C14" t="s">
        <v>29</v>
      </c>
      <c r="D14" t="s">
        <v>710</v>
      </c>
      <c r="E14" t="s">
        <v>711</v>
      </c>
      <c r="F14">
        <v>220</v>
      </c>
      <c r="G14">
        <v>100</v>
      </c>
      <c r="H14">
        <v>22000</v>
      </c>
      <c r="I14">
        <v>0</v>
      </c>
      <c r="J14">
        <v>0</v>
      </c>
      <c r="K14">
        <v>22000</v>
      </c>
      <c r="L14">
        <v>15400</v>
      </c>
    </row>
    <row r="15" spans="1:12">
      <c r="A15" t="s">
        <v>712</v>
      </c>
      <c r="B15" t="s">
        <v>31</v>
      </c>
      <c r="C15" t="s">
        <v>29</v>
      </c>
      <c r="D15" t="s">
        <v>710</v>
      </c>
      <c r="E15" t="s">
        <v>713</v>
      </c>
      <c r="F15">
        <v>1</v>
      </c>
      <c r="G15">
        <v>3200</v>
      </c>
      <c r="H15">
        <v>3200</v>
      </c>
      <c r="I15">
        <v>0</v>
      </c>
      <c r="J15">
        <v>0</v>
      </c>
      <c r="K15">
        <v>3200</v>
      </c>
      <c r="L15">
        <v>2240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workbookViewId="0">
      <selection activeCell="E9" sqref="E9"/>
    </sheetView>
  </sheetViews>
  <sheetFormatPr defaultColWidth="9" defaultRowHeight="17.399999999999999"/>
  <cols>
    <col min="1" max="1" width="5.3984375" style="39" bestFit="1" customWidth="1"/>
    <col min="2" max="2" width="38.3984375" style="39" bestFit="1" customWidth="1"/>
    <col min="3" max="3" width="10.3984375" style="39" bestFit="1" customWidth="1"/>
    <col min="4" max="4" width="12.3984375" style="39" bestFit="1" customWidth="1"/>
    <col min="5" max="5" width="8.59765625" style="39" bestFit="1" customWidth="1"/>
    <col min="6" max="7" width="10.3984375" style="39" bestFit="1" customWidth="1"/>
    <col min="8" max="8" width="6.69921875" style="39" bestFit="1" customWidth="1"/>
    <col min="9" max="9" width="12.3984375" style="39" bestFit="1" customWidth="1"/>
    <col min="10" max="10" width="10.3984375" style="39" bestFit="1" customWidth="1"/>
    <col min="11" max="11" width="8.59765625" style="39" bestFit="1" customWidth="1"/>
    <col min="12" max="12" width="12.3984375" style="39" bestFit="1" customWidth="1"/>
    <col min="13" max="13" width="6.69921875" style="39" bestFit="1" customWidth="1"/>
    <col min="14" max="14" width="10.3984375" style="39" bestFit="1" customWidth="1"/>
    <col min="15" max="15" width="8.3984375" style="39" bestFit="1" customWidth="1"/>
    <col min="16" max="16" width="8.59765625" style="39" bestFit="1" customWidth="1"/>
    <col min="17" max="17" width="10.8984375" style="39" bestFit="1" customWidth="1"/>
    <col min="18" max="18" width="14.69921875" style="39" bestFit="1" customWidth="1"/>
    <col min="19" max="20" width="22.59765625" style="39" bestFit="1" customWidth="1"/>
    <col min="21" max="16384" width="9" style="39"/>
  </cols>
  <sheetData>
    <row r="1" spans="1:20">
      <c r="A1" s="44" t="s">
        <v>715</v>
      </c>
      <c r="B1" s="44" t="s">
        <v>716</v>
      </c>
      <c r="C1" s="44" t="s">
        <v>89</v>
      </c>
      <c r="D1" s="44" t="s">
        <v>717</v>
      </c>
      <c r="E1" s="44" t="s">
        <v>718</v>
      </c>
      <c r="F1" s="44" t="s">
        <v>719</v>
      </c>
      <c r="G1" s="44" t="s">
        <v>720</v>
      </c>
      <c r="H1" s="44" t="s">
        <v>721</v>
      </c>
      <c r="I1" s="45" t="s">
        <v>722</v>
      </c>
      <c r="J1" s="44" t="s">
        <v>723</v>
      </c>
      <c r="K1" s="44" t="s">
        <v>724</v>
      </c>
      <c r="L1" s="44" t="s">
        <v>725</v>
      </c>
      <c r="M1" s="45" t="s">
        <v>726</v>
      </c>
      <c r="N1" s="44" t="s">
        <v>727</v>
      </c>
      <c r="O1" s="44" t="s">
        <v>728</v>
      </c>
      <c r="P1" s="44" t="s">
        <v>729</v>
      </c>
      <c r="Q1" s="46" t="s">
        <v>730</v>
      </c>
      <c r="R1" s="44" t="s">
        <v>731</v>
      </c>
      <c r="S1" s="44" t="s">
        <v>732</v>
      </c>
      <c r="T1" s="47" t="s">
        <v>733</v>
      </c>
    </row>
    <row r="2" spans="1:20">
      <c r="A2" s="39">
        <v>805</v>
      </c>
      <c r="B2" s="39" t="s">
        <v>734</v>
      </c>
      <c r="C2" s="39" t="s">
        <v>29</v>
      </c>
      <c r="D2" s="39" t="s">
        <v>735</v>
      </c>
      <c r="E2" s="39" t="s">
        <v>736</v>
      </c>
      <c r="F2" s="39" t="s">
        <v>735</v>
      </c>
      <c r="G2" s="39" t="s">
        <v>735</v>
      </c>
      <c r="H2" s="39" t="s">
        <v>384</v>
      </c>
      <c r="I2" s="48">
        <v>0</v>
      </c>
      <c r="J2" s="39" t="s">
        <v>737</v>
      </c>
      <c r="K2" s="39" t="s">
        <v>651</v>
      </c>
      <c r="L2" s="39" t="s">
        <v>735</v>
      </c>
      <c r="M2" s="39" t="s">
        <v>31</v>
      </c>
      <c r="N2" s="39" t="s">
        <v>29</v>
      </c>
      <c r="O2" s="39" t="s">
        <v>738</v>
      </c>
      <c r="P2" s="39" t="s">
        <v>735</v>
      </c>
      <c r="Q2" s="39" t="s">
        <v>735</v>
      </c>
      <c r="R2" s="39" t="s">
        <v>575</v>
      </c>
      <c r="S2" s="39" t="s">
        <v>739</v>
      </c>
      <c r="T2" s="39" t="s">
        <v>740</v>
      </c>
    </row>
    <row r="3" spans="1:20">
      <c r="A3" s="39">
        <v>806</v>
      </c>
      <c r="B3" s="39" t="s">
        <v>741</v>
      </c>
      <c r="C3" s="39" t="s">
        <v>29</v>
      </c>
      <c r="D3" s="39" t="s">
        <v>742</v>
      </c>
      <c r="E3" s="39" t="s">
        <v>736</v>
      </c>
      <c r="F3" s="39" t="s">
        <v>742</v>
      </c>
      <c r="G3" s="39" t="s">
        <v>735</v>
      </c>
      <c r="H3" s="39" t="s">
        <v>384</v>
      </c>
      <c r="I3" s="48">
        <v>2240</v>
      </c>
      <c r="J3" s="39" t="s">
        <v>737</v>
      </c>
      <c r="K3" s="39" t="s">
        <v>651</v>
      </c>
      <c r="L3" s="39" t="s">
        <v>735</v>
      </c>
      <c r="M3" s="39" t="s">
        <v>31</v>
      </c>
      <c r="N3" s="39" t="s">
        <v>29</v>
      </c>
      <c r="O3" s="39" t="s">
        <v>743</v>
      </c>
      <c r="P3" s="39" t="s">
        <v>735</v>
      </c>
      <c r="Q3" s="39" t="s">
        <v>735</v>
      </c>
      <c r="R3" s="39" t="s">
        <v>203</v>
      </c>
      <c r="S3" s="39" t="s">
        <v>739</v>
      </c>
      <c r="T3" s="39" t="s">
        <v>740</v>
      </c>
    </row>
    <row r="4" spans="1:20">
      <c r="A4" s="39">
        <v>807</v>
      </c>
      <c r="B4" s="39" t="s">
        <v>744</v>
      </c>
      <c r="C4" s="39" t="s">
        <v>29</v>
      </c>
      <c r="D4" s="39" t="s">
        <v>742</v>
      </c>
      <c r="E4" s="39" t="s">
        <v>736</v>
      </c>
      <c r="F4" s="39" t="s">
        <v>742</v>
      </c>
      <c r="G4" s="39" t="s">
        <v>735</v>
      </c>
      <c r="H4" s="39" t="s">
        <v>384</v>
      </c>
      <c r="I4" s="48">
        <v>2240</v>
      </c>
      <c r="J4" s="39" t="s">
        <v>737</v>
      </c>
      <c r="K4" s="39" t="s">
        <v>651</v>
      </c>
      <c r="L4" s="39" t="s">
        <v>735</v>
      </c>
      <c r="M4" s="39" t="s">
        <v>31</v>
      </c>
      <c r="N4" s="39" t="s">
        <v>29</v>
      </c>
      <c r="O4" s="39" t="s">
        <v>745</v>
      </c>
      <c r="P4" s="39" t="s">
        <v>735</v>
      </c>
      <c r="Q4" s="39" t="s">
        <v>735</v>
      </c>
      <c r="R4" s="39" t="s">
        <v>205</v>
      </c>
      <c r="S4" s="39" t="s">
        <v>739</v>
      </c>
      <c r="T4" s="39" t="s">
        <v>740</v>
      </c>
    </row>
    <row r="5" spans="1:20">
      <c r="A5" s="39">
        <v>808</v>
      </c>
      <c r="B5" s="39" t="s">
        <v>746</v>
      </c>
      <c r="C5" s="39" t="s">
        <v>29</v>
      </c>
      <c r="D5" s="39" t="s">
        <v>742</v>
      </c>
      <c r="E5" s="39" t="s">
        <v>736</v>
      </c>
      <c r="F5" s="39" t="s">
        <v>742</v>
      </c>
      <c r="G5" s="39" t="s">
        <v>735</v>
      </c>
      <c r="H5" s="39" t="s">
        <v>384</v>
      </c>
      <c r="I5" s="48">
        <v>2240</v>
      </c>
      <c r="J5" s="39" t="s">
        <v>737</v>
      </c>
      <c r="K5" s="39" t="s">
        <v>651</v>
      </c>
      <c r="L5" s="39" t="s">
        <v>735</v>
      </c>
      <c r="M5" s="39" t="s">
        <v>31</v>
      </c>
      <c r="N5" s="39" t="s">
        <v>29</v>
      </c>
      <c r="O5" s="39" t="s">
        <v>747</v>
      </c>
      <c r="P5" s="39" t="s">
        <v>735</v>
      </c>
      <c r="Q5" s="39" t="s">
        <v>735</v>
      </c>
      <c r="R5" s="39" t="s">
        <v>208</v>
      </c>
      <c r="S5" s="39" t="s">
        <v>739</v>
      </c>
      <c r="T5" s="39" t="s">
        <v>740</v>
      </c>
    </row>
    <row r="6" spans="1:20">
      <c r="A6" s="39">
        <v>809</v>
      </c>
      <c r="B6" s="39" t="s">
        <v>748</v>
      </c>
      <c r="C6" s="39" t="s">
        <v>29</v>
      </c>
      <c r="D6" s="39" t="s">
        <v>742</v>
      </c>
      <c r="E6" s="39" t="s">
        <v>736</v>
      </c>
      <c r="F6" s="39" t="s">
        <v>742</v>
      </c>
      <c r="G6" s="39" t="s">
        <v>735</v>
      </c>
      <c r="H6" s="39" t="s">
        <v>384</v>
      </c>
      <c r="I6" s="48">
        <v>2240</v>
      </c>
      <c r="J6" s="39" t="s">
        <v>737</v>
      </c>
      <c r="K6" s="39" t="s">
        <v>651</v>
      </c>
      <c r="L6" s="39" t="s">
        <v>735</v>
      </c>
      <c r="M6" s="39" t="s">
        <v>31</v>
      </c>
      <c r="N6" s="39" t="s">
        <v>29</v>
      </c>
      <c r="O6" s="39" t="s">
        <v>749</v>
      </c>
      <c r="P6" s="39" t="s">
        <v>735</v>
      </c>
      <c r="Q6" s="39" t="s">
        <v>735</v>
      </c>
      <c r="R6" s="39" t="s">
        <v>211</v>
      </c>
      <c r="S6" s="39" t="s">
        <v>739</v>
      </c>
      <c r="T6" s="39" t="s">
        <v>740</v>
      </c>
    </row>
    <row r="7" spans="1:20">
      <c r="A7" s="39">
        <v>810</v>
      </c>
      <c r="B7" s="39" t="s">
        <v>750</v>
      </c>
      <c r="C7" s="39" t="s">
        <v>29</v>
      </c>
      <c r="D7" s="39" t="s">
        <v>742</v>
      </c>
      <c r="E7" s="39" t="s">
        <v>736</v>
      </c>
      <c r="F7" s="39" t="s">
        <v>742</v>
      </c>
      <c r="G7" s="39" t="s">
        <v>735</v>
      </c>
      <c r="H7" s="39" t="s">
        <v>384</v>
      </c>
      <c r="I7" s="48">
        <v>2240</v>
      </c>
      <c r="J7" s="39" t="s">
        <v>737</v>
      </c>
      <c r="K7" s="39" t="s">
        <v>651</v>
      </c>
      <c r="L7" s="39" t="s">
        <v>735</v>
      </c>
      <c r="M7" s="39" t="s">
        <v>31</v>
      </c>
      <c r="N7" s="39" t="s">
        <v>29</v>
      </c>
      <c r="O7" s="39" t="s">
        <v>751</v>
      </c>
      <c r="P7" s="39" t="s">
        <v>735</v>
      </c>
      <c r="Q7" s="39" t="s">
        <v>735</v>
      </c>
      <c r="R7" s="39" t="s">
        <v>177</v>
      </c>
      <c r="S7" s="39" t="s">
        <v>739</v>
      </c>
      <c r="T7" s="39" t="s">
        <v>740</v>
      </c>
    </row>
    <row r="8" spans="1:20">
      <c r="A8" s="39">
        <v>811</v>
      </c>
      <c r="B8" s="39" t="s">
        <v>752</v>
      </c>
      <c r="C8" s="39" t="s">
        <v>29</v>
      </c>
      <c r="D8" s="39" t="s">
        <v>742</v>
      </c>
      <c r="E8" s="39" t="s">
        <v>736</v>
      </c>
      <c r="F8" s="39" t="s">
        <v>742</v>
      </c>
      <c r="G8" s="39" t="s">
        <v>735</v>
      </c>
      <c r="H8" s="39" t="s">
        <v>384</v>
      </c>
      <c r="I8" s="48">
        <v>2240</v>
      </c>
      <c r="J8" s="39" t="s">
        <v>737</v>
      </c>
      <c r="K8" s="39" t="s">
        <v>651</v>
      </c>
      <c r="L8" s="39" t="s">
        <v>735</v>
      </c>
      <c r="M8" s="39" t="s">
        <v>31</v>
      </c>
      <c r="N8" s="39" t="s">
        <v>29</v>
      </c>
      <c r="O8" s="39" t="s">
        <v>753</v>
      </c>
      <c r="P8" s="39" t="s">
        <v>735</v>
      </c>
      <c r="Q8" s="39" t="s">
        <v>735</v>
      </c>
      <c r="R8" s="39" t="s">
        <v>214</v>
      </c>
      <c r="S8" s="39" t="s">
        <v>739</v>
      </c>
      <c r="T8" s="39" t="s">
        <v>740</v>
      </c>
    </row>
    <row r="9" spans="1:20">
      <c r="A9" s="39">
        <v>812</v>
      </c>
      <c r="B9" s="39" t="s">
        <v>754</v>
      </c>
      <c r="C9" s="39" t="s">
        <v>29</v>
      </c>
      <c r="D9" s="39" t="s">
        <v>742</v>
      </c>
      <c r="E9" s="39" t="s">
        <v>736</v>
      </c>
      <c r="F9" s="39" t="s">
        <v>742</v>
      </c>
      <c r="G9" s="39" t="s">
        <v>735</v>
      </c>
      <c r="H9" s="39" t="s">
        <v>384</v>
      </c>
      <c r="I9" s="48">
        <v>2240</v>
      </c>
      <c r="J9" s="39" t="s">
        <v>737</v>
      </c>
      <c r="K9" s="39" t="s">
        <v>651</v>
      </c>
      <c r="L9" s="39" t="s">
        <v>735</v>
      </c>
      <c r="M9" s="39" t="s">
        <v>31</v>
      </c>
      <c r="N9" s="39" t="s">
        <v>29</v>
      </c>
      <c r="O9" s="39" t="s">
        <v>755</v>
      </c>
      <c r="P9" s="39" t="s">
        <v>735</v>
      </c>
      <c r="Q9" s="39" t="s">
        <v>735</v>
      </c>
      <c r="R9" s="39" t="s">
        <v>217</v>
      </c>
      <c r="S9" s="39" t="s">
        <v>739</v>
      </c>
      <c r="T9" s="39" t="s">
        <v>740</v>
      </c>
    </row>
    <row r="10" spans="1:20">
      <c r="A10" s="39">
        <v>813</v>
      </c>
      <c r="B10" s="39" t="s">
        <v>756</v>
      </c>
      <c r="C10" s="39" t="s">
        <v>29</v>
      </c>
      <c r="D10" s="39" t="s">
        <v>742</v>
      </c>
      <c r="E10" s="39" t="s">
        <v>736</v>
      </c>
      <c r="F10" s="39" t="s">
        <v>742</v>
      </c>
      <c r="G10" s="39" t="s">
        <v>735</v>
      </c>
      <c r="H10" s="39" t="s">
        <v>384</v>
      </c>
      <c r="I10" s="48">
        <v>2240</v>
      </c>
      <c r="J10" s="39" t="s">
        <v>737</v>
      </c>
      <c r="K10" s="39" t="s">
        <v>651</v>
      </c>
      <c r="L10" s="39" t="s">
        <v>735</v>
      </c>
      <c r="M10" s="39" t="s">
        <v>31</v>
      </c>
      <c r="N10" s="39" t="s">
        <v>29</v>
      </c>
      <c r="O10" s="39" t="s">
        <v>757</v>
      </c>
      <c r="P10" s="39" t="s">
        <v>735</v>
      </c>
      <c r="Q10" s="39" t="s">
        <v>735</v>
      </c>
      <c r="R10" s="39" t="s">
        <v>220</v>
      </c>
      <c r="S10" s="39" t="s">
        <v>739</v>
      </c>
      <c r="T10" s="39" t="s">
        <v>740</v>
      </c>
    </row>
    <row r="11" spans="1:20">
      <c r="A11" s="39">
        <v>814</v>
      </c>
      <c r="B11" s="39" t="s">
        <v>758</v>
      </c>
      <c r="C11" s="39" t="s">
        <v>29</v>
      </c>
      <c r="D11" s="39" t="s">
        <v>742</v>
      </c>
      <c r="E11" s="39" t="s">
        <v>736</v>
      </c>
      <c r="F11" s="39" t="s">
        <v>742</v>
      </c>
      <c r="G11" s="39" t="s">
        <v>735</v>
      </c>
      <c r="H11" s="39" t="s">
        <v>384</v>
      </c>
      <c r="I11" s="48">
        <v>2240</v>
      </c>
      <c r="J11" s="39" t="s">
        <v>737</v>
      </c>
      <c r="K11" s="39" t="s">
        <v>651</v>
      </c>
      <c r="L11" s="39" t="s">
        <v>735</v>
      </c>
      <c r="M11" s="39" t="s">
        <v>31</v>
      </c>
      <c r="N11" s="39" t="s">
        <v>29</v>
      </c>
      <c r="O11" s="39" t="s">
        <v>759</v>
      </c>
      <c r="P11" s="39" t="s">
        <v>735</v>
      </c>
      <c r="Q11" s="39" t="s">
        <v>735</v>
      </c>
      <c r="R11" s="39" t="s">
        <v>181</v>
      </c>
      <c r="S11" s="39" t="s">
        <v>739</v>
      </c>
      <c r="T11" s="39" t="s">
        <v>740</v>
      </c>
    </row>
    <row r="12" spans="1:20">
      <c r="A12" s="39">
        <v>815</v>
      </c>
      <c r="B12" s="39" t="s">
        <v>760</v>
      </c>
      <c r="C12" s="39" t="s">
        <v>29</v>
      </c>
      <c r="D12" s="39" t="s">
        <v>742</v>
      </c>
      <c r="E12" s="39" t="s">
        <v>736</v>
      </c>
      <c r="F12" s="39" t="s">
        <v>742</v>
      </c>
      <c r="G12" s="39" t="s">
        <v>735</v>
      </c>
      <c r="H12" s="39" t="s">
        <v>384</v>
      </c>
      <c r="I12" s="48">
        <v>2240</v>
      </c>
      <c r="J12" s="39" t="s">
        <v>737</v>
      </c>
      <c r="K12" s="39" t="s">
        <v>651</v>
      </c>
      <c r="L12" s="39" t="s">
        <v>735</v>
      </c>
      <c r="M12" s="39" t="s">
        <v>31</v>
      </c>
      <c r="N12" s="39" t="s">
        <v>29</v>
      </c>
      <c r="O12" s="39" t="s">
        <v>761</v>
      </c>
      <c r="P12" s="39" t="s">
        <v>735</v>
      </c>
      <c r="Q12" s="39" t="s">
        <v>735</v>
      </c>
      <c r="R12" s="39" t="s">
        <v>184</v>
      </c>
      <c r="S12" s="39" t="s">
        <v>739</v>
      </c>
      <c r="T12" s="39" t="s">
        <v>740</v>
      </c>
    </row>
    <row r="13" spans="1:20">
      <c r="A13" s="39">
        <v>816</v>
      </c>
      <c r="B13" s="39" t="s">
        <v>762</v>
      </c>
      <c r="C13" s="39" t="s">
        <v>29</v>
      </c>
      <c r="D13" s="39" t="s">
        <v>742</v>
      </c>
      <c r="E13" s="39" t="s">
        <v>736</v>
      </c>
      <c r="F13" s="39" t="s">
        <v>742</v>
      </c>
      <c r="G13" s="39" t="s">
        <v>735</v>
      </c>
      <c r="H13" s="39" t="s">
        <v>384</v>
      </c>
      <c r="I13" s="48">
        <v>2240</v>
      </c>
      <c r="J13" s="39" t="s">
        <v>737</v>
      </c>
      <c r="K13" s="39" t="s">
        <v>651</v>
      </c>
      <c r="L13" s="39" t="s">
        <v>735</v>
      </c>
      <c r="M13" s="39" t="s">
        <v>31</v>
      </c>
      <c r="N13" s="39" t="s">
        <v>29</v>
      </c>
      <c r="O13" s="39" t="s">
        <v>763</v>
      </c>
      <c r="P13" s="39" t="s">
        <v>735</v>
      </c>
      <c r="Q13" s="39" t="s">
        <v>735</v>
      </c>
      <c r="R13" s="39" t="s">
        <v>187</v>
      </c>
      <c r="S13" s="39" t="s">
        <v>739</v>
      </c>
      <c r="T13" s="39" t="s">
        <v>740</v>
      </c>
    </row>
    <row r="14" spans="1:20">
      <c r="A14" s="39">
        <v>817</v>
      </c>
      <c r="B14" s="39" t="s">
        <v>45</v>
      </c>
      <c r="C14" s="39" t="s">
        <v>29</v>
      </c>
      <c r="D14" s="39" t="s">
        <v>742</v>
      </c>
      <c r="E14" s="39" t="s">
        <v>736</v>
      </c>
      <c r="F14" s="39" t="s">
        <v>742</v>
      </c>
      <c r="G14" s="39" t="s">
        <v>735</v>
      </c>
      <c r="H14" s="39" t="s">
        <v>384</v>
      </c>
      <c r="I14" s="48">
        <v>2240</v>
      </c>
      <c r="J14" s="39" t="s">
        <v>737</v>
      </c>
      <c r="K14" s="39" t="s">
        <v>651</v>
      </c>
      <c r="L14" s="39" t="s">
        <v>735</v>
      </c>
      <c r="M14" s="39" t="s">
        <v>31</v>
      </c>
      <c r="N14" s="39" t="s">
        <v>29</v>
      </c>
      <c r="O14" s="39" t="s">
        <v>764</v>
      </c>
      <c r="P14" s="39" t="s">
        <v>735</v>
      </c>
      <c r="Q14" s="39" t="s">
        <v>735</v>
      </c>
      <c r="R14" s="39" t="s">
        <v>190</v>
      </c>
      <c r="S14" s="39" t="s">
        <v>739</v>
      </c>
      <c r="T14" s="39" t="s">
        <v>740</v>
      </c>
    </row>
    <row r="15" spans="1:20">
      <c r="A15" s="39">
        <v>818</v>
      </c>
      <c r="B15" s="39" t="s">
        <v>52</v>
      </c>
      <c r="C15" s="39" t="s">
        <v>29</v>
      </c>
      <c r="D15" s="39" t="s">
        <v>742</v>
      </c>
      <c r="E15" s="39" t="s">
        <v>736</v>
      </c>
      <c r="F15" s="39" t="s">
        <v>742</v>
      </c>
      <c r="G15" s="39" t="s">
        <v>735</v>
      </c>
      <c r="H15" s="39" t="s">
        <v>384</v>
      </c>
      <c r="I15" s="48">
        <v>2240</v>
      </c>
      <c r="J15" s="39" t="s">
        <v>737</v>
      </c>
      <c r="K15" s="39" t="s">
        <v>651</v>
      </c>
      <c r="L15" s="39" t="s">
        <v>735</v>
      </c>
      <c r="M15" s="39" t="s">
        <v>31</v>
      </c>
      <c r="N15" s="39" t="s">
        <v>29</v>
      </c>
      <c r="O15" s="39" t="s">
        <v>765</v>
      </c>
      <c r="P15" s="39" t="s">
        <v>735</v>
      </c>
      <c r="Q15" s="39" t="s">
        <v>735</v>
      </c>
      <c r="R15" s="39" t="s">
        <v>193</v>
      </c>
      <c r="S15" s="39" t="s">
        <v>739</v>
      </c>
      <c r="T15" s="39" t="s">
        <v>740</v>
      </c>
    </row>
    <row r="16" spans="1:20">
      <c r="A16" s="39">
        <v>819</v>
      </c>
      <c r="B16" s="39" t="s">
        <v>766</v>
      </c>
      <c r="C16" s="39" t="s">
        <v>29</v>
      </c>
      <c r="D16" s="39" t="s">
        <v>742</v>
      </c>
      <c r="E16" s="39" t="s">
        <v>736</v>
      </c>
      <c r="F16" s="39" t="s">
        <v>742</v>
      </c>
      <c r="G16" s="39" t="s">
        <v>735</v>
      </c>
      <c r="H16" s="39" t="s">
        <v>384</v>
      </c>
      <c r="I16" s="48">
        <v>2240</v>
      </c>
      <c r="J16" s="39" t="s">
        <v>737</v>
      </c>
      <c r="K16" s="39" t="s">
        <v>651</v>
      </c>
      <c r="L16" s="39" t="s">
        <v>735</v>
      </c>
      <c r="M16" s="39" t="s">
        <v>31</v>
      </c>
      <c r="N16" s="39" t="s">
        <v>29</v>
      </c>
      <c r="O16" s="39" t="s">
        <v>767</v>
      </c>
      <c r="P16" s="39" t="s">
        <v>735</v>
      </c>
      <c r="Q16" s="39" t="s">
        <v>735</v>
      </c>
      <c r="R16" s="39" t="s">
        <v>223</v>
      </c>
      <c r="S16" s="39" t="s">
        <v>739</v>
      </c>
      <c r="T16" s="39" t="s">
        <v>740</v>
      </c>
    </row>
    <row r="17" spans="1:20">
      <c r="A17" s="39">
        <v>820</v>
      </c>
      <c r="B17" s="39" t="s">
        <v>768</v>
      </c>
      <c r="C17" s="39" t="s">
        <v>29</v>
      </c>
      <c r="D17" s="39" t="s">
        <v>742</v>
      </c>
      <c r="E17" s="39" t="s">
        <v>736</v>
      </c>
      <c r="F17" s="39" t="s">
        <v>742</v>
      </c>
      <c r="G17" s="39" t="s">
        <v>735</v>
      </c>
      <c r="H17" s="39" t="s">
        <v>384</v>
      </c>
      <c r="I17" s="48">
        <v>2240</v>
      </c>
      <c r="J17" s="39" t="s">
        <v>737</v>
      </c>
      <c r="K17" s="39" t="s">
        <v>651</v>
      </c>
      <c r="L17" s="39" t="s">
        <v>735</v>
      </c>
      <c r="M17" s="39" t="s">
        <v>31</v>
      </c>
      <c r="N17" s="39" t="s">
        <v>29</v>
      </c>
      <c r="O17" s="39" t="s">
        <v>769</v>
      </c>
      <c r="P17" s="39" t="s">
        <v>735</v>
      </c>
      <c r="Q17" s="39" t="s">
        <v>735</v>
      </c>
      <c r="R17" s="39" t="s">
        <v>226</v>
      </c>
      <c r="S17" s="39" t="s">
        <v>739</v>
      </c>
      <c r="T17" s="39" t="s">
        <v>740</v>
      </c>
    </row>
    <row r="18" spans="1:20">
      <c r="A18" s="39">
        <v>821</v>
      </c>
      <c r="B18" s="39" t="s">
        <v>770</v>
      </c>
      <c r="C18" s="39" t="s">
        <v>29</v>
      </c>
      <c r="D18" s="39" t="s">
        <v>742</v>
      </c>
      <c r="E18" s="39" t="s">
        <v>736</v>
      </c>
      <c r="F18" s="39" t="s">
        <v>742</v>
      </c>
      <c r="G18" s="39" t="s">
        <v>735</v>
      </c>
      <c r="H18" s="39" t="s">
        <v>384</v>
      </c>
      <c r="I18" s="48">
        <v>2240</v>
      </c>
      <c r="J18" s="39" t="s">
        <v>737</v>
      </c>
      <c r="K18" s="39" t="s">
        <v>651</v>
      </c>
      <c r="L18" s="39" t="s">
        <v>735</v>
      </c>
      <c r="M18" s="39" t="s">
        <v>31</v>
      </c>
      <c r="N18" s="39" t="s">
        <v>29</v>
      </c>
      <c r="O18" s="39" t="s">
        <v>771</v>
      </c>
      <c r="P18" s="39" t="s">
        <v>735</v>
      </c>
      <c r="Q18" s="39" t="s">
        <v>735</v>
      </c>
      <c r="R18" s="39" t="s">
        <v>229</v>
      </c>
      <c r="S18" s="39" t="s">
        <v>739</v>
      </c>
      <c r="T18" s="39" t="s">
        <v>740</v>
      </c>
    </row>
    <row r="19" spans="1:20">
      <c r="A19" s="39">
        <v>822</v>
      </c>
      <c r="B19" s="39" t="s">
        <v>772</v>
      </c>
      <c r="C19" s="39" t="s">
        <v>29</v>
      </c>
      <c r="D19" s="39" t="s">
        <v>742</v>
      </c>
      <c r="E19" s="39" t="s">
        <v>736</v>
      </c>
      <c r="F19" s="39" t="s">
        <v>742</v>
      </c>
      <c r="G19" s="39" t="s">
        <v>735</v>
      </c>
      <c r="H19" s="39" t="s">
        <v>384</v>
      </c>
      <c r="I19" s="48">
        <v>2240</v>
      </c>
      <c r="J19" s="39" t="s">
        <v>737</v>
      </c>
      <c r="K19" s="39" t="s">
        <v>651</v>
      </c>
      <c r="L19" s="39" t="s">
        <v>735</v>
      </c>
      <c r="M19" s="39" t="s">
        <v>31</v>
      </c>
      <c r="N19" s="39" t="s">
        <v>29</v>
      </c>
      <c r="O19" s="39" t="s">
        <v>773</v>
      </c>
      <c r="P19" s="39" t="s">
        <v>735</v>
      </c>
      <c r="Q19" s="39" t="s">
        <v>735</v>
      </c>
      <c r="R19" s="39" t="s">
        <v>232</v>
      </c>
      <c r="S19" s="39" t="s">
        <v>739</v>
      </c>
      <c r="T19" s="39" t="s">
        <v>740</v>
      </c>
    </row>
    <row r="20" spans="1:20">
      <c r="A20" s="39">
        <v>823</v>
      </c>
      <c r="B20" s="39" t="s">
        <v>774</v>
      </c>
      <c r="C20" s="39" t="s">
        <v>29</v>
      </c>
      <c r="D20" s="39" t="s">
        <v>742</v>
      </c>
      <c r="E20" s="39" t="s">
        <v>736</v>
      </c>
      <c r="F20" s="39" t="s">
        <v>742</v>
      </c>
      <c r="G20" s="39" t="s">
        <v>735</v>
      </c>
      <c r="H20" s="39" t="s">
        <v>384</v>
      </c>
      <c r="I20" s="48">
        <v>2240</v>
      </c>
      <c r="J20" s="39" t="s">
        <v>737</v>
      </c>
      <c r="K20" s="39" t="s">
        <v>651</v>
      </c>
      <c r="L20" s="39" t="s">
        <v>735</v>
      </c>
      <c r="M20" s="39" t="s">
        <v>31</v>
      </c>
      <c r="N20" s="39" t="s">
        <v>29</v>
      </c>
      <c r="O20" s="39" t="s">
        <v>775</v>
      </c>
      <c r="P20" s="39" t="s">
        <v>735</v>
      </c>
      <c r="Q20" s="39" t="s">
        <v>735</v>
      </c>
      <c r="R20" s="39" t="s">
        <v>235</v>
      </c>
      <c r="S20" s="39" t="s">
        <v>739</v>
      </c>
      <c r="T20" s="39" t="s">
        <v>740</v>
      </c>
    </row>
    <row r="21" spans="1:20">
      <c r="A21" s="39">
        <v>824</v>
      </c>
      <c r="B21" s="39" t="s">
        <v>776</v>
      </c>
      <c r="C21" s="39" t="s">
        <v>29</v>
      </c>
      <c r="D21" s="39" t="s">
        <v>742</v>
      </c>
      <c r="E21" s="39" t="s">
        <v>736</v>
      </c>
      <c r="F21" s="39" t="s">
        <v>742</v>
      </c>
      <c r="G21" s="39" t="s">
        <v>735</v>
      </c>
      <c r="H21" s="39" t="s">
        <v>384</v>
      </c>
      <c r="I21" s="48">
        <v>2240</v>
      </c>
      <c r="J21" s="39" t="s">
        <v>737</v>
      </c>
      <c r="K21" s="39" t="s">
        <v>651</v>
      </c>
      <c r="L21" s="39" t="s">
        <v>735</v>
      </c>
      <c r="M21" s="39" t="s">
        <v>31</v>
      </c>
      <c r="N21" s="39" t="s">
        <v>29</v>
      </c>
      <c r="O21" s="39" t="s">
        <v>777</v>
      </c>
      <c r="P21" s="39" t="s">
        <v>735</v>
      </c>
      <c r="Q21" s="39" t="s">
        <v>735</v>
      </c>
      <c r="R21" s="39" t="s">
        <v>238</v>
      </c>
      <c r="S21" s="39" t="s">
        <v>739</v>
      </c>
      <c r="T21" s="39" t="s">
        <v>740</v>
      </c>
    </row>
    <row r="22" spans="1:20">
      <c r="A22" s="39">
        <v>825</v>
      </c>
      <c r="B22" s="39" t="s">
        <v>778</v>
      </c>
      <c r="C22" s="39" t="s">
        <v>29</v>
      </c>
      <c r="D22" s="39" t="s">
        <v>742</v>
      </c>
      <c r="E22" s="39" t="s">
        <v>736</v>
      </c>
      <c r="F22" s="39" t="s">
        <v>742</v>
      </c>
      <c r="G22" s="39" t="s">
        <v>735</v>
      </c>
      <c r="H22" s="39" t="s">
        <v>384</v>
      </c>
      <c r="I22" s="48">
        <v>2240</v>
      </c>
      <c r="J22" s="39" t="s">
        <v>737</v>
      </c>
      <c r="K22" s="39" t="s">
        <v>651</v>
      </c>
      <c r="L22" s="39" t="s">
        <v>735</v>
      </c>
      <c r="M22" s="39" t="s">
        <v>31</v>
      </c>
      <c r="N22" s="39" t="s">
        <v>29</v>
      </c>
      <c r="O22" s="39" t="s">
        <v>779</v>
      </c>
      <c r="P22" s="39" t="s">
        <v>735</v>
      </c>
      <c r="Q22" s="39" t="s">
        <v>735</v>
      </c>
      <c r="R22" s="39" t="s">
        <v>241</v>
      </c>
      <c r="S22" s="39" t="s">
        <v>739</v>
      </c>
      <c r="T22" s="39" t="s">
        <v>740</v>
      </c>
    </row>
    <row r="23" spans="1:20">
      <c r="A23" s="39">
        <v>826</v>
      </c>
      <c r="B23" s="39" t="s">
        <v>780</v>
      </c>
      <c r="C23" s="39" t="s">
        <v>29</v>
      </c>
      <c r="D23" s="39" t="s">
        <v>742</v>
      </c>
      <c r="E23" s="39" t="s">
        <v>736</v>
      </c>
      <c r="F23" s="39" t="s">
        <v>742</v>
      </c>
      <c r="G23" s="39" t="s">
        <v>735</v>
      </c>
      <c r="H23" s="39" t="s">
        <v>384</v>
      </c>
      <c r="I23" s="48">
        <v>2240</v>
      </c>
      <c r="J23" s="39" t="s">
        <v>737</v>
      </c>
      <c r="K23" s="39" t="s">
        <v>651</v>
      </c>
      <c r="L23" s="39" t="s">
        <v>735</v>
      </c>
      <c r="M23" s="39" t="s">
        <v>31</v>
      </c>
      <c r="N23" s="39" t="s">
        <v>29</v>
      </c>
      <c r="O23" s="39" t="s">
        <v>781</v>
      </c>
      <c r="P23" s="39" t="s">
        <v>735</v>
      </c>
      <c r="Q23" s="39" t="s">
        <v>735</v>
      </c>
      <c r="R23" s="39" t="s">
        <v>244</v>
      </c>
      <c r="S23" s="39" t="s">
        <v>739</v>
      </c>
      <c r="T23" s="39" t="s">
        <v>740</v>
      </c>
    </row>
    <row r="24" spans="1:20">
      <c r="A24" s="39">
        <v>827</v>
      </c>
      <c r="B24" s="39" t="s">
        <v>782</v>
      </c>
      <c r="C24" s="39" t="s">
        <v>29</v>
      </c>
      <c r="D24" s="39" t="s">
        <v>742</v>
      </c>
      <c r="E24" s="39" t="s">
        <v>736</v>
      </c>
      <c r="F24" s="39" t="s">
        <v>742</v>
      </c>
      <c r="G24" s="39" t="s">
        <v>735</v>
      </c>
      <c r="H24" s="39" t="s">
        <v>384</v>
      </c>
      <c r="I24" s="48">
        <v>2240</v>
      </c>
      <c r="J24" s="39" t="s">
        <v>737</v>
      </c>
      <c r="K24" s="39" t="s">
        <v>651</v>
      </c>
      <c r="L24" s="39" t="s">
        <v>735</v>
      </c>
      <c r="M24" s="39" t="s">
        <v>31</v>
      </c>
      <c r="N24" s="39" t="s">
        <v>29</v>
      </c>
      <c r="O24" s="39" t="s">
        <v>783</v>
      </c>
      <c r="P24" s="39" t="s">
        <v>735</v>
      </c>
      <c r="Q24" s="39" t="s">
        <v>735</v>
      </c>
      <c r="R24" s="39" t="s">
        <v>247</v>
      </c>
      <c r="S24" s="39" t="s">
        <v>739</v>
      </c>
      <c r="T24" s="39" t="s">
        <v>740</v>
      </c>
    </row>
    <row r="25" spans="1:20">
      <c r="A25" s="39">
        <v>828</v>
      </c>
      <c r="B25" s="39" t="s">
        <v>76</v>
      </c>
      <c r="C25" s="39" t="s">
        <v>29</v>
      </c>
      <c r="D25" s="39" t="s">
        <v>742</v>
      </c>
      <c r="E25" s="39" t="s">
        <v>736</v>
      </c>
      <c r="F25" s="39" t="s">
        <v>742</v>
      </c>
      <c r="G25" s="39" t="s">
        <v>735</v>
      </c>
      <c r="H25" s="39" t="s">
        <v>384</v>
      </c>
      <c r="I25" s="48">
        <v>2240</v>
      </c>
      <c r="J25" s="39" t="s">
        <v>737</v>
      </c>
      <c r="K25" s="39" t="s">
        <v>651</v>
      </c>
      <c r="L25" s="39" t="s">
        <v>735</v>
      </c>
      <c r="M25" s="39" t="s">
        <v>31</v>
      </c>
      <c r="N25" s="39" t="s">
        <v>29</v>
      </c>
      <c r="O25" s="39" t="s">
        <v>784</v>
      </c>
      <c r="P25" s="39" t="s">
        <v>735</v>
      </c>
      <c r="Q25" s="39" t="s">
        <v>735</v>
      </c>
      <c r="R25" s="39" t="s">
        <v>785</v>
      </c>
      <c r="S25" s="39" t="s">
        <v>739</v>
      </c>
      <c r="T25" s="39" t="s">
        <v>740</v>
      </c>
    </row>
    <row r="26" spans="1:20">
      <c r="A26" s="39">
        <v>829</v>
      </c>
      <c r="B26" s="39" t="s">
        <v>78</v>
      </c>
      <c r="C26" s="39" t="s">
        <v>29</v>
      </c>
      <c r="D26" s="39" t="s">
        <v>742</v>
      </c>
      <c r="E26" s="39" t="s">
        <v>736</v>
      </c>
      <c r="F26" s="39" t="s">
        <v>742</v>
      </c>
      <c r="G26" s="39" t="s">
        <v>735</v>
      </c>
      <c r="H26" s="39" t="s">
        <v>384</v>
      </c>
      <c r="I26" s="48">
        <v>2240</v>
      </c>
      <c r="J26" s="39" t="s">
        <v>737</v>
      </c>
      <c r="K26" s="39" t="s">
        <v>651</v>
      </c>
      <c r="L26" s="39" t="s">
        <v>735</v>
      </c>
      <c r="M26" s="39" t="s">
        <v>31</v>
      </c>
      <c r="N26" s="39" t="s">
        <v>29</v>
      </c>
      <c r="O26" s="39" t="s">
        <v>786</v>
      </c>
      <c r="P26" s="39" t="s">
        <v>735</v>
      </c>
      <c r="Q26" s="39" t="s">
        <v>735</v>
      </c>
      <c r="R26" s="39" t="s">
        <v>787</v>
      </c>
      <c r="S26" s="39" t="s">
        <v>739</v>
      </c>
      <c r="T26" s="39" t="s">
        <v>740</v>
      </c>
    </row>
    <row r="27" spans="1:20">
      <c r="A27" s="39">
        <v>830</v>
      </c>
      <c r="B27" s="39" t="s">
        <v>81</v>
      </c>
      <c r="C27" s="39" t="s">
        <v>29</v>
      </c>
      <c r="D27" s="39" t="s">
        <v>742</v>
      </c>
      <c r="E27" s="39" t="s">
        <v>736</v>
      </c>
      <c r="F27" s="39" t="s">
        <v>742</v>
      </c>
      <c r="G27" s="39" t="s">
        <v>735</v>
      </c>
      <c r="H27" s="39" t="s">
        <v>384</v>
      </c>
      <c r="I27" s="48">
        <v>2240</v>
      </c>
      <c r="J27" s="39" t="s">
        <v>737</v>
      </c>
      <c r="K27" s="39" t="s">
        <v>651</v>
      </c>
      <c r="L27" s="39" t="s">
        <v>735</v>
      </c>
      <c r="M27" s="39" t="s">
        <v>31</v>
      </c>
      <c r="N27" s="39" t="s">
        <v>29</v>
      </c>
      <c r="O27" s="39" t="s">
        <v>788</v>
      </c>
      <c r="P27" s="39" t="s">
        <v>735</v>
      </c>
      <c r="Q27" s="39" t="s">
        <v>735</v>
      </c>
      <c r="R27" s="39" t="s">
        <v>789</v>
      </c>
      <c r="S27" s="39" t="s">
        <v>739</v>
      </c>
      <c r="T27" s="39" t="s">
        <v>740</v>
      </c>
    </row>
    <row r="28" spans="1:20">
      <c r="A28" s="39">
        <v>831</v>
      </c>
      <c r="B28" s="39" t="s">
        <v>790</v>
      </c>
      <c r="C28" s="39" t="s">
        <v>29</v>
      </c>
      <c r="D28" s="39" t="s">
        <v>742</v>
      </c>
      <c r="E28" s="39" t="s">
        <v>736</v>
      </c>
      <c r="F28" s="39" t="s">
        <v>742</v>
      </c>
      <c r="G28" s="39" t="s">
        <v>735</v>
      </c>
      <c r="H28" s="39" t="s">
        <v>384</v>
      </c>
      <c r="I28" s="48">
        <v>2240</v>
      </c>
      <c r="J28" s="39" t="s">
        <v>737</v>
      </c>
      <c r="K28" s="39" t="s">
        <v>651</v>
      </c>
      <c r="L28" s="39" t="s">
        <v>735</v>
      </c>
      <c r="M28" s="39" t="s">
        <v>31</v>
      </c>
      <c r="N28" s="39" t="s">
        <v>29</v>
      </c>
      <c r="O28" s="39" t="s">
        <v>791</v>
      </c>
      <c r="P28" s="39" t="s">
        <v>735</v>
      </c>
      <c r="Q28" s="39" t="s">
        <v>735</v>
      </c>
      <c r="R28" s="39" t="s">
        <v>792</v>
      </c>
      <c r="S28" s="39" t="s">
        <v>739</v>
      </c>
      <c r="T28" s="39" t="s">
        <v>740</v>
      </c>
    </row>
    <row r="29" spans="1:20">
      <c r="A29" s="39">
        <v>832</v>
      </c>
      <c r="B29" s="39" t="s">
        <v>793</v>
      </c>
      <c r="C29" s="39" t="s">
        <v>29</v>
      </c>
      <c r="D29" s="39" t="s">
        <v>742</v>
      </c>
      <c r="E29" s="39" t="s">
        <v>736</v>
      </c>
      <c r="F29" s="39" t="s">
        <v>742</v>
      </c>
      <c r="G29" s="39" t="s">
        <v>735</v>
      </c>
      <c r="H29" s="39" t="s">
        <v>384</v>
      </c>
      <c r="I29" s="48">
        <v>2240</v>
      </c>
      <c r="J29" s="39" t="s">
        <v>737</v>
      </c>
      <c r="K29" s="39" t="s">
        <v>651</v>
      </c>
      <c r="L29" s="39" t="s">
        <v>735</v>
      </c>
      <c r="M29" s="39" t="s">
        <v>31</v>
      </c>
      <c r="N29" s="39" t="s">
        <v>29</v>
      </c>
      <c r="O29" s="39" t="s">
        <v>794</v>
      </c>
      <c r="P29" s="39" t="s">
        <v>735</v>
      </c>
      <c r="Q29" s="39" t="s">
        <v>735</v>
      </c>
      <c r="R29" s="39" t="s">
        <v>795</v>
      </c>
      <c r="S29" s="39" t="s">
        <v>739</v>
      </c>
      <c r="T29" s="39" t="s">
        <v>740</v>
      </c>
    </row>
    <row r="30" spans="1:20">
      <c r="A30" s="39">
        <v>833</v>
      </c>
      <c r="B30" s="39" t="s">
        <v>796</v>
      </c>
      <c r="C30" s="39" t="s">
        <v>29</v>
      </c>
      <c r="D30" s="39" t="s">
        <v>742</v>
      </c>
      <c r="E30" s="39" t="s">
        <v>736</v>
      </c>
      <c r="F30" s="39" t="s">
        <v>742</v>
      </c>
      <c r="G30" s="39" t="s">
        <v>735</v>
      </c>
      <c r="H30" s="39" t="s">
        <v>384</v>
      </c>
      <c r="I30" s="48">
        <v>2240</v>
      </c>
      <c r="J30" s="39" t="s">
        <v>737</v>
      </c>
      <c r="K30" s="39" t="s">
        <v>651</v>
      </c>
      <c r="L30" s="39" t="s">
        <v>735</v>
      </c>
      <c r="M30" s="39" t="s">
        <v>31</v>
      </c>
      <c r="N30" s="39" t="s">
        <v>29</v>
      </c>
      <c r="O30" s="39" t="s">
        <v>797</v>
      </c>
      <c r="P30" s="39" t="s">
        <v>735</v>
      </c>
      <c r="Q30" s="39" t="s">
        <v>735</v>
      </c>
      <c r="R30" s="39" t="s">
        <v>798</v>
      </c>
      <c r="S30" s="39" t="s">
        <v>739</v>
      </c>
      <c r="T30" s="39" t="s">
        <v>740</v>
      </c>
    </row>
    <row r="31" spans="1:20">
      <c r="A31" s="39">
        <v>834</v>
      </c>
      <c r="B31" s="39" t="s">
        <v>799</v>
      </c>
      <c r="C31" s="39" t="s">
        <v>29</v>
      </c>
      <c r="D31" s="39" t="s">
        <v>742</v>
      </c>
      <c r="E31" s="39" t="s">
        <v>736</v>
      </c>
      <c r="F31" s="39" t="s">
        <v>742</v>
      </c>
      <c r="G31" s="39" t="s">
        <v>735</v>
      </c>
      <c r="H31" s="39" t="s">
        <v>384</v>
      </c>
      <c r="I31" s="48">
        <v>2240</v>
      </c>
      <c r="J31" s="39" t="s">
        <v>737</v>
      </c>
      <c r="K31" s="39" t="s">
        <v>651</v>
      </c>
      <c r="L31" s="39" t="s">
        <v>735</v>
      </c>
      <c r="M31" s="39" t="s">
        <v>31</v>
      </c>
      <c r="N31" s="39" t="s">
        <v>29</v>
      </c>
      <c r="O31" s="39" t="s">
        <v>800</v>
      </c>
      <c r="P31" s="39" t="s">
        <v>735</v>
      </c>
      <c r="Q31" s="39" t="s">
        <v>735</v>
      </c>
      <c r="R31" s="39" t="s">
        <v>801</v>
      </c>
      <c r="S31" s="39" t="s">
        <v>739</v>
      </c>
      <c r="T31" s="39" t="s">
        <v>740</v>
      </c>
    </row>
    <row r="32" spans="1:20">
      <c r="A32" s="39">
        <v>835</v>
      </c>
      <c r="B32" s="39" t="s">
        <v>802</v>
      </c>
      <c r="C32" s="39" t="s">
        <v>29</v>
      </c>
      <c r="D32" s="39" t="s">
        <v>742</v>
      </c>
      <c r="E32" s="39" t="s">
        <v>736</v>
      </c>
      <c r="F32" s="39" t="s">
        <v>742</v>
      </c>
      <c r="G32" s="39" t="s">
        <v>735</v>
      </c>
      <c r="H32" s="39" t="s">
        <v>384</v>
      </c>
      <c r="I32" s="48">
        <v>2240</v>
      </c>
      <c r="J32" s="39" t="s">
        <v>737</v>
      </c>
      <c r="K32" s="39" t="s">
        <v>651</v>
      </c>
      <c r="L32" s="39" t="s">
        <v>735</v>
      </c>
      <c r="M32" s="39" t="s">
        <v>31</v>
      </c>
      <c r="N32" s="39" t="s">
        <v>29</v>
      </c>
      <c r="O32" s="39" t="s">
        <v>803</v>
      </c>
      <c r="P32" s="39" t="s">
        <v>735</v>
      </c>
      <c r="Q32" s="39" t="s">
        <v>735</v>
      </c>
      <c r="R32" s="39" t="s">
        <v>804</v>
      </c>
      <c r="S32" s="39" t="s">
        <v>739</v>
      </c>
      <c r="T32" s="39" t="s">
        <v>740</v>
      </c>
    </row>
    <row r="33" spans="1:20">
      <c r="A33" s="39">
        <v>836</v>
      </c>
      <c r="B33" s="39" t="s">
        <v>805</v>
      </c>
      <c r="C33" s="39" t="s">
        <v>29</v>
      </c>
      <c r="D33" s="39" t="s">
        <v>742</v>
      </c>
      <c r="E33" s="39" t="s">
        <v>736</v>
      </c>
      <c r="F33" s="39" t="s">
        <v>742</v>
      </c>
      <c r="G33" s="39" t="s">
        <v>735</v>
      </c>
      <c r="H33" s="39" t="s">
        <v>384</v>
      </c>
      <c r="I33" s="48">
        <v>2240</v>
      </c>
      <c r="J33" s="39" t="s">
        <v>737</v>
      </c>
      <c r="K33" s="39" t="s">
        <v>651</v>
      </c>
      <c r="L33" s="39" t="s">
        <v>735</v>
      </c>
      <c r="M33" s="39" t="s">
        <v>31</v>
      </c>
      <c r="N33" s="39" t="s">
        <v>29</v>
      </c>
      <c r="O33" s="39" t="s">
        <v>806</v>
      </c>
      <c r="P33" s="39" t="s">
        <v>735</v>
      </c>
      <c r="Q33" s="39" t="s">
        <v>735</v>
      </c>
      <c r="R33" s="39" t="s">
        <v>807</v>
      </c>
      <c r="S33" s="39" t="s">
        <v>739</v>
      </c>
      <c r="T33" s="39" t="s">
        <v>740</v>
      </c>
    </row>
    <row r="34" spans="1:20">
      <c r="A34" s="39">
        <v>837</v>
      </c>
      <c r="B34" s="39" t="s">
        <v>808</v>
      </c>
      <c r="C34" s="39" t="s">
        <v>29</v>
      </c>
      <c r="D34" s="39" t="s">
        <v>742</v>
      </c>
      <c r="E34" s="39" t="s">
        <v>736</v>
      </c>
      <c r="F34" s="39" t="s">
        <v>742</v>
      </c>
      <c r="G34" s="39" t="s">
        <v>735</v>
      </c>
      <c r="H34" s="39" t="s">
        <v>384</v>
      </c>
      <c r="I34" s="48">
        <v>2240</v>
      </c>
      <c r="J34" s="39" t="s">
        <v>737</v>
      </c>
      <c r="K34" s="39" t="s">
        <v>651</v>
      </c>
      <c r="L34" s="39" t="s">
        <v>735</v>
      </c>
      <c r="M34" s="39" t="s">
        <v>31</v>
      </c>
      <c r="N34" s="39" t="s">
        <v>29</v>
      </c>
      <c r="O34" s="39" t="s">
        <v>809</v>
      </c>
      <c r="P34" s="39" t="s">
        <v>735</v>
      </c>
      <c r="Q34" s="39" t="s">
        <v>735</v>
      </c>
      <c r="R34" s="39" t="s">
        <v>810</v>
      </c>
      <c r="S34" s="39" t="s">
        <v>739</v>
      </c>
      <c r="T34" s="39" t="s">
        <v>740</v>
      </c>
    </row>
    <row r="35" spans="1:20">
      <c r="A35" s="39">
        <v>838</v>
      </c>
      <c r="B35" s="39" t="s">
        <v>811</v>
      </c>
      <c r="C35" s="39" t="s">
        <v>29</v>
      </c>
      <c r="D35" s="39" t="s">
        <v>742</v>
      </c>
      <c r="E35" s="39" t="s">
        <v>736</v>
      </c>
      <c r="F35" s="39" t="s">
        <v>742</v>
      </c>
      <c r="G35" s="39" t="s">
        <v>735</v>
      </c>
      <c r="H35" s="39" t="s">
        <v>384</v>
      </c>
      <c r="I35" s="48">
        <v>2240</v>
      </c>
      <c r="J35" s="39" t="s">
        <v>737</v>
      </c>
      <c r="K35" s="39" t="s">
        <v>651</v>
      </c>
      <c r="L35" s="39" t="s">
        <v>735</v>
      </c>
      <c r="M35" s="39" t="s">
        <v>31</v>
      </c>
      <c r="N35" s="39" t="s">
        <v>29</v>
      </c>
      <c r="O35" s="39" t="s">
        <v>812</v>
      </c>
      <c r="P35" s="39" t="s">
        <v>735</v>
      </c>
      <c r="Q35" s="39" t="s">
        <v>735</v>
      </c>
      <c r="R35" s="39" t="s">
        <v>813</v>
      </c>
      <c r="S35" s="39" t="s">
        <v>739</v>
      </c>
      <c r="T35" s="39" t="s">
        <v>740</v>
      </c>
    </row>
    <row r="36" spans="1:20">
      <c r="A36" s="39">
        <v>1578</v>
      </c>
      <c r="B36" s="39" t="s">
        <v>814</v>
      </c>
      <c r="C36" s="39" t="s">
        <v>29</v>
      </c>
      <c r="D36" s="39" t="s">
        <v>735</v>
      </c>
      <c r="E36" s="39" t="s">
        <v>736</v>
      </c>
      <c r="F36" s="39" t="s">
        <v>735</v>
      </c>
      <c r="G36" s="39" t="s">
        <v>735</v>
      </c>
      <c r="H36" s="39" t="s">
        <v>384</v>
      </c>
      <c r="I36" s="48">
        <v>0</v>
      </c>
      <c r="J36" s="39" t="s">
        <v>737</v>
      </c>
      <c r="K36" s="39" t="s">
        <v>651</v>
      </c>
      <c r="L36" s="39" t="s">
        <v>735</v>
      </c>
      <c r="M36" s="39" t="s">
        <v>31</v>
      </c>
      <c r="N36" s="39" t="s">
        <v>29</v>
      </c>
      <c r="O36" s="39" t="s">
        <v>815</v>
      </c>
      <c r="P36" s="39" t="s">
        <v>735</v>
      </c>
      <c r="Q36" s="39" t="s">
        <v>735</v>
      </c>
      <c r="R36" s="39" t="s">
        <v>628</v>
      </c>
      <c r="S36" s="39" t="s">
        <v>816</v>
      </c>
      <c r="T36" s="39" t="s">
        <v>740</v>
      </c>
    </row>
    <row r="37" spans="1:20">
      <c r="A37" s="39">
        <v>2274</v>
      </c>
      <c r="B37" s="39" t="s">
        <v>817</v>
      </c>
      <c r="C37" s="39" t="s">
        <v>29</v>
      </c>
      <c r="D37" s="39" t="s">
        <v>818</v>
      </c>
      <c r="E37" s="39" t="s">
        <v>736</v>
      </c>
      <c r="F37" s="39" t="s">
        <v>735</v>
      </c>
      <c r="G37" s="39" t="s">
        <v>818</v>
      </c>
      <c r="H37" s="39" t="s">
        <v>384</v>
      </c>
      <c r="I37" s="48">
        <v>-73920</v>
      </c>
      <c r="J37" s="39" t="s">
        <v>819</v>
      </c>
      <c r="K37" s="39" t="s">
        <v>651</v>
      </c>
      <c r="L37" s="39" t="s">
        <v>735</v>
      </c>
      <c r="M37" s="39" t="s">
        <v>31</v>
      </c>
      <c r="N37" s="39" t="s">
        <v>29</v>
      </c>
      <c r="O37" s="39" t="s">
        <v>735</v>
      </c>
      <c r="P37" s="39" t="s">
        <v>820</v>
      </c>
      <c r="Q37" s="39" t="s">
        <v>740</v>
      </c>
      <c r="R37" s="39" t="s">
        <v>740</v>
      </c>
      <c r="S37" s="39" t="s">
        <v>821</v>
      </c>
      <c r="T37" s="39" t="s">
        <v>822</v>
      </c>
    </row>
    <row r="38" spans="1:20">
      <c r="A38" s="39">
        <v>2275</v>
      </c>
      <c r="B38" s="39" t="s">
        <v>817</v>
      </c>
      <c r="C38" s="39" t="s">
        <v>29</v>
      </c>
      <c r="D38" s="39" t="s">
        <v>818</v>
      </c>
      <c r="E38" s="39" t="s">
        <v>736</v>
      </c>
      <c r="F38" s="39" t="s">
        <v>735</v>
      </c>
      <c r="G38" s="39" t="s">
        <v>818</v>
      </c>
      <c r="H38" s="39" t="s">
        <v>384</v>
      </c>
      <c r="I38" s="48">
        <v>-73920</v>
      </c>
      <c r="J38" s="39" t="s">
        <v>819</v>
      </c>
      <c r="K38" s="39" t="s">
        <v>651</v>
      </c>
      <c r="L38" s="39" t="s">
        <v>735</v>
      </c>
      <c r="M38" s="39" t="s">
        <v>31</v>
      </c>
      <c r="N38" s="39" t="s">
        <v>29</v>
      </c>
      <c r="O38" s="39" t="s">
        <v>735</v>
      </c>
      <c r="P38" s="39" t="s">
        <v>820</v>
      </c>
      <c r="Q38" s="39" t="s">
        <v>740</v>
      </c>
      <c r="R38" s="39" t="s">
        <v>740</v>
      </c>
      <c r="S38" s="39" t="s">
        <v>823</v>
      </c>
      <c r="T38" s="39" t="s">
        <v>824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4"/>
  <sheetViews>
    <sheetView topLeftCell="B1" workbookViewId="0">
      <selection activeCell="B1" sqref="B1"/>
    </sheetView>
  </sheetViews>
  <sheetFormatPr defaultColWidth="9" defaultRowHeight="17.399999999999999"/>
  <cols>
    <col min="1" max="1" width="18.8984375" style="39" bestFit="1" customWidth="1"/>
    <col min="2" max="2" width="8.8984375" style="39" bestFit="1" customWidth="1"/>
    <col min="3" max="3" width="10.3984375" style="39" bestFit="1" customWidth="1"/>
    <col min="4" max="4" width="11.8984375" style="39" bestFit="1" customWidth="1"/>
    <col min="5" max="5" width="36" style="39" bestFit="1" customWidth="1"/>
    <col min="6" max="6" width="47.5" style="39" bestFit="1" customWidth="1"/>
    <col min="7" max="7" width="5" style="39" bestFit="1" customWidth="1"/>
    <col min="8" max="8" width="11.8984375" style="39" bestFit="1" customWidth="1"/>
    <col min="9" max="9" width="7.69921875" style="39" bestFit="1" customWidth="1"/>
    <col min="10" max="10" width="8.59765625" style="39" bestFit="1" customWidth="1"/>
    <col min="11" max="11" width="10.3984375" style="39" bestFit="1" customWidth="1"/>
    <col min="12" max="12" width="6.69921875" style="39" bestFit="1" customWidth="1"/>
    <col min="13" max="13" width="8.59765625" style="39" bestFit="1" customWidth="1"/>
    <col min="14" max="14" width="5" style="39" bestFit="1" customWidth="1"/>
    <col min="15" max="17" width="8.59765625" style="39" bestFit="1" customWidth="1"/>
    <col min="18" max="21" width="7.59765625" style="39" bestFit="1" customWidth="1"/>
    <col min="22" max="22" width="5.69921875" style="39" bestFit="1" customWidth="1"/>
    <col min="23" max="25" width="8.59765625" style="39" bestFit="1" customWidth="1"/>
    <col min="26" max="26" width="9.3984375" style="39" bestFit="1" customWidth="1"/>
    <col min="27" max="30" width="8.59765625" style="39" bestFit="1" customWidth="1"/>
    <col min="31" max="16384" width="9" style="39"/>
  </cols>
  <sheetData>
    <row r="1" spans="1:30" ht="69.599999999999994">
      <c r="A1" s="49" t="s">
        <v>826</v>
      </c>
      <c r="B1" s="49" t="s">
        <v>827</v>
      </c>
      <c r="C1" s="49" t="s">
        <v>828</v>
      </c>
      <c r="D1" s="49" t="s">
        <v>829</v>
      </c>
      <c r="E1" s="49" t="s">
        <v>830</v>
      </c>
      <c r="F1" s="49" t="s">
        <v>831</v>
      </c>
      <c r="G1" s="49" t="s">
        <v>832</v>
      </c>
      <c r="H1" s="49" t="s">
        <v>833</v>
      </c>
      <c r="I1" s="49" t="s">
        <v>834</v>
      </c>
      <c r="J1" s="49" t="s">
        <v>835</v>
      </c>
      <c r="K1" s="49" t="s">
        <v>89</v>
      </c>
      <c r="L1" s="50" t="s">
        <v>836</v>
      </c>
      <c r="M1" s="49" t="s">
        <v>837</v>
      </c>
      <c r="N1" s="49" t="s">
        <v>838</v>
      </c>
      <c r="O1" s="49" t="s">
        <v>839</v>
      </c>
      <c r="P1" s="49" t="s">
        <v>840</v>
      </c>
      <c r="Q1" s="49" t="s">
        <v>841</v>
      </c>
      <c r="R1" s="51" t="s">
        <v>842</v>
      </c>
      <c r="S1" s="51" t="s">
        <v>843</v>
      </c>
      <c r="T1" s="51" t="s">
        <v>844</v>
      </c>
      <c r="U1" s="51" t="s">
        <v>845</v>
      </c>
      <c r="V1" s="49" t="s">
        <v>104</v>
      </c>
      <c r="W1" s="51" t="s">
        <v>846</v>
      </c>
      <c r="X1" s="51" t="s">
        <v>847</v>
      </c>
      <c r="Y1" s="51" t="s">
        <v>848</v>
      </c>
      <c r="Z1" s="51" t="s">
        <v>849</v>
      </c>
      <c r="AA1" s="51" t="s">
        <v>850</v>
      </c>
      <c r="AB1" s="52" t="s">
        <v>851</v>
      </c>
      <c r="AC1" s="50" t="s">
        <v>852</v>
      </c>
      <c r="AD1" s="49" t="s">
        <v>853</v>
      </c>
    </row>
    <row r="2" spans="1:30">
      <c r="A2" s="53" t="s">
        <v>854</v>
      </c>
      <c r="B2" s="53" t="s">
        <v>855</v>
      </c>
      <c r="C2" s="53" t="s">
        <v>856</v>
      </c>
      <c r="D2" s="53" t="s">
        <v>857</v>
      </c>
      <c r="E2" s="53" t="s">
        <v>858</v>
      </c>
      <c r="F2" s="53" t="s">
        <v>859</v>
      </c>
      <c r="G2" s="53" t="s">
        <v>180</v>
      </c>
      <c r="H2" s="53" t="s">
        <v>860</v>
      </c>
      <c r="I2" s="53" t="s">
        <v>861</v>
      </c>
      <c r="J2" s="53" t="s">
        <v>862</v>
      </c>
      <c r="K2" s="53" t="s">
        <v>29</v>
      </c>
      <c r="L2" s="53" t="s">
        <v>31</v>
      </c>
      <c r="M2" s="53" t="s">
        <v>740</v>
      </c>
      <c r="N2" s="53" t="s">
        <v>863</v>
      </c>
      <c r="O2" s="54">
        <v>1</v>
      </c>
      <c r="P2" s="54">
        <v>0</v>
      </c>
      <c r="Q2" s="54">
        <v>0</v>
      </c>
      <c r="R2" s="54">
        <v>1</v>
      </c>
      <c r="S2" s="54">
        <v>3200</v>
      </c>
      <c r="T2" s="54">
        <v>0</v>
      </c>
      <c r="U2" s="54">
        <v>0</v>
      </c>
      <c r="V2" s="54">
        <v>3200</v>
      </c>
      <c r="W2" s="54">
        <v>3200</v>
      </c>
      <c r="X2" s="54">
        <v>0</v>
      </c>
      <c r="Y2" s="54">
        <v>0</v>
      </c>
      <c r="Z2" s="54">
        <v>960</v>
      </c>
      <c r="AA2" s="54">
        <v>0</v>
      </c>
      <c r="AB2" s="54">
        <v>0</v>
      </c>
      <c r="AC2" s="54">
        <v>2240</v>
      </c>
      <c r="AD2" s="53" t="s">
        <v>864</v>
      </c>
    </row>
    <row r="3" spans="1:30">
      <c r="A3" s="53" t="s">
        <v>854</v>
      </c>
      <c r="B3" s="53" t="s">
        <v>855</v>
      </c>
      <c r="C3" s="53" t="s">
        <v>856</v>
      </c>
      <c r="D3" s="53" t="s">
        <v>857</v>
      </c>
      <c r="E3" s="53" t="s">
        <v>858</v>
      </c>
      <c r="F3" s="53" t="s">
        <v>865</v>
      </c>
      <c r="G3" s="53" t="s">
        <v>183</v>
      </c>
      <c r="H3" s="53" t="s">
        <v>866</v>
      </c>
      <c r="I3" s="53" t="s">
        <v>861</v>
      </c>
      <c r="J3" s="53" t="s">
        <v>862</v>
      </c>
      <c r="K3" s="53" t="s">
        <v>29</v>
      </c>
      <c r="L3" s="53" t="s">
        <v>31</v>
      </c>
      <c r="M3" s="53" t="s">
        <v>740</v>
      </c>
      <c r="N3" s="53" t="s">
        <v>863</v>
      </c>
      <c r="O3" s="54">
        <v>1</v>
      </c>
      <c r="P3" s="54">
        <v>0</v>
      </c>
      <c r="Q3" s="54">
        <v>0</v>
      </c>
      <c r="R3" s="54">
        <v>1</v>
      </c>
      <c r="S3" s="54">
        <v>3200</v>
      </c>
      <c r="T3" s="54">
        <v>0</v>
      </c>
      <c r="U3" s="54">
        <v>0</v>
      </c>
      <c r="V3" s="54">
        <v>3200</v>
      </c>
      <c r="W3" s="54">
        <v>3200</v>
      </c>
      <c r="X3" s="54">
        <v>0</v>
      </c>
      <c r="Y3" s="54">
        <v>0</v>
      </c>
      <c r="Z3" s="54">
        <v>960</v>
      </c>
      <c r="AA3" s="54">
        <v>0</v>
      </c>
      <c r="AB3" s="54">
        <v>0</v>
      </c>
      <c r="AC3" s="54">
        <v>2240</v>
      </c>
      <c r="AD3" s="53" t="s">
        <v>864</v>
      </c>
    </row>
    <row r="4" spans="1:30">
      <c r="A4" s="53" t="s">
        <v>854</v>
      </c>
      <c r="B4" s="53" t="s">
        <v>855</v>
      </c>
      <c r="C4" s="53" t="s">
        <v>856</v>
      </c>
      <c r="D4" s="53" t="s">
        <v>857</v>
      </c>
      <c r="E4" s="53" t="s">
        <v>858</v>
      </c>
      <c r="F4" s="53" t="s">
        <v>867</v>
      </c>
      <c r="G4" s="53" t="s">
        <v>186</v>
      </c>
      <c r="H4" s="53" t="s">
        <v>868</v>
      </c>
      <c r="I4" s="53" t="s">
        <v>861</v>
      </c>
      <c r="J4" s="53" t="s">
        <v>862</v>
      </c>
      <c r="K4" s="53" t="s">
        <v>29</v>
      </c>
      <c r="L4" s="53" t="s">
        <v>31</v>
      </c>
      <c r="M4" s="53" t="s">
        <v>740</v>
      </c>
      <c r="N4" s="53" t="s">
        <v>863</v>
      </c>
      <c r="O4" s="54">
        <v>1</v>
      </c>
      <c r="P4" s="54">
        <v>0</v>
      </c>
      <c r="Q4" s="54">
        <v>0</v>
      </c>
      <c r="R4" s="54">
        <v>1</v>
      </c>
      <c r="S4" s="54">
        <v>3200</v>
      </c>
      <c r="T4" s="54">
        <v>0</v>
      </c>
      <c r="U4" s="54">
        <v>0</v>
      </c>
      <c r="V4" s="54">
        <v>3200</v>
      </c>
      <c r="W4" s="54">
        <v>3200</v>
      </c>
      <c r="X4" s="54">
        <v>0</v>
      </c>
      <c r="Y4" s="54">
        <v>0</v>
      </c>
      <c r="Z4" s="54">
        <v>960</v>
      </c>
      <c r="AA4" s="54">
        <v>0</v>
      </c>
      <c r="AB4" s="54">
        <v>0</v>
      </c>
      <c r="AC4" s="54">
        <v>2240</v>
      </c>
      <c r="AD4" s="53" t="s">
        <v>864</v>
      </c>
    </row>
    <row r="5" spans="1:30">
      <c r="A5" s="53" t="s">
        <v>854</v>
      </c>
      <c r="B5" s="53" t="s">
        <v>855</v>
      </c>
      <c r="C5" s="53" t="s">
        <v>856</v>
      </c>
      <c r="D5" s="53" t="s">
        <v>857</v>
      </c>
      <c r="E5" s="53" t="s">
        <v>858</v>
      </c>
      <c r="F5" s="53" t="s">
        <v>869</v>
      </c>
      <c r="G5" s="53" t="s">
        <v>189</v>
      </c>
      <c r="H5" s="53" t="s">
        <v>870</v>
      </c>
      <c r="I5" s="53" t="s">
        <v>861</v>
      </c>
      <c r="J5" s="53" t="s">
        <v>862</v>
      </c>
      <c r="K5" s="53" t="s">
        <v>29</v>
      </c>
      <c r="L5" s="53" t="s">
        <v>31</v>
      </c>
      <c r="M5" s="53" t="s">
        <v>740</v>
      </c>
      <c r="N5" s="53" t="s">
        <v>863</v>
      </c>
      <c r="O5" s="54">
        <v>1</v>
      </c>
      <c r="P5" s="54">
        <v>0</v>
      </c>
      <c r="Q5" s="54">
        <v>0</v>
      </c>
      <c r="R5" s="54">
        <v>1</v>
      </c>
      <c r="S5" s="54">
        <v>3200</v>
      </c>
      <c r="T5" s="54">
        <v>0</v>
      </c>
      <c r="U5" s="54">
        <v>0</v>
      </c>
      <c r="V5" s="54">
        <v>3200</v>
      </c>
      <c r="W5" s="54">
        <v>3200</v>
      </c>
      <c r="X5" s="54">
        <v>0</v>
      </c>
      <c r="Y5" s="54">
        <v>0</v>
      </c>
      <c r="Z5" s="54">
        <v>960</v>
      </c>
      <c r="AA5" s="54">
        <v>0</v>
      </c>
      <c r="AB5" s="54">
        <v>0</v>
      </c>
      <c r="AC5" s="54">
        <v>2240</v>
      </c>
      <c r="AD5" s="53" t="s">
        <v>864</v>
      </c>
    </row>
    <row r="6" spans="1:30">
      <c r="A6" s="53" t="s">
        <v>854</v>
      </c>
      <c r="B6" s="53" t="s">
        <v>855</v>
      </c>
      <c r="C6" s="53" t="s">
        <v>856</v>
      </c>
      <c r="D6" s="53" t="s">
        <v>857</v>
      </c>
      <c r="E6" s="53" t="s">
        <v>858</v>
      </c>
      <c r="F6" s="53" t="s">
        <v>871</v>
      </c>
      <c r="G6" s="53" t="s">
        <v>192</v>
      </c>
      <c r="H6" s="53" t="s">
        <v>872</v>
      </c>
      <c r="I6" s="53" t="s">
        <v>861</v>
      </c>
      <c r="J6" s="53" t="s">
        <v>862</v>
      </c>
      <c r="K6" s="53" t="s">
        <v>29</v>
      </c>
      <c r="L6" s="53" t="s">
        <v>31</v>
      </c>
      <c r="M6" s="53" t="s">
        <v>740</v>
      </c>
      <c r="N6" s="53" t="s">
        <v>863</v>
      </c>
      <c r="O6" s="54">
        <v>1</v>
      </c>
      <c r="P6" s="54">
        <v>0</v>
      </c>
      <c r="Q6" s="54">
        <v>0</v>
      </c>
      <c r="R6" s="54">
        <v>1</v>
      </c>
      <c r="S6" s="54">
        <v>3200</v>
      </c>
      <c r="T6" s="54">
        <v>0</v>
      </c>
      <c r="U6" s="54">
        <v>0</v>
      </c>
      <c r="V6" s="54">
        <v>3200</v>
      </c>
      <c r="W6" s="54">
        <v>3200</v>
      </c>
      <c r="X6" s="54">
        <v>0</v>
      </c>
      <c r="Y6" s="54">
        <v>0</v>
      </c>
      <c r="Z6" s="54">
        <v>960</v>
      </c>
      <c r="AA6" s="54">
        <v>0</v>
      </c>
      <c r="AB6" s="54">
        <v>0</v>
      </c>
      <c r="AC6" s="54">
        <v>2240</v>
      </c>
      <c r="AD6" s="53" t="s">
        <v>864</v>
      </c>
    </row>
    <row r="7" spans="1:30">
      <c r="A7" s="53" t="s">
        <v>854</v>
      </c>
      <c r="B7" s="53" t="s">
        <v>855</v>
      </c>
      <c r="C7" s="53" t="s">
        <v>856</v>
      </c>
      <c r="D7" s="53" t="s">
        <v>857</v>
      </c>
      <c r="E7" s="53" t="s">
        <v>858</v>
      </c>
      <c r="F7" s="53" t="s">
        <v>873</v>
      </c>
      <c r="G7" s="53" t="s">
        <v>199</v>
      </c>
      <c r="H7" s="53" t="s">
        <v>874</v>
      </c>
      <c r="I7" s="53" t="s">
        <v>861</v>
      </c>
      <c r="J7" s="53" t="s">
        <v>862</v>
      </c>
      <c r="K7" s="53" t="s">
        <v>29</v>
      </c>
      <c r="L7" s="53" t="s">
        <v>31</v>
      </c>
      <c r="M7" s="53" t="s">
        <v>740</v>
      </c>
      <c r="N7" s="53" t="s">
        <v>863</v>
      </c>
      <c r="O7" s="54">
        <v>1</v>
      </c>
      <c r="P7" s="54">
        <v>0</v>
      </c>
      <c r="Q7" s="54">
        <v>0</v>
      </c>
      <c r="R7" s="54">
        <v>1</v>
      </c>
      <c r="S7" s="54">
        <v>3200</v>
      </c>
      <c r="T7" s="54">
        <v>0</v>
      </c>
      <c r="U7" s="54">
        <v>0</v>
      </c>
      <c r="V7" s="54">
        <v>3200</v>
      </c>
      <c r="W7" s="54">
        <v>3200</v>
      </c>
      <c r="X7" s="54">
        <v>0</v>
      </c>
      <c r="Y7" s="54">
        <v>0</v>
      </c>
      <c r="Z7" s="54">
        <v>960</v>
      </c>
      <c r="AA7" s="54">
        <v>0</v>
      </c>
      <c r="AB7" s="54">
        <v>0</v>
      </c>
      <c r="AC7" s="54">
        <v>2240</v>
      </c>
      <c r="AD7" s="53" t="s">
        <v>864</v>
      </c>
    </row>
    <row r="8" spans="1:30">
      <c r="A8" s="53" t="s">
        <v>854</v>
      </c>
      <c r="B8" s="53" t="s">
        <v>855</v>
      </c>
      <c r="C8" s="53" t="s">
        <v>856</v>
      </c>
      <c r="D8" s="53" t="s">
        <v>857</v>
      </c>
      <c r="E8" s="53" t="s">
        <v>858</v>
      </c>
      <c r="F8" s="53" t="s">
        <v>875</v>
      </c>
      <c r="G8" s="53" t="s">
        <v>195</v>
      </c>
      <c r="H8" s="53" t="s">
        <v>876</v>
      </c>
      <c r="I8" s="53" t="s">
        <v>861</v>
      </c>
      <c r="J8" s="53" t="s">
        <v>862</v>
      </c>
      <c r="K8" s="53" t="s">
        <v>29</v>
      </c>
      <c r="L8" s="53" t="s">
        <v>31</v>
      </c>
      <c r="M8" s="53" t="s">
        <v>740</v>
      </c>
      <c r="N8" s="53" t="s">
        <v>863</v>
      </c>
      <c r="O8" s="54">
        <v>1</v>
      </c>
      <c r="P8" s="54">
        <v>0</v>
      </c>
      <c r="Q8" s="54">
        <v>0</v>
      </c>
      <c r="R8" s="54">
        <v>1</v>
      </c>
      <c r="S8" s="54">
        <v>3200</v>
      </c>
      <c r="T8" s="54">
        <v>0</v>
      </c>
      <c r="U8" s="54">
        <v>0</v>
      </c>
      <c r="V8" s="54">
        <v>3200</v>
      </c>
      <c r="W8" s="54">
        <v>3200</v>
      </c>
      <c r="X8" s="54">
        <v>0</v>
      </c>
      <c r="Y8" s="54">
        <v>0</v>
      </c>
      <c r="Z8" s="54">
        <v>960</v>
      </c>
      <c r="AA8" s="54">
        <v>0</v>
      </c>
      <c r="AB8" s="54">
        <v>0</v>
      </c>
      <c r="AC8" s="54">
        <v>2240</v>
      </c>
      <c r="AD8" s="53" t="s">
        <v>864</v>
      </c>
    </row>
    <row r="9" spans="1:30">
      <c r="A9" s="53" t="s">
        <v>854</v>
      </c>
      <c r="B9" s="53" t="s">
        <v>855</v>
      </c>
      <c r="C9" s="53" t="s">
        <v>856</v>
      </c>
      <c r="D9" s="53" t="s">
        <v>857</v>
      </c>
      <c r="E9" s="53" t="s">
        <v>858</v>
      </c>
      <c r="F9" s="53" t="s">
        <v>877</v>
      </c>
      <c r="G9" s="53" t="s">
        <v>175</v>
      </c>
      <c r="H9" s="53" t="s">
        <v>878</v>
      </c>
      <c r="I9" s="53" t="s">
        <v>861</v>
      </c>
      <c r="J9" s="53" t="s">
        <v>862</v>
      </c>
      <c r="K9" s="53" t="s">
        <v>29</v>
      </c>
      <c r="L9" s="53" t="s">
        <v>31</v>
      </c>
      <c r="M9" s="53" t="s">
        <v>740</v>
      </c>
      <c r="N9" s="53" t="s">
        <v>863</v>
      </c>
      <c r="O9" s="54">
        <v>1</v>
      </c>
      <c r="P9" s="54">
        <v>0</v>
      </c>
      <c r="Q9" s="54">
        <v>0</v>
      </c>
      <c r="R9" s="54">
        <v>1</v>
      </c>
      <c r="S9" s="54">
        <v>3200</v>
      </c>
      <c r="T9" s="54">
        <v>0</v>
      </c>
      <c r="U9" s="54">
        <v>0</v>
      </c>
      <c r="V9" s="54">
        <v>3200</v>
      </c>
      <c r="W9" s="54">
        <v>0</v>
      </c>
      <c r="X9" s="54">
        <v>0</v>
      </c>
      <c r="Y9" s="54">
        <v>3200</v>
      </c>
      <c r="Z9" s="54">
        <v>0</v>
      </c>
      <c r="AA9" s="54">
        <v>960</v>
      </c>
      <c r="AB9" s="54">
        <v>0</v>
      </c>
      <c r="AC9" s="54">
        <v>2240</v>
      </c>
      <c r="AD9" s="53" t="s">
        <v>864</v>
      </c>
    </row>
    <row r="10" spans="1:30">
      <c r="A10" s="53" t="s">
        <v>854</v>
      </c>
      <c r="B10" s="53" t="s">
        <v>855</v>
      </c>
      <c r="C10" s="53" t="s">
        <v>856</v>
      </c>
      <c r="D10" s="53" t="s">
        <v>857</v>
      </c>
      <c r="E10" s="53" t="s">
        <v>858</v>
      </c>
      <c r="F10" s="53" t="s">
        <v>879</v>
      </c>
      <c r="G10" s="53" t="s">
        <v>571</v>
      </c>
      <c r="H10" s="53" t="s">
        <v>880</v>
      </c>
      <c r="I10" s="53" t="s">
        <v>861</v>
      </c>
      <c r="J10" s="53" t="s">
        <v>862</v>
      </c>
      <c r="K10" s="53" t="s">
        <v>29</v>
      </c>
      <c r="L10" s="53" t="s">
        <v>31</v>
      </c>
      <c r="M10" s="53" t="s">
        <v>740</v>
      </c>
      <c r="N10" s="53" t="s">
        <v>863</v>
      </c>
      <c r="O10" s="54">
        <v>1</v>
      </c>
      <c r="P10" s="54">
        <v>0</v>
      </c>
      <c r="Q10" s="54">
        <v>0</v>
      </c>
      <c r="R10" s="54">
        <v>1</v>
      </c>
      <c r="S10" s="54">
        <v>3200</v>
      </c>
      <c r="T10" s="54">
        <v>0</v>
      </c>
      <c r="U10" s="54">
        <v>0</v>
      </c>
      <c r="V10" s="54">
        <v>3200</v>
      </c>
      <c r="W10" s="54">
        <v>3040</v>
      </c>
      <c r="X10" s="54">
        <v>0</v>
      </c>
      <c r="Y10" s="54">
        <v>160</v>
      </c>
      <c r="Z10" s="54">
        <v>912</v>
      </c>
      <c r="AA10" s="54">
        <v>48</v>
      </c>
      <c r="AB10" s="54">
        <v>0</v>
      </c>
      <c r="AC10" s="54">
        <v>2240</v>
      </c>
      <c r="AD10" s="53" t="s">
        <v>864</v>
      </c>
    </row>
    <row r="11" spans="1:30">
      <c r="A11" s="53" t="s">
        <v>854</v>
      </c>
      <c r="B11" s="53" t="s">
        <v>855</v>
      </c>
      <c r="C11" s="53" t="s">
        <v>856</v>
      </c>
      <c r="D11" s="53" t="s">
        <v>857</v>
      </c>
      <c r="E11" s="53" t="s">
        <v>858</v>
      </c>
      <c r="F11" s="53" t="s">
        <v>881</v>
      </c>
      <c r="G11" s="53" t="s">
        <v>222</v>
      </c>
      <c r="H11" s="53" t="s">
        <v>882</v>
      </c>
      <c r="I11" s="53" t="s">
        <v>861</v>
      </c>
      <c r="J11" s="53" t="s">
        <v>862</v>
      </c>
      <c r="K11" s="53" t="s">
        <v>29</v>
      </c>
      <c r="L11" s="53" t="s">
        <v>31</v>
      </c>
      <c r="M11" s="53" t="s">
        <v>740</v>
      </c>
      <c r="N11" s="53" t="s">
        <v>863</v>
      </c>
      <c r="O11" s="54">
        <v>1</v>
      </c>
      <c r="P11" s="54">
        <v>0</v>
      </c>
      <c r="Q11" s="54">
        <v>0</v>
      </c>
      <c r="R11" s="54">
        <v>1</v>
      </c>
      <c r="S11" s="54">
        <v>3200</v>
      </c>
      <c r="T11" s="54">
        <v>0</v>
      </c>
      <c r="U11" s="54">
        <v>0</v>
      </c>
      <c r="V11" s="54">
        <v>3200</v>
      </c>
      <c r="W11" s="54">
        <v>3200</v>
      </c>
      <c r="X11" s="54">
        <v>0</v>
      </c>
      <c r="Y11" s="54">
        <v>0</v>
      </c>
      <c r="Z11" s="54">
        <v>960</v>
      </c>
      <c r="AA11" s="54">
        <v>0</v>
      </c>
      <c r="AB11" s="54">
        <v>0</v>
      </c>
      <c r="AC11" s="54">
        <v>2240</v>
      </c>
      <c r="AD11" s="53" t="s">
        <v>864</v>
      </c>
    </row>
    <row r="12" spans="1:30">
      <c r="A12" s="53" t="s">
        <v>854</v>
      </c>
      <c r="B12" s="53" t="s">
        <v>855</v>
      </c>
      <c r="C12" s="53" t="s">
        <v>856</v>
      </c>
      <c r="D12" s="53" t="s">
        <v>857</v>
      </c>
      <c r="E12" s="53" t="s">
        <v>858</v>
      </c>
      <c r="F12" s="53" t="s">
        <v>883</v>
      </c>
      <c r="G12" s="53" t="s">
        <v>225</v>
      </c>
      <c r="H12" s="53" t="s">
        <v>884</v>
      </c>
      <c r="I12" s="53" t="s">
        <v>861</v>
      </c>
      <c r="J12" s="53" t="s">
        <v>862</v>
      </c>
      <c r="K12" s="53" t="s">
        <v>29</v>
      </c>
      <c r="L12" s="53" t="s">
        <v>31</v>
      </c>
      <c r="M12" s="53" t="s">
        <v>740</v>
      </c>
      <c r="N12" s="53" t="s">
        <v>863</v>
      </c>
      <c r="O12" s="54">
        <v>1</v>
      </c>
      <c r="P12" s="54">
        <v>0</v>
      </c>
      <c r="Q12" s="54">
        <v>0</v>
      </c>
      <c r="R12" s="54">
        <v>1</v>
      </c>
      <c r="S12" s="54">
        <v>3200</v>
      </c>
      <c r="T12" s="54">
        <v>0</v>
      </c>
      <c r="U12" s="54">
        <v>0</v>
      </c>
      <c r="V12" s="54">
        <v>3200</v>
      </c>
      <c r="W12" s="54">
        <v>3200</v>
      </c>
      <c r="X12" s="54">
        <v>0</v>
      </c>
      <c r="Y12" s="54">
        <v>0</v>
      </c>
      <c r="Z12" s="54">
        <v>960</v>
      </c>
      <c r="AA12" s="54">
        <v>0</v>
      </c>
      <c r="AB12" s="54">
        <v>0</v>
      </c>
      <c r="AC12" s="54">
        <v>2240</v>
      </c>
      <c r="AD12" s="53" t="s">
        <v>864</v>
      </c>
    </row>
    <row r="13" spans="1:30">
      <c r="A13" s="53" t="s">
        <v>854</v>
      </c>
      <c r="B13" s="53" t="s">
        <v>855</v>
      </c>
      <c r="C13" s="53" t="s">
        <v>856</v>
      </c>
      <c r="D13" s="53" t="s">
        <v>857</v>
      </c>
      <c r="E13" s="53" t="s">
        <v>858</v>
      </c>
      <c r="F13" s="53" t="s">
        <v>885</v>
      </c>
      <c r="G13" s="53" t="s">
        <v>228</v>
      </c>
      <c r="H13" s="53" t="s">
        <v>886</v>
      </c>
      <c r="I13" s="53" t="s">
        <v>861</v>
      </c>
      <c r="J13" s="53" t="s">
        <v>862</v>
      </c>
      <c r="K13" s="53" t="s">
        <v>29</v>
      </c>
      <c r="L13" s="53" t="s">
        <v>31</v>
      </c>
      <c r="M13" s="53" t="s">
        <v>740</v>
      </c>
      <c r="N13" s="53" t="s">
        <v>863</v>
      </c>
      <c r="O13" s="54">
        <v>1</v>
      </c>
      <c r="P13" s="54">
        <v>0</v>
      </c>
      <c r="Q13" s="54">
        <v>0</v>
      </c>
      <c r="R13" s="54">
        <v>1</v>
      </c>
      <c r="S13" s="54">
        <v>3200</v>
      </c>
      <c r="T13" s="54">
        <v>0</v>
      </c>
      <c r="U13" s="54">
        <v>0</v>
      </c>
      <c r="V13" s="54">
        <v>3200</v>
      </c>
      <c r="W13" s="54">
        <v>3200</v>
      </c>
      <c r="X13" s="54">
        <v>0</v>
      </c>
      <c r="Y13" s="54">
        <v>0</v>
      </c>
      <c r="Z13" s="54">
        <v>960</v>
      </c>
      <c r="AA13" s="54">
        <v>0</v>
      </c>
      <c r="AB13" s="54">
        <v>0</v>
      </c>
      <c r="AC13" s="54">
        <v>2240</v>
      </c>
      <c r="AD13" s="53" t="s">
        <v>864</v>
      </c>
    </row>
    <row r="14" spans="1:30">
      <c r="A14" s="53" t="s">
        <v>854</v>
      </c>
      <c r="B14" s="53" t="s">
        <v>855</v>
      </c>
      <c r="C14" s="53" t="s">
        <v>856</v>
      </c>
      <c r="D14" s="53" t="s">
        <v>857</v>
      </c>
      <c r="E14" s="53" t="s">
        <v>858</v>
      </c>
      <c r="F14" s="53" t="s">
        <v>887</v>
      </c>
      <c r="G14" s="53" t="s">
        <v>231</v>
      </c>
      <c r="H14" s="53" t="s">
        <v>888</v>
      </c>
      <c r="I14" s="53" t="s">
        <v>861</v>
      </c>
      <c r="J14" s="53" t="s">
        <v>862</v>
      </c>
      <c r="K14" s="53" t="s">
        <v>29</v>
      </c>
      <c r="L14" s="53" t="s">
        <v>31</v>
      </c>
      <c r="M14" s="53" t="s">
        <v>740</v>
      </c>
      <c r="N14" s="53" t="s">
        <v>863</v>
      </c>
      <c r="O14" s="54">
        <v>1</v>
      </c>
      <c r="P14" s="54">
        <v>0</v>
      </c>
      <c r="Q14" s="54">
        <v>0</v>
      </c>
      <c r="R14" s="54">
        <v>1</v>
      </c>
      <c r="S14" s="54">
        <v>3200</v>
      </c>
      <c r="T14" s="54">
        <v>0</v>
      </c>
      <c r="U14" s="54">
        <v>0</v>
      </c>
      <c r="V14" s="54">
        <v>3200</v>
      </c>
      <c r="W14" s="54">
        <v>3200</v>
      </c>
      <c r="X14" s="54">
        <v>0</v>
      </c>
      <c r="Y14" s="54">
        <v>0</v>
      </c>
      <c r="Z14" s="54">
        <v>960</v>
      </c>
      <c r="AA14" s="54">
        <v>0</v>
      </c>
      <c r="AB14" s="54">
        <v>0</v>
      </c>
      <c r="AC14" s="54">
        <v>2240</v>
      </c>
      <c r="AD14" s="53" t="s">
        <v>864</v>
      </c>
    </row>
    <row r="15" spans="1:30">
      <c r="A15" s="53" t="s">
        <v>854</v>
      </c>
      <c r="B15" s="53" t="s">
        <v>855</v>
      </c>
      <c r="C15" s="53" t="s">
        <v>856</v>
      </c>
      <c r="D15" s="53" t="s">
        <v>857</v>
      </c>
      <c r="E15" s="53" t="s">
        <v>858</v>
      </c>
      <c r="F15" s="53" t="s">
        <v>889</v>
      </c>
      <c r="G15" s="53" t="s">
        <v>234</v>
      </c>
      <c r="H15" s="53" t="s">
        <v>890</v>
      </c>
      <c r="I15" s="53" t="s">
        <v>861</v>
      </c>
      <c r="J15" s="53" t="s">
        <v>862</v>
      </c>
      <c r="K15" s="53" t="s">
        <v>29</v>
      </c>
      <c r="L15" s="53" t="s">
        <v>31</v>
      </c>
      <c r="M15" s="53" t="s">
        <v>740</v>
      </c>
      <c r="N15" s="53" t="s">
        <v>863</v>
      </c>
      <c r="O15" s="54">
        <v>1</v>
      </c>
      <c r="P15" s="54">
        <v>0</v>
      </c>
      <c r="Q15" s="54">
        <v>0</v>
      </c>
      <c r="R15" s="54">
        <v>1</v>
      </c>
      <c r="S15" s="54">
        <v>3200</v>
      </c>
      <c r="T15" s="54">
        <v>0</v>
      </c>
      <c r="U15" s="54">
        <v>0</v>
      </c>
      <c r="V15" s="54">
        <v>3200</v>
      </c>
      <c r="W15" s="54">
        <v>3040</v>
      </c>
      <c r="X15" s="54">
        <v>0</v>
      </c>
      <c r="Y15" s="54">
        <v>160</v>
      </c>
      <c r="Z15" s="54">
        <v>912</v>
      </c>
      <c r="AA15" s="54">
        <v>48</v>
      </c>
      <c r="AB15" s="54">
        <v>0</v>
      </c>
      <c r="AC15" s="54">
        <v>2240</v>
      </c>
      <c r="AD15" s="53" t="s">
        <v>864</v>
      </c>
    </row>
    <row r="16" spans="1:30">
      <c r="A16" s="53" t="s">
        <v>854</v>
      </c>
      <c r="B16" s="53" t="s">
        <v>855</v>
      </c>
      <c r="C16" s="53" t="s">
        <v>856</v>
      </c>
      <c r="D16" s="53" t="s">
        <v>857</v>
      </c>
      <c r="E16" s="53" t="s">
        <v>858</v>
      </c>
      <c r="F16" s="53" t="s">
        <v>891</v>
      </c>
      <c r="G16" s="53" t="s">
        <v>237</v>
      </c>
      <c r="H16" s="53" t="s">
        <v>892</v>
      </c>
      <c r="I16" s="53" t="s">
        <v>861</v>
      </c>
      <c r="J16" s="53" t="s">
        <v>862</v>
      </c>
      <c r="K16" s="53" t="s">
        <v>29</v>
      </c>
      <c r="L16" s="53" t="s">
        <v>31</v>
      </c>
      <c r="M16" s="53" t="s">
        <v>740</v>
      </c>
      <c r="N16" s="53" t="s">
        <v>863</v>
      </c>
      <c r="O16" s="54">
        <v>1</v>
      </c>
      <c r="P16" s="54">
        <v>0</v>
      </c>
      <c r="Q16" s="54">
        <v>0</v>
      </c>
      <c r="R16" s="54">
        <v>1</v>
      </c>
      <c r="S16" s="54">
        <v>3200</v>
      </c>
      <c r="T16" s="54">
        <v>0</v>
      </c>
      <c r="U16" s="54">
        <v>0</v>
      </c>
      <c r="V16" s="54">
        <v>3200</v>
      </c>
      <c r="W16" s="54">
        <v>3040</v>
      </c>
      <c r="X16" s="54">
        <v>0</v>
      </c>
      <c r="Y16" s="54">
        <v>160</v>
      </c>
      <c r="Z16" s="54">
        <v>912</v>
      </c>
      <c r="AA16" s="54">
        <v>48</v>
      </c>
      <c r="AB16" s="54">
        <v>0</v>
      </c>
      <c r="AC16" s="54">
        <v>2240</v>
      </c>
      <c r="AD16" s="53" t="s">
        <v>864</v>
      </c>
    </row>
    <row r="17" spans="1:30">
      <c r="A17" s="53" t="s">
        <v>854</v>
      </c>
      <c r="B17" s="53" t="s">
        <v>855</v>
      </c>
      <c r="C17" s="53" t="s">
        <v>856</v>
      </c>
      <c r="D17" s="53" t="s">
        <v>857</v>
      </c>
      <c r="E17" s="53" t="s">
        <v>858</v>
      </c>
      <c r="F17" s="53" t="s">
        <v>893</v>
      </c>
      <c r="G17" s="53" t="s">
        <v>240</v>
      </c>
      <c r="H17" s="53" t="s">
        <v>894</v>
      </c>
      <c r="I17" s="53" t="s">
        <v>861</v>
      </c>
      <c r="J17" s="53" t="s">
        <v>862</v>
      </c>
      <c r="K17" s="53" t="s">
        <v>29</v>
      </c>
      <c r="L17" s="53" t="s">
        <v>31</v>
      </c>
      <c r="M17" s="53" t="s">
        <v>740</v>
      </c>
      <c r="N17" s="53" t="s">
        <v>863</v>
      </c>
      <c r="O17" s="54">
        <v>1</v>
      </c>
      <c r="P17" s="54">
        <v>0</v>
      </c>
      <c r="Q17" s="54">
        <v>0</v>
      </c>
      <c r="R17" s="54">
        <v>1</v>
      </c>
      <c r="S17" s="54">
        <v>3200</v>
      </c>
      <c r="T17" s="54">
        <v>0</v>
      </c>
      <c r="U17" s="54">
        <v>0</v>
      </c>
      <c r="V17" s="54">
        <v>3200</v>
      </c>
      <c r="W17" s="54">
        <v>3040</v>
      </c>
      <c r="X17" s="54">
        <v>0</v>
      </c>
      <c r="Y17" s="54">
        <v>160</v>
      </c>
      <c r="Z17" s="54">
        <v>912</v>
      </c>
      <c r="AA17" s="54">
        <v>48</v>
      </c>
      <c r="AB17" s="54">
        <v>0</v>
      </c>
      <c r="AC17" s="54">
        <v>2240</v>
      </c>
      <c r="AD17" s="53" t="s">
        <v>864</v>
      </c>
    </row>
    <row r="18" spans="1:30">
      <c r="A18" s="53" t="s">
        <v>854</v>
      </c>
      <c r="B18" s="53" t="s">
        <v>855</v>
      </c>
      <c r="C18" s="53" t="s">
        <v>856</v>
      </c>
      <c r="D18" s="53" t="s">
        <v>857</v>
      </c>
      <c r="E18" s="53" t="s">
        <v>858</v>
      </c>
      <c r="F18" s="53" t="s">
        <v>895</v>
      </c>
      <c r="G18" s="53" t="s">
        <v>243</v>
      </c>
      <c r="H18" s="53" t="s">
        <v>896</v>
      </c>
      <c r="I18" s="53" t="s">
        <v>861</v>
      </c>
      <c r="J18" s="53" t="s">
        <v>862</v>
      </c>
      <c r="K18" s="53" t="s">
        <v>29</v>
      </c>
      <c r="L18" s="53" t="s">
        <v>31</v>
      </c>
      <c r="M18" s="53" t="s">
        <v>740</v>
      </c>
      <c r="N18" s="53" t="s">
        <v>863</v>
      </c>
      <c r="O18" s="54">
        <v>1</v>
      </c>
      <c r="P18" s="54">
        <v>0</v>
      </c>
      <c r="Q18" s="54">
        <v>0</v>
      </c>
      <c r="R18" s="54">
        <v>1</v>
      </c>
      <c r="S18" s="54">
        <v>3200</v>
      </c>
      <c r="T18" s="54">
        <v>0</v>
      </c>
      <c r="U18" s="54">
        <v>0</v>
      </c>
      <c r="V18" s="54">
        <v>3200</v>
      </c>
      <c r="W18" s="54">
        <v>3200</v>
      </c>
      <c r="X18" s="54">
        <v>0</v>
      </c>
      <c r="Y18" s="54">
        <v>0</v>
      </c>
      <c r="Z18" s="54">
        <v>960</v>
      </c>
      <c r="AA18" s="54">
        <v>0</v>
      </c>
      <c r="AB18" s="54">
        <v>0</v>
      </c>
      <c r="AC18" s="54">
        <v>2240</v>
      </c>
      <c r="AD18" s="53" t="s">
        <v>864</v>
      </c>
    </row>
    <row r="19" spans="1:30">
      <c r="A19" s="53" t="s">
        <v>854</v>
      </c>
      <c r="B19" s="53" t="s">
        <v>855</v>
      </c>
      <c r="C19" s="53" t="s">
        <v>856</v>
      </c>
      <c r="D19" s="53" t="s">
        <v>857</v>
      </c>
      <c r="E19" s="53" t="s">
        <v>858</v>
      </c>
      <c r="F19" s="53" t="s">
        <v>897</v>
      </c>
      <c r="G19" s="53" t="s">
        <v>246</v>
      </c>
      <c r="H19" s="53" t="s">
        <v>898</v>
      </c>
      <c r="I19" s="53" t="s">
        <v>861</v>
      </c>
      <c r="J19" s="53" t="s">
        <v>862</v>
      </c>
      <c r="K19" s="53" t="s">
        <v>29</v>
      </c>
      <c r="L19" s="53" t="s">
        <v>31</v>
      </c>
      <c r="M19" s="53" t="s">
        <v>740</v>
      </c>
      <c r="N19" s="53" t="s">
        <v>863</v>
      </c>
      <c r="O19" s="54">
        <v>1</v>
      </c>
      <c r="P19" s="54">
        <v>0</v>
      </c>
      <c r="Q19" s="54">
        <v>0</v>
      </c>
      <c r="R19" s="54">
        <v>1</v>
      </c>
      <c r="S19" s="54">
        <v>3200</v>
      </c>
      <c r="T19" s="54">
        <v>0</v>
      </c>
      <c r="U19" s="54">
        <v>0</v>
      </c>
      <c r="V19" s="54">
        <v>3200</v>
      </c>
      <c r="W19" s="54">
        <v>3040</v>
      </c>
      <c r="X19" s="54">
        <v>0</v>
      </c>
      <c r="Y19" s="54">
        <v>160</v>
      </c>
      <c r="Z19" s="54">
        <v>912</v>
      </c>
      <c r="AA19" s="54">
        <v>48</v>
      </c>
      <c r="AB19" s="54">
        <v>0</v>
      </c>
      <c r="AC19" s="54">
        <v>2240</v>
      </c>
      <c r="AD19" s="53" t="s">
        <v>864</v>
      </c>
    </row>
    <row r="20" spans="1:30">
      <c r="A20" s="53" t="s">
        <v>854</v>
      </c>
      <c r="B20" s="53" t="s">
        <v>855</v>
      </c>
      <c r="C20" s="53" t="s">
        <v>856</v>
      </c>
      <c r="D20" s="53" t="s">
        <v>857</v>
      </c>
      <c r="E20" s="53" t="s">
        <v>858</v>
      </c>
      <c r="F20" s="53" t="s">
        <v>899</v>
      </c>
      <c r="G20" s="53" t="s">
        <v>573</v>
      </c>
      <c r="H20" s="53" t="s">
        <v>900</v>
      </c>
      <c r="I20" s="53" t="s">
        <v>861</v>
      </c>
      <c r="J20" s="53" t="s">
        <v>862</v>
      </c>
      <c r="K20" s="53" t="s">
        <v>29</v>
      </c>
      <c r="L20" s="53" t="s">
        <v>31</v>
      </c>
      <c r="M20" s="53" t="s">
        <v>740</v>
      </c>
      <c r="N20" s="53" t="s">
        <v>863</v>
      </c>
      <c r="O20" s="54">
        <v>1</v>
      </c>
      <c r="P20" s="54">
        <v>0</v>
      </c>
      <c r="Q20" s="54">
        <v>0</v>
      </c>
      <c r="R20" s="54">
        <v>1</v>
      </c>
      <c r="S20" s="54">
        <v>3200</v>
      </c>
      <c r="T20" s="54">
        <v>0</v>
      </c>
      <c r="U20" s="54">
        <v>0</v>
      </c>
      <c r="V20" s="54">
        <v>3200</v>
      </c>
      <c r="W20" s="54">
        <v>3040</v>
      </c>
      <c r="X20" s="54">
        <v>0</v>
      </c>
      <c r="Y20" s="54">
        <v>160</v>
      </c>
      <c r="Z20" s="54">
        <v>912</v>
      </c>
      <c r="AA20" s="54">
        <v>48</v>
      </c>
      <c r="AB20" s="54">
        <v>0</v>
      </c>
      <c r="AC20" s="54">
        <v>2240</v>
      </c>
      <c r="AD20" s="53" t="s">
        <v>864</v>
      </c>
    </row>
    <row r="21" spans="1:30">
      <c r="A21" s="53" t="s">
        <v>854</v>
      </c>
      <c r="B21" s="53" t="s">
        <v>855</v>
      </c>
      <c r="C21" s="53" t="s">
        <v>856</v>
      </c>
      <c r="D21" s="53" t="s">
        <v>857</v>
      </c>
      <c r="E21" s="53" t="s">
        <v>858</v>
      </c>
      <c r="F21" s="53" t="s">
        <v>901</v>
      </c>
      <c r="G21" s="53" t="s">
        <v>326</v>
      </c>
      <c r="H21" s="53" t="s">
        <v>902</v>
      </c>
      <c r="I21" s="53" t="s">
        <v>861</v>
      </c>
      <c r="J21" s="53" t="s">
        <v>862</v>
      </c>
      <c r="K21" s="53" t="s">
        <v>29</v>
      </c>
      <c r="L21" s="53" t="s">
        <v>31</v>
      </c>
      <c r="M21" s="53" t="s">
        <v>740</v>
      </c>
      <c r="N21" s="53" t="s">
        <v>863</v>
      </c>
      <c r="O21" s="54">
        <v>1</v>
      </c>
      <c r="P21" s="54">
        <v>0</v>
      </c>
      <c r="Q21" s="54">
        <v>0</v>
      </c>
      <c r="R21" s="54">
        <v>1</v>
      </c>
      <c r="S21" s="54">
        <v>3200</v>
      </c>
      <c r="T21" s="54">
        <v>0</v>
      </c>
      <c r="U21" s="54">
        <v>0</v>
      </c>
      <c r="V21" s="54">
        <v>3200</v>
      </c>
      <c r="W21" s="54">
        <v>3040</v>
      </c>
      <c r="X21" s="54">
        <v>0</v>
      </c>
      <c r="Y21" s="54">
        <v>160</v>
      </c>
      <c r="Z21" s="54">
        <v>912</v>
      </c>
      <c r="AA21" s="54">
        <v>48</v>
      </c>
      <c r="AB21" s="54">
        <v>0</v>
      </c>
      <c r="AC21" s="54">
        <v>2240</v>
      </c>
      <c r="AD21" s="53" t="s">
        <v>864</v>
      </c>
    </row>
    <row r="22" spans="1:30">
      <c r="A22" s="53" t="s">
        <v>854</v>
      </c>
      <c r="B22" s="53" t="s">
        <v>855</v>
      </c>
      <c r="C22" s="53" t="s">
        <v>856</v>
      </c>
      <c r="D22" s="53" t="s">
        <v>857</v>
      </c>
      <c r="E22" s="53" t="s">
        <v>858</v>
      </c>
      <c r="F22" s="53" t="s">
        <v>903</v>
      </c>
      <c r="G22" s="53" t="s">
        <v>329</v>
      </c>
      <c r="H22" s="53" t="s">
        <v>904</v>
      </c>
      <c r="I22" s="53" t="s">
        <v>861</v>
      </c>
      <c r="J22" s="53" t="s">
        <v>862</v>
      </c>
      <c r="K22" s="53" t="s">
        <v>29</v>
      </c>
      <c r="L22" s="53" t="s">
        <v>31</v>
      </c>
      <c r="M22" s="53" t="s">
        <v>740</v>
      </c>
      <c r="N22" s="53" t="s">
        <v>863</v>
      </c>
      <c r="O22" s="54">
        <v>1</v>
      </c>
      <c r="P22" s="54">
        <v>0</v>
      </c>
      <c r="Q22" s="54">
        <v>0</v>
      </c>
      <c r="R22" s="54">
        <v>1</v>
      </c>
      <c r="S22" s="54">
        <v>3200</v>
      </c>
      <c r="T22" s="54">
        <v>0</v>
      </c>
      <c r="U22" s="54">
        <v>0</v>
      </c>
      <c r="V22" s="54">
        <v>3200</v>
      </c>
      <c r="W22" s="54">
        <v>3040</v>
      </c>
      <c r="X22" s="54">
        <v>0</v>
      </c>
      <c r="Y22" s="54">
        <v>160</v>
      </c>
      <c r="Z22" s="54">
        <v>912</v>
      </c>
      <c r="AA22" s="54">
        <v>48</v>
      </c>
      <c r="AB22" s="54">
        <v>0</v>
      </c>
      <c r="AC22" s="54">
        <v>2240</v>
      </c>
      <c r="AD22" s="53" t="s">
        <v>864</v>
      </c>
    </row>
    <row r="23" spans="1:30">
      <c r="A23" s="53" t="s">
        <v>854</v>
      </c>
      <c r="B23" s="53" t="s">
        <v>855</v>
      </c>
      <c r="C23" s="53" t="s">
        <v>856</v>
      </c>
      <c r="D23" s="53" t="s">
        <v>857</v>
      </c>
      <c r="E23" s="53" t="s">
        <v>858</v>
      </c>
      <c r="F23" s="53" t="s">
        <v>905</v>
      </c>
      <c r="G23" s="53" t="s">
        <v>261</v>
      </c>
      <c r="H23" s="53" t="s">
        <v>906</v>
      </c>
      <c r="I23" s="53" t="s">
        <v>861</v>
      </c>
      <c r="J23" s="53" t="s">
        <v>862</v>
      </c>
      <c r="K23" s="53" t="s">
        <v>29</v>
      </c>
      <c r="L23" s="53" t="s">
        <v>31</v>
      </c>
      <c r="M23" s="53" t="s">
        <v>740</v>
      </c>
      <c r="N23" s="53" t="s">
        <v>863</v>
      </c>
      <c r="O23" s="54">
        <v>1</v>
      </c>
      <c r="P23" s="54">
        <v>0</v>
      </c>
      <c r="Q23" s="54">
        <v>0</v>
      </c>
      <c r="R23" s="54">
        <v>1</v>
      </c>
      <c r="S23" s="54">
        <v>3200</v>
      </c>
      <c r="T23" s="54">
        <v>0</v>
      </c>
      <c r="U23" s="54">
        <v>0</v>
      </c>
      <c r="V23" s="54">
        <v>3200</v>
      </c>
      <c r="W23" s="54">
        <v>3040</v>
      </c>
      <c r="X23" s="54">
        <v>0</v>
      </c>
      <c r="Y23" s="54">
        <v>160</v>
      </c>
      <c r="Z23" s="54">
        <v>912</v>
      </c>
      <c r="AA23" s="54">
        <v>48</v>
      </c>
      <c r="AB23" s="54">
        <v>0</v>
      </c>
      <c r="AC23" s="54">
        <v>2240</v>
      </c>
      <c r="AD23" s="53" t="s">
        <v>864</v>
      </c>
    </row>
    <row r="24" spans="1:30">
      <c r="A24" s="53" t="s">
        <v>854</v>
      </c>
      <c r="B24" s="53" t="s">
        <v>855</v>
      </c>
      <c r="C24" s="53" t="s">
        <v>856</v>
      </c>
      <c r="D24" s="53" t="s">
        <v>857</v>
      </c>
      <c r="E24" s="53" t="s">
        <v>858</v>
      </c>
      <c r="F24" s="53" t="s">
        <v>907</v>
      </c>
      <c r="G24" s="53" t="s">
        <v>266</v>
      </c>
      <c r="H24" s="53" t="s">
        <v>908</v>
      </c>
      <c r="I24" s="53" t="s">
        <v>861</v>
      </c>
      <c r="J24" s="53" t="s">
        <v>862</v>
      </c>
      <c r="K24" s="53" t="s">
        <v>29</v>
      </c>
      <c r="L24" s="53" t="s">
        <v>31</v>
      </c>
      <c r="M24" s="53" t="s">
        <v>740</v>
      </c>
      <c r="N24" s="53" t="s">
        <v>863</v>
      </c>
      <c r="O24" s="54">
        <v>1</v>
      </c>
      <c r="P24" s="54">
        <v>0</v>
      </c>
      <c r="Q24" s="54">
        <v>0</v>
      </c>
      <c r="R24" s="54">
        <v>1</v>
      </c>
      <c r="S24" s="54">
        <v>3200</v>
      </c>
      <c r="T24" s="54">
        <v>0</v>
      </c>
      <c r="U24" s="54">
        <v>0</v>
      </c>
      <c r="V24" s="54">
        <v>3200</v>
      </c>
      <c r="W24" s="54">
        <v>3040</v>
      </c>
      <c r="X24" s="54">
        <v>0</v>
      </c>
      <c r="Y24" s="54">
        <v>160</v>
      </c>
      <c r="Z24" s="54">
        <v>912</v>
      </c>
      <c r="AA24" s="54">
        <v>48</v>
      </c>
      <c r="AB24" s="54">
        <v>0</v>
      </c>
      <c r="AC24" s="54">
        <v>2240</v>
      </c>
      <c r="AD24" s="53" t="s">
        <v>864</v>
      </c>
    </row>
    <row r="25" spans="1:30">
      <c r="A25" s="53" t="s">
        <v>854</v>
      </c>
      <c r="B25" s="53" t="s">
        <v>855</v>
      </c>
      <c r="C25" s="53" t="s">
        <v>856</v>
      </c>
      <c r="D25" s="53" t="s">
        <v>857</v>
      </c>
      <c r="E25" s="53" t="s">
        <v>858</v>
      </c>
      <c r="F25" s="53" t="s">
        <v>909</v>
      </c>
      <c r="G25" s="53" t="s">
        <v>268</v>
      </c>
      <c r="H25" s="53" t="s">
        <v>910</v>
      </c>
      <c r="I25" s="53" t="s">
        <v>861</v>
      </c>
      <c r="J25" s="53" t="s">
        <v>862</v>
      </c>
      <c r="K25" s="53" t="s">
        <v>29</v>
      </c>
      <c r="L25" s="53" t="s">
        <v>31</v>
      </c>
      <c r="M25" s="53" t="s">
        <v>740</v>
      </c>
      <c r="N25" s="53" t="s">
        <v>863</v>
      </c>
      <c r="O25" s="54">
        <v>1</v>
      </c>
      <c r="P25" s="54">
        <v>0</v>
      </c>
      <c r="Q25" s="54">
        <v>0</v>
      </c>
      <c r="R25" s="54">
        <v>1</v>
      </c>
      <c r="S25" s="54">
        <v>3200</v>
      </c>
      <c r="T25" s="54">
        <v>0</v>
      </c>
      <c r="U25" s="54">
        <v>0</v>
      </c>
      <c r="V25" s="54">
        <v>3200</v>
      </c>
      <c r="W25" s="54">
        <v>3040</v>
      </c>
      <c r="X25" s="54">
        <v>0</v>
      </c>
      <c r="Y25" s="54">
        <v>160</v>
      </c>
      <c r="Z25" s="54">
        <v>912</v>
      </c>
      <c r="AA25" s="54">
        <v>48</v>
      </c>
      <c r="AB25" s="54">
        <v>0</v>
      </c>
      <c r="AC25" s="54">
        <v>2240</v>
      </c>
      <c r="AD25" s="53" t="s">
        <v>864</v>
      </c>
    </row>
    <row r="26" spans="1:30">
      <c r="A26" s="53" t="s">
        <v>854</v>
      </c>
      <c r="B26" s="53" t="s">
        <v>855</v>
      </c>
      <c r="C26" s="53" t="s">
        <v>856</v>
      </c>
      <c r="D26" s="53" t="s">
        <v>857</v>
      </c>
      <c r="E26" s="53" t="s">
        <v>858</v>
      </c>
      <c r="F26" s="53" t="s">
        <v>911</v>
      </c>
      <c r="G26" s="53" t="s">
        <v>270</v>
      </c>
      <c r="H26" s="53" t="s">
        <v>912</v>
      </c>
      <c r="I26" s="53" t="s">
        <v>861</v>
      </c>
      <c r="J26" s="53" t="s">
        <v>862</v>
      </c>
      <c r="K26" s="53" t="s">
        <v>29</v>
      </c>
      <c r="L26" s="53" t="s">
        <v>31</v>
      </c>
      <c r="M26" s="53" t="s">
        <v>740</v>
      </c>
      <c r="N26" s="53" t="s">
        <v>863</v>
      </c>
      <c r="O26" s="54">
        <v>1</v>
      </c>
      <c r="P26" s="54">
        <v>0</v>
      </c>
      <c r="Q26" s="54">
        <v>0</v>
      </c>
      <c r="R26" s="54">
        <v>1</v>
      </c>
      <c r="S26" s="54">
        <v>3200</v>
      </c>
      <c r="T26" s="54">
        <v>0</v>
      </c>
      <c r="U26" s="54">
        <v>0</v>
      </c>
      <c r="V26" s="54">
        <v>3200</v>
      </c>
      <c r="W26" s="54">
        <v>3040</v>
      </c>
      <c r="X26" s="54">
        <v>0</v>
      </c>
      <c r="Y26" s="54">
        <v>160</v>
      </c>
      <c r="Z26" s="54">
        <v>912</v>
      </c>
      <c r="AA26" s="54">
        <v>48</v>
      </c>
      <c r="AB26" s="54">
        <v>0</v>
      </c>
      <c r="AC26" s="54">
        <v>2240</v>
      </c>
      <c r="AD26" s="53" t="s">
        <v>864</v>
      </c>
    </row>
    <row r="27" spans="1:30">
      <c r="A27" s="53" t="s">
        <v>854</v>
      </c>
      <c r="B27" s="53" t="s">
        <v>855</v>
      </c>
      <c r="C27" s="53" t="s">
        <v>856</v>
      </c>
      <c r="D27" s="53" t="s">
        <v>857</v>
      </c>
      <c r="E27" s="53" t="s">
        <v>858</v>
      </c>
      <c r="F27" s="53" t="s">
        <v>913</v>
      </c>
      <c r="G27" s="53" t="s">
        <v>272</v>
      </c>
      <c r="H27" s="53" t="s">
        <v>914</v>
      </c>
      <c r="I27" s="53" t="s">
        <v>861</v>
      </c>
      <c r="J27" s="53" t="s">
        <v>862</v>
      </c>
      <c r="K27" s="53" t="s">
        <v>29</v>
      </c>
      <c r="L27" s="53" t="s">
        <v>31</v>
      </c>
      <c r="M27" s="53" t="s">
        <v>740</v>
      </c>
      <c r="N27" s="53" t="s">
        <v>863</v>
      </c>
      <c r="O27" s="54">
        <v>1</v>
      </c>
      <c r="P27" s="54">
        <v>0</v>
      </c>
      <c r="Q27" s="54">
        <v>0</v>
      </c>
      <c r="R27" s="54">
        <v>1</v>
      </c>
      <c r="S27" s="54">
        <v>3200</v>
      </c>
      <c r="T27" s="54">
        <v>0</v>
      </c>
      <c r="U27" s="54">
        <v>0</v>
      </c>
      <c r="V27" s="54">
        <v>3200</v>
      </c>
      <c r="W27" s="54">
        <v>3040</v>
      </c>
      <c r="X27" s="54">
        <v>0</v>
      </c>
      <c r="Y27" s="54">
        <v>160</v>
      </c>
      <c r="Z27" s="54">
        <v>912</v>
      </c>
      <c r="AA27" s="54">
        <v>48</v>
      </c>
      <c r="AB27" s="54">
        <v>0</v>
      </c>
      <c r="AC27" s="54">
        <v>2240</v>
      </c>
      <c r="AD27" s="53" t="s">
        <v>864</v>
      </c>
    </row>
    <row r="28" spans="1:30">
      <c r="A28" s="53" t="s">
        <v>854</v>
      </c>
      <c r="B28" s="53" t="s">
        <v>855</v>
      </c>
      <c r="C28" s="53" t="s">
        <v>856</v>
      </c>
      <c r="D28" s="53" t="s">
        <v>857</v>
      </c>
      <c r="E28" s="53" t="s">
        <v>858</v>
      </c>
      <c r="F28" s="53" t="s">
        <v>915</v>
      </c>
      <c r="G28" s="53" t="s">
        <v>274</v>
      </c>
      <c r="H28" s="53" t="s">
        <v>916</v>
      </c>
      <c r="I28" s="53" t="s">
        <v>861</v>
      </c>
      <c r="J28" s="53" t="s">
        <v>862</v>
      </c>
      <c r="K28" s="53" t="s">
        <v>29</v>
      </c>
      <c r="L28" s="53" t="s">
        <v>31</v>
      </c>
      <c r="M28" s="53" t="s">
        <v>740</v>
      </c>
      <c r="N28" s="53" t="s">
        <v>863</v>
      </c>
      <c r="O28" s="54">
        <v>1</v>
      </c>
      <c r="P28" s="54">
        <v>0</v>
      </c>
      <c r="Q28" s="54">
        <v>0</v>
      </c>
      <c r="R28" s="54">
        <v>1</v>
      </c>
      <c r="S28" s="54">
        <v>3200</v>
      </c>
      <c r="T28" s="54">
        <v>0</v>
      </c>
      <c r="U28" s="54">
        <v>0</v>
      </c>
      <c r="V28" s="54">
        <v>3200</v>
      </c>
      <c r="W28" s="54">
        <v>3040</v>
      </c>
      <c r="X28" s="54">
        <v>0</v>
      </c>
      <c r="Y28" s="54">
        <v>160</v>
      </c>
      <c r="Z28" s="54">
        <v>912</v>
      </c>
      <c r="AA28" s="54">
        <v>48</v>
      </c>
      <c r="AB28" s="54">
        <v>0</v>
      </c>
      <c r="AC28" s="54">
        <v>2240</v>
      </c>
      <c r="AD28" s="53" t="s">
        <v>864</v>
      </c>
    </row>
    <row r="29" spans="1:30">
      <c r="A29" s="53" t="s">
        <v>854</v>
      </c>
      <c r="B29" s="53" t="s">
        <v>855</v>
      </c>
      <c r="C29" s="53" t="s">
        <v>856</v>
      </c>
      <c r="D29" s="53" t="s">
        <v>857</v>
      </c>
      <c r="E29" s="53" t="s">
        <v>858</v>
      </c>
      <c r="F29" s="53" t="s">
        <v>917</v>
      </c>
      <c r="G29" s="53" t="s">
        <v>276</v>
      </c>
      <c r="H29" s="53" t="s">
        <v>918</v>
      </c>
      <c r="I29" s="53" t="s">
        <v>861</v>
      </c>
      <c r="J29" s="53" t="s">
        <v>862</v>
      </c>
      <c r="K29" s="53" t="s">
        <v>29</v>
      </c>
      <c r="L29" s="53" t="s">
        <v>31</v>
      </c>
      <c r="M29" s="53" t="s">
        <v>740</v>
      </c>
      <c r="N29" s="53" t="s">
        <v>863</v>
      </c>
      <c r="O29" s="54">
        <v>1</v>
      </c>
      <c r="P29" s="54">
        <v>0</v>
      </c>
      <c r="Q29" s="54">
        <v>0</v>
      </c>
      <c r="R29" s="54">
        <v>1</v>
      </c>
      <c r="S29" s="54">
        <v>3200</v>
      </c>
      <c r="T29" s="54">
        <v>0</v>
      </c>
      <c r="U29" s="54">
        <v>0</v>
      </c>
      <c r="V29" s="54">
        <v>3200</v>
      </c>
      <c r="W29" s="54">
        <v>3040</v>
      </c>
      <c r="X29" s="54">
        <v>0</v>
      </c>
      <c r="Y29" s="54">
        <v>160</v>
      </c>
      <c r="Z29" s="54">
        <v>912</v>
      </c>
      <c r="AA29" s="54">
        <v>48</v>
      </c>
      <c r="AB29" s="54">
        <v>0</v>
      </c>
      <c r="AC29" s="54">
        <v>2240</v>
      </c>
      <c r="AD29" s="53" t="s">
        <v>864</v>
      </c>
    </row>
    <row r="30" spans="1:30">
      <c r="A30" s="53" t="s">
        <v>854</v>
      </c>
      <c r="B30" s="53" t="s">
        <v>855</v>
      </c>
      <c r="C30" s="53" t="s">
        <v>856</v>
      </c>
      <c r="D30" s="53" t="s">
        <v>919</v>
      </c>
      <c r="E30" s="53" t="s">
        <v>108</v>
      </c>
      <c r="F30" s="53" t="s">
        <v>920</v>
      </c>
      <c r="G30" s="53" t="s">
        <v>458</v>
      </c>
      <c r="H30" s="53" t="s">
        <v>921</v>
      </c>
      <c r="I30" s="53" t="s">
        <v>861</v>
      </c>
      <c r="J30" s="53" t="s">
        <v>862</v>
      </c>
      <c r="K30" s="53" t="s">
        <v>29</v>
      </c>
      <c r="L30" s="53" t="s">
        <v>31</v>
      </c>
      <c r="M30" s="53" t="s">
        <v>740</v>
      </c>
      <c r="N30" s="53" t="s">
        <v>922</v>
      </c>
      <c r="O30" s="54">
        <v>1</v>
      </c>
      <c r="P30" s="54">
        <v>0</v>
      </c>
      <c r="Q30" s="54">
        <v>0</v>
      </c>
      <c r="R30" s="54">
        <v>1</v>
      </c>
      <c r="S30" s="54">
        <v>100</v>
      </c>
      <c r="T30" s="54">
        <v>0</v>
      </c>
      <c r="U30" s="54">
        <v>0</v>
      </c>
      <c r="V30" s="54">
        <v>100</v>
      </c>
      <c r="W30" s="54">
        <v>100</v>
      </c>
      <c r="X30" s="54">
        <v>0</v>
      </c>
      <c r="Y30" s="54">
        <v>0</v>
      </c>
      <c r="Z30" s="54">
        <v>30</v>
      </c>
      <c r="AA30" s="54">
        <v>0</v>
      </c>
      <c r="AB30" s="54">
        <v>0</v>
      </c>
      <c r="AC30" s="54">
        <v>70</v>
      </c>
      <c r="AD30" s="53" t="s">
        <v>864</v>
      </c>
    </row>
    <row r="31" spans="1:30">
      <c r="A31" s="53" t="s">
        <v>854</v>
      </c>
      <c r="B31" s="53" t="s">
        <v>855</v>
      </c>
      <c r="C31" s="53" t="s">
        <v>856</v>
      </c>
      <c r="D31" s="53" t="s">
        <v>919</v>
      </c>
      <c r="E31" s="53" t="s">
        <v>108</v>
      </c>
      <c r="F31" s="53" t="s">
        <v>923</v>
      </c>
      <c r="G31" s="53" t="s">
        <v>460</v>
      </c>
      <c r="H31" s="53" t="s">
        <v>924</v>
      </c>
      <c r="I31" s="53" t="s">
        <v>861</v>
      </c>
      <c r="J31" s="53" t="s">
        <v>862</v>
      </c>
      <c r="K31" s="53" t="s">
        <v>29</v>
      </c>
      <c r="L31" s="53" t="s">
        <v>31</v>
      </c>
      <c r="M31" s="53" t="s">
        <v>740</v>
      </c>
      <c r="N31" s="53" t="s">
        <v>922</v>
      </c>
      <c r="O31" s="54">
        <v>1</v>
      </c>
      <c r="P31" s="54">
        <v>0</v>
      </c>
      <c r="Q31" s="54">
        <v>0</v>
      </c>
      <c r="R31" s="54">
        <v>1</v>
      </c>
      <c r="S31" s="54">
        <v>100</v>
      </c>
      <c r="T31" s="54">
        <v>0</v>
      </c>
      <c r="U31" s="54">
        <v>0</v>
      </c>
      <c r="V31" s="54">
        <v>100</v>
      </c>
      <c r="W31" s="54">
        <v>100</v>
      </c>
      <c r="X31" s="54">
        <v>0</v>
      </c>
      <c r="Y31" s="54">
        <v>0</v>
      </c>
      <c r="Z31" s="54">
        <v>30</v>
      </c>
      <c r="AA31" s="54">
        <v>0</v>
      </c>
      <c r="AB31" s="54">
        <v>0</v>
      </c>
      <c r="AC31" s="54">
        <v>70</v>
      </c>
      <c r="AD31" s="53" t="s">
        <v>864</v>
      </c>
    </row>
    <row r="32" spans="1:30">
      <c r="A32" s="53" t="s">
        <v>854</v>
      </c>
      <c r="B32" s="53" t="s">
        <v>855</v>
      </c>
      <c r="C32" s="53" t="s">
        <v>856</v>
      </c>
      <c r="D32" s="53" t="s">
        <v>919</v>
      </c>
      <c r="E32" s="53" t="s">
        <v>108</v>
      </c>
      <c r="F32" s="53" t="s">
        <v>925</v>
      </c>
      <c r="G32" s="53" t="s">
        <v>464</v>
      </c>
      <c r="H32" s="53" t="s">
        <v>926</v>
      </c>
      <c r="I32" s="53" t="s">
        <v>861</v>
      </c>
      <c r="J32" s="53" t="s">
        <v>862</v>
      </c>
      <c r="K32" s="53" t="s">
        <v>29</v>
      </c>
      <c r="L32" s="53" t="s">
        <v>31</v>
      </c>
      <c r="M32" s="53" t="s">
        <v>740</v>
      </c>
      <c r="N32" s="53" t="s">
        <v>922</v>
      </c>
      <c r="O32" s="54">
        <v>1</v>
      </c>
      <c r="P32" s="54">
        <v>0</v>
      </c>
      <c r="Q32" s="54">
        <v>0</v>
      </c>
      <c r="R32" s="54">
        <v>1</v>
      </c>
      <c r="S32" s="54">
        <v>100</v>
      </c>
      <c r="T32" s="54">
        <v>0</v>
      </c>
      <c r="U32" s="54">
        <v>0</v>
      </c>
      <c r="V32" s="54">
        <v>100</v>
      </c>
      <c r="W32" s="54">
        <v>100</v>
      </c>
      <c r="X32" s="54">
        <v>0</v>
      </c>
      <c r="Y32" s="54">
        <v>0</v>
      </c>
      <c r="Z32" s="54">
        <v>30</v>
      </c>
      <c r="AA32" s="54">
        <v>0</v>
      </c>
      <c r="AB32" s="54">
        <v>0</v>
      </c>
      <c r="AC32" s="54">
        <v>70</v>
      </c>
      <c r="AD32" s="53" t="s">
        <v>864</v>
      </c>
    </row>
    <row r="33" spans="1:30">
      <c r="A33" s="53" t="s">
        <v>854</v>
      </c>
      <c r="B33" s="53" t="s">
        <v>855</v>
      </c>
      <c r="C33" s="53" t="s">
        <v>856</v>
      </c>
      <c r="D33" s="53" t="s">
        <v>919</v>
      </c>
      <c r="E33" s="53" t="s">
        <v>108</v>
      </c>
      <c r="F33" s="53" t="s">
        <v>927</v>
      </c>
      <c r="G33" s="53" t="s">
        <v>466</v>
      </c>
      <c r="H33" s="53" t="s">
        <v>928</v>
      </c>
      <c r="I33" s="53" t="s">
        <v>861</v>
      </c>
      <c r="J33" s="53" t="s">
        <v>862</v>
      </c>
      <c r="K33" s="53" t="s">
        <v>29</v>
      </c>
      <c r="L33" s="53" t="s">
        <v>31</v>
      </c>
      <c r="M33" s="53" t="s">
        <v>740</v>
      </c>
      <c r="N33" s="53" t="s">
        <v>922</v>
      </c>
      <c r="O33" s="54">
        <v>1</v>
      </c>
      <c r="P33" s="54">
        <v>0</v>
      </c>
      <c r="Q33" s="54">
        <v>0</v>
      </c>
      <c r="R33" s="54">
        <v>1</v>
      </c>
      <c r="S33" s="54">
        <v>100</v>
      </c>
      <c r="T33" s="54">
        <v>0</v>
      </c>
      <c r="U33" s="54">
        <v>0</v>
      </c>
      <c r="V33" s="54">
        <v>100</v>
      </c>
      <c r="W33" s="54">
        <v>100</v>
      </c>
      <c r="X33" s="54">
        <v>0</v>
      </c>
      <c r="Y33" s="54">
        <v>0</v>
      </c>
      <c r="Z33" s="54">
        <v>30</v>
      </c>
      <c r="AA33" s="54">
        <v>0</v>
      </c>
      <c r="AB33" s="54">
        <v>0</v>
      </c>
      <c r="AC33" s="54">
        <v>70</v>
      </c>
      <c r="AD33" s="53" t="s">
        <v>864</v>
      </c>
    </row>
    <row r="34" spans="1:30">
      <c r="A34" s="53" t="s">
        <v>854</v>
      </c>
      <c r="B34" s="53" t="s">
        <v>855</v>
      </c>
      <c r="C34" s="53" t="s">
        <v>856</v>
      </c>
      <c r="D34" s="53" t="s">
        <v>919</v>
      </c>
      <c r="E34" s="53" t="s">
        <v>108</v>
      </c>
      <c r="F34" s="53" t="s">
        <v>929</v>
      </c>
      <c r="G34" s="53" t="s">
        <v>468</v>
      </c>
      <c r="H34" s="53" t="s">
        <v>930</v>
      </c>
      <c r="I34" s="53" t="s">
        <v>861</v>
      </c>
      <c r="J34" s="53" t="s">
        <v>862</v>
      </c>
      <c r="K34" s="53" t="s">
        <v>29</v>
      </c>
      <c r="L34" s="53" t="s">
        <v>31</v>
      </c>
      <c r="M34" s="53" t="s">
        <v>740</v>
      </c>
      <c r="N34" s="53" t="s">
        <v>922</v>
      </c>
      <c r="O34" s="54">
        <v>1</v>
      </c>
      <c r="P34" s="54">
        <v>0</v>
      </c>
      <c r="Q34" s="54">
        <v>0</v>
      </c>
      <c r="R34" s="54">
        <v>1</v>
      </c>
      <c r="S34" s="54">
        <v>100</v>
      </c>
      <c r="T34" s="54">
        <v>0</v>
      </c>
      <c r="U34" s="54">
        <v>0</v>
      </c>
      <c r="V34" s="54">
        <v>100</v>
      </c>
      <c r="W34" s="54">
        <v>100</v>
      </c>
      <c r="X34" s="54">
        <v>0</v>
      </c>
      <c r="Y34" s="54">
        <v>0</v>
      </c>
      <c r="Z34" s="54">
        <v>30</v>
      </c>
      <c r="AA34" s="54">
        <v>0</v>
      </c>
      <c r="AB34" s="54">
        <v>0</v>
      </c>
      <c r="AC34" s="54">
        <v>70</v>
      </c>
      <c r="AD34" s="53" t="s">
        <v>864</v>
      </c>
    </row>
    <row r="35" spans="1:30">
      <c r="A35" s="53" t="s">
        <v>854</v>
      </c>
      <c r="B35" s="53" t="s">
        <v>855</v>
      </c>
      <c r="C35" s="53" t="s">
        <v>856</v>
      </c>
      <c r="D35" s="53" t="s">
        <v>919</v>
      </c>
      <c r="E35" s="53" t="s">
        <v>108</v>
      </c>
      <c r="F35" s="53" t="s">
        <v>931</v>
      </c>
      <c r="G35" s="53" t="s">
        <v>932</v>
      </c>
      <c r="H35" s="53" t="s">
        <v>933</v>
      </c>
      <c r="I35" s="53" t="s">
        <v>861</v>
      </c>
      <c r="J35" s="53" t="s">
        <v>862</v>
      </c>
      <c r="K35" s="53" t="s">
        <v>29</v>
      </c>
      <c r="L35" s="53" t="s">
        <v>31</v>
      </c>
      <c r="M35" s="53" t="s">
        <v>740</v>
      </c>
      <c r="N35" s="53" t="s">
        <v>922</v>
      </c>
      <c r="O35" s="54">
        <v>1</v>
      </c>
      <c r="P35" s="54">
        <v>0</v>
      </c>
      <c r="Q35" s="54">
        <v>0</v>
      </c>
      <c r="R35" s="54">
        <v>1</v>
      </c>
      <c r="S35" s="54">
        <v>100</v>
      </c>
      <c r="T35" s="54">
        <v>0</v>
      </c>
      <c r="U35" s="54">
        <v>0</v>
      </c>
      <c r="V35" s="54">
        <v>100</v>
      </c>
      <c r="W35" s="54">
        <v>100</v>
      </c>
      <c r="X35" s="54">
        <v>0</v>
      </c>
      <c r="Y35" s="54">
        <v>0</v>
      </c>
      <c r="Z35" s="54">
        <v>30</v>
      </c>
      <c r="AA35" s="54">
        <v>0</v>
      </c>
      <c r="AB35" s="54">
        <v>0</v>
      </c>
      <c r="AC35" s="54">
        <v>70</v>
      </c>
      <c r="AD35" s="53" t="s">
        <v>864</v>
      </c>
    </row>
    <row r="36" spans="1:30">
      <c r="A36" s="53" t="s">
        <v>854</v>
      </c>
      <c r="B36" s="53" t="s">
        <v>855</v>
      </c>
      <c r="C36" s="53" t="s">
        <v>856</v>
      </c>
      <c r="D36" s="53" t="s">
        <v>919</v>
      </c>
      <c r="E36" s="53" t="s">
        <v>108</v>
      </c>
      <c r="F36" s="53" t="s">
        <v>934</v>
      </c>
      <c r="G36" s="53" t="s">
        <v>935</v>
      </c>
      <c r="H36" s="53" t="s">
        <v>936</v>
      </c>
      <c r="I36" s="53" t="s">
        <v>861</v>
      </c>
      <c r="J36" s="53" t="s">
        <v>862</v>
      </c>
      <c r="K36" s="53" t="s">
        <v>29</v>
      </c>
      <c r="L36" s="53" t="s">
        <v>31</v>
      </c>
      <c r="M36" s="53" t="s">
        <v>740</v>
      </c>
      <c r="N36" s="53" t="s">
        <v>922</v>
      </c>
      <c r="O36" s="54">
        <v>1</v>
      </c>
      <c r="P36" s="54">
        <v>0</v>
      </c>
      <c r="Q36" s="54">
        <v>0</v>
      </c>
      <c r="R36" s="54">
        <v>1</v>
      </c>
      <c r="S36" s="54">
        <v>100</v>
      </c>
      <c r="T36" s="54">
        <v>0</v>
      </c>
      <c r="U36" s="54">
        <v>0</v>
      </c>
      <c r="V36" s="54">
        <v>100</v>
      </c>
      <c r="W36" s="54">
        <v>100</v>
      </c>
      <c r="X36" s="54">
        <v>0</v>
      </c>
      <c r="Y36" s="54">
        <v>0</v>
      </c>
      <c r="Z36" s="54">
        <v>30</v>
      </c>
      <c r="AA36" s="54">
        <v>0</v>
      </c>
      <c r="AB36" s="54">
        <v>0</v>
      </c>
      <c r="AC36" s="54">
        <v>70</v>
      </c>
      <c r="AD36" s="53" t="s">
        <v>864</v>
      </c>
    </row>
    <row r="37" spans="1:30">
      <c r="A37" s="53" t="s">
        <v>854</v>
      </c>
      <c r="B37" s="53" t="s">
        <v>855</v>
      </c>
      <c r="C37" s="53" t="s">
        <v>856</v>
      </c>
      <c r="D37" s="53" t="s">
        <v>919</v>
      </c>
      <c r="E37" s="53" t="s">
        <v>108</v>
      </c>
      <c r="F37" s="53" t="s">
        <v>937</v>
      </c>
      <c r="G37" s="53" t="s">
        <v>938</v>
      </c>
      <c r="H37" s="53" t="s">
        <v>939</v>
      </c>
      <c r="I37" s="53" t="s">
        <v>861</v>
      </c>
      <c r="J37" s="53" t="s">
        <v>862</v>
      </c>
      <c r="K37" s="53" t="s">
        <v>29</v>
      </c>
      <c r="L37" s="53" t="s">
        <v>31</v>
      </c>
      <c r="M37" s="53" t="s">
        <v>740</v>
      </c>
      <c r="N37" s="53" t="s">
        <v>922</v>
      </c>
      <c r="O37" s="54">
        <v>1</v>
      </c>
      <c r="P37" s="54">
        <v>0</v>
      </c>
      <c r="Q37" s="54">
        <v>0</v>
      </c>
      <c r="R37" s="54">
        <v>1</v>
      </c>
      <c r="S37" s="54">
        <v>100</v>
      </c>
      <c r="T37" s="54">
        <v>0</v>
      </c>
      <c r="U37" s="54">
        <v>0</v>
      </c>
      <c r="V37" s="54">
        <v>100</v>
      </c>
      <c r="W37" s="54">
        <v>100</v>
      </c>
      <c r="X37" s="54">
        <v>0</v>
      </c>
      <c r="Y37" s="54">
        <v>0</v>
      </c>
      <c r="Z37" s="54">
        <v>30</v>
      </c>
      <c r="AA37" s="54">
        <v>0</v>
      </c>
      <c r="AB37" s="54">
        <v>0</v>
      </c>
      <c r="AC37" s="54">
        <v>70</v>
      </c>
      <c r="AD37" s="53" t="s">
        <v>864</v>
      </c>
    </row>
    <row r="38" spans="1:30">
      <c r="A38" s="53" t="s">
        <v>854</v>
      </c>
      <c r="B38" s="53" t="s">
        <v>855</v>
      </c>
      <c r="C38" s="53" t="s">
        <v>856</v>
      </c>
      <c r="D38" s="53" t="s">
        <v>919</v>
      </c>
      <c r="E38" s="53" t="s">
        <v>108</v>
      </c>
      <c r="F38" s="53" t="s">
        <v>940</v>
      </c>
      <c r="G38" s="53" t="s">
        <v>326</v>
      </c>
      <c r="H38" s="53" t="s">
        <v>941</v>
      </c>
      <c r="I38" s="53" t="s">
        <v>861</v>
      </c>
      <c r="J38" s="53" t="s">
        <v>862</v>
      </c>
      <c r="K38" s="53" t="s">
        <v>29</v>
      </c>
      <c r="L38" s="53" t="s">
        <v>31</v>
      </c>
      <c r="M38" s="53" t="s">
        <v>740</v>
      </c>
      <c r="N38" s="53" t="s">
        <v>922</v>
      </c>
      <c r="O38" s="54">
        <v>1</v>
      </c>
      <c r="P38" s="54">
        <v>0</v>
      </c>
      <c r="Q38" s="54">
        <v>0</v>
      </c>
      <c r="R38" s="54">
        <v>1</v>
      </c>
      <c r="S38" s="54">
        <v>100</v>
      </c>
      <c r="T38" s="54">
        <v>0</v>
      </c>
      <c r="U38" s="54">
        <v>0</v>
      </c>
      <c r="V38" s="54">
        <v>100</v>
      </c>
      <c r="W38" s="54">
        <v>95</v>
      </c>
      <c r="X38" s="54">
        <v>0</v>
      </c>
      <c r="Y38" s="54">
        <v>5</v>
      </c>
      <c r="Z38" s="54">
        <v>28.5</v>
      </c>
      <c r="AA38" s="54">
        <v>1.5</v>
      </c>
      <c r="AB38" s="54">
        <v>0</v>
      </c>
      <c r="AC38" s="54">
        <v>70</v>
      </c>
      <c r="AD38" s="53" t="s">
        <v>864</v>
      </c>
    </row>
    <row r="39" spans="1:30">
      <c r="A39" s="53" t="s">
        <v>854</v>
      </c>
      <c r="B39" s="53" t="s">
        <v>855</v>
      </c>
      <c r="C39" s="53" t="s">
        <v>856</v>
      </c>
      <c r="D39" s="53" t="s">
        <v>919</v>
      </c>
      <c r="E39" s="53" t="s">
        <v>108</v>
      </c>
      <c r="F39" s="53" t="s">
        <v>942</v>
      </c>
      <c r="G39" s="53" t="s">
        <v>329</v>
      </c>
      <c r="H39" s="53" t="s">
        <v>943</v>
      </c>
      <c r="I39" s="53" t="s">
        <v>861</v>
      </c>
      <c r="J39" s="53" t="s">
        <v>862</v>
      </c>
      <c r="K39" s="53" t="s">
        <v>29</v>
      </c>
      <c r="L39" s="53" t="s">
        <v>31</v>
      </c>
      <c r="M39" s="53" t="s">
        <v>740</v>
      </c>
      <c r="N39" s="53" t="s">
        <v>922</v>
      </c>
      <c r="O39" s="54">
        <v>1</v>
      </c>
      <c r="P39" s="54">
        <v>0</v>
      </c>
      <c r="Q39" s="54">
        <v>0</v>
      </c>
      <c r="R39" s="54">
        <v>1</v>
      </c>
      <c r="S39" s="54">
        <v>100</v>
      </c>
      <c r="T39" s="54">
        <v>0</v>
      </c>
      <c r="U39" s="54">
        <v>0</v>
      </c>
      <c r="V39" s="54">
        <v>100</v>
      </c>
      <c r="W39" s="54">
        <v>0</v>
      </c>
      <c r="X39" s="54">
        <v>0</v>
      </c>
      <c r="Y39" s="54">
        <v>100</v>
      </c>
      <c r="Z39" s="54">
        <v>0</v>
      </c>
      <c r="AA39" s="54">
        <v>30</v>
      </c>
      <c r="AB39" s="54">
        <v>0</v>
      </c>
      <c r="AC39" s="54">
        <v>70</v>
      </c>
      <c r="AD39" s="53" t="s">
        <v>864</v>
      </c>
    </row>
    <row r="40" spans="1:30">
      <c r="A40" s="53" t="s">
        <v>854</v>
      </c>
      <c r="B40" s="53" t="s">
        <v>855</v>
      </c>
      <c r="C40" s="53" t="s">
        <v>856</v>
      </c>
      <c r="D40" s="53" t="s">
        <v>919</v>
      </c>
      <c r="E40" s="53" t="s">
        <v>108</v>
      </c>
      <c r="F40" s="53" t="s">
        <v>944</v>
      </c>
      <c r="G40" s="53" t="s">
        <v>261</v>
      </c>
      <c r="H40" s="53" t="s">
        <v>945</v>
      </c>
      <c r="I40" s="53" t="s">
        <v>861</v>
      </c>
      <c r="J40" s="53" t="s">
        <v>862</v>
      </c>
      <c r="K40" s="53" t="s">
        <v>29</v>
      </c>
      <c r="L40" s="53" t="s">
        <v>31</v>
      </c>
      <c r="M40" s="53" t="s">
        <v>740</v>
      </c>
      <c r="N40" s="53" t="s">
        <v>922</v>
      </c>
      <c r="O40" s="54">
        <v>1</v>
      </c>
      <c r="P40" s="54">
        <v>0</v>
      </c>
      <c r="Q40" s="54">
        <v>0</v>
      </c>
      <c r="R40" s="54">
        <v>1</v>
      </c>
      <c r="S40" s="54">
        <v>100</v>
      </c>
      <c r="T40" s="54">
        <v>0</v>
      </c>
      <c r="U40" s="54">
        <v>0</v>
      </c>
      <c r="V40" s="54">
        <v>100</v>
      </c>
      <c r="W40" s="54">
        <v>0</v>
      </c>
      <c r="X40" s="54">
        <v>0</v>
      </c>
      <c r="Y40" s="54">
        <v>100</v>
      </c>
      <c r="Z40" s="54">
        <v>0</v>
      </c>
      <c r="AA40" s="54">
        <v>30</v>
      </c>
      <c r="AB40" s="54">
        <v>0</v>
      </c>
      <c r="AC40" s="54">
        <v>70</v>
      </c>
      <c r="AD40" s="53" t="s">
        <v>864</v>
      </c>
    </row>
    <row r="41" spans="1:30">
      <c r="A41" s="53" t="s">
        <v>854</v>
      </c>
      <c r="B41" s="53" t="s">
        <v>855</v>
      </c>
      <c r="C41" s="53" t="s">
        <v>856</v>
      </c>
      <c r="D41" s="53" t="s">
        <v>919</v>
      </c>
      <c r="E41" s="53" t="s">
        <v>108</v>
      </c>
      <c r="F41" s="53" t="s">
        <v>946</v>
      </c>
      <c r="G41" s="53" t="s">
        <v>266</v>
      </c>
      <c r="H41" s="53" t="s">
        <v>947</v>
      </c>
      <c r="I41" s="53" t="s">
        <v>861</v>
      </c>
      <c r="J41" s="53" t="s">
        <v>862</v>
      </c>
      <c r="K41" s="53" t="s">
        <v>29</v>
      </c>
      <c r="L41" s="53" t="s">
        <v>31</v>
      </c>
      <c r="M41" s="53" t="s">
        <v>740</v>
      </c>
      <c r="N41" s="53" t="s">
        <v>922</v>
      </c>
      <c r="O41" s="54">
        <v>1</v>
      </c>
      <c r="P41" s="54">
        <v>0</v>
      </c>
      <c r="Q41" s="54">
        <v>0</v>
      </c>
      <c r="R41" s="54">
        <v>1</v>
      </c>
      <c r="S41" s="54">
        <v>100</v>
      </c>
      <c r="T41" s="54">
        <v>0</v>
      </c>
      <c r="U41" s="54">
        <v>0</v>
      </c>
      <c r="V41" s="54">
        <v>100</v>
      </c>
      <c r="W41" s="54">
        <v>100</v>
      </c>
      <c r="X41" s="54">
        <v>0</v>
      </c>
      <c r="Y41" s="54">
        <v>0</v>
      </c>
      <c r="Z41" s="54">
        <v>30</v>
      </c>
      <c r="AA41" s="54">
        <v>0</v>
      </c>
      <c r="AB41" s="54">
        <v>0</v>
      </c>
      <c r="AC41" s="54">
        <v>70</v>
      </c>
      <c r="AD41" s="53" t="s">
        <v>864</v>
      </c>
    </row>
    <row r="42" spans="1:30">
      <c r="A42" s="53" t="s">
        <v>854</v>
      </c>
      <c r="B42" s="53" t="s">
        <v>855</v>
      </c>
      <c r="C42" s="53" t="s">
        <v>856</v>
      </c>
      <c r="D42" s="53" t="s">
        <v>919</v>
      </c>
      <c r="E42" s="53" t="s">
        <v>108</v>
      </c>
      <c r="F42" s="53" t="s">
        <v>948</v>
      </c>
      <c r="G42" s="53" t="s">
        <v>268</v>
      </c>
      <c r="H42" s="53" t="s">
        <v>949</v>
      </c>
      <c r="I42" s="53" t="s">
        <v>861</v>
      </c>
      <c r="J42" s="53" t="s">
        <v>862</v>
      </c>
      <c r="K42" s="53" t="s">
        <v>29</v>
      </c>
      <c r="L42" s="53" t="s">
        <v>31</v>
      </c>
      <c r="M42" s="53" t="s">
        <v>740</v>
      </c>
      <c r="N42" s="53" t="s">
        <v>922</v>
      </c>
      <c r="O42" s="54">
        <v>1</v>
      </c>
      <c r="P42" s="54">
        <v>0</v>
      </c>
      <c r="Q42" s="54">
        <v>0</v>
      </c>
      <c r="R42" s="54">
        <v>1</v>
      </c>
      <c r="S42" s="54">
        <v>100</v>
      </c>
      <c r="T42" s="54">
        <v>0</v>
      </c>
      <c r="U42" s="54">
        <v>0</v>
      </c>
      <c r="V42" s="54">
        <v>100</v>
      </c>
      <c r="W42" s="54">
        <v>100</v>
      </c>
      <c r="X42" s="54">
        <v>0</v>
      </c>
      <c r="Y42" s="54">
        <v>0</v>
      </c>
      <c r="Z42" s="54">
        <v>30</v>
      </c>
      <c r="AA42" s="54">
        <v>0</v>
      </c>
      <c r="AB42" s="54">
        <v>0</v>
      </c>
      <c r="AC42" s="54">
        <v>70</v>
      </c>
      <c r="AD42" s="53" t="s">
        <v>864</v>
      </c>
    </row>
    <row r="43" spans="1:30">
      <c r="A43" s="53" t="s">
        <v>854</v>
      </c>
      <c r="B43" s="53" t="s">
        <v>855</v>
      </c>
      <c r="C43" s="53" t="s">
        <v>856</v>
      </c>
      <c r="D43" s="53" t="s">
        <v>919</v>
      </c>
      <c r="E43" s="53" t="s">
        <v>108</v>
      </c>
      <c r="F43" s="53" t="s">
        <v>950</v>
      </c>
      <c r="G43" s="53" t="s">
        <v>272</v>
      </c>
      <c r="H43" s="53" t="s">
        <v>951</v>
      </c>
      <c r="I43" s="53" t="s">
        <v>861</v>
      </c>
      <c r="J43" s="53" t="s">
        <v>862</v>
      </c>
      <c r="K43" s="53" t="s">
        <v>29</v>
      </c>
      <c r="L43" s="53" t="s">
        <v>31</v>
      </c>
      <c r="M43" s="53" t="s">
        <v>740</v>
      </c>
      <c r="N43" s="53" t="s">
        <v>922</v>
      </c>
      <c r="O43" s="54">
        <v>1</v>
      </c>
      <c r="P43" s="54">
        <v>0</v>
      </c>
      <c r="Q43" s="54">
        <v>0</v>
      </c>
      <c r="R43" s="54">
        <v>1</v>
      </c>
      <c r="S43" s="54">
        <v>100</v>
      </c>
      <c r="T43" s="54">
        <v>0</v>
      </c>
      <c r="U43" s="54">
        <v>0</v>
      </c>
      <c r="V43" s="54">
        <v>100</v>
      </c>
      <c r="W43" s="54">
        <v>100</v>
      </c>
      <c r="X43" s="54">
        <v>0</v>
      </c>
      <c r="Y43" s="54">
        <v>0</v>
      </c>
      <c r="Z43" s="54">
        <v>30</v>
      </c>
      <c r="AA43" s="54">
        <v>0</v>
      </c>
      <c r="AB43" s="54">
        <v>0</v>
      </c>
      <c r="AC43" s="54">
        <v>70</v>
      </c>
      <c r="AD43" s="53" t="s">
        <v>864</v>
      </c>
    </row>
    <row r="44" spans="1:30">
      <c r="A44" s="53" t="s">
        <v>854</v>
      </c>
      <c r="B44" s="53" t="s">
        <v>855</v>
      </c>
      <c r="C44" s="53" t="s">
        <v>856</v>
      </c>
      <c r="D44" s="53" t="s">
        <v>919</v>
      </c>
      <c r="E44" s="53" t="s">
        <v>108</v>
      </c>
      <c r="F44" s="53" t="s">
        <v>952</v>
      </c>
      <c r="G44" s="53" t="s">
        <v>274</v>
      </c>
      <c r="H44" s="53" t="s">
        <v>953</v>
      </c>
      <c r="I44" s="53" t="s">
        <v>861</v>
      </c>
      <c r="J44" s="53" t="s">
        <v>862</v>
      </c>
      <c r="K44" s="53" t="s">
        <v>29</v>
      </c>
      <c r="L44" s="53" t="s">
        <v>31</v>
      </c>
      <c r="M44" s="53" t="s">
        <v>740</v>
      </c>
      <c r="N44" s="53" t="s">
        <v>922</v>
      </c>
      <c r="O44" s="54">
        <v>1</v>
      </c>
      <c r="P44" s="54">
        <v>0</v>
      </c>
      <c r="Q44" s="54">
        <v>0</v>
      </c>
      <c r="R44" s="54">
        <v>1</v>
      </c>
      <c r="S44" s="54">
        <v>100</v>
      </c>
      <c r="T44" s="54">
        <v>0</v>
      </c>
      <c r="U44" s="54">
        <v>0</v>
      </c>
      <c r="V44" s="54">
        <v>100</v>
      </c>
      <c r="W44" s="54">
        <v>100</v>
      </c>
      <c r="X44" s="54">
        <v>0</v>
      </c>
      <c r="Y44" s="54">
        <v>0</v>
      </c>
      <c r="Z44" s="54">
        <v>30</v>
      </c>
      <c r="AA44" s="54">
        <v>0</v>
      </c>
      <c r="AB44" s="54">
        <v>0</v>
      </c>
      <c r="AC44" s="54">
        <v>70</v>
      </c>
      <c r="AD44" s="53" t="s">
        <v>864</v>
      </c>
    </row>
    <row r="45" spans="1:30">
      <c r="A45" s="53" t="s">
        <v>854</v>
      </c>
      <c r="B45" s="53" t="s">
        <v>855</v>
      </c>
      <c r="C45" s="53" t="s">
        <v>856</v>
      </c>
      <c r="D45" s="53" t="s">
        <v>919</v>
      </c>
      <c r="E45" s="53" t="s">
        <v>108</v>
      </c>
      <c r="F45" s="53" t="s">
        <v>954</v>
      </c>
      <c r="G45" s="53" t="s">
        <v>276</v>
      </c>
      <c r="H45" s="53" t="s">
        <v>955</v>
      </c>
      <c r="I45" s="53" t="s">
        <v>861</v>
      </c>
      <c r="J45" s="53" t="s">
        <v>862</v>
      </c>
      <c r="K45" s="53" t="s">
        <v>29</v>
      </c>
      <c r="L45" s="53" t="s">
        <v>31</v>
      </c>
      <c r="M45" s="53" t="s">
        <v>740</v>
      </c>
      <c r="N45" s="53" t="s">
        <v>922</v>
      </c>
      <c r="O45" s="54">
        <v>1</v>
      </c>
      <c r="P45" s="54">
        <v>0</v>
      </c>
      <c r="Q45" s="54">
        <v>0</v>
      </c>
      <c r="R45" s="54">
        <v>1</v>
      </c>
      <c r="S45" s="54">
        <v>100</v>
      </c>
      <c r="T45" s="54">
        <v>0</v>
      </c>
      <c r="U45" s="54">
        <v>0</v>
      </c>
      <c r="V45" s="54">
        <v>100</v>
      </c>
      <c r="W45" s="54">
        <v>100</v>
      </c>
      <c r="X45" s="54">
        <v>0</v>
      </c>
      <c r="Y45" s="54">
        <v>0</v>
      </c>
      <c r="Z45" s="54">
        <v>30</v>
      </c>
      <c r="AA45" s="54">
        <v>0</v>
      </c>
      <c r="AB45" s="54">
        <v>0</v>
      </c>
      <c r="AC45" s="54">
        <v>70</v>
      </c>
      <c r="AD45" s="53" t="s">
        <v>864</v>
      </c>
    </row>
    <row r="46" spans="1:30">
      <c r="A46" s="53" t="s">
        <v>854</v>
      </c>
      <c r="B46" s="53" t="s">
        <v>855</v>
      </c>
      <c r="C46" s="53" t="s">
        <v>856</v>
      </c>
      <c r="D46" s="53" t="s">
        <v>919</v>
      </c>
      <c r="E46" s="53" t="s">
        <v>108</v>
      </c>
      <c r="F46" s="53" t="s">
        <v>956</v>
      </c>
      <c r="G46" s="53" t="s">
        <v>278</v>
      </c>
      <c r="H46" s="53" t="s">
        <v>957</v>
      </c>
      <c r="I46" s="53" t="s">
        <v>861</v>
      </c>
      <c r="J46" s="53" t="s">
        <v>862</v>
      </c>
      <c r="K46" s="53" t="s">
        <v>29</v>
      </c>
      <c r="L46" s="53" t="s">
        <v>31</v>
      </c>
      <c r="M46" s="53" t="s">
        <v>740</v>
      </c>
      <c r="N46" s="53" t="s">
        <v>922</v>
      </c>
      <c r="O46" s="54">
        <v>1</v>
      </c>
      <c r="P46" s="54">
        <v>0</v>
      </c>
      <c r="Q46" s="54">
        <v>0</v>
      </c>
      <c r="R46" s="54">
        <v>1</v>
      </c>
      <c r="S46" s="54">
        <v>100</v>
      </c>
      <c r="T46" s="54">
        <v>0</v>
      </c>
      <c r="U46" s="54">
        <v>0</v>
      </c>
      <c r="V46" s="54">
        <v>100</v>
      </c>
      <c r="W46" s="54">
        <v>100</v>
      </c>
      <c r="X46" s="54">
        <v>0</v>
      </c>
      <c r="Y46" s="54">
        <v>0</v>
      </c>
      <c r="Z46" s="54">
        <v>30</v>
      </c>
      <c r="AA46" s="54">
        <v>0</v>
      </c>
      <c r="AB46" s="54">
        <v>0</v>
      </c>
      <c r="AC46" s="54">
        <v>70</v>
      </c>
      <c r="AD46" s="53" t="s">
        <v>864</v>
      </c>
    </row>
    <row r="47" spans="1:30">
      <c r="A47" s="53" t="s">
        <v>854</v>
      </c>
      <c r="B47" s="53" t="s">
        <v>855</v>
      </c>
      <c r="C47" s="53" t="s">
        <v>856</v>
      </c>
      <c r="D47" s="53" t="s">
        <v>919</v>
      </c>
      <c r="E47" s="53" t="s">
        <v>108</v>
      </c>
      <c r="F47" s="53" t="s">
        <v>958</v>
      </c>
      <c r="G47" s="53" t="s">
        <v>280</v>
      </c>
      <c r="H47" s="53" t="s">
        <v>959</v>
      </c>
      <c r="I47" s="53" t="s">
        <v>861</v>
      </c>
      <c r="J47" s="53" t="s">
        <v>862</v>
      </c>
      <c r="K47" s="53" t="s">
        <v>29</v>
      </c>
      <c r="L47" s="53" t="s">
        <v>31</v>
      </c>
      <c r="M47" s="53" t="s">
        <v>740</v>
      </c>
      <c r="N47" s="53" t="s">
        <v>922</v>
      </c>
      <c r="O47" s="54">
        <v>1</v>
      </c>
      <c r="P47" s="54">
        <v>0</v>
      </c>
      <c r="Q47" s="54">
        <v>0</v>
      </c>
      <c r="R47" s="54">
        <v>1</v>
      </c>
      <c r="S47" s="54">
        <v>100</v>
      </c>
      <c r="T47" s="54">
        <v>0</v>
      </c>
      <c r="U47" s="54">
        <v>0</v>
      </c>
      <c r="V47" s="54">
        <v>100</v>
      </c>
      <c r="W47" s="54">
        <v>100</v>
      </c>
      <c r="X47" s="54">
        <v>0</v>
      </c>
      <c r="Y47" s="54">
        <v>0</v>
      </c>
      <c r="Z47" s="54">
        <v>30</v>
      </c>
      <c r="AA47" s="54">
        <v>0</v>
      </c>
      <c r="AB47" s="54">
        <v>0</v>
      </c>
      <c r="AC47" s="54">
        <v>70</v>
      </c>
      <c r="AD47" s="53" t="s">
        <v>864</v>
      </c>
    </row>
    <row r="48" spans="1:30">
      <c r="A48" s="53" t="s">
        <v>854</v>
      </c>
      <c r="B48" s="53" t="s">
        <v>855</v>
      </c>
      <c r="C48" s="53" t="s">
        <v>856</v>
      </c>
      <c r="D48" s="53" t="s">
        <v>919</v>
      </c>
      <c r="E48" s="53" t="s">
        <v>108</v>
      </c>
      <c r="F48" s="53" t="s">
        <v>960</v>
      </c>
      <c r="G48" s="53" t="s">
        <v>282</v>
      </c>
      <c r="H48" s="53" t="s">
        <v>961</v>
      </c>
      <c r="I48" s="53" t="s">
        <v>861</v>
      </c>
      <c r="J48" s="53" t="s">
        <v>862</v>
      </c>
      <c r="K48" s="53" t="s">
        <v>29</v>
      </c>
      <c r="L48" s="53" t="s">
        <v>31</v>
      </c>
      <c r="M48" s="53" t="s">
        <v>740</v>
      </c>
      <c r="N48" s="53" t="s">
        <v>922</v>
      </c>
      <c r="O48" s="54">
        <v>1</v>
      </c>
      <c r="P48" s="54">
        <v>0</v>
      </c>
      <c r="Q48" s="54">
        <v>0</v>
      </c>
      <c r="R48" s="54">
        <v>1</v>
      </c>
      <c r="S48" s="54">
        <v>100</v>
      </c>
      <c r="T48" s="54">
        <v>0</v>
      </c>
      <c r="U48" s="54">
        <v>0</v>
      </c>
      <c r="V48" s="54">
        <v>100</v>
      </c>
      <c r="W48" s="54">
        <v>100</v>
      </c>
      <c r="X48" s="54">
        <v>0</v>
      </c>
      <c r="Y48" s="54">
        <v>0</v>
      </c>
      <c r="Z48" s="54">
        <v>30</v>
      </c>
      <c r="AA48" s="54">
        <v>0</v>
      </c>
      <c r="AB48" s="54">
        <v>0</v>
      </c>
      <c r="AC48" s="54">
        <v>70</v>
      </c>
      <c r="AD48" s="53" t="s">
        <v>864</v>
      </c>
    </row>
    <row r="49" spans="1:30">
      <c r="A49" s="53" t="s">
        <v>854</v>
      </c>
      <c r="B49" s="53" t="s">
        <v>855</v>
      </c>
      <c r="C49" s="53" t="s">
        <v>856</v>
      </c>
      <c r="D49" s="53" t="s">
        <v>919</v>
      </c>
      <c r="E49" s="53" t="s">
        <v>108</v>
      </c>
      <c r="F49" s="53" t="s">
        <v>962</v>
      </c>
      <c r="G49" s="53" t="s">
        <v>284</v>
      </c>
      <c r="H49" s="53" t="s">
        <v>963</v>
      </c>
      <c r="I49" s="53" t="s">
        <v>861</v>
      </c>
      <c r="J49" s="53" t="s">
        <v>862</v>
      </c>
      <c r="K49" s="53" t="s">
        <v>29</v>
      </c>
      <c r="L49" s="53" t="s">
        <v>31</v>
      </c>
      <c r="M49" s="53" t="s">
        <v>740</v>
      </c>
      <c r="N49" s="53" t="s">
        <v>922</v>
      </c>
      <c r="O49" s="54">
        <v>1</v>
      </c>
      <c r="P49" s="54">
        <v>0</v>
      </c>
      <c r="Q49" s="54">
        <v>0</v>
      </c>
      <c r="R49" s="54">
        <v>1</v>
      </c>
      <c r="S49" s="54">
        <v>100</v>
      </c>
      <c r="T49" s="54">
        <v>0</v>
      </c>
      <c r="U49" s="54">
        <v>0</v>
      </c>
      <c r="V49" s="54">
        <v>100</v>
      </c>
      <c r="W49" s="54">
        <v>100</v>
      </c>
      <c r="X49" s="54">
        <v>0</v>
      </c>
      <c r="Y49" s="54">
        <v>0</v>
      </c>
      <c r="Z49" s="54">
        <v>30</v>
      </c>
      <c r="AA49" s="54">
        <v>0</v>
      </c>
      <c r="AB49" s="54">
        <v>0</v>
      </c>
      <c r="AC49" s="54">
        <v>70</v>
      </c>
      <c r="AD49" s="53" t="s">
        <v>864</v>
      </c>
    </row>
    <row r="50" spans="1:30">
      <c r="A50" s="53" t="s">
        <v>854</v>
      </c>
      <c r="B50" s="53" t="s">
        <v>855</v>
      </c>
      <c r="C50" s="53" t="s">
        <v>856</v>
      </c>
      <c r="D50" s="53" t="s">
        <v>919</v>
      </c>
      <c r="E50" s="53" t="s">
        <v>108</v>
      </c>
      <c r="F50" s="53" t="s">
        <v>964</v>
      </c>
      <c r="G50" s="53" t="s">
        <v>286</v>
      </c>
      <c r="H50" s="53" t="s">
        <v>965</v>
      </c>
      <c r="I50" s="53" t="s">
        <v>861</v>
      </c>
      <c r="J50" s="53" t="s">
        <v>862</v>
      </c>
      <c r="K50" s="53" t="s">
        <v>29</v>
      </c>
      <c r="L50" s="53" t="s">
        <v>31</v>
      </c>
      <c r="M50" s="53" t="s">
        <v>740</v>
      </c>
      <c r="N50" s="53" t="s">
        <v>922</v>
      </c>
      <c r="O50" s="54">
        <v>1</v>
      </c>
      <c r="P50" s="54">
        <v>0</v>
      </c>
      <c r="Q50" s="54">
        <v>0</v>
      </c>
      <c r="R50" s="54">
        <v>1</v>
      </c>
      <c r="S50" s="54">
        <v>100</v>
      </c>
      <c r="T50" s="54">
        <v>0</v>
      </c>
      <c r="U50" s="54">
        <v>0</v>
      </c>
      <c r="V50" s="54">
        <v>100</v>
      </c>
      <c r="W50" s="54">
        <v>100</v>
      </c>
      <c r="X50" s="54">
        <v>0</v>
      </c>
      <c r="Y50" s="54">
        <v>0</v>
      </c>
      <c r="Z50" s="54">
        <v>30</v>
      </c>
      <c r="AA50" s="54">
        <v>0</v>
      </c>
      <c r="AB50" s="54">
        <v>0</v>
      </c>
      <c r="AC50" s="54">
        <v>70</v>
      </c>
      <c r="AD50" s="53" t="s">
        <v>864</v>
      </c>
    </row>
    <row r="51" spans="1:30">
      <c r="A51" s="53" t="s">
        <v>854</v>
      </c>
      <c r="B51" s="53" t="s">
        <v>855</v>
      </c>
      <c r="C51" s="53" t="s">
        <v>856</v>
      </c>
      <c r="D51" s="53" t="s">
        <v>919</v>
      </c>
      <c r="E51" s="53" t="s">
        <v>108</v>
      </c>
      <c r="F51" s="53" t="s">
        <v>966</v>
      </c>
      <c r="G51" s="53" t="s">
        <v>290</v>
      </c>
      <c r="H51" s="53" t="s">
        <v>967</v>
      </c>
      <c r="I51" s="53" t="s">
        <v>861</v>
      </c>
      <c r="J51" s="53" t="s">
        <v>862</v>
      </c>
      <c r="K51" s="53" t="s">
        <v>29</v>
      </c>
      <c r="L51" s="53" t="s">
        <v>31</v>
      </c>
      <c r="M51" s="53" t="s">
        <v>740</v>
      </c>
      <c r="N51" s="53" t="s">
        <v>922</v>
      </c>
      <c r="O51" s="54">
        <v>1</v>
      </c>
      <c r="P51" s="54">
        <v>0</v>
      </c>
      <c r="Q51" s="54">
        <v>0</v>
      </c>
      <c r="R51" s="54">
        <v>1</v>
      </c>
      <c r="S51" s="54">
        <v>100</v>
      </c>
      <c r="T51" s="54">
        <v>0</v>
      </c>
      <c r="U51" s="54">
        <v>0</v>
      </c>
      <c r="V51" s="54">
        <v>100</v>
      </c>
      <c r="W51" s="54">
        <v>100</v>
      </c>
      <c r="X51" s="54">
        <v>0</v>
      </c>
      <c r="Y51" s="54">
        <v>0</v>
      </c>
      <c r="Z51" s="54">
        <v>30</v>
      </c>
      <c r="AA51" s="54">
        <v>0</v>
      </c>
      <c r="AB51" s="54">
        <v>0</v>
      </c>
      <c r="AC51" s="54">
        <v>70</v>
      </c>
      <c r="AD51" s="53" t="s">
        <v>864</v>
      </c>
    </row>
    <row r="52" spans="1:30">
      <c r="A52" s="53" t="s">
        <v>854</v>
      </c>
      <c r="B52" s="53" t="s">
        <v>855</v>
      </c>
      <c r="C52" s="53" t="s">
        <v>856</v>
      </c>
      <c r="D52" s="53" t="s">
        <v>919</v>
      </c>
      <c r="E52" s="53" t="s">
        <v>108</v>
      </c>
      <c r="F52" s="53" t="s">
        <v>968</v>
      </c>
      <c r="G52" s="53" t="s">
        <v>292</v>
      </c>
      <c r="H52" s="53" t="s">
        <v>969</v>
      </c>
      <c r="I52" s="53" t="s">
        <v>861</v>
      </c>
      <c r="J52" s="53" t="s">
        <v>862</v>
      </c>
      <c r="K52" s="53" t="s">
        <v>29</v>
      </c>
      <c r="L52" s="53" t="s">
        <v>31</v>
      </c>
      <c r="M52" s="53" t="s">
        <v>740</v>
      </c>
      <c r="N52" s="53" t="s">
        <v>922</v>
      </c>
      <c r="O52" s="54">
        <v>1</v>
      </c>
      <c r="P52" s="54">
        <v>0</v>
      </c>
      <c r="Q52" s="54">
        <v>0</v>
      </c>
      <c r="R52" s="54">
        <v>1</v>
      </c>
      <c r="S52" s="54">
        <v>100</v>
      </c>
      <c r="T52" s="54">
        <v>0</v>
      </c>
      <c r="U52" s="54">
        <v>0</v>
      </c>
      <c r="V52" s="54">
        <v>100</v>
      </c>
      <c r="W52" s="54">
        <v>100</v>
      </c>
      <c r="X52" s="54">
        <v>0</v>
      </c>
      <c r="Y52" s="54">
        <v>0</v>
      </c>
      <c r="Z52" s="54">
        <v>30</v>
      </c>
      <c r="AA52" s="54">
        <v>0</v>
      </c>
      <c r="AB52" s="54">
        <v>0</v>
      </c>
      <c r="AC52" s="54">
        <v>70</v>
      </c>
      <c r="AD52" s="53" t="s">
        <v>864</v>
      </c>
    </row>
    <row r="53" spans="1:30">
      <c r="A53" s="53" t="s">
        <v>854</v>
      </c>
      <c r="B53" s="53" t="s">
        <v>855</v>
      </c>
      <c r="C53" s="53" t="s">
        <v>856</v>
      </c>
      <c r="D53" s="53" t="s">
        <v>919</v>
      </c>
      <c r="E53" s="53" t="s">
        <v>108</v>
      </c>
      <c r="F53" s="53" t="s">
        <v>970</v>
      </c>
      <c r="G53" s="53" t="s">
        <v>294</v>
      </c>
      <c r="H53" s="53" t="s">
        <v>971</v>
      </c>
      <c r="I53" s="53" t="s">
        <v>861</v>
      </c>
      <c r="J53" s="53" t="s">
        <v>862</v>
      </c>
      <c r="K53" s="53" t="s">
        <v>29</v>
      </c>
      <c r="L53" s="53" t="s">
        <v>31</v>
      </c>
      <c r="M53" s="53" t="s">
        <v>740</v>
      </c>
      <c r="N53" s="53" t="s">
        <v>922</v>
      </c>
      <c r="O53" s="54">
        <v>1</v>
      </c>
      <c r="P53" s="54">
        <v>0</v>
      </c>
      <c r="Q53" s="54">
        <v>0</v>
      </c>
      <c r="R53" s="54">
        <v>1</v>
      </c>
      <c r="S53" s="54">
        <v>100</v>
      </c>
      <c r="T53" s="54">
        <v>0</v>
      </c>
      <c r="U53" s="54">
        <v>0</v>
      </c>
      <c r="V53" s="54">
        <v>100</v>
      </c>
      <c r="W53" s="54">
        <v>100</v>
      </c>
      <c r="X53" s="54">
        <v>0</v>
      </c>
      <c r="Y53" s="54">
        <v>0</v>
      </c>
      <c r="Z53" s="54">
        <v>30</v>
      </c>
      <c r="AA53" s="54">
        <v>0</v>
      </c>
      <c r="AB53" s="54">
        <v>0</v>
      </c>
      <c r="AC53" s="54">
        <v>70</v>
      </c>
      <c r="AD53" s="53" t="s">
        <v>864</v>
      </c>
    </row>
    <row r="54" spans="1:30">
      <c r="A54" s="53" t="s">
        <v>854</v>
      </c>
      <c r="B54" s="53" t="s">
        <v>855</v>
      </c>
      <c r="C54" s="53" t="s">
        <v>856</v>
      </c>
      <c r="D54" s="53" t="s">
        <v>919</v>
      </c>
      <c r="E54" s="53" t="s">
        <v>108</v>
      </c>
      <c r="F54" s="53" t="s">
        <v>972</v>
      </c>
      <c r="G54" s="53" t="s">
        <v>296</v>
      </c>
      <c r="H54" s="53" t="s">
        <v>973</v>
      </c>
      <c r="I54" s="53" t="s">
        <v>861</v>
      </c>
      <c r="J54" s="53" t="s">
        <v>862</v>
      </c>
      <c r="K54" s="53" t="s">
        <v>29</v>
      </c>
      <c r="L54" s="53" t="s">
        <v>31</v>
      </c>
      <c r="M54" s="53" t="s">
        <v>740</v>
      </c>
      <c r="N54" s="53" t="s">
        <v>922</v>
      </c>
      <c r="O54" s="54">
        <v>1</v>
      </c>
      <c r="P54" s="54">
        <v>0</v>
      </c>
      <c r="Q54" s="54">
        <v>0</v>
      </c>
      <c r="R54" s="54">
        <v>1</v>
      </c>
      <c r="S54" s="54">
        <v>100</v>
      </c>
      <c r="T54" s="54">
        <v>0</v>
      </c>
      <c r="U54" s="54">
        <v>0</v>
      </c>
      <c r="V54" s="54">
        <v>100</v>
      </c>
      <c r="W54" s="54">
        <v>100</v>
      </c>
      <c r="X54" s="54">
        <v>0</v>
      </c>
      <c r="Y54" s="54">
        <v>0</v>
      </c>
      <c r="Z54" s="54">
        <v>30</v>
      </c>
      <c r="AA54" s="54">
        <v>0</v>
      </c>
      <c r="AB54" s="54">
        <v>0</v>
      </c>
      <c r="AC54" s="54">
        <v>70</v>
      </c>
      <c r="AD54" s="53" t="s">
        <v>864</v>
      </c>
    </row>
    <row r="55" spans="1:30">
      <c r="A55" s="53" t="s">
        <v>854</v>
      </c>
      <c r="B55" s="53" t="s">
        <v>855</v>
      </c>
      <c r="C55" s="53" t="s">
        <v>856</v>
      </c>
      <c r="D55" s="53" t="s">
        <v>919</v>
      </c>
      <c r="E55" s="53" t="s">
        <v>108</v>
      </c>
      <c r="F55" s="53" t="s">
        <v>974</v>
      </c>
      <c r="G55" s="53" t="s">
        <v>298</v>
      </c>
      <c r="H55" s="53" t="s">
        <v>975</v>
      </c>
      <c r="I55" s="53" t="s">
        <v>861</v>
      </c>
      <c r="J55" s="53" t="s">
        <v>862</v>
      </c>
      <c r="K55" s="53" t="s">
        <v>29</v>
      </c>
      <c r="L55" s="53" t="s">
        <v>31</v>
      </c>
      <c r="M55" s="53" t="s">
        <v>740</v>
      </c>
      <c r="N55" s="53" t="s">
        <v>922</v>
      </c>
      <c r="O55" s="54">
        <v>1</v>
      </c>
      <c r="P55" s="54">
        <v>0</v>
      </c>
      <c r="Q55" s="54">
        <v>0</v>
      </c>
      <c r="R55" s="54">
        <v>1</v>
      </c>
      <c r="S55" s="54">
        <v>100</v>
      </c>
      <c r="T55" s="54">
        <v>0</v>
      </c>
      <c r="U55" s="54">
        <v>0</v>
      </c>
      <c r="V55" s="54">
        <v>100</v>
      </c>
      <c r="W55" s="54">
        <v>100</v>
      </c>
      <c r="X55" s="54">
        <v>0</v>
      </c>
      <c r="Y55" s="54">
        <v>0</v>
      </c>
      <c r="Z55" s="54">
        <v>30</v>
      </c>
      <c r="AA55" s="54">
        <v>0</v>
      </c>
      <c r="AB55" s="54">
        <v>0</v>
      </c>
      <c r="AC55" s="54">
        <v>70</v>
      </c>
      <c r="AD55" s="53" t="s">
        <v>864</v>
      </c>
    </row>
    <row r="56" spans="1:30">
      <c r="A56" s="53" t="s">
        <v>854</v>
      </c>
      <c r="B56" s="53" t="s">
        <v>855</v>
      </c>
      <c r="C56" s="53" t="s">
        <v>856</v>
      </c>
      <c r="D56" s="53" t="s">
        <v>919</v>
      </c>
      <c r="E56" s="53" t="s">
        <v>108</v>
      </c>
      <c r="F56" s="53" t="s">
        <v>976</v>
      </c>
      <c r="G56" s="53" t="s">
        <v>300</v>
      </c>
      <c r="H56" s="53" t="s">
        <v>977</v>
      </c>
      <c r="I56" s="53" t="s">
        <v>861</v>
      </c>
      <c r="J56" s="53" t="s">
        <v>862</v>
      </c>
      <c r="K56" s="53" t="s">
        <v>29</v>
      </c>
      <c r="L56" s="53" t="s">
        <v>31</v>
      </c>
      <c r="M56" s="53" t="s">
        <v>740</v>
      </c>
      <c r="N56" s="53" t="s">
        <v>922</v>
      </c>
      <c r="O56" s="54">
        <v>1</v>
      </c>
      <c r="P56" s="54">
        <v>0</v>
      </c>
      <c r="Q56" s="54">
        <v>0</v>
      </c>
      <c r="R56" s="54">
        <v>1</v>
      </c>
      <c r="S56" s="54">
        <v>100</v>
      </c>
      <c r="T56" s="54">
        <v>0</v>
      </c>
      <c r="U56" s="54">
        <v>0</v>
      </c>
      <c r="V56" s="54">
        <v>100</v>
      </c>
      <c r="W56" s="54">
        <v>100</v>
      </c>
      <c r="X56" s="54">
        <v>0</v>
      </c>
      <c r="Y56" s="54">
        <v>0</v>
      </c>
      <c r="Z56" s="54">
        <v>30</v>
      </c>
      <c r="AA56" s="54">
        <v>0</v>
      </c>
      <c r="AB56" s="54">
        <v>0</v>
      </c>
      <c r="AC56" s="54">
        <v>70</v>
      </c>
      <c r="AD56" s="53" t="s">
        <v>864</v>
      </c>
    </row>
    <row r="57" spans="1:30">
      <c r="A57" s="53" t="s">
        <v>854</v>
      </c>
      <c r="B57" s="53" t="s">
        <v>855</v>
      </c>
      <c r="C57" s="53" t="s">
        <v>856</v>
      </c>
      <c r="D57" s="53" t="s">
        <v>919</v>
      </c>
      <c r="E57" s="53" t="s">
        <v>108</v>
      </c>
      <c r="F57" s="53" t="s">
        <v>978</v>
      </c>
      <c r="G57" s="53" t="s">
        <v>304</v>
      </c>
      <c r="H57" s="53" t="s">
        <v>979</v>
      </c>
      <c r="I57" s="53" t="s">
        <v>861</v>
      </c>
      <c r="J57" s="53" t="s">
        <v>862</v>
      </c>
      <c r="K57" s="53" t="s">
        <v>29</v>
      </c>
      <c r="L57" s="53" t="s">
        <v>31</v>
      </c>
      <c r="M57" s="53" t="s">
        <v>740</v>
      </c>
      <c r="N57" s="53" t="s">
        <v>922</v>
      </c>
      <c r="O57" s="54">
        <v>1</v>
      </c>
      <c r="P57" s="54">
        <v>0</v>
      </c>
      <c r="Q57" s="54">
        <v>0</v>
      </c>
      <c r="R57" s="54">
        <v>1</v>
      </c>
      <c r="S57" s="54">
        <v>100</v>
      </c>
      <c r="T57" s="54">
        <v>0</v>
      </c>
      <c r="U57" s="54">
        <v>0</v>
      </c>
      <c r="V57" s="54">
        <v>100</v>
      </c>
      <c r="W57" s="54">
        <v>95</v>
      </c>
      <c r="X57" s="54">
        <v>0</v>
      </c>
      <c r="Y57" s="54">
        <v>5</v>
      </c>
      <c r="Z57" s="54">
        <v>28.5</v>
      </c>
      <c r="AA57" s="54">
        <v>1.5</v>
      </c>
      <c r="AB57" s="54">
        <v>0</v>
      </c>
      <c r="AC57" s="54">
        <v>70</v>
      </c>
      <c r="AD57" s="53" t="s">
        <v>864</v>
      </c>
    </row>
    <row r="58" spans="1:30">
      <c r="A58" s="53" t="s">
        <v>854</v>
      </c>
      <c r="B58" s="53" t="s">
        <v>855</v>
      </c>
      <c r="C58" s="53" t="s">
        <v>856</v>
      </c>
      <c r="D58" s="53" t="s">
        <v>919</v>
      </c>
      <c r="E58" s="53" t="s">
        <v>108</v>
      </c>
      <c r="F58" s="53" t="s">
        <v>980</v>
      </c>
      <c r="G58" s="53" t="s">
        <v>306</v>
      </c>
      <c r="H58" s="53" t="s">
        <v>981</v>
      </c>
      <c r="I58" s="53" t="s">
        <v>861</v>
      </c>
      <c r="J58" s="53" t="s">
        <v>862</v>
      </c>
      <c r="K58" s="53" t="s">
        <v>29</v>
      </c>
      <c r="L58" s="53" t="s">
        <v>31</v>
      </c>
      <c r="M58" s="53" t="s">
        <v>740</v>
      </c>
      <c r="N58" s="53" t="s">
        <v>922</v>
      </c>
      <c r="O58" s="54">
        <v>1</v>
      </c>
      <c r="P58" s="54">
        <v>0</v>
      </c>
      <c r="Q58" s="54">
        <v>0</v>
      </c>
      <c r="R58" s="54">
        <v>1</v>
      </c>
      <c r="S58" s="54">
        <v>100</v>
      </c>
      <c r="T58" s="54">
        <v>0</v>
      </c>
      <c r="U58" s="54">
        <v>0</v>
      </c>
      <c r="V58" s="54">
        <v>100</v>
      </c>
      <c r="W58" s="54">
        <v>100</v>
      </c>
      <c r="X58" s="54">
        <v>0</v>
      </c>
      <c r="Y58" s="54">
        <v>0</v>
      </c>
      <c r="Z58" s="54">
        <v>30</v>
      </c>
      <c r="AA58" s="54">
        <v>0</v>
      </c>
      <c r="AB58" s="54">
        <v>0</v>
      </c>
      <c r="AC58" s="54">
        <v>70</v>
      </c>
      <c r="AD58" s="53" t="s">
        <v>864</v>
      </c>
    </row>
    <row r="59" spans="1:30">
      <c r="A59" s="53" t="s">
        <v>854</v>
      </c>
      <c r="B59" s="53" t="s">
        <v>855</v>
      </c>
      <c r="C59" s="53" t="s">
        <v>856</v>
      </c>
      <c r="D59" s="53" t="s">
        <v>919</v>
      </c>
      <c r="E59" s="53" t="s">
        <v>108</v>
      </c>
      <c r="F59" s="53" t="s">
        <v>982</v>
      </c>
      <c r="G59" s="53" t="s">
        <v>308</v>
      </c>
      <c r="H59" s="53" t="s">
        <v>983</v>
      </c>
      <c r="I59" s="53" t="s">
        <v>861</v>
      </c>
      <c r="J59" s="53" t="s">
        <v>862</v>
      </c>
      <c r="K59" s="53" t="s">
        <v>29</v>
      </c>
      <c r="L59" s="53" t="s">
        <v>31</v>
      </c>
      <c r="M59" s="53" t="s">
        <v>740</v>
      </c>
      <c r="N59" s="53" t="s">
        <v>922</v>
      </c>
      <c r="O59" s="54">
        <v>1</v>
      </c>
      <c r="P59" s="54">
        <v>0</v>
      </c>
      <c r="Q59" s="54">
        <v>0</v>
      </c>
      <c r="R59" s="54">
        <v>1</v>
      </c>
      <c r="S59" s="54">
        <v>100</v>
      </c>
      <c r="T59" s="54">
        <v>0</v>
      </c>
      <c r="U59" s="54">
        <v>0</v>
      </c>
      <c r="V59" s="54">
        <v>100</v>
      </c>
      <c r="W59" s="54">
        <v>100</v>
      </c>
      <c r="X59" s="54">
        <v>0</v>
      </c>
      <c r="Y59" s="54">
        <v>0</v>
      </c>
      <c r="Z59" s="54">
        <v>30</v>
      </c>
      <c r="AA59" s="54">
        <v>0</v>
      </c>
      <c r="AB59" s="54">
        <v>0</v>
      </c>
      <c r="AC59" s="54">
        <v>70</v>
      </c>
      <c r="AD59" s="53" t="s">
        <v>864</v>
      </c>
    </row>
    <row r="60" spans="1:30">
      <c r="A60" s="53" t="s">
        <v>854</v>
      </c>
      <c r="B60" s="53" t="s">
        <v>855</v>
      </c>
      <c r="C60" s="53" t="s">
        <v>856</v>
      </c>
      <c r="D60" s="53" t="s">
        <v>919</v>
      </c>
      <c r="E60" s="53" t="s">
        <v>108</v>
      </c>
      <c r="F60" s="53" t="s">
        <v>984</v>
      </c>
      <c r="G60" s="53" t="s">
        <v>310</v>
      </c>
      <c r="H60" s="53" t="s">
        <v>985</v>
      </c>
      <c r="I60" s="53" t="s">
        <v>861</v>
      </c>
      <c r="J60" s="53" t="s">
        <v>862</v>
      </c>
      <c r="K60" s="53" t="s">
        <v>29</v>
      </c>
      <c r="L60" s="53" t="s">
        <v>31</v>
      </c>
      <c r="M60" s="53" t="s">
        <v>740</v>
      </c>
      <c r="N60" s="53" t="s">
        <v>922</v>
      </c>
      <c r="O60" s="54">
        <v>1</v>
      </c>
      <c r="P60" s="54">
        <v>0</v>
      </c>
      <c r="Q60" s="54">
        <v>0</v>
      </c>
      <c r="R60" s="54">
        <v>1</v>
      </c>
      <c r="S60" s="54">
        <v>100</v>
      </c>
      <c r="T60" s="54">
        <v>0</v>
      </c>
      <c r="U60" s="54">
        <v>0</v>
      </c>
      <c r="V60" s="54">
        <v>100</v>
      </c>
      <c r="W60" s="54">
        <v>100</v>
      </c>
      <c r="X60" s="54">
        <v>0</v>
      </c>
      <c r="Y60" s="54">
        <v>0</v>
      </c>
      <c r="Z60" s="54">
        <v>30</v>
      </c>
      <c r="AA60" s="54">
        <v>0</v>
      </c>
      <c r="AB60" s="54">
        <v>0</v>
      </c>
      <c r="AC60" s="54">
        <v>70</v>
      </c>
      <c r="AD60" s="53" t="s">
        <v>864</v>
      </c>
    </row>
    <row r="61" spans="1:30">
      <c r="A61" s="53" t="s">
        <v>854</v>
      </c>
      <c r="B61" s="53" t="s">
        <v>855</v>
      </c>
      <c r="C61" s="53" t="s">
        <v>856</v>
      </c>
      <c r="D61" s="53" t="s">
        <v>919</v>
      </c>
      <c r="E61" s="53" t="s">
        <v>108</v>
      </c>
      <c r="F61" s="53" t="s">
        <v>986</v>
      </c>
      <c r="G61" s="53" t="s">
        <v>314</v>
      </c>
      <c r="H61" s="53" t="s">
        <v>987</v>
      </c>
      <c r="I61" s="53" t="s">
        <v>861</v>
      </c>
      <c r="J61" s="53" t="s">
        <v>862</v>
      </c>
      <c r="K61" s="53" t="s">
        <v>29</v>
      </c>
      <c r="L61" s="53" t="s">
        <v>31</v>
      </c>
      <c r="M61" s="53" t="s">
        <v>740</v>
      </c>
      <c r="N61" s="53" t="s">
        <v>922</v>
      </c>
      <c r="O61" s="54">
        <v>1</v>
      </c>
      <c r="P61" s="54">
        <v>0</v>
      </c>
      <c r="Q61" s="54">
        <v>0</v>
      </c>
      <c r="R61" s="54">
        <v>1</v>
      </c>
      <c r="S61" s="54">
        <v>100</v>
      </c>
      <c r="T61" s="54">
        <v>0</v>
      </c>
      <c r="U61" s="54">
        <v>0</v>
      </c>
      <c r="V61" s="54">
        <v>100</v>
      </c>
      <c r="W61" s="54">
        <v>100</v>
      </c>
      <c r="X61" s="54">
        <v>0</v>
      </c>
      <c r="Y61" s="54">
        <v>0</v>
      </c>
      <c r="Z61" s="54">
        <v>30</v>
      </c>
      <c r="AA61" s="54">
        <v>0</v>
      </c>
      <c r="AB61" s="54">
        <v>0</v>
      </c>
      <c r="AC61" s="54">
        <v>70</v>
      </c>
      <c r="AD61" s="53" t="s">
        <v>864</v>
      </c>
    </row>
    <row r="62" spans="1:30">
      <c r="A62" s="53" t="s">
        <v>854</v>
      </c>
      <c r="B62" s="53" t="s">
        <v>855</v>
      </c>
      <c r="C62" s="53" t="s">
        <v>856</v>
      </c>
      <c r="D62" s="53" t="s">
        <v>919</v>
      </c>
      <c r="E62" s="53" t="s">
        <v>108</v>
      </c>
      <c r="F62" s="53" t="s">
        <v>988</v>
      </c>
      <c r="G62" s="53" t="s">
        <v>316</v>
      </c>
      <c r="H62" s="53" t="s">
        <v>989</v>
      </c>
      <c r="I62" s="53" t="s">
        <v>861</v>
      </c>
      <c r="J62" s="53" t="s">
        <v>862</v>
      </c>
      <c r="K62" s="53" t="s">
        <v>29</v>
      </c>
      <c r="L62" s="53" t="s">
        <v>31</v>
      </c>
      <c r="M62" s="53" t="s">
        <v>740</v>
      </c>
      <c r="N62" s="53" t="s">
        <v>922</v>
      </c>
      <c r="O62" s="54">
        <v>1</v>
      </c>
      <c r="P62" s="54">
        <v>0</v>
      </c>
      <c r="Q62" s="54">
        <v>0</v>
      </c>
      <c r="R62" s="54">
        <v>1</v>
      </c>
      <c r="S62" s="54">
        <v>100</v>
      </c>
      <c r="T62" s="54">
        <v>0</v>
      </c>
      <c r="U62" s="54">
        <v>0</v>
      </c>
      <c r="V62" s="54">
        <v>100</v>
      </c>
      <c r="W62" s="54">
        <v>100</v>
      </c>
      <c r="X62" s="54">
        <v>0</v>
      </c>
      <c r="Y62" s="54">
        <v>0</v>
      </c>
      <c r="Z62" s="54">
        <v>30</v>
      </c>
      <c r="AA62" s="54">
        <v>0</v>
      </c>
      <c r="AB62" s="54">
        <v>0</v>
      </c>
      <c r="AC62" s="54">
        <v>70</v>
      </c>
      <c r="AD62" s="53" t="s">
        <v>864</v>
      </c>
    </row>
    <row r="63" spans="1:30">
      <c r="A63" s="53" t="s">
        <v>854</v>
      </c>
      <c r="B63" s="53" t="s">
        <v>855</v>
      </c>
      <c r="C63" s="53" t="s">
        <v>856</v>
      </c>
      <c r="D63" s="53" t="s">
        <v>919</v>
      </c>
      <c r="E63" s="53" t="s">
        <v>108</v>
      </c>
      <c r="F63" s="53" t="s">
        <v>990</v>
      </c>
      <c r="G63" s="53" t="s">
        <v>318</v>
      </c>
      <c r="H63" s="53" t="s">
        <v>991</v>
      </c>
      <c r="I63" s="53" t="s">
        <v>861</v>
      </c>
      <c r="J63" s="53" t="s">
        <v>862</v>
      </c>
      <c r="K63" s="53" t="s">
        <v>29</v>
      </c>
      <c r="L63" s="53" t="s">
        <v>31</v>
      </c>
      <c r="M63" s="53" t="s">
        <v>740</v>
      </c>
      <c r="N63" s="53" t="s">
        <v>922</v>
      </c>
      <c r="O63" s="54">
        <v>1</v>
      </c>
      <c r="P63" s="54">
        <v>0</v>
      </c>
      <c r="Q63" s="54">
        <v>0</v>
      </c>
      <c r="R63" s="54">
        <v>1</v>
      </c>
      <c r="S63" s="54">
        <v>100</v>
      </c>
      <c r="T63" s="54">
        <v>0</v>
      </c>
      <c r="U63" s="54">
        <v>0</v>
      </c>
      <c r="V63" s="54">
        <v>100</v>
      </c>
      <c r="W63" s="54">
        <v>100</v>
      </c>
      <c r="X63" s="54">
        <v>0</v>
      </c>
      <c r="Y63" s="54">
        <v>0</v>
      </c>
      <c r="Z63" s="54">
        <v>30</v>
      </c>
      <c r="AA63" s="54">
        <v>0</v>
      </c>
      <c r="AB63" s="54">
        <v>0</v>
      </c>
      <c r="AC63" s="54">
        <v>70</v>
      </c>
      <c r="AD63" s="53" t="s">
        <v>864</v>
      </c>
    </row>
    <row r="64" spans="1:30">
      <c r="A64" s="53" t="s">
        <v>854</v>
      </c>
      <c r="B64" s="53" t="s">
        <v>855</v>
      </c>
      <c r="C64" s="53" t="s">
        <v>856</v>
      </c>
      <c r="D64" s="53" t="s">
        <v>919</v>
      </c>
      <c r="E64" s="53" t="s">
        <v>108</v>
      </c>
      <c r="F64" s="53" t="s">
        <v>992</v>
      </c>
      <c r="G64" s="53" t="s">
        <v>359</v>
      </c>
      <c r="H64" s="53" t="s">
        <v>993</v>
      </c>
      <c r="I64" s="53" t="s">
        <v>861</v>
      </c>
      <c r="J64" s="53" t="s">
        <v>862</v>
      </c>
      <c r="K64" s="53" t="s">
        <v>29</v>
      </c>
      <c r="L64" s="53" t="s">
        <v>31</v>
      </c>
      <c r="M64" s="53" t="s">
        <v>740</v>
      </c>
      <c r="N64" s="53" t="s">
        <v>922</v>
      </c>
      <c r="O64" s="54">
        <v>1</v>
      </c>
      <c r="P64" s="54">
        <v>0</v>
      </c>
      <c r="Q64" s="54">
        <v>0</v>
      </c>
      <c r="R64" s="54">
        <v>1</v>
      </c>
      <c r="S64" s="54">
        <v>100</v>
      </c>
      <c r="T64" s="54">
        <v>0</v>
      </c>
      <c r="U64" s="54">
        <v>0</v>
      </c>
      <c r="V64" s="54">
        <v>100</v>
      </c>
      <c r="W64" s="54">
        <v>100</v>
      </c>
      <c r="X64" s="54">
        <v>0</v>
      </c>
      <c r="Y64" s="54">
        <v>0</v>
      </c>
      <c r="Z64" s="54">
        <v>30</v>
      </c>
      <c r="AA64" s="54">
        <v>0</v>
      </c>
      <c r="AB64" s="54">
        <v>0</v>
      </c>
      <c r="AC64" s="54">
        <v>70</v>
      </c>
      <c r="AD64" s="53" t="s">
        <v>864</v>
      </c>
    </row>
    <row r="65" spans="1:30">
      <c r="A65" s="53" t="s">
        <v>854</v>
      </c>
      <c r="B65" s="53" t="s">
        <v>855</v>
      </c>
      <c r="C65" s="53" t="s">
        <v>856</v>
      </c>
      <c r="D65" s="53" t="s">
        <v>919</v>
      </c>
      <c r="E65" s="53" t="s">
        <v>108</v>
      </c>
      <c r="F65" s="53" t="s">
        <v>994</v>
      </c>
      <c r="G65" s="53" t="s">
        <v>361</v>
      </c>
      <c r="H65" s="53" t="s">
        <v>995</v>
      </c>
      <c r="I65" s="53" t="s">
        <v>861</v>
      </c>
      <c r="J65" s="53" t="s">
        <v>862</v>
      </c>
      <c r="K65" s="53" t="s">
        <v>29</v>
      </c>
      <c r="L65" s="53" t="s">
        <v>31</v>
      </c>
      <c r="M65" s="53" t="s">
        <v>740</v>
      </c>
      <c r="N65" s="53" t="s">
        <v>922</v>
      </c>
      <c r="O65" s="54">
        <v>1</v>
      </c>
      <c r="P65" s="54">
        <v>0</v>
      </c>
      <c r="Q65" s="54">
        <v>0</v>
      </c>
      <c r="R65" s="54">
        <v>1</v>
      </c>
      <c r="S65" s="54">
        <v>100</v>
      </c>
      <c r="T65" s="54">
        <v>0</v>
      </c>
      <c r="U65" s="54">
        <v>0</v>
      </c>
      <c r="V65" s="54">
        <v>100</v>
      </c>
      <c r="W65" s="54">
        <v>100</v>
      </c>
      <c r="X65" s="54">
        <v>0</v>
      </c>
      <c r="Y65" s="54">
        <v>0</v>
      </c>
      <c r="Z65" s="54">
        <v>30</v>
      </c>
      <c r="AA65" s="54">
        <v>0</v>
      </c>
      <c r="AB65" s="54">
        <v>0</v>
      </c>
      <c r="AC65" s="54">
        <v>70</v>
      </c>
      <c r="AD65" s="53" t="s">
        <v>864</v>
      </c>
    </row>
    <row r="66" spans="1:30">
      <c r="A66" s="53" t="s">
        <v>854</v>
      </c>
      <c r="B66" s="53" t="s">
        <v>855</v>
      </c>
      <c r="C66" s="53" t="s">
        <v>856</v>
      </c>
      <c r="D66" s="53" t="s">
        <v>919</v>
      </c>
      <c r="E66" s="53" t="s">
        <v>108</v>
      </c>
      <c r="F66" s="53" t="s">
        <v>996</v>
      </c>
      <c r="G66" s="53" t="s">
        <v>322</v>
      </c>
      <c r="H66" s="53" t="s">
        <v>997</v>
      </c>
      <c r="I66" s="53" t="s">
        <v>861</v>
      </c>
      <c r="J66" s="53" t="s">
        <v>862</v>
      </c>
      <c r="K66" s="53" t="s">
        <v>29</v>
      </c>
      <c r="L66" s="53" t="s">
        <v>31</v>
      </c>
      <c r="M66" s="53" t="s">
        <v>740</v>
      </c>
      <c r="N66" s="53" t="s">
        <v>922</v>
      </c>
      <c r="O66" s="54">
        <v>1</v>
      </c>
      <c r="P66" s="54">
        <v>0</v>
      </c>
      <c r="Q66" s="54">
        <v>0</v>
      </c>
      <c r="R66" s="54">
        <v>1</v>
      </c>
      <c r="S66" s="54">
        <v>100</v>
      </c>
      <c r="T66" s="54">
        <v>0</v>
      </c>
      <c r="U66" s="54">
        <v>0</v>
      </c>
      <c r="V66" s="54">
        <v>100</v>
      </c>
      <c r="W66" s="54">
        <v>100</v>
      </c>
      <c r="X66" s="54">
        <v>0</v>
      </c>
      <c r="Y66" s="54">
        <v>0</v>
      </c>
      <c r="Z66" s="54">
        <v>30</v>
      </c>
      <c r="AA66" s="54">
        <v>0</v>
      </c>
      <c r="AB66" s="54">
        <v>0</v>
      </c>
      <c r="AC66" s="54">
        <v>70</v>
      </c>
      <c r="AD66" s="53" t="s">
        <v>864</v>
      </c>
    </row>
    <row r="67" spans="1:30">
      <c r="A67" s="53" t="s">
        <v>854</v>
      </c>
      <c r="B67" s="53" t="s">
        <v>855</v>
      </c>
      <c r="C67" s="53" t="s">
        <v>856</v>
      </c>
      <c r="D67" s="53" t="s">
        <v>919</v>
      </c>
      <c r="E67" s="53" t="s">
        <v>108</v>
      </c>
      <c r="F67" s="53" t="s">
        <v>998</v>
      </c>
      <c r="G67" s="53" t="s">
        <v>324</v>
      </c>
      <c r="H67" s="53" t="s">
        <v>999</v>
      </c>
      <c r="I67" s="53" t="s">
        <v>861</v>
      </c>
      <c r="J67" s="53" t="s">
        <v>862</v>
      </c>
      <c r="K67" s="53" t="s">
        <v>29</v>
      </c>
      <c r="L67" s="53" t="s">
        <v>31</v>
      </c>
      <c r="M67" s="53" t="s">
        <v>740</v>
      </c>
      <c r="N67" s="53" t="s">
        <v>922</v>
      </c>
      <c r="O67" s="54">
        <v>1</v>
      </c>
      <c r="P67" s="54">
        <v>0</v>
      </c>
      <c r="Q67" s="54">
        <v>0</v>
      </c>
      <c r="R67" s="54">
        <v>1</v>
      </c>
      <c r="S67" s="54">
        <v>100</v>
      </c>
      <c r="T67" s="54">
        <v>0</v>
      </c>
      <c r="U67" s="54">
        <v>0</v>
      </c>
      <c r="V67" s="54">
        <v>100</v>
      </c>
      <c r="W67" s="54">
        <v>100</v>
      </c>
      <c r="X67" s="54">
        <v>0</v>
      </c>
      <c r="Y67" s="54">
        <v>0</v>
      </c>
      <c r="Z67" s="54">
        <v>30</v>
      </c>
      <c r="AA67" s="54">
        <v>0</v>
      </c>
      <c r="AB67" s="54">
        <v>0</v>
      </c>
      <c r="AC67" s="54">
        <v>70</v>
      </c>
      <c r="AD67" s="53" t="s">
        <v>864</v>
      </c>
    </row>
    <row r="68" spans="1:30">
      <c r="A68" s="53" t="s">
        <v>854</v>
      </c>
      <c r="B68" s="53" t="s">
        <v>855</v>
      </c>
      <c r="C68" s="53" t="s">
        <v>856</v>
      </c>
      <c r="D68" s="53" t="s">
        <v>919</v>
      </c>
      <c r="E68" s="53" t="s">
        <v>108</v>
      </c>
      <c r="F68" s="53" t="s">
        <v>1000</v>
      </c>
      <c r="G68" s="53" t="s">
        <v>366</v>
      </c>
      <c r="H68" s="53" t="s">
        <v>1001</v>
      </c>
      <c r="I68" s="53" t="s">
        <v>861</v>
      </c>
      <c r="J68" s="53" t="s">
        <v>862</v>
      </c>
      <c r="K68" s="53" t="s">
        <v>29</v>
      </c>
      <c r="L68" s="53" t="s">
        <v>31</v>
      </c>
      <c r="M68" s="53" t="s">
        <v>740</v>
      </c>
      <c r="N68" s="53" t="s">
        <v>922</v>
      </c>
      <c r="O68" s="54">
        <v>1</v>
      </c>
      <c r="P68" s="54">
        <v>0</v>
      </c>
      <c r="Q68" s="54">
        <v>0</v>
      </c>
      <c r="R68" s="54">
        <v>1</v>
      </c>
      <c r="S68" s="54">
        <v>100</v>
      </c>
      <c r="T68" s="54">
        <v>0</v>
      </c>
      <c r="U68" s="54">
        <v>0</v>
      </c>
      <c r="V68" s="54">
        <v>100</v>
      </c>
      <c r="W68" s="54">
        <v>100</v>
      </c>
      <c r="X68" s="54">
        <v>0</v>
      </c>
      <c r="Y68" s="54">
        <v>0</v>
      </c>
      <c r="Z68" s="54">
        <v>30</v>
      </c>
      <c r="AA68" s="54">
        <v>0</v>
      </c>
      <c r="AB68" s="54">
        <v>0</v>
      </c>
      <c r="AC68" s="54">
        <v>70</v>
      </c>
      <c r="AD68" s="53" t="s">
        <v>864</v>
      </c>
    </row>
    <row r="69" spans="1:30">
      <c r="A69" s="53" t="s">
        <v>854</v>
      </c>
      <c r="B69" s="53" t="s">
        <v>855</v>
      </c>
      <c r="C69" s="53" t="s">
        <v>856</v>
      </c>
      <c r="D69" s="53" t="s">
        <v>919</v>
      </c>
      <c r="E69" s="53" t="s">
        <v>108</v>
      </c>
      <c r="F69" s="53" t="s">
        <v>1002</v>
      </c>
      <c r="G69" s="53" t="s">
        <v>368</v>
      </c>
      <c r="H69" s="53" t="s">
        <v>1003</v>
      </c>
      <c r="I69" s="53" t="s">
        <v>861</v>
      </c>
      <c r="J69" s="53" t="s">
        <v>862</v>
      </c>
      <c r="K69" s="53" t="s">
        <v>29</v>
      </c>
      <c r="L69" s="53" t="s">
        <v>31</v>
      </c>
      <c r="M69" s="53" t="s">
        <v>740</v>
      </c>
      <c r="N69" s="53" t="s">
        <v>922</v>
      </c>
      <c r="O69" s="54">
        <v>1</v>
      </c>
      <c r="P69" s="54">
        <v>0</v>
      </c>
      <c r="Q69" s="54">
        <v>0</v>
      </c>
      <c r="R69" s="54">
        <v>1</v>
      </c>
      <c r="S69" s="54">
        <v>100</v>
      </c>
      <c r="T69" s="54">
        <v>0</v>
      </c>
      <c r="U69" s="54">
        <v>0</v>
      </c>
      <c r="V69" s="54">
        <v>100</v>
      </c>
      <c r="W69" s="54">
        <v>100</v>
      </c>
      <c r="X69" s="54">
        <v>0</v>
      </c>
      <c r="Y69" s="54">
        <v>0</v>
      </c>
      <c r="Z69" s="54">
        <v>30</v>
      </c>
      <c r="AA69" s="54">
        <v>0</v>
      </c>
      <c r="AB69" s="54">
        <v>0</v>
      </c>
      <c r="AC69" s="54">
        <v>70</v>
      </c>
      <c r="AD69" s="53" t="s">
        <v>864</v>
      </c>
    </row>
    <row r="70" spans="1:30">
      <c r="A70" s="53" t="s">
        <v>854</v>
      </c>
      <c r="B70" s="53" t="s">
        <v>855</v>
      </c>
      <c r="C70" s="53" t="s">
        <v>856</v>
      </c>
      <c r="D70" s="53" t="s">
        <v>919</v>
      </c>
      <c r="E70" s="53" t="s">
        <v>108</v>
      </c>
      <c r="F70" s="53" t="s">
        <v>1004</v>
      </c>
      <c r="G70" s="53" t="s">
        <v>370</v>
      </c>
      <c r="H70" s="53" t="s">
        <v>1005</v>
      </c>
      <c r="I70" s="53" t="s">
        <v>861</v>
      </c>
      <c r="J70" s="53" t="s">
        <v>862</v>
      </c>
      <c r="K70" s="53" t="s">
        <v>29</v>
      </c>
      <c r="L70" s="53" t="s">
        <v>31</v>
      </c>
      <c r="M70" s="53" t="s">
        <v>740</v>
      </c>
      <c r="N70" s="53" t="s">
        <v>922</v>
      </c>
      <c r="O70" s="54">
        <v>1</v>
      </c>
      <c r="P70" s="54">
        <v>0</v>
      </c>
      <c r="Q70" s="54">
        <v>0</v>
      </c>
      <c r="R70" s="54">
        <v>1</v>
      </c>
      <c r="S70" s="54">
        <v>100</v>
      </c>
      <c r="T70" s="54">
        <v>0</v>
      </c>
      <c r="U70" s="54">
        <v>0</v>
      </c>
      <c r="V70" s="54">
        <v>100</v>
      </c>
      <c r="W70" s="54">
        <v>100</v>
      </c>
      <c r="X70" s="54">
        <v>0</v>
      </c>
      <c r="Y70" s="54">
        <v>0</v>
      </c>
      <c r="Z70" s="54">
        <v>30</v>
      </c>
      <c r="AA70" s="54">
        <v>0</v>
      </c>
      <c r="AB70" s="54">
        <v>0</v>
      </c>
      <c r="AC70" s="54">
        <v>70</v>
      </c>
      <c r="AD70" s="53" t="s">
        <v>864</v>
      </c>
    </row>
    <row r="71" spans="1:30">
      <c r="A71" s="53" t="s">
        <v>854</v>
      </c>
      <c r="B71" s="53" t="s">
        <v>855</v>
      </c>
      <c r="C71" s="53" t="s">
        <v>856</v>
      </c>
      <c r="D71" s="53" t="s">
        <v>919</v>
      </c>
      <c r="E71" s="53" t="s">
        <v>108</v>
      </c>
      <c r="F71" s="53" t="s">
        <v>1006</v>
      </c>
      <c r="G71" s="53" t="s">
        <v>372</v>
      </c>
      <c r="H71" s="53" t="s">
        <v>1007</v>
      </c>
      <c r="I71" s="53" t="s">
        <v>861</v>
      </c>
      <c r="J71" s="53" t="s">
        <v>862</v>
      </c>
      <c r="K71" s="53" t="s">
        <v>29</v>
      </c>
      <c r="L71" s="53" t="s">
        <v>31</v>
      </c>
      <c r="M71" s="53" t="s">
        <v>740</v>
      </c>
      <c r="N71" s="53" t="s">
        <v>922</v>
      </c>
      <c r="O71" s="54">
        <v>1</v>
      </c>
      <c r="P71" s="54">
        <v>0</v>
      </c>
      <c r="Q71" s="54">
        <v>0</v>
      </c>
      <c r="R71" s="54">
        <v>1</v>
      </c>
      <c r="S71" s="54">
        <v>100</v>
      </c>
      <c r="T71" s="54">
        <v>0</v>
      </c>
      <c r="U71" s="54">
        <v>0</v>
      </c>
      <c r="V71" s="54">
        <v>100</v>
      </c>
      <c r="W71" s="54">
        <v>100</v>
      </c>
      <c r="X71" s="54">
        <v>0</v>
      </c>
      <c r="Y71" s="54">
        <v>0</v>
      </c>
      <c r="Z71" s="54">
        <v>30</v>
      </c>
      <c r="AA71" s="54">
        <v>0</v>
      </c>
      <c r="AB71" s="54">
        <v>0</v>
      </c>
      <c r="AC71" s="54">
        <v>70</v>
      </c>
      <c r="AD71" s="53" t="s">
        <v>864</v>
      </c>
    </row>
    <row r="72" spans="1:30">
      <c r="A72" s="53" t="s">
        <v>854</v>
      </c>
      <c r="B72" s="53" t="s">
        <v>855</v>
      </c>
      <c r="C72" s="53" t="s">
        <v>856</v>
      </c>
      <c r="D72" s="53" t="s">
        <v>919</v>
      </c>
      <c r="E72" s="53" t="s">
        <v>108</v>
      </c>
      <c r="F72" s="53" t="s">
        <v>1008</v>
      </c>
      <c r="G72" s="53" t="s">
        <v>374</v>
      </c>
      <c r="H72" s="53" t="s">
        <v>1009</v>
      </c>
      <c r="I72" s="53" t="s">
        <v>861</v>
      </c>
      <c r="J72" s="53" t="s">
        <v>862</v>
      </c>
      <c r="K72" s="53" t="s">
        <v>29</v>
      </c>
      <c r="L72" s="53" t="s">
        <v>31</v>
      </c>
      <c r="M72" s="53" t="s">
        <v>740</v>
      </c>
      <c r="N72" s="53" t="s">
        <v>922</v>
      </c>
      <c r="O72" s="54">
        <v>1</v>
      </c>
      <c r="P72" s="54">
        <v>0</v>
      </c>
      <c r="Q72" s="54">
        <v>0</v>
      </c>
      <c r="R72" s="54">
        <v>1</v>
      </c>
      <c r="S72" s="54">
        <v>100</v>
      </c>
      <c r="T72" s="54">
        <v>0</v>
      </c>
      <c r="U72" s="54">
        <v>0</v>
      </c>
      <c r="V72" s="54">
        <v>100</v>
      </c>
      <c r="W72" s="54">
        <v>100</v>
      </c>
      <c r="X72" s="54">
        <v>0</v>
      </c>
      <c r="Y72" s="54">
        <v>0</v>
      </c>
      <c r="Z72" s="54">
        <v>30</v>
      </c>
      <c r="AA72" s="54">
        <v>0</v>
      </c>
      <c r="AB72" s="54">
        <v>0</v>
      </c>
      <c r="AC72" s="54">
        <v>70</v>
      </c>
      <c r="AD72" s="53" t="s">
        <v>864</v>
      </c>
    </row>
    <row r="73" spans="1:30">
      <c r="A73" s="53" t="s">
        <v>854</v>
      </c>
      <c r="B73" s="53" t="s">
        <v>855</v>
      </c>
      <c r="C73" s="53" t="s">
        <v>856</v>
      </c>
      <c r="D73" s="53" t="s">
        <v>919</v>
      </c>
      <c r="E73" s="53" t="s">
        <v>108</v>
      </c>
      <c r="F73" s="53" t="s">
        <v>1010</v>
      </c>
      <c r="G73" s="53" t="s">
        <v>376</v>
      </c>
      <c r="H73" s="53" t="s">
        <v>1011</v>
      </c>
      <c r="I73" s="53" t="s">
        <v>861</v>
      </c>
      <c r="J73" s="53" t="s">
        <v>862</v>
      </c>
      <c r="K73" s="53" t="s">
        <v>29</v>
      </c>
      <c r="L73" s="53" t="s">
        <v>31</v>
      </c>
      <c r="M73" s="53" t="s">
        <v>740</v>
      </c>
      <c r="N73" s="53" t="s">
        <v>922</v>
      </c>
      <c r="O73" s="54">
        <v>1</v>
      </c>
      <c r="P73" s="54">
        <v>0</v>
      </c>
      <c r="Q73" s="54">
        <v>0</v>
      </c>
      <c r="R73" s="54">
        <v>1</v>
      </c>
      <c r="S73" s="54">
        <v>100</v>
      </c>
      <c r="T73" s="54">
        <v>0</v>
      </c>
      <c r="U73" s="54">
        <v>0</v>
      </c>
      <c r="V73" s="54">
        <v>100</v>
      </c>
      <c r="W73" s="54">
        <v>100</v>
      </c>
      <c r="X73" s="54">
        <v>0</v>
      </c>
      <c r="Y73" s="54">
        <v>0</v>
      </c>
      <c r="Z73" s="54">
        <v>30</v>
      </c>
      <c r="AA73" s="54">
        <v>0</v>
      </c>
      <c r="AB73" s="54">
        <v>0</v>
      </c>
      <c r="AC73" s="54">
        <v>70</v>
      </c>
      <c r="AD73" s="53" t="s">
        <v>864</v>
      </c>
    </row>
    <row r="74" spans="1:30">
      <c r="A74" s="53" t="s">
        <v>854</v>
      </c>
      <c r="B74" s="53" t="s">
        <v>855</v>
      </c>
      <c r="C74" s="53" t="s">
        <v>856</v>
      </c>
      <c r="D74" s="53" t="s">
        <v>919</v>
      </c>
      <c r="E74" s="53" t="s">
        <v>108</v>
      </c>
      <c r="F74" s="53" t="s">
        <v>1012</v>
      </c>
      <c r="G74" s="53" t="s">
        <v>378</v>
      </c>
      <c r="H74" s="53" t="s">
        <v>1013</v>
      </c>
      <c r="I74" s="53" t="s">
        <v>861</v>
      </c>
      <c r="J74" s="53" t="s">
        <v>862</v>
      </c>
      <c r="K74" s="53" t="s">
        <v>29</v>
      </c>
      <c r="L74" s="53" t="s">
        <v>31</v>
      </c>
      <c r="M74" s="53" t="s">
        <v>740</v>
      </c>
      <c r="N74" s="53" t="s">
        <v>922</v>
      </c>
      <c r="O74" s="54">
        <v>1</v>
      </c>
      <c r="P74" s="54">
        <v>0</v>
      </c>
      <c r="Q74" s="54">
        <v>0</v>
      </c>
      <c r="R74" s="54">
        <v>1</v>
      </c>
      <c r="S74" s="54">
        <v>100</v>
      </c>
      <c r="T74" s="54">
        <v>0</v>
      </c>
      <c r="U74" s="54">
        <v>0</v>
      </c>
      <c r="V74" s="54">
        <v>100</v>
      </c>
      <c r="W74" s="54">
        <v>100</v>
      </c>
      <c r="X74" s="54">
        <v>0</v>
      </c>
      <c r="Y74" s="54">
        <v>0</v>
      </c>
      <c r="Z74" s="54">
        <v>30</v>
      </c>
      <c r="AA74" s="54">
        <v>0</v>
      </c>
      <c r="AB74" s="54">
        <v>0</v>
      </c>
      <c r="AC74" s="54">
        <v>70</v>
      </c>
      <c r="AD74" s="53" t="s">
        <v>864</v>
      </c>
    </row>
    <row r="75" spans="1:30">
      <c r="A75" s="53" t="s">
        <v>854</v>
      </c>
      <c r="B75" s="53" t="s">
        <v>855</v>
      </c>
      <c r="C75" s="53" t="s">
        <v>856</v>
      </c>
      <c r="D75" s="53" t="s">
        <v>919</v>
      </c>
      <c r="E75" s="53" t="s">
        <v>108</v>
      </c>
      <c r="F75" s="53" t="s">
        <v>1014</v>
      </c>
      <c r="G75" s="53" t="s">
        <v>380</v>
      </c>
      <c r="H75" s="53" t="s">
        <v>1015</v>
      </c>
      <c r="I75" s="53" t="s">
        <v>861</v>
      </c>
      <c r="J75" s="53" t="s">
        <v>862</v>
      </c>
      <c r="K75" s="53" t="s">
        <v>29</v>
      </c>
      <c r="L75" s="53" t="s">
        <v>31</v>
      </c>
      <c r="M75" s="53" t="s">
        <v>740</v>
      </c>
      <c r="N75" s="53" t="s">
        <v>922</v>
      </c>
      <c r="O75" s="54">
        <v>1</v>
      </c>
      <c r="P75" s="54">
        <v>0</v>
      </c>
      <c r="Q75" s="54">
        <v>0</v>
      </c>
      <c r="R75" s="54">
        <v>1</v>
      </c>
      <c r="S75" s="54">
        <v>100</v>
      </c>
      <c r="T75" s="54">
        <v>0</v>
      </c>
      <c r="U75" s="54">
        <v>0</v>
      </c>
      <c r="V75" s="54">
        <v>100</v>
      </c>
      <c r="W75" s="54">
        <v>100</v>
      </c>
      <c r="X75" s="54">
        <v>0</v>
      </c>
      <c r="Y75" s="54">
        <v>0</v>
      </c>
      <c r="Z75" s="54">
        <v>30</v>
      </c>
      <c r="AA75" s="54">
        <v>0</v>
      </c>
      <c r="AB75" s="54">
        <v>0</v>
      </c>
      <c r="AC75" s="54">
        <v>70</v>
      </c>
      <c r="AD75" s="53" t="s">
        <v>864</v>
      </c>
    </row>
    <row r="76" spans="1:30">
      <c r="A76" s="53" t="s">
        <v>854</v>
      </c>
      <c r="B76" s="53" t="s">
        <v>855</v>
      </c>
      <c r="C76" s="53" t="s">
        <v>856</v>
      </c>
      <c r="D76" s="53" t="s">
        <v>919</v>
      </c>
      <c r="E76" s="53" t="s">
        <v>108</v>
      </c>
      <c r="F76" s="53" t="s">
        <v>1016</v>
      </c>
      <c r="G76" s="53" t="s">
        <v>384</v>
      </c>
      <c r="H76" s="53" t="s">
        <v>1017</v>
      </c>
      <c r="I76" s="53" t="s">
        <v>861</v>
      </c>
      <c r="J76" s="53" t="s">
        <v>862</v>
      </c>
      <c r="K76" s="53" t="s">
        <v>29</v>
      </c>
      <c r="L76" s="53" t="s">
        <v>31</v>
      </c>
      <c r="M76" s="53" t="s">
        <v>740</v>
      </c>
      <c r="N76" s="53" t="s">
        <v>922</v>
      </c>
      <c r="O76" s="54">
        <v>1</v>
      </c>
      <c r="P76" s="54">
        <v>0</v>
      </c>
      <c r="Q76" s="54">
        <v>0</v>
      </c>
      <c r="R76" s="54">
        <v>1</v>
      </c>
      <c r="S76" s="54">
        <v>100</v>
      </c>
      <c r="T76" s="54">
        <v>0</v>
      </c>
      <c r="U76" s="54">
        <v>0</v>
      </c>
      <c r="V76" s="54">
        <v>100</v>
      </c>
      <c r="W76" s="54">
        <v>100</v>
      </c>
      <c r="X76" s="54">
        <v>0</v>
      </c>
      <c r="Y76" s="54">
        <v>0</v>
      </c>
      <c r="Z76" s="54">
        <v>30</v>
      </c>
      <c r="AA76" s="54">
        <v>0</v>
      </c>
      <c r="AB76" s="54">
        <v>0</v>
      </c>
      <c r="AC76" s="54">
        <v>70</v>
      </c>
      <c r="AD76" s="53" t="s">
        <v>864</v>
      </c>
    </row>
    <row r="77" spans="1:30">
      <c r="A77" s="53" t="s">
        <v>854</v>
      </c>
      <c r="B77" s="53" t="s">
        <v>855</v>
      </c>
      <c r="C77" s="53" t="s">
        <v>856</v>
      </c>
      <c r="D77" s="53" t="s">
        <v>919</v>
      </c>
      <c r="E77" s="53" t="s">
        <v>108</v>
      </c>
      <c r="F77" s="53" t="s">
        <v>1018</v>
      </c>
      <c r="G77" s="53" t="s">
        <v>386</v>
      </c>
      <c r="H77" s="53" t="s">
        <v>1019</v>
      </c>
      <c r="I77" s="53" t="s">
        <v>861</v>
      </c>
      <c r="J77" s="53" t="s">
        <v>862</v>
      </c>
      <c r="K77" s="53" t="s">
        <v>29</v>
      </c>
      <c r="L77" s="53" t="s">
        <v>31</v>
      </c>
      <c r="M77" s="53" t="s">
        <v>740</v>
      </c>
      <c r="N77" s="53" t="s">
        <v>922</v>
      </c>
      <c r="O77" s="54">
        <v>1</v>
      </c>
      <c r="P77" s="54">
        <v>0</v>
      </c>
      <c r="Q77" s="54">
        <v>0</v>
      </c>
      <c r="R77" s="54">
        <v>1</v>
      </c>
      <c r="S77" s="54">
        <v>100</v>
      </c>
      <c r="T77" s="54">
        <v>0</v>
      </c>
      <c r="U77" s="54">
        <v>0</v>
      </c>
      <c r="V77" s="54">
        <v>100</v>
      </c>
      <c r="W77" s="54">
        <v>100</v>
      </c>
      <c r="X77" s="54">
        <v>0</v>
      </c>
      <c r="Y77" s="54">
        <v>0</v>
      </c>
      <c r="Z77" s="54">
        <v>30</v>
      </c>
      <c r="AA77" s="54">
        <v>0</v>
      </c>
      <c r="AB77" s="54">
        <v>0</v>
      </c>
      <c r="AC77" s="54">
        <v>70</v>
      </c>
      <c r="AD77" s="53" t="s">
        <v>864</v>
      </c>
    </row>
    <row r="78" spans="1:30">
      <c r="A78" s="53" t="s">
        <v>854</v>
      </c>
      <c r="B78" s="53" t="s">
        <v>855</v>
      </c>
      <c r="C78" s="53" t="s">
        <v>856</v>
      </c>
      <c r="D78" s="53" t="s">
        <v>919</v>
      </c>
      <c r="E78" s="53" t="s">
        <v>108</v>
      </c>
      <c r="F78" s="53" t="s">
        <v>1020</v>
      </c>
      <c r="G78" s="53" t="s">
        <v>402</v>
      </c>
      <c r="H78" s="53" t="s">
        <v>1021</v>
      </c>
      <c r="I78" s="53" t="s">
        <v>861</v>
      </c>
      <c r="J78" s="53" t="s">
        <v>862</v>
      </c>
      <c r="K78" s="53" t="s">
        <v>29</v>
      </c>
      <c r="L78" s="53" t="s">
        <v>31</v>
      </c>
      <c r="M78" s="53" t="s">
        <v>740</v>
      </c>
      <c r="N78" s="53" t="s">
        <v>922</v>
      </c>
      <c r="O78" s="54">
        <v>1</v>
      </c>
      <c r="P78" s="54">
        <v>0</v>
      </c>
      <c r="Q78" s="54">
        <v>0</v>
      </c>
      <c r="R78" s="54">
        <v>1</v>
      </c>
      <c r="S78" s="54">
        <v>100</v>
      </c>
      <c r="T78" s="54">
        <v>0</v>
      </c>
      <c r="U78" s="54">
        <v>0</v>
      </c>
      <c r="V78" s="54">
        <v>100</v>
      </c>
      <c r="W78" s="54">
        <v>100</v>
      </c>
      <c r="X78" s="54">
        <v>0</v>
      </c>
      <c r="Y78" s="54">
        <v>0</v>
      </c>
      <c r="Z78" s="54">
        <v>30</v>
      </c>
      <c r="AA78" s="54">
        <v>0</v>
      </c>
      <c r="AB78" s="54">
        <v>0</v>
      </c>
      <c r="AC78" s="54">
        <v>70</v>
      </c>
      <c r="AD78" s="53" t="s">
        <v>864</v>
      </c>
    </row>
    <row r="79" spans="1:30">
      <c r="A79" s="53" t="s">
        <v>854</v>
      </c>
      <c r="B79" s="53" t="s">
        <v>855</v>
      </c>
      <c r="C79" s="53" t="s">
        <v>856</v>
      </c>
      <c r="D79" s="53" t="s">
        <v>919</v>
      </c>
      <c r="E79" s="53" t="s">
        <v>108</v>
      </c>
      <c r="F79" s="53" t="s">
        <v>1022</v>
      </c>
      <c r="G79" s="53" t="s">
        <v>404</v>
      </c>
      <c r="H79" s="53" t="s">
        <v>1023</v>
      </c>
      <c r="I79" s="53" t="s">
        <v>861</v>
      </c>
      <c r="J79" s="53" t="s">
        <v>862</v>
      </c>
      <c r="K79" s="53" t="s">
        <v>29</v>
      </c>
      <c r="L79" s="53" t="s">
        <v>31</v>
      </c>
      <c r="M79" s="53" t="s">
        <v>740</v>
      </c>
      <c r="N79" s="53" t="s">
        <v>922</v>
      </c>
      <c r="O79" s="54">
        <v>1</v>
      </c>
      <c r="P79" s="54">
        <v>0</v>
      </c>
      <c r="Q79" s="54">
        <v>0</v>
      </c>
      <c r="R79" s="54">
        <v>1</v>
      </c>
      <c r="S79" s="54">
        <v>100</v>
      </c>
      <c r="T79" s="54">
        <v>0</v>
      </c>
      <c r="U79" s="54">
        <v>0</v>
      </c>
      <c r="V79" s="54">
        <v>100</v>
      </c>
      <c r="W79" s="54">
        <v>100</v>
      </c>
      <c r="X79" s="54">
        <v>0</v>
      </c>
      <c r="Y79" s="54">
        <v>0</v>
      </c>
      <c r="Z79" s="54">
        <v>30</v>
      </c>
      <c r="AA79" s="54">
        <v>0</v>
      </c>
      <c r="AB79" s="54">
        <v>0</v>
      </c>
      <c r="AC79" s="54">
        <v>70</v>
      </c>
      <c r="AD79" s="53" t="s">
        <v>864</v>
      </c>
    </row>
    <row r="80" spans="1:30">
      <c r="A80" s="53" t="s">
        <v>854</v>
      </c>
      <c r="B80" s="53" t="s">
        <v>855</v>
      </c>
      <c r="C80" s="53" t="s">
        <v>856</v>
      </c>
      <c r="D80" s="53" t="s">
        <v>919</v>
      </c>
      <c r="E80" s="53" t="s">
        <v>108</v>
      </c>
      <c r="F80" s="53" t="s">
        <v>1024</v>
      </c>
      <c r="G80" s="53" t="s">
        <v>408</v>
      </c>
      <c r="H80" s="53" t="s">
        <v>1025</v>
      </c>
      <c r="I80" s="53" t="s">
        <v>861</v>
      </c>
      <c r="J80" s="53" t="s">
        <v>862</v>
      </c>
      <c r="K80" s="53" t="s">
        <v>29</v>
      </c>
      <c r="L80" s="53" t="s">
        <v>31</v>
      </c>
      <c r="M80" s="53" t="s">
        <v>740</v>
      </c>
      <c r="N80" s="53" t="s">
        <v>922</v>
      </c>
      <c r="O80" s="54">
        <v>1</v>
      </c>
      <c r="P80" s="54">
        <v>0</v>
      </c>
      <c r="Q80" s="54">
        <v>0</v>
      </c>
      <c r="R80" s="54">
        <v>1</v>
      </c>
      <c r="S80" s="54">
        <v>100</v>
      </c>
      <c r="T80" s="54">
        <v>0</v>
      </c>
      <c r="U80" s="54">
        <v>0</v>
      </c>
      <c r="V80" s="54">
        <v>100</v>
      </c>
      <c r="W80" s="54">
        <v>95</v>
      </c>
      <c r="X80" s="54">
        <v>0</v>
      </c>
      <c r="Y80" s="54">
        <v>5</v>
      </c>
      <c r="Z80" s="54">
        <v>28.5</v>
      </c>
      <c r="AA80" s="54">
        <v>1.5</v>
      </c>
      <c r="AB80" s="54">
        <v>0</v>
      </c>
      <c r="AC80" s="54">
        <v>70</v>
      </c>
      <c r="AD80" s="53" t="s">
        <v>864</v>
      </c>
    </row>
    <row r="81" spans="1:30">
      <c r="A81" s="53" t="s">
        <v>854</v>
      </c>
      <c r="B81" s="53" t="s">
        <v>855</v>
      </c>
      <c r="C81" s="53" t="s">
        <v>856</v>
      </c>
      <c r="D81" s="53" t="s">
        <v>919</v>
      </c>
      <c r="E81" s="53" t="s">
        <v>108</v>
      </c>
      <c r="F81" s="53" t="s">
        <v>1026</v>
      </c>
      <c r="G81" s="53" t="s">
        <v>412</v>
      </c>
      <c r="H81" s="53" t="s">
        <v>1027</v>
      </c>
      <c r="I81" s="53" t="s">
        <v>861</v>
      </c>
      <c r="J81" s="53" t="s">
        <v>862</v>
      </c>
      <c r="K81" s="53" t="s">
        <v>29</v>
      </c>
      <c r="L81" s="53" t="s">
        <v>31</v>
      </c>
      <c r="M81" s="53" t="s">
        <v>740</v>
      </c>
      <c r="N81" s="53" t="s">
        <v>922</v>
      </c>
      <c r="O81" s="54">
        <v>1</v>
      </c>
      <c r="P81" s="54">
        <v>0</v>
      </c>
      <c r="Q81" s="54">
        <v>0</v>
      </c>
      <c r="R81" s="54">
        <v>1</v>
      </c>
      <c r="S81" s="54">
        <v>100</v>
      </c>
      <c r="T81" s="54">
        <v>0</v>
      </c>
      <c r="U81" s="54">
        <v>0</v>
      </c>
      <c r="V81" s="54">
        <v>100</v>
      </c>
      <c r="W81" s="54">
        <v>100</v>
      </c>
      <c r="X81" s="54">
        <v>0</v>
      </c>
      <c r="Y81" s="54">
        <v>0</v>
      </c>
      <c r="Z81" s="54">
        <v>30</v>
      </c>
      <c r="AA81" s="54">
        <v>0</v>
      </c>
      <c r="AB81" s="54">
        <v>0</v>
      </c>
      <c r="AC81" s="54">
        <v>70</v>
      </c>
      <c r="AD81" s="53" t="s">
        <v>864</v>
      </c>
    </row>
    <row r="82" spans="1:30">
      <c r="A82" s="53" t="s">
        <v>854</v>
      </c>
      <c r="B82" s="53" t="s">
        <v>855</v>
      </c>
      <c r="C82" s="53" t="s">
        <v>856</v>
      </c>
      <c r="D82" s="53" t="s">
        <v>919</v>
      </c>
      <c r="E82" s="53" t="s">
        <v>108</v>
      </c>
      <c r="F82" s="53" t="s">
        <v>1028</v>
      </c>
      <c r="G82" s="53" t="s">
        <v>414</v>
      </c>
      <c r="H82" s="53" t="s">
        <v>1029</v>
      </c>
      <c r="I82" s="53" t="s">
        <v>861</v>
      </c>
      <c r="J82" s="53" t="s">
        <v>862</v>
      </c>
      <c r="K82" s="53" t="s">
        <v>29</v>
      </c>
      <c r="L82" s="53" t="s">
        <v>31</v>
      </c>
      <c r="M82" s="53" t="s">
        <v>740</v>
      </c>
      <c r="N82" s="53" t="s">
        <v>922</v>
      </c>
      <c r="O82" s="54">
        <v>1</v>
      </c>
      <c r="P82" s="54">
        <v>0</v>
      </c>
      <c r="Q82" s="54">
        <v>0</v>
      </c>
      <c r="R82" s="54">
        <v>1</v>
      </c>
      <c r="S82" s="54">
        <v>100</v>
      </c>
      <c r="T82" s="54">
        <v>0</v>
      </c>
      <c r="U82" s="54">
        <v>0</v>
      </c>
      <c r="V82" s="54">
        <v>100</v>
      </c>
      <c r="W82" s="54">
        <v>100</v>
      </c>
      <c r="X82" s="54">
        <v>0</v>
      </c>
      <c r="Y82" s="54">
        <v>0</v>
      </c>
      <c r="Z82" s="54">
        <v>30</v>
      </c>
      <c r="AA82" s="54">
        <v>0</v>
      </c>
      <c r="AB82" s="54">
        <v>0</v>
      </c>
      <c r="AC82" s="54">
        <v>70</v>
      </c>
      <c r="AD82" s="53" t="s">
        <v>864</v>
      </c>
    </row>
    <row r="83" spans="1:30">
      <c r="A83" s="53" t="s">
        <v>854</v>
      </c>
      <c r="B83" s="53" t="s">
        <v>855</v>
      </c>
      <c r="C83" s="53" t="s">
        <v>856</v>
      </c>
      <c r="D83" s="53" t="s">
        <v>919</v>
      </c>
      <c r="E83" s="53" t="s">
        <v>108</v>
      </c>
      <c r="F83" s="53" t="s">
        <v>1030</v>
      </c>
      <c r="G83" s="53" t="s">
        <v>416</v>
      </c>
      <c r="H83" s="53" t="s">
        <v>1031</v>
      </c>
      <c r="I83" s="53" t="s">
        <v>861</v>
      </c>
      <c r="J83" s="53" t="s">
        <v>862</v>
      </c>
      <c r="K83" s="53" t="s">
        <v>29</v>
      </c>
      <c r="L83" s="53" t="s">
        <v>31</v>
      </c>
      <c r="M83" s="53" t="s">
        <v>740</v>
      </c>
      <c r="N83" s="53" t="s">
        <v>922</v>
      </c>
      <c r="O83" s="54">
        <v>1</v>
      </c>
      <c r="P83" s="54">
        <v>0</v>
      </c>
      <c r="Q83" s="54">
        <v>0</v>
      </c>
      <c r="R83" s="54">
        <v>1</v>
      </c>
      <c r="S83" s="54">
        <v>100</v>
      </c>
      <c r="T83" s="54">
        <v>0</v>
      </c>
      <c r="U83" s="54">
        <v>0</v>
      </c>
      <c r="V83" s="54">
        <v>100</v>
      </c>
      <c r="W83" s="54">
        <v>100</v>
      </c>
      <c r="X83" s="54">
        <v>0</v>
      </c>
      <c r="Y83" s="54">
        <v>0</v>
      </c>
      <c r="Z83" s="54">
        <v>30</v>
      </c>
      <c r="AA83" s="54">
        <v>0</v>
      </c>
      <c r="AB83" s="54">
        <v>0</v>
      </c>
      <c r="AC83" s="54">
        <v>70</v>
      </c>
      <c r="AD83" s="53" t="s">
        <v>864</v>
      </c>
    </row>
    <row r="84" spans="1:30">
      <c r="A84" s="53" t="s">
        <v>854</v>
      </c>
      <c r="B84" s="53" t="s">
        <v>855</v>
      </c>
      <c r="C84" s="53" t="s">
        <v>856</v>
      </c>
      <c r="D84" s="53" t="s">
        <v>919</v>
      </c>
      <c r="E84" s="53" t="s">
        <v>108</v>
      </c>
      <c r="F84" s="53" t="s">
        <v>1032</v>
      </c>
      <c r="G84" s="53" t="s">
        <v>418</v>
      </c>
      <c r="H84" s="53" t="s">
        <v>1033</v>
      </c>
      <c r="I84" s="53" t="s">
        <v>861</v>
      </c>
      <c r="J84" s="53" t="s">
        <v>862</v>
      </c>
      <c r="K84" s="53" t="s">
        <v>29</v>
      </c>
      <c r="L84" s="53" t="s">
        <v>31</v>
      </c>
      <c r="M84" s="53" t="s">
        <v>740</v>
      </c>
      <c r="N84" s="53" t="s">
        <v>922</v>
      </c>
      <c r="O84" s="54">
        <v>1</v>
      </c>
      <c r="P84" s="54">
        <v>0</v>
      </c>
      <c r="Q84" s="54">
        <v>0</v>
      </c>
      <c r="R84" s="54">
        <v>1</v>
      </c>
      <c r="S84" s="54">
        <v>100</v>
      </c>
      <c r="T84" s="54">
        <v>0</v>
      </c>
      <c r="U84" s="54">
        <v>0</v>
      </c>
      <c r="V84" s="54">
        <v>100</v>
      </c>
      <c r="W84" s="54">
        <v>100</v>
      </c>
      <c r="X84" s="54">
        <v>0</v>
      </c>
      <c r="Y84" s="54">
        <v>0</v>
      </c>
      <c r="Z84" s="54">
        <v>30</v>
      </c>
      <c r="AA84" s="54">
        <v>0</v>
      </c>
      <c r="AB84" s="54">
        <v>0</v>
      </c>
      <c r="AC84" s="54">
        <v>70</v>
      </c>
      <c r="AD84" s="53" t="s">
        <v>864</v>
      </c>
    </row>
    <row r="85" spans="1:30">
      <c r="A85" s="53" t="s">
        <v>854</v>
      </c>
      <c r="B85" s="53" t="s">
        <v>855</v>
      </c>
      <c r="C85" s="53" t="s">
        <v>856</v>
      </c>
      <c r="D85" s="53" t="s">
        <v>919</v>
      </c>
      <c r="E85" s="53" t="s">
        <v>108</v>
      </c>
      <c r="F85" s="53" t="s">
        <v>1034</v>
      </c>
      <c r="G85" s="53" t="s">
        <v>422</v>
      </c>
      <c r="H85" s="53" t="s">
        <v>1035</v>
      </c>
      <c r="I85" s="53" t="s">
        <v>861</v>
      </c>
      <c r="J85" s="53" t="s">
        <v>862</v>
      </c>
      <c r="K85" s="53" t="s">
        <v>29</v>
      </c>
      <c r="L85" s="53" t="s">
        <v>31</v>
      </c>
      <c r="M85" s="53" t="s">
        <v>740</v>
      </c>
      <c r="N85" s="53" t="s">
        <v>922</v>
      </c>
      <c r="O85" s="54">
        <v>1</v>
      </c>
      <c r="P85" s="54">
        <v>0</v>
      </c>
      <c r="Q85" s="54">
        <v>0</v>
      </c>
      <c r="R85" s="54">
        <v>1</v>
      </c>
      <c r="S85" s="54">
        <v>100</v>
      </c>
      <c r="T85" s="54">
        <v>0</v>
      </c>
      <c r="U85" s="54">
        <v>0</v>
      </c>
      <c r="V85" s="54">
        <v>100</v>
      </c>
      <c r="W85" s="54">
        <v>100</v>
      </c>
      <c r="X85" s="54">
        <v>0</v>
      </c>
      <c r="Y85" s="54">
        <v>0</v>
      </c>
      <c r="Z85" s="54">
        <v>30</v>
      </c>
      <c r="AA85" s="54">
        <v>0</v>
      </c>
      <c r="AB85" s="54">
        <v>0</v>
      </c>
      <c r="AC85" s="54">
        <v>70</v>
      </c>
      <c r="AD85" s="53" t="s">
        <v>864</v>
      </c>
    </row>
    <row r="86" spans="1:30">
      <c r="A86" s="53" t="s">
        <v>854</v>
      </c>
      <c r="B86" s="53" t="s">
        <v>855</v>
      </c>
      <c r="C86" s="53" t="s">
        <v>856</v>
      </c>
      <c r="D86" s="53" t="s">
        <v>919</v>
      </c>
      <c r="E86" s="53" t="s">
        <v>108</v>
      </c>
      <c r="F86" s="53" t="s">
        <v>1036</v>
      </c>
      <c r="G86" s="53" t="s">
        <v>424</v>
      </c>
      <c r="H86" s="53" t="s">
        <v>1037</v>
      </c>
      <c r="I86" s="53" t="s">
        <v>861</v>
      </c>
      <c r="J86" s="53" t="s">
        <v>862</v>
      </c>
      <c r="K86" s="53" t="s">
        <v>29</v>
      </c>
      <c r="L86" s="53" t="s">
        <v>31</v>
      </c>
      <c r="M86" s="53" t="s">
        <v>740</v>
      </c>
      <c r="N86" s="53" t="s">
        <v>922</v>
      </c>
      <c r="O86" s="54">
        <v>1</v>
      </c>
      <c r="P86" s="54">
        <v>0</v>
      </c>
      <c r="Q86" s="54">
        <v>0</v>
      </c>
      <c r="R86" s="54">
        <v>1</v>
      </c>
      <c r="S86" s="54">
        <v>100</v>
      </c>
      <c r="T86" s="54">
        <v>0</v>
      </c>
      <c r="U86" s="54">
        <v>0</v>
      </c>
      <c r="V86" s="54">
        <v>100</v>
      </c>
      <c r="W86" s="54">
        <v>100</v>
      </c>
      <c r="X86" s="54">
        <v>0</v>
      </c>
      <c r="Y86" s="54">
        <v>0</v>
      </c>
      <c r="Z86" s="54">
        <v>30</v>
      </c>
      <c r="AA86" s="54">
        <v>0</v>
      </c>
      <c r="AB86" s="54">
        <v>0</v>
      </c>
      <c r="AC86" s="54">
        <v>70</v>
      </c>
      <c r="AD86" s="53" t="s">
        <v>864</v>
      </c>
    </row>
    <row r="87" spans="1:30">
      <c r="A87" s="53" t="s">
        <v>854</v>
      </c>
      <c r="B87" s="53" t="s">
        <v>855</v>
      </c>
      <c r="C87" s="53" t="s">
        <v>856</v>
      </c>
      <c r="D87" s="53" t="s">
        <v>919</v>
      </c>
      <c r="E87" s="53" t="s">
        <v>108</v>
      </c>
      <c r="F87" s="53" t="s">
        <v>1038</v>
      </c>
      <c r="G87" s="53" t="s">
        <v>426</v>
      </c>
      <c r="H87" s="53" t="s">
        <v>1039</v>
      </c>
      <c r="I87" s="53" t="s">
        <v>861</v>
      </c>
      <c r="J87" s="53" t="s">
        <v>862</v>
      </c>
      <c r="K87" s="53" t="s">
        <v>29</v>
      </c>
      <c r="L87" s="53" t="s">
        <v>31</v>
      </c>
      <c r="M87" s="53" t="s">
        <v>740</v>
      </c>
      <c r="N87" s="53" t="s">
        <v>922</v>
      </c>
      <c r="O87" s="54">
        <v>1</v>
      </c>
      <c r="P87" s="54">
        <v>0</v>
      </c>
      <c r="Q87" s="54">
        <v>0</v>
      </c>
      <c r="R87" s="54">
        <v>1</v>
      </c>
      <c r="S87" s="54">
        <v>100</v>
      </c>
      <c r="T87" s="54">
        <v>0</v>
      </c>
      <c r="U87" s="54">
        <v>0</v>
      </c>
      <c r="V87" s="54">
        <v>100</v>
      </c>
      <c r="W87" s="54">
        <v>100</v>
      </c>
      <c r="X87" s="54">
        <v>0</v>
      </c>
      <c r="Y87" s="54">
        <v>0</v>
      </c>
      <c r="Z87" s="54">
        <v>30</v>
      </c>
      <c r="AA87" s="54">
        <v>0</v>
      </c>
      <c r="AB87" s="54">
        <v>0</v>
      </c>
      <c r="AC87" s="54">
        <v>70</v>
      </c>
      <c r="AD87" s="53" t="s">
        <v>864</v>
      </c>
    </row>
    <row r="88" spans="1:30">
      <c r="A88" s="53" t="s">
        <v>854</v>
      </c>
      <c r="B88" s="53" t="s">
        <v>855</v>
      </c>
      <c r="C88" s="53" t="s">
        <v>856</v>
      </c>
      <c r="D88" s="53" t="s">
        <v>919</v>
      </c>
      <c r="E88" s="53" t="s">
        <v>108</v>
      </c>
      <c r="F88" s="53" t="s">
        <v>1040</v>
      </c>
      <c r="G88" s="53" t="s">
        <v>428</v>
      </c>
      <c r="H88" s="53" t="s">
        <v>1041</v>
      </c>
      <c r="I88" s="53" t="s">
        <v>861</v>
      </c>
      <c r="J88" s="53" t="s">
        <v>862</v>
      </c>
      <c r="K88" s="53" t="s">
        <v>29</v>
      </c>
      <c r="L88" s="53" t="s">
        <v>31</v>
      </c>
      <c r="M88" s="53" t="s">
        <v>740</v>
      </c>
      <c r="N88" s="53" t="s">
        <v>922</v>
      </c>
      <c r="O88" s="54">
        <v>1</v>
      </c>
      <c r="P88" s="54">
        <v>0</v>
      </c>
      <c r="Q88" s="54">
        <v>0</v>
      </c>
      <c r="R88" s="54">
        <v>1</v>
      </c>
      <c r="S88" s="54">
        <v>100</v>
      </c>
      <c r="T88" s="54">
        <v>0</v>
      </c>
      <c r="U88" s="54">
        <v>0</v>
      </c>
      <c r="V88" s="54">
        <v>100</v>
      </c>
      <c r="W88" s="54">
        <v>100</v>
      </c>
      <c r="X88" s="54">
        <v>0</v>
      </c>
      <c r="Y88" s="54">
        <v>0</v>
      </c>
      <c r="Z88" s="54">
        <v>30</v>
      </c>
      <c r="AA88" s="54">
        <v>0</v>
      </c>
      <c r="AB88" s="54">
        <v>0</v>
      </c>
      <c r="AC88" s="54">
        <v>70</v>
      </c>
      <c r="AD88" s="53" t="s">
        <v>864</v>
      </c>
    </row>
    <row r="89" spans="1:30">
      <c r="A89" s="53" t="s">
        <v>854</v>
      </c>
      <c r="B89" s="53" t="s">
        <v>855</v>
      </c>
      <c r="C89" s="53" t="s">
        <v>856</v>
      </c>
      <c r="D89" s="53" t="s">
        <v>919</v>
      </c>
      <c r="E89" s="53" t="s">
        <v>108</v>
      </c>
      <c r="F89" s="53" t="s">
        <v>1042</v>
      </c>
      <c r="G89" s="53" t="s">
        <v>430</v>
      </c>
      <c r="H89" s="53" t="s">
        <v>1043</v>
      </c>
      <c r="I89" s="53" t="s">
        <v>861</v>
      </c>
      <c r="J89" s="53" t="s">
        <v>862</v>
      </c>
      <c r="K89" s="53" t="s">
        <v>29</v>
      </c>
      <c r="L89" s="53" t="s">
        <v>31</v>
      </c>
      <c r="M89" s="53" t="s">
        <v>740</v>
      </c>
      <c r="N89" s="53" t="s">
        <v>922</v>
      </c>
      <c r="O89" s="54">
        <v>1</v>
      </c>
      <c r="P89" s="54">
        <v>0</v>
      </c>
      <c r="Q89" s="54">
        <v>0</v>
      </c>
      <c r="R89" s="54">
        <v>1</v>
      </c>
      <c r="S89" s="54">
        <v>100</v>
      </c>
      <c r="T89" s="54">
        <v>0</v>
      </c>
      <c r="U89" s="54">
        <v>0</v>
      </c>
      <c r="V89" s="54">
        <v>100</v>
      </c>
      <c r="W89" s="54">
        <v>100</v>
      </c>
      <c r="X89" s="54">
        <v>0</v>
      </c>
      <c r="Y89" s="54">
        <v>0</v>
      </c>
      <c r="Z89" s="54">
        <v>30</v>
      </c>
      <c r="AA89" s="54">
        <v>0</v>
      </c>
      <c r="AB89" s="54">
        <v>0</v>
      </c>
      <c r="AC89" s="54">
        <v>70</v>
      </c>
      <c r="AD89" s="53" t="s">
        <v>864</v>
      </c>
    </row>
    <row r="90" spans="1:30">
      <c r="A90" s="53" t="s">
        <v>854</v>
      </c>
      <c r="B90" s="53" t="s">
        <v>855</v>
      </c>
      <c r="C90" s="53" t="s">
        <v>856</v>
      </c>
      <c r="D90" s="53" t="s">
        <v>919</v>
      </c>
      <c r="E90" s="53" t="s">
        <v>108</v>
      </c>
      <c r="F90" s="53" t="s">
        <v>1044</v>
      </c>
      <c r="G90" s="53" t="s">
        <v>432</v>
      </c>
      <c r="H90" s="53" t="s">
        <v>1045</v>
      </c>
      <c r="I90" s="53" t="s">
        <v>861</v>
      </c>
      <c r="J90" s="53" t="s">
        <v>862</v>
      </c>
      <c r="K90" s="53" t="s">
        <v>29</v>
      </c>
      <c r="L90" s="53" t="s">
        <v>31</v>
      </c>
      <c r="M90" s="53" t="s">
        <v>740</v>
      </c>
      <c r="N90" s="53" t="s">
        <v>922</v>
      </c>
      <c r="O90" s="54">
        <v>1</v>
      </c>
      <c r="P90" s="54">
        <v>0</v>
      </c>
      <c r="Q90" s="54">
        <v>0</v>
      </c>
      <c r="R90" s="54">
        <v>1</v>
      </c>
      <c r="S90" s="54">
        <v>100</v>
      </c>
      <c r="T90" s="54">
        <v>0</v>
      </c>
      <c r="U90" s="54">
        <v>0</v>
      </c>
      <c r="V90" s="54">
        <v>100</v>
      </c>
      <c r="W90" s="54">
        <v>100</v>
      </c>
      <c r="X90" s="54">
        <v>0</v>
      </c>
      <c r="Y90" s="54">
        <v>0</v>
      </c>
      <c r="Z90" s="54">
        <v>30</v>
      </c>
      <c r="AA90" s="54">
        <v>0</v>
      </c>
      <c r="AB90" s="54">
        <v>0</v>
      </c>
      <c r="AC90" s="54">
        <v>70</v>
      </c>
      <c r="AD90" s="53" t="s">
        <v>864</v>
      </c>
    </row>
    <row r="91" spans="1:30">
      <c r="A91" s="53" t="s">
        <v>854</v>
      </c>
      <c r="B91" s="53" t="s">
        <v>855</v>
      </c>
      <c r="C91" s="53" t="s">
        <v>856</v>
      </c>
      <c r="D91" s="53" t="s">
        <v>919</v>
      </c>
      <c r="E91" s="53" t="s">
        <v>108</v>
      </c>
      <c r="F91" s="53" t="s">
        <v>1046</v>
      </c>
      <c r="G91" s="53" t="s">
        <v>434</v>
      </c>
      <c r="H91" s="53" t="s">
        <v>1047</v>
      </c>
      <c r="I91" s="53" t="s">
        <v>861</v>
      </c>
      <c r="J91" s="53" t="s">
        <v>862</v>
      </c>
      <c r="K91" s="53" t="s">
        <v>29</v>
      </c>
      <c r="L91" s="53" t="s">
        <v>31</v>
      </c>
      <c r="M91" s="53" t="s">
        <v>740</v>
      </c>
      <c r="N91" s="53" t="s">
        <v>922</v>
      </c>
      <c r="O91" s="54">
        <v>1</v>
      </c>
      <c r="P91" s="54">
        <v>0</v>
      </c>
      <c r="Q91" s="54">
        <v>0</v>
      </c>
      <c r="R91" s="54">
        <v>1</v>
      </c>
      <c r="S91" s="54">
        <v>100</v>
      </c>
      <c r="T91" s="54">
        <v>0</v>
      </c>
      <c r="U91" s="54">
        <v>0</v>
      </c>
      <c r="V91" s="54">
        <v>100</v>
      </c>
      <c r="W91" s="54">
        <v>0</v>
      </c>
      <c r="X91" s="54">
        <v>0</v>
      </c>
      <c r="Y91" s="54">
        <v>100</v>
      </c>
      <c r="Z91" s="54">
        <v>0</v>
      </c>
      <c r="AA91" s="54">
        <v>30</v>
      </c>
      <c r="AB91" s="54">
        <v>0</v>
      </c>
      <c r="AC91" s="54">
        <v>70</v>
      </c>
      <c r="AD91" s="53" t="s">
        <v>864</v>
      </c>
    </row>
    <row r="92" spans="1:30">
      <c r="A92" s="53" t="s">
        <v>854</v>
      </c>
      <c r="B92" s="53" t="s">
        <v>855</v>
      </c>
      <c r="C92" s="53" t="s">
        <v>856</v>
      </c>
      <c r="D92" s="53" t="s">
        <v>919</v>
      </c>
      <c r="E92" s="53" t="s">
        <v>108</v>
      </c>
      <c r="F92" s="53" t="s">
        <v>1048</v>
      </c>
      <c r="G92" s="53" t="s">
        <v>436</v>
      </c>
      <c r="H92" s="53" t="s">
        <v>1049</v>
      </c>
      <c r="I92" s="53" t="s">
        <v>861</v>
      </c>
      <c r="J92" s="53" t="s">
        <v>862</v>
      </c>
      <c r="K92" s="53" t="s">
        <v>29</v>
      </c>
      <c r="L92" s="53" t="s">
        <v>31</v>
      </c>
      <c r="M92" s="53" t="s">
        <v>740</v>
      </c>
      <c r="N92" s="53" t="s">
        <v>922</v>
      </c>
      <c r="O92" s="54">
        <v>1</v>
      </c>
      <c r="P92" s="54">
        <v>0</v>
      </c>
      <c r="Q92" s="54">
        <v>0</v>
      </c>
      <c r="R92" s="54">
        <v>1</v>
      </c>
      <c r="S92" s="54">
        <v>100</v>
      </c>
      <c r="T92" s="54">
        <v>0</v>
      </c>
      <c r="U92" s="54">
        <v>0</v>
      </c>
      <c r="V92" s="54">
        <v>100</v>
      </c>
      <c r="W92" s="54">
        <v>0</v>
      </c>
      <c r="X92" s="54">
        <v>0</v>
      </c>
      <c r="Y92" s="54">
        <v>100</v>
      </c>
      <c r="Z92" s="54">
        <v>0</v>
      </c>
      <c r="AA92" s="54">
        <v>30</v>
      </c>
      <c r="AB92" s="54">
        <v>0</v>
      </c>
      <c r="AC92" s="54">
        <v>70</v>
      </c>
      <c r="AD92" s="53" t="s">
        <v>864</v>
      </c>
    </row>
    <row r="93" spans="1:30">
      <c r="A93" s="53" t="s">
        <v>854</v>
      </c>
      <c r="B93" s="53" t="s">
        <v>855</v>
      </c>
      <c r="C93" s="53" t="s">
        <v>856</v>
      </c>
      <c r="D93" s="53" t="s">
        <v>919</v>
      </c>
      <c r="E93" s="53" t="s">
        <v>108</v>
      </c>
      <c r="F93" s="53" t="s">
        <v>1050</v>
      </c>
      <c r="G93" s="53" t="s">
        <v>438</v>
      </c>
      <c r="H93" s="53" t="s">
        <v>1051</v>
      </c>
      <c r="I93" s="53" t="s">
        <v>861</v>
      </c>
      <c r="J93" s="53" t="s">
        <v>862</v>
      </c>
      <c r="K93" s="53" t="s">
        <v>29</v>
      </c>
      <c r="L93" s="53" t="s">
        <v>31</v>
      </c>
      <c r="M93" s="53" t="s">
        <v>740</v>
      </c>
      <c r="N93" s="53" t="s">
        <v>922</v>
      </c>
      <c r="O93" s="54">
        <v>1</v>
      </c>
      <c r="P93" s="54">
        <v>0</v>
      </c>
      <c r="Q93" s="54">
        <v>0</v>
      </c>
      <c r="R93" s="54">
        <v>1</v>
      </c>
      <c r="S93" s="54">
        <v>100</v>
      </c>
      <c r="T93" s="54">
        <v>0</v>
      </c>
      <c r="U93" s="54">
        <v>0</v>
      </c>
      <c r="V93" s="54">
        <v>100</v>
      </c>
      <c r="W93" s="54">
        <v>100</v>
      </c>
      <c r="X93" s="54">
        <v>0</v>
      </c>
      <c r="Y93" s="54">
        <v>0</v>
      </c>
      <c r="Z93" s="54">
        <v>30</v>
      </c>
      <c r="AA93" s="54">
        <v>0</v>
      </c>
      <c r="AB93" s="54">
        <v>0</v>
      </c>
      <c r="AC93" s="54">
        <v>70</v>
      </c>
      <c r="AD93" s="53" t="s">
        <v>864</v>
      </c>
    </row>
    <row r="94" spans="1:30">
      <c r="A94" s="53" t="s">
        <v>854</v>
      </c>
      <c r="B94" s="53" t="s">
        <v>855</v>
      </c>
      <c r="C94" s="53" t="s">
        <v>856</v>
      </c>
      <c r="D94" s="53" t="s">
        <v>919</v>
      </c>
      <c r="E94" s="53" t="s">
        <v>108</v>
      </c>
      <c r="F94" s="53" t="s">
        <v>1052</v>
      </c>
      <c r="G94" s="53" t="s">
        <v>440</v>
      </c>
      <c r="H94" s="53" t="s">
        <v>1053</v>
      </c>
      <c r="I94" s="53" t="s">
        <v>861</v>
      </c>
      <c r="J94" s="53" t="s">
        <v>862</v>
      </c>
      <c r="K94" s="53" t="s">
        <v>29</v>
      </c>
      <c r="L94" s="53" t="s">
        <v>31</v>
      </c>
      <c r="M94" s="53" t="s">
        <v>740</v>
      </c>
      <c r="N94" s="53" t="s">
        <v>922</v>
      </c>
      <c r="O94" s="54">
        <v>1</v>
      </c>
      <c r="P94" s="54">
        <v>0</v>
      </c>
      <c r="Q94" s="54">
        <v>0</v>
      </c>
      <c r="R94" s="54">
        <v>1</v>
      </c>
      <c r="S94" s="54">
        <v>100</v>
      </c>
      <c r="T94" s="54">
        <v>0</v>
      </c>
      <c r="U94" s="54">
        <v>0</v>
      </c>
      <c r="V94" s="54">
        <v>100</v>
      </c>
      <c r="W94" s="54">
        <v>100</v>
      </c>
      <c r="X94" s="54">
        <v>0</v>
      </c>
      <c r="Y94" s="54">
        <v>0</v>
      </c>
      <c r="Z94" s="54">
        <v>30</v>
      </c>
      <c r="AA94" s="54">
        <v>0</v>
      </c>
      <c r="AB94" s="54">
        <v>0</v>
      </c>
      <c r="AC94" s="54">
        <v>70</v>
      </c>
      <c r="AD94" s="53" t="s">
        <v>864</v>
      </c>
    </row>
    <row r="95" spans="1:30">
      <c r="A95" s="53" t="s">
        <v>854</v>
      </c>
      <c r="B95" s="53" t="s">
        <v>855</v>
      </c>
      <c r="C95" s="53" t="s">
        <v>856</v>
      </c>
      <c r="D95" s="53" t="s">
        <v>919</v>
      </c>
      <c r="E95" s="53" t="s">
        <v>108</v>
      </c>
      <c r="F95" s="53" t="s">
        <v>1054</v>
      </c>
      <c r="G95" s="53" t="s">
        <v>442</v>
      </c>
      <c r="H95" s="53" t="s">
        <v>1055</v>
      </c>
      <c r="I95" s="53" t="s">
        <v>861</v>
      </c>
      <c r="J95" s="53" t="s">
        <v>862</v>
      </c>
      <c r="K95" s="53" t="s">
        <v>29</v>
      </c>
      <c r="L95" s="53" t="s">
        <v>31</v>
      </c>
      <c r="M95" s="53" t="s">
        <v>740</v>
      </c>
      <c r="N95" s="53" t="s">
        <v>922</v>
      </c>
      <c r="O95" s="54">
        <v>1</v>
      </c>
      <c r="P95" s="54">
        <v>0</v>
      </c>
      <c r="Q95" s="54">
        <v>0</v>
      </c>
      <c r="R95" s="54">
        <v>1</v>
      </c>
      <c r="S95" s="54">
        <v>100</v>
      </c>
      <c r="T95" s="54">
        <v>0</v>
      </c>
      <c r="U95" s="54">
        <v>0</v>
      </c>
      <c r="V95" s="54">
        <v>100</v>
      </c>
      <c r="W95" s="54">
        <v>100</v>
      </c>
      <c r="X95" s="54">
        <v>0</v>
      </c>
      <c r="Y95" s="54">
        <v>0</v>
      </c>
      <c r="Z95" s="54">
        <v>30</v>
      </c>
      <c r="AA95" s="54">
        <v>0</v>
      </c>
      <c r="AB95" s="54">
        <v>0</v>
      </c>
      <c r="AC95" s="54">
        <v>70</v>
      </c>
      <c r="AD95" s="53" t="s">
        <v>864</v>
      </c>
    </row>
    <row r="96" spans="1:30">
      <c r="A96" s="53" t="s">
        <v>854</v>
      </c>
      <c r="B96" s="53" t="s">
        <v>855</v>
      </c>
      <c r="C96" s="53" t="s">
        <v>856</v>
      </c>
      <c r="D96" s="53" t="s">
        <v>919</v>
      </c>
      <c r="E96" s="53" t="s">
        <v>108</v>
      </c>
      <c r="F96" s="53" t="s">
        <v>1056</v>
      </c>
      <c r="G96" s="53" t="s">
        <v>444</v>
      </c>
      <c r="H96" s="53" t="s">
        <v>1057</v>
      </c>
      <c r="I96" s="53" t="s">
        <v>861</v>
      </c>
      <c r="J96" s="53" t="s">
        <v>862</v>
      </c>
      <c r="K96" s="53" t="s">
        <v>29</v>
      </c>
      <c r="L96" s="53" t="s">
        <v>31</v>
      </c>
      <c r="M96" s="53" t="s">
        <v>740</v>
      </c>
      <c r="N96" s="53" t="s">
        <v>922</v>
      </c>
      <c r="O96" s="54">
        <v>1</v>
      </c>
      <c r="P96" s="54">
        <v>0</v>
      </c>
      <c r="Q96" s="54">
        <v>0</v>
      </c>
      <c r="R96" s="54">
        <v>1</v>
      </c>
      <c r="S96" s="54">
        <v>100</v>
      </c>
      <c r="T96" s="54">
        <v>0</v>
      </c>
      <c r="U96" s="54">
        <v>0</v>
      </c>
      <c r="V96" s="54">
        <v>100</v>
      </c>
      <c r="W96" s="54">
        <v>100</v>
      </c>
      <c r="X96" s="54">
        <v>0</v>
      </c>
      <c r="Y96" s="54">
        <v>0</v>
      </c>
      <c r="Z96" s="54">
        <v>30</v>
      </c>
      <c r="AA96" s="54">
        <v>0</v>
      </c>
      <c r="AB96" s="54">
        <v>0</v>
      </c>
      <c r="AC96" s="54">
        <v>70</v>
      </c>
      <c r="AD96" s="53" t="s">
        <v>864</v>
      </c>
    </row>
    <row r="97" spans="1:30">
      <c r="A97" s="53" t="s">
        <v>854</v>
      </c>
      <c r="B97" s="53" t="s">
        <v>855</v>
      </c>
      <c r="C97" s="53" t="s">
        <v>856</v>
      </c>
      <c r="D97" s="53" t="s">
        <v>919</v>
      </c>
      <c r="E97" s="53" t="s">
        <v>108</v>
      </c>
      <c r="F97" s="53" t="s">
        <v>1058</v>
      </c>
      <c r="G97" s="53" t="s">
        <v>446</v>
      </c>
      <c r="H97" s="53" t="s">
        <v>1059</v>
      </c>
      <c r="I97" s="53" t="s">
        <v>861</v>
      </c>
      <c r="J97" s="53" t="s">
        <v>862</v>
      </c>
      <c r="K97" s="53" t="s">
        <v>29</v>
      </c>
      <c r="L97" s="53" t="s">
        <v>31</v>
      </c>
      <c r="M97" s="53" t="s">
        <v>740</v>
      </c>
      <c r="N97" s="53" t="s">
        <v>922</v>
      </c>
      <c r="O97" s="54">
        <v>1</v>
      </c>
      <c r="P97" s="54">
        <v>0</v>
      </c>
      <c r="Q97" s="54">
        <v>0</v>
      </c>
      <c r="R97" s="54">
        <v>1</v>
      </c>
      <c r="S97" s="54">
        <v>100</v>
      </c>
      <c r="T97" s="54">
        <v>0</v>
      </c>
      <c r="U97" s="54">
        <v>0</v>
      </c>
      <c r="V97" s="54">
        <v>100</v>
      </c>
      <c r="W97" s="54">
        <v>100</v>
      </c>
      <c r="X97" s="54">
        <v>0</v>
      </c>
      <c r="Y97" s="54">
        <v>0</v>
      </c>
      <c r="Z97" s="54">
        <v>30</v>
      </c>
      <c r="AA97" s="54">
        <v>0</v>
      </c>
      <c r="AB97" s="54">
        <v>0</v>
      </c>
      <c r="AC97" s="54">
        <v>70</v>
      </c>
      <c r="AD97" s="53" t="s">
        <v>864</v>
      </c>
    </row>
    <row r="98" spans="1:30">
      <c r="A98" s="53" t="s">
        <v>854</v>
      </c>
      <c r="B98" s="53" t="s">
        <v>855</v>
      </c>
      <c r="C98" s="53" t="s">
        <v>856</v>
      </c>
      <c r="D98" s="53" t="s">
        <v>919</v>
      </c>
      <c r="E98" s="53" t="s">
        <v>108</v>
      </c>
      <c r="F98" s="53" t="s">
        <v>1060</v>
      </c>
      <c r="G98" s="53" t="s">
        <v>448</v>
      </c>
      <c r="H98" s="53" t="s">
        <v>1061</v>
      </c>
      <c r="I98" s="53" t="s">
        <v>861</v>
      </c>
      <c r="J98" s="53" t="s">
        <v>862</v>
      </c>
      <c r="K98" s="53" t="s">
        <v>29</v>
      </c>
      <c r="L98" s="53" t="s">
        <v>31</v>
      </c>
      <c r="M98" s="53" t="s">
        <v>740</v>
      </c>
      <c r="N98" s="53" t="s">
        <v>922</v>
      </c>
      <c r="O98" s="54">
        <v>1</v>
      </c>
      <c r="P98" s="54">
        <v>0</v>
      </c>
      <c r="Q98" s="54">
        <v>0</v>
      </c>
      <c r="R98" s="54">
        <v>1</v>
      </c>
      <c r="S98" s="54">
        <v>100</v>
      </c>
      <c r="T98" s="54">
        <v>0</v>
      </c>
      <c r="U98" s="54">
        <v>0</v>
      </c>
      <c r="V98" s="54">
        <v>100</v>
      </c>
      <c r="W98" s="54">
        <v>100</v>
      </c>
      <c r="X98" s="54">
        <v>0</v>
      </c>
      <c r="Y98" s="54">
        <v>0</v>
      </c>
      <c r="Z98" s="54">
        <v>30</v>
      </c>
      <c r="AA98" s="54">
        <v>0</v>
      </c>
      <c r="AB98" s="54">
        <v>0</v>
      </c>
      <c r="AC98" s="54">
        <v>70</v>
      </c>
      <c r="AD98" s="53" t="s">
        <v>864</v>
      </c>
    </row>
    <row r="99" spans="1:30">
      <c r="A99" s="53" t="s">
        <v>854</v>
      </c>
      <c r="B99" s="53" t="s">
        <v>855</v>
      </c>
      <c r="C99" s="53" t="s">
        <v>856</v>
      </c>
      <c r="D99" s="53" t="s">
        <v>919</v>
      </c>
      <c r="E99" s="53" t="s">
        <v>108</v>
      </c>
      <c r="F99" s="53" t="s">
        <v>1062</v>
      </c>
      <c r="G99" s="53" t="s">
        <v>450</v>
      </c>
      <c r="H99" s="53" t="s">
        <v>1063</v>
      </c>
      <c r="I99" s="53" t="s">
        <v>861</v>
      </c>
      <c r="J99" s="53" t="s">
        <v>862</v>
      </c>
      <c r="K99" s="53" t="s">
        <v>29</v>
      </c>
      <c r="L99" s="53" t="s">
        <v>31</v>
      </c>
      <c r="M99" s="53" t="s">
        <v>740</v>
      </c>
      <c r="N99" s="53" t="s">
        <v>922</v>
      </c>
      <c r="O99" s="54">
        <v>1</v>
      </c>
      <c r="P99" s="54">
        <v>0</v>
      </c>
      <c r="Q99" s="54">
        <v>0</v>
      </c>
      <c r="R99" s="54">
        <v>1</v>
      </c>
      <c r="S99" s="54">
        <v>100</v>
      </c>
      <c r="T99" s="54">
        <v>0</v>
      </c>
      <c r="U99" s="54">
        <v>0</v>
      </c>
      <c r="V99" s="54">
        <v>100</v>
      </c>
      <c r="W99" s="54">
        <v>100</v>
      </c>
      <c r="X99" s="54">
        <v>0</v>
      </c>
      <c r="Y99" s="54">
        <v>0</v>
      </c>
      <c r="Z99" s="54">
        <v>30</v>
      </c>
      <c r="AA99" s="54">
        <v>0</v>
      </c>
      <c r="AB99" s="54">
        <v>0</v>
      </c>
      <c r="AC99" s="54">
        <v>70</v>
      </c>
      <c r="AD99" s="53" t="s">
        <v>864</v>
      </c>
    </row>
    <row r="100" spans="1:30">
      <c r="A100" s="53" t="s">
        <v>854</v>
      </c>
      <c r="B100" s="53" t="s">
        <v>855</v>
      </c>
      <c r="C100" s="53" t="s">
        <v>856</v>
      </c>
      <c r="D100" s="53" t="s">
        <v>919</v>
      </c>
      <c r="E100" s="53" t="s">
        <v>108</v>
      </c>
      <c r="F100" s="53" t="s">
        <v>1064</v>
      </c>
      <c r="G100" s="53" t="s">
        <v>452</v>
      </c>
      <c r="H100" s="53" t="s">
        <v>1065</v>
      </c>
      <c r="I100" s="53" t="s">
        <v>861</v>
      </c>
      <c r="J100" s="53" t="s">
        <v>862</v>
      </c>
      <c r="K100" s="53" t="s">
        <v>29</v>
      </c>
      <c r="L100" s="53" t="s">
        <v>31</v>
      </c>
      <c r="M100" s="53" t="s">
        <v>740</v>
      </c>
      <c r="N100" s="53" t="s">
        <v>922</v>
      </c>
      <c r="O100" s="54">
        <v>1</v>
      </c>
      <c r="P100" s="54">
        <v>0</v>
      </c>
      <c r="Q100" s="54">
        <v>0</v>
      </c>
      <c r="R100" s="54">
        <v>1</v>
      </c>
      <c r="S100" s="54">
        <v>100</v>
      </c>
      <c r="T100" s="54">
        <v>0</v>
      </c>
      <c r="U100" s="54">
        <v>0</v>
      </c>
      <c r="V100" s="54">
        <v>100</v>
      </c>
      <c r="W100" s="54">
        <v>100</v>
      </c>
      <c r="X100" s="54">
        <v>0</v>
      </c>
      <c r="Y100" s="54">
        <v>0</v>
      </c>
      <c r="Z100" s="54">
        <v>30</v>
      </c>
      <c r="AA100" s="54">
        <v>0</v>
      </c>
      <c r="AB100" s="54">
        <v>0</v>
      </c>
      <c r="AC100" s="54">
        <v>70</v>
      </c>
      <c r="AD100" s="53" t="s">
        <v>864</v>
      </c>
    </row>
    <row r="101" spans="1:30">
      <c r="A101" s="53" t="s">
        <v>854</v>
      </c>
      <c r="B101" s="53" t="s">
        <v>855</v>
      </c>
      <c r="C101" s="53" t="s">
        <v>856</v>
      </c>
      <c r="D101" s="53" t="s">
        <v>919</v>
      </c>
      <c r="E101" s="53" t="s">
        <v>108</v>
      </c>
      <c r="F101" s="53" t="s">
        <v>1066</v>
      </c>
      <c r="G101" s="53" t="s">
        <v>454</v>
      </c>
      <c r="H101" s="53" t="s">
        <v>1067</v>
      </c>
      <c r="I101" s="53" t="s">
        <v>861</v>
      </c>
      <c r="J101" s="53" t="s">
        <v>862</v>
      </c>
      <c r="K101" s="53" t="s">
        <v>29</v>
      </c>
      <c r="L101" s="53" t="s">
        <v>31</v>
      </c>
      <c r="M101" s="53" t="s">
        <v>740</v>
      </c>
      <c r="N101" s="53" t="s">
        <v>922</v>
      </c>
      <c r="O101" s="54">
        <v>1</v>
      </c>
      <c r="P101" s="54">
        <v>0</v>
      </c>
      <c r="Q101" s="54">
        <v>0</v>
      </c>
      <c r="R101" s="54">
        <v>1</v>
      </c>
      <c r="S101" s="54">
        <v>100</v>
      </c>
      <c r="T101" s="54">
        <v>0</v>
      </c>
      <c r="U101" s="54">
        <v>0</v>
      </c>
      <c r="V101" s="54">
        <v>100</v>
      </c>
      <c r="W101" s="54">
        <v>100</v>
      </c>
      <c r="X101" s="54">
        <v>0</v>
      </c>
      <c r="Y101" s="54">
        <v>0</v>
      </c>
      <c r="Z101" s="54">
        <v>30</v>
      </c>
      <c r="AA101" s="54">
        <v>0</v>
      </c>
      <c r="AB101" s="54">
        <v>0</v>
      </c>
      <c r="AC101" s="54">
        <v>70</v>
      </c>
      <c r="AD101" s="53" t="s">
        <v>864</v>
      </c>
    </row>
    <row r="102" spans="1:30">
      <c r="A102" s="53" t="s">
        <v>854</v>
      </c>
      <c r="B102" s="53" t="s">
        <v>855</v>
      </c>
      <c r="C102" s="53" t="s">
        <v>856</v>
      </c>
      <c r="D102" s="53" t="s">
        <v>919</v>
      </c>
      <c r="E102" s="53" t="s">
        <v>108</v>
      </c>
      <c r="F102" s="53" t="s">
        <v>1068</v>
      </c>
      <c r="G102" s="53" t="s">
        <v>456</v>
      </c>
      <c r="H102" s="53" t="s">
        <v>1069</v>
      </c>
      <c r="I102" s="53" t="s">
        <v>861</v>
      </c>
      <c r="J102" s="53" t="s">
        <v>862</v>
      </c>
      <c r="K102" s="53" t="s">
        <v>29</v>
      </c>
      <c r="L102" s="53" t="s">
        <v>31</v>
      </c>
      <c r="M102" s="53" t="s">
        <v>740</v>
      </c>
      <c r="N102" s="53" t="s">
        <v>922</v>
      </c>
      <c r="O102" s="54">
        <v>1</v>
      </c>
      <c r="P102" s="54">
        <v>0</v>
      </c>
      <c r="Q102" s="54">
        <v>0</v>
      </c>
      <c r="R102" s="54">
        <v>1</v>
      </c>
      <c r="S102" s="54">
        <v>100</v>
      </c>
      <c r="T102" s="54">
        <v>0</v>
      </c>
      <c r="U102" s="54">
        <v>0</v>
      </c>
      <c r="V102" s="54">
        <v>100</v>
      </c>
      <c r="W102" s="54">
        <v>100</v>
      </c>
      <c r="X102" s="54">
        <v>0</v>
      </c>
      <c r="Y102" s="54">
        <v>0</v>
      </c>
      <c r="Z102" s="54">
        <v>30</v>
      </c>
      <c r="AA102" s="54">
        <v>0</v>
      </c>
      <c r="AB102" s="54">
        <v>0</v>
      </c>
      <c r="AC102" s="54">
        <v>70</v>
      </c>
      <c r="AD102" s="53" t="s">
        <v>864</v>
      </c>
    </row>
    <row r="103" spans="1:30">
      <c r="A103" s="53" t="s">
        <v>854</v>
      </c>
      <c r="B103" s="53" t="s">
        <v>855</v>
      </c>
      <c r="C103" s="53" t="s">
        <v>856</v>
      </c>
      <c r="D103" s="53" t="s">
        <v>1070</v>
      </c>
      <c r="E103" s="53" t="s">
        <v>114</v>
      </c>
      <c r="F103" s="53" t="s">
        <v>1071</v>
      </c>
      <c r="G103" s="53" t="s">
        <v>1072</v>
      </c>
      <c r="H103" s="53" t="s">
        <v>1073</v>
      </c>
      <c r="I103" s="53" t="s">
        <v>861</v>
      </c>
      <c r="J103" s="53" t="s">
        <v>862</v>
      </c>
      <c r="K103" s="53" t="s">
        <v>29</v>
      </c>
      <c r="L103" s="53" t="s">
        <v>31</v>
      </c>
      <c r="M103" s="53" t="s">
        <v>740</v>
      </c>
      <c r="N103" s="53" t="s">
        <v>922</v>
      </c>
      <c r="O103" s="54">
        <v>1</v>
      </c>
      <c r="P103" s="54">
        <v>0</v>
      </c>
      <c r="Q103" s="54">
        <v>0</v>
      </c>
      <c r="R103" s="54">
        <v>1</v>
      </c>
      <c r="S103" s="54">
        <v>100</v>
      </c>
      <c r="T103" s="54">
        <v>0</v>
      </c>
      <c r="U103" s="54">
        <v>0</v>
      </c>
      <c r="V103" s="54">
        <v>100</v>
      </c>
      <c r="W103" s="54">
        <v>0</v>
      </c>
      <c r="X103" s="54">
        <v>0</v>
      </c>
      <c r="Y103" s="54">
        <v>100</v>
      </c>
      <c r="Z103" s="54">
        <v>0</v>
      </c>
      <c r="AA103" s="54">
        <v>30</v>
      </c>
      <c r="AB103" s="54">
        <v>0</v>
      </c>
      <c r="AC103" s="54">
        <v>70</v>
      </c>
      <c r="AD103" s="53" t="s">
        <v>864</v>
      </c>
    </row>
    <row r="104" spans="1:30">
      <c r="A104" s="53" t="s">
        <v>854</v>
      </c>
      <c r="B104" s="53" t="s">
        <v>855</v>
      </c>
      <c r="C104" s="53" t="s">
        <v>856</v>
      </c>
      <c r="D104" s="53" t="s">
        <v>1070</v>
      </c>
      <c r="E104" s="53" t="s">
        <v>114</v>
      </c>
      <c r="F104" s="53" t="s">
        <v>1074</v>
      </c>
      <c r="G104" s="53" t="s">
        <v>1075</v>
      </c>
      <c r="H104" s="53" t="s">
        <v>1076</v>
      </c>
      <c r="I104" s="53" t="s">
        <v>861</v>
      </c>
      <c r="J104" s="53" t="s">
        <v>862</v>
      </c>
      <c r="K104" s="53" t="s">
        <v>29</v>
      </c>
      <c r="L104" s="53" t="s">
        <v>31</v>
      </c>
      <c r="M104" s="53" t="s">
        <v>740</v>
      </c>
      <c r="N104" s="53" t="s">
        <v>922</v>
      </c>
      <c r="O104" s="54">
        <v>1</v>
      </c>
      <c r="P104" s="54">
        <v>0</v>
      </c>
      <c r="Q104" s="54">
        <v>0</v>
      </c>
      <c r="R104" s="54">
        <v>1</v>
      </c>
      <c r="S104" s="54">
        <v>100</v>
      </c>
      <c r="T104" s="54">
        <v>0</v>
      </c>
      <c r="U104" s="54">
        <v>0</v>
      </c>
      <c r="V104" s="54">
        <v>100</v>
      </c>
      <c r="W104" s="54">
        <v>0</v>
      </c>
      <c r="X104" s="54">
        <v>0</v>
      </c>
      <c r="Y104" s="54">
        <v>100</v>
      </c>
      <c r="Z104" s="54">
        <v>0</v>
      </c>
      <c r="AA104" s="54">
        <v>30</v>
      </c>
      <c r="AB104" s="54">
        <v>0</v>
      </c>
      <c r="AC104" s="54">
        <v>70</v>
      </c>
      <c r="AD104" s="53" t="s">
        <v>864</v>
      </c>
    </row>
    <row r="105" spans="1:30">
      <c r="A105" s="53" t="s">
        <v>854</v>
      </c>
      <c r="B105" s="53" t="s">
        <v>855</v>
      </c>
      <c r="C105" s="53" t="s">
        <v>856</v>
      </c>
      <c r="D105" s="53" t="s">
        <v>1070</v>
      </c>
      <c r="E105" s="53" t="s">
        <v>114</v>
      </c>
      <c r="F105" s="53" t="s">
        <v>1077</v>
      </c>
      <c r="G105" s="53" t="s">
        <v>1078</v>
      </c>
      <c r="H105" s="53" t="s">
        <v>1079</v>
      </c>
      <c r="I105" s="53" t="s">
        <v>861</v>
      </c>
      <c r="J105" s="53" t="s">
        <v>862</v>
      </c>
      <c r="K105" s="53" t="s">
        <v>29</v>
      </c>
      <c r="L105" s="53" t="s">
        <v>31</v>
      </c>
      <c r="M105" s="53" t="s">
        <v>740</v>
      </c>
      <c r="N105" s="53" t="s">
        <v>922</v>
      </c>
      <c r="O105" s="54">
        <v>1</v>
      </c>
      <c r="P105" s="54">
        <v>0</v>
      </c>
      <c r="Q105" s="54">
        <v>0</v>
      </c>
      <c r="R105" s="54">
        <v>1</v>
      </c>
      <c r="S105" s="54">
        <v>100</v>
      </c>
      <c r="T105" s="54">
        <v>0</v>
      </c>
      <c r="U105" s="54">
        <v>0</v>
      </c>
      <c r="V105" s="54">
        <v>100</v>
      </c>
      <c r="W105" s="54">
        <v>0</v>
      </c>
      <c r="X105" s="54">
        <v>0</v>
      </c>
      <c r="Y105" s="54">
        <v>100</v>
      </c>
      <c r="Z105" s="54">
        <v>0</v>
      </c>
      <c r="AA105" s="54">
        <v>30</v>
      </c>
      <c r="AB105" s="54">
        <v>0</v>
      </c>
      <c r="AC105" s="54">
        <v>70</v>
      </c>
      <c r="AD105" s="53" t="s">
        <v>864</v>
      </c>
    </row>
    <row r="106" spans="1:30">
      <c r="A106" s="53" t="s">
        <v>854</v>
      </c>
      <c r="B106" s="53" t="s">
        <v>855</v>
      </c>
      <c r="C106" s="53" t="s">
        <v>856</v>
      </c>
      <c r="D106" s="53" t="s">
        <v>1080</v>
      </c>
      <c r="E106" s="53" t="s">
        <v>108</v>
      </c>
      <c r="F106" s="53" t="s">
        <v>1081</v>
      </c>
      <c r="G106" s="53" t="s">
        <v>180</v>
      </c>
      <c r="H106" s="53" t="s">
        <v>1082</v>
      </c>
      <c r="I106" s="53" t="s">
        <v>861</v>
      </c>
      <c r="J106" s="53" t="s">
        <v>862</v>
      </c>
      <c r="K106" s="53" t="s">
        <v>29</v>
      </c>
      <c r="L106" s="53" t="s">
        <v>31</v>
      </c>
      <c r="M106" s="53" t="s">
        <v>740</v>
      </c>
      <c r="N106" s="53" t="s">
        <v>863</v>
      </c>
      <c r="O106" s="54">
        <v>1</v>
      </c>
      <c r="P106" s="54">
        <v>0</v>
      </c>
      <c r="Q106" s="54">
        <v>0</v>
      </c>
      <c r="R106" s="54">
        <v>1</v>
      </c>
      <c r="S106" s="54">
        <v>3200</v>
      </c>
      <c r="T106" s="54">
        <v>0</v>
      </c>
      <c r="U106" s="54">
        <v>0</v>
      </c>
      <c r="V106" s="54">
        <v>3200</v>
      </c>
      <c r="W106" s="54">
        <v>3200</v>
      </c>
      <c r="X106" s="54">
        <v>0</v>
      </c>
      <c r="Y106" s="54">
        <v>0</v>
      </c>
      <c r="Z106" s="54">
        <v>960</v>
      </c>
      <c r="AA106" s="54">
        <v>0</v>
      </c>
      <c r="AB106" s="54">
        <v>0</v>
      </c>
      <c r="AC106" s="54">
        <v>2240</v>
      </c>
      <c r="AD106" s="53" t="s">
        <v>864</v>
      </c>
    </row>
    <row r="107" spans="1:30">
      <c r="A107" s="53" t="s">
        <v>854</v>
      </c>
      <c r="B107" s="53" t="s">
        <v>855</v>
      </c>
      <c r="C107" s="53" t="s">
        <v>856</v>
      </c>
      <c r="D107" s="53" t="s">
        <v>1080</v>
      </c>
      <c r="E107" s="53" t="s">
        <v>108</v>
      </c>
      <c r="F107" s="53" t="s">
        <v>1083</v>
      </c>
      <c r="G107" s="53" t="s">
        <v>183</v>
      </c>
      <c r="H107" s="53" t="s">
        <v>1084</v>
      </c>
      <c r="I107" s="53" t="s">
        <v>861</v>
      </c>
      <c r="J107" s="53" t="s">
        <v>862</v>
      </c>
      <c r="K107" s="53" t="s">
        <v>29</v>
      </c>
      <c r="L107" s="53" t="s">
        <v>31</v>
      </c>
      <c r="M107" s="53" t="s">
        <v>740</v>
      </c>
      <c r="N107" s="53" t="s">
        <v>863</v>
      </c>
      <c r="O107" s="54">
        <v>1</v>
      </c>
      <c r="P107" s="54">
        <v>0</v>
      </c>
      <c r="Q107" s="54">
        <v>0</v>
      </c>
      <c r="R107" s="54">
        <v>1</v>
      </c>
      <c r="S107" s="54">
        <v>3200</v>
      </c>
      <c r="T107" s="54">
        <v>0</v>
      </c>
      <c r="U107" s="54">
        <v>0</v>
      </c>
      <c r="V107" s="54">
        <v>3200</v>
      </c>
      <c r="W107" s="54">
        <v>2840</v>
      </c>
      <c r="X107" s="54">
        <v>0</v>
      </c>
      <c r="Y107" s="54">
        <v>360</v>
      </c>
      <c r="Z107" s="54">
        <v>852</v>
      </c>
      <c r="AA107" s="54">
        <v>108</v>
      </c>
      <c r="AB107" s="54">
        <v>0</v>
      </c>
      <c r="AC107" s="54">
        <v>2240</v>
      </c>
      <c r="AD107" s="53" t="s">
        <v>864</v>
      </c>
    </row>
    <row r="108" spans="1:30">
      <c r="A108" s="53" t="s">
        <v>854</v>
      </c>
      <c r="B108" s="53" t="s">
        <v>855</v>
      </c>
      <c r="C108" s="53" t="s">
        <v>856</v>
      </c>
      <c r="D108" s="53" t="s">
        <v>1080</v>
      </c>
      <c r="E108" s="53" t="s">
        <v>108</v>
      </c>
      <c r="F108" s="53" t="s">
        <v>1085</v>
      </c>
      <c r="G108" s="53" t="s">
        <v>195</v>
      </c>
      <c r="H108" s="53" t="s">
        <v>1086</v>
      </c>
      <c r="I108" s="53" t="s">
        <v>861</v>
      </c>
      <c r="J108" s="53" t="s">
        <v>862</v>
      </c>
      <c r="K108" s="53" t="s">
        <v>29</v>
      </c>
      <c r="L108" s="53" t="s">
        <v>31</v>
      </c>
      <c r="M108" s="53" t="s">
        <v>740</v>
      </c>
      <c r="N108" s="53" t="s">
        <v>863</v>
      </c>
      <c r="O108" s="54">
        <v>1</v>
      </c>
      <c r="P108" s="54">
        <v>0</v>
      </c>
      <c r="Q108" s="54">
        <v>0</v>
      </c>
      <c r="R108" s="54">
        <v>1</v>
      </c>
      <c r="S108" s="54">
        <v>3200</v>
      </c>
      <c r="T108" s="54">
        <v>0</v>
      </c>
      <c r="U108" s="54">
        <v>0</v>
      </c>
      <c r="V108" s="54">
        <v>3200</v>
      </c>
      <c r="W108" s="54">
        <v>2640</v>
      </c>
      <c r="X108" s="54">
        <v>0</v>
      </c>
      <c r="Y108" s="54">
        <v>560</v>
      </c>
      <c r="Z108" s="54">
        <v>792</v>
      </c>
      <c r="AA108" s="54">
        <v>168</v>
      </c>
      <c r="AB108" s="54">
        <v>0</v>
      </c>
      <c r="AC108" s="54">
        <v>2240</v>
      </c>
      <c r="AD108" s="53" t="s">
        <v>864</v>
      </c>
    </row>
    <row r="109" spans="1:30">
      <c r="A109" s="53" t="s">
        <v>854</v>
      </c>
      <c r="B109" s="53" t="s">
        <v>855</v>
      </c>
      <c r="C109" s="53" t="s">
        <v>856</v>
      </c>
      <c r="D109" s="53" t="s">
        <v>1080</v>
      </c>
      <c r="E109" s="53" t="s">
        <v>108</v>
      </c>
      <c r="F109" s="53" t="s">
        <v>1087</v>
      </c>
      <c r="G109" s="53" t="s">
        <v>207</v>
      </c>
      <c r="H109" s="53" t="s">
        <v>1088</v>
      </c>
      <c r="I109" s="53" t="s">
        <v>861</v>
      </c>
      <c r="J109" s="53" t="s">
        <v>862</v>
      </c>
      <c r="K109" s="53" t="s">
        <v>29</v>
      </c>
      <c r="L109" s="53" t="s">
        <v>31</v>
      </c>
      <c r="M109" s="53" t="s">
        <v>740</v>
      </c>
      <c r="N109" s="53" t="s">
        <v>863</v>
      </c>
      <c r="O109" s="54">
        <v>1</v>
      </c>
      <c r="P109" s="54">
        <v>0</v>
      </c>
      <c r="Q109" s="54">
        <v>0</v>
      </c>
      <c r="R109" s="54">
        <v>1</v>
      </c>
      <c r="S109" s="54">
        <v>3200</v>
      </c>
      <c r="T109" s="54">
        <v>0</v>
      </c>
      <c r="U109" s="54">
        <v>0</v>
      </c>
      <c r="V109" s="54">
        <v>3200</v>
      </c>
      <c r="W109" s="54">
        <v>2800</v>
      </c>
      <c r="X109" s="54">
        <v>0</v>
      </c>
      <c r="Y109" s="54">
        <v>400</v>
      </c>
      <c r="Z109" s="54">
        <v>840</v>
      </c>
      <c r="AA109" s="54">
        <v>120</v>
      </c>
      <c r="AB109" s="54">
        <v>0</v>
      </c>
      <c r="AC109" s="54">
        <v>2240</v>
      </c>
      <c r="AD109" s="53" t="s">
        <v>864</v>
      </c>
    </row>
    <row r="110" spans="1:30">
      <c r="A110" s="53" t="s">
        <v>854</v>
      </c>
      <c r="B110" s="53" t="s">
        <v>855</v>
      </c>
      <c r="C110" s="53" t="s">
        <v>856</v>
      </c>
      <c r="D110" s="53" t="s">
        <v>1080</v>
      </c>
      <c r="E110" s="53" t="s">
        <v>108</v>
      </c>
      <c r="F110" s="53" t="s">
        <v>1089</v>
      </c>
      <c r="G110" s="53" t="s">
        <v>210</v>
      </c>
      <c r="H110" s="53" t="s">
        <v>1090</v>
      </c>
      <c r="I110" s="53" t="s">
        <v>861</v>
      </c>
      <c r="J110" s="53" t="s">
        <v>862</v>
      </c>
      <c r="K110" s="53" t="s">
        <v>29</v>
      </c>
      <c r="L110" s="53" t="s">
        <v>31</v>
      </c>
      <c r="M110" s="53" t="s">
        <v>740</v>
      </c>
      <c r="N110" s="53" t="s">
        <v>863</v>
      </c>
      <c r="O110" s="54">
        <v>1</v>
      </c>
      <c r="P110" s="54">
        <v>0</v>
      </c>
      <c r="Q110" s="54">
        <v>0</v>
      </c>
      <c r="R110" s="54">
        <v>1</v>
      </c>
      <c r="S110" s="54">
        <v>3200</v>
      </c>
      <c r="T110" s="54">
        <v>0</v>
      </c>
      <c r="U110" s="54">
        <v>0</v>
      </c>
      <c r="V110" s="54">
        <v>3200</v>
      </c>
      <c r="W110" s="54">
        <v>3040</v>
      </c>
      <c r="X110" s="54">
        <v>0</v>
      </c>
      <c r="Y110" s="54">
        <v>160</v>
      </c>
      <c r="Z110" s="54">
        <v>912</v>
      </c>
      <c r="AA110" s="54">
        <v>48</v>
      </c>
      <c r="AB110" s="54">
        <v>0</v>
      </c>
      <c r="AC110" s="54">
        <v>2240</v>
      </c>
      <c r="AD110" s="53" t="s">
        <v>864</v>
      </c>
    </row>
    <row r="111" spans="1:30">
      <c r="A111" s="53" t="s">
        <v>854</v>
      </c>
      <c r="B111" s="53" t="s">
        <v>855</v>
      </c>
      <c r="C111" s="53" t="s">
        <v>856</v>
      </c>
      <c r="D111" s="53" t="s">
        <v>1080</v>
      </c>
      <c r="E111" s="53" t="s">
        <v>108</v>
      </c>
      <c r="F111" s="53" t="s">
        <v>1091</v>
      </c>
      <c r="G111" s="53" t="s">
        <v>175</v>
      </c>
      <c r="H111" s="53" t="s">
        <v>1092</v>
      </c>
      <c r="I111" s="53" t="s">
        <v>861</v>
      </c>
      <c r="J111" s="53" t="s">
        <v>862</v>
      </c>
      <c r="K111" s="53" t="s">
        <v>29</v>
      </c>
      <c r="L111" s="53" t="s">
        <v>31</v>
      </c>
      <c r="M111" s="53" t="s">
        <v>740</v>
      </c>
      <c r="N111" s="53" t="s">
        <v>863</v>
      </c>
      <c r="O111" s="54">
        <v>1</v>
      </c>
      <c r="P111" s="54">
        <v>0</v>
      </c>
      <c r="Q111" s="54">
        <v>0</v>
      </c>
      <c r="R111" s="54">
        <v>1</v>
      </c>
      <c r="S111" s="54">
        <v>3200</v>
      </c>
      <c r="T111" s="54">
        <v>0</v>
      </c>
      <c r="U111" s="54">
        <v>0</v>
      </c>
      <c r="V111" s="54">
        <v>3200</v>
      </c>
      <c r="W111" s="54">
        <v>2840</v>
      </c>
      <c r="X111" s="54">
        <v>0</v>
      </c>
      <c r="Y111" s="54">
        <v>360</v>
      </c>
      <c r="Z111" s="54">
        <v>852</v>
      </c>
      <c r="AA111" s="54">
        <v>108</v>
      </c>
      <c r="AB111" s="54">
        <v>0</v>
      </c>
      <c r="AC111" s="54">
        <v>2240</v>
      </c>
      <c r="AD111" s="53" t="s">
        <v>864</v>
      </c>
    </row>
    <row r="112" spans="1:30">
      <c r="A112" s="53" t="s">
        <v>854</v>
      </c>
      <c r="B112" s="53" t="s">
        <v>855</v>
      </c>
      <c r="C112" s="53" t="s">
        <v>856</v>
      </c>
      <c r="D112" s="53" t="s">
        <v>1080</v>
      </c>
      <c r="E112" s="53" t="s">
        <v>108</v>
      </c>
      <c r="F112" s="53" t="s">
        <v>1093</v>
      </c>
      <c r="G112" s="53" t="s">
        <v>213</v>
      </c>
      <c r="H112" s="53" t="s">
        <v>1094</v>
      </c>
      <c r="I112" s="53" t="s">
        <v>861</v>
      </c>
      <c r="J112" s="53" t="s">
        <v>862</v>
      </c>
      <c r="K112" s="53" t="s">
        <v>29</v>
      </c>
      <c r="L112" s="53" t="s">
        <v>31</v>
      </c>
      <c r="M112" s="53" t="s">
        <v>740</v>
      </c>
      <c r="N112" s="53" t="s">
        <v>863</v>
      </c>
      <c r="O112" s="54">
        <v>1</v>
      </c>
      <c r="P112" s="54">
        <v>0</v>
      </c>
      <c r="Q112" s="54">
        <v>0</v>
      </c>
      <c r="R112" s="54">
        <v>1</v>
      </c>
      <c r="S112" s="54">
        <v>3200</v>
      </c>
      <c r="T112" s="54">
        <v>0</v>
      </c>
      <c r="U112" s="54">
        <v>0</v>
      </c>
      <c r="V112" s="54">
        <v>3200</v>
      </c>
      <c r="W112" s="54">
        <v>3200</v>
      </c>
      <c r="X112" s="54">
        <v>0</v>
      </c>
      <c r="Y112" s="54">
        <v>0</v>
      </c>
      <c r="Z112" s="54">
        <v>960</v>
      </c>
      <c r="AA112" s="54">
        <v>0</v>
      </c>
      <c r="AB112" s="54">
        <v>0</v>
      </c>
      <c r="AC112" s="54">
        <v>2240</v>
      </c>
      <c r="AD112" s="53" t="s">
        <v>864</v>
      </c>
    </row>
    <row r="113" spans="1:30">
      <c r="A113" s="53" t="s">
        <v>854</v>
      </c>
      <c r="B113" s="53" t="s">
        <v>855</v>
      </c>
      <c r="C113" s="53" t="s">
        <v>856</v>
      </c>
      <c r="D113" s="53" t="s">
        <v>1080</v>
      </c>
      <c r="E113" s="53" t="s">
        <v>108</v>
      </c>
      <c r="F113" s="53" t="s">
        <v>1095</v>
      </c>
      <c r="G113" s="53" t="s">
        <v>216</v>
      </c>
      <c r="H113" s="53" t="s">
        <v>1096</v>
      </c>
      <c r="I113" s="53" t="s">
        <v>861</v>
      </c>
      <c r="J113" s="53" t="s">
        <v>862</v>
      </c>
      <c r="K113" s="53" t="s">
        <v>29</v>
      </c>
      <c r="L113" s="53" t="s">
        <v>31</v>
      </c>
      <c r="M113" s="53" t="s">
        <v>740</v>
      </c>
      <c r="N113" s="53" t="s">
        <v>863</v>
      </c>
      <c r="O113" s="54">
        <v>1</v>
      </c>
      <c r="P113" s="54">
        <v>0</v>
      </c>
      <c r="Q113" s="54">
        <v>0</v>
      </c>
      <c r="R113" s="54">
        <v>1</v>
      </c>
      <c r="S113" s="54">
        <v>3200</v>
      </c>
      <c r="T113" s="54">
        <v>0</v>
      </c>
      <c r="U113" s="54">
        <v>0</v>
      </c>
      <c r="V113" s="54">
        <v>3200</v>
      </c>
      <c r="W113" s="54">
        <v>3000</v>
      </c>
      <c r="X113" s="54">
        <v>0</v>
      </c>
      <c r="Y113" s="54">
        <v>200</v>
      </c>
      <c r="Z113" s="54">
        <v>900</v>
      </c>
      <c r="AA113" s="54">
        <v>60</v>
      </c>
      <c r="AB113" s="54">
        <v>0</v>
      </c>
      <c r="AC113" s="54">
        <v>2240</v>
      </c>
      <c r="AD113" s="53" t="s">
        <v>864</v>
      </c>
    </row>
    <row r="114" spans="1:30">
      <c r="A114" s="53" t="s">
        <v>854</v>
      </c>
      <c r="B114" s="53" t="s">
        <v>855</v>
      </c>
      <c r="C114" s="53" t="s">
        <v>856</v>
      </c>
      <c r="D114" s="53" t="s">
        <v>1080</v>
      </c>
      <c r="E114" s="53" t="s">
        <v>108</v>
      </c>
      <c r="F114" s="53" t="s">
        <v>1097</v>
      </c>
      <c r="G114" s="53" t="s">
        <v>219</v>
      </c>
      <c r="H114" s="53" t="s">
        <v>1098</v>
      </c>
      <c r="I114" s="53" t="s">
        <v>861</v>
      </c>
      <c r="J114" s="53" t="s">
        <v>862</v>
      </c>
      <c r="K114" s="53" t="s">
        <v>29</v>
      </c>
      <c r="L114" s="53" t="s">
        <v>31</v>
      </c>
      <c r="M114" s="53" t="s">
        <v>740</v>
      </c>
      <c r="N114" s="53" t="s">
        <v>863</v>
      </c>
      <c r="O114" s="54">
        <v>1</v>
      </c>
      <c r="P114" s="54">
        <v>0</v>
      </c>
      <c r="Q114" s="54">
        <v>0</v>
      </c>
      <c r="R114" s="54">
        <v>1</v>
      </c>
      <c r="S114" s="54">
        <v>3200</v>
      </c>
      <c r="T114" s="54">
        <v>0</v>
      </c>
      <c r="U114" s="54">
        <v>0</v>
      </c>
      <c r="V114" s="54">
        <v>3200</v>
      </c>
      <c r="W114" s="54">
        <v>3000</v>
      </c>
      <c r="X114" s="54">
        <v>0</v>
      </c>
      <c r="Y114" s="54">
        <v>200</v>
      </c>
      <c r="Z114" s="54">
        <v>900</v>
      </c>
      <c r="AA114" s="54">
        <v>60</v>
      </c>
      <c r="AB114" s="54">
        <v>0</v>
      </c>
      <c r="AC114" s="54">
        <v>2240</v>
      </c>
      <c r="AD114" s="53" t="s">
        <v>864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opLeftCell="B1" workbookViewId="0">
      <selection activeCell="G19" sqref="G19"/>
    </sheetView>
  </sheetViews>
  <sheetFormatPr defaultRowHeight="17.399999999999999"/>
  <cols>
    <col min="1" max="1" width="36" bestFit="1" customWidth="1"/>
    <col min="2" max="2" width="8.59765625" bestFit="1" customWidth="1"/>
    <col min="3" max="3" width="6.69921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>
      <c r="A1" s="55" t="s">
        <v>663</v>
      </c>
      <c r="B1" s="55" t="s">
        <v>649</v>
      </c>
      <c r="C1" s="55" t="s">
        <v>88</v>
      </c>
      <c r="D1" s="55" t="s">
        <v>1100</v>
      </c>
      <c r="E1" s="55" t="s">
        <v>839</v>
      </c>
      <c r="F1" s="55" t="s">
        <v>1101</v>
      </c>
      <c r="G1" s="56" t="s">
        <v>683</v>
      </c>
      <c r="H1" s="57" t="s">
        <v>1102</v>
      </c>
    </row>
    <row r="2" spans="1:8">
      <c r="A2" t="s">
        <v>858</v>
      </c>
      <c r="B2">
        <v>1438404</v>
      </c>
      <c r="C2" t="s">
        <v>31</v>
      </c>
      <c r="D2">
        <v>100</v>
      </c>
      <c r="E2">
        <v>30</v>
      </c>
      <c r="F2" s="58">
        <v>0.6</v>
      </c>
      <c r="G2">
        <v>1800</v>
      </c>
    </row>
    <row r="3" spans="1:8">
      <c r="A3" t="s">
        <v>108</v>
      </c>
      <c r="B3">
        <v>1533756</v>
      </c>
      <c r="C3" t="s">
        <v>31</v>
      </c>
      <c r="D3">
        <v>100</v>
      </c>
      <c r="E3">
        <v>252</v>
      </c>
      <c r="F3" s="58">
        <v>0.6</v>
      </c>
      <c r="G3">
        <v>15120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opLeftCell="B1" workbookViewId="0">
      <selection activeCell="K19" sqref="K19"/>
    </sheetView>
  </sheetViews>
  <sheetFormatPr defaultColWidth="8.69921875" defaultRowHeight="17.399999999999999"/>
  <cols>
    <col min="1" max="1" width="8.59765625" style="39" bestFit="1" customWidth="1"/>
    <col min="2" max="3" width="6.69921875" style="39" bestFit="1" customWidth="1"/>
    <col min="4" max="4" width="15.5" style="39" bestFit="1" customWidth="1"/>
    <col min="5" max="5" width="15" style="39" bestFit="1" customWidth="1"/>
    <col min="6" max="6" width="9.59765625" style="39" bestFit="1" customWidth="1"/>
    <col min="7" max="7" width="5" style="39" bestFit="1" customWidth="1"/>
    <col min="8" max="8" width="6.69921875" style="39" bestFit="1" customWidth="1"/>
    <col min="9" max="9" width="13.5" style="39" bestFit="1" customWidth="1"/>
    <col min="10" max="10" width="9.19921875" style="39" bestFit="1" customWidth="1"/>
    <col min="11" max="11" width="5" style="39" bestFit="1" customWidth="1"/>
    <col min="12" max="12" width="6.69921875" style="39" bestFit="1" customWidth="1"/>
    <col min="13" max="13" width="21.5" style="39" bestFit="1" customWidth="1"/>
    <col min="14" max="14" width="5" style="39" bestFit="1" customWidth="1"/>
    <col min="15" max="15" width="10.3984375" style="39" bestFit="1" customWidth="1"/>
    <col min="16" max="16" width="24.09765625" style="39" bestFit="1" customWidth="1"/>
    <col min="17" max="17" width="6.69921875" style="39" bestFit="1" customWidth="1"/>
    <col min="18" max="18" width="10" style="39" bestFit="1" customWidth="1"/>
    <col min="19" max="19" width="10.3984375" style="39" bestFit="1" customWidth="1"/>
    <col min="20" max="16384" width="8.69921875" style="39"/>
  </cols>
  <sheetData>
    <row r="1" spans="1:19">
      <c r="A1" s="59" t="s">
        <v>1104</v>
      </c>
      <c r="B1" s="59" t="s">
        <v>1105</v>
      </c>
      <c r="C1" s="59" t="s">
        <v>1106</v>
      </c>
      <c r="D1" s="59" t="s">
        <v>1107</v>
      </c>
      <c r="E1" s="59" t="s">
        <v>831</v>
      </c>
      <c r="F1" s="59" t="s">
        <v>1108</v>
      </c>
      <c r="G1" s="60" t="s">
        <v>130</v>
      </c>
      <c r="H1" s="59" t="s">
        <v>1109</v>
      </c>
      <c r="I1" s="59" t="s">
        <v>1110</v>
      </c>
      <c r="J1" s="59" t="s">
        <v>647</v>
      </c>
      <c r="K1" s="59" t="s">
        <v>692</v>
      </c>
      <c r="L1" s="59" t="s">
        <v>1111</v>
      </c>
      <c r="M1" s="59" t="s">
        <v>1112</v>
      </c>
      <c r="N1" s="59" t="s">
        <v>1113</v>
      </c>
      <c r="O1" s="59" t="s">
        <v>1114</v>
      </c>
      <c r="P1" s="59" t="s">
        <v>1115</v>
      </c>
      <c r="Q1" s="59" t="s">
        <v>1116</v>
      </c>
      <c r="R1" s="61" t="s">
        <v>683</v>
      </c>
      <c r="S1" s="61" t="s">
        <v>1117</v>
      </c>
    </row>
    <row r="2" spans="1:19">
      <c r="A2" s="62" t="s">
        <v>1118</v>
      </c>
      <c r="B2" s="62" t="s">
        <v>1119</v>
      </c>
      <c r="C2" s="62" t="s">
        <v>1120</v>
      </c>
      <c r="D2" s="62" t="s">
        <v>1121</v>
      </c>
      <c r="E2" s="62" t="s">
        <v>546</v>
      </c>
      <c r="F2" s="62" t="s">
        <v>1122</v>
      </c>
      <c r="G2" s="62" t="s">
        <v>31</v>
      </c>
      <c r="H2" s="62">
        <v>812</v>
      </c>
      <c r="I2" s="62" t="s">
        <v>1123</v>
      </c>
      <c r="J2" s="62" t="s">
        <v>1124</v>
      </c>
      <c r="K2" s="62">
        <v>100</v>
      </c>
      <c r="L2" s="62">
        <v>100</v>
      </c>
      <c r="M2" s="62">
        <v>100</v>
      </c>
      <c r="N2" s="62">
        <v>1</v>
      </c>
      <c r="O2" s="62">
        <v>100</v>
      </c>
      <c r="P2" s="62">
        <v>100</v>
      </c>
      <c r="Q2" s="62">
        <v>70</v>
      </c>
      <c r="R2" s="62">
        <v>70</v>
      </c>
      <c r="S2" s="39" t="s">
        <v>1125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opLeftCell="B1" workbookViewId="0">
      <selection activeCell="C22" sqref="C22"/>
    </sheetView>
  </sheetViews>
  <sheetFormatPr defaultRowHeight="17.399999999999999"/>
  <cols>
    <col min="1" max="1" width="16.19921875" bestFit="1" customWidth="1"/>
    <col min="2" max="2" width="10.3984375" bestFit="1" customWidth="1"/>
    <col min="3" max="3" width="51.69921875" bestFit="1" customWidth="1"/>
    <col min="4" max="4" width="8.59765625" bestFit="1" customWidth="1"/>
    <col min="5" max="7" width="6.69921875" bestFit="1" customWidth="1"/>
    <col min="8" max="8" width="10.3984375" bestFit="1" customWidth="1"/>
    <col min="9" max="9" width="11.5" bestFit="1" customWidth="1"/>
    <col min="10" max="11" width="10.3984375" bestFit="1" customWidth="1"/>
    <col min="12" max="12" width="14.69921875" bestFit="1" customWidth="1"/>
  </cols>
  <sheetData>
    <row r="1" spans="1:12">
      <c r="A1" s="135" t="s">
        <v>1316</v>
      </c>
      <c r="B1" s="135" t="s">
        <v>1317</v>
      </c>
      <c r="C1" s="135" t="s">
        <v>128</v>
      </c>
      <c r="D1" s="135" t="s">
        <v>1318</v>
      </c>
      <c r="E1" s="135" t="s">
        <v>692</v>
      </c>
      <c r="F1" s="135" t="s">
        <v>1111</v>
      </c>
      <c r="G1" s="135" t="s">
        <v>166</v>
      </c>
      <c r="H1" s="135" t="s">
        <v>1319</v>
      </c>
      <c r="I1" s="135" t="s">
        <v>726</v>
      </c>
      <c r="J1" s="135" t="s">
        <v>1320</v>
      </c>
      <c r="K1" s="135" t="s">
        <v>1321</v>
      </c>
      <c r="L1" s="135" t="s">
        <v>1322</v>
      </c>
    </row>
    <row r="2" spans="1:12">
      <c r="A2" s="136">
        <v>44655.494120370371</v>
      </c>
      <c r="B2">
        <v>273042791</v>
      </c>
      <c r="C2" t="s">
        <v>1323</v>
      </c>
      <c r="D2" t="s">
        <v>1324</v>
      </c>
      <c r="E2" s="2">
        <v>38400</v>
      </c>
      <c r="F2" s="2">
        <v>38400</v>
      </c>
      <c r="G2" s="2">
        <v>26880</v>
      </c>
      <c r="I2" t="s">
        <v>1325</v>
      </c>
      <c r="J2" t="s">
        <v>29</v>
      </c>
      <c r="K2" t="s">
        <v>29</v>
      </c>
      <c r="L2" t="s">
        <v>1326</v>
      </c>
    </row>
    <row r="3" spans="1:12">
      <c r="G3" s="2">
        <f>SUM(G2)</f>
        <v>26880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V6" sqref="V6"/>
    </sheetView>
  </sheetViews>
  <sheetFormatPr defaultRowHeight="17.399999999999999"/>
  <cols>
    <col min="1" max="2" width="7.19921875" style="137" bestFit="1" customWidth="1"/>
    <col min="3" max="3" width="9.5" style="137" bestFit="1" customWidth="1"/>
    <col min="4" max="4" width="8.19921875" style="137" bestFit="1" customWidth="1"/>
    <col min="5" max="5" width="7.5" style="137" bestFit="1" customWidth="1"/>
    <col min="6" max="6" width="8.19921875" style="137" bestFit="1" customWidth="1"/>
    <col min="7" max="7" width="6.8984375" style="137" bestFit="1" customWidth="1"/>
    <col min="8" max="8" width="8.19921875" style="137" bestFit="1" customWidth="1"/>
    <col min="9" max="9" width="4.796875" style="137" bestFit="1" customWidth="1"/>
    <col min="10" max="10" width="7.19921875" style="137" bestFit="1" customWidth="1"/>
    <col min="11" max="11" width="7.59765625" style="137" bestFit="1" customWidth="1"/>
    <col min="12" max="15" width="8.19921875" style="137" bestFit="1" customWidth="1"/>
    <col min="16" max="16" width="7.19921875" style="137" bestFit="1" customWidth="1"/>
    <col min="17" max="17" width="7.59765625" style="137" bestFit="1" customWidth="1"/>
    <col min="18" max="21" width="8.19921875" style="137" bestFit="1" customWidth="1"/>
    <col min="22" max="16384" width="8.796875" style="137"/>
  </cols>
  <sheetData>
    <row r="1" spans="1:22">
      <c r="A1" s="151" t="s">
        <v>1328</v>
      </c>
      <c r="B1" s="151" t="s">
        <v>1329</v>
      </c>
      <c r="C1" s="151" t="s">
        <v>663</v>
      </c>
      <c r="D1" s="151" t="s">
        <v>1347</v>
      </c>
      <c r="E1" s="151" t="s">
        <v>1330</v>
      </c>
      <c r="F1" s="151" t="s">
        <v>87</v>
      </c>
      <c r="G1" s="151" t="s">
        <v>1331</v>
      </c>
      <c r="H1" s="151" t="s">
        <v>1332</v>
      </c>
      <c r="I1" s="151" t="s">
        <v>1333</v>
      </c>
      <c r="J1" s="153" t="s">
        <v>157</v>
      </c>
      <c r="K1" s="154"/>
      <c r="L1" s="154"/>
      <c r="M1" s="154"/>
      <c r="N1" s="154"/>
      <c r="O1" s="155"/>
      <c r="P1" s="153" t="s">
        <v>1348</v>
      </c>
      <c r="Q1" s="154"/>
      <c r="R1" s="154"/>
      <c r="S1" s="154"/>
      <c r="T1" s="154"/>
      <c r="U1" s="155"/>
      <c r="V1" s="151" t="s">
        <v>683</v>
      </c>
    </row>
    <row r="2" spans="1:22" ht="31.2">
      <c r="A2" s="152"/>
      <c r="B2" s="152"/>
      <c r="C2" s="152"/>
      <c r="D2" s="152"/>
      <c r="E2" s="152"/>
      <c r="F2" s="152"/>
      <c r="G2" s="152"/>
      <c r="H2" s="152"/>
      <c r="I2" s="152"/>
      <c r="J2" s="138" t="s">
        <v>1334</v>
      </c>
      <c r="K2" s="138" t="s">
        <v>1335</v>
      </c>
      <c r="L2" s="138" t="s">
        <v>1336</v>
      </c>
      <c r="M2" s="138" t="s">
        <v>1337</v>
      </c>
      <c r="N2" s="138" t="s">
        <v>1099</v>
      </c>
      <c r="O2" s="138" t="s">
        <v>1338</v>
      </c>
      <c r="P2" s="138" t="s">
        <v>1334</v>
      </c>
      <c r="Q2" s="138" t="s">
        <v>1335</v>
      </c>
      <c r="R2" s="138" t="s">
        <v>1336</v>
      </c>
      <c r="S2" s="138" t="s">
        <v>1337</v>
      </c>
      <c r="T2" s="138" t="s">
        <v>1099</v>
      </c>
      <c r="U2" s="138" t="s">
        <v>1338</v>
      </c>
      <c r="V2" s="156"/>
    </row>
    <row r="3" spans="1:22" ht="62.4">
      <c r="A3" s="139">
        <v>2022.04</v>
      </c>
      <c r="B3" s="140">
        <v>2022.05</v>
      </c>
      <c r="C3" s="140" t="s">
        <v>1349</v>
      </c>
      <c r="D3" s="141" t="s">
        <v>1339</v>
      </c>
      <c r="E3" s="142" t="s">
        <v>1340</v>
      </c>
      <c r="F3" s="140" t="s">
        <v>1341</v>
      </c>
      <c r="G3" s="142" t="s">
        <v>1342</v>
      </c>
      <c r="H3" s="140" t="s">
        <v>1341</v>
      </c>
      <c r="I3" s="140" t="s">
        <v>31</v>
      </c>
      <c r="J3" s="143">
        <v>145900</v>
      </c>
      <c r="K3" s="143">
        <v>75100</v>
      </c>
      <c r="L3" s="143">
        <v>13900</v>
      </c>
      <c r="M3" s="140">
        <v>0</v>
      </c>
      <c r="N3" s="140">
        <v>0</v>
      </c>
      <c r="O3" s="143">
        <v>56900</v>
      </c>
      <c r="P3" s="143">
        <v>145900</v>
      </c>
      <c r="Q3" s="143">
        <v>75100</v>
      </c>
      <c r="R3" s="143">
        <v>13900</v>
      </c>
      <c r="S3" s="140">
        <v>0</v>
      </c>
      <c r="T3" s="140">
        <v>0</v>
      </c>
      <c r="U3" s="143">
        <v>56900</v>
      </c>
      <c r="V3" s="143">
        <v>102130</v>
      </c>
    </row>
    <row r="4" spans="1:22" ht="31.2">
      <c r="A4" s="139">
        <v>2022.04</v>
      </c>
      <c r="B4" s="140">
        <v>2022.05</v>
      </c>
      <c r="C4" s="140" t="s">
        <v>858</v>
      </c>
      <c r="D4" s="141" t="s">
        <v>1339</v>
      </c>
      <c r="E4" s="142" t="s">
        <v>1343</v>
      </c>
      <c r="F4" s="140" t="s">
        <v>1344</v>
      </c>
      <c r="G4" s="142" t="s">
        <v>1345</v>
      </c>
      <c r="H4" s="140" t="s">
        <v>1344</v>
      </c>
      <c r="I4" s="140" t="s">
        <v>31</v>
      </c>
      <c r="J4" s="143">
        <v>5400</v>
      </c>
      <c r="K4" s="140">
        <v>0</v>
      </c>
      <c r="L4" s="140">
        <v>0</v>
      </c>
      <c r="M4" s="140">
        <v>0</v>
      </c>
      <c r="N4" s="140">
        <v>0</v>
      </c>
      <c r="O4" s="143">
        <v>5400</v>
      </c>
      <c r="P4" s="143">
        <v>5400</v>
      </c>
      <c r="Q4" s="140">
        <v>0</v>
      </c>
      <c r="R4" s="140">
        <v>0</v>
      </c>
      <c r="S4" s="140">
        <v>0</v>
      </c>
      <c r="T4" s="140">
        <v>0</v>
      </c>
      <c r="U4" s="143">
        <v>5400</v>
      </c>
      <c r="V4" s="143">
        <v>3780</v>
      </c>
    </row>
    <row r="5" spans="1:22">
      <c r="V5" s="144">
        <f>SUM(V3:V4)</f>
        <v>105910</v>
      </c>
    </row>
  </sheetData>
  <mergeCells count="12">
    <mergeCell ref="V1:V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O1"/>
    <mergeCell ref="P1:U1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"/>
  <sheetViews>
    <sheetView topLeftCell="Q1" workbookViewId="0">
      <selection activeCell="AB22" sqref="AB22"/>
    </sheetView>
  </sheetViews>
  <sheetFormatPr defaultRowHeight="17.399999999999999"/>
  <cols>
    <col min="1" max="1" width="7.699218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4.69921875" bestFit="1" customWidth="1"/>
    <col min="7" max="7" width="7.19921875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69921875" bestFit="1" customWidth="1"/>
    <col min="12" max="12" width="7.19921875" bestFit="1" customWidth="1"/>
    <col min="13" max="14" width="6" bestFit="1" customWidth="1"/>
    <col min="15" max="16" width="6.19921875" bestFit="1" customWidth="1"/>
    <col min="17" max="18" width="8.3984375" bestFit="1" customWidth="1"/>
    <col min="19" max="19" width="3.59765625" bestFit="1" customWidth="1"/>
    <col min="20" max="20" width="4.69921875" bestFit="1" customWidth="1"/>
    <col min="21" max="21" width="7.19921875" bestFit="1" customWidth="1"/>
    <col min="22" max="23" width="6" bestFit="1" customWidth="1"/>
    <col min="24" max="25" width="6.19921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7.3984375" bestFit="1" customWidth="1"/>
    <col min="48" max="48" width="9.69921875" bestFit="1" customWidth="1"/>
    <col min="49" max="49" width="9.19921875" bestFit="1" customWidth="1"/>
  </cols>
  <sheetData>
    <row r="1" spans="1:49" ht="19.2">
      <c r="A1" s="4" t="s">
        <v>1131</v>
      </c>
      <c r="B1" s="4" t="s">
        <v>84</v>
      </c>
      <c r="C1" s="4" t="s">
        <v>85</v>
      </c>
      <c r="D1" s="5" t="s">
        <v>86</v>
      </c>
      <c r="E1" s="4" t="s">
        <v>87</v>
      </c>
      <c r="F1" s="6" t="s">
        <v>88</v>
      </c>
      <c r="G1" s="4" t="s">
        <v>89</v>
      </c>
      <c r="H1" s="5" t="s">
        <v>90</v>
      </c>
      <c r="I1" s="5" t="s">
        <v>91</v>
      </c>
      <c r="J1" s="7" t="s">
        <v>92</v>
      </c>
      <c r="K1" s="7" t="s">
        <v>93</v>
      </c>
      <c r="L1" s="7" t="s">
        <v>94</v>
      </c>
      <c r="M1" s="7" t="s">
        <v>95</v>
      </c>
      <c r="N1" s="7" t="s">
        <v>96</v>
      </c>
      <c r="O1" s="7" t="s">
        <v>97</v>
      </c>
      <c r="P1" s="7" t="s">
        <v>98</v>
      </c>
      <c r="Q1" s="7" t="s">
        <v>99</v>
      </c>
      <c r="R1" s="7" t="s">
        <v>100</v>
      </c>
      <c r="S1" s="7" t="s">
        <v>92</v>
      </c>
      <c r="T1" s="7" t="s">
        <v>93</v>
      </c>
      <c r="U1" s="7" t="s">
        <v>94</v>
      </c>
      <c r="V1" s="7" t="s">
        <v>95</v>
      </c>
      <c r="W1" s="7" t="s">
        <v>96</v>
      </c>
      <c r="X1" s="7" t="s">
        <v>97</v>
      </c>
      <c r="Y1" s="7" t="s">
        <v>98</v>
      </c>
      <c r="Z1" s="7" t="s">
        <v>99</v>
      </c>
      <c r="AA1" s="7" t="s">
        <v>100</v>
      </c>
      <c r="AB1" s="7" t="s">
        <v>92</v>
      </c>
      <c r="AC1" s="7" t="s">
        <v>101</v>
      </c>
      <c r="AD1" s="7" t="s">
        <v>102</v>
      </c>
      <c r="AE1" s="7" t="s">
        <v>92</v>
      </c>
      <c r="AF1" s="7" t="s">
        <v>101</v>
      </c>
      <c r="AG1" s="7" t="s">
        <v>102</v>
      </c>
      <c r="AH1" s="7" t="s">
        <v>92</v>
      </c>
      <c r="AI1" s="7" t="s">
        <v>101</v>
      </c>
      <c r="AJ1" s="7" t="s">
        <v>102</v>
      </c>
      <c r="AK1" s="7" t="s">
        <v>92</v>
      </c>
      <c r="AL1" s="7" t="s">
        <v>101</v>
      </c>
      <c r="AM1" s="7" t="s">
        <v>102</v>
      </c>
      <c r="AN1" s="8" t="s">
        <v>103</v>
      </c>
      <c r="AO1" s="7" t="s">
        <v>92</v>
      </c>
      <c r="AP1" s="7" t="s">
        <v>101</v>
      </c>
      <c r="AQ1" s="7" t="s">
        <v>102</v>
      </c>
      <c r="AR1" s="7" t="s">
        <v>92</v>
      </c>
      <c r="AS1" s="7" t="s">
        <v>101</v>
      </c>
      <c r="AT1" s="7" t="s">
        <v>102</v>
      </c>
      <c r="AU1" s="8" t="s">
        <v>104</v>
      </c>
      <c r="AV1" s="9" t="s">
        <v>1132</v>
      </c>
      <c r="AW1" s="10" t="s">
        <v>1133</v>
      </c>
    </row>
    <row r="2" spans="1:49" ht="19.2">
      <c r="A2" s="11" t="s">
        <v>107</v>
      </c>
      <c r="B2" s="11" t="s">
        <v>1134</v>
      </c>
      <c r="C2" s="11">
        <v>422032</v>
      </c>
      <c r="D2" s="12"/>
      <c r="E2" s="11" t="s">
        <v>109</v>
      </c>
      <c r="F2" s="11" t="s">
        <v>1135</v>
      </c>
      <c r="G2" s="11" t="s">
        <v>29</v>
      </c>
      <c r="H2" s="13" t="s">
        <v>1136</v>
      </c>
      <c r="I2" s="13" t="s">
        <v>1137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4">
        <v>168300</v>
      </c>
      <c r="AV2" s="15">
        <v>168300</v>
      </c>
      <c r="AW2" s="16">
        <v>117809.99999999999</v>
      </c>
    </row>
    <row r="3" spans="1:49" ht="19.2">
      <c r="A3" s="11" t="s">
        <v>107</v>
      </c>
      <c r="B3" s="11" t="s">
        <v>1138</v>
      </c>
      <c r="C3" s="11">
        <v>430085</v>
      </c>
      <c r="D3" s="12"/>
      <c r="E3" s="11" t="s">
        <v>109</v>
      </c>
      <c r="F3" s="11" t="s">
        <v>1135</v>
      </c>
      <c r="G3" s="11" t="s">
        <v>29</v>
      </c>
      <c r="H3" s="13" t="s">
        <v>1136</v>
      </c>
      <c r="I3" s="13" t="s">
        <v>1139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4">
        <v>9600</v>
      </c>
      <c r="AV3" s="15">
        <v>9600</v>
      </c>
      <c r="AW3" s="16">
        <v>6720</v>
      </c>
    </row>
    <row r="4" spans="1:49" ht="19.2">
      <c r="A4" s="11" t="s">
        <v>118</v>
      </c>
      <c r="B4" s="11" t="s">
        <v>1134</v>
      </c>
      <c r="C4" s="11">
        <v>422032</v>
      </c>
      <c r="D4" s="12"/>
      <c r="E4" s="11" t="s">
        <v>109</v>
      </c>
      <c r="F4" s="11" t="s">
        <v>1135</v>
      </c>
      <c r="G4" s="11" t="s">
        <v>29</v>
      </c>
      <c r="H4" s="13" t="s">
        <v>1136</v>
      </c>
      <c r="I4" s="13" t="s">
        <v>1137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4">
        <v>17500</v>
      </c>
      <c r="AV4" s="15">
        <v>17500</v>
      </c>
      <c r="AW4" s="16">
        <v>12250</v>
      </c>
    </row>
    <row r="5" spans="1:49" ht="19.2">
      <c r="A5" s="11" t="s">
        <v>119</v>
      </c>
      <c r="B5" s="11" t="s">
        <v>1134</v>
      </c>
      <c r="C5" s="11">
        <v>422032</v>
      </c>
      <c r="D5" s="12"/>
      <c r="E5" s="11" t="s">
        <v>109</v>
      </c>
      <c r="F5" s="11" t="s">
        <v>1135</v>
      </c>
      <c r="G5" s="11" t="s">
        <v>29</v>
      </c>
      <c r="H5" s="13" t="s">
        <v>1136</v>
      </c>
      <c r="I5" s="13" t="s">
        <v>1137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35.1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4">
        <v>16817</v>
      </c>
      <c r="AV5" s="15">
        <v>16781.900000000001</v>
      </c>
      <c r="AW5" s="16">
        <v>11747.33</v>
      </c>
    </row>
    <row r="6" spans="1:49">
      <c r="AW6" s="92">
        <f>SUM(AW2:AW5)</f>
        <v>148527.32999999999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8"/>
  <sheetViews>
    <sheetView topLeftCell="AL22" workbookViewId="0">
      <selection activeCell="AP38" sqref="AP38"/>
    </sheetView>
  </sheetViews>
  <sheetFormatPr defaultRowHeight="17.399999999999999"/>
  <cols>
    <col min="1" max="2" width="11.5" bestFit="1" customWidth="1"/>
    <col min="3" max="3" width="20.8984375" bestFit="1" customWidth="1"/>
    <col min="4" max="4" width="7.5" bestFit="1" customWidth="1"/>
    <col min="5" max="5" width="6.69921875" bestFit="1" customWidth="1"/>
    <col min="6" max="7" width="5" bestFit="1" customWidth="1"/>
    <col min="8" max="8" width="10.3984375" bestFit="1" customWidth="1"/>
    <col min="9" max="9" width="17.19921875" bestFit="1" customWidth="1"/>
    <col min="10" max="13" width="10.3984375" bestFit="1" customWidth="1"/>
    <col min="14" max="14" width="6.69921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69921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69921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>
      <c r="A1" t="s">
        <v>126</v>
      </c>
      <c r="B1" t="s">
        <v>127</v>
      </c>
      <c r="C1" t="s">
        <v>128</v>
      </c>
      <c r="D1" t="s">
        <v>129</v>
      </c>
      <c r="E1" s="1" t="s">
        <v>130</v>
      </c>
      <c r="F1" t="s">
        <v>131</v>
      </c>
      <c r="G1" t="s">
        <v>132</v>
      </c>
      <c r="H1" t="s">
        <v>89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1140</v>
      </c>
      <c r="AO1" t="s">
        <v>165</v>
      </c>
      <c r="AP1" s="22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</row>
    <row r="2" spans="1:49">
      <c r="A2">
        <v>2313010576</v>
      </c>
      <c r="B2">
        <v>2313010577</v>
      </c>
      <c r="C2" t="s">
        <v>1141</v>
      </c>
      <c r="D2" t="s">
        <v>199</v>
      </c>
      <c r="E2" t="s">
        <v>1135</v>
      </c>
      <c r="H2" t="s">
        <v>29</v>
      </c>
      <c r="I2" t="s">
        <v>1142</v>
      </c>
      <c r="J2">
        <v>3200</v>
      </c>
      <c r="K2">
        <v>6400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6400</v>
      </c>
      <c r="AH2">
        <v>2</v>
      </c>
      <c r="AI2">
        <v>0</v>
      </c>
      <c r="AJ2">
        <v>0</v>
      </c>
      <c r="AK2">
        <v>6400</v>
      </c>
      <c r="AL2">
        <v>0</v>
      </c>
      <c r="AM2">
        <v>0</v>
      </c>
      <c r="AN2">
        <v>0</v>
      </c>
      <c r="AO2">
        <v>0</v>
      </c>
      <c r="AP2">
        <v>4480</v>
      </c>
      <c r="AT2" t="s">
        <v>1143</v>
      </c>
      <c r="AV2" t="s">
        <v>178</v>
      </c>
    </row>
    <row r="3" spans="1:49">
      <c r="A3">
        <v>2313010576</v>
      </c>
      <c r="B3">
        <v>2313010578</v>
      </c>
      <c r="C3" t="s">
        <v>1144</v>
      </c>
      <c r="D3" t="s">
        <v>195</v>
      </c>
      <c r="E3" t="s">
        <v>1135</v>
      </c>
      <c r="H3" t="s">
        <v>29</v>
      </c>
      <c r="I3" t="s">
        <v>1142</v>
      </c>
      <c r="J3">
        <v>3200</v>
      </c>
      <c r="K3">
        <v>3200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3200</v>
      </c>
      <c r="AH3">
        <v>1</v>
      </c>
      <c r="AI3">
        <v>0</v>
      </c>
      <c r="AJ3">
        <v>0</v>
      </c>
      <c r="AK3">
        <v>3200</v>
      </c>
      <c r="AL3">
        <v>0</v>
      </c>
      <c r="AM3">
        <v>0</v>
      </c>
      <c r="AN3">
        <v>0</v>
      </c>
      <c r="AO3">
        <v>0</v>
      </c>
      <c r="AP3">
        <v>2240</v>
      </c>
      <c r="AT3" t="s">
        <v>1145</v>
      </c>
      <c r="AV3" t="s">
        <v>178</v>
      </c>
    </row>
    <row r="4" spans="1:49">
      <c r="A4">
        <v>2313010576</v>
      </c>
      <c r="B4">
        <v>2313010579</v>
      </c>
      <c r="C4" t="s">
        <v>1146</v>
      </c>
      <c r="D4" t="s">
        <v>207</v>
      </c>
      <c r="E4" t="s">
        <v>1135</v>
      </c>
      <c r="H4" t="s">
        <v>29</v>
      </c>
      <c r="I4" t="s">
        <v>1142</v>
      </c>
      <c r="J4">
        <v>3200</v>
      </c>
      <c r="K4">
        <v>3200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3200</v>
      </c>
      <c r="AH4">
        <v>1</v>
      </c>
      <c r="AI4">
        <v>0</v>
      </c>
      <c r="AJ4">
        <v>0</v>
      </c>
      <c r="AK4">
        <v>3200</v>
      </c>
      <c r="AL4">
        <v>0</v>
      </c>
      <c r="AM4">
        <v>0</v>
      </c>
      <c r="AN4">
        <v>0</v>
      </c>
      <c r="AO4">
        <v>0</v>
      </c>
      <c r="AP4">
        <v>2240</v>
      </c>
      <c r="AT4" t="s">
        <v>1147</v>
      </c>
      <c r="AV4" t="s">
        <v>178</v>
      </c>
    </row>
    <row r="5" spans="1:49">
      <c r="A5">
        <v>2313010364</v>
      </c>
      <c r="B5">
        <v>2313010389</v>
      </c>
      <c r="C5" t="s">
        <v>1148</v>
      </c>
      <c r="D5" t="s">
        <v>326</v>
      </c>
      <c r="E5" t="s">
        <v>1135</v>
      </c>
      <c r="H5" t="s">
        <v>29</v>
      </c>
      <c r="I5" t="s">
        <v>1134</v>
      </c>
      <c r="J5">
        <v>100</v>
      </c>
      <c r="K5">
        <v>100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100</v>
      </c>
      <c r="AH5">
        <v>1</v>
      </c>
      <c r="AI5">
        <v>0</v>
      </c>
      <c r="AJ5">
        <v>0</v>
      </c>
      <c r="AK5">
        <v>100</v>
      </c>
      <c r="AL5">
        <v>0</v>
      </c>
      <c r="AM5">
        <v>0</v>
      </c>
      <c r="AN5">
        <v>0</v>
      </c>
      <c r="AO5">
        <v>0</v>
      </c>
      <c r="AP5">
        <v>70</v>
      </c>
      <c r="AT5" t="s">
        <v>1149</v>
      </c>
      <c r="AV5" t="s">
        <v>264</v>
      </c>
    </row>
    <row r="6" spans="1:49">
      <c r="A6">
        <v>2313010364</v>
      </c>
      <c r="B6">
        <v>2313010390</v>
      </c>
      <c r="C6" t="s">
        <v>1150</v>
      </c>
      <c r="D6" t="s">
        <v>329</v>
      </c>
      <c r="E6" t="s">
        <v>1135</v>
      </c>
      <c r="H6" t="s">
        <v>29</v>
      </c>
      <c r="I6" t="s">
        <v>1134</v>
      </c>
      <c r="J6">
        <v>100</v>
      </c>
      <c r="K6">
        <v>100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100</v>
      </c>
      <c r="AH6">
        <v>1</v>
      </c>
      <c r="AI6">
        <v>0</v>
      </c>
      <c r="AJ6">
        <v>0</v>
      </c>
      <c r="AK6">
        <v>100</v>
      </c>
      <c r="AL6">
        <v>0</v>
      </c>
      <c r="AM6">
        <v>0</v>
      </c>
      <c r="AN6">
        <v>0</v>
      </c>
      <c r="AO6">
        <v>0</v>
      </c>
      <c r="AP6">
        <v>70</v>
      </c>
      <c r="AT6" t="s">
        <v>1149</v>
      </c>
      <c r="AV6" t="s">
        <v>264</v>
      </c>
    </row>
    <row r="7" spans="1:49">
      <c r="A7">
        <v>2313010364</v>
      </c>
      <c r="B7">
        <v>2313010391</v>
      </c>
      <c r="C7" t="s">
        <v>1151</v>
      </c>
      <c r="D7" t="s">
        <v>261</v>
      </c>
      <c r="E7" t="s">
        <v>1135</v>
      </c>
      <c r="H7" t="s">
        <v>29</v>
      </c>
      <c r="I7" t="s">
        <v>1134</v>
      </c>
      <c r="J7">
        <v>100</v>
      </c>
      <c r="K7">
        <v>100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100</v>
      </c>
      <c r="AH7">
        <v>1</v>
      </c>
      <c r="AI7">
        <v>0</v>
      </c>
      <c r="AJ7">
        <v>0</v>
      </c>
      <c r="AK7">
        <v>100</v>
      </c>
      <c r="AL7">
        <v>0</v>
      </c>
      <c r="AM7">
        <v>0</v>
      </c>
      <c r="AN7">
        <v>0</v>
      </c>
      <c r="AO7">
        <v>0</v>
      </c>
      <c r="AP7">
        <v>70</v>
      </c>
      <c r="AT7" t="s">
        <v>1149</v>
      </c>
      <c r="AV7" t="s">
        <v>264</v>
      </c>
    </row>
    <row r="8" spans="1:49">
      <c r="A8">
        <v>2313010364</v>
      </c>
      <c r="B8">
        <v>2313010392</v>
      </c>
      <c r="C8" t="s">
        <v>1152</v>
      </c>
      <c r="D8" t="s">
        <v>266</v>
      </c>
      <c r="E8" t="s">
        <v>1135</v>
      </c>
      <c r="H8" t="s">
        <v>29</v>
      </c>
      <c r="I8" t="s">
        <v>1134</v>
      </c>
      <c r="J8">
        <v>100</v>
      </c>
      <c r="K8">
        <v>100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100</v>
      </c>
      <c r="AH8">
        <v>1</v>
      </c>
      <c r="AI8">
        <v>0</v>
      </c>
      <c r="AJ8">
        <v>0</v>
      </c>
      <c r="AK8">
        <v>100</v>
      </c>
      <c r="AL8">
        <v>0</v>
      </c>
      <c r="AM8">
        <v>0</v>
      </c>
      <c r="AN8">
        <v>0</v>
      </c>
      <c r="AO8">
        <v>0</v>
      </c>
      <c r="AP8">
        <v>70</v>
      </c>
      <c r="AT8" t="s">
        <v>1149</v>
      </c>
      <c r="AV8" t="s">
        <v>264</v>
      </c>
    </row>
    <row r="9" spans="1:49">
      <c r="A9">
        <v>2313010364</v>
      </c>
      <c r="B9">
        <v>2313010393</v>
      </c>
      <c r="C9" t="s">
        <v>1153</v>
      </c>
      <c r="D9" t="s">
        <v>268</v>
      </c>
      <c r="E9" t="s">
        <v>1135</v>
      </c>
      <c r="H9" t="s">
        <v>29</v>
      </c>
      <c r="I9" t="s">
        <v>1134</v>
      </c>
      <c r="J9">
        <v>100</v>
      </c>
      <c r="K9">
        <v>100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100</v>
      </c>
      <c r="AH9">
        <v>1</v>
      </c>
      <c r="AI9">
        <v>0</v>
      </c>
      <c r="AJ9">
        <v>0</v>
      </c>
      <c r="AK9">
        <v>100</v>
      </c>
      <c r="AL9">
        <v>0</v>
      </c>
      <c r="AM9">
        <v>0</v>
      </c>
      <c r="AN9">
        <v>0</v>
      </c>
      <c r="AO9">
        <v>0</v>
      </c>
      <c r="AP9">
        <v>70</v>
      </c>
      <c r="AT9" t="s">
        <v>1149</v>
      </c>
      <c r="AV9" t="s">
        <v>264</v>
      </c>
    </row>
    <row r="10" spans="1:49">
      <c r="A10">
        <v>2313010364</v>
      </c>
      <c r="B10">
        <v>2313010394</v>
      </c>
      <c r="C10" t="s">
        <v>1154</v>
      </c>
      <c r="D10" t="s">
        <v>270</v>
      </c>
      <c r="E10" t="s">
        <v>1135</v>
      </c>
      <c r="H10" t="s">
        <v>29</v>
      </c>
      <c r="I10" t="s">
        <v>1134</v>
      </c>
      <c r="J10">
        <v>100</v>
      </c>
      <c r="K10">
        <v>100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100</v>
      </c>
      <c r="AH10">
        <v>1</v>
      </c>
      <c r="AI10">
        <v>0</v>
      </c>
      <c r="AJ10">
        <v>0</v>
      </c>
      <c r="AK10">
        <v>100</v>
      </c>
      <c r="AL10">
        <v>0</v>
      </c>
      <c r="AM10">
        <v>0</v>
      </c>
      <c r="AN10">
        <v>0</v>
      </c>
      <c r="AO10">
        <v>0</v>
      </c>
      <c r="AP10">
        <v>70</v>
      </c>
      <c r="AT10" t="s">
        <v>1149</v>
      </c>
      <c r="AV10" t="s">
        <v>264</v>
      </c>
    </row>
    <row r="11" spans="1:49">
      <c r="A11">
        <v>2313010364</v>
      </c>
      <c r="B11">
        <v>2313010395</v>
      </c>
      <c r="C11" t="s">
        <v>1155</v>
      </c>
      <c r="D11" t="s">
        <v>272</v>
      </c>
      <c r="E11" t="s">
        <v>1135</v>
      </c>
      <c r="H11" t="s">
        <v>29</v>
      </c>
      <c r="I11" t="s">
        <v>1134</v>
      </c>
      <c r="J11">
        <v>100</v>
      </c>
      <c r="K11">
        <v>100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100</v>
      </c>
      <c r="AH11">
        <v>1</v>
      </c>
      <c r="AI11">
        <v>0</v>
      </c>
      <c r="AJ11">
        <v>0</v>
      </c>
      <c r="AK11">
        <v>100</v>
      </c>
      <c r="AL11">
        <v>0</v>
      </c>
      <c r="AM11">
        <v>0</v>
      </c>
      <c r="AN11">
        <v>0</v>
      </c>
      <c r="AO11">
        <v>0</v>
      </c>
      <c r="AP11">
        <v>70</v>
      </c>
      <c r="AT11" t="s">
        <v>1149</v>
      </c>
      <c r="AV11" t="s">
        <v>264</v>
      </c>
    </row>
    <row r="12" spans="1:49">
      <c r="A12">
        <v>2313010364</v>
      </c>
      <c r="B12">
        <v>2313010364</v>
      </c>
      <c r="C12" t="s">
        <v>1156</v>
      </c>
      <c r="D12" t="s">
        <v>545</v>
      </c>
      <c r="E12" t="s">
        <v>1135</v>
      </c>
      <c r="H12" t="s">
        <v>29</v>
      </c>
      <c r="I12" t="s">
        <v>1134</v>
      </c>
      <c r="J12">
        <v>0</v>
      </c>
      <c r="K12">
        <v>0</v>
      </c>
      <c r="L12">
        <v>0</v>
      </c>
      <c r="M12">
        <v>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T12" t="s">
        <v>1149</v>
      </c>
      <c r="AV12" t="s">
        <v>264</v>
      </c>
    </row>
    <row r="13" spans="1:49">
      <c r="A13">
        <v>2313010364</v>
      </c>
      <c r="B13">
        <v>2313010365</v>
      </c>
      <c r="C13" t="s">
        <v>1157</v>
      </c>
      <c r="D13" t="s">
        <v>199</v>
      </c>
      <c r="E13" t="s">
        <v>1135</v>
      </c>
      <c r="H13" t="s">
        <v>29</v>
      </c>
      <c r="I13" t="s">
        <v>1134</v>
      </c>
      <c r="J13">
        <v>0</v>
      </c>
      <c r="K13">
        <v>0</v>
      </c>
      <c r="L13">
        <v>0</v>
      </c>
      <c r="M13">
        <v>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T13" t="s">
        <v>1149</v>
      </c>
      <c r="AV13" t="s">
        <v>264</v>
      </c>
    </row>
    <row r="14" spans="1:49">
      <c r="A14">
        <v>2313010364</v>
      </c>
      <c r="B14">
        <v>2313010366</v>
      </c>
      <c r="C14" t="s">
        <v>1158</v>
      </c>
      <c r="D14" t="s">
        <v>195</v>
      </c>
      <c r="E14" t="s">
        <v>1135</v>
      </c>
      <c r="H14" t="s">
        <v>29</v>
      </c>
      <c r="I14" t="s">
        <v>1134</v>
      </c>
      <c r="J14">
        <v>0</v>
      </c>
      <c r="K14">
        <v>0</v>
      </c>
      <c r="L14">
        <v>0</v>
      </c>
      <c r="M14">
        <v>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T14" t="s">
        <v>1149</v>
      </c>
      <c r="AV14" t="s">
        <v>264</v>
      </c>
    </row>
    <row r="15" spans="1:49">
      <c r="A15">
        <v>2313010364</v>
      </c>
      <c r="B15">
        <v>2313010367</v>
      </c>
      <c r="C15" t="s">
        <v>1159</v>
      </c>
      <c r="D15" t="s">
        <v>207</v>
      </c>
      <c r="E15" t="s">
        <v>1135</v>
      </c>
      <c r="H15" t="s">
        <v>29</v>
      </c>
      <c r="I15" t="s">
        <v>1134</v>
      </c>
      <c r="J15">
        <v>0</v>
      </c>
      <c r="K15">
        <v>0</v>
      </c>
      <c r="L15">
        <v>0</v>
      </c>
      <c r="M15">
        <v>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T15" t="s">
        <v>1149</v>
      </c>
      <c r="AV15" t="s">
        <v>264</v>
      </c>
    </row>
    <row r="16" spans="1:49">
      <c r="A16">
        <v>2313010364</v>
      </c>
      <c r="B16">
        <v>2313010368</v>
      </c>
      <c r="C16" t="s">
        <v>1160</v>
      </c>
      <c r="D16" t="s">
        <v>210</v>
      </c>
      <c r="E16" t="s">
        <v>1135</v>
      </c>
      <c r="H16" t="s">
        <v>29</v>
      </c>
      <c r="I16" t="s">
        <v>1134</v>
      </c>
      <c r="J16">
        <v>0</v>
      </c>
      <c r="K16">
        <v>0</v>
      </c>
      <c r="L16">
        <v>0</v>
      </c>
      <c r="M16">
        <v>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T16" t="s">
        <v>1149</v>
      </c>
      <c r="AV16" t="s">
        <v>264</v>
      </c>
    </row>
    <row r="17" spans="1:48">
      <c r="A17">
        <v>2313010364</v>
      </c>
      <c r="B17">
        <v>2313010369</v>
      </c>
      <c r="C17" t="s">
        <v>1161</v>
      </c>
      <c r="D17" t="s">
        <v>175</v>
      </c>
      <c r="E17" t="s">
        <v>1135</v>
      </c>
      <c r="H17" t="s">
        <v>29</v>
      </c>
      <c r="I17" t="s">
        <v>1134</v>
      </c>
      <c r="J17">
        <v>0</v>
      </c>
      <c r="K17">
        <v>0</v>
      </c>
      <c r="L17">
        <v>0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T17" t="s">
        <v>1149</v>
      </c>
      <c r="AV17" t="s">
        <v>264</v>
      </c>
    </row>
    <row r="18" spans="1:48">
      <c r="A18">
        <v>2313010364</v>
      </c>
      <c r="B18">
        <v>2313010370</v>
      </c>
      <c r="C18" t="s">
        <v>1162</v>
      </c>
      <c r="D18" t="s">
        <v>213</v>
      </c>
      <c r="E18" t="s">
        <v>1135</v>
      </c>
      <c r="H18" t="s">
        <v>29</v>
      </c>
      <c r="I18" t="s">
        <v>1134</v>
      </c>
      <c r="J18">
        <v>0</v>
      </c>
      <c r="K18">
        <v>0</v>
      </c>
      <c r="L18">
        <v>0</v>
      </c>
      <c r="M18">
        <v>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T18" t="s">
        <v>1149</v>
      </c>
      <c r="AV18" t="s">
        <v>264</v>
      </c>
    </row>
    <row r="19" spans="1:48">
      <c r="A19">
        <v>2313010364</v>
      </c>
      <c r="B19">
        <v>2313010371</v>
      </c>
      <c r="C19" t="s">
        <v>1163</v>
      </c>
      <c r="D19" t="s">
        <v>216</v>
      </c>
      <c r="E19" t="s">
        <v>1135</v>
      </c>
      <c r="H19" t="s">
        <v>29</v>
      </c>
      <c r="I19" t="s">
        <v>1134</v>
      </c>
      <c r="J19">
        <v>0</v>
      </c>
      <c r="K19">
        <v>0</v>
      </c>
      <c r="L19">
        <v>0</v>
      </c>
      <c r="M19">
        <v>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T19" t="s">
        <v>1149</v>
      </c>
      <c r="AV19" t="s">
        <v>264</v>
      </c>
    </row>
    <row r="20" spans="1:48">
      <c r="A20">
        <v>2313010364</v>
      </c>
      <c r="B20">
        <v>2313010372</v>
      </c>
      <c r="C20" t="s">
        <v>1164</v>
      </c>
      <c r="D20" t="s">
        <v>219</v>
      </c>
      <c r="E20" t="s">
        <v>1135</v>
      </c>
      <c r="H20" t="s">
        <v>29</v>
      </c>
      <c r="I20" t="s">
        <v>1134</v>
      </c>
      <c r="J20">
        <v>0</v>
      </c>
      <c r="K20">
        <v>0</v>
      </c>
      <c r="L20">
        <v>0</v>
      </c>
      <c r="M20">
        <v>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T20" t="s">
        <v>1149</v>
      </c>
      <c r="AV20" t="s">
        <v>264</v>
      </c>
    </row>
    <row r="21" spans="1:48">
      <c r="A21">
        <v>2313010364</v>
      </c>
      <c r="B21">
        <v>2313010373</v>
      </c>
      <c r="C21" t="s">
        <v>1165</v>
      </c>
      <c r="D21" t="s">
        <v>180</v>
      </c>
      <c r="E21" t="s">
        <v>1135</v>
      </c>
      <c r="H21" t="s">
        <v>29</v>
      </c>
      <c r="I21" t="s">
        <v>1134</v>
      </c>
      <c r="J21">
        <v>0</v>
      </c>
      <c r="K21">
        <v>0</v>
      </c>
      <c r="L21">
        <v>0</v>
      </c>
      <c r="M21">
        <v>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T21" t="s">
        <v>1149</v>
      </c>
      <c r="AV21" t="s">
        <v>264</v>
      </c>
    </row>
    <row r="22" spans="1:48">
      <c r="A22">
        <v>2313010364</v>
      </c>
      <c r="B22">
        <v>2313010374</v>
      </c>
      <c r="C22" t="s">
        <v>1166</v>
      </c>
      <c r="D22" t="s">
        <v>183</v>
      </c>
      <c r="E22" t="s">
        <v>1135</v>
      </c>
      <c r="H22" t="s">
        <v>29</v>
      </c>
      <c r="I22" t="s">
        <v>1134</v>
      </c>
      <c r="J22">
        <v>0</v>
      </c>
      <c r="K22">
        <v>0</v>
      </c>
      <c r="L22">
        <v>0</v>
      </c>
      <c r="M22">
        <v>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T22" t="s">
        <v>1149</v>
      </c>
      <c r="AV22" t="s">
        <v>264</v>
      </c>
    </row>
    <row r="23" spans="1:48">
      <c r="A23">
        <v>2313010364</v>
      </c>
      <c r="B23">
        <v>2313010375</v>
      </c>
      <c r="C23" t="s">
        <v>1167</v>
      </c>
      <c r="D23" t="s">
        <v>186</v>
      </c>
      <c r="E23" t="s">
        <v>1135</v>
      </c>
      <c r="H23" t="s">
        <v>29</v>
      </c>
      <c r="I23" t="s">
        <v>1134</v>
      </c>
      <c r="J23">
        <v>0</v>
      </c>
      <c r="K23">
        <v>0</v>
      </c>
      <c r="L23">
        <v>0</v>
      </c>
      <c r="M23">
        <v>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T23" t="s">
        <v>1149</v>
      </c>
      <c r="AV23" t="s">
        <v>264</v>
      </c>
    </row>
    <row r="24" spans="1:48">
      <c r="A24">
        <v>2313010364</v>
      </c>
      <c r="B24">
        <v>2313010376</v>
      </c>
      <c r="C24" t="s">
        <v>1168</v>
      </c>
      <c r="D24" t="s">
        <v>189</v>
      </c>
      <c r="E24" t="s">
        <v>1135</v>
      </c>
      <c r="H24" t="s">
        <v>29</v>
      </c>
      <c r="I24" t="s">
        <v>1134</v>
      </c>
      <c r="J24">
        <v>0</v>
      </c>
      <c r="K24">
        <v>0</v>
      </c>
      <c r="L24">
        <v>0</v>
      </c>
      <c r="M24">
        <v>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T24" t="s">
        <v>1149</v>
      </c>
      <c r="AV24" t="s">
        <v>264</v>
      </c>
    </row>
    <row r="25" spans="1:48">
      <c r="A25">
        <v>2313010364</v>
      </c>
      <c r="B25">
        <v>2313010377</v>
      </c>
      <c r="C25" t="s">
        <v>1169</v>
      </c>
      <c r="D25" t="s">
        <v>192</v>
      </c>
      <c r="E25" t="s">
        <v>1135</v>
      </c>
      <c r="H25" t="s">
        <v>29</v>
      </c>
      <c r="I25" t="s">
        <v>1134</v>
      </c>
      <c r="J25">
        <v>0</v>
      </c>
      <c r="K25">
        <v>0</v>
      </c>
      <c r="L25">
        <v>0</v>
      </c>
      <c r="M25">
        <v>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T25" t="s">
        <v>1149</v>
      </c>
      <c r="AV25" t="s">
        <v>264</v>
      </c>
    </row>
    <row r="26" spans="1:48">
      <c r="A26">
        <v>2313010364</v>
      </c>
      <c r="B26">
        <v>2313010378</v>
      </c>
      <c r="C26" t="s">
        <v>1170</v>
      </c>
      <c r="D26" t="s">
        <v>222</v>
      </c>
      <c r="E26" t="s">
        <v>1135</v>
      </c>
      <c r="H26" t="s">
        <v>29</v>
      </c>
      <c r="I26" t="s">
        <v>1134</v>
      </c>
      <c r="J26">
        <v>0</v>
      </c>
      <c r="K26">
        <v>0</v>
      </c>
      <c r="L26">
        <v>0</v>
      </c>
      <c r="M26">
        <v>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T26" t="s">
        <v>1149</v>
      </c>
      <c r="AV26" t="s">
        <v>264</v>
      </c>
    </row>
    <row r="27" spans="1:48">
      <c r="A27">
        <v>2313010364</v>
      </c>
      <c r="B27">
        <v>2313010379</v>
      </c>
      <c r="C27" t="s">
        <v>1171</v>
      </c>
      <c r="D27" t="s">
        <v>225</v>
      </c>
      <c r="E27" t="s">
        <v>1135</v>
      </c>
      <c r="H27" t="s">
        <v>29</v>
      </c>
      <c r="I27" t="s">
        <v>1134</v>
      </c>
      <c r="J27">
        <v>0</v>
      </c>
      <c r="K27">
        <v>0</v>
      </c>
      <c r="L27">
        <v>0</v>
      </c>
      <c r="M27">
        <v>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T27" t="s">
        <v>1149</v>
      </c>
      <c r="AV27" t="s">
        <v>264</v>
      </c>
    </row>
    <row r="28" spans="1:48">
      <c r="A28">
        <v>2313010364</v>
      </c>
      <c r="B28">
        <v>2313010380</v>
      </c>
      <c r="C28" t="s">
        <v>1172</v>
      </c>
      <c r="D28" t="s">
        <v>228</v>
      </c>
      <c r="E28" t="s">
        <v>1135</v>
      </c>
      <c r="H28" t="s">
        <v>29</v>
      </c>
      <c r="I28" t="s">
        <v>1134</v>
      </c>
      <c r="J28">
        <v>0</v>
      </c>
      <c r="K28">
        <v>0</v>
      </c>
      <c r="L28">
        <v>0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T28" t="s">
        <v>1149</v>
      </c>
      <c r="AV28" t="s">
        <v>264</v>
      </c>
    </row>
    <row r="29" spans="1:48">
      <c r="A29">
        <v>2313010364</v>
      </c>
      <c r="B29">
        <v>2313010381</v>
      </c>
      <c r="C29" t="s">
        <v>1173</v>
      </c>
      <c r="D29" t="s">
        <v>231</v>
      </c>
      <c r="E29" t="s">
        <v>1135</v>
      </c>
      <c r="H29" t="s">
        <v>29</v>
      </c>
      <c r="I29" t="s">
        <v>1134</v>
      </c>
      <c r="J29">
        <v>0</v>
      </c>
      <c r="K29">
        <v>0</v>
      </c>
      <c r="L29">
        <v>0</v>
      </c>
      <c r="M29">
        <v>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T29" t="s">
        <v>1149</v>
      </c>
      <c r="AV29" t="s">
        <v>264</v>
      </c>
    </row>
    <row r="30" spans="1:48">
      <c r="A30">
        <v>2313010364</v>
      </c>
      <c r="B30">
        <v>2313010382</v>
      </c>
      <c r="C30" t="s">
        <v>1174</v>
      </c>
      <c r="D30" t="s">
        <v>234</v>
      </c>
      <c r="E30" t="s">
        <v>1135</v>
      </c>
      <c r="H30" t="s">
        <v>29</v>
      </c>
      <c r="I30" t="s">
        <v>1134</v>
      </c>
      <c r="J30">
        <v>0</v>
      </c>
      <c r="K30">
        <v>0</v>
      </c>
      <c r="L30">
        <v>0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T30" t="s">
        <v>1149</v>
      </c>
      <c r="AV30" t="s">
        <v>264</v>
      </c>
    </row>
    <row r="31" spans="1:48">
      <c r="A31">
        <v>2313010364</v>
      </c>
      <c r="B31">
        <v>2313010383</v>
      </c>
      <c r="C31" t="s">
        <v>1175</v>
      </c>
      <c r="D31" t="s">
        <v>237</v>
      </c>
      <c r="E31" t="s">
        <v>1135</v>
      </c>
      <c r="H31" t="s">
        <v>29</v>
      </c>
      <c r="I31" t="s">
        <v>1134</v>
      </c>
      <c r="J31">
        <v>0</v>
      </c>
      <c r="K31">
        <v>0</v>
      </c>
      <c r="L31">
        <v>0</v>
      </c>
      <c r="M31">
        <v>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T31" t="s">
        <v>1149</v>
      </c>
      <c r="AV31" t="s">
        <v>264</v>
      </c>
    </row>
    <row r="32" spans="1:48">
      <c r="A32">
        <v>2313010364</v>
      </c>
      <c r="B32">
        <v>2313010384</v>
      </c>
      <c r="C32" t="s">
        <v>1176</v>
      </c>
      <c r="D32" t="s">
        <v>240</v>
      </c>
      <c r="E32" t="s">
        <v>1135</v>
      </c>
      <c r="H32" t="s">
        <v>29</v>
      </c>
      <c r="I32" t="s">
        <v>1134</v>
      </c>
      <c r="J32">
        <v>0</v>
      </c>
      <c r="K32">
        <v>0</v>
      </c>
      <c r="L32">
        <v>0</v>
      </c>
      <c r="M32">
        <v>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T32" t="s">
        <v>1149</v>
      </c>
      <c r="AV32" t="s">
        <v>264</v>
      </c>
    </row>
    <row r="33" spans="1:48">
      <c r="A33">
        <v>2313010364</v>
      </c>
      <c r="B33">
        <v>2313010385</v>
      </c>
      <c r="C33" t="s">
        <v>1177</v>
      </c>
      <c r="D33" t="s">
        <v>243</v>
      </c>
      <c r="E33" t="s">
        <v>1135</v>
      </c>
      <c r="H33" t="s">
        <v>29</v>
      </c>
      <c r="I33" t="s">
        <v>1134</v>
      </c>
      <c r="J33">
        <v>0</v>
      </c>
      <c r="K33">
        <v>0</v>
      </c>
      <c r="L33">
        <v>0</v>
      </c>
      <c r="M33">
        <v>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T33" t="s">
        <v>1149</v>
      </c>
      <c r="AV33" t="s">
        <v>264</v>
      </c>
    </row>
    <row r="34" spans="1:48">
      <c r="A34">
        <v>2313010364</v>
      </c>
      <c r="B34">
        <v>2313010386</v>
      </c>
      <c r="C34" t="s">
        <v>1178</v>
      </c>
      <c r="D34" t="s">
        <v>246</v>
      </c>
      <c r="E34" t="s">
        <v>1135</v>
      </c>
      <c r="H34" t="s">
        <v>29</v>
      </c>
      <c r="I34" t="s">
        <v>1134</v>
      </c>
      <c r="J34">
        <v>0</v>
      </c>
      <c r="K34">
        <v>0</v>
      </c>
      <c r="L34">
        <v>0</v>
      </c>
      <c r="M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T34" t="s">
        <v>1149</v>
      </c>
      <c r="AV34" t="s">
        <v>264</v>
      </c>
    </row>
    <row r="35" spans="1:48">
      <c r="A35">
        <v>2313010364</v>
      </c>
      <c r="B35">
        <v>2313010387</v>
      </c>
      <c r="C35" t="s">
        <v>1179</v>
      </c>
      <c r="D35" t="s">
        <v>571</v>
      </c>
      <c r="E35" t="s">
        <v>1135</v>
      </c>
      <c r="H35" t="s">
        <v>29</v>
      </c>
      <c r="I35" t="s">
        <v>1134</v>
      </c>
      <c r="J35">
        <v>0</v>
      </c>
      <c r="K35">
        <v>0</v>
      </c>
      <c r="L35">
        <v>0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T35" t="s">
        <v>1149</v>
      </c>
      <c r="AV35" t="s">
        <v>264</v>
      </c>
    </row>
    <row r="36" spans="1:48">
      <c r="A36">
        <v>2313010364</v>
      </c>
      <c r="B36">
        <v>2313010388</v>
      </c>
      <c r="C36" t="s">
        <v>1180</v>
      </c>
      <c r="D36" t="s">
        <v>573</v>
      </c>
      <c r="E36" t="s">
        <v>1135</v>
      </c>
      <c r="H36" t="s">
        <v>29</v>
      </c>
      <c r="I36" t="s">
        <v>1134</v>
      </c>
      <c r="J36">
        <v>0</v>
      </c>
      <c r="K36">
        <v>0</v>
      </c>
      <c r="L36">
        <v>0</v>
      </c>
      <c r="M36">
        <v>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T36" t="s">
        <v>1149</v>
      </c>
      <c r="AV36" t="s">
        <v>264</v>
      </c>
    </row>
    <row r="37" spans="1:48">
      <c r="A37">
        <v>2313010576</v>
      </c>
      <c r="B37">
        <v>2313010576</v>
      </c>
      <c r="C37" t="s">
        <v>1181</v>
      </c>
      <c r="D37" t="s">
        <v>545</v>
      </c>
      <c r="E37" t="s">
        <v>1135</v>
      </c>
      <c r="H37" t="s">
        <v>29</v>
      </c>
      <c r="I37" t="s">
        <v>1142</v>
      </c>
      <c r="J37">
        <v>0</v>
      </c>
      <c r="K37">
        <v>0</v>
      </c>
      <c r="L37">
        <v>0</v>
      </c>
      <c r="M37">
        <v>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5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T37" t="s">
        <v>1182</v>
      </c>
      <c r="AV37" t="s">
        <v>178</v>
      </c>
    </row>
    <row r="38" spans="1:48">
      <c r="AP38">
        <f>SUM(AP2:AP37)</f>
        <v>9450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opLeftCell="B1" workbookViewId="0">
      <selection activeCell="R21" sqref="R21"/>
    </sheetView>
  </sheetViews>
  <sheetFormatPr defaultRowHeight="17.399999999999999"/>
  <cols>
    <col min="1" max="1" width="4.09765625" bestFit="1" customWidth="1"/>
    <col min="2" max="2" width="6.5" bestFit="1" customWidth="1"/>
    <col min="3" max="3" width="8.19921875" bestFit="1" customWidth="1"/>
    <col min="4" max="4" width="6.5" bestFit="1" customWidth="1"/>
    <col min="5" max="5" width="4.69921875" bestFit="1" customWidth="1"/>
    <col min="6" max="6" width="5.3984375" bestFit="1" customWidth="1"/>
    <col min="7" max="7" width="4.69921875" bestFit="1" customWidth="1"/>
    <col min="8" max="8" width="5.3984375" bestFit="1" customWidth="1"/>
    <col min="9" max="9" width="4.69921875" bestFit="1" customWidth="1"/>
    <col min="10" max="10" width="5.3984375" bestFit="1" customWidth="1"/>
    <col min="11" max="11" width="4.69921875" bestFit="1" customWidth="1"/>
    <col min="12" max="12" width="6.5" bestFit="1" customWidth="1"/>
    <col min="13" max="14" width="8.19921875" bestFit="1" customWidth="1"/>
    <col min="15" max="15" width="6.5" bestFit="1" customWidth="1"/>
  </cols>
  <sheetData>
    <row r="1" spans="1:15" ht="31.2">
      <c r="A1" s="23" t="s">
        <v>632</v>
      </c>
      <c r="B1" s="24" t="s">
        <v>633</v>
      </c>
      <c r="C1" s="23" t="s">
        <v>634</v>
      </c>
      <c r="D1" s="23" t="s">
        <v>635</v>
      </c>
      <c r="E1" s="25" t="s">
        <v>636</v>
      </c>
      <c r="F1" s="25" t="s">
        <v>637</v>
      </c>
      <c r="G1" s="25" t="s">
        <v>636</v>
      </c>
      <c r="H1" s="25" t="s">
        <v>637</v>
      </c>
      <c r="I1" s="25" t="s">
        <v>636</v>
      </c>
      <c r="J1" s="25" t="s">
        <v>637</v>
      </c>
      <c r="K1" s="25" t="s">
        <v>638</v>
      </c>
      <c r="L1" s="25" t="s">
        <v>639</v>
      </c>
      <c r="M1" s="26" t="s">
        <v>1183</v>
      </c>
      <c r="N1" s="23" t="s">
        <v>641</v>
      </c>
      <c r="O1" s="24" t="s">
        <v>166</v>
      </c>
    </row>
    <row r="2" spans="1:15" ht="31.2">
      <c r="A2" s="27">
        <v>49</v>
      </c>
      <c r="B2" s="28" t="s">
        <v>1135</v>
      </c>
      <c r="C2" s="28" t="s">
        <v>1134</v>
      </c>
      <c r="D2" s="29" t="s">
        <v>642</v>
      </c>
      <c r="E2" s="30">
        <v>0</v>
      </c>
      <c r="F2" s="30">
        <v>0</v>
      </c>
      <c r="G2" s="30">
        <v>0</v>
      </c>
      <c r="H2" s="30">
        <v>0</v>
      </c>
      <c r="I2" s="30">
        <v>0</v>
      </c>
      <c r="J2" s="30">
        <v>0</v>
      </c>
      <c r="K2" s="30">
        <v>0</v>
      </c>
      <c r="L2" s="30">
        <v>0</v>
      </c>
      <c r="M2" s="30">
        <v>0</v>
      </c>
      <c r="N2" s="31"/>
      <c r="O2" s="30">
        <v>0</v>
      </c>
    </row>
    <row r="3" spans="1:15" ht="31.2">
      <c r="A3" s="27">
        <v>49</v>
      </c>
      <c r="B3" s="28" t="s">
        <v>1135</v>
      </c>
      <c r="C3" s="28" t="s">
        <v>1134</v>
      </c>
      <c r="D3" s="29" t="s">
        <v>643</v>
      </c>
      <c r="E3" s="30">
        <v>0</v>
      </c>
      <c r="F3" s="30">
        <v>0</v>
      </c>
      <c r="G3" s="30">
        <v>0</v>
      </c>
      <c r="H3" s="30">
        <v>0</v>
      </c>
      <c r="I3" s="30">
        <v>0</v>
      </c>
      <c r="J3" s="30">
        <v>0</v>
      </c>
      <c r="K3" s="30">
        <v>0</v>
      </c>
      <c r="L3" s="30">
        <v>0</v>
      </c>
      <c r="M3" s="30">
        <v>0</v>
      </c>
      <c r="N3" s="31"/>
      <c r="O3" s="30">
        <v>0</v>
      </c>
    </row>
    <row r="4" spans="1:15" ht="31.2">
      <c r="A4" s="27">
        <v>49</v>
      </c>
      <c r="B4" s="28" t="s">
        <v>1135</v>
      </c>
      <c r="C4" s="28" t="s">
        <v>1134</v>
      </c>
      <c r="D4" s="29" t="s">
        <v>644</v>
      </c>
      <c r="E4" s="30">
        <v>13</v>
      </c>
      <c r="F4" s="73">
        <v>1300</v>
      </c>
      <c r="G4" s="30">
        <v>13</v>
      </c>
      <c r="H4" s="73">
        <v>1300</v>
      </c>
      <c r="I4" s="30">
        <v>13</v>
      </c>
      <c r="J4" s="73">
        <v>1300</v>
      </c>
      <c r="K4" s="30">
        <v>0</v>
      </c>
      <c r="L4" s="30">
        <v>0</v>
      </c>
      <c r="M4" s="73">
        <v>1300</v>
      </c>
      <c r="N4" s="31"/>
      <c r="O4" s="30">
        <v>910</v>
      </c>
    </row>
    <row r="5" spans="1:15">
      <c r="O5">
        <f>SUM(O2:O4)</f>
        <v>910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opLeftCell="B1" workbookViewId="0">
      <selection activeCell="M19" sqref="M19"/>
    </sheetView>
  </sheetViews>
  <sheetFormatPr defaultRowHeight="17.399999999999999"/>
  <cols>
    <col min="1" max="1" width="6.69921875" bestFit="1" customWidth="1"/>
    <col min="2" max="3" width="5.69921875" bestFit="1" customWidth="1"/>
    <col min="4" max="4" width="6.19921875" bestFit="1" customWidth="1"/>
    <col min="5" max="5" width="7.3984375" bestFit="1" customWidth="1"/>
    <col min="6" max="6" width="36.6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6.796875" bestFit="1" customWidth="1"/>
  </cols>
  <sheetData>
    <row r="1" spans="1:13">
      <c r="A1" s="32" t="s">
        <v>646</v>
      </c>
      <c r="B1" s="32" t="s">
        <v>647</v>
      </c>
      <c r="C1" s="32" t="s">
        <v>633</v>
      </c>
      <c r="D1" s="32" t="s">
        <v>648</v>
      </c>
      <c r="E1" s="32" t="s">
        <v>649</v>
      </c>
      <c r="F1" s="32" t="s">
        <v>650</v>
      </c>
      <c r="G1" s="33" t="s">
        <v>651</v>
      </c>
      <c r="H1" s="33" t="s">
        <v>652</v>
      </c>
      <c r="I1" s="33" t="s">
        <v>653</v>
      </c>
      <c r="J1" s="33" t="s">
        <v>654</v>
      </c>
      <c r="K1" s="33" t="s">
        <v>655</v>
      </c>
      <c r="L1" s="33" t="s">
        <v>656</v>
      </c>
      <c r="M1" s="33" t="s">
        <v>657</v>
      </c>
    </row>
    <row r="2" spans="1:13">
      <c r="A2" s="34">
        <v>2022.03</v>
      </c>
      <c r="B2" s="34" t="s">
        <v>658</v>
      </c>
      <c r="C2" s="34" t="s">
        <v>1184</v>
      </c>
      <c r="D2" s="34" t="s">
        <v>660</v>
      </c>
      <c r="E2" s="34">
        <v>259015</v>
      </c>
      <c r="F2" s="35" t="s">
        <v>1185</v>
      </c>
      <c r="G2" s="36">
        <v>2</v>
      </c>
      <c r="H2" s="36">
        <v>0</v>
      </c>
      <c r="I2" s="36">
        <v>0</v>
      </c>
      <c r="J2" s="36">
        <v>0</v>
      </c>
      <c r="K2" s="37">
        <v>6400</v>
      </c>
      <c r="L2" s="37">
        <v>0</v>
      </c>
      <c r="M2" s="36">
        <v>4032</v>
      </c>
    </row>
    <row r="3" spans="1:13">
      <c r="A3" s="34">
        <v>2022.03</v>
      </c>
      <c r="B3" s="34" t="s">
        <v>658</v>
      </c>
      <c r="C3" s="34" t="s">
        <v>1135</v>
      </c>
      <c r="D3" s="34" t="s">
        <v>660</v>
      </c>
      <c r="E3" s="34">
        <v>252421</v>
      </c>
      <c r="F3" s="35" t="s">
        <v>1186</v>
      </c>
      <c r="G3" s="36">
        <v>22</v>
      </c>
      <c r="H3" s="36">
        <v>0</v>
      </c>
      <c r="I3" s="36">
        <v>0</v>
      </c>
      <c r="J3" s="36">
        <v>0</v>
      </c>
      <c r="K3" s="37">
        <v>2200</v>
      </c>
      <c r="L3" s="37">
        <v>0</v>
      </c>
      <c r="M3" s="36">
        <v>1386</v>
      </c>
    </row>
    <row r="4" spans="1:13">
      <c r="M4" s="92">
        <f>SUM(M2:M3)</f>
        <v>5418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Views>
    <sheetView topLeftCell="P1" workbookViewId="0">
      <selection activeCell="W15" sqref="W14:W15"/>
    </sheetView>
  </sheetViews>
  <sheetFormatPr defaultColWidth="9" defaultRowHeight="17.399999999999999"/>
  <cols>
    <col min="1" max="1" width="9" style="81"/>
    <col min="2" max="2" width="7.09765625" style="81" bestFit="1" customWidth="1"/>
    <col min="3" max="3" width="5.19921875" style="81" bestFit="1" customWidth="1"/>
    <col min="4" max="6" width="8.09765625" style="81" bestFit="1" customWidth="1"/>
    <col min="7" max="18" width="8.19921875" style="81" bestFit="1" customWidth="1"/>
    <col min="19" max="30" width="8.69921875" style="81" bestFit="1" customWidth="1"/>
    <col min="31" max="31" width="7.19921875" style="81" bestFit="1" customWidth="1"/>
    <col min="32" max="32" width="7.5" style="81" bestFit="1" customWidth="1"/>
    <col min="33" max="34" width="7.19921875" style="81" bestFit="1" customWidth="1"/>
    <col min="35" max="35" width="6.69921875" style="81" bestFit="1" customWidth="1"/>
    <col min="36" max="36" width="8.19921875" style="81" bestFit="1" customWidth="1"/>
    <col min="37" max="16384" width="9" style="81"/>
  </cols>
  <sheetData>
    <row r="1" spans="1:36" ht="63" thickBot="1">
      <c r="A1" s="74" t="s">
        <v>663</v>
      </c>
      <c r="B1" s="74" t="s">
        <v>88</v>
      </c>
      <c r="C1" s="74" t="s">
        <v>1187</v>
      </c>
      <c r="D1" s="75" t="s">
        <v>1188</v>
      </c>
      <c r="E1" s="75" t="s">
        <v>1189</v>
      </c>
      <c r="F1" s="75" t="s">
        <v>1190</v>
      </c>
      <c r="G1" s="76" t="s">
        <v>1191</v>
      </c>
      <c r="H1" s="76" t="s">
        <v>1192</v>
      </c>
      <c r="I1" s="76" t="s">
        <v>1193</v>
      </c>
      <c r="J1" s="76" t="s">
        <v>1194</v>
      </c>
      <c r="K1" s="76" t="s">
        <v>1195</v>
      </c>
      <c r="L1" s="76" t="s">
        <v>1196</v>
      </c>
      <c r="M1" s="76" t="s">
        <v>1197</v>
      </c>
      <c r="N1" s="76" t="s">
        <v>1198</v>
      </c>
      <c r="O1" s="76" t="s">
        <v>1199</v>
      </c>
      <c r="P1" s="76" t="s">
        <v>1200</v>
      </c>
      <c r="Q1" s="76" t="s">
        <v>1201</v>
      </c>
      <c r="R1" s="76" t="s">
        <v>1202</v>
      </c>
      <c r="S1" s="77" t="s">
        <v>1203</v>
      </c>
      <c r="T1" s="77" t="s">
        <v>1204</v>
      </c>
      <c r="U1" s="77" t="s">
        <v>1205</v>
      </c>
      <c r="V1" s="77" t="s">
        <v>1206</v>
      </c>
      <c r="W1" s="77" t="s">
        <v>1207</v>
      </c>
      <c r="X1" s="77" t="s">
        <v>1208</v>
      </c>
      <c r="Y1" s="77" t="s">
        <v>1209</v>
      </c>
      <c r="Z1" s="77" t="s">
        <v>1210</v>
      </c>
      <c r="AA1" s="77" t="s">
        <v>1211</v>
      </c>
      <c r="AB1" s="77" t="s">
        <v>1212</v>
      </c>
      <c r="AC1" s="77" t="s">
        <v>1213</v>
      </c>
      <c r="AD1" s="77" t="s">
        <v>1214</v>
      </c>
      <c r="AE1" s="78" t="s">
        <v>1215</v>
      </c>
      <c r="AF1" s="78" t="s">
        <v>1216</v>
      </c>
      <c r="AG1" s="78" t="s">
        <v>1217</v>
      </c>
      <c r="AH1" s="78" t="s">
        <v>1218</v>
      </c>
      <c r="AI1" s="79" t="s">
        <v>1219</v>
      </c>
      <c r="AJ1" s="80" t="s">
        <v>1220</v>
      </c>
    </row>
    <row r="2" spans="1:36" ht="18" thickBot="1">
      <c r="A2" s="82" t="s">
        <v>1134</v>
      </c>
      <c r="B2" s="82" t="s">
        <v>1135</v>
      </c>
      <c r="C2" s="82"/>
      <c r="D2" s="83">
        <v>0</v>
      </c>
      <c r="E2" s="83">
        <v>0</v>
      </c>
      <c r="F2" s="83">
        <v>0</v>
      </c>
      <c r="G2" s="83">
        <v>0</v>
      </c>
      <c r="H2" s="83">
        <v>0</v>
      </c>
      <c r="I2" s="83">
        <v>0</v>
      </c>
      <c r="J2" s="83">
        <v>1</v>
      </c>
      <c r="K2" s="83">
        <v>1</v>
      </c>
      <c r="L2" s="84">
        <v>3200</v>
      </c>
      <c r="M2" s="83">
        <v>0</v>
      </c>
      <c r="N2" s="83">
        <v>0</v>
      </c>
      <c r="O2" s="83">
        <v>0</v>
      </c>
      <c r="P2" s="83">
        <v>0</v>
      </c>
      <c r="Q2" s="83">
        <v>0</v>
      </c>
      <c r="R2" s="83">
        <v>0</v>
      </c>
      <c r="S2" s="83">
        <v>0</v>
      </c>
      <c r="T2" s="83">
        <v>0</v>
      </c>
      <c r="U2" s="83">
        <v>0</v>
      </c>
      <c r="V2" s="83">
        <v>0</v>
      </c>
      <c r="W2" s="83">
        <v>0</v>
      </c>
      <c r="X2" s="83">
        <v>0</v>
      </c>
      <c r="Y2" s="83">
        <v>0</v>
      </c>
      <c r="Z2" s="83">
        <v>0</v>
      </c>
      <c r="AA2" s="83">
        <v>0</v>
      </c>
      <c r="AB2" s="83">
        <v>0</v>
      </c>
      <c r="AC2" s="83">
        <v>0</v>
      </c>
      <c r="AD2" s="83">
        <v>0</v>
      </c>
      <c r="AE2" s="83">
        <v>1</v>
      </c>
      <c r="AF2" s="83">
        <v>1</v>
      </c>
      <c r="AG2" s="84">
        <v>3200</v>
      </c>
      <c r="AH2" s="84">
        <v>2016</v>
      </c>
      <c r="AI2" s="85">
        <v>3200</v>
      </c>
      <c r="AJ2" s="86">
        <v>2016</v>
      </c>
    </row>
    <row r="3" spans="1:36" ht="18">
      <c r="A3" s="82" t="s">
        <v>1221</v>
      </c>
      <c r="B3" s="82" t="s">
        <v>1135</v>
      </c>
      <c r="C3" s="82"/>
      <c r="D3" s="83">
        <v>0</v>
      </c>
      <c r="E3" s="83">
        <v>0</v>
      </c>
      <c r="F3" s="83">
        <v>0</v>
      </c>
      <c r="G3" s="83">
        <v>0</v>
      </c>
      <c r="H3" s="83">
        <v>0</v>
      </c>
      <c r="I3" s="83">
        <v>0</v>
      </c>
      <c r="J3" s="83">
        <v>40</v>
      </c>
      <c r="K3" s="83">
        <v>40</v>
      </c>
      <c r="L3" s="84">
        <v>4000</v>
      </c>
      <c r="M3" s="83">
        <v>0</v>
      </c>
      <c r="N3" s="83">
        <v>0</v>
      </c>
      <c r="O3" s="83">
        <v>0</v>
      </c>
      <c r="P3" s="83">
        <v>0</v>
      </c>
      <c r="Q3" s="83">
        <v>0</v>
      </c>
      <c r="R3" s="83">
        <v>0</v>
      </c>
      <c r="S3" s="83">
        <v>0</v>
      </c>
      <c r="T3" s="83">
        <v>0</v>
      </c>
      <c r="U3" s="83">
        <v>0</v>
      </c>
      <c r="V3" s="83">
        <v>0</v>
      </c>
      <c r="W3" s="83">
        <v>0</v>
      </c>
      <c r="X3" s="83">
        <v>0</v>
      </c>
      <c r="Y3" s="83">
        <v>0</v>
      </c>
      <c r="Z3" s="83">
        <v>0</v>
      </c>
      <c r="AA3" s="83">
        <v>0</v>
      </c>
      <c r="AB3" s="83">
        <v>0</v>
      </c>
      <c r="AC3" s="83">
        <v>0</v>
      </c>
      <c r="AD3" s="83">
        <v>0</v>
      </c>
      <c r="AE3" s="83">
        <v>40</v>
      </c>
      <c r="AF3" s="83">
        <v>40</v>
      </c>
      <c r="AG3" s="84">
        <v>4000</v>
      </c>
      <c r="AH3" s="84">
        <v>2520</v>
      </c>
      <c r="AI3" s="85">
        <v>4000</v>
      </c>
      <c r="AJ3" s="86">
        <v>2520</v>
      </c>
    </row>
    <row r="4" spans="1:36">
      <c r="AJ4" s="93">
        <f>SUM(AJ2:AJ3)</f>
        <v>4536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"/>
  <sheetViews>
    <sheetView workbookViewId="0">
      <selection activeCell="F17" sqref="F17"/>
    </sheetView>
  </sheetViews>
  <sheetFormatPr defaultColWidth="9" defaultRowHeight="17.399999999999999"/>
  <cols>
    <col min="1" max="1" width="9.19921875" style="89" bestFit="1" customWidth="1"/>
    <col min="2" max="2" width="18.8984375" style="89" bestFit="1" customWidth="1"/>
    <col min="3" max="3" width="11.5" style="89" bestFit="1" customWidth="1"/>
    <col min="4" max="4" width="10.3984375" style="89" bestFit="1" customWidth="1"/>
    <col min="5" max="5" width="8.09765625" style="89" bestFit="1" customWidth="1"/>
    <col min="6" max="6" width="8.59765625" style="89" bestFit="1" customWidth="1"/>
    <col min="7" max="7" width="12.19921875" style="89" bestFit="1" customWidth="1"/>
    <col min="8" max="8" width="16.19921875" style="89" bestFit="1" customWidth="1"/>
    <col min="9" max="9" width="8.59765625" style="89" bestFit="1" customWidth="1"/>
    <col min="10" max="10" width="9.3984375" style="89" bestFit="1" customWidth="1"/>
    <col min="11" max="11" width="13" style="89" bestFit="1" customWidth="1"/>
    <col min="12" max="12" width="21.5" style="89" bestFit="1" customWidth="1"/>
    <col min="13" max="14" width="6.69921875" style="89" bestFit="1" customWidth="1"/>
    <col min="15" max="15" width="10.69921875" style="89" bestFit="1" customWidth="1"/>
    <col min="16" max="16" width="30" style="89" bestFit="1" customWidth="1"/>
    <col min="17" max="17" width="12.69921875" style="89" bestFit="1" customWidth="1"/>
    <col min="18" max="18" width="19.59765625" style="89" bestFit="1" customWidth="1"/>
    <col min="19" max="19" width="11.09765625" style="89" bestFit="1" customWidth="1"/>
    <col min="20" max="20" width="9.3984375" style="89" bestFit="1" customWidth="1"/>
    <col min="21" max="21" width="8.8984375" style="89" bestFit="1" customWidth="1"/>
    <col min="22" max="22" width="8.3984375" style="89" bestFit="1" customWidth="1"/>
    <col min="23" max="28" width="8.8984375" style="89" bestFit="1" customWidth="1"/>
    <col min="29" max="29" width="15.19921875" style="89" bestFit="1" customWidth="1"/>
    <col min="30" max="30" width="9.3984375" style="89" bestFit="1" customWidth="1"/>
    <col min="31" max="31" width="8.8984375" style="89" bestFit="1" customWidth="1"/>
    <col min="32" max="32" width="8.3984375" style="89" bestFit="1" customWidth="1"/>
    <col min="33" max="38" width="8.8984375" style="89" bestFit="1" customWidth="1"/>
    <col min="39" max="39" width="15.19921875" style="89" bestFit="1" customWidth="1"/>
    <col min="40" max="40" width="8.59765625" style="89" bestFit="1" customWidth="1"/>
    <col min="41" max="41" width="6.69921875" style="89" bestFit="1" customWidth="1"/>
    <col min="42" max="42" width="8.59765625" style="89" bestFit="1" customWidth="1"/>
    <col min="43" max="16384" width="9" style="89"/>
  </cols>
  <sheetData>
    <row r="1" spans="1:42" ht="18" thickBot="1">
      <c r="A1" s="87" t="s">
        <v>1222</v>
      </c>
      <c r="B1" s="87" t="s">
        <v>1223</v>
      </c>
      <c r="C1" s="87" t="s">
        <v>1224</v>
      </c>
      <c r="D1" s="87" t="s">
        <v>1225</v>
      </c>
      <c r="E1" s="87" t="s">
        <v>1226</v>
      </c>
      <c r="F1" s="87" t="s">
        <v>1227</v>
      </c>
      <c r="G1" s="87" t="s">
        <v>1228</v>
      </c>
      <c r="H1" s="87" t="s">
        <v>1229</v>
      </c>
      <c r="I1" s="87" t="s">
        <v>835</v>
      </c>
      <c r="J1" s="87" t="s">
        <v>1230</v>
      </c>
      <c r="K1" s="87" t="s">
        <v>133</v>
      </c>
      <c r="L1" s="87" t="s">
        <v>1231</v>
      </c>
      <c r="M1" s="87" t="s">
        <v>1232</v>
      </c>
      <c r="N1" s="88" t="s">
        <v>88</v>
      </c>
      <c r="O1" s="87" t="s">
        <v>1233</v>
      </c>
      <c r="P1" s="88" t="s">
        <v>1234</v>
      </c>
      <c r="Q1" s="87" t="s">
        <v>1235</v>
      </c>
      <c r="R1" s="87" t="s">
        <v>1236</v>
      </c>
      <c r="S1" s="87" t="s">
        <v>1237</v>
      </c>
      <c r="T1" s="87" t="s">
        <v>1238</v>
      </c>
      <c r="U1" s="87" t="s">
        <v>1239</v>
      </c>
      <c r="V1" s="87" t="s">
        <v>1240</v>
      </c>
      <c r="W1" s="87" t="s">
        <v>1241</v>
      </c>
      <c r="X1" s="87" t="s">
        <v>1242</v>
      </c>
      <c r="Y1" s="87" t="s">
        <v>1243</v>
      </c>
      <c r="Z1" s="87" t="s">
        <v>1244</v>
      </c>
      <c r="AA1" s="87" t="s">
        <v>1245</v>
      </c>
      <c r="AB1" s="87" t="s">
        <v>1246</v>
      </c>
      <c r="AC1" s="87" t="s">
        <v>1247</v>
      </c>
      <c r="AD1" s="88" t="s">
        <v>1248</v>
      </c>
      <c r="AE1" s="87" t="s">
        <v>1249</v>
      </c>
      <c r="AF1" s="87" t="s">
        <v>1250</v>
      </c>
      <c r="AG1" s="87" t="s">
        <v>1251</v>
      </c>
      <c r="AH1" s="87" t="s">
        <v>1252</v>
      </c>
      <c r="AI1" s="87" t="s">
        <v>1253</v>
      </c>
      <c r="AJ1" s="87" t="s">
        <v>1254</v>
      </c>
      <c r="AK1" s="87" t="s">
        <v>1255</v>
      </c>
      <c r="AL1" s="87" t="s">
        <v>1256</v>
      </c>
      <c r="AM1" s="87" t="s">
        <v>1257</v>
      </c>
      <c r="AN1" s="87" t="s">
        <v>1258</v>
      </c>
      <c r="AO1" s="87" t="s">
        <v>1259</v>
      </c>
      <c r="AP1" s="88" t="s">
        <v>1260</v>
      </c>
    </row>
    <row r="2" spans="1:42" ht="18" thickTop="1">
      <c r="A2" s="90" t="s">
        <v>1261</v>
      </c>
      <c r="B2" s="90" t="s">
        <v>854</v>
      </c>
      <c r="C2" s="90" t="s">
        <v>1262</v>
      </c>
      <c r="D2" s="90" t="s">
        <v>29</v>
      </c>
      <c r="E2" s="90"/>
      <c r="F2" s="90" t="s">
        <v>740</v>
      </c>
      <c r="G2" s="90" t="s">
        <v>1263</v>
      </c>
      <c r="H2" s="90" t="s">
        <v>1264</v>
      </c>
      <c r="I2" s="90" t="s">
        <v>1265</v>
      </c>
      <c r="J2" s="90">
        <v>56372121</v>
      </c>
      <c r="K2" s="90" t="s">
        <v>1134</v>
      </c>
      <c r="L2" s="90"/>
      <c r="M2" s="90"/>
      <c r="N2" s="90" t="s">
        <v>1135</v>
      </c>
      <c r="O2" s="90" t="s">
        <v>1266</v>
      </c>
      <c r="P2" s="90">
        <v>0.7</v>
      </c>
      <c r="Q2" s="90">
        <v>0.6</v>
      </c>
      <c r="R2" s="91" t="s">
        <v>1267</v>
      </c>
      <c r="S2" s="91">
        <v>100</v>
      </c>
      <c r="T2" s="91">
        <v>2100</v>
      </c>
      <c r="U2" s="91">
        <v>300</v>
      </c>
      <c r="V2" s="91">
        <v>0</v>
      </c>
      <c r="W2" s="91">
        <v>0</v>
      </c>
      <c r="X2" s="91">
        <v>0</v>
      </c>
      <c r="Y2" s="91">
        <v>0</v>
      </c>
      <c r="Z2" s="91">
        <v>0</v>
      </c>
      <c r="AA2" s="91">
        <v>0</v>
      </c>
      <c r="AB2" s="91">
        <v>0</v>
      </c>
      <c r="AC2" s="91">
        <v>1800</v>
      </c>
      <c r="AD2" s="91">
        <v>2100</v>
      </c>
      <c r="AE2" s="91">
        <v>300</v>
      </c>
      <c r="AF2" s="91">
        <v>0</v>
      </c>
      <c r="AG2" s="91">
        <v>0</v>
      </c>
      <c r="AH2" s="91">
        <v>0</v>
      </c>
      <c r="AI2" s="91">
        <v>0</v>
      </c>
      <c r="AJ2" s="91">
        <v>0</v>
      </c>
      <c r="AK2" s="91">
        <v>0</v>
      </c>
      <c r="AL2" s="91">
        <v>0</v>
      </c>
      <c r="AM2" s="91">
        <v>1800</v>
      </c>
      <c r="AN2" s="91">
        <v>1470</v>
      </c>
      <c r="AO2" s="91">
        <v>0</v>
      </c>
      <c r="AP2" s="91">
        <v>1470</v>
      </c>
    </row>
    <row r="3" spans="1:42">
      <c r="A3" s="90" t="s">
        <v>1261</v>
      </c>
      <c r="B3" s="90" t="s">
        <v>854</v>
      </c>
      <c r="C3" s="90" t="s">
        <v>1262</v>
      </c>
      <c r="D3" s="90" t="s">
        <v>29</v>
      </c>
      <c r="E3" s="90"/>
      <c r="F3" s="90" t="s">
        <v>740</v>
      </c>
      <c r="G3" s="90" t="s">
        <v>1263</v>
      </c>
      <c r="H3" s="90" t="s">
        <v>1264</v>
      </c>
      <c r="I3" s="90" t="s">
        <v>1265</v>
      </c>
      <c r="J3" s="90">
        <v>56372121</v>
      </c>
      <c r="K3" s="90" t="s">
        <v>1134</v>
      </c>
      <c r="L3" s="90"/>
      <c r="M3" s="90"/>
      <c r="N3" s="90" t="s">
        <v>1135</v>
      </c>
      <c r="O3" s="90" t="s">
        <v>1266</v>
      </c>
      <c r="P3" s="90">
        <v>0.7</v>
      </c>
      <c r="Q3" s="90">
        <v>0.6</v>
      </c>
      <c r="R3" s="91" t="s">
        <v>1268</v>
      </c>
      <c r="S3" s="91">
        <v>2400</v>
      </c>
      <c r="T3" s="91">
        <v>4800</v>
      </c>
      <c r="U3" s="91">
        <v>0</v>
      </c>
      <c r="V3" s="91">
        <v>0</v>
      </c>
      <c r="W3" s="91">
        <v>0</v>
      </c>
      <c r="X3" s="91">
        <v>0</v>
      </c>
      <c r="Y3" s="91">
        <v>0</v>
      </c>
      <c r="Z3" s="91">
        <v>0</v>
      </c>
      <c r="AA3" s="91">
        <v>0</v>
      </c>
      <c r="AB3" s="91">
        <v>0</v>
      </c>
      <c r="AC3" s="91">
        <v>4800</v>
      </c>
      <c r="AD3" s="91">
        <v>4800</v>
      </c>
      <c r="AE3" s="91">
        <v>0</v>
      </c>
      <c r="AF3" s="91">
        <v>0</v>
      </c>
      <c r="AG3" s="91">
        <v>0</v>
      </c>
      <c r="AH3" s="91">
        <v>0</v>
      </c>
      <c r="AI3" s="91">
        <v>0</v>
      </c>
      <c r="AJ3" s="91">
        <v>0</v>
      </c>
      <c r="AK3" s="91">
        <v>0</v>
      </c>
      <c r="AL3" s="91">
        <v>0</v>
      </c>
      <c r="AM3" s="91">
        <v>4800</v>
      </c>
      <c r="AN3" s="91">
        <v>3360</v>
      </c>
      <c r="AO3" s="91">
        <v>0</v>
      </c>
      <c r="AP3" s="91">
        <v>3360</v>
      </c>
    </row>
    <row r="4" spans="1:42">
      <c r="A4" s="90" t="s">
        <v>1261</v>
      </c>
      <c r="B4" s="90" t="s">
        <v>854</v>
      </c>
      <c r="C4" s="90" t="s">
        <v>1262</v>
      </c>
      <c r="D4" s="90" t="s">
        <v>29</v>
      </c>
      <c r="E4" s="90"/>
      <c r="F4" s="90" t="s">
        <v>740</v>
      </c>
      <c r="G4" s="90" t="s">
        <v>1263</v>
      </c>
      <c r="H4" s="90" t="s">
        <v>1264</v>
      </c>
      <c r="I4" s="90" t="s">
        <v>1265</v>
      </c>
      <c r="J4" s="90">
        <v>56372121</v>
      </c>
      <c r="K4" s="90" t="s">
        <v>1134</v>
      </c>
      <c r="L4" s="90"/>
      <c r="M4" s="90"/>
      <c r="N4" s="90" t="s">
        <v>1135</v>
      </c>
      <c r="O4" s="90" t="s">
        <v>1266</v>
      </c>
      <c r="P4" s="90">
        <v>0.7</v>
      </c>
      <c r="Q4" s="90">
        <v>0.6</v>
      </c>
      <c r="R4" s="91" t="s">
        <v>1268</v>
      </c>
      <c r="S4" s="91">
        <v>13500</v>
      </c>
      <c r="T4" s="91">
        <v>1100</v>
      </c>
      <c r="U4" s="91">
        <v>1100</v>
      </c>
      <c r="V4" s="91">
        <v>0</v>
      </c>
      <c r="W4" s="91">
        <v>0</v>
      </c>
      <c r="X4" s="91">
        <v>0</v>
      </c>
      <c r="Y4" s="91">
        <v>0</v>
      </c>
      <c r="Z4" s="91">
        <v>0</v>
      </c>
      <c r="AA4" s="91">
        <v>0</v>
      </c>
      <c r="AB4" s="91">
        <v>0</v>
      </c>
      <c r="AC4" s="91">
        <v>0</v>
      </c>
      <c r="AD4" s="91">
        <v>1100</v>
      </c>
      <c r="AE4" s="91">
        <v>1100</v>
      </c>
      <c r="AF4" s="91">
        <v>0</v>
      </c>
      <c r="AG4" s="91">
        <v>0</v>
      </c>
      <c r="AH4" s="91">
        <v>0</v>
      </c>
      <c r="AI4" s="91">
        <v>0</v>
      </c>
      <c r="AJ4" s="91">
        <v>0</v>
      </c>
      <c r="AK4" s="91">
        <v>0</v>
      </c>
      <c r="AL4" s="91">
        <v>0</v>
      </c>
      <c r="AM4" s="91">
        <v>0</v>
      </c>
      <c r="AN4" s="91">
        <v>770</v>
      </c>
      <c r="AO4" s="91">
        <v>0</v>
      </c>
      <c r="AP4" s="91">
        <v>770</v>
      </c>
    </row>
    <row r="5" spans="1:42">
      <c r="AP5" s="94">
        <f>SUM(AP2:AP4)</f>
        <v>5600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이름이 지정된 범위</vt:lpstr>
      </vt:variant>
      <vt:variant>
        <vt:i4>21</vt:i4>
      </vt:variant>
    </vt:vector>
  </HeadingPairs>
  <TitlesOfParts>
    <vt:vector size="44" baseType="lpstr">
      <vt:lpstr>합계04</vt:lpstr>
      <vt:lpstr>MG차감내역04</vt:lpstr>
      <vt:lpstr>카카오04_청빙</vt:lpstr>
      <vt:lpstr>구글북스04</vt:lpstr>
      <vt:lpstr>네이버APP04</vt:lpstr>
      <vt:lpstr>네이버PC04</vt:lpstr>
      <vt:lpstr>리디북스04</vt:lpstr>
      <vt:lpstr>무툰04</vt:lpstr>
      <vt:lpstr>문피아04</vt:lpstr>
      <vt:lpstr>버프툰04</vt:lpstr>
      <vt:lpstr>북큐브04</vt:lpstr>
      <vt:lpstr>예스이십사04</vt:lpstr>
      <vt:lpstr>원스토어04</vt:lpstr>
      <vt:lpstr>조아라04</vt:lpstr>
      <vt:lpstr>톡소다04</vt:lpstr>
      <vt:lpstr>알라딘04</vt:lpstr>
      <vt:lpstr>블라이스04</vt:lpstr>
      <vt:lpstr>네이버APP04_장유진</vt:lpstr>
      <vt:lpstr>리디북스04_장유진</vt:lpstr>
      <vt:lpstr>무툰04_장유진</vt:lpstr>
      <vt:lpstr>문피아04_장유진</vt:lpstr>
      <vt:lpstr>미스터블루04_장유진</vt:lpstr>
      <vt:lpstr>카카오04_장유진</vt:lpstr>
      <vt:lpstr>구글북스04!Extract</vt:lpstr>
      <vt:lpstr>네이버APP04!Extract</vt:lpstr>
      <vt:lpstr>네이버APP04_장유진!Extract</vt:lpstr>
      <vt:lpstr>네이버PC04!Extract</vt:lpstr>
      <vt:lpstr>리디북스04!Extract</vt:lpstr>
      <vt:lpstr>리디북스04_장유진!Extract</vt:lpstr>
      <vt:lpstr>무툰04!Extract</vt:lpstr>
      <vt:lpstr>무툰04_장유진!Extract</vt:lpstr>
      <vt:lpstr>문피아04!Extract</vt:lpstr>
      <vt:lpstr>문피아04_장유진!Extract</vt:lpstr>
      <vt:lpstr>미스터블루04_장유진!Extract</vt:lpstr>
      <vt:lpstr>버프툰04!Extract</vt:lpstr>
      <vt:lpstr>북큐브04!Extract</vt:lpstr>
      <vt:lpstr>블라이스04!Extract</vt:lpstr>
      <vt:lpstr>알라딘04!Extract</vt:lpstr>
      <vt:lpstr>예스이십사04!Extract</vt:lpstr>
      <vt:lpstr>원스토어04!Extract</vt:lpstr>
      <vt:lpstr>조아라04!Extract</vt:lpstr>
      <vt:lpstr>카카오04_장유진!Extract</vt:lpstr>
      <vt:lpstr>카카오04_청빙!Extract</vt:lpstr>
      <vt:lpstr>톡소다04!Extract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 Park</dc:creator>
  <cp:lastModifiedBy>storywiz</cp:lastModifiedBy>
  <dcterms:created xsi:type="dcterms:W3CDTF">2022-05-10T07:30:35Z</dcterms:created>
  <dcterms:modified xsi:type="dcterms:W3CDTF">2022-05-12T10:15:00Z</dcterms:modified>
</cp:coreProperties>
</file>