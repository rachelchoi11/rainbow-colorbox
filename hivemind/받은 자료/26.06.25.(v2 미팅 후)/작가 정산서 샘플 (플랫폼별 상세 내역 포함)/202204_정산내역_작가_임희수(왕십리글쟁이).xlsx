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작가정산서1차 취합\완료\"/>
    </mc:Choice>
  </mc:AlternateContent>
  <bookViews>
    <workbookView xWindow="0" yWindow="600" windowWidth="26640" windowHeight="12192"/>
  </bookViews>
  <sheets>
    <sheet name="합계04" sheetId="1" r:id="rId1"/>
    <sheet name="MG차감내역04" sheetId="9" r:id="rId2"/>
    <sheet name="네이버APP04" sheetId="2" r:id="rId3"/>
    <sheet name="네이버PC04" sheetId="3" r:id="rId4"/>
    <sheet name="문피아04" sheetId="4" r:id="rId5"/>
    <sheet name="미스터블루04" sheetId="5" r:id="rId6"/>
    <sheet name="원스토어04" sheetId="6" r:id="rId7"/>
    <sheet name="조아라04" sheetId="7" r:id="rId8"/>
    <sheet name="한아름04" sheetId="8" r:id="rId9"/>
    <sheet name="카카오04" sheetId="10" r:id="rId10"/>
  </sheets>
  <externalReferences>
    <externalReference r:id="rId11"/>
  </externalReferences>
  <definedNames>
    <definedName name="_xlnm.Extract" localSheetId="2">네이버APP04!$A$1:$AW$1</definedName>
    <definedName name="_xlnm.Extract" localSheetId="3">네이버PC04!$A$1:$AW$1</definedName>
    <definedName name="_xlnm.Extract" localSheetId="4">문피아04!$A$1:$Q$1</definedName>
    <definedName name="_xlnm.Extract" localSheetId="5">미스터블루04!$A$1:$AJ$1</definedName>
    <definedName name="_xlnm.Extract" localSheetId="6">원스토어04!$A$1:$AD$1</definedName>
    <definedName name="_xlnm.Extract" localSheetId="7">조아라04!$A$1:$I$1</definedName>
    <definedName name="_xlnm.Extract" localSheetId="9">카카오04!$A$1:$AQ$1</definedName>
    <definedName name="_xlnm.Extract" localSheetId="8">한아름04!$A$1:$L$1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C11" i="1"/>
  <c r="C15" i="9" s="1"/>
  <c r="C16" i="9" s="1"/>
  <c r="D3" i="1" l="1"/>
  <c r="D15" i="9" s="1"/>
  <c r="D10" i="1"/>
  <c r="C10" i="1"/>
  <c r="AP8" i="10"/>
  <c r="D14" i="9" l="1"/>
  <c r="E5" i="9"/>
  <c r="E8" i="9" s="1"/>
  <c r="E9" i="9" s="1"/>
  <c r="E10" i="9" s="1"/>
  <c r="E11" i="9" s="1"/>
  <c r="E12" i="9" s="1"/>
  <c r="E13" i="9" s="1"/>
  <c r="D4" i="1"/>
  <c r="D5" i="1"/>
  <c r="D6" i="1"/>
  <c r="D7" i="1"/>
  <c r="D8" i="1"/>
  <c r="D9" i="1"/>
  <c r="L10" i="8"/>
  <c r="AC25" i="6"/>
  <c r="AJ4" i="5"/>
  <c r="AW8" i="3"/>
  <c r="AW11" i="2"/>
  <c r="E14" i="9" l="1"/>
  <c r="E15" i="9" s="1"/>
</calcChain>
</file>

<file path=xl/sharedStrings.xml><?xml version="1.0" encoding="utf-8"?>
<sst xmlns="http://schemas.openxmlformats.org/spreadsheetml/2006/main" count="853" uniqueCount="293">
  <si>
    <t>구분</t>
    <phoneticPr fontId="3" type="noConversion"/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</si>
  <si>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</si>
  <si>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</si>
  <si>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</si>
  <si>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</si>
  <si>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</si>
  <si>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</si>
  <si>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</si>
  <si>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</si>
  <si>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</si>
  <si>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</si>
  <si>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</si>
  <si>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</si>
  <si>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</si>
  <si>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</si>
  <si>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</si>
  <si>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</si>
  <si>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</si>
  <si>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</si>
  <si>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</si>
  <si>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</si>
  <si>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</si>
  <si>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3" type="noConversion"/>
  </si>
  <si>
    <t>SW매출</t>
    <phoneticPr fontId="3" type="noConversion"/>
  </si>
  <si>
    <t>시리즈(APP)</t>
  </si>
  <si>
    <t>신입사원이 이렇게 일을 잘했다고? [독점]</t>
  </si>
  <si>
    <t>스토리위즈_1</t>
  </si>
  <si>
    <t>왕십리글쟁이</t>
  </si>
  <si>
    <t>스토리위즈</t>
  </si>
  <si>
    <t>전체이용가</t>
  </si>
  <si>
    <t>2022.04.27</t>
  </si>
  <si>
    <t>슈퍼스타의 비밀 어플</t>
  </si>
  <si>
    <t>2022.03.11</t>
  </si>
  <si>
    <t>슈퍼스타의 비밀 어플 [단행본]</t>
  </si>
  <si>
    <t>2022.03.10</t>
  </si>
  <si>
    <t>완전판APP</t>
  </si>
  <si>
    <t>시리즈(IOS)</t>
  </si>
  <si>
    <t>네이버APP</t>
  </si>
  <si>
    <t>구분</t>
    <phoneticPr fontId="3" type="noConversion"/>
  </si>
  <si>
    <t>순매출(합계-수수료)</t>
    <phoneticPr fontId="3" type="noConversion"/>
  </si>
  <si>
    <t>SW매출</t>
    <phoneticPr fontId="3" type="noConversion"/>
  </si>
  <si>
    <t>N스토어(PC)</t>
  </si>
  <si>
    <t>PC뷰어(PC)</t>
  </si>
  <si>
    <t>N스토어(MW)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</si>
  <si>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</si>
  <si>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</si>
  <si>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</si>
  <si>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</si>
  <si>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</si>
  <si>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</si>
  <si>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</si>
  <si>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</si>
  <si>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</si>
  <si>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</si>
  <si>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</si>
  <si>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</si>
  <si>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</si>
  <si>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문피아</t>
  </si>
  <si>
    <t>dhkdtlqfl4869</t>
  </si>
  <si>
    <t>작품명</t>
  </si>
  <si>
    <t>코드</t>
  </si>
  <si>
    <t>정액_건수</t>
    <phoneticPr fontId="13" type="noConversion"/>
  </si>
  <si>
    <t>정액_매출액</t>
    <phoneticPr fontId="13" type="noConversion"/>
  </si>
  <si>
    <t>정액_정산액</t>
    <phoneticPr fontId="13" type="noConversion"/>
  </si>
  <si>
    <t>블루머니_권별대여_건수</t>
    <phoneticPr fontId="3" type="noConversion"/>
  </si>
  <si>
    <t>블루머니_권별대여_이용권(화) 수</t>
    <phoneticPr fontId="3" type="noConversion"/>
  </si>
  <si>
    <t>블루머니_권별대여_매출액</t>
    <phoneticPr fontId="3" type="noConversion"/>
  </si>
  <si>
    <t>블루머니_권별소장_건수</t>
    <phoneticPr fontId="3" type="noConversion"/>
  </si>
  <si>
    <t>블루머니_권별소장_이용권(화) 수</t>
    <phoneticPr fontId="3" type="noConversion"/>
  </si>
  <si>
    <t>블루머니_권별소장_매출액</t>
    <phoneticPr fontId="3" type="noConversion"/>
  </si>
  <si>
    <t>블루머니_전권대여_건수</t>
    <phoneticPr fontId="3" type="noConversion"/>
  </si>
  <si>
    <t>블루머니_전권대여_이용권(화) 수</t>
    <phoneticPr fontId="3" type="noConversion"/>
  </si>
  <si>
    <t>블루머니_전권대여_매출액</t>
    <phoneticPr fontId="3" type="noConversion"/>
  </si>
  <si>
    <t>블루머니_전권소장_건수</t>
    <phoneticPr fontId="3" type="noConversion"/>
  </si>
  <si>
    <t>블루머니_전권소장_이용권(화) 수</t>
    <phoneticPr fontId="3" type="noConversion"/>
  </si>
  <si>
    <t>블루머니_전권소장_매출액</t>
    <phoneticPr fontId="3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</si>
  <si>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</si>
  <si>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</si>
  <si>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</si>
  <si>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</si>
  <si>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</si>
  <si>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</si>
  <si>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</si>
  <si>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</si>
  <si>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</si>
  <si>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</si>
  <si>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</si>
  <si>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</si>
  <si>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계_건수</t>
    <phoneticPr fontId="3" type="noConversion"/>
  </si>
  <si>
    <t>계_이용권(화)수</t>
    <phoneticPr fontId="3" type="noConversion"/>
  </si>
  <si>
    <t>계_매출액</t>
    <phoneticPr fontId="3" type="noConversion"/>
  </si>
  <si>
    <t>계_정산액</t>
    <phoneticPr fontId="3" type="noConversion"/>
  </si>
  <si>
    <t>매출액</t>
    <phoneticPr fontId="13" type="noConversion"/>
  </si>
  <si>
    <t>정산액</t>
    <phoneticPr fontId="13" type="noConversion"/>
  </si>
  <si>
    <t>슈퍼스타의 비밀 어플 (연재)</t>
  </si>
  <si>
    <t>슈퍼스타의 비밀어플</t>
  </si>
  <si>
    <t>미스터블루</t>
  </si>
  <si>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</si>
  <si>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</si>
  <si>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</si>
  <si>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</si>
  <si>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</si>
  <si>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</si>
  <si>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</si>
  <si>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</si>
  <si>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</si>
  <si>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</si>
  <si>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글작가</t>
  </si>
  <si>
    <t>그림작가</t>
  </si>
  <si>
    <t>타입</t>
    <phoneticPr fontId="13" type="noConversion"/>
  </si>
  <si>
    <t>판매건수</t>
  </si>
  <si>
    <t>취소건수</t>
  </si>
  <si>
    <t>정액제 정산대상액</t>
  </si>
  <si>
    <t>판매_건수</t>
    <phoneticPr fontId="13" type="noConversion"/>
  </si>
  <si>
    <t>판매_금액</t>
    <phoneticPr fontId="13" type="noConversion"/>
  </si>
  <si>
    <t>취소_건수</t>
    <phoneticPr fontId="13" type="noConversion"/>
  </si>
  <si>
    <t>취소_금액</t>
    <phoneticPr fontId="13" type="noConversion"/>
  </si>
  <si>
    <t>결제수단_고객결제</t>
    <phoneticPr fontId="13" type="noConversion"/>
  </si>
  <si>
    <t>결제수단_고객결제(현금영수증)</t>
    <phoneticPr fontId="13" type="noConversion"/>
  </si>
  <si>
    <t>결제수단_쿠폰/포인트등</t>
    <phoneticPr fontId="13" type="noConversion"/>
  </si>
  <si>
    <t>서비스이용료_고객결제서비스이용료</t>
    <phoneticPr fontId="13" type="noConversion"/>
  </si>
  <si>
    <t>서비스이용료_쿠폰/포인트 등</t>
    <phoneticPr fontId="13" type="noConversion"/>
  </si>
  <si>
    <t>서비스이용료_차감</t>
    <phoneticPr fontId="13" type="noConversion"/>
  </si>
  <si>
    <t>정산지급액</t>
  </si>
  <si>
    <t>정산유형</t>
  </si>
  <si>
    <t>주식회사 스토리위즈</t>
  </si>
  <si>
    <t>storywiz1</t>
  </si>
  <si>
    <t>원스토어㈜</t>
  </si>
  <si>
    <t>H041547630</t>
  </si>
  <si>
    <t>슈퍼스타의 비밀 어플 49회</t>
  </si>
  <si>
    <t>49</t>
  </si>
  <si>
    <t>H041547736</t>
  </si>
  <si>
    <t>2차</t>
  </si>
  <si>
    <t>eBook</t>
  </si>
  <si>
    <t/>
  </si>
  <si>
    <t>연재</t>
  </si>
  <si>
    <t>정규</t>
  </si>
  <si>
    <t>슈퍼스타의 비밀 어플 50회</t>
  </si>
  <si>
    <t>50</t>
  </si>
  <si>
    <t>H041547735</t>
  </si>
  <si>
    <t>슈퍼스타의 비밀 어플 51회</t>
  </si>
  <si>
    <t>51</t>
  </si>
  <si>
    <t>H041547734</t>
  </si>
  <si>
    <t>슈퍼스타의 비밀 어플 52회</t>
  </si>
  <si>
    <t>52</t>
  </si>
  <si>
    <t>H041547733</t>
  </si>
  <si>
    <t>슈퍼스타의 비밀 어플 53회</t>
  </si>
  <si>
    <t>53</t>
  </si>
  <si>
    <t>H041547732</t>
  </si>
  <si>
    <t>슈퍼스타의 비밀 어플 54회</t>
  </si>
  <si>
    <t>54</t>
  </si>
  <si>
    <t>H041547731</t>
  </si>
  <si>
    <t>슈퍼스타의 비밀 어플 55회</t>
  </si>
  <si>
    <t>55</t>
  </si>
  <si>
    <t>H041547730</t>
  </si>
  <si>
    <t>슈퍼스타의 비밀 어플 56회</t>
  </si>
  <si>
    <t>56</t>
  </si>
  <si>
    <t>H041547729</t>
  </si>
  <si>
    <t>슈퍼스타의 비밀 어플 57회</t>
  </si>
  <si>
    <t>57</t>
  </si>
  <si>
    <t>H041547728</t>
  </si>
  <si>
    <t>슈퍼스타의 비밀 어플 58회</t>
  </si>
  <si>
    <t>58</t>
  </si>
  <si>
    <t>H041547727</t>
  </si>
  <si>
    <t>슈퍼스타의 비밀 어플 59회</t>
  </si>
  <si>
    <t>59</t>
  </si>
  <si>
    <t>H041547726</t>
  </si>
  <si>
    <t>슈퍼스타의 비밀 어플 60회</t>
  </si>
  <si>
    <t>60</t>
  </si>
  <si>
    <t>H041547725</t>
  </si>
  <si>
    <t>슈퍼스타의 비밀 어플 61회</t>
  </si>
  <si>
    <t>61</t>
  </si>
  <si>
    <t>H041547724</t>
  </si>
  <si>
    <t>슈퍼스타의 비밀 어플 62회</t>
  </si>
  <si>
    <t>62</t>
  </si>
  <si>
    <t>H041547723</t>
  </si>
  <si>
    <t>슈퍼스타의 비밀 어플 63회</t>
  </si>
  <si>
    <t>63</t>
  </si>
  <si>
    <t>H041547722</t>
  </si>
  <si>
    <t>슈퍼스타의 비밀 어플 64회</t>
  </si>
  <si>
    <t>64</t>
  </si>
  <si>
    <t>H041547721</t>
  </si>
  <si>
    <t>슈퍼스타의 비밀 어플 65회</t>
  </si>
  <si>
    <t>65</t>
  </si>
  <si>
    <t>H041547720</t>
  </si>
  <si>
    <t>슈퍼스타의 비밀 어플 66회</t>
  </si>
  <si>
    <t>66</t>
  </si>
  <si>
    <t>H041547719</t>
  </si>
  <si>
    <t>슈퍼스타의 비밀 어플 67회</t>
  </si>
  <si>
    <t>67</t>
  </si>
  <si>
    <t>H041547718</t>
  </si>
  <si>
    <t>슈퍼스타의 비밀 어플 68회</t>
  </si>
  <si>
    <t>68</t>
  </si>
  <si>
    <t>H041547717</t>
  </si>
  <si>
    <t>H041800380</t>
  </si>
  <si>
    <t>0</t>
  </si>
  <si>
    <t>H041800387</t>
  </si>
  <si>
    <t>단행</t>
  </si>
  <si>
    <t>슈퍼스타의 비밀어플 3권</t>
  </si>
  <si>
    <t>3</t>
  </si>
  <si>
    <t>H041800384</t>
  </si>
  <si>
    <t>슈퍼스타의 비밀어플 4권</t>
  </si>
  <si>
    <t>4</t>
  </si>
  <si>
    <t>H041800383</t>
  </si>
  <si>
    <t>원스토어</t>
  </si>
  <si>
    <t>단가</t>
  </si>
  <si>
    <t>비율</t>
  </si>
  <si>
    <t>정산금액</t>
  </si>
  <si>
    <t>출판사명</t>
    <phoneticPr fontId="3" type="noConversion"/>
  </si>
  <si>
    <t>조아라</t>
  </si>
  <si>
    <t>NO</t>
    <phoneticPr fontId="3" type="noConversion"/>
  </si>
  <si>
    <t>업체명</t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</si>
  <si>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</si>
  <si>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</si>
  <si>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</si>
  <si>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</si>
  <si>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</si>
  <si>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</si>
  <si>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정산금</t>
    <phoneticPr fontId="3" type="noConversion"/>
  </si>
  <si>
    <t>소설</t>
  </si>
  <si>
    <t>[연재] 슈퍼스타의 비밀 어플</t>
  </si>
  <si>
    <t>한아름</t>
  </si>
  <si>
    <t>플랫폼별 매출 내역</t>
    <phoneticPr fontId="3" type="noConversion"/>
  </si>
  <si>
    <t>유통처</t>
    <phoneticPr fontId="3" type="noConversion"/>
  </si>
  <si>
    <t>스토리위즈 매출액</t>
    <phoneticPr fontId="3" type="noConversion"/>
  </si>
  <si>
    <t>작가 정산액</t>
    <phoneticPr fontId="3" type="noConversion"/>
  </si>
  <si>
    <t>4월</t>
    <phoneticPr fontId="3" type="noConversion"/>
  </si>
  <si>
    <t>* 사업자/ MG 차감 진행 중</t>
  </si>
  <si>
    <t>* &lt;검사님 출세하신다&gt; 선지급금에 포함하지 않고 실 정산 (R/S 80%)</t>
    <phoneticPr fontId="3" type="noConversion"/>
  </si>
  <si>
    <t>네이버PC</t>
    <phoneticPr fontId="3" type="noConversion"/>
  </si>
  <si>
    <t>구분</t>
    <phoneticPr fontId="3" type="noConversion"/>
  </si>
  <si>
    <t>선MG</t>
  </si>
  <si>
    <t>보증보험</t>
    <phoneticPr fontId="3" type="noConversion"/>
  </si>
  <si>
    <t>총 합계</t>
    <phoneticPr fontId="3" type="noConversion"/>
  </si>
  <si>
    <t>대상월</t>
    <phoneticPr fontId="3" type="noConversion"/>
  </si>
  <si>
    <t>작가 정산액</t>
    <phoneticPr fontId="3" type="noConversion"/>
  </si>
  <si>
    <t>잔여 선MG</t>
    <phoneticPr fontId="3" type="noConversion"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</si>
  <si>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</si>
  <si>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</si>
  <si>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</si>
  <si>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</si>
  <si>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</si>
  <si>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</si>
  <si>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</si>
  <si>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</si>
  <si>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시리즈ID</t>
  </si>
  <si>
    <t>시리즈명</t>
  </si>
  <si>
    <t>발행자가 부여하는 코드</t>
    <phoneticPr fontId="13" type="noConversion"/>
  </si>
  <si>
    <t>레이블</t>
    <phoneticPr fontId="13" type="noConversion"/>
  </si>
  <si>
    <t>ISBN(유/무)</t>
  </si>
  <si>
    <t>CP정산율_안드로이드/이벤트캐시</t>
  </si>
  <si>
    <t>CP정산율_iOS</t>
  </si>
  <si>
    <t>이용권 종류</t>
  </si>
  <si>
    <t>이용권 금액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</si>
  <si>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</si>
  <si>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</si>
  <si>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</si>
  <si>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</si>
  <si>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</si>
  <si>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</si>
  <si>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</si>
  <si>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</si>
  <si>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</si>
  <si>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</si>
  <si>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</si>
  <si>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</si>
  <si>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</si>
  <si>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</si>
  <si>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</si>
  <si>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</si>
  <si>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</si>
  <si>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</si>
  <si>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</si>
  <si>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</si>
  <si>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공급가액</t>
  </si>
  <si>
    <t>부가세</t>
  </si>
  <si>
    <t>공급대가</t>
  </si>
  <si>
    <t>특별계약</t>
  </si>
  <si>
    <t>3828601768</t>
  </si>
  <si>
    <t>1942</t>
  </si>
  <si>
    <t>선투자</t>
  </si>
  <si>
    <t>면세</t>
  </si>
  <si>
    <t>N</t>
  </si>
  <si>
    <t>Y</t>
  </si>
  <si>
    <t>단일 이용권</t>
  </si>
  <si>
    <t>탑스타의 이중생활</t>
  </si>
  <si>
    <t>시리즈 이용권 패키지</t>
  </si>
  <si>
    <t>슈퍼스타의 비밀어플 [단행본]</t>
  </si>
  <si>
    <t>카카오</t>
    <phoneticPr fontId="3" type="noConversion"/>
  </si>
  <si>
    <t>스토리위즈 매출</t>
    <phoneticPr fontId="3" type="noConversion"/>
  </si>
  <si>
    <t>정산률</t>
    <phoneticPr fontId="3" type="noConversion"/>
  </si>
  <si>
    <t>합계</t>
    <phoneticPr fontId="3" type="noConversion"/>
  </si>
  <si>
    <t>* '22년 3월 매출분부터 정산률 변경: 누적 순매출 6억 미만 R/S 90%, 6억 이상 ~ 15억 미만 R/S 57%, 15억 이상 R/S 80%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</si>
</sst>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* #,##0_);_(* \(#,##0\);_(* &quot;-&quot;_);_(@_)"/>
    <numFmt numFmtId="177" formatCode="#,##0.0_ "/>
    <numFmt numFmtId="178" formatCode="yyyy/mm"/>
  </numFmts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1"/>
      <color rgb="FF2F3743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10"/>
      <color theme="1"/>
      <name val="Times New Roman"/>
      <family val="1"/>
    </font>
    <font>
      <sz val="10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3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76" fontId="26" fillId="0" borderId="0">
      <alignment vertical="center"/>
    </xf>
  </cellStyleXfs>
  <cellXfs count="101">
    <xf numFmtId="0" fontId="0" fillId="0" borderId="0" xfId="0">
      <alignment vertical="center"/>
    </xf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176" fontId="5" fillId="3" borderId="0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3" fontId="6" fillId="0" borderId="0" xfId="0" applyNumberFormat="1" applyFont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>
      <alignment vertical="center" wrapText="1"/>
    </xf>
    <xf numFmtId="177" fontId="0" fillId="0" borderId="0" xfId="0" applyNumberFormat="1" applyBorder="1">
      <alignment vertical="center"/>
    </xf>
    <xf numFmtId="176" fontId="0" fillId="0" borderId="0" xfId="1" applyFont="1" applyBorder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76" fontId="8" fillId="0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indent="1"/>
    </xf>
    <xf numFmtId="176" fontId="9" fillId="0" borderId="1" xfId="1" applyFont="1" applyFill="1" applyBorder="1" applyAlignment="1">
      <alignment horizontal="center" vertical="center"/>
    </xf>
    <xf numFmtId="176" fontId="10" fillId="0" borderId="1" xfId="1" applyFont="1" applyBorder="1">
      <alignment vertical="center"/>
    </xf>
    <xf numFmtId="0" fontId="12" fillId="4" borderId="1" xfId="2" applyFont="1" applyFill="1" applyBorder="1" applyAlignment="1">
      <alignment vertical="center" wrapText="1"/>
    </xf>
    <xf numFmtId="0" fontId="12" fillId="5" borderId="1" xfId="2" applyFont="1" applyFill="1" applyBorder="1" applyAlignment="1">
      <alignment vertical="center" wrapText="1"/>
    </xf>
    <xf numFmtId="0" fontId="15" fillId="6" borderId="1" xfId="3" applyFont="1" applyFill="1" applyBorder="1" applyAlignment="1">
      <alignment vertical="center" wrapText="1"/>
    </xf>
    <xf numFmtId="0" fontId="15" fillId="7" borderId="1" xfId="3" applyFont="1" applyFill="1" applyBorder="1" applyAlignment="1">
      <alignment vertical="center" wrapText="1"/>
    </xf>
    <xf numFmtId="0" fontId="15" fillId="8" borderId="1" xfId="3" applyFont="1" applyFill="1" applyBorder="1" applyAlignment="1">
      <alignment vertical="center" wrapText="1"/>
    </xf>
    <xf numFmtId="0" fontId="15" fillId="9" borderId="1" xfId="3" applyFont="1" applyFill="1" applyBorder="1" applyAlignment="1">
      <alignment vertical="center" wrapText="1"/>
    </xf>
    <xf numFmtId="176" fontId="15" fillId="9" borderId="1" xfId="4" applyFont="1" applyFill="1" applyBorder="1" applyAlignment="1">
      <alignment vertical="center" wrapText="1"/>
    </xf>
    <xf numFmtId="0" fontId="14" fillId="0" borderId="0" xfId="3">
      <alignment vertical="center"/>
    </xf>
    <xf numFmtId="0" fontId="16" fillId="0" borderId="2" xfId="3" applyFont="1" applyBorder="1" applyAlignment="1">
      <alignment horizontal="left" vertical="center" wrapText="1"/>
    </xf>
    <xf numFmtId="0" fontId="17" fillId="0" borderId="2" xfId="3" applyFont="1" applyBorder="1" applyAlignment="1">
      <alignment horizontal="right" vertical="center" wrapText="1"/>
    </xf>
    <xf numFmtId="4" fontId="17" fillId="0" borderId="2" xfId="3" applyNumberFormat="1" applyFont="1" applyBorder="1" applyAlignment="1">
      <alignment horizontal="right" vertical="center" wrapText="1"/>
    </xf>
    <xf numFmtId="4" fontId="18" fillId="0" borderId="2" xfId="3" applyNumberFormat="1" applyFont="1" applyBorder="1" applyAlignment="1">
      <alignment horizontal="right" vertical="center" wrapText="1"/>
    </xf>
    <xf numFmtId="4" fontId="18" fillId="0" borderId="3" xfId="3" applyNumberFormat="1" applyFont="1" applyBorder="1" applyAlignment="1">
      <alignment horizontal="right" vertical="center" wrapText="1"/>
    </xf>
    <xf numFmtId="49" fontId="19" fillId="10" borderId="0" xfId="5" applyNumberFormat="1" applyFill="1" applyBorder="1" applyAlignment="1">
      <alignment horizontal="center" vertical="center" wrapText="1"/>
    </xf>
    <xf numFmtId="49" fontId="19" fillId="11" borderId="0" xfId="5" applyNumberFormat="1" applyFill="1" applyBorder="1" applyAlignment="1">
      <alignment horizontal="center" vertical="center" wrapText="1"/>
    </xf>
    <xf numFmtId="49" fontId="19" fillId="10" borderId="0" xfId="5" applyNumberFormat="1" applyFill="1" applyBorder="1" applyAlignment="1">
      <alignment vertical="center" wrapText="1"/>
    </xf>
    <xf numFmtId="49" fontId="19" fillId="12" borderId="0" xfId="5" applyNumberFormat="1" applyFill="1" applyBorder="1" applyAlignment="1">
      <alignment vertical="center" wrapText="1"/>
    </xf>
    <xf numFmtId="0" fontId="19" fillId="0" borderId="0" xfId="5">
      <alignment vertical="center"/>
    </xf>
    <xf numFmtId="49" fontId="19" fillId="0" borderId="1" xfId="5" applyNumberFormat="1" applyFill="1" applyBorder="1" applyAlignment="1">
      <alignment horizontal="left" vertical="center"/>
    </xf>
    <xf numFmtId="3" fontId="19" fillId="0" borderId="1" xfId="5" applyNumberFormat="1" applyFill="1" applyBorder="1" applyAlignment="1">
      <alignment horizontal="right" vertical="center"/>
    </xf>
    <xf numFmtId="0" fontId="20" fillId="0" borderId="0" xfId="6">
      <alignment vertical="center"/>
    </xf>
    <xf numFmtId="176" fontId="20" fillId="0" borderId="0" xfId="1" applyFont="1">
      <alignment vertical="center"/>
    </xf>
    <xf numFmtId="0" fontId="21" fillId="0" borderId="0" xfId="0" applyFont="1" applyFill="1" applyBorder="1">
      <alignment vertical="center"/>
    </xf>
    <xf numFmtId="9" fontId="0" fillId="0" borderId="0" xfId="0" applyNumberFormat="1">
      <alignment vertical="center"/>
    </xf>
    <xf numFmtId="0" fontId="22" fillId="1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76" fontId="22" fillId="3" borderId="1" xfId="1" applyFont="1" applyFill="1" applyBorder="1" applyAlignment="1">
      <alignment horizontal="center" vertical="center" wrapText="1"/>
    </xf>
    <xf numFmtId="0" fontId="23" fillId="14" borderId="4" xfId="0" applyFont="1" applyFill="1" applyBorder="1" applyAlignment="1">
      <alignment vertical="center" wrapText="1"/>
    </xf>
    <xf numFmtId="0" fontId="22" fillId="14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vertical="center" wrapText="1"/>
    </xf>
    <xf numFmtId="0" fontId="22" fillId="14" borderId="5" xfId="0" applyFont="1" applyFill="1" applyBorder="1" applyAlignment="1">
      <alignment horizontal="right" vertical="center" wrapText="1"/>
    </xf>
    <xf numFmtId="176" fontId="0" fillId="0" borderId="1" xfId="1" applyFont="1" applyBorder="1">
      <alignment vertical="center"/>
    </xf>
    <xf numFmtId="0" fontId="0" fillId="0" borderId="0" xfId="0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6" fontId="24" fillId="0" borderId="1" xfId="1" applyFont="1" applyBorder="1" applyAlignment="1">
      <alignment horizontal="center" vertical="center"/>
    </xf>
    <xf numFmtId="0" fontId="25" fillId="0" borderId="0" xfId="8" applyFont="1" applyAlignment="1">
      <alignment vertical="top" wrapText="1"/>
    </xf>
    <xf numFmtId="0" fontId="26" fillId="0" borderId="0" xfId="8" applyFont="1" applyAlignment="1">
      <alignment horizontal="right" vertical="top" wrapText="1"/>
    </xf>
    <xf numFmtId="9" fontId="27" fillId="0" borderId="0" xfId="8" applyNumberFormat="1" applyFont="1" applyAlignment="1">
      <alignment horizontal="right" vertical="center"/>
    </xf>
    <xf numFmtId="0" fontId="28" fillId="0" borderId="0" xfId="8" applyFont="1" applyAlignment="1">
      <alignment horizontal="center" vertical="center"/>
    </xf>
    <xf numFmtId="0" fontId="29" fillId="3" borderId="1" xfId="9" applyFont="1" applyFill="1" applyBorder="1" applyAlignment="1">
      <alignment horizontal="center" vertical="center"/>
    </xf>
    <xf numFmtId="0" fontId="29" fillId="3" borderId="1" xfId="10" applyFont="1" applyFill="1" applyBorder="1" applyAlignment="1">
      <alignment horizontal="center" vertical="center"/>
    </xf>
    <xf numFmtId="176" fontId="29" fillId="15" borderId="1" xfId="11" applyFont="1" applyFill="1" applyBorder="1" applyAlignment="1">
      <alignment horizontal="center" vertical="center" wrapText="1"/>
    </xf>
    <xf numFmtId="176" fontId="30" fillId="15" borderId="1" xfId="11" applyFont="1" applyFill="1" applyBorder="1" applyAlignment="1">
      <alignment horizontal="center" vertical="center" wrapText="1"/>
    </xf>
    <xf numFmtId="0" fontId="31" fillId="0" borderId="0" xfId="0" applyFont="1">
      <alignment vertical="center"/>
    </xf>
    <xf numFmtId="176" fontId="0" fillId="0" borderId="0" xfId="0" applyNumberFormat="1">
      <alignment vertical="center"/>
    </xf>
    <xf numFmtId="4" fontId="14" fillId="0" borderId="0" xfId="3" applyNumberFormat="1">
      <alignment vertical="center"/>
    </xf>
    <xf numFmtId="3" fontId="19" fillId="0" borderId="0" xfId="5" applyNumberFormat="1">
      <alignment vertical="center"/>
    </xf>
    <xf numFmtId="176" fontId="32" fillId="0" borderId="1" xfId="1" applyFont="1" applyFill="1" applyBorder="1" applyAlignment="1">
      <alignment horizontal="center" vertical="center"/>
    </xf>
    <xf numFmtId="0" fontId="28" fillId="15" borderId="1" xfId="12" applyFont="1" applyFill="1" applyBorder="1" applyAlignment="1">
      <alignment horizontal="center" vertical="center"/>
    </xf>
    <xf numFmtId="0" fontId="26" fillId="0" borderId="0" xfId="12">
      <alignment vertical="center"/>
    </xf>
    <xf numFmtId="176" fontId="32" fillId="0" borderId="8" xfId="13" applyFont="1" applyBorder="1">
      <alignment vertical="center"/>
    </xf>
    <xf numFmtId="176" fontId="26" fillId="0" borderId="0" xfId="11" applyFont="1">
      <alignment vertical="center"/>
    </xf>
    <xf numFmtId="176" fontId="32" fillId="16" borderId="8" xfId="13" applyFont="1" applyFill="1" applyBorder="1">
      <alignment vertical="center"/>
    </xf>
    <xf numFmtId="178" fontId="33" fillId="0" borderId="1" xfId="12" applyNumberFormat="1" applyFont="1" applyFill="1" applyBorder="1" applyAlignment="1">
      <alignment horizontal="center" vertical="center"/>
    </xf>
    <xf numFmtId="176" fontId="33" fillId="0" borderId="1" xfId="11" applyFont="1" applyFill="1" applyBorder="1">
      <alignment vertical="center"/>
    </xf>
    <xf numFmtId="178" fontId="34" fillId="16" borderId="1" xfId="12" applyNumberFormat="1" applyFont="1" applyFill="1" applyBorder="1" applyAlignment="1">
      <alignment horizontal="center" vertical="center"/>
    </xf>
    <xf numFmtId="176" fontId="30" fillId="16" borderId="1" xfId="11" applyFont="1" applyFill="1" applyBorder="1">
      <alignment vertical="center"/>
    </xf>
    <xf numFmtId="0" fontId="19" fillId="17" borderId="9" xfId="5" applyFill="1" applyBorder="1" applyAlignment="1">
      <alignment horizontal="center"/>
    </xf>
    <xf numFmtId="0" fontId="19" fillId="3" borderId="9" xfId="5" applyFill="1" applyBorder="1" applyAlignment="1">
      <alignment horizontal="center"/>
    </xf>
    <xf numFmtId="0" fontId="19" fillId="0" borderId="10" xfId="5" applyBorder="1" applyAlignment="1"/>
    <xf numFmtId="3" fontId="19" fillId="0" borderId="10" xfId="5" applyNumberFormat="1" applyBorder="1" applyAlignment="1"/>
    <xf numFmtId="0" fontId="25" fillId="0" borderId="0" xfId="7" applyNumberFormat="1" applyFont="1" applyAlignment="1">
      <alignment horizontal="center" vertical="center" wrapText="1"/>
    </xf>
    <xf numFmtId="0" fontId="28" fillId="15" borderId="6" xfId="12" applyFont="1" applyFill="1" applyBorder="1" applyAlignment="1">
      <alignment horizontal="center" vertical="center"/>
    </xf>
    <xf numFmtId="0" fontId="28" fillId="15" borderId="7" xfId="12" applyFont="1" applyFill="1" applyBorder="1" applyAlignment="1">
      <alignment horizontal="center" vertical="center"/>
    </xf>
    <xf numFmtId="176" fontId="32" fillId="0" borderId="6" xfId="13" applyFont="1" applyBorder="1" applyAlignment="1">
      <alignment horizontal="center" vertical="center"/>
    </xf>
    <xf numFmtId="176" fontId="32" fillId="0" borderId="7" xfId="13" applyFont="1" applyBorder="1" applyAlignment="1">
      <alignment horizontal="center" vertical="center"/>
    </xf>
    <xf numFmtId="176" fontId="32" fillId="16" borderId="6" xfId="13" applyFont="1" applyFill="1" applyBorder="1" applyAlignment="1">
      <alignment horizontal="center" vertical="center"/>
    </xf>
    <xf numFmtId="176" fontId="32" fillId="16" borderId="7" xfId="13" applyFont="1" applyFill="1" applyBorder="1" applyAlignment="1">
      <alignment horizontal="center" vertical="center"/>
    </xf>
    <xf numFmtId="0" fontId="28" fillId="15" borderId="11" xfId="12" applyFont="1" applyFill="1" applyBorder="1" applyAlignment="1">
      <alignment horizontal="center" vertical="center"/>
    </xf>
    <xf numFmtId="176" fontId="32" fillId="0" borderId="11" xfId="13" applyFont="1" applyBorder="1" applyAlignment="1">
      <alignment horizontal="center" vertical="center"/>
    </xf>
    <xf numFmtId="176" fontId="32" fillId="16" borderId="11" xfId="13" applyFont="1" applyFill="1" applyBorder="1" applyAlignment="1">
      <alignment horizontal="center" vertical="center"/>
    </xf>
    <xf numFmtId="176" fontId="33" fillId="0" borderId="1" xfId="1" applyFont="1" applyFill="1" applyBorder="1" applyAlignment="1">
      <alignment horizontal="center" vertical="center"/>
    </xf>
    <xf numFmtId="176" fontId="34" fillId="16" borderId="1" xfId="1" applyFont="1" applyFill="1" applyBorder="1" applyAlignment="1">
      <alignment horizontal="center" vertical="center"/>
    </xf>
    <xf numFmtId="176" fontId="28" fillId="15" borderId="1" xfId="1" applyFont="1" applyFill="1" applyBorder="1" applyAlignment="1">
      <alignment horizontal="center" vertical="center"/>
    </xf>
    <xf numFmtId="9" fontId="26" fillId="0" borderId="1" xfId="12" applyNumberFormat="1" applyBorder="1">
      <alignment vertical="center"/>
    </xf>
  </cellXfs>
  <cellStyles count="14">
    <cellStyle name="쉼표 [0]" xfId="1" builtinId="6"/>
    <cellStyle name="쉼표 [0] 2" xfId="4"/>
    <cellStyle name="쉼표 [0] 2 2 2" xfId="11"/>
    <cellStyle name="쉼표 [0] 3 2 2 2" xfId="13"/>
    <cellStyle name="표준" xfId="0" builtinId="0"/>
    <cellStyle name="표준 16 2 2 2 2" xfId="2"/>
    <cellStyle name="표준 2" xfId="3"/>
    <cellStyle name="표준 2 2" xfId="9"/>
    <cellStyle name="표준 2 3" xfId="10"/>
    <cellStyle name="표준 3" xfId="5"/>
    <cellStyle name="표준 3 2" xfId="8"/>
    <cellStyle name="표준 3 2 2" xfId="12"/>
    <cellStyle name="표준 4" xfId="7"/>
    <cellStyle name="표준_합계 (6)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BizboxA/&#47700;&#51068;%20&#48156;&#49569;%20&#50756;&#47308;/202203_&#51221;&#49328;&#45236;&#50669;_&#51089;&#44032;_&#51076;&#55148;&#49688;(&#45908;&#48660;&#50976;&#51648;,&#50773;&#49901;&#47532;&#44544;&#51137;&#51060;)(&#49688;&#5122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03"/>
      <sheetName val="MG차감내역03"/>
      <sheetName val="네이버APP03"/>
      <sheetName val="네이버PC03"/>
      <sheetName val="문피아03"/>
      <sheetName val="무툰03"/>
      <sheetName val="북큐브03"/>
      <sheetName val="원스토어03"/>
      <sheetName val="조아라03"/>
      <sheetName val="카카오03"/>
    </sheetNames>
    <sheetDataSet>
      <sheetData sheetId="0">
        <row r="11">
          <cell r="D11">
            <v>13746268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/>
  </sheetViews>
  <sheetFormatPr defaultRowHeight="17.399999999999999"/>
  <cols>
    <col min="1" max="1" width="6.59765625" style="58" customWidth="1"/>
    <col min="2" max="2" width="20.09765625" style="58" customWidth="1"/>
    <col min="3" max="3" width="16.09765625" style="58" customWidth="1"/>
    <col min="4" max="4" width="17.59765625" style="58" customWidth="1"/>
  </cols>
  <sheetData>
    <row r="1" spans="1:4" ht="19.2">
      <c r="A1" s="87" t="s">
        <v>226</v>
      </c>
      <c r="B1" s="61" t="s">
        <v>222</v>
      </c>
      <c r="C1" s="62"/>
      <c r="D1" s="63"/>
    </row>
    <row r="2" spans="1:4">
      <c r="A2" s="64"/>
      <c r="B2" s="65" t="s">
        <v>223</v>
      </c>
      <c r="C2" s="66" t="s">
        <v>224</v>
      </c>
      <c r="D2" s="65" t="s">
        <v>225</v>
      </c>
    </row>
    <row r="3" spans="1:4">
      <c r="B3" s="59" t="s">
        <v>37</v>
      </c>
      <c r="C3" s="60">
        <v>3629908</v>
      </c>
      <c r="D3" s="73">
        <f t="shared" ref="D3:D9" si="0">C3*90%</f>
        <v>3266917.2</v>
      </c>
    </row>
    <row r="4" spans="1:4">
      <c r="B4" s="59" t="s">
        <v>229</v>
      </c>
      <c r="C4" s="60">
        <v>57120</v>
      </c>
      <c r="D4" s="73">
        <f t="shared" si="0"/>
        <v>51408</v>
      </c>
    </row>
    <row r="5" spans="1:4">
      <c r="B5" s="59" t="s">
        <v>57</v>
      </c>
      <c r="C5" s="60">
        <v>37422</v>
      </c>
      <c r="D5" s="73">
        <f t="shared" si="0"/>
        <v>33679.800000000003</v>
      </c>
    </row>
    <row r="6" spans="1:4">
      <c r="B6" s="59" t="s">
        <v>96</v>
      </c>
      <c r="C6" s="60">
        <v>63976.5</v>
      </c>
      <c r="D6" s="73">
        <f t="shared" si="0"/>
        <v>57578.85</v>
      </c>
    </row>
    <row r="7" spans="1:4">
      <c r="B7" s="59" t="s">
        <v>204</v>
      </c>
      <c r="C7" s="60">
        <v>17080</v>
      </c>
      <c r="D7" s="73">
        <f t="shared" si="0"/>
        <v>15372</v>
      </c>
    </row>
    <row r="8" spans="1:4">
      <c r="B8" s="59" t="s">
        <v>209</v>
      </c>
      <c r="C8" s="60">
        <v>7740</v>
      </c>
      <c r="D8" s="73">
        <f t="shared" si="0"/>
        <v>6966</v>
      </c>
    </row>
    <row r="9" spans="1:4">
      <c r="B9" s="59" t="s">
        <v>221</v>
      </c>
      <c r="C9" s="60">
        <v>560</v>
      </c>
      <c r="D9" s="73">
        <f t="shared" si="0"/>
        <v>504</v>
      </c>
    </row>
    <row r="10" spans="1:4">
      <c r="B10" s="59" t="s">
        <v>288</v>
      </c>
      <c r="C10" s="60">
        <f>카카오04!AP8</f>
        <v>299470</v>
      </c>
      <c r="D10" s="73">
        <f>C10*90%</f>
        <v>269523</v>
      </c>
    </row>
    <row r="11" spans="1:4">
      <c r="A11"/>
      <c r="B11" s="67" t="s">
        <v>21</v>
      </c>
      <c r="C11" s="68">
        <f>ROUND(SUM(C3:C10),0)</f>
        <v>4113277</v>
      </c>
      <c r="D11" s="68">
        <f>ROUND(SUM(D3:D10),0)</f>
        <v>3701949</v>
      </c>
    </row>
    <row r="12" spans="1:4">
      <c r="A12"/>
      <c r="B12" s="69" t="s">
        <v>227</v>
      </c>
      <c r="C12"/>
      <c r="D12"/>
    </row>
    <row r="13" spans="1:4">
      <c r="A13"/>
      <c r="B13" s="69" t="s">
        <v>292</v>
      </c>
      <c r="C13"/>
      <c r="D13"/>
    </row>
    <row r="14" spans="1:4">
      <c r="A14"/>
      <c r="B14" s="69" t="s">
        <v>228</v>
      </c>
      <c r="C14"/>
      <c r="D1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I16"/>
  <sheetViews>
    <sheetView workbookViewId="0">
      <selection activeCell="B25" sqref="B25"/>
    </sheetView>
  </sheetViews>
  <sheetFormatPr defaultColWidth="9" defaultRowHeight="17.399999999999999"/>
  <cols>
    <col min="1" max="1" width="3.59765625" style="75" customWidth="1"/>
    <col min="2" max="2" width="17.09765625" style="75" bestFit="1" customWidth="1"/>
    <col min="3" max="3" width="17.09765625" style="75" customWidth="1"/>
    <col min="4" max="4" width="16.5" style="75" customWidth="1"/>
    <col min="5" max="5" width="16.19921875" style="75" customWidth="1"/>
    <col min="6" max="8" width="9" style="75"/>
    <col min="9" max="9" width="11.296875" style="75" bestFit="1" customWidth="1"/>
    <col min="10" max="16384" width="9" style="75"/>
  </cols>
  <sheetData>
    <row r="2" spans="2:9">
      <c r="B2" s="88" t="s">
        <v>230</v>
      </c>
      <c r="C2" s="94"/>
      <c r="D2" s="89"/>
      <c r="E2" s="74" t="s">
        <v>217</v>
      </c>
    </row>
    <row r="3" spans="2:9">
      <c r="B3" s="90" t="s">
        <v>231</v>
      </c>
      <c r="C3" s="95"/>
      <c r="D3" s="91"/>
      <c r="E3" s="76">
        <v>500000000</v>
      </c>
      <c r="I3" s="77"/>
    </row>
    <row r="4" spans="2:9">
      <c r="B4" s="90" t="s">
        <v>232</v>
      </c>
      <c r="C4" s="95"/>
      <c r="D4" s="91"/>
      <c r="E4" s="76">
        <v>28327400</v>
      </c>
      <c r="I4" s="77"/>
    </row>
    <row r="5" spans="2:9">
      <c r="B5" s="92" t="s">
        <v>233</v>
      </c>
      <c r="C5" s="96"/>
      <c r="D5" s="93"/>
      <c r="E5" s="78">
        <f>SUM(E3:E4)</f>
        <v>528327400</v>
      </c>
      <c r="I5" s="77"/>
    </row>
    <row r="7" spans="2:9">
      <c r="B7" s="74" t="s">
        <v>234</v>
      </c>
      <c r="C7" s="74" t="s">
        <v>289</v>
      </c>
      <c r="D7" s="74" t="s">
        <v>235</v>
      </c>
      <c r="E7" s="74" t="s">
        <v>236</v>
      </c>
      <c r="F7" s="74" t="s">
        <v>290</v>
      </c>
    </row>
    <row r="8" spans="2:9">
      <c r="B8" s="79">
        <v>44440</v>
      </c>
      <c r="C8" s="97">
        <v>168471</v>
      </c>
      <c r="D8" s="80">
        <v>117930</v>
      </c>
      <c r="E8" s="80">
        <f>E5-D8</f>
        <v>528209470</v>
      </c>
      <c r="F8" s="100">
        <v>0.7</v>
      </c>
    </row>
    <row r="9" spans="2:9">
      <c r="B9" s="79">
        <v>44470</v>
      </c>
      <c r="C9" s="97">
        <v>183127</v>
      </c>
      <c r="D9" s="80">
        <v>128189</v>
      </c>
      <c r="E9" s="80">
        <f t="shared" ref="E9:E14" si="0">E8-D9</f>
        <v>528081281</v>
      </c>
      <c r="F9" s="100">
        <v>0.7</v>
      </c>
    </row>
    <row r="10" spans="2:9">
      <c r="B10" s="79">
        <v>44501</v>
      </c>
      <c r="C10" s="97">
        <v>593376</v>
      </c>
      <c r="D10" s="80">
        <v>415363</v>
      </c>
      <c r="E10" s="80">
        <f t="shared" si="0"/>
        <v>527665918</v>
      </c>
      <c r="F10" s="100">
        <v>0.7</v>
      </c>
    </row>
    <row r="11" spans="2:9">
      <c r="B11" s="79">
        <v>44531</v>
      </c>
      <c r="C11" s="97">
        <v>389840</v>
      </c>
      <c r="D11" s="80">
        <v>272887</v>
      </c>
      <c r="E11" s="80">
        <f t="shared" si="0"/>
        <v>527393031</v>
      </c>
      <c r="F11" s="100">
        <v>0.7</v>
      </c>
    </row>
    <row r="12" spans="2:9">
      <c r="B12" s="79">
        <v>44562</v>
      </c>
      <c r="C12" s="97">
        <v>1295069</v>
      </c>
      <c r="D12" s="80">
        <v>906548</v>
      </c>
      <c r="E12" s="80">
        <f t="shared" si="0"/>
        <v>526486483</v>
      </c>
      <c r="F12" s="100">
        <v>0.7</v>
      </c>
    </row>
    <row r="13" spans="2:9">
      <c r="B13" s="79">
        <v>44593</v>
      </c>
      <c r="C13" s="97">
        <v>12704536</v>
      </c>
      <c r="D13" s="80">
        <v>8893176</v>
      </c>
      <c r="E13" s="80">
        <f t="shared" si="0"/>
        <v>517593307</v>
      </c>
      <c r="F13" s="100">
        <v>0.7</v>
      </c>
    </row>
    <row r="14" spans="2:9">
      <c r="B14" s="79">
        <v>44621</v>
      </c>
      <c r="C14" s="97">
        <v>15273632</v>
      </c>
      <c r="D14" s="80">
        <f>[1]합계03!D11</f>
        <v>13746268</v>
      </c>
      <c r="E14" s="80">
        <f t="shared" si="0"/>
        <v>503847039</v>
      </c>
      <c r="F14" s="100">
        <v>0.9</v>
      </c>
    </row>
    <row r="15" spans="2:9">
      <c r="B15" s="81">
        <v>44652</v>
      </c>
      <c r="C15" s="98">
        <f>합계04!C11</f>
        <v>4113277</v>
      </c>
      <c r="D15" s="82">
        <f>합계04!D11</f>
        <v>3701949</v>
      </c>
      <c r="E15" s="82">
        <f>E14-D15</f>
        <v>500145090</v>
      </c>
      <c r="F15" s="100">
        <v>0.9</v>
      </c>
    </row>
    <row r="16" spans="2:9">
      <c r="B16" s="74" t="s">
        <v>291</v>
      </c>
      <c r="C16" s="99">
        <f>SUM(C8:C15)</f>
        <v>34721328</v>
      </c>
      <c r="D16" s="74"/>
      <c r="E16" s="74"/>
      <c r="F16" s="74"/>
    </row>
  </sheetData>
  <mergeCells count="4">
    <mergeCell ref="B2:D2"/>
    <mergeCell ref="B3:D3"/>
    <mergeCell ref="B4:D4"/>
    <mergeCell ref="B5:D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"/>
  <sheetViews>
    <sheetView workbookViewId="0">
      <selection activeCell="G12" sqref="G12"/>
    </sheetView>
  </sheetViews>
  <sheetFormatPr defaultRowHeight="17.399999999999999"/>
  <cols>
    <col min="1" max="1" width="7.69921875" bestFit="1" customWidth="1"/>
    <col min="2" max="2" width="9" bestFit="1" customWidth="1"/>
    <col min="3" max="3" width="6.5" bestFit="1" customWidth="1"/>
    <col min="4" max="4" width="7.19921875" bestFit="1" customWidth="1"/>
    <col min="5" max="6" width="8.3984375" bestFit="1" customWidth="1"/>
    <col min="7" max="8" width="7.19921875" bestFit="1" customWidth="1"/>
    <col min="9" max="9" width="7.3984375" bestFit="1" customWidth="1"/>
    <col min="10" max="10" width="3.59765625" bestFit="1" customWidth="1"/>
    <col min="11" max="11" width="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8.3984375" bestFit="1" customWidth="1"/>
    <col min="48" max="48" width="11.19921875" bestFit="1" customWidth="1"/>
    <col min="49" max="49" width="10.69921875" bestFit="1" customWidth="1"/>
  </cols>
  <sheetData>
    <row r="1" spans="1:49" ht="19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9</v>
      </c>
      <c r="T1" s="4" t="s">
        <v>10</v>
      </c>
      <c r="U1" s="4" t="s">
        <v>11</v>
      </c>
      <c r="V1" s="4" t="s">
        <v>12</v>
      </c>
      <c r="W1" s="4" t="s">
        <v>13</v>
      </c>
      <c r="X1" s="4" t="s">
        <v>14</v>
      </c>
      <c r="Y1" s="4" t="s">
        <v>15</v>
      </c>
      <c r="Z1" s="4" t="s">
        <v>16</v>
      </c>
      <c r="AA1" s="4" t="s">
        <v>17</v>
      </c>
      <c r="AB1" s="4" t="s">
        <v>9</v>
      </c>
      <c r="AC1" s="4" t="s">
        <v>18</v>
      </c>
      <c r="AD1" s="4" t="s">
        <v>19</v>
      </c>
      <c r="AE1" s="4" t="s">
        <v>9</v>
      </c>
      <c r="AF1" s="4" t="s">
        <v>18</v>
      </c>
      <c r="AG1" s="4" t="s">
        <v>19</v>
      </c>
      <c r="AH1" s="4" t="s">
        <v>9</v>
      </c>
      <c r="AI1" s="4" t="s">
        <v>18</v>
      </c>
      <c r="AJ1" s="4" t="s">
        <v>19</v>
      </c>
      <c r="AK1" s="4" t="s">
        <v>9</v>
      </c>
      <c r="AL1" s="4" t="s">
        <v>18</v>
      </c>
      <c r="AM1" s="4" t="s">
        <v>19</v>
      </c>
      <c r="AN1" s="5" t="s">
        <v>20</v>
      </c>
      <c r="AO1" s="4" t="s">
        <v>9</v>
      </c>
      <c r="AP1" s="4" t="s">
        <v>18</v>
      </c>
      <c r="AQ1" s="4" t="s">
        <v>19</v>
      </c>
      <c r="AR1" s="4" t="s">
        <v>9</v>
      </c>
      <c r="AS1" s="4" t="s">
        <v>18</v>
      </c>
      <c r="AT1" s="4" t="s">
        <v>19</v>
      </c>
      <c r="AU1" s="5" t="s">
        <v>21</v>
      </c>
      <c r="AV1" s="6" t="s">
        <v>22</v>
      </c>
      <c r="AW1" s="7" t="s">
        <v>23</v>
      </c>
    </row>
    <row r="2" spans="1:49" ht="28.8">
      <c r="A2" s="8" t="s">
        <v>24</v>
      </c>
      <c r="B2" s="8" t="s">
        <v>25</v>
      </c>
      <c r="C2" s="8">
        <v>454534</v>
      </c>
      <c r="D2" s="9"/>
      <c r="E2" s="8" t="s">
        <v>26</v>
      </c>
      <c r="F2" s="8" t="s">
        <v>27</v>
      </c>
      <c r="G2" s="8" t="s">
        <v>28</v>
      </c>
      <c r="H2" s="10" t="s">
        <v>29</v>
      </c>
      <c r="I2" s="10" t="s">
        <v>30</v>
      </c>
      <c r="J2" s="10">
        <v>0</v>
      </c>
      <c r="K2" s="11">
        <v>57390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1">
        <v>57390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2">
        <v>1038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3">
        <v>3680260</v>
      </c>
      <c r="AV2" s="14">
        <v>3679222</v>
      </c>
      <c r="AW2" s="15">
        <v>2575455.4</v>
      </c>
    </row>
    <row r="3" spans="1:49" ht="19.2">
      <c r="A3" s="8" t="s">
        <v>24</v>
      </c>
      <c r="B3" s="8" t="s">
        <v>31</v>
      </c>
      <c r="C3" s="8">
        <v>462353</v>
      </c>
      <c r="D3" s="9"/>
      <c r="E3" s="8" t="s">
        <v>26</v>
      </c>
      <c r="F3" s="8" t="s">
        <v>27</v>
      </c>
      <c r="G3" s="8" t="s">
        <v>28</v>
      </c>
      <c r="H3" s="10" t="s">
        <v>29</v>
      </c>
      <c r="I3" s="10" t="s">
        <v>32</v>
      </c>
      <c r="J3" s="10">
        <v>15</v>
      </c>
      <c r="K3" s="10">
        <v>0</v>
      </c>
      <c r="L3" s="11">
        <v>1500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15</v>
      </c>
      <c r="T3" s="10">
        <v>0</v>
      </c>
      <c r="U3" s="11">
        <v>1500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15</v>
      </c>
      <c r="AC3" s="10">
        <v>0</v>
      </c>
      <c r="AD3" s="10">
        <v>0</v>
      </c>
      <c r="AE3" s="10">
        <v>15</v>
      </c>
      <c r="AF3" s="10">
        <v>0</v>
      </c>
      <c r="AG3" s="10">
        <v>0</v>
      </c>
      <c r="AH3" s="10">
        <v>15</v>
      </c>
      <c r="AI3" s="10">
        <v>0</v>
      </c>
      <c r="AJ3" s="10">
        <v>0</v>
      </c>
      <c r="AK3" s="10">
        <v>15</v>
      </c>
      <c r="AL3" s="10">
        <v>0</v>
      </c>
      <c r="AM3" s="10">
        <v>0</v>
      </c>
      <c r="AN3" s="10">
        <v>0</v>
      </c>
      <c r="AO3" s="10">
        <v>15</v>
      </c>
      <c r="AP3" s="10">
        <v>0</v>
      </c>
      <c r="AQ3" s="10">
        <v>0</v>
      </c>
      <c r="AR3" s="10">
        <v>15</v>
      </c>
      <c r="AS3" s="10">
        <v>0</v>
      </c>
      <c r="AT3" s="10">
        <v>0</v>
      </c>
      <c r="AU3" s="13">
        <v>200900</v>
      </c>
      <c r="AV3" s="14">
        <v>200900</v>
      </c>
      <c r="AW3" s="15">
        <v>140630</v>
      </c>
    </row>
    <row r="4" spans="1:49" ht="28.8">
      <c r="A4" s="8" t="s">
        <v>24</v>
      </c>
      <c r="B4" s="8" t="s">
        <v>33</v>
      </c>
      <c r="C4" s="8">
        <v>462361</v>
      </c>
      <c r="D4" s="9"/>
      <c r="E4" s="8" t="s">
        <v>26</v>
      </c>
      <c r="F4" s="8" t="s">
        <v>27</v>
      </c>
      <c r="G4" s="8" t="s">
        <v>28</v>
      </c>
      <c r="H4" s="10" t="s">
        <v>29</v>
      </c>
      <c r="I4" s="10" t="s">
        <v>34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3">
        <v>12800</v>
      </c>
      <c r="AV4" s="14">
        <v>12800</v>
      </c>
      <c r="AW4" s="15">
        <v>8960</v>
      </c>
    </row>
    <row r="5" spans="1:49" ht="28.8">
      <c r="A5" s="8" t="s">
        <v>35</v>
      </c>
      <c r="B5" s="8" t="s">
        <v>25</v>
      </c>
      <c r="C5" s="8">
        <v>454534</v>
      </c>
      <c r="D5" s="9"/>
      <c r="E5" s="8" t="s">
        <v>26</v>
      </c>
      <c r="F5" s="8" t="s">
        <v>27</v>
      </c>
      <c r="G5" s="8" t="s">
        <v>28</v>
      </c>
      <c r="H5" s="10" t="s">
        <v>29</v>
      </c>
      <c r="I5" s="10" t="s">
        <v>30</v>
      </c>
      <c r="J5" s="10">
        <v>0</v>
      </c>
      <c r="K5" s="11">
        <v>13014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1">
        <v>13014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108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3">
        <v>470160</v>
      </c>
      <c r="AV5" s="14">
        <v>470052</v>
      </c>
      <c r="AW5" s="15">
        <v>329036.39999999997</v>
      </c>
    </row>
    <row r="6" spans="1:49" ht="19.2">
      <c r="A6" s="8" t="s">
        <v>35</v>
      </c>
      <c r="B6" s="8" t="s">
        <v>31</v>
      </c>
      <c r="C6" s="8">
        <v>462353</v>
      </c>
      <c r="D6" s="9"/>
      <c r="E6" s="8" t="s">
        <v>26</v>
      </c>
      <c r="F6" s="8" t="s">
        <v>27</v>
      </c>
      <c r="G6" s="8" t="s">
        <v>28</v>
      </c>
      <c r="H6" s="10" t="s">
        <v>29</v>
      </c>
      <c r="I6" s="10" t="s">
        <v>32</v>
      </c>
      <c r="J6" s="10">
        <v>3</v>
      </c>
      <c r="K6" s="10">
        <v>0</v>
      </c>
      <c r="L6" s="10">
        <v>300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3</v>
      </c>
      <c r="T6" s="10">
        <v>0</v>
      </c>
      <c r="U6" s="10">
        <v>300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3</v>
      </c>
      <c r="AC6" s="10">
        <v>0</v>
      </c>
      <c r="AD6" s="10">
        <v>0</v>
      </c>
      <c r="AE6" s="10">
        <v>3</v>
      </c>
      <c r="AF6" s="10">
        <v>0</v>
      </c>
      <c r="AG6" s="10">
        <v>0</v>
      </c>
      <c r="AH6" s="10">
        <v>3</v>
      </c>
      <c r="AI6" s="10">
        <v>0</v>
      </c>
      <c r="AJ6" s="10">
        <v>0</v>
      </c>
      <c r="AK6" s="10">
        <v>3</v>
      </c>
      <c r="AL6" s="10">
        <v>0</v>
      </c>
      <c r="AM6" s="10">
        <v>0</v>
      </c>
      <c r="AN6" s="10">
        <v>0</v>
      </c>
      <c r="AO6" s="10">
        <v>3</v>
      </c>
      <c r="AP6" s="10">
        <v>0</v>
      </c>
      <c r="AQ6" s="10">
        <v>0</v>
      </c>
      <c r="AR6" s="10">
        <v>3</v>
      </c>
      <c r="AS6" s="10">
        <v>0</v>
      </c>
      <c r="AT6" s="10">
        <v>0</v>
      </c>
      <c r="AU6" s="13">
        <v>23600</v>
      </c>
      <c r="AV6" s="14">
        <v>23600</v>
      </c>
      <c r="AW6" s="15">
        <v>16520</v>
      </c>
    </row>
    <row r="7" spans="1:49" ht="28.8">
      <c r="A7" s="8" t="s">
        <v>35</v>
      </c>
      <c r="B7" s="8" t="s">
        <v>33</v>
      </c>
      <c r="C7" s="8">
        <v>462361</v>
      </c>
      <c r="D7" s="9"/>
      <c r="E7" s="8" t="s">
        <v>26</v>
      </c>
      <c r="F7" s="8" t="s">
        <v>27</v>
      </c>
      <c r="G7" s="8" t="s">
        <v>28</v>
      </c>
      <c r="H7" s="10" t="s">
        <v>29</v>
      </c>
      <c r="I7" s="10" t="s">
        <v>34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3">
        <v>19200</v>
      </c>
      <c r="AV7" s="14">
        <v>19200</v>
      </c>
      <c r="AW7" s="15">
        <v>13440</v>
      </c>
    </row>
    <row r="8" spans="1:49" ht="28.8">
      <c r="A8" s="8" t="s">
        <v>36</v>
      </c>
      <c r="B8" s="8" t="s">
        <v>25</v>
      </c>
      <c r="C8" s="8">
        <v>454534</v>
      </c>
      <c r="D8" s="9"/>
      <c r="E8" s="8" t="s">
        <v>26</v>
      </c>
      <c r="F8" s="8" t="s">
        <v>27</v>
      </c>
      <c r="G8" s="8" t="s">
        <v>28</v>
      </c>
      <c r="H8" s="10" t="s">
        <v>29</v>
      </c>
      <c r="I8" s="10" t="s">
        <v>30</v>
      </c>
      <c r="J8" s="10">
        <v>0</v>
      </c>
      <c r="K8" s="11">
        <v>8937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1">
        <v>8937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2">
        <v>66667.5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3">
        <v>770825</v>
      </c>
      <c r="AV8" s="14">
        <v>704157.5</v>
      </c>
      <c r="AW8" s="15">
        <v>492910.24999999994</v>
      </c>
    </row>
    <row r="9" spans="1:49" ht="19.2">
      <c r="A9" s="8" t="s">
        <v>36</v>
      </c>
      <c r="B9" s="8" t="s">
        <v>31</v>
      </c>
      <c r="C9" s="8">
        <v>462353</v>
      </c>
      <c r="D9" s="9"/>
      <c r="E9" s="8" t="s">
        <v>26</v>
      </c>
      <c r="F9" s="8" t="s">
        <v>27</v>
      </c>
      <c r="G9" s="8" t="s">
        <v>28</v>
      </c>
      <c r="H9" s="10" t="s">
        <v>29</v>
      </c>
      <c r="I9" s="10" t="s">
        <v>32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2">
        <v>10548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3">
        <v>72760</v>
      </c>
      <c r="AV9" s="14">
        <v>62212</v>
      </c>
      <c r="AW9" s="15">
        <v>43548.399999999994</v>
      </c>
    </row>
    <row r="10" spans="1:49" ht="28.8">
      <c r="A10" s="8" t="s">
        <v>36</v>
      </c>
      <c r="B10" s="8" t="s">
        <v>33</v>
      </c>
      <c r="C10" s="8">
        <v>462361</v>
      </c>
      <c r="D10" s="9"/>
      <c r="E10" s="8" t="s">
        <v>26</v>
      </c>
      <c r="F10" s="8" t="s">
        <v>27</v>
      </c>
      <c r="G10" s="8" t="s">
        <v>28</v>
      </c>
      <c r="H10" s="10" t="s">
        <v>29</v>
      </c>
      <c r="I10" s="10" t="s">
        <v>34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2">
        <v>5760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3">
        <v>19200</v>
      </c>
      <c r="AV10" s="14">
        <v>13440</v>
      </c>
      <c r="AW10" s="15">
        <v>9408</v>
      </c>
    </row>
    <row r="11" spans="1:49">
      <c r="AW11" s="70">
        <f>SUM(AW2:AW10)</f>
        <v>3629908.4499999997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"/>
  <sheetViews>
    <sheetView workbookViewId="0">
      <selection activeCell="F13" sqref="F13"/>
    </sheetView>
  </sheetViews>
  <sheetFormatPr defaultRowHeight="17.399999999999999"/>
  <cols>
    <col min="1" max="1" width="8.69921875" bestFit="1" customWidth="1"/>
    <col min="2" max="2" width="9" bestFit="1" customWidth="1"/>
    <col min="3" max="3" width="6.5" bestFit="1" customWidth="1"/>
    <col min="4" max="4" width="7.19921875" bestFit="1" customWidth="1"/>
    <col min="5" max="6" width="8.3984375" bestFit="1" customWidth="1"/>
    <col min="7" max="8" width="7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.69921875" bestFit="1" customWidth="1"/>
    <col min="49" max="49" width="6.3984375" bestFit="1" customWidth="1"/>
  </cols>
  <sheetData>
    <row r="1" spans="1:49" ht="19.2">
      <c r="A1" s="16" t="s">
        <v>38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9</v>
      </c>
      <c r="T1" s="4" t="s">
        <v>10</v>
      </c>
      <c r="U1" s="4" t="s">
        <v>11</v>
      </c>
      <c r="V1" s="4" t="s">
        <v>12</v>
      </c>
      <c r="W1" s="4" t="s">
        <v>13</v>
      </c>
      <c r="X1" s="4" t="s">
        <v>14</v>
      </c>
      <c r="Y1" s="4" t="s">
        <v>15</v>
      </c>
      <c r="Z1" s="4" t="s">
        <v>16</v>
      </c>
      <c r="AA1" s="4" t="s">
        <v>17</v>
      </c>
      <c r="AB1" s="4" t="s">
        <v>9</v>
      </c>
      <c r="AC1" s="4" t="s">
        <v>18</v>
      </c>
      <c r="AD1" s="4" t="s">
        <v>19</v>
      </c>
      <c r="AE1" s="4" t="s">
        <v>9</v>
      </c>
      <c r="AF1" s="4" t="s">
        <v>18</v>
      </c>
      <c r="AG1" s="4" t="s">
        <v>19</v>
      </c>
      <c r="AH1" s="4" t="s">
        <v>9</v>
      </c>
      <c r="AI1" s="4" t="s">
        <v>18</v>
      </c>
      <c r="AJ1" s="4" t="s">
        <v>19</v>
      </c>
      <c r="AK1" s="4" t="s">
        <v>9</v>
      </c>
      <c r="AL1" s="4" t="s">
        <v>18</v>
      </c>
      <c r="AM1" s="4" t="s">
        <v>19</v>
      </c>
      <c r="AN1" s="5" t="s">
        <v>20</v>
      </c>
      <c r="AO1" s="4" t="s">
        <v>9</v>
      </c>
      <c r="AP1" s="4" t="s">
        <v>18</v>
      </c>
      <c r="AQ1" s="4" t="s">
        <v>19</v>
      </c>
      <c r="AR1" s="4" t="s">
        <v>9</v>
      </c>
      <c r="AS1" s="4" t="s">
        <v>18</v>
      </c>
      <c r="AT1" s="4" t="s">
        <v>19</v>
      </c>
      <c r="AU1" s="5" t="s">
        <v>21</v>
      </c>
      <c r="AV1" s="6" t="s">
        <v>39</v>
      </c>
      <c r="AW1" s="17" t="s">
        <v>40</v>
      </c>
    </row>
    <row r="2" spans="1:49" ht="28.8">
      <c r="A2" s="8" t="s">
        <v>41</v>
      </c>
      <c r="B2" s="8" t="s">
        <v>25</v>
      </c>
      <c r="C2" s="8">
        <v>454534</v>
      </c>
      <c r="D2" s="9"/>
      <c r="E2" s="8" t="s">
        <v>26</v>
      </c>
      <c r="F2" s="8" t="s">
        <v>27</v>
      </c>
      <c r="G2" s="8" t="s">
        <v>28</v>
      </c>
      <c r="H2" s="10" t="s">
        <v>29</v>
      </c>
      <c r="I2" s="10" t="s">
        <v>30</v>
      </c>
      <c r="J2" s="10">
        <v>0</v>
      </c>
      <c r="K2" s="10">
        <v>438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438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3">
        <v>10800</v>
      </c>
      <c r="AV2" s="14">
        <v>10800</v>
      </c>
      <c r="AW2" s="18">
        <v>7559.9999999999991</v>
      </c>
    </row>
    <row r="3" spans="1:49" ht="19.2">
      <c r="A3" s="8" t="s">
        <v>41</v>
      </c>
      <c r="B3" s="8" t="s">
        <v>31</v>
      </c>
      <c r="C3" s="8">
        <v>462353</v>
      </c>
      <c r="D3" s="9"/>
      <c r="E3" s="8" t="s">
        <v>26</v>
      </c>
      <c r="F3" s="8" t="s">
        <v>27</v>
      </c>
      <c r="G3" s="8" t="s">
        <v>28</v>
      </c>
      <c r="H3" s="10" t="s">
        <v>29</v>
      </c>
      <c r="I3" s="10" t="s">
        <v>32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9">
        <v>100</v>
      </c>
      <c r="AV3" s="14">
        <v>100</v>
      </c>
      <c r="AW3" s="18">
        <v>70</v>
      </c>
    </row>
    <row r="4" spans="1:49" ht="28.8">
      <c r="A4" s="8" t="s">
        <v>42</v>
      </c>
      <c r="B4" s="8" t="s">
        <v>25</v>
      </c>
      <c r="C4" s="8">
        <v>454534</v>
      </c>
      <c r="D4" s="9"/>
      <c r="E4" s="8" t="s">
        <v>26</v>
      </c>
      <c r="F4" s="8" t="s">
        <v>27</v>
      </c>
      <c r="G4" s="8" t="s">
        <v>28</v>
      </c>
      <c r="H4" s="10" t="s">
        <v>29</v>
      </c>
      <c r="I4" s="10" t="s">
        <v>30</v>
      </c>
      <c r="J4" s="10">
        <v>0</v>
      </c>
      <c r="K4" s="10">
        <v>78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78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3">
        <v>55200</v>
      </c>
      <c r="AV4" s="14">
        <v>55200</v>
      </c>
      <c r="AW4" s="18">
        <v>38640</v>
      </c>
    </row>
    <row r="5" spans="1:49" ht="19.2">
      <c r="A5" s="8" t="s">
        <v>42</v>
      </c>
      <c r="B5" s="8" t="s">
        <v>31</v>
      </c>
      <c r="C5" s="8">
        <v>462353</v>
      </c>
      <c r="D5" s="9"/>
      <c r="E5" s="8" t="s">
        <v>26</v>
      </c>
      <c r="F5" s="8" t="s">
        <v>27</v>
      </c>
      <c r="G5" s="8" t="s">
        <v>28</v>
      </c>
      <c r="H5" s="10" t="s">
        <v>29</v>
      </c>
      <c r="I5" s="10" t="s">
        <v>32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3">
        <v>8400</v>
      </c>
      <c r="AV5" s="14">
        <v>8400</v>
      </c>
      <c r="AW5" s="18">
        <v>5880</v>
      </c>
    </row>
    <row r="6" spans="1:49" ht="28.8">
      <c r="A6" s="8" t="s">
        <v>42</v>
      </c>
      <c r="B6" s="8" t="s">
        <v>33</v>
      </c>
      <c r="C6" s="8">
        <v>462361</v>
      </c>
      <c r="D6" s="9"/>
      <c r="E6" s="8" t="s">
        <v>26</v>
      </c>
      <c r="F6" s="8" t="s">
        <v>27</v>
      </c>
      <c r="G6" s="8" t="s">
        <v>28</v>
      </c>
      <c r="H6" s="10" t="s">
        <v>29</v>
      </c>
      <c r="I6" s="10" t="s">
        <v>34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3">
        <v>6400</v>
      </c>
      <c r="AV6" s="14">
        <v>6400</v>
      </c>
      <c r="AW6" s="18">
        <v>4480</v>
      </c>
    </row>
    <row r="7" spans="1:49" ht="28.8">
      <c r="A7" s="8" t="s">
        <v>43</v>
      </c>
      <c r="B7" s="8" t="s">
        <v>25</v>
      </c>
      <c r="C7" s="8">
        <v>454534</v>
      </c>
      <c r="D7" s="9"/>
      <c r="E7" s="8" t="s">
        <v>26</v>
      </c>
      <c r="F7" s="8" t="s">
        <v>27</v>
      </c>
      <c r="G7" s="8" t="s">
        <v>28</v>
      </c>
      <c r="H7" s="10" t="s">
        <v>29</v>
      </c>
      <c r="I7" s="10" t="s">
        <v>30</v>
      </c>
      <c r="J7" s="10">
        <v>0</v>
      </c>
      <c r="K7" s="10">
        <v>36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36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9">
        <v>700</v>
      </c>
      <c r="AV7" s="14">
        <v>700</v>
      </c>
      <c r="AW7" s="18">
        <v>489.99999999999994</v>
      </c>
    </row>
    <row r="8" spans="1:49">
      <c r="AW8">
        <f>SUM(AW2:AW7)</f>
        <v>57120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opLeftCell="B1" workbookViewId="0">
      <selection activeCell="H20" sqref="H20"/>
    </sheetView>
  </sheetViews>
  <sheetFormatPr defaultRowHeight="17.399999999999999"/>
  <cols>
    <col min="1" max="1" width="6.69921875" bestFit="1" customWidth="1"/>
    <col min="2" max="2" width="5.69921875" bestFit="1" customWidth="1"/>
    <col min="3" max="3" width="10.19921875" bestFit="1" customWidth="1"/>
    <col min="4" max="4" width="10.69921875" bestFit="1" customWidth="1"/>
    <col min="5" max="5" width="7.3984375" bestFit="1" customWidth="1"/>
    <col min="6" max="6" width="18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>
      <c r="A1" s="20" t="s">
        <v>44</v>
      </c>
      <c r="B1" s="20" t="s">
        <v>45</v>
      </c>
      <c r="C1" s="20" t="s">
        <v>46</v>
      </c>
      <c r="D1" s="20" t="s">
        <v>47</v>
      </c>
      <c r="E1" s="20" t="s">
        <v>48</v>
      </c>
      <c r="F1" s="20" t="s">
        <v>49</v>
      </c>
      <c r="G1" s="21" t="s">
        <v>50</v>
      </c>
      <c r="H1" s="21" t="s">
        <v>51</v>
      </c>
      <c r="I1" s="21" t="s">
        <v>52</v>
      </c>
      <c r="J1" s="21" t="s">
        <v>53</v>
      </c>
      <c r="K1" s="21" t="s">
        <v>54</v>
      </c>
      <c r="L1" s="21" t="s">
        <v>55</v>
      </c>
      <c r="M1" s="21" t="s">
        <v>56</v>
      </c>
    </row>
    <row r="2" spans="1:13">
      <c r="A2" s="22">
        <v>2022.03</v>
      </c>
      <c r="B2" s="22" t="s">
        <v>57</v>
      </c>
      <c r="C2" s="22" t="s">
        <v>27</v>
      </c>
      <c r="D2" s="22" t="s">
        <v>58</v>
      </c>
      <c r="E2" s="22">
        <v>113396</v>
      </c>
      <c r="F2" s="23" t="s">
        <v>31</v>
      </c>
      <c r="G2" s="24">
        <v>594</v>
      </c>
      <c r="H2" s="24">
        <v>0</v>
      </c>
      <c r="I2" s="24">
        <v>0</v>
      </c>
      <c r="J2" s="24">
        <v>0</v>
      </c>
      <c r="K2" s="25">
        <v>59400</v>
      </c>
      <c r="L2" s="25">
        <v>0</v>
      </c>
      <c r="M2" s="24">
        <v>37422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workbookViewId="0">
      <selection activeCell="G10" sqref="G10"/>
    </sheetView>
  </sheetViews>
  <sheetFormatPr defaultColWidth="9" defaultRowHeight="17.399999999999999"/>
  <cols>
    <col min="1" max="1" width="9" style="33" bestFit="1" customWidth="1"/>
    <col min="2" max="2" width="8.3984375" style="33" bestFit="1" customWidth="1"/>
    <col min="3" max="3" width="5.19921875" style="33" bestFit="1" customWidth="1"/>
    <col min="4" max="6" width="8.09765625" style="33" bestFit="1" customWidth="1"/>
    <col min="7" max="18" width="8.19921875" style="33" bestFit="1" customWidth="1"/>
    <col min="19" max="30" width="8.69921875" style="33" bestFit="1" customWidth="1"/>
    <col min="31" max="31" width="7.19921875" style="33" bestFit="1" customWidth="1"/>
    <col min="32" max="32" width="7.5" style="33" bestFit="1" customWidth="1"/>
    <col min="33" max="34" width="7.19921875" style="33" bestFit="1" customWidth="1"/>
    <col min="35" max="35" width="7.59765625" style="33" bestFit="1" customWidth="1"/>
    <col min="36" max="36" width="9.19921875" style="33" bestFit="1" customWidth="1"/>
    <col min="37" max="16384" width="9" style="33"/>
  </cols>
  <sheetData>
    <row r="1" spans="1:36" ht="63" thickBot="1">
      <c r="A1" s="26" t="s">
        <v>59</v>
      </c>
      <c r="B1" s="26" t="s">
        <v>5</v>
      </c>
      <c r="C1" s="26" t="s">
        <v>60</v>
      </c>
      <c r="D1" s="27" t="s">
        <v>61</v>
      </c>
      <c r="E1" s="27" t="s">
        <v>62</v>
      </c>
      <c r="F1" s="27" t="s">
        <v>63</v>
      </c>
      <c r="G1" s="28" t="s">
        <v>64</v>
      </c>
      <c r="H1" s="28" t="s">
        <v>65</v>
      </c>
      <c r="I1" s="28" t="s">
        <v>66</v>
      </c>
      <c r="J1" s="28" t="s">
        <v>67</v>
      </c>
      <c r="K1" s="28" t="s">
        <v>68</v>
      </c>
      <c r="L1" s="28" t="s">
        <v>69</v>
      </c>
      <c r="M1" s="28" t="s">
        <v>70</v>
      </c>
      <c r="N1" s="28" t="s">
        <v>71</v>
      </c>
      <c r="O1" s="28" t="s">
        <v>72</v>
      </c>
      <c r="P1" s="28" t="s">
        <v>73</v>
      </c>
      <c r="Q1" s="28" t="s">
        <v>74</v>
      </c>
      <c r="R1" s="28" t="s">
        <v>75</v>
      </c>
      <c r="S1" s="29" t="s">
        <v>76</v>
      </c>
      <c r="T1" s="29" t="s">
        <v>77</v>
      </c>
      <c r="U1" s="29" t="s">
        <v>78</v>
      </c>
      <c r="V1" s="29" t="s">
        <v>79</v>
      </c>
      <c r="W1" s="29" t="s">
        <v>80</v>
      </c>
      <c r="X1" s="29" t="s">
        <v>81</v>
      </c>
      <c r="Y1" s="29" t="s">
        <v>82</v>
      </c>
      <c r="Z1" s="29" t="s">
        <v>83</v>
      </c>
      <c r="AA1" s="29" t="s">
        <v>84</v>
      </c>
      <c r="AB1" s="29" t="s">
        <v>85</v>
      </c>
      <c r="AC1" s="29" t="s">
        <v>86</v>
      </c>
      <c r="AD1" s="29" t="s">
        <v>87</v>
      </c>
      <c r="AE1" s="30" t="s">
        <v>88</v>
      </c>
      <c r="AF1" s="30" t="s">
        <v>89</v>
      </c>
      <c r="AG1" s="30" t="s">
        <v>90</v>
      </c>
      <c r="AH1" s="30" t="s">
        <v>91</v>
      </c>
      <c r="AI1" s="31" t="s">
        <v>92</v>
      </c>
      <c r="AJ1" s="32" t="s">
        <v>93</v>
      </c>
    </row>
    <row r="2" spans="1:36" ht="18.600000000000001" thickBot="1">
      <c r="A2" s="34" t="s">
        <v>94</v>
      </c>
      <c r="B2" s="34" t="s">
        <v>27</v>
      </c>
      <c r="C2" s="34"/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117</v>
      </c>
      <c r="K2" s="35">
        <v>117</v>
      </c>
      <c r="L2" s="36">
        <v>11700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117</v>
      </c>
      <c r="AF2" s="35">
        <v>117</v>
      </c>
      <c r="AG2" s="36">
        <v>11700</v>
      </c>
      <c r="AH2" s="36">
        <v>7371</v>
      </c>
      <c r="AI2" s="37">
        <v>11700</v>
      </c>
      <c r="AJ2" s="38">
        <v>7371</v>
      </c>
    </row>
    <row r="3" spans="1:36" ht="18">
      <c r="A3" s="34" t="s">
        <v>95</v>
      </c>
      <c r="B3" s="34" t="s">
        <v>27</v>
      </c>
      <c r="C3" s="34"/>
      <c r="D3" s="35">
        <v>0</v>
      </c>
      <c r="E3" s="35">
        <v>0</v>
      </c>
      <c r="F3" s="35">
        <v>0</v>
      </c>
      <c r="G3" s="35">
        <v>26</v>
      </c>
      <c r="H3" s="35">
        <v>26</v>
      </c>
      <c r="I3" s="36">
        <v>23400</v>
      </c>
      <c r="J3" s="35">
        <v>6</v>
      </c>
      <c r="K3" s="35">
        <v>6</v>
      </c>
      <c r="L3" s="36">
        <v>19200</v>
      </c>
      <c r="M3" s="35">
        <v>15</v>
      </c>
      <c r="N3" s="35">
        <v>75</v>
      </c>
      <c r="O3" s="36">
        <v>47250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47</v>
      </c>
      <c r="AF3" s="35">
        <v>107</v>
      </c>
      <c r="AG3" s="36">
        <v>89850</v>
      </c>
      <c r="AH3" s="36">
        <v>56605.5</v>
      </c>
      <c r="AI3" s="37">
        <v>89850</v>
      </c>
      <c r="AJ3" s="38">
        <v>56605.5</v>
      </c>
    </row>
    <row r="4" spans="1:36">
      <c r="AJ4" s="71">
        <f>SUM(AJ2:AJ3)</f>
        <v>63976.5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topLeftCell="A7" workbookViewId="0">
      <selection activeCell="H2" sqref="H2"/>
    </sheetView>
  </sheetViews>
  <sheetFormatPr defaultColWidth="9" defaultRowHeight="17.399999999999999"/>
  <cols>
    <col min="1" max="1" width="18.8984375" style="43" bestFit="1" customWidth="1"/>
    <col min="2" max="2" width="8.8984375" style="43" bestFit="1" customWidth="1"/>
    <col min="3" max="3" width="10.3984375" style="43" bestFit="1" customWidth="1"/>
    <col min="4" max="4" width="11.8984375" style="43" bestFit="1" customWidth="1"/>
    <col min="5" max="5" width="19.59765625" style="43" bestFit="1" customWidth="1"/>
    <col min="6" max="6" width="24.3984375" style="43" bestFit="1" customWidth="1"/>
    <col min="7" max="7" width="5" style="43" bestFit="1" customWidth="1"/>
    <col min="8" max="8" width="11.8984375" style="43" bestFit="1" customWidth="1"/>
    <col min="9" max="9" width="7.69921875" style="43" bestFit="1" customWidth="1"/>
    <col min="10" max="10" width="8.59765625" style="43" bestFit="1" customWidth="1"/>
    <col min="11" max="11" width="10.3984375" style="43" bestFit="1" customWidth="1"/>
    <col min="12" max="12" width="12.3984375" style="43" bestFit="1" customWidth="1"/>
    <col min="13" max="13" width="8.59765625" style="43" bestFit="1" customWidth="1"/>
    <col min="14" max="14" width="5" style="43" bestFit="1" customWidth="1"/>
    <col min="15" max="17" width="8.59765625" style="43" bestFit="1" customWidth="1"/>
    <col min="18" max="21" width="7.59765625" style="43" bestFit="1" customWidth="1"/>
    <col min="22" max="22" width="6.69921875" style="43" bestFit="1" customWidth="1"/>
    <col min="23" max="25" width="8.59765625" style="43" bestFit="1" customWidth="1"/>
    <col min="26" max="26" width="9.3984375" style="43" bestFit="1" customWidth="1"/>
    <col min="27" max="30" width="8.59765625" style="43" bestFit="1" customWidth="1"/>
    <col min="31" max="16384" width="9" style="43"/>
  </cols>
  <sheetData>
    <row r="1" spans="1:30" ht="69.599999999999994">
      <c r="A1" s="39" t="s">
        <v>97</v>
      </c>
      <c r="B1" s="39" t="s">
        <v>98</v>
      </c>
      <c r="C1" s="39" t="s">
        <v>99</v>
      </c>
      <c r="D1" s="39" t="s">
        <v>100</v>
      </c>
      <c r="E1" s="39" t="s">
        <v>101</v>
      </c>
      <c r="F1" s="39" t="s">
        <v>102</v>
      </c>
      <c r="G1" s="39" t="s">
        <v>103</v>
      </c>
      <c r="H1" s="39" t="s">
        <v>104</v>
      </c>
      <c r="I1" s="39" t="s">
        <v>105</v>
      </c>
      <c r="J1" s="39" t="s">
        <v>106</v>
      </c>
      <c r="K1" s="39" t="s">
        <v>6</v>
      </c>
      <c r="L1" s="40" t="s">
        <v>107</v>
      </c>
      <c r="M1" s="39" t="s">
        <v>108</v>
      </c>
      <c r="N1" s="39" t="s">
        <v>109</v>
      </c>
      <c r="O1" s="39" t="s">
        <v>110</v>
      </c>
      <c r="P1" s="39" t="s">
        <v>111</v>
      </c>
      <c r="Q1" s="39" t="s">
        <v>112</v>
      </c>
      <c r="R1" s="41" t="s">
        <v>113</v>
      </c>
      <c r="S1" s="41" t="s">
        <v>114</v>
      </c>
      <c r="T1" s="41" t="s">
        <v>115</v>
      </c>
      <c r="U1" s="41" t="s">
        <v>116</v>
      </c>
      <c r="V1" s="39" t="s">
        <v>21</v>
      </c>
      <c r="W1" s="41" t="s">
        <v>117</v>
      </c>
      <c r="X1" s="41" t="s">
        <v>118</v>
      </c>
      <c r="Y1" s="41" t="s">
        <v>119</v>
      </c>
      <c r="Z1" s="41" t="s">
        <v>120</v>
      </c>
      <c r="AA1" s="41" t="s">
        <v>121</v>
      </c>
      <c r="AB1" s="42" t="s">
        <v>122</v>
      </c>
      <c r="AC1" s="40" t="s">
        <v>123</v>
      </c>
      <c r="AD1" s="39" t="s">
        <v>124</v>
      </c>
    </row>
    <row r="2" spans="1:30">
      <c r="A2" s="44" t="s">
        <v>125</v>
      </c>
      <c r="B2" s="44" t="s">
        <v>126</v>
      </c>
      <c r="C2" s="44" t="s">
        <v>127</v>
      </c>
      <c r="D2" s="44" t="s">
        <v>128</v>
      </c>
      <c r="E2" s="44" t="s">
        <v>31</v>
      </c>
      <c r="F2" s="44" t="s">
        <v>129</v>
      </c>
      <c r="G2" s="44" t="s">
        <v>130</v>
      </c>
      <c r="H2" s="44" t="s">
        <v>131</v>
      </c>
      <c r="I2" s="44" t="s">
        <v>132</v>
      </c>
      <c r="J2" s="44" t="s">
        <v>133</v>
      </c>
      <c r="K2" s="44" t="s">
        <v>28</v>
      </c>
      <c r="L2" s="44" t="s">
        <v>27</v>
      </c>
      <c r="M2" s="44" t="s">
        <v>134</v>
      </c>
      <c r="N2" s="44" t="s">
        <v>135</v>
      </c>
      <c r="O2" s="45">
        <v>1</v>
      </c>
      <c r="P2" s="45">
        <v>0</v>
      </c>
      <c r="Q2" s="45">
        <v>0</v>
      </c>
      <c r="R2" s="45">
        <v>1</v>
      </c>
      <c r="S2" s="45">
        <v>100</v>
      </c>
      <c r="T2" s="45">
        <v>0</v>
      </c>
      <c r="U2" s="45">
        <v>0</v>
      </c>
      <c r="V2" s="45">
        <v>100</v>
      </c>
      <c r="W2" s="45">
        <v>0</v>
      </c>
      <c r="X2" s="45">
        <v>0</v>
      </c>
      <c r="Y2" s="45">
        <v>100</v>
      </c>
      <c r="Z2" s="45">
        <v>0</v>
      </c>
      <c r="AA2" s="45">
        <v>30</v>
      </c>
      <c r="AB2" s="45">
        <v>0</v>
      </c>
      <c r="AC2" s="45">
        <v>70</v>
      </c>
      <c r="AD2" s="44" t="s">
        <v>136</v>
      </c>
    </row>
    <row r="3" spans="1:30">
      <c r="A3" s="44" t="s">
        <v>125</v>
      </c>
      <c r="B3" s="44" t="s">
        <v>126</v>
      </c>
      <c r="C3" s="44" t="s">
        <v>127</v>
      </c>
      <c r="D3" s="44" t="s">
        <v>128</v>
      </c>
      <c r="E3" s="44" t="s">
        <v>31</v>
      </c>
      <c r="F3" s="44" t="s">
        <v>137</v>
      </c>
      <c r="G3" s="44" t="s">
        <v>138</v>
      </c>
      <c r="H3" s="44" t="s">
        <v>139</v>
      </c>
      <c r="I3" s="44" t="s">
        <v>132</v>
      </c>
      <c r="J3" s="44" t="s">
        <v>133</v>
      </c>
      <c r="K3" s="44" t="s">
        <v>28</v>
      </c>
      <c r="L3" s="44" t="s">
        <v>27</v>
      </c>
      <c r="M3" s="44" t="s">
        <v>134</v>
      </c>
      <c r="N3" s="44" t="s">
        <v>135</v>
      </c>
      <c r="O3" s="45">
        <v>1</v>
      </c>
      <c r="P3" s="45">
        <v>0</v>
      </c>
      <c r="Q3" s="45">
        <v>0</v>
      </c>
      <c r="R3" s="45">
        <v>1</v>
      </c>
      <c r="S3" s="45">
        <v>100</v>
      </c>
      <c r="T3" s="45">
        <v>0</v>
      </c>
      <c r="U3" s="45">
        <v>0</v>
      </c>
      <c r="V3" s="45">
        <v>100</v>
      </c>
      <c r="W3" s="45">
        <v>0</v>
      </c>
      <c r="X3" s="45">
        <v>0</v>
      </c>
      <c r="Y3" s="45">
        <v>100</v>
      </c>
      <c r="Z3" s="45">
        <v>0</v>
      </c>
      <c r="AA3" s="45">
        <v>30</v>
      </c>
      <c r="AB3" s="45">
        <v>0</v>
      </c>
      <c r="AC3" s="45">
        <v>70</v>
      </c>
      <c r="AD3" s="44" t="s">
        <v>136</v>
      </c>
    </row>
    <row r="4" spans="1:30">
      <c r="A4" s="44" t="s">
        <v>125</v>
      </c>
      <c r="B4" s="44" t="s">
        <v>126</v>
      </c>
      <c r="C4" s="44" t="s">
        <v>127</v>
      </c>
      <c r="D4" s="44" t="s">
        <v>128</v>
      </c>
      <c r="E4" s="44" t="s">
        <v>31</v>
      </c>
      <c r="F4" s="44" t="s">
        <v>140</v>
      </c>
      <c r="G4" s="44" t="s">
        <v>141</v>
      </c>
      <c r="H4" s="44" t="s">
        <v>142</v>
      </c>
      <c r="I4" s="44" t="s">
        <v>132</v>
      </c>
      <c r="J4" s="44" t="s">
        <v>133</v>
      </c>
      <c r="K4" s="44" t="s">
        <v>28</v>
      </c>
      <c r="L4" s="44" t="s">
        <v>27</v>
      </c>
      <c r="M4" s="44" t="s">
        <v>134</v>
      </c>
      <c r="N4" s="44" t="s">
        <v>135</v>
      </c>
      <c r="O4" s="45">
        <v>1</v>
      </c>
      <c r="P4" s="45">
        <v>0</v>
      </c>
      <c r="Q4" s="45">
        <v>0</v>
      </c>
      <c r="R4" s="45">
        <v>1</v>
      </c>
      <c r="S4" s="45">
        <v>100</v>
      </c>
      <c r="T4" s="45">
        <v>0</v>
      </c>
      <c r="U4" s="45">
        <v>0</v>
      </c>
      <c r="V4" s="45">
        <v>100</v>
      </c>
      <c r="W4" s="45">
        <v>0</v>
      </c>
      <c r="X4" s="45">
        <v>0</v>
      </c>
      <c r="Y4" s="45">
        <v>100</v>
      </c>
      <c r="Z4" s="45">
        <v>0</v>
      </c>
      <c r="AA4" s="45">
        <v>30</v>
      </c>
      <c r="AB4" s="45">
        <v>0</v>
      </c>
      <c r="AC4" s="45">
        <v>70</v>
      </c>
      <c r="AD4" s="44" t="s">
        <v>136</v>
      </c>
    </row>
    <row r="5" spans="1:30">
      <c r="A5" s="44" t="s">
        <v>125</v>
      </c>
      <c r="B5" s="44" t="s">
        <v>126</v>
      </c>
      <c r="C5" s="44" t="s">
        <v>127</v>
      </c>
      <c r="D5" s="44" t="s">
        <v>128</v>
      </c>
      <c r="E5" s="44" t="s">
        <v>31</v>
      </c>
      <c r="F5" s="44" t="s">
        <v>143</v>
      </c>
      <c r="G5" s="44" t="s">
        <v>144</v>
      </c>
      <c r="H5" s="44" t="s">
        <v>145</v>
      </c>
      <c r="I5" s="44" t="s">
        <v>132</v>
      </c>
      <c r="J5" s="44" t="s">
        <v>133</v>
      </c>
      <c r="K5" s="44" t="s">
        <v>28</v>
      </c>
      <c r="L5" s="44" t="s">
        <v>27</v>
      </c>
      <c r="M5" s="44" t="s">
        <v>134</v>
      </c>
      <c r="N5" s="44" t="s">
        <v>135</v>
      </c>
      <c r="O5" s="45">
        <v>1</v>
      </c>
      <c r="P5" s="45">
        <v>0</v>
      </c>
      <c r="Q5" s="45">
        <v>0</v>
      </c>
      <c r="R5" s="45">
        <v>1</v>
      </c>
      <c r="S5" s="45">
        <v>100</v>
      </c>
      <c r="T5" s="45">
        <v>0</v>
      </c>
      <c r="U5" s="45">
        <v>0</v>
      </c>
      <c r="V5" s="45">
        <v>100</v>
      </c>
      <c r="W5" s="45">
        <v>0</v>
      </c>
      <c r="X5" s="45">
        <v>0</v>
      </c>
      <c r="Y5" s="45">
        <v>100</v>
      </c>
      <c r="Z5" s="45">
        <v>0</v>
      </c>
      <c r="AA5" s="45">
        <v>30</v>
      </c>
      <c r="AB5" s="45">
        <v>0</v>
      </c>
      <c r="AC5" s="45">
        <v>70</v>
      </c>
      <c r="AD5" s="44" t="s">
        <v>136</v>
      </c>
    </row>
    <row r="6" spans="1:30">
      <c r="A6" s="44" t="s">
        <v>125</v>
      </c>
      <c r="B6" s="44" t="s">
        <v>126</v>
      </c>
      <c r="C6" s="44" t="s">
        <v>127</v>
      </c>
      <c r="D6" s="44" t="s">
        <v>128</v>
      </c>
      <c r="E6" s="44" t="s">
        <v>31</v>
      </c>
      <c r="F6" s="44" t="s">
        <v>146</v>
      </c>
      <c r="G6" s="44" t="s">
        <v>147</v>
      </c>
      <c r="H6" s="44" t="s">
        <v>148</v>
      </c>
      <c r="I6" s="44" t="s">
        <v>132</v>
      </c>
      <c r="J6" s="44" t="s">
        <v>133</v>
      </c>
      <c r="K6" s="44" t="s">
        <v>28</v>
      </c>
      <c r="L6" s="44" t="s">
        <v>27</v>
      </c>
      <c r="M6" s="44" t="s">
        <v>134</v>
      </c>
      <c r="N6" s="44" t="s">
        <v>135</v>
      </c>
      <c r="O6" s="45">
        <v>1</v>
      </c>
      <c r="P6" s="45">
        <v>0</v>
      </c>
      <c r="Q6" s="45">
        <v>0</v>
      </c>
      <c r="R6" s="45">
        <v>1</v>
      </c>
      <c r="S6" s="45">
        <v>100</v>
      </c>
      <c r="T6" s="45">
        <v>0</v>
      </c>
      <c r="U6" s="45">
        <v>0</v>
      </c>
      <c r="V6" s="45">
        <v>100</v>
      </c>
      <c r="W6" s="45">
        <v>0</v>
      </c>
      <c r="X6" s="45">
        <v>0</v>
      </c>
      <c r="Y6" s="45">
        <v>100</v>
      </c>
      <c r="Z6" s="45">
        <v>0</v>
      </c>
      <c r="AA6" s="45">
        <v>30</v>
      </c>
      <c r="AB6" s="45">
        <v>0</v>
      </c>
      <c r="AC6" s="45">
        <v>70</v>
      </c>
      <c r="AD6" s="44" t="s">
        <v>136</v>
      </c>
    </row>
    <row r="7" spans="1:30">
      <c r="A7" s="44" t="s">
        <v>125</v>
      </c>
      <c r="B7" s="44" t="s">
        <v>126</v>
      </c>
      <c r="C7" s="44" t="s">
        <v>127</v>
      </c>
      <c r="D7" s="44" t="s">
        <v>128</v>
      </c>
      <c r="E7" s="44" t="s">
        <v>31</v>
      </c>
      <c r="F7" s="44" t="s">
        <v>149</v>
      </c>
      <c r="G7" s="44" t="s">
        <v>150</v>
      </c>
      <c r="H7" s="44" t="s">
        <v>151</v>
      </c>
      <c r="I7" s="44" t="s">
        <v>132</v>
      </c>
      <c r="J7" s="44" t="s">
        <v>133</v>
      </c>
      <c r="K7" s="44" t="s">
        <v>28</v>
      </c>
      <c r="L7" s="44" t="s">
        <v>27</v>
      </c>
      <c r="M7" s="44" t="s">
        <v>134</v>
      </c>
      <c r="N7" s="44" t="s">
        <v>135</v>
      </c>
      <c r="O7" s="45">
        <v>1</v>
      </c>
      <c r="P7" s="45">
        <v>0</v>
      </c>
      <c r="Q7" s="45">
        <v>0</v>
      </c>
      <c r="R7" s="45">
        <v>1</v>
      </c>
      <c r="S7" s="45">
        <v>100</v>
      </c>
      <c r="T7" s="45">
        <v>0</v>
      </c>
      <c r="U7" s="45">
        <v>0</v>
      </c>
      <c r="V7" s="45">
        <v>100</v>
      </c>
      <c r="W7" s="45">
        <v>0</v>
      </c>
      <c r="X7" s="45">
        <v>0</v>
      </c>
      <c r="Y7" s="45">
        <v>100</v>
      </c>
      <c r="Z7" s="45">
        <v>0</v>
      </c>
      <c r="AA7" s="45">
        <v>30</v>
      </c>
      <c r="AB7" s="45">
        <v>0</v>
      </c>
      <c r="AC7" s="45">
        <v>70</v>
      </c>
      <c r="AD7" s="44" t="s">
        <v>136</v>
      </c>
    </row>
    <row r="8" spans="1:30">
      <c r="A8" s="44" t="s">
        <v>125</v>
      </c>
      <c r="B8" s="44" t="s">
        <v>126</v>
      </c>
      <c r="C8" s="44" t="s">
        <v>127</v>
      </c>
      <c r="D8" s="44" t="s">
        <v>128</v>
      </c>
      <c r="E8" s="44" t="s">
        <v>31</v>
      </c>
      <c r="F8" s="44" t="s">
        <v>152</v>
      </c>
      <c r="G8" s="44" t="s">
        <v>153</v>
      </c>
      <c r="H8" s="44" t="s">
        <v>154</v>
      </c>
      <c r="I8" s="44" t="s">
        <v>132</v>
      </c>
      <c r="J8" s="44" t="s">
        <v>133</v>
      </c>
      <c r="K8" s="44" t="s">
        <v>28</v>
      </c>
      <c r="L8" s="44" t="s">
        <v>27</v>
      </c>
      <c r="M8" s="44" t="s">
        <v>134</v>
      </c>
      <c r="N8" s="44" t="s">
        <v>135</v>
      </c>
      <c r="O8" s="45">
        <v>1</v>
      </c>
      <c r="P8" s="45">
        <v>0</v>
      </c>
      <c r="Q8" s="45">
        <v>0</v>
      </c>
      <c r="R8" s="45">
        <v>1</v>
      </c>
      <c r="S8" s="45">
        <v>100</v>
      </c>
      <c r="T8" s="45">
        <v>0</v>
      </c>
      <c r="U8" s="45">
        <v>0</v>
      </c>
      <c r="V8" s="45">
        <v>100</v>
      </c>
      <c r="W8" s="45">
        <v>0</v>
      </c>
      <c r="X8" s="45">
        <v>0</v>
      </c>
      <c r="Y8" s="45">
        <v>100</v>
      </c>
      <c r="Z8" s="45">
        <v>0</v>
      </c>
      <c r="AA8" s="45">
        <v>30</v>
      </c>
      <c r="AB8" s="45">
        <v>0</v>
      </c>
      <c r="AC8" s="45">
        <v>70</v>
      </c>
      <c r="AD8" s="44" t="s">
        <v>136</v>
      </c>
    </row>
    <row r="9" spans="1:30">
      <c r="A9" s="44" t="s">
        <v>125</v>
      </c>
      <c r="B9" s="44" t="s">
        <v>126</v>
      </c>
      <c r="C9" s="44" t="s">
        <v>127</v>
      </c>
      <c r="D9" s="44" t="s">
        <v>128</v>
      </c>
      <c r="E9" s="44" t="s">
        <v>31</v>
      </c>
      <c r="F9" s="44" t="s">
        <v>155</v>
      </c>
      <c r="G9" s="44" t="s">
        <v>156</v>
      </c>
      <c r="H9" s="44" t="s">
        <v>157</v>
      </c>
      <c r="I9" s="44" t="s">
        <v>132</v>
      </c>
      <c r="J9" s="44" t="s">
        <v>133</v>
      </c>
      <c r="K9" s="44" t="s">
        <v>28</v>
      </c>
      <c r="L9" s="44" t="s">
        <v>27</v>
      </c>
      <c r="M9" s="44" t="s">
        <v>134</v>
      </c>
      <c r="N9" s="44" t="s">
        <v>135</v>
      </c>
      <c r="O9" s="45">
        <v>1</v>
      </c>
      <c r="P9" s="45">
        <v>0</v>
      </c>
      <c r="Q9" s="45">
        <v>0</v>
      </c>
      <c r="R9" s="45">
        <v>1</v>
      </c>
      <c r="S9" s="45">
        <v>100</v>
      </c>
      <c r="T9" s="45">
        <v>0</v>
      </c>
      <c r="U9" s="45">
        <v>0</v>
      </c>
      <c r="V9" s="45">
        <v>100</v>
      </c>
      <c r="W9" s="45">
        <v>0</v>
      </c>
      <c r="X9" s="45">
        <v>0</v>
      </c>
      <c r="Y9" s="45">
        <v>100</v>
      </c>
      <c r="Z9" s="45">
        <v>0</v>
      </c>
      <c r="AA9" s="45">
        <v>30</v>
      </c>
      <c r="AB9" s="45">
        <v>0</v>
      </c>
      <c r="AC9" s="45">
        <v>70</v>
      </c>
      <c r="AD9" s="44" t="s">
        <v>136</v>
      </c>
    </row>
    <row r="10" spans="1:30">
      <c r="A10" s="44" t="s">
        <v>125</v>
      </c>
      <c r="B10" s="44" t="s">
        <v>126</v>
      </c>
      <c r="C10" s="44" t="s">
        <v>127</v>
      </c>
      <c r="D10" s="44" t="s">
        <v>128</v>
      </c>
      <c r="E10" s="44" t="s">
        <v>31</v>
      </c>
      <c r="F10" s="44" t="s">
        <v>158</v>
      </c>
      <c r="G10" s="44" t="s">
        <v>159</v>
      </c>
      <c r="H10" s="44" t="s">
        <v>160</v>
      </c>
      <c r="I10" s="44" t="s">
        <v>132</v>
      </c>
      <c r="J10" s="44" t="s">
        <v>133</v>
      </c>
      <c r="K10" s="44" t="s">
        <v>28</v>
      </c>
      <c r="L10" s="44" t="s">
        <v>27</v>
      </c>
      <c r="M10" s="44" t="s">
        <v>134</v>
      </c>
      <c r="N10" s="44" t="s">
        <v>135</v>
      </c>
      <c r="O10" s="45">
        <v>1</v>
      </c>
      <c r="P10" s="45">
        <v>0</v>
      </c>
      <c r="Q10" s="45">
        <v>0</v>
      </c>
      <c r="R10" s="45">
        <v>1</v>
      </c>
      <c r="S10" s="45">
        <v>100</v>
      </c>
      <c r="T10" s="45">
        <v>0</v>
      </c>
      <c r="U10" s="45">
        <v>0</v>
      </c>
      <c r="V10" s="45">
        <v>100</v>
      </c>
      <c r="W10" s="45">
        <v>0</v>
      </c>
      <c r="X10" s="45">
        <v>0</v>
      </c>
      <c r="Y10" s="45">
        <v>100</v>
      </c>
      <c r="Z10" s="45">
        <v>0</v>
      </c>
      <c r="AA10" s="45">
        <v>30</v>
      </c>
      <c r="AB10" s="45">
        <v>0</v>
      </c>
      <c r="AC10" s="45">
        <v>70</v>
      </c>
      <c r="AD10" s="44" t="s">
        <v>136</v>
      </c>
    </row>
    <row r="11" spans="1:30">
      <c r="A11" s="44" t="s">
        <v>125</v>
      </c>
      <c r="B11" s="44" t="s">
        <v>126</v>
      </c>
      <c r="C11" s="44" t="s">
        <v>127</v>
      </c>
      <c r="D11" s="44" t="s">
        <v>128</v>
      </c>
      <c r="E11" s="44" t="s">
        <v>31</v>
      </c>
      <c r="F11" s="44" t="s">
        <v>161</v>
      </c>
      <c r="G11" s="44" t="s">
        <v>162</v>
      </c>
      <c r="H11" s="44" t="s">
        <v>163</v>
      </c>
      <c r="I11" s="44" t="s">
        <v>132</v>
      </c>
      <c r="J11" s="44" t="s">
        <v>133</v>
      </c>
      <c r="K11" s="44" t="s">
        <v>28</v>
      </c>
      <c r="L11" s="44" t="s">
        <v>27</v>
      </c>
      <c r="M11" s="44" t="s">
        <v>134</v>
      </c>
      <c r="N11" s="44" t="s">
        <v>135</v>
      </c>
      <c r="O11" s="45">
        <v>1</v>
      </c>
      <c r="P11" s="45">
        <v>0</v>
      </c>
      <c r="Q11" s="45">
        <v>0</v>
      </c>
      <c r="R11" s="45">
        <v>1</v>
      </c>
      <c r="S11" s="45">
        <v>100</v>
      </c>
      <c r="T11" s="45">
        <v>0</v>
      </c>
      <c r="U11" s="45">
        <v>0</v>
      </c>
      <c r="V11" s="45">
        <v>100</v>
      </c>
      <c r="W11" s="45">
        <v>0</v>
      </c>
      <c r="X11" s="45">
        <v>0</v>
      </c>
      <c r="Y11" s="45">
        <v>100</v>
      </c>
      <c r="Z11" s="45">
        <v>0</v>
      </c>
      <c r="AA11" s="45">
        <v>30</v>
      </c>
      <c r="AB11" s="45">
        <v>0</v>
      </c>
      <c r="AC11" s="45">
        <v>70</v>
      </c>
      <c r="AD11" s="44" t="s">
        <v>136</v>
      </c>
    </row>
    <row r="12" spans="1:30">
      <c r="A12" s="44" t="s">
        <v>125</v>
      </c>
      <c r="B12" s="44" t="s">
        <v>126</v>
      </c>
      <c r="C12" s="44" t="s">
        <v>127</v>
      </c>
      <c r="D12" s="44" t="s">
        <v>128</v>
      </c>
      <c r="E12" s="44" t="s">
        <v>31</v>
      </c>
      <c r="F12" s="44" t="s">
        <v>164</v>
      </c>
      <c r="G12" s="44" t="s">
        <v>165</v>
      </c>
      <c r="H12" s="44" t="s">
        <v>166</v>
      </c>
      <c r="I12" s="44" t="s">
        <v>132</v>
      </c>
      <c r="J12" s="44" t="s">
        <v>133</v>
      </c>
      <c r="K12" s="44" t="s">
        <v>28</v>
      </c>
      <c r="L12" s="44" t="s">
        <v>27</v>
      </c>
      <c r="M12" s="44" t="s">
        <v>134</v>
      </c>
      <c r="N12" s="44" t="s">
        <v>135</v>
      </c>
      <c r="O12" s="45">
        <v>1</v>
      </c>
      <c r="P12" s="45">
        <v>0</v>
      </c>
      <c r="Q12" s="45">
        <v>0</v>
      </c>
      <c r="R12" s="45">
        <v>1</v>
      </c>
      <c r="S12" s="45">
        <v>100</v>
      </c>
      <c r="T12" s="45">
        <v>0</v>
      </c>
      <c r="U12" s="45">
        <v>0</v>
      </c>
      <c r="V12" s="45">
        <v>100</v>
      </c>
      <c r="W12" s="45">
        <v>0</v>
      </c>
      <c r="X12" s="45">
        <v>0</v>
      </c>
      <c r="Y12" s="45">
        <v>100</v>
      </c>
      <c r="Z12" s="45">
        <v>0</v>
      </c>
      <c r="AA12" s="45">
        <v>30</v>
      </c>
      <c r="AB12" s="45">
        <v>0</v>
      </c>
      <c r="AC12" s="45">
        <v>70</v>
      </c>
      <c r="AD12" s="44" t="s">
        <v>136</v>
      </c>
    </row>
    <row r="13" spans="1:30">
      <c r="A13" s="44" t="s">
        <v>125</v>
      </c>
      <c r="B13" s="44" t="s">
        <v>126</v>
      </c>
      <c r="C13" s="44" t="s">
        <v>127</v>
      </c>
      <c r="D13" s="44" t="s">
        <v>128</v>
      </c>
      <c r="E13" s="44" t="s">
        <v>31</v>
      </c>
      <c r="F13" s="44" t="s">
        <v>167</v>
      </c>
      <c r="G13" s="44" t="s">
        <v>168</v>
      </c>
      <c r="H13" s="44" t="s">
        <v>169</v>
      </c>
      <c r="I13" s="44" t="s">
        <v>132</v>
      </c>
      <c r="J13" s="44" t="s">
        <v>133</v>
      </c>
      <c r="K13" s="44" t="s">
        <v>28</v>
      </c>
      <c r="L13" s="44" t="s">
        <v>27</v>
      </c>
      <c r="M13" s="44" t="s">
        <v>134</v>
      </c>
      <c r="N13" s="44" t="s">
        <v>135</v>
      </c>
      <c r="O13" s="45">
        <v>1</v>
      </c>
      <c r="P13" s="45">
        <v>0</v>
      </c>
      <c r="Q13" s="45">
        <v>0</v>
      </c>
      <c r="R13" s="45">
        <v>1</v>
      </c>
      <c r="S13" s="45">
        <v>100</v>
      </c>
      <c r="T13" s="45">
        <v>0</v>
      </c>
      <c r="U13" s="45">
        <v>0</v>
      </c>
      <c r="V13" s="45">
        <v>100</v>
      </c>
      <c r="W13" s="45">
        <v>0</v>
      </c>
      <c r="X13" s="45">
        <v>0</v>
      </c>
      <c r="Y13" s="45">
        <v>100</v>
      </c>
      <c r="Z13" s="45">
        <v>0</v>
      </c>
      <c r="AA13" s="45">
        <v>30</v>
      </c>
      <c r="AB13" s="45">
        <v>0</v>
      </c>
      <c r="AC13" s="45">
        <v>70</v>
      </c>
      <c r="AD13" s="44" t="s">
        <v>136</v>
      </c>
    </row>
    <row r="14" spans="1:30">
      <c r="A14" s="44" t="s">
        <v>125</v>
      </c>
      <c r="B14" s="44" t="s">
        <v>126</v>
      </c>
      <c r="C14" s="44" t="s">
        <v>127</v>
      </c>
      <c r="D14" s="44" t="s">
        <v>128</v>
      </c>
      <c r="E14" s="44" t="s">
        <v>31</v>
      </c>
      <c r="F14" s="44" t="s">
        <v>170</v>
      </c>
      <c r="G14" s="44" t="s">
        <v>171</v>
      </c>
      <c r="H14" s="44" t="s">
        <v>172</v>
      </c>
      <c r="I14" s="44" t="s">
        <v>132</v>
      </c>
      <c r="J14" s="44" t="s">
        <v>133</v>
      </c>
      <c r="K14" s="44" t="s">
        <v>28</v>
      </c>
      <c r="L14" s="44" t="s">
        <v>27</v>
      </c>
      <c r="M14" s="44" t="s">
        <v>134</v>
      </c>
      <c r="N14" s="44" t="s">
        <v>135</v>
      </c>
      <c r="O14" s="45">
        <v>1</v>
      </c>
      <c r="P14" s="45">
        <v>0</v>
      </c>
      <c r="Q14" s="45">
        <v>0</v>
      </c>
      <c r="R14" s="45">
        <v>1</v>
      </c>
      <c r="S14" s="45">
        <v>100</v>
      </c>
      <c r="T14" s="45">
        <v>0</v>
      </c>
      <c r="U14" s="45">
        <v>0</v>
      </c>
      <c r="V14" s="45">
        <v>100</v>
      </c>
      <c r="W14" s="45">
        <v>0</v>
      </c>
      <c r="X14" s="45">
        <v>0</v>
      </c>
      <c r="Y14" s="45">
        <v>100</v>
      </c>
      <c r="Z14" s="45">
        <v>0</v>
      </c>
      <c r="AA14" s="45">
        <v>30</v>
      </c>
      <c r="AB14" s="45">
        <v>0</v>
      </c>
      <c r="AC14" s="45">
        <v>70</v>
      </c>
      <c r="AD14" s="44" t="s">
        <v>136</v>
      </c>
    </row>
    <row r="15" spans="1:30">
      <c r="A15" s="44" t="s">
        <v>125</v>
      </c>
      <c r="B15" s="44" t="s">
        <v>126</v>
      </c>
      <c r="C15" s="44" t="s">
        <v>127</v>
      </c>
      <c r="D15" s="44" t="s">
        <v>128</v>
      </c>
      <c r="E15" s="44" t="s">
        <v>31</v>
      </c>
      <c r="F15" s="44" t="s">
        <v>173</v>
      </c>
      <c r="G15" s="44" t="s">
        <v>174</v>
      </c>
      <c r="H15" s="44" t="s">
        <v>175</v>
      </c>
      <c r="I15" s="44" t="s">
        <v>132</v>
      </c>
      <c r="J15" s="44" t="s">
        <v>133</v>
      </c>
      <c r="K15" s="44" t="s">
        <v>28</v>
      </c>
      <c r="L15" s="44" t="s">
        <v>27</v>
      </c>
      <c r="M15" s="44" t="s">
        <v>134</v>
      </c>
      <c r="N15" s="44" t="s">
        <v>135</v>
      </c>
      <c r="O15" s="45">
        <v>1</v>
      </c>
      <c r="P15" s="45">
        <v>0</v>
      </c>
      <c r="Q15" s="45">
        <v>0</v>
      </c>
      <c r="R15" s="45">
        <v>1</v>
      </c>
      <c r="S15" s="45">
        <v>100</v>
      </c>
      <c r="T15" s="45">
        <v>0</v>
      </c>
      <c r="U15" s="45">
        <v>0</v>
      </c>
      <c r="V15" s="45">
        <v>100</v>
      </c>
      <c r="W15" s="45">
        <v>0</v>
      </c>
      <c r="X15" s="45">
        <v>0</v>
      </c>
      <c r="Y15" s="45">
        <v>100</v>
      </c>
      <c r="Z15" s="45">
        <v>0</v>
      </c>
      <c r="AA15" s="45">
        <v>30</v>
      </c>
      <c r="AB15" s="45">
        <v>0</v>
      </c>
      <c r="AC15" s="45">
        <v>70</v>
      </c>
      <c r="AD15" s="44" t="s">
        <v>136</v>
      </c>
    </row>
    <row r="16" spans="1:30">
      <c r="A16" s="44" t="s">
        <v>125</v>
      </c>
      <c r="B16" s="44" t="s">
        <v>126</v>
      </c>
      <c r="C16" s="44" t="s">
        <v>127</v>
      </c>
      <c r="D16" s="44" t="s">
        <v>128</v>
      </c>
      <c r="E16" s="44" t="s">
        <v>31</v>
      </c>
      <c r="F16" s="44" t="s">
        <v>176</v>
      </c>
      <c r="G16" s="44" t="s">
        <v>177</v>
      </c>
      <c r="H16" s="44" t="s">
        <v>178</v>
      </c>
      <c r="I16" s="44" t="s">
        <v>132</v>
      </c>
      <c r="J16" s="44" t="s">
        <v>133</v>
      </c>
      <c r="K16" s="44" t="s">
        <v>28</v>
      </c>
      <c r="L16" s="44" t="s">
        <v>27</v>
      </c>
      <c r="M16" s="44" t="s">
        <v>134</v>
      </c>
      <c r="N16" s="44" t="s">
        <v>135</v>
      </c>
      <c r="O16" s="45">
        <v>1</v>
      </c>
      <c r="P16" s="45">
        <v>0</v>
      </c>
      <c r="Q16" s="45">
        <v>0</v>
      </c>
      <c r="R16" s="45">
        <v>1</v>
      </c>
      <c r="S16" s="45">
        <v>100</v>
      </c>
      <c r="T16" s="45">
        <v>0</v>
      </c>
      <c r="U16" s="45">
        <v>0</v>
      </c>
      <c r="V16" s="45">
        <v>100</v>
      </c>
      <c r="W16" s="45">
        <v>0</v>
      </c>
      <c r="X16" s="45">
        <v>0</v>
      </c>
      <c r="Y16" s="45">
        <v>100</v>
      </c>
      <c r="Z16" s="45">
        <v>0</v>
      </c>
      <c r="AA16" s="45">
        <v>30</v>
      </c>
      <c r="AB16" s="45">
        <v>0</v>
      </c>
      <c r="AC16" s="45">
        <v>70</v>
      </c>
      <c r="AD16" s="44" t="s">
        <v>136</v>
      </c>
    </row>
    <row r="17" spans="1:30">
      <c r="A17" s="44" t="s">
        <v>125</v>
      </c>
      <c r="B17" s="44" t="s">
        <v>126</v>
      </c>
      <c r="C17" s="44" t="s">
        <v>127</v>
      </c>
      <c r="D17" s="44" t="s">
        <v>128</v>
      </c>
      <c r="E17" s="44" t="s">
        <v>31</v>
      </c>
      <c r="F17" s="44" t="s">
        <v>179</v>
      </c>
      <c r="G17" s="44" t="s">
        <v>180</v>
      </c>
      <c r="H17" s="44" t="s">
        <v>181</v>
      </c>
      <c r="I17" s="44" t="s">
        <v>132</v>
      </c>
      <c r="J17" s="44" t="s">
        <v>133</v>
      </c>
      <c r="K17" s="44" t="s">
        <v>28</v>
      </c>
      <c r="L17" s="44" t="s">
        <v>27</v>
      </c>
      <c r="M17" s="44" t="s">
        <v>134</v>
      </c>
      <c r="N17" s="44" t="s">
        <v>135</v>
      </c>
      <c r="O17" s="45">
        <v>1</v>
      </c>
      <c r="P17" s="45">
        <v>0</v>
      </c>
      <c r="Q17" s="45">
        <v>0</v>
      </c>
      <c r="R17" s="45">
        <v>1</v>
      </c>
      <c r="S17" s="45">
        <v>100</v>
      </c>
      <c r="T17" s="45">
        <v>0</v>
      </c>
      <c r="U17" s="45">
        <v>0</v>
      </c>
      <c r="V17" s="45">
        <v>100</v>
      </c>
      <c r="W17" s="45">
        <v>0</v>
      </c>
      <c r="X17" s="45">
        <v>0</v>
      </c>
      <c r="Y17" s="45">
        <v>100</v>
      </c>
      <c r="Z17" s="45">
        <v>0</v>
      </c>
      <c r="AA17" s="45">
        <v>30</v>
      </c>
      <c r="AB17" s="45">
        <v>0</v>
      </c>
      <c r="AC17" s="45">
        <v>70</v>
      </c>
      <c r="AD17" s="44" t="s">
        <v>136</v>
      </c>
    </row>
    <row r="18" spans="1:30">
      <c r="A18" s="44" t="s">
        <v>125</v>
      </c>
      <c r="B18" s="44" t="s">
        <v>126</v>
      </c>
      <c r="C18" s="44" t="s">
        <v>127</v>
      </c>
      <c r="D18" s="44" t="s">
        <v>128</v>
      </c>
      <c r="E18" s="44" t="s">
        <v>31</v>
      </c>
      <c r="F18" s="44" t="s">
        <v>182</v>
      </c>
      <c r="G18" s="44" t="s">
        <v>183</v>
      </c>
      <c r="H18" s="44" t="s">
        <v>184</v>
      </c>
      <c r="I18" s="44" t="s">
        <v>132</v>
      </c>
      <c r="J18" s="44" t="s">
        <v>133</v>
      </c>
      <c r="K18" s="44" t="s">
        <v>28</v>
      </c>
      <c r="L18" s="44" t="s">
        <v>27</v>
      </c>
      <c r="M18" s="44" t="s">
        <v>134</v>
      </c>
      <c r="N18" s="44" t="s">
        <v>135</v>
      </c>
      <c r="O18" s="45">
        <v>1</v>
      </c>
      <c r="P18" s="45">
        <v>0</v>
      </c>
      <c r="Q18" s="45">
        <v>0</v>
      </c>
      <c r="R18" s="45">
        <v>1</v>
      </c>
      <c r="S18" s="45">
        <v>100</v>
      </c>
      <c r="T18" s="45">
        <v>0</v>
      </c>
      <c r="U18" s="45">
        <v>0</v>
      </c>
      <c r="V18" s="45">
        <v>100</v>
      </c>
      <c r="W18" s="45">
        <v>0</v>
      </c>
      <c r="X18" s="45">
        <v>0</v>
      </c>
      <c r="Y18" s="45">
        <v>100</v>
      </c>
      <c r="Z18" s="45">
        <v>0</v>
      </c>
      <c r="AA18" s="45">
        <v>30</v>
      </c>
      <c r="AB18" s="45">
        <v>0</v>
      </c>
      <c r="AC18" s="45">
        <v>70</v>
      </c>
      <c r="AD18" s="44" t="s">
        <v>136</v>
      </c>
    </row>
    <row r="19" spans="1:30">
      <c r="A19" s="44" t="s">
        <v>125</v>
      </c>
      <c r="B19" s="44" t="s">
        <v>126</v>
      </c>
      <c r="C19" s="44" t="s">
        <v>127</v>
      </c>
      <c r="D19" s="44" t="s">
        <v>128</v>
      </c>
      <c r="E19" s="44" t="s">
        <v>31</v>
      </c>
      <c r="F19" s="44" t="s">
        <v>185</v>
      </c>
      <c r="G19" s="44" t="s">
        <v>186</v>
      </c>
      <c r="H19" s="44" t="s">
        <v>187</v>
      </c>
      <c r="I19" s="44" t="s">
        <v>132</v>
      </c>
      <c r="J19" s="44" t="s">
        <v>133</v>
      </c>
      <c r="K19" s="44" t="s">
        <v>28</v>
      </c>
      <c r="L19" s="44" t="s">
        <v>27</v>
      </c>
      <c r="M19" s="44" t="s">
        <v>134</v>
      </c>
      <c r="N19" s="44" t="s">
        <v>135</v>
      </c>
      <c r="O19" s="45">
        <v>1</v>
      </c>
      <c r="P19" s="45">
        <v>0</v>
      </c>
      <c r="Q19" s="45">
        <v>0</v>
      </c>
      <c r="R19" s="45">
        <v>1</v>
      </c>
      <c r="S19" s="45">
        <v>100</v>
      </c>
      <c r="T19" s="45">
        <v>0</v>
      </c>
      <c r="U19" s="45">
        <v>0</v>
      </c>
      <c r="V19" s="45">
        <v>100</v>
      </c>
      <c r="W19" s="45">
        <v>0</v>
      </c>
      <c r="X19" s="45">
        <v>0</v>
      </c>
      <c r="Y19" s="45">
        <v>100</v>
      </c>
      <c r="Z19" s="45">
        <v>0</v>
      </c>
      <c r="AA19" s="45">
        <v>30</v>
      </c>
      <c r="AB19" s="45">
        <v>0</v>
      </c>
      <c r="AC19" s="45">
        <v>70</v>
      </c>
      <c r="AD19" s="44" t="s">
        <v>136</v>
      </c>
    </row>
    <row r="20" spans="1:30">
      <c r="A20" s="44" t="s">
        <v>125</v>
      </c>
      <c r="B20" s="44" t="s">
        <v>126</v>
      </c>
      <c r="C20" s="44" t="s">
        <v>127</v>
      </c>
      <c r="D20" s="44" t="s">
        <v>128</v>
      </c>
      <c r="E20" s="44" t="s">
        <v>31</v>
      </c>
      <c r="F20" s="44" t="s">
        <v>188</v>
      </c>
      <c r="G20" s="44" t="s">
        <v>189</v>
      </c>
      <c r="H20" s="44" t="s">
        <v>190</v>
      </c>
      <c r="I20" s="44" t="s">
        <v>132</v>
      </c>
      <c r="J20" s="44" t="s">
        <v>133</v>
      </c>
      <c r="K20" s="44" t="s">
        <v>28</v>
      </c>
      <c r="L20" s="44" t="s">
        <v>27</v>
      </c>
      <c r="M20" s="44" t="s">
        <v>134</v>
      </c>
      <c r="N20" s="44" t="s">
        <v>135</v>
      </c>
      <c r="O20" s="45">
        <v>1</v>
      </c>
      <c r="P20" s="45">
        <v>0</v>
      </c>
      <c r="Q20" s="45">
        <v>0</v>
      </c>
      <c r="R20" s="45">
        <v>1</v>
      </c>
      <c r="S20" s="45">
        <v>100</v>
      </c>
      <c r="T20" s="45">
        <v>0</v>
      </c>
      <c r="U20" s="45">
        <v>0</v>
      </c>
      <c r="V20" s="45">
        <v>100</v>
      </c>
      <c r="W20" s="45">
        <v>0</v>
      </c>
      <c r="X20" s="45">
        <v>0</v>
      </c>
      <c r="Y20" s="45">
        <v>100</v>
      </c>
      <c r="Z20" s="45">
        <v>0</v>
      </c>
      <c r="AA20" s="45">
        <v>30</v>
      </c>
      <c r="AB20" s="45">
        <v>0</v>
      </c>
      <c r="AC20" s="45">
        <v>70</v>
      </c>
      <c r="AD20" s="44" t="s">
        <v>136</v>
      </c>
    </row>
    <row r="21" spans="1:30">
      <c r="A21" s="44" t="s">
        <v>125</v>
      </c>
      <c r="B21" s="44" t="s">
        <v>126</v>
      </c>
      <c r="C21" s="44" t="s">
        <v>127</v>
      </c>
      <c r="D21" s="44" t="s">
        <v>128</v>
      </c>
      <c r="E21" s="44" t="s">
        <v>31</v>
      </c>
      <c r="F21" s="44" t="s">
        <v>191</v>
      </c>
      <c r="G21" s="44" t="s">
        <v>192</v>
      </c>
      <c r="H21" s="44" t="s">
        <v>193</v>
      </c>
      <c r="I21" s="44" t="s">
        <v>132</v>
      </c>
      <c r="J21" s="44" t="s">
        <v>133</v>
      </c>
      <c r="K21" s="44" t="s">
        <v>28</v>
      </c>
      <c r="L21" s="44" t="s">
        <v>27</v>
      </c>
      <c r="M21" s="44" t="s">
        <v>134</v>
      </c>
      <c r="N21" s="44" t="s">
        <v>135</v>
      </c>
      <c r="O21" s="45">
        <v>1</v>
      </c>
      <c r="P21" s="45">
        <v>0</v>
      </c>
      <c r="Q21" s="45">
        <v>0</v>
      </c>
      <c r="R21" s="45">
        <v>1</v>
      </c>
      <c r="S21" s="45">
        <v>100</v>
      </c>
      <c r="T21" s="45">
        <v>0</v>
      </c>
      <c r="U21" s="45">
        <v>0</v>
      </c>
      <c r="V21" s="45">
        <v>100</v>
      </c>
      <c r="W21" s="45">
        <v>0</v>
      </c>
      <c r="X21" s="45">
        <v>0</v>
      </c>
      <c r="Y21" s="45">
        <v>100</v>
      </c>
      <c r="Z21" s="45">
        <v>0</v>
      </c>
      <c r="AA21" s="45">
        <v>30</v>
      </c>
      <c r="AB21" s="45">
        <v>0</v>
      </c>
      <c r="AC21" s="45">
        <v>70</v>
      </c>
      <c r="AD21" s="44" t="s">
        <v>136</v>
      </c>
    </row>
    <row r="22" spans="1:30">
      <c r="A22" s="44" t="s">
        <v>125</v>
      </c>
      <c r="B22" s="44" t="s">
        <v>126</v>
      </c>
      <c r="C22" s="44" t="s">
        <v>127</v>
      </c>
      <c r="D22" s="44" t="s">
        <v>194</v>
      </c>
      <c r="E22" s="44" t="s">
        <v>95</v>
      </c>
      <c r="F22" s="44" t="s">
        <v>95</v>
      </c>
      <c r="G22" s="44" t="s">
        <v>195</v>
      </c>
      <c r="H22" s="44" t="s">
        <v>196</v>
      </c>
      <c r="I22" s="44" t="s">
        <v>132</v>
      </c>
      <c r="J22" s="44" t="s">
        <v>133</v>
      </c>
      <c r="K22" s="44" t="s">
        <v>28</v>
      </c>
      <c r="L22" s="44" t="s">
        <v>27</v>
      </c>
      <c r="M22" s="44" t="s">
        <v>134</v>
      </c>
      <c r="N22" s="44" t="s">
        <v>197</v>
      </c>
      <c r="O22" s="45">
        <v>1</v>
      </c>
      <c r="P22" s="45">
        <v>0</v>
      </c>
      <c r="Q22" s="45">
        <v>0</v>
      </c>
      <c r="R22" s="45">
        <v>1</v>
      </c>
      <c r="S22" s="45">
        <v>16000</v>
      </c>
      <c r="T22" s="45">
        <v>0</v>
      </c>
      <c r="U22" s="45">
        <v>0</v>
      </c>
      <c r="V22" s="45">
        <v>16000</v>
      </c>
      <c r="W22" s="45">
        <v>15200</v>
      </c>
      <c r="X22" s="45">
        <v>0</v>
      </c>
      <c r="Y22" s="45">
        <v>800</v>
      </c>
      <c r="Z22" s="45">
        <v>4560</v>
      </c>
      <c r="AA22" s="45">
        <v>240</v>
      </c>
      <c r="AB22" s="45">
        <v>0</v>
      </c>
      <c r="AC22" s="45">
        <v>11200</v>
      </c>
      <c r="AD22" s="44" t="s">
        <v>136</v>
      </c>
    </row>
    <row r="23" spans="1:30">
      <c r="A23" s="44" t="s">
        <v>125</v>
      </c>
      <c r="B23" s="44" t="s">
        <v>126</v>
      </c>
      <c r="C23" s="44" t="s">
        <v>127</v>
      </c>
      <c r="D23" s="44" t="s">
        <v>194</v>
      </c>
      <c r="E23" s="44" t="s">
        <v>95</v>
      </c>
      <c r="F23" s="44" t="s">
        <v>198</v>
      </c>
      <c r="G23" s="44" t="s">
        <v>199</v>
      </c>
      <c r="H23" s="44" t="s">
        <v>200</v>
      </c>
      <c r="I23" s="44" t="s">
        <v>132</v>
      </c>
      <c r="J23" s="44" t="s">
        <v>133</v>
      </c>
      <c r="K23" s="44" t="s">
        <v>28</v>
      </c>
      <c r="L23" s="44" t="s">
        <v>27</v>
      </c>
      <c r="M23" s="44" t="s">
        <v>134</v>
      </c>
      <c r="N23" s="44" t="s">
        <v>197</v>
      </c>
      <c r="O23" s="45">
        <v>1</v>
      </c>
      <c r="P23" s="45">
        <v>0</v>
      </c>
      <c r="Q23" s="45">
        <v>0</v>
      </c>
      <c r="R23" s="45">
        <v>1</v>
      </c>
      <c r="S23" s="45">
        <v>3200</v>
      </c>
      <c r="T23" s="45">
        <v>0</v>
      </c>
      <c r="U23" s="45">
        <v>0</v>
      </c>
      <c r="V23" s="45">
        <v>3200</v>
      </c>
      <c r="W23" s="45">
        <v>3200</v>
      </c>
      <c r="X23" s="45">
        <v>0</v>
      </c>
      <c r="Y23" s="45">
        <v>0</v>
      </c>
      <c r="Z23" s="45">
        <v>960</v>
      </c>
      <c r="AA23" s="45">
        <v>0</v>
      </c>
      <c r="AB23" s="45">
        <v>0</v>
      </c>
      <c r="AC23" s="45">
        <v>2240</v>
      </c>
      <c r="AD23" s="44" t="s">
        <v>136</v>
      </c>
    </row>
    <row r="24" spans="1:30">
      <c r="A24" s="44" t="s">
        <v>125</v>
      </c>
      <c r="B24" s="44" t="s">
        <v>126</v>
      </c>
      <c r="C24" s="44" t="s">
        <v>127</v>
      </c>
      <c r="D24" s="44" t="s">
        <v>194</v>
      </c>
      <c r="E24" s="44" t="s">
        <v>95</v>
      </c>
      <c r="F24" s="44" t="s">
        <v>201</v>
      </c>
      <c r="G24" s="44" t="s">
        <v>202</v>
      </c>
      <c r="H24" s="44" t="s">
        <v>203</v>
      </c>
      <c r="I24" s="44" t="s">
        <v>132</v>
      </c>
      <c r="J24" s="44" t="s">
        <v>133</v>
      </c>
      <c r="K24" s="44" t="s">
        <v>28</v>
      </c>
      <c r="L24" s="44" t="s">
        <v>27</v>
      </c>
      <c r="M24" s="44" t="s">
        <v>134</v>
      </c>
      <c r="N24" s="44" t="s">
        <v>197</v>
      </c>
      <c r="O24" s="45">
        <v>1</v>
      </c>
      <c r="P24" s="45">
        <v>0</v>
      </c>
      <c r="Q24" s="45">
        <v>0</v>
      </c>
      <c r="R24" s="45">
        <v>1</v>
      </c>
      <c r="S24" s="45">
        <v>3200</v>
      </c>
      <c r="T24" s="45">
        <v>0</v>
      </c>
      <c r="U24" s="45">
        <v>0</v>
      </c>
      <c r="V24" s="45">
        <v>3200</v>
      </c>
      <c r="W24" s="45">
        <v>3200</v>
      </c>
      <c r="X24" s="45">
        <v>0</v>
      </c>
      <c r="Y24" s="45">
        <v>0</v>
      </c>
      <c r="Z24" s="45">
        <v>960</v>
      </c>
      <c r="AA24" s="45">
        <v>0</v>
      </c>
      <c r="AB24" s="45">
        <v>0</v>
      </c>
      <c r="AC24" s="45">
        <v>2240</v>
      </c>
      <c r="AD24" s="44" t="s">
        <v>136</v>
      </c>
    </row>
    <row r="25" spans="1:30">
      <c r="AC25" s="72">
        <f>SUM(AC2:AC24)</f>
        <v>17080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10" sqref="J10:J15"/>
    </sheetView>
  </sheetViews>
  <sheetFormatPr defaultRowHeight="17.399999999999999"/>
  <cols>
    <col min="1" max="1" width="19.59765625" bestFit="1" customWidth="1"/>
    <col min="2" max="2" width="8.59765625" bestFit="1" customWidth="1"/>
    <col min="3" max="3" width="12.39843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>
      <c r="A1" s="46" t="s">
        <v>59</v>
      </c>
      <c r="B1" s="46" t="s">
        <v>48</v>
      </c>
      <c r="C1" s="46" t="s">
        <v>5</v>
      </c>
      <c r="D1" s="46" t="s">
        <v>205</v>
      </c>
      <c r="E1" s="46" t="s">
        <v>110</v>
      </c>
      <c r="F1" s="46" t="s">
        <v>206</v>
      </c>
      <c r="G1" s="47" t="s">
        <v>207</v>
      </c>
      <c r="H1" s="48" t="s">
        <v>208</v>
      </c>
    </row>
    <row r="2" spans="1:8">
      <c r="A2" t="s">
        <v>31</v>
      </c>
      <c r="B2">
        <v>1593995</v>
      </c>
      <c r="C2" t="s">
        <v>27</v>
      </c>
      <c r="D2">
        <v>100</v>
      </c>
      <c r="E2">
        <v>129</v>
      </c>
      <c r="F2" s="49">
        <v>0.6</v>
      </c>
      <c r="G2">
        <v>7740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opLeftCell="A10" workbookViewId="0">
      <selection activeCell="O3" sqref="O3"/>
    </sheetView>
  </sheetViews>
  <sheetFormatPr defaultRowHeight="17.399999999999999"/>
  <cols>
    <col min="1" max="1" width="4.09765625" bestFit="1" customWidth="1"/>
    <col min="2" max="2" width="7.3984375" bestFit="1" customWidth="1"/>
    <col min="3" max="3" width="5.3984375" bestFit="1" customWidth="1"/>
    <col min="4" max="5" width="7.3984375" bestFit="1" customWidth="1"/>
    <col min="6" max="6" width="5.3984375" bestFit="1" customWidth="1"/>
    <col min="7" max="7" width="8.09765625" bestFit="1" customWidth="1"/>
    <col min="8" max="11" width="5.3984375" bestFit="1" customWidth="1"/>
    <col min="12" max="12" width="8.09765625" bestFit="1" customWidth="1"/>
  </cols>
  <sheetData>
    <row r="1" spans="1:12">
      <c r="A1" s="50" t="s">
        <v>210</v>
      </c>
      <c r="B1" s="50" t="s">
        <v>211</v>
      </c>
      <c r="C1" s="50" t="s">
        <v>45</v>
      </c>
      <c r="D1" s="50" t="s">
        <v>6</v>
      </c>
      <c r="E1" s="51" t="s">
        <v>5</v>
      </c>
      <c r="F1" s="50" t="s">
        <v>212</v>
      </c>
      <c r="G1" s="50" t="s">
        <v>213</v>
      </c>
      <c r="H1" s="50" t="s">
        <v>214</v>
      </c>
      <c r="I1" s="50" t="s">
        <v>215</v>
      </c>
      <c r="J1" s="50" t="s">
        <v>216</v>
      </c>
      <c r="K1" s="50" t="s">
        <v>217</v>
      </c>
      <c r="L1" s="52" t="s">
        <v>218</v>
      </c>
    </row>
    <row r="2" spans="1:12" ht="63" thickBot="1">
      <c r="A2" s="53"/>
      <c r="B2" s="54" t="s">
        <v>28</v>
      </c>
      <c r="C2" s="54" t="s">
        <v>219</v>
      </c>
      <c r="D2" s="54" t="s">
        <v>28</v>
      </c>
      <c r="E2" s="54" t="s">
        <v>27</v>
      </c>
      <c r="F2" s="54" t="s">
        <v>50</v>
      </c>
      <c r="G2" s="55" t="s">
        <v>220</v>
      </c>
      <c r="H2" s="54">
        <v>24</v>
      </c>
      <c r="I2" s="54">
        <v>100</v>
      </c>
      <c r="J2" s="54">
        <v>1</v>
      </c>
      <c r="K2" s="56">
        <v>100</v>
      </c>
      <c r="L2" s="57">
        <v>70</v>
      </c>
    </row>
    <row r="3" spans="1:12" ht="63" thickBot="1">
      <c r="A3" s="53"/>
      <c r="B3" s="54" t="s">
        <v>28</v>
      </c>
      <c r="C3" s="54" t="s">
        <v>219</v>
      </c>
      <c r="D3" s="54" t="s">
        <v>28</v>
      </c>
      <c r="E3" s="54" t="s">
        <v>27</v>
      </c>
      <c r="F3" s="54" t="s">
        <v>50</v>
      </c>
      <c r="G3" s="55" t="s">
        <v>220</v>
      </c>
      <c r="H3" s="54">
        <v>25</v>
      </c>
      <c r="I3" s="54">
        <v>100</v>
      </c>
      <c r="J3" s="54">
        <v>1</v>
      </c>
      <c r="K3" s="56">
        <v>100</v>
      </c>
      <c r="L3" s="57">
        <v>70</v>
      </c>
    </row>
    <row r="4" spans="1:12" ht="63" thickBot="1">
      <c r="A4" s="53"/>
      <c r="B4" s="54" t="s">
        <v>28</v>
      </c>
      <c r="C4" s="54" t="s">
        <v>219</v>
      </c>
      <c r="D4" s="54" t="s">
        <v>28</v>
      </c>
      <c r="E4" s="54" t="s">
        <v>27</v>
      </c>
      <c r="F4" s="54" t="s">
        <v>50</v>
      </c>
      <c r="G4" s="55" t="s">
        <v>220</v>
      </c>
      <c r="H4" s="54">
        <v>26</v>
      </c>
      <c r="I4" s="54">
        <v>100</v>
      </c>
      <c r="J4" s="54">
        <v>1</v>
      </c>
      <c r="K4" s="56">
        <v>100</v>
      </c>
      <c r="L4" s="57">
        <v>70</v>
      </c>
    </row>
    <row r="5" spans="1:12" ht="63" thickBot="1">
      <c r="A5" s="53"/>
      <c r="B5" s="54" t="s">
        <v>28</v>
      </c>
      <c r="C5" s="54" t="s">
        <v>219</v>
      </c>
      <c r="D5" s="54" t="s">
        <v>28</v>
      </c>
      <c r="E5" s="54" t="s">
        <v>27</v>
      </c>
      <c r="F5" s="54" t="s">
        <v>50</v>
      </c>
      <c r="G5" s="55" t="s">
        <v>220</v>
      </c>
      <c r="H5" s="54">
        <v>27</v>
      </c>
      <c r="I5" s="54">
        <v>100</v>
      </c>
      <c r="J5" s="54">
        <v>1</v>
      </c>
      <c r="K5" s="56">
        <v>100</v>
      </c>
      <c r="L5" s="57">
        <v>70</v>
      </c>
    </row>
    <row r="6" spans="1:12" ht="63" thickBot="1">
      <c r="A6" s="53"/>
      <c r="B6" s="54" t="s">
        <v>28</v>
      </c>
      <c r="C6" s="54" t="s">
        <v>219</v>
      </c>
      <c r="D6" s="54" t="s">
        <v>28</v>
      </c>
      <c r="E6" s="54" t="s">
        <v>27</v>
      </c>
      <c r="F6" s="54" t="s">
        <v>50</v>
      </c>
      <c r="G6" s="55" t="s">
        <v>220</v>
      </c>
      <c r="H6" s="54">
        <v>28</v>
      </c>
      <c r="I6" s="54">
        <v>100</v>
      </c>
      <c r="J6" s="54">
        <v>1</v>
      </c>
      <c r="K6" s="56">
        <v>100</v>
      </c>
      <c r="L6" s="57">
        <v>70</v>
      </c>
    </row>
    <row r="7" spans="1:12" ht="63" thickBot="1">
      <c r="A7" s="53"/>
      <c r="B7" s="54" t="s">
        <v>28</v>
      </c>
      <c r="C7" s="54" t="s">
        <v>219</v>
      </c>
      <c r="D7" s="54" t="s">
        <v>28</v>
      </c>
      <c r="E7" s="54" t="s">
        <v>27</v>
      </c>
      <c r="F7" s="54" t="s">
        <v>50</v>
      </c>
      <c r="G7" s="55" t="s">
        <v>220</v>
      </c>
      <c r="H7" s="54">
        <v>29</v>
      </c>
      <c r="I7" s="54">
        <v>100</v>
      </c>
      <c r="J7" s="54">
        <v>1</v>
      </c>
      <c r="K7" s="56">
        <v>100</v>
      </c>
      <c r="L7" s="57">
        <v>70</v>
      </c>
    </row>
    <row r="8" spans="1:12" ht="63" thickBot="1">
      <c r="A8" s="53"/>
      <c r="B8" s="54" t="s">
        <v>28</v>
      </c>
      <c r="C8" s="54" t="s">
        <v>219</v>
      </c>
      <c r="D8" s="54" t="s">
        <v>28</v>
      </c>
      <c r="E8" s="54" t="s">
        <v>27</v>
      </c>
      <c r="F8" s="54" t="s">
        <v>50</v>
      </c>
      <c r="G8" s="55" t="s">
        <v>220</v>
      </c>
      <c r="H8" s="54">
        <v>30</v>
      </c>
      <c r="I8" s="54">
        <v>100</v>
      </c>
      <c r="J8" s="54">
        <v>1</v>
      </c>
      <c r="K8" s="56">
        <v>100</v>
      </c>
      <c r="L8" s="57">
        <v>70</v>
      </c>
    </row>
    <row r="9" spans="1:12" ht="63" thickBot="1">
      <c r="A9" s="53"/>
      <c r="B9" s="54" t="s">
        <v>28</v>
      </c>
      <c r="C9" s="54" t="s">
        <v>219</v>
      </c>
      <c r="D9" s="54" t="s">
        <v>28</v>
      </c>
      <c r="E9" s="54" t="s">
        <v>27</v>
      </c>
      <c r="F9" s="54" t="s">
        <v>50</v>
      </c>
      <c r="G9" s="55" t="s">
        <v>220</v>
      </c>
      <c r="H9" s="54">
        <v>150</v>
      </c>
      <c r="I9" s="54">
        <v>100</v>
      </c>
      <c r="J9" s="54">
        <v>1</v>
      </c>
      <c r="K9" s="56">
        <v>100</v>
      </c>
      <c r="L9" s="57">
        <v>70</v>
      </c>
    </row>
    <row r="10" spans="1:12">
      <c r="L10" s="70">
        <f>SUM(L2:L9)</f>
        <v>560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"/>
  <sheetViews>
    <sheetView workbookViewId="0">
      <selection activeCell="H15" sqref="H15"/>
    </sheetView>
  </sheetViews>
  <sheetFormatPr defaultRowHeight="17.399999999999999"/>
  <cols>
    <col min="1" max="1" width="9.296875" style="43" bestFit="1" customWidth="1"/>
    <col min="2" max="2" width="18.8984375" style="43" bestFit="1" customWidth="1"/>
    <col min="3" max="3" width="11.5" style="43" bestFit="1" customWidth="1"/>
    <col min="4" max="4" width="10.3984375" style="43" bestFit="1" customWidth="1"/>
    <col min="5" max="5" width="8.09765625" style="43" bestFit="1" customWidth="1"/>
    <col min="6" max="6" width="8.59765625" style="43" bestFit="1" customWidth="1"/>
    <col min="7" max="7" width="12.296875" style="43" bestFit="1" customWidth="1"/>
    <col min="8" max="8" width="16.296875" style="43" bestFit="1" customWidth="1"/>
    <col min="9" max="9" width="8.59765625" style="43" bestFit="1" customWidth="1"/>
    <col min="10" max="10" width="9.3984375" style="43" bestFit="1" customWidth="1"/>
    <col min="11" max="11" width="26.5" style="43" bestFit="1" customWidth="1"/>
    <col min="12" max="12" width="21.5" style="43" bestFit="1" customWidth="1"/>
    <col min="13" max="13" width="6.796875" style="43" bestFit="1" customWidth="1"/>
    <col min="14" max="14" width="12.3984375" style="43" bestFit="1" customWidth="1"/>
    <col min="15" max="15" width="10.796875" style="43" bestFit="1" customWidth="1"/>
    <col min="16" max="16" width="30" style="43" bestFit="1" customWidth="1"/>
    <col min="17" max="17" width="12.69921875" style="43" bestFit="1" customWidth="1"/>
    <col min="18" max="18" width="19.59765625" style="43" bestFit="1" customWidth="1"/>
    <col min="19" max="19" width="11.09765625" style="43" bestFit="1" customWidth="1"/>
    <col min="20" max="20" width="9.3984375" style="43" bestFit="1" customWidth="1"/>
    <col min="21" max="21" width="8.8984375" style="43" bestFit="1" customWidth="1"/>
    <col min="22" max="22" width="8.3984375" style="43" bestFit="1" customWidth="1"/>
    <col min="23" max="28" width="8.8984375" style="43" bestFit="1" customWidth="1"/>
    <col min="29" max="29" width="15.19921875" style="43" bestFit="1" customWidth="1"/>
    <col min="30" max="30" width="9.3984375" style="43" bestFit="1" customWidth="1"/>
    <col min="31" max="31" width="8.8984375" style="43" bestFit="1" customWidth="1"/>
    <col min="32" max="32" width="8.3984375" style="43" bestFit="1" customWidth="1"/>
    <col min="33" max="38" width="8.8984375" style="43" bestFit="1" customWidth="1"/>
    <col min="39" max="39" width="15.19921875" style="43" bestFit="1" customWidth="1"/>
    <col min="40" max="40" width="8.59765625" style="43" bestFit="1" customWidth="1"/>
    <col min="41" max="41" width="6.796875" style="43" bestFit="1" customWidth="1"/>
    <col min="42" max="42" width="8.59765625" style="43" bestFit="1" customWidth="1"/>
    <col min="43" max="16384" width="8.796875" style="43"/>
  </cols>
  <sheetData>
    <row r="1" spans="1:42" ht="18" thickBot="1">
      <c r="A1" s="83" t="s">
        <v>237</v>
      </c>
      <c r="B1" s="83" t="s">
        <v>238</v>
      </c>
      <c r="C1" s="83" t="s">
        <v>239</v>
      </c>
      <c r="D1" s="83" t="s">
        <v>240</v>
      </c>
      <c r="E1" s="83" t="s">
        <v>241</v>
      </c>
      <c r="F1" s="83" t="s">
        <v>242</v>
      </c>
      <c r="G1" s="83" t="s">
        <v>243</v>
      </c>
      <c r="H1" s="83" t="s">
        <v>244</v>
      </c>
      <c r="I1" s="83" t="s">
        <v>106</v>
      </c>
      <c r="J1" s="83" t="s">
        <v>245</v>
      </c>
      <c r="K1" s="83" t="s">
        <v>246</v>
      </c>
      <c r="L1" s="83" t="s">
        <v>247</v>
      </c>
      <c r="M1" s="83" t="s">
        <v>248</v>
      </c>
      <c r="N1" s="84" t="s">
        <v>5</v>
      </c>
      <c r="O1" s="83" t="s">
        <v>249</v>
      </c>
      <c r="P1" s="84" t="s">
        <v>250</v>
      </c>
      <c r="Q1" s="83" t="s">
        <v>251</v>
      </c>
      <c r="R1" s="83" t="s">
        <v>252</v>
      </c>
      <c r="S1" s="83" t="s">
        <v>253</v>
      </c>
      <c r="T1" s="83" t="s">
        <v>254</v>
      </c>
      <c r="U1" s="83" t="s">
        <v>255</v>
      </c>
      <c r="V1" s="83" t="s">
        <v>256</v>
      </c>
      <c r="W1" s="83" t="s">
        <v>257</v>
      </c>
      <c r="X1" s="83" t="s">
        <v>258</v>
      </c>
      <c r="Y1" s="83" t="s">
        <v>259</v>
      </c>
      <c r="Z1" s="83" t="s">
        <v>260</v>
      </c>
      <c r="AA1" s="83" t="s">
        <v>261</v>
      </c>
      <c r="AB1" s="83" t="s">
        <v>262</v>
      </c>
      <c r="AC1" s="83" t="s">
        <v>263</v>
      </c>
      <c r="AD1" s="84" t="s">
        <v>264</v>
      </c>
      <c r="AE1" s="83" t="s">
        <v>265</v>
      </c>
      <c r="AF1" s="83" t="s">
        <v>266</v>
      </c>
      <c r="AG1" s="83" t="s">
        <v>267</v>
      </c>
      <c r="AH1" s="83" t="s">
        <v>268</v>
      </c>
      <c r="AI1" s="83" t="s">
        <v>269</v>
      </c>
      <c r="AJ1" s="83" t="s">
        <v>270</v>
      </c>
      <c r="AK1" s="83" t="s">
        <v>271</v>
      </c>
      <c r="AL1" s="83" t="s">
        <v>272</v>
      </c>
      <c r="AM1" s="83" t="s">
        <v>273</v>
      </c>
      <c r="AN1" s="83" t="s">
        <v>274</v>
      </c>
      <c r="AO1" s="83" t="s">
        <v>275</v>
      </c>
      <c r="AP1" s="84" t="s">
        <v>276</v>
      </c>
    </row>
    <row r="2" spans="1:42" ht="18" thickTop="1">
      <c r="A2" s="85" t="s">
        <v>277</v>
      </c>
      <c r="B2" s="85" t="s">
        <v>125</v>
      </c>
      <c r="C2" s="85" t="s">
        <v>278</v>
      </c>
      <c r="D2" s="85" t="s">
        <v>28</v>
      </c>
      <c r="E2" s="85" t="s">
        <v>279</v>
      </c>
      <c r="F2" s="85" t="s">
        <v>280</v>
      </c>
      <c r="G2" s="85" t="s">
        <v>281</v>
      </c>
      <c r="H2" s="85" t="s">
        <v>282</v>
      </c>
      <c r="I2" s="85" t="s">
        <v>219</v>
      </c>
      <c r="J2" s="85">
        <v>58194218</v>
      </c>
      <c r="K2" s="85" t="s">
        <v>31</v>
      </c>
      <c r="L2" s="85"/>
      <c r="M2" s="85"/>
      <c r="N2" s="85" t="s">
        <v>27</v>
      </c>
      <c r="O2" s="85" t="s">
        <v>283</v>
      </c>
      <c r="P2" s="85">
        <v>0.55000000000000004</v>
      </c>
      <c r="Q2" s="85">
        <v>0.55000000000000004</v>
      </c>
      <c r="R2" s="86" t="s">
        <v>284</v>
      </c>
      <c r="S2" s="86">
        <v>100</v>
      </c>
      <c r="T2" s="86">
        <v>46300</v>
      </c>
      <c r="U2" s="86">
        <v>29600</v>
      </c>
      <c r="V2" s="86">
        <v>0</v>
      </c>
      <c r="W2" s="86">
        <v>0</v>
      </c>
      <c r="X2" s="86">
        <v>0</v>
      </c>
      <c r="Y2" s="86">
        <v>0</v>
      </c>
      <c r="Z2" s="86">
        <v>0</v>
      </c>
      <c r="AA2" s="86">
        <v>0</v>
      </c>
      <c r="AB2" s="86">
        <v>0</v>
      </c>
      <c r="AC2" s="86">
        <v>16700</v>
      </c>
      <c r="AD2" s="86">
        <v>46300</v>
      </c>
      <c r="AE2" s="86">
        <v>29600</v>
      </c>
      <c r="AF2" s="86">
        <v>0</v>
      </c>
      <c r="AG2" s="86">
        <v>0</v>
      </c>
      <c r="AH2" s="86">
        <v>0</v>
      </c>
      <c r="AI2" s="86">
        <v>0</v>
      </c>
      <c r="AJ2" s="86">
        <v>0</v>
      </c>
      <c r="AK2" s="86">
        <v>0</v>
      </c>
      <c r="AL2" s="86">
        <v>0</v>
      </c>
      <c r="AM2" s="86">
        <v>16700</v>
      </c>
      <c r="AN2" s="86">
        <v>25465</v>
      </c>
      <c r="AO2" s="86">
        <v>0</v>
      </c>
      <c r="AP2" s="86">
        <v>25465</v>
      </c>
    </row>
    <row r="3" spans="1:42">
      <c r="A3" s="85" t="s">
        <v>277</v>
      </c>
      <c r="B3" s="85" t="s">
        <v>125</v>
      </c>
      <c r="C3" s="85" t="s">
        <v>278</v>
      </c>
      <c r="D3" s="85" t="s">
        <v>28</v>
      </c>
      <c r="E3" s="85" t="s">
        <v>279</v>
      </c>
      <c r="F3" s="85" t="s">
        <v>280</v>
      </c>
      <c r="G3" s="85" t="s">
        <v>281</v>
      </c>
      <c r="H3" s="85" t="s">
        <v>282</v>
      </c>
      <c r="I3" s="85" t="s">
        <v>219</v>
      </c>
      <c r="J3" s="85">
        <v>58672980</v>
      </c>
      <c r="K3" s="85" t="s">
        <v>285</v>
      </c>
      <c r="L3" s="85"/>
      <c r="M3" s="85"/>
      <c r="N3" s="85" t="s">
        <v>27</v>
      </c>
      <c r="O3" s="85" t="s">
        <v>283</v>
      </c>
      <c r="P3" s="85">
        <v>0.55000000000000004</v>
      </c>
      <c r="Q3" s="85">
        <v>0.55000000000000004</v>
      </c>
      <c r="R3" s="86" t="s">
        <v>284</v>
      </c>
      <c r="S3" s="86">
        <v>100</v>
      </c>
      <c r="T3" s="86">
        <v>298400</v>
      </c>
      <c r="U3" s="86">
        <v>79400</v>
      </c>
      <c r="V3" s="86">
        <v>0</v>
      </c>
      <c r="W3" s="86">
        <v>0</v>
      </c>
      <c r="X3" s="86">
        <v>0</v>
      </c>
      <c r="Y3" s="86">
        <v>1000</v>
      </c>
      <c r="Z3" s="86">
        <v>2100</v>
      </c>
      <c r="AA3" s="86">
        <v>0</v>
      </c>
      <c r="AB3" s="86">
        <v>0</v>
      </c>
      <c r="AC3" s="86">
        <v>215900</v>
      </c>
      <c r="AD3" s="86">
        <v>298810</v>
      </c>
      <c r="AE3" s="86">
        <v>79400</v>
      </c>
      <c r="AF3" s="86">
        <v>0</v>
      </c>
      <c r="AG3" s="86">
        <v>0</v>
      </c>
      <c r="AH3" s="86">
        <v>0</v>
      </c>
      <c r="AI3" s="86">
        <v>1200</v>
      </c>
      <c r="AJ3" s="86">
        <v>2310</v>
      </c>
      <c r="AK3" s="86">
        <v>0</v>
      </c>
      <c r="AL3" s="86">
        <v>0</v>
      </c>
      <c r="AM3" s="86">
        <v>215900</v>
      </c>
      <c r="AN3" s="86">
        <v>164346</v>
      </c>
      <c r="AO3" s="86">
        <v>0</v>
      </c>
      <c r="AP3" s="86">
        <v>164346</v>
      </c>
    </row>
    <row r="4" spans="1:42">
      <c r="A4" s="85" t="s">
        <v>277</v>
      </c>
      <c r="B4" s="85" t="s">
        <v>125</v>
      </c>
      <c r="C4" s="85" t="s">
        <v>278</v>
      </c>
      <c r="D4" s="85" t="s">
        <v>28</v>
      </c>
      <c r="E4" s="85" t="s">
        <v>279</v>
      </c>
      <c r="F4" s="85" t="s">
        <v>280</v>
      </c>
      <c r="G4" s="85" t="s">
        <v>281</v>
      </c>
      <c r="H4" s="85" t="s">
        <v>282</v>
      </c>
      <c r="I4" s="85" t="s">
        <v>219</v>
      </c>
      <c r="J4" s="85">
        <v>58672980</v>
      </c>
      <c r="K4" s="85" t="s">
        <v>285</v>
      </c>
      <c r="L4" s="85"/>
      <c r="M4" s="85"/>
      <c r="N4" s="85" t="s">
        <v>27</v>
      </c>
      <c r="O4" s="85" t="s">
        <v>283</v>
      </c>
      <c r="P4" s="85">
        <v>0.55000000000000004</v>
      </c>
      <c r="Q4" s="85">
        <v>0.55000000000000004</v>
      </c>
      <c r="R4" s="86" t="s">
        <v>286</v>
      </c>
      <c r="S4" s="86">
        <v>2400</v>
      </c>
      <c r="T4" s="86">
        <v>123300</v>
      </c>
      <c r="U4" s="86">
        <v>85800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37500</v>
      </c>
      <c r="AD4" s="86">
        <v>123300</v>
      </c>
      <c r="AE4" s="86">
        <v>85800</v>
      </c>
      <c r="AF4" s="86">
        <v>0</v>
      </c>
      <c r="AG4" s="86">
        <v>0</v>
      </c>
      <c r="AH4" s="86">
        <v>0</v>
      </c>
      <c r="AI4" s="86">
        <v>0</v>
      </c>
      <c r="AJ4" s="86">
        <v>0</v>
      </c>
      <c r="AK4" s="86">
        <v>0</v>
      </c>
      <c r="AL4" s="86">
        <v>0</v>
      </c>
      <c r="AM4" s="86">
        <v>37500</v>
      </c>
      <c r="AN4" s="86">
        <v>67815</v>
      </c>
      <c r="AO4" s="86">
        <v>0</v>
      </c>
      <c r="AP4" s="86">
        <v>67815</v>
      </c>
    </row>
    <row r="5" spans="1:42">
      <c r="A5" s="85" t="s">
        <v>277</v>
      </c>
      <c r="B5" s="85" t="s">
        <v>125</v>
      </c>
      <c r="C5" s="85" t="s">
        <v>278</v>
      </c>
      <c r="D5" s="85" t="s">
        <v>28</v>
      </c>
      <c r="E5" s="85" t="s">
        <v>279</v>
      </c>
      <c r="F5" s="85" t="s">
        <v>280</v>
      </c>
      <c r="G5" s="85" t="s">
        <v>281</v>
      </c>
      <c r="H5" s="85" t="s">
        <v>282</v>
      </c>
      <c r="I5" s="85" t="s">
        <v>219</v>
      </c>
      <c r="J5" s="85">
        <v>58672980</v>
      </c>
      <c r="K5" s="85" t="s">
        <v>285</v>
      </c>
      <c r="L5" s="85"/>
      <c r="M5" s="85"/>
      <c r="N5" s="85" t="s">
        <v>27</v>
      </c>
      <c r="O5" s="85" t="s">
        <v>283</v>
      </c>
      <c r="P5" s="85">
        <v>0.55000000000000004</v>
      </c>
      <c r="Q5" s="85">
        <v>0.55000000000000004</v>
      </c>
      <c r="R5" s="86" t="s">
        <v>286</v>
      </c>
      <c r="S5" s="86">
        <v>4700</v>
      </c>
      <c r="T5" s="86">
        <v>44100</v>
      </c>
      <c r="U5" s="86">
        <v>47200</v>
      </c>
      <c r="V5" s="86">
        <v>0</v>
      </c>
      <c r="W5" s="86">
        <v>0</v>
      </c>
      <c r="X5" s="86">
        <v>0</v>
      </c>
      <c r="Y5" s="86">
        <v>0</v>
      </c>
      <c r="Z5" s="86">
        <v>-4200</v>
      </c>
      <c r="AA5" s="86">
        <v>0</v>
      </c>
      <c r="AB5" s="86">
        <v>0</v>
      </c>
      <c r="AC5" s="86">
        <v>1100</v>
      </c>
      <c r="AD5" s="86">
        <v>43680</v>
      </c>
      <c r="AE5" s="86">
        <v>47200</v>
      </c>
      <c r="AF5" s="86">
        <v>0</v>
      </c>
      <c r="AG5" s="86">
        <v>0</v>
      </c>
      <c r="AH5" s="86">
        <v>0</v>
      </c>
      <c r="AI5" s="86">
        <v>0</v>
      </c>
      <c r="AJ5" s="86">
        <v>-4620</v>
      </c>
      <c r="AK5" s="86">
        <v>0</v>
      </c>
      <c r="AL5" s="86">
        <v>0</v>
      </c>
      <c r="AM5" s="86">
        <v>1100</v>
      </c>
      <c r="AN5" s="86">
        <v>24024</v>
      </c>
      <c r="AO5" s="86">
        <v>0</v>
      </c>
      <c r="AP5" s="86">
        <v>24024</v>
      </c>
    </row>
    <row r="6" spans="1:42">
      <c r="A6" s="85" t="s">
        <v>277</v>
      </c>
      <c r="B6" s="85" t="s">
        <v>125</v>
      </c>
      <c r="C6" s="85" t="s">
        <v>278</v>
      </c>
      <c r="D6" s="85" t="s">
        <v>28</v>
      </c>
      <c r="E6" s="85" t="s">
        <v>279</v>
      </c>
      <c r="F6" s="85" t="s">
        <v>280</v>
      </c>
      <c r="G6" s="85" t="s">
        <v>281</v>
      </c>
      <c r="H6" s="85" t="s">
        <v>282</v>
      </c>
      <c r="I6" s="85" t="s">
        <v>219</v>
      </c>
      <c r="J6" s="85">
        <v>58672980</v>
      </c>
      <c r="K6" s="85" t="s">
        <v>285</v>
      </c>
      <c r="L6" s="85"/>
      <c r="M6" s="85"/>
      <c r="N6" s="85" t="s">
        <v>27</v>
      </c>
      <c r="O6" s="85" t="s">
        <v>283</v>
      </c>
      <c r="P6" s="85">
        <v>0.55000000000000004</v>
      </c>
      <c r="Q6" s="85">
        <v>0.55000000000000004</v>
      </c>
      <c r="R6" s="86" t="s">
        <v>286</v>
      </c>
      <c r="S6" s="86">
        <v>9200</v>
      </c>
      <c r="T6" s="86">
        <v>10000</v>
      </c>
      <c r="U6" s="86">
        <v>-2400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12400</v>
      </c>
      <c r="AD6" s="86">
        <v>10000</v>
      </c>
      <c r="AE6" s="86">
        <v>-2400</v>
      </c>
      <c r="AF6" s="86">
        <v>0</v>
      </c>
      <c r="AG6" s="86">
        <v>0</v>
      </c>
      <c r="AH6" s="86">
        <v>0</v>
      </c>
      <c r="AI6" s="86">
        <v>0</v>
      </c>
      <c r="AJ6" s="86">
        <v>0</v>
      </c>
      <c r="AK6" s="86">
        <v>0</v>
      </c>
      <c r="AL6" s="86">
        <v>0</v>
      </c>
      <c r="AM6" s="86">
        <v>12400</v>
      </c>
      <c r="AN6" s="86">
        <v>5500</v>
      </c>
      <c r="AO6" s="86">
        <v>0</v>
      </c>
      <c r="AP6" s="86">
        <v>5500</v>
      </c>
    </row>
    <row r="7" spans="1:42">
      <c r="A7" s="85" t="s">
        <v>277</v>
      </c>
      <c r="B7" s="85" t="s">
        <v>125</v>
      </c>
      <c r="C7" s="85" t="s">
        <v>278</v>
      </c>
      <c r="D7" s="85" t="s">
        <v>28</v>
      </c>
      <c r="E7" s="85" t="s">
        <v>279</v>
      </c>
      <c r="F7" s="85" t="s">
        <v>280</v>
      </c>
      <c r="G7" s="85" t="s">
        <v>281</v>
      </c>
      <c r="H7" s="85" t="s">
        <v>282</v>
      </c>
      <c r="I7" s="85" t="s">
        <v>219</v>
      </c>
      <c r="J7" s="85">
        <v>58964717</v>
      </c>
      <c r="K7" s="85" t="s">
        <v>287</v>
      </c>
      <c r="L7" s="85"/>
      <c r="M7" s="85"/>
      <c r="N7" s="85" t="s">
        <v>27</v>
      </c>
      <c r="O7" s="85" t="s">
        <v>283</v>
      </c>
      <c r="P7" s="85">
        <v>0.55000000000000004</v>
      </c>
      <c r="Q7" s="85">
        <v>0.55000000000000004</v>
      </c>
      <c r="R7" s="86" t="s">
        <v>284</v>
      </c>
      <c r="S7" s="86">
        <v>3200</v>
      </c>
      <c r="T7" s="86">
        <v>22400</v>
      </c>
      <c r="U7" s="86">
        <v>22000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400</v>
      </c>
      <c r="AD7" s="86">
        <v>22400</v>
      </c>
      <c r="AE7" s="86">
        <v>22000</v>
      </c>
      <c r="AF7" s="86">
        <v>0</v>
      </c>
      <c r="AG7" s="86">
        <v>0</v>
      </c>
      <c r="AH7" s="86">
        <v>0</v>
      </c>
      <c r="AI7" s="86">
        <v>0</v>
      </c>
      <c r="AJ7" s="86">
        <v>0</v>
      </c>
      <c r="AK7" s="86">
        <v>0</v>
      </c>
      <c r="AL7" s="86">
        <v>0</v>
      </c>
      <c r="AM7" s="86">
        <v>400</v>
      </c>
      <c r="AN7" s="86">
        <v>12320</v>
      </c>
      <c r="AO7" s="86">
        <v>0</v>
      </c>
      <c r="AP7" s="86">
        <v>12320</v>
      </c>
    </row>
    <row r="8" spans="1:42">
      <c r="AP8" s="72">
        <f>SUM(AP2:AP7)</f>
        <v>299470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8</vt:i4>
      </vt:variant>
    </vt:vector>
  </HeadingPairs>
  <TitlesOfParts>
    <vt:vector size="18" baseType="lpstr">
      <vt:lpstr>합계04</vt:lpstr>
      <vt:lpstr>MG차감내역04</vt:lpstr>
      <vt:lpstr>네이버APP04</vt:lpstr>
      <vt:lpstr>네이버PC04</vt:lpstr>
      <vt:lpstr>문피아04</vt:lpstr>
      <vt:lpstr>미스터블루04</vt:lpstr>
      <vt:lpstr>원스토어04</vt:lpstr>
      <vt:lpstr>조아라04</vt:lpstr>
      <vt:lpstr>한아름04</vt:lpstr>
      <vt:lpstr>카카오04</vt:lpstr>
      <vt:lpstr>네이버APP04!Extract</vt:lpstr>
      <vt:lpstr>네이버PC04!Extract</vt:lpstr>
      <vt:lpstr>문피아04!Extract</vt:lpstr>
      <vt:lpstr>미스터블루04!Extract</vt:lpstr>
      <vt:lpstr>원스토어04!Extract</vt:lpstr>
      <vt:lpstr>조아라04!Extract</vt:lpstr>
      <vt:lpstr>카카오04!Extract</vt:lpstr>
      <vt:lpstr>한아름04!Extract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Park</dc:creator>
  <cp:lastModifiedBy>storywiz</cp:lastModifiedBy>
  <dcterms:created xsi:type="dcterms:W3CDTF">2022-05-10T07:23:57Z</dcterms:created>
  <dcterms:modified xsi:type="dcterms:W3CDTF">2022-05-12T13:38:41Z</dcterms:modified>
</cp:coreProperties>
</file>