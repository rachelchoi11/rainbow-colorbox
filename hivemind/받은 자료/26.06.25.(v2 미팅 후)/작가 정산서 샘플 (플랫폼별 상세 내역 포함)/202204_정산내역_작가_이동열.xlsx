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정산서1차 취합\은미님\"/>
    </mc:Choice>
  </mc:AlternateContent>
  <bookViews>
    <workbookView xWindow="0" yWindow="0" windowWidth="26640" windowHeight="12192"/>
  </bookViews>
  <sheets>
    <sheet name="합계" sheetId="1" r:id="rId1"/>
    <sheet name="MG차감내역04" sheetId="17" r:id="rId2"/>
    <sheet name="교보문고04" sheetId="2" r:id="rId3"/>
    <sheet name="구글북스04" sheetId="3" r:id="rId4"/>
    <sheet name="네이버APP04" sheetId="4" r:id="rId5"/>
    <sheet name="네이버PC04" sheetId="5" r:id="rId6"/>
    <sheet name="리디북스03" sheetId="6" r:id="rId7"/>
    <sheet name="무툰04" sheetId="7" r:id="rId8"/>
    <sheet name="문피아03" sheetId="8" r:id="rId9"/>
    <sheet name="미스터블루04" sheetId="9" r:id="rId10"/>
    <sheet name="스낵북04" sheetId="10" r:id="rId11"/>
    <sheet name="원스토어03" sheetId="11" r:id="rId12"/>
    <sheet name="조아라04" sheetId="12" r:id="rId13"/>
    <sheet name="코미코04" sheetId="13" r:id="rId14"/>
    <sheet name="톡소다04" sheetId="14" r:id="rId15"/>
    <sheet name="하이북04" sheetId="15" r:id="rId16"/>
    <sheet name="한아름04" sheetId="16" r:id="rId17"/>
    <sheet name="카카오04" sheetId="18" r:id="rId18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1" hidden="1">#REF!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1">'[2]コイン報告書_foreign CP'!#REF!</definedName>
    <definedName name="direct_item">'[2]コイン報告書_foreign CP'!#REF!</definedName>
    <definedName name="direct_items" localSheetId="1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1">'[2]コイン報告書_foreign CP'!#REF!</definedName>
    <definedName name="direct_report_ym">'[2]コイン報告書_foreign CP'!#REF!</definedName>
    <definedName name="_xlnm.Extract" localSheetId="2">교보문고04!$A$1:$T$1</definedName>
    <definedName name="_xlnm.Extract" localSheetId="3">구글북스04!$A$1:$V$1</definedName>
    <definedName name="_xlnm.Extract" localSheetId="4">네이버APP04!$A$1:$AW$1</definedName>
    <definedName name="_xlnm.Extract" localSheetId="5">네이버PC04!$A$1:$AW$1</definedName>
    <definedName name="_xlnm.Extract" localSheetId="6">리디북스03!$A$1:$AW$1</definedName>
    <definedName name="_xlnm.Extract" localSheetId="7">무툰04!$A$1:$O$1</definedName>
    <definedName name="_xlnm.Extract" localSheetId="8">문피아03!$A$1:$Q$1</definedName>
    <definedName name="_xlnm.Extract" localSheetId="9">미스터블루04!$A$1:$AJ$1</definedName>
    <definedName name="_xlnm.Extract" localSheetId="10">스낵북04!$A$1:$G$1</definedName>
    <definedName name="_xlnm.Extract" localSheetId="11">원스토어03!$A$1:$AD$1</definedName>
    <definedName name="_xlnm.Extract" localSheetId="12">조아라04!$A$1:$I$1</definedName>
    <definedName name="_xlnm.Extract" localSheetId="17">카카오04!$A$1:$AQ$1</definedName>
    <definedName name="_xlnm.Extract" localSheetId="13">코미코04!$A$1:$AB$1</definedName>
    <definedName name="_xlnm.Extract" localSheetId="14">톡소다04!$A$1:$S$1</definedName>
    <definedName name="_xlnm.Extract" localSheetId="15">하이북04!$A$1:$N$1</definedName>
    <definedName name="_xlnm.Extract" localSheetId="16">한아름04!$A$1:$L$1</definedName>
    <definedName name="withholdingtaxrate">'[2]コイン報告書_foreign CP'!$W$36</definedName>
    <definedName name="ws_items" localSheetId="1">'[2]コイン報告書_foreign CP'!#REF!</definedName>
    <definedName name="ws_items">'[2]コイン報告書_foreign CP'!#REF!</definedName>
    <definedName name="ws_report_rs_ratio" localSheetId="1">'[2]コイン報告書_foreign CP'!#REF!</definedName>
    <definedName name="ws_report_rs_ratio">'[2]コイン報告書_foreign CP'!#REF!</definedName>
    <definedName name="ws_report_rs_ratio1" localSheetId="1">'[2]コイン報告書_foreign CP'!#REF!</definedName>
    <definedName name="ws_report_rs_ratio1">'[2]コイン報告書_foreign CP'!#REF!</definedName>
    <definedName name="ws_report_rs_ratio2" localSheetId="1">'[2]コイン報告書_foreign CP'!#REF!</definedName>
    <definedName name="ws_report_rs_ratio2">'[2]コイン報告書_foreign CP'!#REF!</definedName>
    <definedName name="ws_report_ym" localSheetId="1">'[2]コイン報告書_foreign CP'!#REF!</definedName>
    <definedName name="ws_report_ym">'[2]コイン報告書_foreign CP'!#REF!</definedName>
    <definedName name="도서출판태랑" hidden="1">#REF!</definedName>
    <definedName name="도서출판탤ㅇ" hidden="1">#REF!</definedName>
    <definedName name="ㄹㄹ" localSheetId="1">'[2]コイン報告書_foreign CP'!#REF!</definedName>
    <definedName name="ㄹㄹ">'[2]コイン報告書_foreign CP'!#REF!</definedName>
    <definedName name="ㅇ" localSheetId="1">'[2]コイン報告書_foreign CP'!#REF!</definedName>
    <definedName name="ㅇ">'[2]コイン報告書_foreign CP'!#REF!</definedName>
    <definedName name="ㅇㅇ" localSheetId="1">'[2]コイン報告書_foreign CP'!#REF!</definedName>
    <definedName name="ㅇㅇ">'[2]コイン報告書_foreign CP'!#REF!</definedName>
    <definedName name="ㅇㅇㅇㅇㅇㅇㅇ">'[2]コイン報告書_foreign CP'!#REF!</definedName>
    <definedName name="타이틀명">[3]hidden!$A$2:$A$120</definedName>
    <definedName name="테스트">'[2]コイン報告書_foreign CP'!#REF!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 l="1"/>
  <c r="AP19" i="18"/>
  <c r="C20" i="17" l="1"/>
  <c r="F3" i="10"/>
  <c r="C11" i="1"/>
  <c r="C8" i="1"/>
  <c r="O5" i="7"/>
  <c r="C10" i="1"/>
  <c r="AJ4" i="9"/>
  <c r="C19" i="17" l="1"/>
  <c r="D8" i="17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"/>
  <c r="D19" i="17" l="1"/>
  <c r="D20" i="17" s="1"/>
</calcChain>
</file>

<file path=xl/sharedStrings.xml><?xml version="1.0" encoding="utf-8"?>
<sst xmlns="http://schemas.openxmlformats.org/spreadsheetml/2006/main" count="6110" uniqueCount="1330">
  <si>
    <t>플랫폼별 매출내역</t>
  </si>
  <si>
    <t>작가 정산액</t>
  </si>
  <si>
    <t>판매구분</t>
  </si>
  <si>
    <t>판매형태</t>
  </si>
  <si>
    <t>상품</t>
  </si>
  <si>
    <t>대분류</t>
  </si>
  <si>
    <t>도서바코드</t>
  </si>
  <si>
    <t>ISBN</t>
  </si>
  <si>
    <t>EPUB ISBN</t>
  </si>
  <si>
    <t>PDF ISBN</t>
  </si>
  <si>
    <t>상품명</t>
  </si>
  <si>
    <t>회차명</t>
  </si>
  <si>
    <t>저자명</t>
  </si>
  <si>
    <t>정가</t>
  </si>
  <si>
    <t>판매가</t>
  </si>
  <si>
    <t>판매량</t>
  </si>
  <si>
    <t>다운로드수</t>
  </si>
  <si>
    <t>정산대상판매가</t>
  </si>
  <si>
    <t>정산대상판매총액</t>
  </si>
  <si>
    <t>지불액</t>
  </si>
  <si>
    <t>정산율(%)</t>
  </si>
  <si>
    <t>출판사</t>
    <phoneticPr fontId="5" type="noConversion"/>
  </si>
  <si>
    <t>B2C</t>
  </si>
  <si>
    <t>대여</t>
  </si>
  <si>
    <t>eBook</t>
  </si>
  <si>
    <t>장르소설&gt;판타지</t>
  </si>
  <si>
    <t>480D191034910</t>
  </si>
  <si>
    <t>D191034910</t>
  </si>
  <si>
    <t/>
  </si>
  <si>
    <t>나 혼자만 일일 보상</t>
  </si>
  <si>
    <t>5권</t>
  </si>
  <si>
    <t>이동열</t>
  </si>
  <si>
    <t>630</t>
  </si>
  <si>
    <t>6</t>
  </si>
  <si>
    <t>0</t>
  </si>
  <si>
    <t>3,780</t>
  </si>
  <si>
    <t>70</t>
  </si>
  <si>
    <t>스토리위즈</t>
  </si>
  <si>
    <t>480D191034930</t>
  </si>
  <si>
    <t>D191034930</t>
  </si>
  <si>
    <t>7권</t>
  </si>
  <si>
    <t>900</t>
  </si>
  <si>
    <t>1</t>
  </si>
  <si>
    <t>480D191034860</t>
  </si>
  <si>
    <t>D191034860</t>
  </si>
  <si>
    <t>3권</t>
  </si>
  <si>
    <t>2</t>
  </si>
  <si>
    <t>1,260</t>
  </si>
  <si>
    <t>480D191034830</t>
  </si>
  <si>
    <t>D191034830</t>
  </si>
  <si>
    <t>2권</t>
  </si>
  <si>
    <t>3</t>
  </si>
  <si>
    <t>1,890</t>
  </si>
  <si>
    <t>7</t>
  </si>
  <si>
    <t>4,410</t>
  </si>
  <si>
    <t>480D191034920</t>
  </si>
  <si>
    <t>D191034920</t>
  </si>
  <si>
    <t>6권</t>
  </si>
  <si>
    <t>480D191034890</t>
  </si>
  <si>
    <t>D191034890</t>
  </si>
  <si>
    <t>4권</t>
  </si>
  <si>
    <t>480D191034940</t>
  </si>
  <si>
    <t>D191034940</t>
  </si>
  <si>
    <t>8권</t>
  </si>
  <si>
    <t>5</t>
  </si>
  <si>
    <t>3,150</t>
  </si>
  <si>
    <t>480D191034950</t>
  </si>
  <si>
    <t>D191034950</t>
  </si>
  <si>
    <t>9권</t>
  </si>
  <si>
    <t>4</t>
  </si>
  <si>
    <t>2,520</t>
  </si>
  <si>
    <t>B2BC</t>
  </si>
  <si>
    <t>26M0000044184</t>
  </si>
  <si>
    <t>50</t>
  </si>
  <si>
    <t>단권</t>
  </si>
  <si>
    <t>480D191034960</t>
  </si>
  <si>
    <t>D191034960</t>
  </si>
  <si>
    <t>나 혼자만 일일 보상. 외전</t>
  </si>
  <si>
    <t>26M0000044183</t>
  </si>
  <si>
    <t>9791159289668</t>
  </si>
  <si>
    <t>3,200</t>
  </si>
  <si>
    <t>교보문고</t>
  </si>
  <si>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</si>
  <si>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</si>
  <si>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</si>
  <si>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</si>
  <si>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</si>
  <si>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</si>
  <si>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</si>
  <si>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</si>
  <si>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</si>
  <si>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</si>
  <si>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</si>
  <si>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</si>
  <si>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</si>
  <si>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</si>
  <si>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</si>
  <si>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</si>
  <si>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</si>
  <si>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</si>
  <si>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</si>
  <si>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</si>
  <si>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</si>
  <si>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출판사</t>
    <phoneticPr fontId="3" type="noConversion"/>
  </si>
  <si>
    <t>22. 4. 30.</t>
  </si>
  <si>
    <t>22. 4. 9.</t>
  </si>
  <si>
    <t>ID:3102-4960-4649-22133</t>
  </si>
  <si>
    <t>Single Purchase</t>
  </si>
  <si>
    <t>Sale</t>
  </si>
  <si>
    <t>None</t>
  </si>
  <si>
    <t>나 혼자만 일일 보상 4권</t>
  </si>
  <si>
    <t>KRW</t>
  </si>
  <si>
    <t>KR</t>
  </si>
  <si>
    <t>스토리위즈</t>
    <phoneticPr fontId="3" type="noConversion"/>
  </si>
  <si>
    <t>ID:3140-0397-7859-05490</t>
  </si>
  <si>
    <t>나 혼자만 일일 보상 2권</t>
  </si>
  <si>
    <t>ID:3162-0189-9003-62621</t>
  </si>
  <si>
    <t>22. 4. 10.</t>
  </si>
  <si>
    <t>ID:3173-9367-6810-92105</t>
  </si>
  <si>
    <t>나 혼자만 일일 보상 3권</t>
  </si>
  <si>
    <t>ID:3149-2319-3973-78267</t>
  </si>
  <si>
    <t>22. 4. 16.</t>
  </si>
  <si>
    <t>ID:3177-4156-7163-70165</t>
  </si>
  <si>
    <t>던전 공략 LIVE 2권</t>
  </si>
  <si>
    <t>22. 4. 18.</t>
  </si>
  <si>
    <t>ID:3106-1566-7012-88886</t>
  </si>
  <si>
    <t>22. 4. 24.</t>
  </si>
  <si>
    <t>ID:3183-8734-3936-59438</t>
  </si>
  <si>
    <t>22. 4. 27.</t>
  </si>
  <si>
    <t>ID:3112-4653-4107-50044</t>
  </si>
  <si>
    <t>ID:3117-5796-6654-83819</t>
  </si>
  <si>
    <t>ID:3116-0130-5126-79210</t>
  </si>
  <si>
    <t>나 혼자만 일일 보상 5권</t>
  </si>
  <si>
    <t>ID:3116-2558-4850-19567</t>
  </si>
  <si>
    <t>나 혼자만 일일 보상 6권</t>
  </si>
  <si>
    <t>ID:3180-6957-8160-33436</t>
  </si>
  <si>
    <t>나 혼자만 일일 보상 7권</t>
  </si>
  <si>
    <t>ID:3124-7277-6247-90588</t>
  </si>
  <si>
    <t>나 혼자만 일일 보상 8권</t>
  </si>
  <si>
    <t>ID:3130-0726-6418-00382</t>
  </si>
  <si>
    <t>나 혼자만 일일 보상 9권 (완결)</t>
  </si>
  <si>
    <t>22. 4. 28.</t>
  </si>
  <si>
    <t>ID:3172-7783-2829-64189</t>
  </si>
  <si>
    <t>ID:3116-7662-8116-59588</t>
  </si>
  <si>
    <t>ID:3138-0382-9593-64874</t>
  </si>
  <si>
    <t>구글북스</t>
  </si>
  <si>
    <t>구분</t>
    <phoneticPr fontId="3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</si>
  <si>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</si>
  <si>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</si>
  <si>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</si>
  <si>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</si>
  <si>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</si>
  <si>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</si>
  <si>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</si>
  <si>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</si>
  <si>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</si>
  <si>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</si>
  <si>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</si>
  <si>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</si>
  <si>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</si>
  <si>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</si>
  <si>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</si>
  <si>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</si>
  <si>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</si>
  <si>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</si>
  <si>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</si>
  <si>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</si>
  <si>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</si>
  <si>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3" type="noConversion"/>
  </si>
  <si>
    <t>SW매출</t>
    <phoneticPr fontId="3" type="noConversion"/>
  </si>
  <si>
    <t>시리즈(APP)</t>
  </si>
  <si>
    <t>BJ소드마스터 [독점]</t>
  </si>
  <si>
    <t>스토리위즈_1</t>
  </si>
  <si>
    <t>전체이용가</t>
  </si>
  <si>
    <t>2020.07.24</t>
  </si>
  <si>
    <t>말빨</t>
  </si>
  <si>
    <t>2020.02.12</t>
  </si>
  <si>
    <t>2018.12.20</t>
  </si>
  <si>
    <t>나 혼자만 일일 보상 [단행본]</t>
  </si>
  <si>
    <t>2020.03.05</t>
  </si>
  <si>
    <t>던전 공략 LIVE [단행본]</t>
  </si>
  <si>
    <t>2018.02.21</t>
  </si>
  <si>
    <t>던전 공략 LIVE</t>
  </si>
  <si>
    <t>2018.06.20</t>
  </si>
  <si>
    <t>완전판APP</t>
  </si>
  <si>
    <t>시리즈(IOS)</t>
  </si>
  <si>
    <t>네이버APP</t>
  </si>
  <si>
    <t>구분</t>
    <phoneticPr fontId="3" type="noConversion"/>
  </si>
  <si>
    <t>순매출(합계-수수료)</t>
    <phoneticPr fontId="3" type="noConversion"/>
  </si>
  <si>
    <t>SW매출</t>
    <phoneticPr fontId="3" type="noConversion"/>
  </si>
  <si>
    <t>N스토어(PC)</t>
  </si>
  <si>
    <t>PC뷰어(PC)</t>
  </si>
  <si>
    <t>시리즈 ID</t>
  </si>
  <si>
    <t>도서 ID</t>
  </si>
  <si>
    <t>제목</t>
  </si>
  <si>
    <t>권/화수</t>
  </si>
  <si>
    <t>저자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</si>
  <si>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</si>
  <si>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</si>
  <si>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</si>
  <si>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</si>
  <si>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</si>
  <si>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</si>
  <si>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</si>
  <si>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</si>
  <si>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</si>
  <si>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</si>
  <si>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</si>
  <si>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</si>
  <si>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</si>
  <si>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</si>
  <si>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</si>
  <si>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</si>
  <si>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</si>
  <si>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</si>
  <si>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</si>
  <si>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</si>
  <si>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</si>
  <si>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</si>
  <si>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</si>
  <si>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</si>
  <si>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</si>
  <si>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</si>
  <si>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</si>
  <si>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</si>
  <si>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</si>
  <si>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</si>
  <si>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</si>
  <si>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</si>
  <si>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</si>
  <si>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수수료(30%)</t>
    <phoneticPr fontId="3" type="noConversion"/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</si>
  <si>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</si>
  <si>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</si>
  <si>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</si>
  <si>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</si>
  <si>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</si>
  <si>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</si>
  <si>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</si>
  <si>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</si>
  <si>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</si>
  <si>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[e북]나 혼자만 일일 보상 2권</t>
  </si>
  <si>
    <t>[e북]나 혼자만 일일 보상</t>
  </si>
  <si>
    <t>9791159289583</t>
  </si>
  <si>
    <t>판타지 e북 &gt; 퓨전 판타지</t>
  </si>
  <si>
    <t>[e북]나 혼자만 일일 보상 3권</t>
  </si>
  <si>
    <t>9791159289590</t>
  </si>
  <si>
    <t>[e북]나 혼자만 일일 보상 4권</t>
  </si>
  <si>
    <t>9791159289606</t>
  </si>
  <si>
    <t>[e북]나 혼자만 일일 보상 5권</t>
  </si>
  <si>
    <t>9791159289613</t>
  </si>
  <si>
    <t>[e북]나 혼자만 일일 보상 6권</t>
  </si>
  <si>
    <t>9791159289620</t>
  </si>
  <si>
    <t>[e북]나 혼자만 일일 보상 7권</t>
  </si>
  <si>
    <t>9791159289637</t>
  </si>
  <si>
    <t>[e북]나 혼자만 일일 보상 8권</t>
  </si>
  <si>
    <t>8</t>
  </si>
  <si>
    <t>9791159289644</t>
  </si>
  <si>
    <t>[e북]나 혼자만 일일 보상 9권</t>
  </si>
  <si>
    <t>9</t>
  </si>
  <si>
    <t>9791159289651</t>
  </si>
  <si>
    <t>[e북]나 혼자만 일일 보상 (외전) (완결)</t>
  </si>
  <si>
    <t>10</t>
  </si>
  <si>
    <t>[e북]말빨 2권</t>
  </si>
  <si>
    <t>[e북]말빨</t>
  </si>
  <si>
    <t>0000000000000</t>
  </si>
  <si>
    <t>9791165311766</t>
  </si>
  <si>
    <t>판타지 e북 &gt; 게임 판타지</t>
  </si>
  <si>
    <t>[e북]말빨 3권</t>
  </si>
  <si>
    <t>9791165311773</t>
  </si>
  <si>
    <t>[e북]말빨 4권</t>
  </si>
  <si>
    <t>9791165311780</t>
  </si>
  <si>
    <t>[e북]말빨 5권</t>
  </si>
  <si>
    <t>9791165311797</t>
  </si>
  <si>
    <t>[e북]말빨 6권</t>
  </si>
  <si>
    <t>9791165311803</t>
  </si>
  <si>
    <t>[e북]말빨 7권</t>
  </si>
  <si>
    <t>9791165311810</t>
  </si>
  <si>
    <t>[e북]말빨 8권</t>
  </si>
  <si>
    <t>9791165311827</t>
  </si>
  <si>
    <t>[e북]말빨 9권 (완결)</t>
  </si>
  <si>
    <t>9791165311834</t>
  </si>
  <si>
    <t>던전 공략 LIVE 16화</t>
  </si>
  <si>
    <t>16</t>
  </si>
  <si>
    <t>9791159283307</t>
  </si>
  <si>
    <t>10281429451</t>
  </si>
  <si>
    <t>판타지 웹소설 &gt; 현대 판타지</t>
  </si>
  <si>
    <t>던전 공략 LIVE 17화</t>
  </si>
  <si>
    <t>17</t>
  </si>
  <si>
    <t>던전 공략 LIVE 18화</t>
  </si>
  <si>
    <t>18</t>
  </si>
  <si>
    <t>던전 공략 LIVE 19화</t>
  </si>
  <si>
    <t>19</t>
  </si>
  <si>
    <t>던전 공략 LIVE 20화</t>
  </si>
  <si>
    <t>20</t>
  </si>
  <si>
    <t>던전 공략 LIVE 21화</t>
  </si>
  <si>
    <t>21</t>
  </si>
  <si>
    <t>던전 공략 LIVE 22화</t>
  </si>
  <si>
    <t>22</t>
  </si>
  <si>
    <t>던전 공략 LIVE 23화</t>
  </si>
  <si>
    <t>23</t>
  </si>
  <si>
    <t>던전 공략 LIVE 24화</t>
  </si>
  <si>
    <t>24</t>
  </si>
  <si>
    <t>던전 공략 LIVE 25화</t>
  </si>
  <si>
    <t>25</t>
  </si>
  <si>
    <t>던전 공략 LIVE 26화</t>
  </si>
  <si>
    <t>26</t>
  </si>
  <si>
    <t>던전 공략 LIVE 27화</t>
  </si>
  <si>
    <t>27</t>
  </si>
  <si>
    <t>던전 공략 LIVE 28화</t>
  </si>
  <si>
    <t>28</t>
  </si>
  <si>
    <t>던전 공략 LIVE 29화</t>
  </si>
  <si>
    <t>29</t>
  </si>
  <si>
    <t>던전 공략 LIVE 30화</t>
  </si>
  <si>
    <t>30</t>
  </si>
  <si>
    <t>던전 공략 LIVE 31화</t>
  </si>
  <si>
    <t>31</t>
  </si>
  <si>
    <t>던전 공략 LIVE 32화</t>
  </si>
  <si>
    <t>32</t>
  </si>
  <si>
    <t>던전 공략 LIVE 33화</t>
  </si>
  <si>
    <t>33</t>
  </si>
  <si>
    <t>던전 공략 LIVE 34화</t>
  </si>
  <si>
    <t>34</t>
  </si>
  <si>
    <t>말빨 93화</t>
  </si>
  <si>
    <t>93</t>
  </si>
  <si>
    <t>9791165310820</t>
  </si>
  <si>
    <t>판타지 웹소설 &gt; 퓨전 판타지</t>
  </si>
  <si>
    <t>말빨 94화</t>
  </si>
  <si>
    <t>94</t>
  </si>
  <si>
    <t>말빨 107화</t>
  </si>
  <si>
    <t>107</t>
  </si>
  <si>
    <t>말빨 109화</t>
  </si>
  <si>
    <t>109</t>
  </si>
  <si>
    <t>말빨 110화</t>
  </si>
  <si>
    <t>110</t>
  </si>
  <si>
    <t>말빨 205화</t>
  </si>
  <si>
    <t>205</t>
  </si>
  <si>
    <t>던전 공략 LIVE 1화</t>
  </si>
  <si>
    <t>던전 공략 LIVE 2화</t>
  </si>
  <si>
    <t>던전 공략 LIVE 3화</t>
  </si>
  <si>
    <t>던전 공략 LIVE 4화</t>
  </si>
  <si>
    <t>던전 공략 LIVE 5화</t>
  </si>
  <si>
    <t>던전 공략 LIVE 6화</t>
  </si>
  <si>
    <t>던전 공략 LIVE 7화</t>
  </si>
  <si>
    <t>던전 공략 LIVE 8화</t>
  </si>
  <si>
    <t>던전 공략 LIVE 9화</t>
  </si>
  <si>
    <t>던전 공략 LIVE 10화</t>
  </si>
  <si>
    <t>던전 공략 LIVE 11화</t>
  </si>
  <si>
    <t>11</t>
  </si>
  <si>
    <t>던전 공략 LIVE 12화</t>
  </si>
  <si>
    <t>12</t>
  </si>
  <si>
    <t>던전 공략 LIVE 13화</t>
  </si>
  <si>
    <t>13</t>
  </si>
  <si>
    <t>던전 공략 LIVE 14화</t>
  </si>
  <si>
    <t>14</t>
  </si>
  <si>
    <t>던전 공략 LIVE 15화</t>
  </si>
  <si>
    <t>15</t>
  </si>
  <si>
    <t>[e북]던전 공략 LIVE 1권</t>
  </si>
  <si>
    <t>[e북]던전 공략 LIVE</t>
  </si>
  <si>
    <t>9791159286568</t>
  </si>
  <si>
    <t>판타지 e북 &gt; 현대 판타지</t>
  </si>
  <si>
    <t>[e북]던전 공략 LIVE 2권</t>
  </si>
  <si>
    <t>9791159286575</t>
  </si>
  <si>
    <t>[e북]던전 공략 LIVE 3권</t>
  </si>
  <si>
    <t>9791159286582</t>
  </si>
  <si>
    <t>[e북]던전 공략 LIVE 4권</t>
  </si>
  <si>
    <t>9791159286599</t>
  </si>
  <si>
    <t>[e북]던전 공략 LIVE 5권</t>
  </si>
  <si>
    <t>9791159286605</t>
  </si>
  <si>
    <t>[e북]던전 공략 LIVE 6권</t>
  </si>
  <si>
    <t>9791159286612</t>
  </si>
  <si>
    <t>[e북]던전 공략 LIVE 7권</t>
  </si>
  <si>
    <t>9791159286629</t>
  </si>
  <si>
    <t>[e북]던전 공략 LIVE 8권 (완결)</t>
  </si>
  <si>
    <t>9791159286636</t>
  </si>
  <si>
    <t>나 혼자만 일일 보상 1화</t>
  </si>
  <si>
    <t>9791159286889</t>
  </si>
  <si>
    <t>나 혼자만 일일 보상 2화</t>
  </si>
  <si>
    <t>나 혼자만 일일 보상 3화</t>
  </si>
  <si>
    <t>나 혼자만 일일 보상 4화</t>
  </si>
  <si>
    <t>나 혼자만 일일 보상 5화</t>
  </si>
  <si>
    <t>나 혼자만 일일 보상 6화</t>
  </si>
  <si>
    <t>나 혼자만 일일 보상 7화</t>
  </si>
  <si>
    <t>나 혼자만 일일 보상 8화</t>
  </si>
  <si>
    <t>나 혼자만 일일 보상 9화</t>
  </si>
  <si>
    <t>나 혼자만 일일 보상 10화</t>
  </si>
  <si>
    <t>나 혼자만 일일 보상 11화</t>
  </si>
  <si>
    <t>나 혼자만 일일 보상 12화</t>
  </si>
  <si>
    <t>나 혼자만 일일 보상 13화</t>
  </si>
  <si>
    <t>나 혼자만 일일 보상 14화</t>
  </si>
  <si>
    <t>나 혼자만 일일 보상 15화</t>
  </si>
  <si>
    <t>나 혼자만 일일 보상 16화</t>
  </si>
  <si>
    <t>나 혼자만 일일 보상 17화</t>
  </si>
  <si>
    <t>나 혼자만 일일 보상 18화</t>
  </si>
  <si>
    <t>나 혼자만 일일 보상 19화</t>
  </si>
  <si>
    <t>나 혼자만 일일 보상 20화</t>
  </si>
  <si>
    <t>나 혼자만 일일 보상 21화</t>
  </si>
  <si>
    <t>나 혼자만 일일 보상 22화</t>
  </si>
  <si>
    <t>나 혼자만 일일 보상 23화</t>
  </si>
  <si>
    <t>나 혼자만 일일 보상 24화</t>
  </si>
  <si>
    <t>나 혼자만 일일 보상 25화</t>
  </si>
  <si>
    <t>나 혼자만 일일 보상 26화</t>
  </si>
  <si>
    <t>나 혼자만 일일 보상 27화</t>
  </si>
  <si>
    <t>나 혼자만 일일 보상 28화</t>
  </si>
  <si>
    <t>나 혼자만 일일 보상 29화</t>
  </si>
  <si>
    <t>나 혼자만 일일 보상 30화</t>
  </si>
  <si>
    <t>나 혼자만 일일 보상 31화</t>
  </si>
  <si>
    <t>나 혼자만 일일 보상 32화</t>
  </si>
  <si>
    <t>나 혼자만 일일 보상 33화</t>
  </si>
  <si>
    <t>나 혼자만 일일 보상 35화</t>
  </si>
  <si>
    <t>35</t>
  </si>
  <si>
    <t>나 혼자만 일일 보상 36화</t>
  </si>
  <si>
    <t>36</t>
  </si>
  <si>
    <t>나 혼자만 일일 보상 37화</t>
  </si>
  <si>
    <t>37</t>
  </si>
  <si>
    <t>나 혼자만 일일 보상 38화</t>
  </si>
  <si>
    <t>38</t>
  </si>
  <si>
    <t>나 혼자만 일일 보상 39화</t>
  </si>
  <si>
    <t>39</t>
  </si>
  <si>
    <t>나 혼자만 일일 보상 40화</t>
  </si>
  <si>
    <t>40</t>
  </si>
  <si>
    <t>나 혼자만 일일 보상 41화</t>
  </si>
  <si>
    <t>41</t>
  </si>
  <si>
    <t>나 혼자만 일일 보상 42화</t>
  </si>
  <si>
    <t>42</t>
  </si>
  <si>
    <t>나 혼자만 일일 보상 43화</t>
  </si>
  <si>
    <t>43</t>
  </si>
  <si>
    <t>나 혼자만 일일 보상 44화</t>
  </si>
  <si>
    <t>44</t>
  </si>
  <si>
    <t>나 혼자만 일일 보상 45화</t>
  </si>
  <si>
    <t>45</t>
  </si>
  <si>
    <t>나 혼자만 일일 보상 46화</t>
  </si>
  <si>
    <t>46</t>
  </si>
  <si>
    <t>나 혼자만 일일 보상 47화</t>
  </si>
  <si>
    <t>47</t>
  </si>
  <si>
    <t>나 혼자만 일일 보상 48화</t>
  </si>
  <si>
    <t>48</t>
  </si>
  <si>
    <t>나 혼자만 일일 보상 49화</t>
  </si>
  <si>
    <t>49</t>
  </si>
  <si>
    <t>나 혼자만 일일 보상 50화</t>
  </si>
  <si>
    <t>나 혼자만 일일 보상 51화</t>
  </si>
  <si>
    <t>51</t>
  </si>
  <si>
    <t>나 혼자만 일일 보상 52화</t>
  </si>
  <si>
    <t>52</t>
  </si>
  <si>
    <t>나 혼자만 일일 보상 53화</t>
  </si>
  <si>
    <t>53</t>
  </si>
  <si>
    <t>나 혼자만 일일 보상 54화</t>
  </si>
  <si>
    <t>54</t>
  </si>
  <si>
    <t>나 혼자만 일일 보상 55화</t>
  </si>
  <si>
    <t>55</t>
  </si>
  <si>
    <t>나 혼자만 일일 보상 56화</t>
  </si>
  <si>
    <t>56</t>
  </si>
  <si>
    <t>나 혼자만 일일 보상 57화</t>
  </si>
  <si>
    <t>57</t>
  </si>
  <si>
    <t>나 혼자만 일일 보상 58화</t>
  </si>
  <si>
    <t>58</t>
  </si>
  <si>
    <t>나 혼자만 일일 보상 59화</t>
  </si>
  <si>
    <t>59</t>
  </si>
  <si>
    <t>나 혼자만 일일 보상 60화</t>
  </si>
  <si>
    <t>60</t>
  </si>
  <si>
    <t>나 혼자만 일일 보상 61화</t>
  </si>
  <si>
    <t>61</t>
  </si>
  <si>
    <t>나 혼자만 일일 보상 62화</t>
  </si>
  <si>
    <t>62</t>
  </si>
  <si>
    <t>나 혼자만 일일 보상 34화</t>
  </si>
  <si>
    <t>[e북]나 혼자만 일일 보상 1권</t>
  </si>
  <si>
    <t>9791159289576</t>
  </si>
  <si>
    <t>말빨 1화</t>
  </si>
  <si>
    <t>말빨 2화</t>
  </si>
  <si>
    <t>[e북]말빨 1권</t>
  </si>
  <si>
    <t>9791165311759</t>
  </si>
  <si>
    <t>NO</t>
  </si>
  <si>
    <t>작가</t>
  </si>
  <si>
    <t>타이틀</t>
  </si>
  <si>
    <t>플랫폼</t>
  </si>
  <si>
    <t>코인</t>
  </si>
  <si>
    <t>금액</t>
  </si>
  <si>
    <t>결제</t>
  </si>
  <si>
    <t>이벤트</t>
  </si>
  <si>
    <t>수수료공제액</t>
    <phoneticPr fontId="3" type="noConversion"/>
  </si>
  <si>
    <t>정산비율</t>
  </si>
  <si>
    <t>M</t>
  </si>
  <si>
    <t>W</t>
  </si>
  <si>
    <t>A</t>
  </si>
  <si>
    <t>무툰</t>
  </si>
  <si>
    <t>날짜</t>
  </si>
  <si>
    <t>구분</t>
  </si>
  <si>
    <t>계정</t>
  </si>
  <si>
    <t>작품코드</t>
  </si>
  <si>
    <t>작품</t>
  </si>
  <si>
    <t>구매</t>
  </si>
  <si>
    <t>구매취소</t>
  </si>
  <si>
    <t>대여취소</t>
  </si>
  <si>
    <t>총매출</t>
  </si>
  <si>
    <t>IOS매출</t>
  </si>
  <si>
    <t>정산</t>
  </si>
  <si>
    <t>문피아</t>
  </si>
  <si>
    <t>이동열</t>
    <phoneticPr fontId="3" type="noConversion"/>
  </si>
  <si>
    <t>kt_0601</t>
  </si>
  <si>
    <t>나 혼자만 일일 보상 [D]</t>
  </si>
  <si>
    <t>작품명</t>
  </si>
  <si>
    <t>코드</t>
  </si>
  <si>
    <t>정액_건수</t>
    <phoneticPr fontId="18" type="noConversion"/>
  </si>
  <si>
    <t>정액_매출액</t>
    <phoneticPr fontId="18" type="noConversion"/>
  </si>
  <si>
    <t>정액_정산액</t>
    <phoneticPr fontId="18" type="noConversion"/>
  </si>
  <si>
    <t>블루머니_권별대여_건수</t>
    <phoneticPr fontId="3" type="noConversion"/>
  </si>
  <si>
    <t>블루머니_권별대여_이용권(화) 수</t>
    <phoneticPr fontId="3" type="noConversion"/>
  </si>
  <si>
    <t>블루머니_권별대여_매출액</t>
    <phoneticPr fontId="3" type="noConversion"/>
  </si>
  <si>
    <t>블루머니_권별소장_건수</t>
    <phoneticPr fontId="3" type="noConversion"/>
  </si>
  <si>
    <t>블루머니_권별소장_이용권(화) 수</t>
    <phoneticPr fontId="3" type="noConversion"/>
  </si>
  <si>
    <t>블루머니_권별소장_매출액</t>
    <phoneticPr fontId="3" type="noConversion"/>
  </si>
  <si>
    <t>블루머니_전권대여_건수</t>
    <phoneticPr fontId="3" type="noConversion"/>
  </si>
  <si>
    <t>블루머니_전권대여_이용권(화) 수</t>
    <phoneticPr fontId="3" type="noConversion"/>
  </si>
  <si>
    <t>블루머니_전권대여_매출액</t>
    <phoneticPr fontId="3" type="noConversion"/>
  </si>
  <si>
    <t>블루머니_전권소장_건수</t>
    <phoneticPr fontId="3" type="noConversion"/>
  </si>
  <si>
    <t>블루머니_전권소장_이용권(화) 수</t>
    <phoneticPr fontId="3" type="noConversion"/>
  </si>
  <si>
    <t>블루머니_전권소장_매출액</t>
    <phoneticPr fontId="3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</si>
  <si>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</si>
  <si>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</si>
  <si>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</si>
  <si>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</si>
  <si>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</si>
  <si>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</si>
  <si>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</si>
  <si>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</si>
  <si>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</si>
  <si>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</si>
  <si>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</si>
  <si>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</si>
  <si>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3" type="noConversion"/>
  </si>
  <si>
    <t>계_이용권(화)수</t>
    <phoneticPr fontId="3" type="noConversion"/>
  </si>
  <si>
    <t>계_매출액</t>
    <phoneticPr fontId="3" type="noConversion"/>
  </si>
  <si>
    <t>계_정산액</t>
    <phoneticPr fontId="3" type="noConversion"/>
  </si>
  <si>
    <t>매출액</t>
    <phoneticPr fontId="18" type="noConversion"/>
  </si>
  <si>
    <t>정산액</t>
    <phoneticPr fontId="18" type="noConversion"/>
  </si>
  <si>
    <t>ktn03_0022</t>
  </si>
  <si>
    <t>미스터블루</t>
  </si>
  <si>
    <t>작품ID</t>
  </si>
  <si>
    <t>필자명</t>
  </si>
  <si>
    <t>판매(원)</t>
  </si>
  <si>
    <t>정산(원)</t>
  </si>
  <si>
    <t>스낵북</t>
  </si>
  <si>
    <t>파트너명</t>
  </si>
  <si>
    <t>파트너ID</t>
  </si>
  <si>
    <t>사업자구분</t>
  </si>
  <si>
    <t>채널상품ID</t>
  </si>
  <si>
    <t>채널상품명</t>
  </si>
  <si>
    <t>회차</t>
  </si>
  <si>
    <t>상품ID</t>
  </si>
  <si>
    <t>2차정산여부</t>
  </si>
  <si>
    <t>카테고리</t>
  </si>
  <si>
    <t>글작가</t>
  </si>
  <si>
    <t>그림작가</t>
  </si>
  <si>
    <t>타입</t>
    <phoneticPr fontId="18" type="noConversion"/>
  </si>
  <si>
    <t>판매건수</t>
  </si>
  <si>
    <t>취소건수</t>
  </si>
  <si>
    <t>정액제 정산대상액</t>
  </si>
  <si>
    <t>판매_건수</t>
    <phoneticPr fontId="18" type="noConversion"/>
  </si>
  <si>
    <t>판매_금액</t>
    <phoneticPr fontId="18" type="noConversion"/>
  </si>
  <si>
    <t>취소_건수</t>
    <phoneticPr fontId="18" type="noConversion"/>
  </si>
  <si>
    <t>취소_금액</t>
    <phoneticPr fontId="18" type="noConversion"/>
  </si>
  <si>
    <t>결제수단_고객결제</t>
    <phoneticPr fontId="18" type="noConversion"/>
  </si>
  <si>
    <t>결제수단_고객결제(현금영수증)</t>
    <phoneticPr fontId="18" type="noConversion"/>
  </si>
  <si>
    <t>결제수단_쿠폰/포인트등</t>
    <phoneticPr fontId="18" type="noConversion"/>
  </si>
  <si>
    <t>서비스이용료_고객결제서비스이용료</t>
    <phoneticPr fontId="18" type="noConversion"/>
  </si>
  <si>
    <t>서비스이용료_쿠폰/포인트 등</t>
    <phoneticPr fontId="18" type="noConversion"/>
  </si>
  <si>
    <t>서비스이용료_차감</t>
    <phoneticPr fontId="18" type="noConversion"/>
  </si>
  <si>
    <t>정산지급액</t>
  </si>
  <si>
    <t>정산유형</t>
  </si>
  <si>
    <t>주식회사 스토리위즈</t>
  </si>
  <si>
    <t>storywiz1</t>
  </si>
  <si>
    <t>원스토어㈜</t>
  </si>
  <si>
    <t>H035795481</t>
  </si>
  <si>
    <t>[연재] 나 혼자만 일일 보상 100회</t>
  </si>
  <si>
    <t>100</t>
  </si>
  <si>
    <t>H035795787</t>
  </si>
  <si>
    <t>2차</t>
  </si>
  <si>
    <t>연재</t>
  </si>
  <si>
    <t>정규</t>
  </si>
  <si>
    <t>[연재] 나 혼자만 일일 보상 101회</t>
  </si>
  <si>
    <t>101</t>
  </si>
  <si>
    <t>H035795786</t>
  </si>
  <si>
    <t>[연재] 나 혼자만 일일 보상 102회</t>
  </si>
  <si>
    <t>102</t>
  </si>
  <si>
    <t>H035795785</t>
  </si>
  <si>
    <t>[연재] 나 혼자만 일일 보상 103회</t>
  </si>
  <si>
    <t>103</t>
  </si>
  <si>
    <t>H035795784</t>
  </si>
  <si>
    <t>[연재] 나 혼자만 일일 보상 104회</t>
  </si>
  <si>
    <t>104</t>
  </si>
  <si>
    <t>H035795783</t>
  </si>
  <si>
    <t>[연재] 나 혼자만 일일 보상 105회</t>
  </si>
  <si>
    <t>105</t>
  </si>
  <si>
    <t>H035795782</t>
  </si>
  <si>
    <t>[연재] 나 혼자만 일일 보상 106회</t>
  </si>
  <si>
    <t>106</t>
  </si>
  <si>
    <t>H035795781</t>
  </si>
  <si>
    <t>[연재] 나 혼자만 일일 보상 107회</t>
  </si>
  <si>
    <t>H035795780</t>
  </si>
  <si>
    <t>[연재] 나 혼자만 일일 보상 108회</t>
  </si>
  <si>
    <t>108</t>
  </si>
  <si>
    <t>H035795779</t>
  </si>
  <si>
    <t>[연재] 나 혼자만 일일 보상 109회</t>
  </si>
  <si>
    <t>H035795778</t>
  </si>
  <si>
    <t>[연재] 나 혼자만 일일 보상 110회</t>
  </si>
  <si>
    <t>H035795777</t>
  </si>
  <si>
    <t>[연재] 나 혼자만 일일 보상 111회</t>
  </si>
  <si>
    <t>111</t>
  </si>
  <si>
    <t>H035795776</t>
  </si>
  <si>
    <t>[연재] 나 혼자만 일일 보상 112회</t>
  </si>
  <si>
    <t>112</t>
  </si>
  <si>
    <t>H035795775</t>
  </si>
  <si>
    <t>[연재] 나 혼자만 일일 보상 113회</t>
  </si>
  <si>
    <t>113</t>
  </si>
  <si>
    <t>H035795774</t>
  </si>
  <si>
    <t>[연재] 나 혼자만 일일 보상 114회</t>
  </si>
  <si>
    <t>114</t>
  </si>
  <si>
    <t>H035795773</t>
  </si>
  <si>
    <t>[연재] 나 혼자만 일일 보상 115회</t>
  </si>
  <si>
    <t>115</t>
  </si>
  <si>
    <t>H035795772</t>
  </si>
  <si>
    <t>[연재] 나 혼자만 일일 보상 116회</t>
  </si>
  <si>
    <t>116</t>
  </si>
  <si>
    <t>H035795771</t>
  </si>
  <si>
    <t>[연재] 나 혼자만 일일 보상 117회</t>
  </si>
  <si>
    <t>117</t>
  </si>
  <si>
    <t>H035795770</t>
  </si>
  <si>
    <t>[연재] 나 혼자만 일일 보상 118회</t>
  </si>
  <si>
    <t>118</t>
  </si>
  <si>
    <t>H035795769</t>
  </si>
  <si>
    <t>[연재] 나 혼자만 일일 보상 119회</t>
  </si>
  <si>
    <t>119</t>
  </si>
  <si>
    <t>H035795768</t>
  </si>
  <si>
    <t>[연재] 나 혼자만 일일 보상 120회</t>
  </si>
  <si>
    <t>120</t>
  </si>
  <si>
    <t>H035795767</t>
  </si>
  <si>
    <t>[연재] 나 혼자만 일일 보상 121회</t>
  </si>
  <si>
    <t>121</t>
  </si>
  <si>
    <t>H035795766</t>
  </si>
  <si>
    <t>[연재] 나 혼자만 일일 보상 122회</t>
  </si>
  <si>
    <t>122</t>
  </si>
  <si>
    <t>H035795765</t>
  </si>
  <si>
    <t>[연재] 나 혼자만 일일 보상 123회</t>
  </si>
  <si>
    <t>123</t>
  </si>
  <si>
    <t>H035795764</t>
  </si>
  <si>
    <t>[연재] 나 혼자만 일일 보상 124회</t>
  </si>
  <si>
    <t>124</t>
  </si>
  <si>
    <t>H035795763</t>
  </si>
  <si>
    <t>[연재] 나 혼자만 일일 보상 125회</t>
  </si>
  <si>
    <t>125</t>
  </si>
  <si>
    <t>H035795762</t>
  </si>
  <si>
    <t>[연재] 나 혼자만 일일 보상 126회</t>
  </si>
  <si>
    <t>126</t>
  </si>
  <si>
    <t>H035795761</t>
  </si>
  <si>
    <t>[연재] 나 혼자만 일일 보상 127회</t>
  </si>
  <si>
    <t>127</t>
  </si>
  <si>
    <t>H035795760</t>
  </si>
  <si>
    <t>[연재] 나 혼자만 일일 보상 128회</t>
  </si>
  <si>
    <t>128</t>
  </si>
  <si>
    <t>H035795759</t>
  </si>
  <si>
    <t>[연재] 나 혼자만 일일 보상 129회</t>
  </si>
  <si>
    <t>129</t>
  </si>
  <si>
    <t>H035795758</t>
  </si>
  <si>
    <t>[연재] 나 혼자만 일일 보상 130회</t>
  </si>
  <si>
    <t>130</t>
  </si>
  <si>
    <t>H035795757</t>
  </si>
  <si>
    <t>[연재] 나 혼자만 일일 보상 131회</t>
  </si>
  <si>
    <t>131</t>
  </si>
  <si>
    <t>H035795756</t>
  </si>
  <si>
    <t>[연재] 나 혼자만 일일 보상 132회</t>
  </si>
  <si>
    <t>132</t>
  </si>
  <si>
    <t>H035795755</t>
  </si>
  <si>
    <t>[연재] 나 혼자만 일일 보상 133회</t>
  </si>
  <si>
    <t>133</t>
  </si>
  <si>
    <t>H035795754</t>
  </si>
  <si>
    <t>[연재] 나 혼자만 일일 보상 134회</t>
  </si>
  <si>
    <t>134</t>
  </si>
  <si>
    <t>H035795753</t>
  </si>
  <si>
    <t>[연재] 나 혼자만 일일 보상 135회</t>
  </si>
  <si>
    <t>135</t>
  </si>
  <si>
    <t>H035795752</t>
  </si>
  <si>
    <t>[연재] 나 혼자만 일일 보상 136회</t>
  </si>
  <si>
    <t>136</t>
  </si>
  <si>
    <t>H035795751</t>
  </si>
  <si>
    <t>[연재] 나 혼자만 일일 보상 137회</t>
  </si>
  <si>
    <t>137</t>
  </si>
  <si>
    <t>H035795750</t>
  </si>
  <si>
    <t>[연재] 나 혼자만 일일 보상 138회</t>
  </si>
  <si>
    <t>138</t>
  </si>
  <si>
    <t>H035795749</t>
  </si>
  <si>
    <t>[연재] 나 혼자만 일일 보상 139회</t>
  </si>
  <si>
    <t>139</t>
  </si>
  <si>
    <t>H035795748</t>
  </si>
  <si>
    <t>[연재] 나 혼자만 일일 보상 140회</t>
  </si>
  <si>
    <t>140</t>
  </si>
  <si>
    <t>H035795747</t>
  </si>
  <si>
    <t>[연재] 나 혼자만 일일 보상 141회</t>
  </si>
  <si>
    <t>141</t>
  </si>
  <si>
    <t>H035795746</t>
  </si>
  <si>
    <t>[연재] 나 혼자만 일일 보상 142회</t>
  </si>
  <si>
    <t>142</t>
  </si>
  <si>
    <t>H035795745</t>
  </si>
  <si>
    <t>[연재] 나 혼자만 일일 보상 143회</t>
  </si>
  <si>
    <t>143</t>
  </si>
  <si>
    <t>H035795744</t>
  </si>
  <si>
    <t>[연재] 나 혼자만 일일 보상 144회</t>
  </si>
  <si>
    <t>144</t>
  </si>
  <si>
    <t>H035795743</t>
  </si>
  <si>
    <t>[연재] 나 혼자만 일일 보상 145회</t>
  </si>
  <si>
    <t>145</t>
  </si>
  <si>
    <t>H035795742</t>
  </si>
  <si>
    <t>[연재] 나 혼자만 일일 보상 146회</t>
  </si>
  <si>
    <t>146</t>
  </si>
  <si>
    <t>H035795741</t>
  </si>
  <si>
    <t>[연재] 나 혼자만 일일 보상 147회</t>
  </si>
  <si>
    <t>147</t>
  </si>
  <si>
    <t>H035795740</t>
  </si>
  <si>
    <t>[연재] 나 혼자만 일일 보상 148회</t>
  </si>
  <si>
    <t>148</t>
  </si>
  <si>
    <t>H035795739</t>
  </si>
  <si>
    <t>[연재] 나 혼자만 일일 보상 149회</t>
  </si>
  <si>
    <t>149</t>
  </si>
  <si>
    <t>H035795738</t>
  </si>
  <si>
    <t>[연재] 나 혼자만 일일 보상 150회</t>
  </si>
  <si>
    <t>150</t>
  </si>
  <si>
    <t>H035795737</t>
  </si>
  <si>
    <t>[연재] 나 혼자만 일일 보상 151회</t>
  </si>
  <si>
    <t>151</t>
  </si>
  <si>
    <t>H035795736</t>
  </si>
  <si>
    <t>[연재] 나 혼자만 일일 보상 152회</t>
  </si>
  <si>
    <t>152</t>
  </si>
  <si>
    <t>H035795735</t>
  </si>
  <si>
    <t>[연재] 나 혼자만 일일 보상 153회</t>
  </si>
  <si>
    <t>153</t>
  </si>
  <si>
    <t>H035795734</t>
  </si>
  <si>
    <t>[연재] 나 혼자만 일일 보상 154회</t>
  </si>
  <si>
    <t>154</t>
  </si>
  <si>
    <t>H035795733</t>
  </si>
  <si>
    <t>[연재] 나 혼자만 일일 보상 155회</t>
  </si>
  <si>
    <t>155</t>
  </si>
  <si>
    <t>H035795732</t>
  </si>
  <si>
    <t>[연재] 나 혼자만 일일 보상 156회</t>
  </si>
  <si>
    <t>156</t>
  </si>
  <si>
    <t>H035795731</t>
  </si>
  <si>
    <t>[연재] 나 혼자만 일일 보상 157회</t>
  </si>
  <si>
    <t>157</t>
  </si>
  <si>
    <t>H035795730</t>
  </si>
  <si>
    <t>[연재] 나 혼자만 일일 보상 158회</t>
  </si>
  <si>
    <t>158</t>
  </si>
  <si>
    <t>H035795729</t>
  </si>
  <si>
    <t>[연재] 나 혼자만 일일 보상 159회</t>
  </si>
  <si>
    <t>159</t>
  </si>
  <si>
    <t>H035795728</t>
  </si>
  <si>
    <t>[연재] 나 혼자만 일일 보상 160회</t>
  </si>
  <si>
    <t>160</t>
  </si>
  <si>
    <t>H035795727</t>
  </si>
  <si>
    <t>[연재] 나 혼자만 일일 보상 161회</t>
  </si>
  <si>
    <t>161</t>
  </si>
  <si>
    <t>H035795726</t>
  </si>
  <si>
    <t>[연재] 나 혼자만 일일 보상 162회</t>
  </si>
  <si>
    <t>162</t>
  </si>
  <si>
    <t>H035795725</t>
  </si>
  <si>
    <t>[연재] 나 혼자만 일일 보상 163회</t>
  </si>
  <si>
    <t>163</t>
  </si>
  <si>
    <t>H035795724</t>
  </si>
  <si>
    <t>[연재] 나 혼자만 일일 보상 164회</t>
  </si>
  <si>
    <t>164</t>
  </si>
  <si>
    <t>H035795723</t>
  </si>
  <si>
    <t>[연재] 나 혼자만 일일 보상 165회</t>
  </si>
  <si>
    <t>165</t>
  </si>
  <si>
    <t>H035795722</t>
  </si>
  <si>
    <t>[연재] 나 혼자만 일일 보상 166회</t>
  </si>
  <si>
    <t>166</t>
  </si>
  <si>
    <t>H035795721</t>
  </si>
  <si>
    <t>[연재] 나 혼자만 일일 보상 167회</t>
  </si>
  <si>
    <t>167</t>
  </si>
  <si>
    <t>H035795720</t>
  </si>
  <si>
    <t>[연재] 나 혼자만 일일 보상 168회</t>
  </si>
  <si>
    <t>168</t>
  </si>
  <si>
    <t>H035795719</t>
  </si>
  <si>
    <t>[연재] 나 혼자만 일일 보상 169회</t>
  </si>
  <si>
    <t>169</t>
  </si>
  <si>
    <t>H035795718</t>
  </si>
  <si>
    <t>[연재] 나 혼자만 일일 보상 170회</t>
  </si>
  <si>
    <t>170</t>
  </si>
  <si>
    <t>H035795717</t>
  </si>
  <si>
    <t>[연재] 나 혼자만 일일 보상 171회</t>
  </si>
  <si>
    <t>171</t>
  </si>
  <si>
    <t>H035795716</t>
  </si>
  <si>
    <t>[연재] 나 혼자만 일일 보상 172회</t>
  </si>
  <si>
    <t>172</t>
  </si>
  <si>
    <t>H035795715</t>
  </si>
  <si>
    <t>[연재] 나 혼자만 일일 보상 173회</t>
  </si>
  <si>
    <t>173</t>
  </si>
  <si>
    <t>H035795714</t>
  </si>
  <si>
    <t>[연재] 나 혼자만 일일 보상 174회</t>
  </si>
  <si>
    <t>174</t>
  </si>
  <si>
    <t>H035795713</t>
  </si>
  <si>
    <t>[연재] 나 혼자만 일일 보상 175회</t>
  </si>
  <si>
    <t>175</t>
  </si>
  <si>
    <t>H035795712</t>
  </si>
  <si>
    <t>[연재] 나 혼자만 일일 보상 176회</t>
  </si>
  <si>
    <t>176</t>
  </si>
  <si>
    <t>H035795711</t>
  </si>
  <si>
    <t>[연재] 나 혼자만 일일 보상 177회</t>
  </si>
  <si>
    <t>177</t>
  </si>
  <si>
    <t>H035795710</t>
  </si>
  <si>
    <t>[연재] 나 혼자만 일일 보상 178회</t>
  </si>
  <si>
    <t>178</t>
  </si>
  <si>
    <t>H035795709</t>
  </si>
  <si>
    <t>[연재] 나 혼자만 일일 보상 179회</t>
  </si>
  <si>
    <t>179</t>
  </si>
  <si>
    <t>H035795708</t>
  </si>
  <si>
    <t>[연재] 나 혼자만 일일 보상 180회</t>
  </si>
  <si>
    <t>180</t>
  </si>
  <si>
    <t>H035795707</t>
  </si>
  <si>
    <t>[연재] 나 혼자만 일일 보상 181회</t>
  </si>
  <si>
    <t>181</t>
  </si>
  <si>
    <t>H035795706</t>
  </si>
  <si>
    <t>[연재] 나 혼자만 일일 보상 182회</t>
  </si>
  <si>
    <t>182</t>
  </si>
  <si>
    <t>H035795705</t>
  </si>
  <si>
    <t>[연재] 나 혼자만 일일 보상 183회</t>
  </si>
  <si>
    <t>183</t>
  </si>
  <si>
    <t>H035795704</t>
  </si>
  <si>
    <t>[연재] 나 혼자만 일일 보상 184회</t>
  </si>
  <si>
    <t>184</t>
  </si>
  <si>
    <t>H035795703</t>
  </si>
  <si>
    <t>[연재] 나 혼자만 일일 보상 185회</t>
  </si>
  <si>
    <t>185</t>
  </si>
  <si>
    <t>H035795702</t>
  </si>
  <si>
    <t>[연재] 나 혼자만 일일 보상 186회</t>
  </si>
  <si>
    <t>186</t>
  </si>
  <si>
    <t>H035795701</t>
  </si>
  <si>
    <t>[연재] 나 혼자만 일일 보상 187회</t>
  </si>
  <si>
    <t>187</t>
  </si>
  <si>
    <t>H035795700</t>
  </si>
  <si>
    <t>[연재] 나 혼자만 일일 보상 188회</t>
  </si>
  <si>
    <t>188</t>
  </si>
  <si>
    <t>H035795699</t>
  </si>
  <si>
    <t>[연재] 나 혼자만 일일 보상 189회</t>
  </si>
  <si>
    <t>189</t>
  </si>
  <si>
    <t>H035795698</t>
  </si>
  <si>
    <t>[연재] 나 혼자만 일일 보상 190회</t>
  </si>
  <si>
    <t>190</t>
  </si>
  <si>
    <t>H035795697</t>
  </si>
  <si>
    <t>[연재] 나 혼자만 일일 보상 191회</t>
  </si>
  <si>
    <t>191</t>
  </si>
  <si>
    <t>H035795696</t>
  </si>
  <si>
    <t>[연재] 나 혼자만 일일 보상 192회</t>
  </si>
  <si>
    <t>192</t>
  </si>
  <si>
    <t>H035795695</t>
  </si>
  <si>
    <t>[연재] 나 혼자만 일일 보상 193회</t>
  </si>
  <si>
    <t>193</t>
  </si>
  <si>
    <t>H035795694</t>
  </si>
  <si>
    <t>[연재] 나 혼자만 일일 보상 194회</t>
  </si>
  <si>
    <t>194</t>
  </si>
  <si>
    <t>H035795693</t>
  </si>
  <si>
    <t>[연재] 나 혼자만 일일 보상 195회</t>
  </si>
  <si>
    <t>195</t>
  </si>
  <si>
    <t>H035795692</t>
  </si>
  <si>
    <t>[연재] 나 혼자만 일일 보상 196회</t>
  </si>
  <si>
    <t>196</t>
  </si>
  <si>
    <t>H035795691</t>
  </si>
  <si>
    <t>[연재] 나 혼자만 일일 보상 197회</t>
  </si>
  <si>
    <t>197</t>
  </si>
  <si>
    <t>H035795690</t>
  </si>
  <si>
    <t>[연재] 나 혼자만 일일 보상 198회</t>
  </si>
  <si>
    <t>198</t>
  </si>
  <si>
    <t>H035795689</t>
  </si>
  <si>
    <t>[연재] 나 혼자만 일일 보상 199회</t>
  </si>
  <si>
    <t>199</t>
  </si>
  <si>
    <t>H035795688</t>
  </si>
  <si>
    <t>[연재] 나 혼자만 일일 보상 200회</t>
  </si>
  <si>
    <t>200</t>
  </si>
  <si>
    <t>H035795687</t>
  </si>
  <si>
    <t>[연재] 나 혼자만 일일 보상 201회</t>
  </si>
  <si>
    <t>201</t>
  </si>
  <si>
    <t>H035795686</t>
  </si>
  <si>
    <t>[연재] 나 혼자만 일일 보상 202회</t>
  </si>
  <si>
    <t>202</t>
  </si>
  <si>
    <t>H035795685</t>
  </si>
  <si>
    <t>[연재] 나 혼자만 일일 보상 203회</t>
  </si>
  <si>
    <t>203</t>
  </si>
  <si>
    <t>H035795684</t>
  </si>
  <si>
    <t>[연재] 나 혼자만 일일 보상 204회</t>
  </si>
  <si>
    <t>204</t>
  </si>
  <si>
    <t>H035795683</t>
  </si>
  <si>
    <t>[연재] 나 혼자만 일일 보상 205회</t>
  </si>
  <si>
    <t>H035795682</t>
  </si>
  <si>
    <t>[연재] 나 혼자만 일일 보상 206회</t>
  </si>
  <si>
    <t>206</t>
  </si>
  <si>
    <t>H035795681</t>
  </si>
  <si>
    <t>[연재] 나 혼자만 일일 보상 207회</t>
  </si>
  <si>
    <t>207</t>
  </si>
  <si>
    <t>H035795680</t>
  </si>
  <si>
    <t>[연재] 나 혼자만 일일 보상 208회</t>
  </si>
  <si>
    <t>208</t>
  </si>
  <si>
    <t>H035795679</t>
  </si>
  <si>
    <t>[연재] 나 혼자만 일일 보상 209회</t>
  </si>
  <si>
    <t>209</t>
  </si>
  <si>
    <t>H035795678</t>
  </si>
  <si>
    <t>[연재] 나 혼자만 일일 보상 210회</t>
  </si>
  <si>
    <t>210</t>
  </si>
  <si>
    <t>H035795677</t>
  </si>
  <si>
    <t>[연재] 나 혼자만 일일 보상 211회</t>
  </si>
  <si>
    <t>211</t>
  </si>
  <si>
    <t>H035795676</t>
  </si>
  <si>
    <t>[연재] 나 혼자만 일일 보상 212회</t>
  </si>
  <si>
    <t>212</t>
  </si>
  <si>
    <t>H035795675</t>
  </si>
  <si>
    <t>[연재] 나 혼자만 일일 보상 213회</t>
  </si>
  <si>
    <t>213</t>
  </si>
  <si>
    <t>H035795674</t>
  </si>
  <si>
    <t>[연재] 나 혼자만 일일 보상 214회</t>
  </si>
  <si>
    <t>214</t>
  </si>
  <si>
    <t>H035795673</t>
  </si>
  <si>
    <t>[연재] 나 혼자만 일일 보상 215회</t>
  </si>
  <si>
    <t>215</t>
  </si>
  <si>
    <t>H035795672</t>
  </si>
  <si>
    <t>[연재] 나 혼자만 일일 보상 216회</t>
  </si>
  <si>
    <t>216</t>
  </si>
  <si>
    <t>H035795671</t>
  </si>
  <si>
    <t>[연재] 나 혼자만 일일 보상 217회</t>
  </si>
  <si>
    <t>217</t>
  </si>
  <si>
    <t>H035795670</t>
  </si>
  <si>
    <t>[연재] 나 혼자만 일일 보상 218회</t>
  </si>
  <si>
    <t>218</t>
  </si>
  <si>
    <t>H035795669</t>
  </si>
  <si>
    <t>[연재] 나 혼자만 일일 보상 219회</t>
  </si>
  <si>
    <t>219</t>
  </si>
  <si>
    <t>H035795668</t>
  </si>
  <si>
    <t>[연재] 나 혼자만 일일 보상 220회</t>
  </si>
  <si>
    <t>220</t>
  </si>
  <si>
    <t>H035795667</t>
  </si>
  <si>
    <t>[연재] 나 혼자만 일일 보상 221회</t>
  </si>
  <si>
    <t>221</t>
  </si>
  <si>
    <t>H035795666</t>
  </si>
  <si>
    <t>[연재] 나 혼자만 일일 보상 222회</t>
  </si>
  <si>
    <t>222</t>
  </si>
  <si>
    <t>H035795665</t>
  </si>
  <si>
    <t>[연재] 나 혼자만 일일 보상 223회</t>
  </si>
  <si>
    <t>223</t>
  </si>
  <si>
    <t>H035795664</t>
  </si>
  <si>
    <t>[연재] 나 혼자만 일일 보상 224회</t>
  </si>
  <si>
    <t>224</t>
  </si>
  <si>
    <t>H035795663</t>
  </si>
  <si>
    <t>[연재] 나 혼자만 일일 보상 26회</t>
  </si>
  <si>
    <t>H035795861</t>
  </si>
  <si>
    <t>[연재] 나 혼자만 일일 보상 27회</t>
  </si>
  <si>
    <t>H035795860</t>
  </si>
  <si>
    <t>[연재] 나 혼자만 일일 보상 28회</t>
  </si>
  <si>
    <t>H035795859</t>
  </si>
  <si>
    <t>[연재] 나 혼자만 일일 보상 29회</t>
  </si>
  <si>
    <t>H035795858</t>
  </si>
  <si>
    <t>[연재] 나 혼자만 일일 보상 30회</t>
  </si>
  <si>
    <t>H035795857</t>
  </si>
  <si>
    <t>[연재] 나 혼자만 일일 보상 31회</t>
  </si>
  <si>
    <t>H035795856</t>
  </si>
  <si>
    <t>[연재] 나 혼자만 일일 보상 32회</t>
  </si>
  <si>
    <t>H035795855</t>
  </si>
  <si>
    <t>[연재] 나 혼자만 일일 보상 33회</t>
  </si>
  <si>
    <t>H035795854</t>
  </si>
  <si>
    <t>[연재] 나 혼자만 일일 보상 34회</t>
  </si>
  <si>
    <t>H035795853</t>
  </si>
  <si>
    <t>[연재] 나 혼자만 일일 보상 35회</t>
  </si>
  <si>
    <t>H035795852</t>
  </si>
  <si>
    <t>[연재] 나 혼자만 일일 보상 36회</t>
  </si>
  <si>
    <t>H035795851</t>
  </si>
  <si>
    <t>[연재] 나 혼자만 일일 보상 37회</t>
  </si>
  <si>
    <t>H035795850</t>
  </si>
  <si>
    <t>[연재] 나 혼자만 일일 보상 38회</t>
  </si>
  <si>
    <t>H035795849</t>
  </si>
  <si>
    <t>[연재] 나 혼자만 일일 보상 39회</t>
  </si>
  <si>
    <t>H035795848</t>
  </si>
  <si>
    <t>[연재] 나 혼자만 일일 보상 40회</t>
  </si>
  <si>
    <t>H035795847</t>
  </si>
  <si>
    <t>[연재] 나 혼자만 일일 보상 41회</t>
  </si>
  <si>
    <t>H035795846</t>
  </si>
  <si>
    <t>[연재] 나 혼자만 일일 보상 42회</t>
  </si>
  <si>
    <t>H035795845</t>
  </si>
  <si>
    <t>[연재] 나 혼자만 일일 보상 43회</t>
  </si>
  <si>
    <t>H035795844</t>
  </si>
  <si>
    <t>[연재] 나 혼자만 일일 보상 44회</t>
  </si>
  <si>
    <t>H035795843</t>
  </si>
  <si>
    <t>[연재] 나 혼자만 일일 보상 45회</t>
  </si>
  <si>
    <t>H035795842</t>
  </si>
  <si>
    <t>[연재] 나 혼자만 일일 보상 46회</t>
  </si>
  <si>
    <t>H035795841</t>
  </si>
  <si>
    <t>[연재] 나 혼자만 일일 보상 47회</t>
  </si>
  <si>
    <t>H035795840</t>
  </si>
  <si>
    <t>[연재] 나 혼자만 일일 보상 48회</t>
  </si>
  <si>
    <t>H035795839</t>
  </si>
  <si>
    <t>[연재] 나 혼자만 일일 보상 49회</t>
  </si>
  <si>
    <t>H035795838</t>
  </si>
  <si>
    <t>[연재] 나 혼자만 일일 보상 50회</t>
  </si>
  <si>
    <t>H035795837</t>
  </si>
  <si>
    <t>[연재] 나 혼자만 일일 보상 51회</t>
  </si>
  <si>
    <t>H035795836</t>
  </si>
  <si>
    <t>[연재] 나 혼자만 일일 보상 52회</t>
  </si>
  <si>
    <t>H035795835</t>
  </si>
  <si>
    <t>[연재] 나 혼자만 일일 보상 53회</t>
  </si>
  <si>
    <t>H035795834</t>
  </si>
  <si>
    <t>[연재] 나 혼자만 일일 보상 54회</t>
  </si>
  <si>
    <t>H035795833</t>
  </si>
  <si>
    <t>[연재] 나 혼자만 일일 보상 55회</t>
  </si>
  <si>
    <t>H035795832</t>
  </si>
  <si>
    <t>[연재] 나 혼자만 일일 보상 56회</t>
  </si>
  <si>
    <t>H035795831</t>
  </si>
  <si>
    <t>[연재] 나 혼자만 일일 보상 57회</t>
  </si>
  <si>
    <t>H035795830</t>
  </si>
  <si>
    <t>[연재] 나 혼자만 일일 보상 58회</t>
  </si>
  <si>
    <t>H035795829</t>
  </si>
  <si>
    <t>[연재] 나 혼자만 일일 보상 59회</t>
  </si>
  <si>
    <t>H035795828</t>
  </si>
  <si>
    <t>[연재] 나 혼자만 일일 보상 60회</t>
  </si>
  <si>
    <t>H035795827</t>
  </si>
  <si>
    <t>[연재] 나 혼자만 일일 보상 61회</t>
  </si>
  <si>
    <t>H035795826</t>
  </si>
  <si>
    <t>[연재] 나 혼자만 일일 보상 62회</t>
  </si>
  <si>
    <t>H035795825</t>
  </si>
  <si>
    <t>[연재] 나 혼자만 일일 보상 63회</t>
  </si>
  <si>
    <t>63</t>
  </si>
  <si>
    <t>H035795824</t>
  </si>
  <si>
    <t>[연재] 나 혼자만 일일 보상 64회</t>
  </si>
  <si>
    <t>64</t>
  </si>
  <si>
    <t>H035795823</t>
  </si>
  <si>
    <t>[연재] 나 혼자만 일일 보상 65회</t>
  </si>
  <si>
    <t>65</t>
  </si>
  <si>
    <t>H035795822</t>
  </si>
  <si>
    <t>[연재] 나 혼자만 일일 보상 66회</t>
  </si>
  <si>
    <t>66</t>
  </si>
  <si>
    <t>H035795821</t>
  </si>
  <si>
    <t>[연재] 나 혼자만 일일 보상 67회</t>
  </si>
  <si>
    <t>67</t>
  </si>
  <si>
    <t>H035795820</t>
  </si>
  <si>
    <t>[연재] 나 혼자만 일일 보상 68회</t>
  </si>
  <si>
    <t>68</t>
  </si>
  <si>
    <t>H035795819</t>
  </si>
  <si>
    <t>[연재] 나 혼자만 일일 보상 69회</t>
  </si>
  <si>
    <t>69</t>
  </si>
  <si>
    <t>H035795818</t>
  </si>
  <si>
    <t>[연재] 나 혼자만 일일 보상 70회</t>
  </si>
  <si>
    <t>H035795817</t>
  </si>
  <si>
    <t>[연재] 나 혼자만 일일 보상 71회</t>
  </si>
  <si>
    <t>71</t>
  </si>
  <si>
    <t>H035795816</t>
  </si>
  <si>
    <t>[연재] 나 혼자만 일일 보상 72회</t>
  </si>
  <si>
    <t>72</t>
  </si>
  <si>
    <t>H035795815</t>
  </si>
  <si>
    <t>[연재] 나 혼자만 일일 보상 73회</t>
  </si>
  <si>
    <t>73</t>
  </si>
  <si>
    <t>H035795814</t>
  </si>
  <si>
    <t>[연재] 나 혼자만 일일 보상 74회</t>
  </si>
  <si>
    <t>74</t>
  </si>
  <si>
    <t>H035795813</t>
  </si>
  <si>
    <t>[연재] 나 혼자만 일일 보상 75회</t>
  </si>
  <si>
    <t>75</t>
  </si>
  <si>
    <t>H035795812</t>
  </si>
  <si>
    <t>[연재] 나 혼자만 일일 보상 76회</t>
  </si>
  <si>
    <t>76</t>
  </si>
  <si>
    <t>H035795811</t>
  </si>
  <si>
    <t>[연재] 나 혼자만 일일 보상 77회</t>
  </si>
  <si>
    <t>77</t>
  </si>
  <si>
    <t>H035795810</t>
  </si>
  <si>
    <t>[연재] 나 혼자만 일일 보상 78회</t>
  </si>
  <si>
    <t>78</t>
  </si>
  <si>
    <t>H035795809</t>
  </si>
  <si>
    <t>[연재] 나 혼자만 일일 보상 79회</t>
  </si>
  <si>
    <t>79</t>
  </si>
  <si>
    <t>H035795808</t>
  </si>
  <si>
    <t>[연재] 나 혼자만 일일 보상 80회</t>
  </si>
  <si>
    <t>80</t>
  </si>
  <si>
    <t>H035795807</t>
  </si>
  <si>
    <t>[연재] 나 혼자만 일일 보상 81회</t>
  </si>
  <si>
    <t>81</t>
  </si>
  <si>
    <t>H035795806</t>
  </si>
  <si>
    <t>[연재] 나 혼자만 일일 보상 82회</t>
  </si>
  <si>
    <t>82</t>
  </si>
  <si>
    <t>H035795805</t>
  </si>
  <si>
    <t>[연재] 나 혼자만 일일 보상 83회</t>
  </si>
  <si>
    <t>83</t>
  </si>
  <si>
    <t>H035795804</t>
  </si>
  <si>
    <t>[연재] 나 혼자만 일일 보상 84회</t>
  </si>
  <si>
    <t>84</t>
  </si>
  <si>
    <t>H035795803</t>
  </si>
  <si>
    <t>[연재] 나 혼자만 일일 보상 85회</t>
  </si>
  <si>
    <t>85</t>
  </si>
  <si>
    <t>H035795802</t>
  </si>
  <si>
    <t>[연재] 나 혼자만 일일 보상 86회</t>
  </si>
  <si>
    <t>86</t>
  </si>
  <si>
    <t>H035795801</t>
  </si>
  <si>
    <t>[연재] 나 혼자만 일일 보상 87회</t>
  </si>
  <si>
    <t>87</t>
  </si>
  <si>
    <t>H035795800</t>
  </si>
  <si>
    <t>[연재] 나 혼자만 일일 보상 88회</t>
  </si>
  <si>
    <t>88</t>
  </si>
  <si>
    <t>H035795799</t>
  </si>
  <si>
    <t>[연재] 나 혼자만 일일 보상 89회</t>
  </si>
  <si>
    <t>89</t>
  </si>
  <si>
    <t>H035795798</t>
  </si>
  <si>
    <t>[연재] 나 혼자만 일일 보상 90회</t>
  </si>
  <si>
    <t>90</t>
  </si>
  <si>
    <t>H035795797</t>
  </si>
  <si>
    <t>[연재] 나 혼자만 일일 보상 91회</t>
  </si>
  <si>
    <t>91</t>
  </si>
  <si>
    <t>H035795796</t>
  </si>
  <si>
    <t>[연재] 나 혼자만 일일 보상 92회</t>
  </si>
  <si>
    <t>92</t>
  </si>
  <si>
    <t>H035795795</t>
  </si>
  <si>
    <t>[연재] 나 혼자만 일일 보상 93회</t>
  </si>
  <si>
    <t>H035795794</t>
  </si>
  <si>
    <t>[연재] 나 혼자만 일일 보상 94회</t>
  </si>
  <si>
    <t>H035795793</t>
  </si>
  <si>
    <t>[연재] 나 혼자만 일일 보상 95회</t>
  </si>
  <si>
    <t>95</t>
  </si>
  <si>
    <t>H035795792</t>
  </si>
  <si>
    <t>[연재] 나 혼자만 일일 보상 96회</t>
  </si>
  <si>
    <t>96</t>
  </si>
  <si>
    <t>H035795791</t>
  </si>
  <si>
    <t>[연재] 나 혼자만 일일 보상 97회</t>
  </si>
  <si>
    <t>97</t>
  </si>
  <si>
    <t>H035795790</t>
  </si>
  <si>
    <t>[연재] 나 혼자만 일일 보상 98회</t>
  </si>
  <si>
    <t>98</t>
  </si>
  <si>
    <t>H035795789</t>
  </si>
  <si>
    <t>[연재] 나 혼자만 일일 보상 99회</t>
  </si>
  <si>
    <t>99</t>
  </si>
  <si>
    <t>H035795788</t>
  </si>
  <si>
    <t>[연재] 나 혼자만 일일 보상 외전 10회</t>
  </si>
  <si>
    <t>234</t>
  </si>
  <si>
    <t>H035795653</t>
  </si>
  <si>
    <t>[연재] 나 혼자만 일일 보상 외전 11회</t>
  </si>
  <si>
    <t>235</t>
  </si>
  <si>
    <t>H035795652</t>
  </si>
  <si>
    <t>[연재] 나 혼자만 일일 보상 외전 12회</t>
  </si>
  <si>
    <t>236</t>
  </si>
  <si>
    <t>H035795651</t>
  </si>
  <si>
    <t>[연재] 나 혼자만 일일 보상 외전 1회</t>
  </si>
  <si>
    <t>225</t>
  </si>
  <si>
    <t>H035795662</t>
  </si>
  <si>
    <t>[연재] 나 혼자만 일일 보상 외전 2회</t>
  </si>
  <si>
    <t>226</t>
  </si>
  <si>
    <t>H035795661</t>
  </si>
  <si>
    <t>[연재] 나 혼자만 일일 보상 외전 3회</t>
  </si>
  <si>
    <t>227</t>
  </si>
  <si>
    <t>H035795660</t>
  </si>
  <si>
    <t>[연재] 나 혼자만 일일 보상 외전 4회</t>
  </si>
  <si>
    <t>228</t>
  </si>
  <si>
    <t>H035795659</t>
  </si>
  <si>
    <t>[연재] 나 혼자만 일일 보상 외전 5회</t>
  </si>
  <si>
    <t>229</t>
  </si>
  <si>
    <t>H035795658</t>
  </si>
  <si>
    <t>[연재] 나 혼자만 일일 보상 외전 6회</t>
  </si>
  <si>
    <t>230</t>
  </si>
  <si>
    <t>H035795657</t>
  </si>
  <si>
    <t>[연재] 나 혼자만 일일 보상 외전 7회</t>
  </si>
  <si>
    <t>231</t>
  </si>
  <si>
    <t>H035795656</t>
  </si>
  <si>
    <t>[연재] 나 혼자만 일일 보상 외전 8회</t>
  </si>
  <si>
    <t>232</t>
  </si>
  <si>
    <t>H035795655</t>
  </si>
  <si>
    <t>[연재] 나 혼자만 일일 보상 외전 9회</t>
  </si>
  <si>
    <t>233</t>
  </si>
  <si>
    <t>H035795654</t>
  </si>
  <si>
    <t>H038820214</t>
  </si>
  <si>
    <t>H038828528</t>
  </si>
  <si>
    <t>단행</t>
  </si>
  <si>
    <t>H040597622</t>
  </si>
  <si>
    <t>H038828526</t>
  </si>
  <si>
    <t>H038828525</t>
  </si>
  <si>
    <t>H038828524</t>
  </si>
  <si>
    <t>H040597618</t>
  </si>
  <si>
    <t>H038828523</t>
  </si>
  <si>
    <t>H040597617</t>
  </si>
  <si>
    <t>H038828522</t>
  </si>
  <si>
    <t>H040597616</t>
  </si>
  <si>
    <t>H038828521</t>
  </si>
  <si>
    <t>H040597615</t>
  </si>
  <si>
    <t>H038828520</t>
  </si>
  <si>
    <t>H040597614</t>
  </si>
  <si>
    <t>나 혼자만 일일 보상 9권</t>
  </si>
  <si>
    <t>H038828519</t>
  </si>
  <si>
    <t>H040597613</t>
  </si>
  <si>
    <t>나 혼자만 일일 보상 외전 (완결)</t>
  </si>
  <si>
    <t>H038828518</t>
  </si>
  <si>
    <t>H040597612</t>
  </si>
  <si>
    <t>원스토어</t>
  </si>
  <si>
    <t>단가</t>
  </si>
  <si>
    <t>비율</t>
  </si>
  <si>
    <t>정산금액</t>
  </si>
  <si>
    <t>출판사명</t>
    <phoneticPr fontId="3" type="noConversion"/>
  </si>
  <si>
    <t>조아라</t>
  </si>
  <si>
    <t>마스터작품명</t>
  </si>
  <si>
    <t>언어</t>
  </si>
  <si>
    <t>결제유형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</si>
  <si>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</si>
  <si>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</si>
  <si>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</si>
  <si>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</si>
  <si>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</si>
  <si>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</si>
  <si>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</si>
  <si>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</si>
  <si>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</si>
  <si>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</si>
  <si>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</si>
  <si>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</si>
  <si>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</si>
  <si>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</si>
  <si>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</si>
  <si>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배분금액</t>
  </si>
  <si>
    <t>한국코미코</t>
  </si>
  <si>
    <t>나 혼자만 일일 보상 [완]</t>
  </si>
  <si>
    <t>Korean</t>
  </si>
  <si>
    <t>일반결제</t>
  </si>
  <si>
    <t>Google</t>
  </si>
  <si>
    <t>OneStore</t>
  </si>
  <si>
    <t>코미코</t>
  </si>
  <si>
    <t>상품구분</t>
  </si>
  <si>
    <t>중분류</t>
  </si>
  <si>
    <t>바코드</t>
  </si>
  <si>
    <t>판매채널</t>
  </si>
  <si>
    <t>회차수</t>
  </si>
  <si>
    <t>공급사</t>
  </si>
  <si>
    <t>정산대상 기준 판매금액</t>
  </si>
  <si>
    <t>수량</t>
  </si>
  <si>
    <t>총판매금액</t>
  </si>
  <si>
    <t>정산대상 기준 총 판매금액</t>
  </si>
  <si>
    <t>정산율</t>
  </si>
  <si>
    <t>출판사</t>
    <phoneticPr fontId="18" type="noConversion"/>
  </si>
  <si>
    <t>웹소설</t>
  </si>
  <si>
    <t>판타지</t>
  </si>
  <si>
    <t>현대</t>
  </si>
  <si>
    <t>76M2009149149</t>
  </si>
  <si>
    <t>ANDROID</t>
  </si>
  <si>
    <t>스토리위즈(주)</t>
  </si>
  <si>
    <t>대여 판매</t>
  </si>
  <si>
    <t>스토리위즈</t>
    <phoneticPr fontId="18" type="noConversion"/>
  </si>
  <si>
    <t>소장 판매</t>
  </si>
  <si>
    <t>톡소다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</si>
  <si>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</si>
  <si>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</si>
  <si>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</si>
  <si>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</si>
  <si>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</si>
  <si>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</si>
  <si>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</si>
  <si>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</si>
  <si>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</si>
  <si>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</si>
  <si>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스토리위즈</t>
    <phoneticPr fontId="3" type="noConversion"/>
  </si>
  <si>
    <t>월정산</t>
  </si>
  <si>
    <t>확인중</t>
  </si>
  <si>
    <t>하이북</t>
  </si>
  <si>
    <t>NO</t>
    <phoneticPr fontId="3" type="noConversion"/>
  </si>
  <si>
    <t>업체명</t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</si>
  <si>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</si>
  <si>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</si>
  <si>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</si>
  <si>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</si>
  <si>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</si>
  <si>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</si>
  <si>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정산금</t>
    <phoneticPr fontId="3" type="noConversion"/>
  </si>
  <si>
    <t>소설</t>
  </si>
  <si>
    <t>한아름</t>
  </si>
  <si>
    <t>04월</t>
    <phoneticPr fontId="3" type="noConversion"/>
  </si>
  <si>
    <t>유통처</t>
    <phoneticPr fontId="3" type="noConversion"/>
  </si>
  <si>
    <t>스토리위즈 매출액</t>
    <phoneticPr fontId="3" type="noConversion"/>
  </si>
  <si>
    <t>구분</t>
    <phoneticPr fontId="3" type="noConversion"/>
  </si>
  <si>
    <t>금액</t>
    <phoneticPr fontId="3" type="noConversion"/>
  </si>
  <si>
    <t>선MG</t>
    <phoneticPr fontId="3" type="noConversion"/>
  </si>
  <si>
    <t>보증보험료</t>
    <phoneticPr fontId="3" type="noConversion"/>
  </si>
  <si>
    <t>합계</t>
    <phoneticPr fontId="3" type="noConversion"/>
  </si>
  <si>
    <t>대상월</t>
    <phoneticPr fontId="3" type="noConversion"/>
  </si>
  <si>
    <t>차감액</t>
    <phoneticPr fontId="3" type="noConversion"/>
  </si>
  <si>
    <t>잔여 선MG</t>
    <phoneticPr fontId="3" type="noConversion"/>
  </si>
  <si>
    <t>컨텐츠</t>
    <phoneticPr fontId="3" type="noConversion"/>
  </si>
  <si>
    <t>네이버PC</t>
    <phoneticPr fontId="3" type="noConversion"/>
  </si>
  <si>
    <t>리디북스</t>
    <phoneticPr fontId="3" type="noConversion"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</si>
  <si>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</si>
  <si>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</si>
  <si>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</si>
  <si>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</si>
  <si>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</si>
  <si>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</si>
  <si>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</si>
  <si>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</si>
  <si>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</si>
  <si>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18" type="noConversion"/>
  </si>
  <si>
    <t>레이블</t>
    <phoneticPr fontId="18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</si>
  <si>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</si>
  <si>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</si>
  <si>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</si>
  <si>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</si>
  <si>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</si>
  <si>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</si>
  <si>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</si>
  <si>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</si>
  <si>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</si>
  <si>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</si>
  <si>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</si>
  <si>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</si>
  <si>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</si>
  <si>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</si>
  <si>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</si>
  <si>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</si>
  <si>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</si>
  <si>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</si>
  <si>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</si>
  <si>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</si>
  <si>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</si>
  <si>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</si>
  <si>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</si>
  <si>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</si>
  <si>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</si>
  <si>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공급가액</t>
  </si>
  <si>
    <t>부가세</t>
  </si>
  <si>
    <t>공급대가</t>
  </si>
  <si>
    <t>특별계약</t>
  </si>
  <si>
    <t>3828601768</t>
  </si>
  <si>
    <t>1942</t>
  </si>
  <si>
    <t>선투자</t>
  </si>
  <si>
    <t>면세</t>
  </si>
  <si>
    <t>N</t>
  </si>
  <si>
    <t>Y</t>
  </si>
  <si>
    <t>단일 이용권</t>
  </si>
  <si>
    <t>시리즈 이용권 패키지</t>
  </si>
  <si>
    <t>단일 대여 이용권</t>
  </si>
  <si>
    <t>마법 아카데미의 육체파 천재</t>
  </si>
  <si>
    <t>카카오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</si>
</sst>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#,##0.0_ "/>
    <numFmt numFmtId="178" formatCode="000.00%"/>
    <numFmt numFmtId="179" formatCode="yyyy/mm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indexed="3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/>
    <xf numFmtId="0" fontId="16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176" fontId="2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6" fontId="35" fillId="0" borderId="0">
      <alignment vertical="center"/>
    </xf>
  </cellStyleXfs>
  <cellXfs count="123">
    <xf numFmtId="0" fontId="0" fillId="0" borderId="0" xfId="0">
      <alignment vertical="center"/>
    </xf>
    <xf numFmtId="0" fontId="2" fillId="2" borderId="1" xfId="2" applyFill="1" applyBorder="1"/>
    <xf numFmtId="0" fontId="4" fillId="2" borderId="1" xfId="2" applyFont="1" applyFill="1" applyBorder="1"/>
    <xf numFmtId="0" fontId="2" fillId="0" borderId="0" xfId="2"/>
    <xf numFmtId="3" fontId="2" fillId="0" borderId="0" xfId="2" applyNumberFormat="1"/>
    <xf numFmtId="0" fontId="4" fillId="0" borderId="0" xfId="2" applyFont="1"/>
    <xf numFmtId="0" fontId="2" fillId="0" borderId="0" xfId="2" applyNumberFormat="1"/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76" fontId="8" fillId="3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177" fontId="0" fillId="0" borderId="0" xfId="0" applyNumberFormat="1" applyBorder="1">
      <alignment vertical="center"/>
    </xf>
    <xf numFmtId="176" fontId="0" fillId="0" borderId="0" xfId="1" applyFont="1" applyBorder="1">
      <alignment vertical="center"/>
    </xf>
    <xf numFmtId="0" fontId="10" fillId="0" borderId="0" xfId="0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76" fontId="0" fillId="3" borderId="0" xfId="1" applyFont="1" applyFill="1">
      <alignment vertical="center"/>
    </xf>
    <xf numFmtId="0" fontId="11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13" fillId="0" borderId="5" xfId="0" applyFont="1" applyBorder="1" applyAlignment="1">
      <alignment horizontal="center" vertical="center"/>
    </xf>
    <xf numFmtId="176" fontId="13" fillId="0" borderId="5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indent="1"/>
    </xf>
    <xf numFmtId="176" fontId="14" fillId="0" borderId="5" xfId="1" applyFont="1" applyFill="1" applyBorder="1" applyAlignment="1">
      <alignment horizontal="center" vertical="center"/>
    </xf>
    <xf numFmtId="176" fontId="15" fillId="0" borderId="5" xfId="1" applyFont="1" applyBorder="1">
      <alignment vertical="center"/>
    </xf>
    <xf numFmtId="0" fontId="17" fillId="2" borderId="5" xfId="3" applyFont="1" applyFill="1" applyBorder="1" applyAlignment="1">
      <alignment vertical="center" wrapText="1"/>
    </xf>
    <xf numFmtId="0" fontId="17" fillId="5" borderId="5" xfId="3" applyFont="1" applyFill="1" applyBorder="1" applyAlignment="1">
      <alignment vertical="center" wrapText="1"/>
    </xf>
    <xf numFmtId="0" fontId="20" fillId="6" borderId="5" xfId="4" applyFont="1" applyFill="1" applyBorder="1" applyAlignment="1">
      <alignment vertical="center" wrapText="1"/>
    </xf>
    <xf numFmtId="0" fontId="20" fillId="7" borderId="5" xfId="4" applyFont="1" applyFill="1" applyBorder="1" applyAlignment="1">
      <alignment vertical="center" wrapText="1"/>
    </xf>
    <xf numFmtId="0" fontId="20" fillId="8" borderId="5" xfId="4" applyFont="1" applyFill="1" applyBorder="1" applyAlignment="1">
      <alignment vertical="center" wrapText="1"/>
    </xf>
    <xf numFmtId="0" fontId="20" fillId="9" borderId="5" xfId="4" applyFont="1" applyFill="1" applyBorder="1" applyAlignment="1">
      <alignment vertical="center" wrapText="1"/>
    </xf>
    <xf numFmtId="176" fontId="20" fillId="9" borderId="5" xfId="5" applyFont="1" applyFill="1" applyBorder="1" applyAlignment="1">
      <alignment vertical="center" wrapText="1"/>
    </xf>
    <xf numFmtId="0" fontId="19" fillId="0" borderId="0" xfId="4">
      <alignment vertical="center"/>
    </xf>
    <xf numFmtId="0" fontId="21" fillId="0" borderId="6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right" vertical="center" wrapText="1"/>
    </xf>
    <xf numFmtId="4" fontId="22" fillId="0" borderId="6" xfId="4" applyNumberFormat="1" applyFont="1" applyBorder="1" applyAlignment="1">
      <alignment horizontal="right" vertical="center" wrapText="1"/>
    </xf>
    <xf numFmtId="4" fontId="23" fillId="0" borderId="6" xfId="4" applyNumberFormat="1" applyFont="1" applyBorder="1" applyAlignment="1">
      <alignment horizontal="right" vertical="center" wrapText="1"/>
    </xf>
    <xf numFmtId="4" fontId="23" fillId="0" borderId="7" xfId="4" applyNumberFormat="1" applyFont="1" applyBorder="1" applyAlignment="1">
      <alignment horizontal="right" vertical="center" wrapText="1"/>
    </xf>
    <xf numFmtId="0" fontId="0" fillId="10" borderId="0" xfId="0" applyFill="1">
      <alignment vertical="center"/>
    </xf>
    <xf numFmtId="49" fontId="24" fillId="11" borderId="0" xfId="6" applyNumberFormat="1" applyFill="1" applyBorder="1" applyAlignment="1">
      <alignment horizontal="center" vertical="center" wrapText="1"/>
    </xf>
    <xf numFmtId="49" fontId="24" fillId="12" borderId="0" xfId="6" applyNumberFormat="1" applyFill="1" applyBorder="1" applyAlignment="1">
      <alignment horizontal="center" vertical="center" wrapText="1"/>
    </xf>
    <xf numFmtId="49" fontId="24" fillId="11" borderId="0" xfId="6" applyNumberFormat="1" applyFill="1" applyBorder="1" applyAlignment="1">
      <alignment vertical="center" wrapText="1"/>
    </xf>
    <xf numFmtId="49" fontId="24" fillId="13" borderId="0" xfId="6" applyNumberFormat="1" applyFill="1" applyBorder="1" applyAlignment="1">
      <alignment vertical="center" wrapText="1"/>
    </xf>
    <xf numFmtId="0" fontId="24" fillId="0" borderId="0" xfId="6">
      <alignment vertical="center"/>
    </xf>
    <xf numFmtId="49" fontId="24" fillId="0" borderId="8" xfId="6" applyNumberFormat="1" applyFill="1" applyBorder="1" applyAlignment="1">
      <alignment horizontal="left" vertical="center"/>
    </xf>
    <xf numFmtId="3" fontId="24" fillId="0" borderId="8" xfId="6" applyNumberFormat="1" applyFill="1" applyBorder="1" applyAlignment="1">
      <alignment horizontal="right" vertical="center"/>
    </xf>
    <xf numFmtId="0" fontId="25" fillId="0" borderId="0" xfId="7">
      <alignment vertical="center"/>
    </xf>
    <xf numFmtId="176" fontId="25" fillId="0" borderId="0" xfId="1" applyFont="1">
      <alignment vertical="center"/>
    </xf>
    <xf numFmtId="0" fontId="26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0" fillId="14" borderId="8" xfId="0" applyNumberFormat="1" applyFill="1" applyBorder="1" applyAlignment="1">
      <alignment horizontal="center" vertical="center"/>
    </xf>
    <xf numFmtId="176" fontId="0" fillId="14" borderId="8" xfId="1" applyFont="1" applyFill="1" applyBorder="1" applyAlignment="1">
      <alignment horizontal="center" vertical="center"/>
    </xf>
    <xf numFmtId="0" fontId="0" fillId="15" borderId="8" xfId="0" applyNumberFormat="1" applyFill="1" applyBorder="1" applyAlignment="1">
      <alignment horizontal="center" vertical="center"/>
    </xf>
    <xf numFmtId="0" fontId="0" fillId="15" borderId="8" xfId="0" applyNumberFormat="1" applyFill="1" applyBorder="1" applyAlignment="1">
      <alignment horizontal="left" vertical="center"/>
    </xf>
    <xf numFmtId="3" fontId="0" fillId="15" borderId="8" xfId="0" applyNumberFormat="1" applyFill="1" applyBorder="1" applyAlignment="1">
      <alignment horizontal="right" vertical="center"/>
    </xf>
    <xf numFmtId="4" fontId="0" fillId="15" borderId="8" xfId="0" applyNumberFormat="1" applyFill="1" applyBorder="1" applyAlignment="1">
      <alignment horizontal="right" vertical="center"/>
    </xf>
    <xf numFmtId="178" fontId="0" fillId="15" borderId="8" xfId="0" applyNumberFormat="1" applyFill="1" applyBorder="1" applyAlignment="1">
      <alignment horizontal="right" vertical="center"/>
    </xf>
    <xf numFmtId="0" fontId="27" fillId="16" borderId="0" xfId="6" applyFont="1" applyFill="1" applyAlignment="1">
      <alignment horizontal="center"/>
    </xf>
    <xf numFmtId="0" fontId="27" fillId="17" borderId="0" xfId="6" applyFont="1" applyFill="1" applyAlignment="1">
      <alignment horizontal="center"/>
    </xf>
    <xf numFmtId="176" fontId="27" fillId="17" borderId="0" xfId="8" applyFont="1" applyFill="1" applyAlignment="1">
      <alignment horizontal="center"/>
    </xf>
    <xf numFmtId="0" fontId="25" fillId="0" borderId="0" xfId="6" applyFont="1" applyAlignment="1">
      <alignment horizontal="left"/>
    </xf>
    <xf numFmtId="49" fontId="12" fillId="0" borderId="8" xfId="0" applyNumberFormat="1" applyFont="1" applyBorder="1" applyAlignment="1">
      <alignment vertical="center" wrapText="1"/>
    </xf>
    <xf numFmtId="49" fontId="12" fillId="3" borderId="8" xfId="0" applyNumberFormat="1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3" borderId="8" xfId="0" applyFont="1" applyFill="1" applyBorder="1" applyAlignment="1">
      <alignment vertical="center" wrapText="1"/>
    </xf>
    <xf numFmtId="49" fontId="28" fillId="0" borderId="3" xfId="0" applyNumberFormat="1" applyFont="1" applyBorder="1" applyAlignment="1">
      <alignment vertical="center" wrapText="1"/>
    </xf>
    <xf numFmtId="49" fontId="29" fillId="0" borderId="3" xfId="0" applyNumberFormat="1" applyFont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30" fillId="18" borderId="8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176" fontId="30" fillId="3" borderId="8" xfId="1" applyFont="1" applyFill="1" applyBorder="1" applyAlignment="1">
      <alignment horizontal="center" vertical="center" wrapText="1"/>
    </xf>
    <xf numFmtId="0" fontId="31" fillId="19" borderId="9" xfId="0" applyFont="1" applyFill="1" applyBorder="1" applyAlignment="1">
      <alignment vertical="center" wrapText="1"/>
    </xf>
    <xf numFmtId="0" fontId="30" fillId="19" borderId="10" xfId="0" applyFont="1" applyFill="1" applyBorder="1" applyAlignment="1">
      <alignment horizontal="center" vertical="center" wrapText="1"/>
    </xf>
    <xf numFmtId="0" fontId="30" fillId="19" borderId="10" xfId="0" applyFont="1" applyFill="1" applyBorder="1" applyAlignment="1">
      <alignment vertical="center" wrapText="1"/>
    </xf>
    <xf numFmtId="0" fontId="30" fillId="19" borderId="10" xfId="0" applyFont="1" applyFill="1" applyBorder="1" applyAlignment="1">
      <alignment horizontal="right" vertical="center" wrapText="1"/>
    </xf>
    <xf numFmtId="176" fontId="0" fillId="0" borderId="8" xfId="1" applyFont="1" applyBorder="1">
      <alignment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6" fontId="12" fillId="0" borderId="8" xfId="1" applyFont="1" applyBorder="1" applyAlignment="1">
      <alignment horizontal="center" vertical="center"/>
    </xf>
    <xf numFmtId="0" fontId="33" fillId="3" borderId="8" xfId="9" applyFont="1" applyFill="1" applyBorder="1" applyAlignment="1">
      <alignment horizontal="center" vertical="center"/>
    </xf>
    <xf numFmtId="0" fontId="33" fillId="3" borderId="8" xfId="10" applyFont="1" applyFill="1" applyBorder="1" applyAlignment="1">
      <alignment horizontal="center" vertical="center"/>
    </xf>
    <xf numFmtId="176" fontId="33" fillId="10" borderId="8" xfId="11" applyFont="1" applyFill="1" applyBorder="1" applyAlignment="1">
      <alignment horizontal="center" vertical="center" wrapText="1"/>
    </xf>
    <xf numFmtId="176" fontId="34" fillId="10" borderId="8" xfId="11" applyFont="1" applyFill="1" applyBorder="1" applyAlignment="1">
      <alignment horizontal="center" vertical="center" wrapText="1"/>
    </xf>
    <xf numFmtId="0" fontId="36" fillId="10" borderId="8" xfId="12" applyFont="1" applyFill="1" applyBorder="1" applyAlignment="1">
      <alignment horizontal="center" vertical="center"/>
    </xf>
    <xf numFmtId="176" fontId="37" fillId="0" borderId="8" xfId="13" applyFont="1" applyBorder="1">
      <alignment vertical="center"/>
    </xf>
    <xf numFmtId="176" fontId="37" fillId="10" borderId="8" xfId="13" applyFont="1" applyFill="1" applyBorder="1">
      <alignment vertical="center"/>
    </xf>
    <xf numFmtId="0" fontId="35" fillId="0" borderId="0" xfId="12">
      <alignment vertical="center"/>
    </xf>
    <xf numFmtId="179" fontId="38" fillId="0" borderId="8" xfId="12" applyNumberFormat="1" applyFont="1" applyFill="1" applyBorder="1" applyAlignment="1">
      <alignment horizontal="center" vertical="center"/>
    </xf>
    <xf numFmtId="176" fontId="38" fillId="0" borderId="8" xfId="11" applyFont="1" applyFill="1" applyBorder="1">
      <alignment vertical="center"/>
    </xf>
    <xf numFmtId="179" fontId="39" fillId="3" borderId="8" xfId="12" applyNumberFormat="1" applyFont="1" applyFill="1" applyBorder="1" applyAlignment="1">
      <alignment horizontal="center" vertical="center"/>
    </xf>
    <xf numFmtId="176" fontId="38" fillId="3" borderId="8" xfId="11" applyFont="1" applyFill="1" applyBorder="1">
      <alignment vertical="center"/>
    </xf>
    <xf numFmtId="176" fontId="34" fillId="3" borderId="8" xfId="11" applyFont="1" applyFill="1" applyBorder="1">
      <alignment vertical="center"/>
    </xf>
    <xf numFmtId="4" fontId="19" fillId="0" borderId="0" xfId="4" applyNumberFormat="1">
      <alignment vertical="center"/>
    </xf>
    <xf numFmtId="0" fontId="24" fillId="20" borderId="11" xfId="6" applyFill="1" applyBorder="1" applyAlignment="1">
      <alignment horizontal="center"/>
    </xf>
    <xf numFmtId="0" fontId="24" fillId="3" borderId="11" xfId="6" applyFill="1" applyBorder="1" applyAlignment="1">
      <alignment horizontal="center"/>
    </xf>
    <xf numFmtId="0" fontId="24" fillId="0" borderId="12" xfId="6" applyBorder="1" applyAlignment="1"/>
    <xf numFmtId="3" fontId="24" fillId="0" borderId="12" xfId="6" applyNumberFormat="1" applyBorder="1" applyAlignment="1"/>
    <xf numFmtId="3" fontId="24" fillId="0" borderId="0" xfId="6" applyNumberFormat="1">
      <alignment vertical="center"/>
    </xf>
    <xf numFmtId="0" fontId="36" fillId="10" borderId="8" xfId="12" applyFont="1" applyFill="1" applyBorder="1" applyAlignment="1">
      <alignment horizontal="center" vertical="center"/>
    </xf>
    <xf numFmtId="176" fontId="37" fillId="0" borderId="8" xfId="13" applyFont="1" applyBorder="1" applyAlignment="1">
      <alignment horizontal="center" vertical="center"/>
    </xf>
    <xf numFmtId="176" fontId="37" fillId="10" borderId="8" xfId="13" applyFont="1" applyFill="1" applyBorder="1" applyAlignment="1">
      <alignment horizontal="center" vertical="center"/>
    </xf>
  </cellXfs>
  <cellStyles count="14">
    <cellStyle name="쉼표 [0]" xfId="1" builtinId="6"/>
    <cellStyle name="쉼표 [0] 2" xfId="5"/>
    <cellStyle name="쉼표 [0] 2 2 2" xfId="11"/>
    <cellStyle name="쉼표 [0] 3" xfId="8"/>
    <cellStyle name="쉼표 [0] 3 2 2 2" xfId="13"/>
    <cellStyle name="표준" xfId="0" builtinId="0"/>
    <cellStyle name="표준 16 2 2 2 2" xfId="3"/>
    <cellStyle name="표준 2" xfId="2"/>
    <cellStyle name="표준 2 3" xfId="10"/>
    <cellStyle name="표준 3" xfId="4"/>
    <cellStyle name="표준 3 2" xfId="9"/>
    <cellStyle name="표준 3 2 2" xfId="12"/>
    <cellStyle name="표준 4" xfId="6"/>
    <cellStyle name="표준_합계 (6)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3&#50900;%20&#51089;&#44032;&#51221;&#49328;%20&#45236;&#50669;/202203_&#51221;&#49328;&#45236;&#50669;_&#51089;&#44032;_&#51060;&#46041;&#506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03"/>
      <sheetName val="MG차감내역03"/>
      <sheetName val="스토리이십사03"/>
      <sheetName val="구글북스03"/>
      <sheetName val="네이버APP03"/>
      <sheetName val="네이버PC03"/>
      <sheetName val="리디북스03"/>
      <sheetName val="무툰03"/>
      <sheetName val="미스터블루03"/>
      <sheetName val="문피아03"/>
      <sheetName val="버프툰03"/>
      <sheetName val="북큐브03"/>
      <sheetName val="에피루스03"/>
      <sheetName val="원스토어03"/>
      <sheetName val="조아라03"/>
      <sheetName val="카카오03"/>
      <sheetName val="하이북03"/>
    </sheetNames>
    <sheetDataSet>
      <sheetData sheetId="0">
        <row r="18">
          <cell r="C18">
            <v>3596683.7199999997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7.399999999999999"/>
  <cols>
    <col min="1" max="1" width="6.59765625" style="97" customWidth="1"/>
    <col min="2" max="2" width="20.09765625" style="97" customWidth="1"/>
    <col min="3" max="3" width="16.09765625" style="97" customWidth="1"/>
    <col min="4" max="4" width="17.59765625" style="97" customWidth="1"/>
  </cols>
  <sheetData>
    <row r="1" spans="1:4" ht="19.2">
      <c r="A1" s="98" t="s">
        <v>1265</v>
      </c>
      <c r="B1" s="98" t="s">
        <v>0</v>
      </c>
    </row>
    <row r="2" spans="1:4">
      <c r="B2" s="101" t="s">
        <v>1266</v>
      </c>
      <c r="C2" s="102" t="s">
        <v>1267</v>
      </c>
      <c r="D2" s="101" t="s">
        <v>1</v>
      </c>
    </row>
    <row r="3" spans="1:4">
      <c r="B3" s="99" t="s">
        <v>81</v>
      </c>
      <c r="C3" s="100">
        <v>31777</v>
      </c>
      <c r="D3" s="99"/>
    </row>
    <row r="4" spans="1:4">
      <c r="B4" s="99" t="s">
        <v>145</v>
      </c>
      <c r="C4" s="100">
        <v>40320</v>
      </c>
      <c r="D4" s="99"/>
    </row>
    <row r="5" spans="1:4">
      <c r="B5" s="99" t="s">
        <v>186</v>
      </c>
      <c r="C5" s="100">
        <v>303131</v>
      </c>
      <c r="D5" s="99"/>
    </row>
    <row r="6" spans="1:4">
      <c r="B6" s="99" t="s">
        <v>1277</v>
      </c>
      <c r="C6" s="100">
        <v>1610</v>
      </c>
      <c r="D6" s="99"/>
    </row>
    <row r="7" spans="1:4">
      <c r="B7" s="99" t="s">
        <v>1278</v>
      </c>
      <c r="C7" s="100">
        <v>81697</v>
      </c>
      <c r="D7" s="99"/>
    </row>
    <row r="8" spans="1:4">
      <c r="B8" s="99" t="s">
        <v>483</v>
      </c>
      <c r="C8" s="100">
        <f>무툰04!O5</f>
        <v>2240</v>
      </c>
      <c r="D8" s="99"/>
    </row>
    <row r="9" spans="1:4">
      <c r="B9" s="99" t="s">
        <v>495</v>
      </c>
      <c r="C9" s="100">
        <v>32256</v>
      </c>
      <c r="D9" s="99"/>
    </row>
    <row r="10" spans="1:4">
      <c r="B10" s="99" t="s">
        <v>535</v>
      </c>
      <c r="C10" s="100">
        <f>미스터블루04!AJ4</f>
        <v>158035.5</v>
      </c>
      <c r="D10" s="99"/>
    </row>
    <row r="11" spans="1:4">
      <c r="B11" s="99" t="s">
        <v>540</v>
      </c>
      <c r="C11" s="100">
        <f>스낵북04!F3</f>
        <v>0</v>
      </c>
      <c r="D11" s="99"/>
    </row>
    <row r="12" spans="1:4">
      <c r="B12" s="99" t="s">
        <v>1186</v>
      </c>
      <c r="C12" s="100">
        <v>483280</v>
      </c>
      <c r="D12" s="99"/>
    </row>
    <row r="13" spans="1:4">
      <c r="B13" s="99" t="s">
        <v>1191</v>
      </c>
      <c r="C13" s="100">
        <v>18480</v>
      </c>
      <c r="D13" s="99"/>
    </row>
    <row r="14" spans="1:4">
      <c r="B14" s="99" t="s">
        <v>1217</v>
      </c>
      <c r="C14" s="100">
        <v>16499</v>
      </c>
      <c r="D14" s="99"/>
    </row>
    <row r="15" spans="1:4">
      <c r="B15" s="99" t="s">
        <v>1239</v>
      </c>
      <c r="C15" s="100">
        <v>15610</v>
      </c>
      <c r="D15" s="99"/>
    </row>
    <row r="16" spans="1:4">
      <c r="B16" s="99" t="s">
        <v>1253</v>
      </c>
      <c r="C16" s="100">
        <v>490</v>
      </c>
      <c r="D16" s="99"/>
    </row>
    <row r="17" spans="2:4">
      <c r="B17" s="99" t="s">
        <v>1264</v>
      </c>
      <c r="C17" s="100">
        <v>14112</v>
      </c>
      <c r="D17" s="99"/>
    </row>
    <row r="18" spans="2:4">
      <c r="B18" s="99" t="s">
        <v>1329</v>
      </c>
      <c r="C18" s="100">
        <f>카카오04!AP19</f>
        <v>750850</v>
      </c>
      <c r="D18" s="99"/>
    </row>
    <row r="19" spans="2:4">
      <c r="B19" s="103" t="s">
        <v>167</v>
      </c>
      <c r="C19" s="104">
        <f>SUM(C3:C18)</f>
        <v>1950387.5</v>
      </c>
      <c r="D19" s="104">
        <f>ROUND(SUM(D3:D17),0)</f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D20"/>
  <sheetViews>
    <sheetView workbookViewId="0">
      <selection activeCell="G22" sqref="G22"/>
    </sheetView>
  </sheetViews>
  <sheetFormatPr defaultRowHeight="17.399999999999999"/>
  <cols>
    <col min="2" max="2" width="12.3984375" customWidth="1"/>
    <col min="3" max="3" width="14.59765625" customWidth="1"/>
    <col min="4" max="4" width="23.69921875" customWidth="1"/>
  </cols>
  <sheetData>
    <row r="2" spans="2:4">
      <c r="B2" s="120" t="s">
        <v>1268</v>
      </c>
      <c r="C2" s="120"/>
      <c r="D2" s="105" t="s">
        <v>1269</v>
      </c>
    </row>
    <row r="3" spans="2:4">
      <c r="B3" s="121" t="s">
        <v>1270</v>
      </c>
      <c r="C3" s="121"/>
      <c r="D3" s="106">
        <v>100000000</v>
      </c>
    </row>
    <row r="4" spans="2:4">
      <c r="B4" s="121" t="s">
        <v>1271</v>
      </c>
      <c r="C4" s="121"/>
      <c r="D4" s="106">
        <v>3390000</v>
      </c>
    </row>
    <row r="5" spans="2:4">
      <c r="B5" s="122" t="s">
        <v>1272</v>
      </c>
      <c r="C5" s="122"/>
      <c r="D5" s="107">
        <v>103390000</v>
      </c>
    </row>
    <row r="6" spans="2:4">
      <c r="B6" s="108"/>
      <c r="C6" s="108"/>
      <c r="D6" s="108"/>
    </row>
    <row r="7" spans="2:4">
      <c r="B7" s="105" t="s">
        <v>1273</v>
      </c>
      <c r="C7" s="105" t="s">
        <v>1274</v>
      </c>
      <c r="D7" s="105" t="s">
        <v>1275</v>
      </c>
    </row>
    <row r="8" spans="2:4">
      <c r="B8" s="109">
        <v>44287</v>
      </c>
      <c r="C8" s="110">
        <v>4630973.6800000006</v>
      </c>
      <c r="D8" s="110">
        <f>D5-C8</f>
        <v>98759026.319999993</v>
      </c>
    </row>
    <row r="9" spans="2:4">
      <c r="B9" s="109">
        <v>44317</v>
      </c>
      <c r="C9" s="110">
        <v>7141839.3999999994</v>
      </c>
      <c r="D9" s="110">
        <f t="shared" ref="D9:D18" si="0">D8-C9</f>
        <v>91617186.919999987</v>
      </c>
    </row>
    <row r="10" spans="2:4">
      <c r="B10" s="109">
        <v>44348</v>
      </c>
      <c r="C10" s="110">
        <v>3158668.1999999997</v>
      </c>
      <c r="D10" s="110">
        <f t="shared" si="0"/>
        <v>88458518.719999984</v>
      </c>
    </row>
    <row r="11" spans="2:4">
      <c r="B11" s="109">
        <v>44378</v>
      </c>
      <c r="C11" s="110">
        <v>1944171.69</v>
      </c>
      <c r="D11" s="110">
        <f t="shared" si="0"/>
        <v>86514347.029999986</v>
      </c>
    </row>
    <row r="12" spans="2:4">
      <c r="B12" s="109">
        <v>44409</v>
      </c>
      <c r="C12" s="110">
        <v>5592019.0699999994</v>
      </c>
      <c r="D12" s="110">
        <f t="shared" si="0"/>
        <v>80922327.959999993</v>
      </c>
    </row>
    <row r="13" spans="2:4">
      <c r="B13" s="109">
        <v>44440</v>
      </c>
      <c r="C13" s="110">
        <v>4194383.8699999992</v>
      </c>
      <c r="D13" s="110">
        <f t="shared" si="0"/>
        <v>76727944.089999989</v>
      </c>
    </row>
    <row r="14" spans="2:4">
      <c r="B14" s="109">
        <v>44470</v>
      </c>
      <c r="C14" s="110">
        <v>3744837.8099999996</v>
      </c>
      <c r="D14" s="110">
        <f t="shared" si="0"/>
        <v>72983106.279999986</v>
      </c>
    </row>
    <row r="15" spans="2:4">
      <c r="B15" s="109">
        <v>44501</v>
      </c>
      <c r="C15" s="110">
        <v>2146611.0400000005</v>
      </c>
      <c r="D15" s="110">
        <f t="shared" si="0"/>
        <v>70836495.23999998</v>
      </c>
    </row>
    <row r="16" spans="2:4">
      <c r="B16" s="109">
        <v>44531</v>
      </c>
      <c r="C16" s="110">
        <v>1978371.4999999998</v>
      </c>
      <c r="D16" s="110">
        <f t="shared" si="0"/>
        <v>68858123.73999998</v>
      </c>
    </row>
    <row r="17" spans="2:4">
      <c r="B17" s="109">
        <v>44562</v>
      </c>
      <c r="C17" s="110">
        <v>1692101.7999999998</v>
      </c>
      <c r="D17" s="110">
        <f t="shared" si="0"/>
        <v>67166021.939999983</v>
      </c>
    </row>
    <row r="18" spans="2:4">
      <c r="B18" s="109">
        <v>44593</v>
      </c>
      <c r="C18" s="110">
        <v>12269956.73</v>
      </c>
      <c r="D18" s="110">
        <f t="shared" si="0"/>
        <v>54896065.209999979</v>
      </c>
    </row>
    <row r="19" spans="2:4">
      <c r="B19" s="109">
        <v>44621</v>
      </c>
      <c r="C19" s="110">
        <f>[4]합계03!C18</f>
        <v>3596683.7199999997</v>
      </c>
      <c r="D19" s="110">
        <f>D18-C19</f>
        <v>51299381.48999998</v>
      </c>
    </row>
    <row r="20" spans="2:4">
      <c r="B20" s="111">
        <v>44652</v>
      </c>
      <c r="C20" s="112">
        <f>합계!C19</f>
        <v>1950387.5</v>
      </c>
      <c r="D20" s="113">
        <f>D19-C20</f>
        <v>49348993.98999998</v>
      </c>
    </row>
  </sheetData>
  <mergeCells count="4">
    <mergeCell ref="B2:C2"/>
    <mergeCell ref="B3:C3"/>
    <mergeCell ref="B4:C4"/>
    <mergeCell ref="B5:C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opLeftCell="B1" workbookViewId="0">
      <selection activeCell="B1" sqref="B1"/>
    </sheetView>
  </sheetViews>
  <sheetFormatPr defaultColWidth="9" defaultRowHeight="13.2"/>
  <cols>
    <col min="1" max="2" width="8" style="3" bestFit="1" customWidth="1"/>
    <col min="3" max="3" width="5.8984375" style="3" bestFit="1" customWidth="1"/>
    <col min="4" max="4" width="14.3984375" style="3" bestFit="1" customWidth="1"/>
    <col min="5" max="5" width="13.5" style="3" bestFit="1" customWidth="1"/>
    <col min="6" max="6" width="10.59765625" style="3" bestFit="1" customWidth="1"/>
    <col min="7" max="7" width="13.09765625" style="3" bestFit="1" customWidth="1"/>
    <col min="8" max="8" width="8.69921875" style="3" bestFit="1" customWidth="1"/>
    <col min="9" max="9" width="21.3984375" style="3" bestFit="1" customWidth="1"/>
    <col min="10" max="11" width="6.3984375" style="3" bestFit="1" customWidth="1"/>
    <col min="12" max="12" width="5.3984375" style="3" bestFit="1" customWidth="1"/>
    <col min="13" max="14" width="6.3984375" style="3" bestFit="1" customWidth="1"/>
    <col min="15" max="15" width="9.69921875" style="3" bestFit="1" customWidth="1"/>
    <col min="16" max="16" width="13.3984375" style="3" bestFit="1" customWidth="1"/>
    <col min="17" max="17" width="15.09765625" style="3" bestFit="1" customWidth="1"/>
    <col min="18" max="18" width="6.3984375" style="3" bestFit="1" customWidth="1"/>
    <col min="19" max="19" width="9" style="3" bestFit="1" customWidth="1"/>
    <col min="20" max="20" width="9.5" style="3" bestFit="1" customWidth="1"/>
    <col min="21" max="16384" width="9" style="3"/>
  </cols>
  <sheetData>
    <row r="1" spans="1:20" ht="13.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</row>
    <row r="2" spans="1:20" ht="13.8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32</v>
      </c>
      <c r="Q2" s="3" t="s">
        <v>35</v>
      </c>
      <c r="R2" s="4">
        <v>2646</v>
      </c>
      <c r="S2" s="3" t="s">
        <v>36</v>
      </c>
      <c r="T2" s="5" t="s">
        <v>37</v>
      </c>
    </row>
    <row r="3" spans="1:20" ht="13.8">
      <c r="A3" s="3" t="s">
        <v>22</v>
      </c>
      <c r="B3" s="3" t="s">
        <v>23</v>
      </c>
      <c r="C3" s="3" t="s">
        <v>24</v>
      </c>
      <c r="D3" s="3" t="s">
        <v>25</v>
      </c>
      <c r="E3" s="3" t="s">
        <v>38</v>
      </c>
      <c r="F3" s="3" t="s">
        <v>39</v>
      </c>
      <c r="G3" s="3" t="s">
        <v>28</v>
      </c>
      <c r="H3" s="3" t="s">
        <v>28</v>
      </c>
      <c r="I3" s="3" t="s">
        <v>29</v>
      </c>
      <c r="J3" s="3" t="s">
        <v>40</v>
      </c>
      <c r="K3" s="3" t="s">
        <v>31</v>
      </c>
      <c r="L3" s="3" t="s">
        <v>41</v>
      </c>
      <c r="M3" s="3" t="s">
        <v>32</v>
      </c>
      <c r="N3" s="3" t="s">
        <v>42</v>
      </c>
      <c r="O3" s="3" t="s">
        <v>34</v>
      </c>
      <c r="P3" s="3" t="s">
        <v>32</v>
      </c>
      <c r="Q3" s="3" t="s">
        <v>32</v>
      </c>
      <c r="R3" s="6">
        <v>441</v>
      </c>
      <c r="S3" s="3" t="s">
        <v>36</v>
      </c>
      <c r="T3" s="5" t="s">
        <v>37</v>
      </c>
    </row>
    <row r="4" spans="1:20" ht="13.8">
      <c r="A4" s="3" t="s">
        <v>22</v>
      </c>
      <c r="B4" s="3" t="s">
        <v>23</v>
      </c>
      <c r="C4" s="3" t="s">
        <v>24</v>
      </c>
      <c r="D4" s="3" t="s">
        <v>25</v>
      </c>
      <c r="E4" s="3" t="s">
        <v>43</v>
      </c>
      <c r="F4" s="3" t="s">
        <v>44</v>
      </c>
      <c r="G4" s="3" t="s">
        <v>28</v>
      </c>
      <c r="H4" s="3" t="s">
        <v>28</v>
      </c>
      <c r="I4" s="3" t="s">
        <v>29</v>
      </c>
      <c r="J4" s="3" t="s">
        <v>45</v>
      </c>
      <c r="K4" s="3" t="s">
        <v>31</v>
      </c>
      <c r="L4" s="3" t="s">
        <v>41</v>
      </c>
      <c r="M4" s="3" t="s">
        <v>32</v>
      </c>
      <c r="N4" s="3" t="s">
        <v>46</v>
      </c>
      <c r="O4" s="3" t="s">
        <v>34</v>
      </c>
      <c r="P4" s="3" t="s">
        <v>32</v>
      </c>
      <c r="Q4" s="3" t="s">
        <v>47</v>
      </c>
      <c r="R4" s="6">
        <v>882</v>
      </c>
      <c r="S4" s="3" t="s">
        <v>36</v>
      </c>
      <c r="T4" s="5" t="s">
        <v>37</v>
      </c>
    </row>
    <row r="5" spans="1:20" ht="13.8">
      <c r="A5" s="3" t="s">
        <v>22</v>
      </c>
      <c r="B5" s="3" t="s">
        <v>23</v>
      </c>
      <c r="C5" s="3" t="s">
        <v>24</v>
      </c>
      <c r="D5" s="3" t="s">
        <v>25</v>
      </c>
      <c r="E5" s="3" t="s">
        <v>48</v>
      </c>
      <c r="F5" s="3" t="s">
        <v>49</v>
      </c>
      <c r="G5" s="3" t="s">
        <v>28</v>
      </c>
      <c r="H5" s="3" t="s">
        <v>28</v>
      </c>
      <c r="I5" s="3" t="s">
        <v>29</v>
      </c>
      <c r="J5" s="3" t="s">
        <v>50</v>
      </c>
      <c r="K5" s="3" t="s">
        <v>31</v>
      </c>
      <c r="L5" s="3" t="s">
        <v>41</v>
      </c>
      <c r="M5" s="3" t="s">
        <v>32</v>
      </c>
      <c r="N5" s="3" t="s">
        <v>51</v>
      </c>
      <c r="O5" s="3" t="s">
        <v>34</v>
      </c>
      <c r="P5" s="3" t="s">
        <v>32</v>
      </c>
      <c r="Q5" s="3" t="s">
        <v>52</v>
      </c>
      <c r="R5" s="4">
        <v>1323</v>
      </c>
      <c r="S5" s="3" t="s">
        <v>36</v>
      </c>
      <c r="T5" s="5" t="s">
        <v>37</v>
      </c>
    </row>
    <row r="6" spans="1:20" ht="13.8">
      <c r="A6" s="3" t="s">
        <v>22</v>
      </c>
      <c r="B6" s="3" t="s">
        <v>23</v>
      </c>
      <c r="C6" s="3" t="s">
        <v>24</v>
      </c>
      <c r="D6" s="3" t="s">
        <v>25</v>
      </c>
      <c r="E6" s="3" t="s">
        <v>48</v>
      </c>
      <c r="F6" s="3" t="s">
        <v>49</v>
      </c>
      <c r="G6" s="3" t="s">
        <v>28</v>
      </c>
      <c r="H6" s="3" t="s">
        <v>28</v>
      </c>
      <c r="I6" s="3" t="s">
        <v>29</v>
      </c>
      <c r="J6" s="3" t="s">
        <v>50</v>
      </c>
      <c r="K6" s="3" t="s">
        <v>31</v>
      </c>
      <c r="L6" s="3" t="s">
        <v>32</v>
      </c>
      <c r="M6" s="3" t="s">
        <v>32</v>
      </c>
      <c r="N6" s="3" t="s">
        <v>53</v>
      </c>
      <c r="O6" s="3" t="s">
        <v>34</v>
      </c>
      <c r="P6" s="3" t="s">
        <v>32</v>
      </c>
      <c r="Q6" s="3" t="s">
        <v>54</v>
      </c>
      <c r="R6" s="4">
        <v>3087</v>
      </c>
      <c r="S6" s="3" t="s">
        <v>36</v>
      </c>
      <c r="T6" s="5" t="s">
        <v>37</v>
      </c>
    </row>
    <row r="7" spans="1:20" ht="13.8">
      <c r="A7" s="3" t="s">
        <v>22</v>
      </c>
      <c r="B7" s="3" t="s">
        <v>23</v>
      </c>
      <c r="C7" s="3" t="s">
        <v>24</v>
      </c>
      <c r="D7" s="3" t="s">
        <v>25</v>
      </c>
      <c r="E7" s="3" t="s">
        <v>55</v>
      </c>
      <c r="F7" s="3" t="s">
        <v>56</v>
      </c>
      <c r="G7" s="3" t="s">
        <v>28</v>
      </c>
      <c r="H7" s="3" t="s">
        <v>28</v>
      </c>
      <c r="I7" s="3" t="s">
        <v>29</v>
      </c>
      <c r="J7" s="3" t="s">
        <v>57</v>
      </c>
      <c r="K7" s="3" t="s">
        <v>31</v>
      </c>
      <c r="L7" s="3" t="s">
        <v>41</v>
      </c>
      <c r="M7" s="3" t="s">
        <v>32</v>
      </c>
      <c r="N7" s="3" t="s">
        <v>46</v>
      </c>
      <c r="O7" s="3" t="s">
        <v>34</v>
      </c>
      <c r="P7" s="3" t="s">
        <v>32</v>
      </c>
      <c r="Q7" s="3" t="s">
        <v>47</v>
      </c>
      <c r="R7" s="6">
        <v>882</v>
      </c>
      <c r="S7" s="3" t="s">
        <v>36</v>
      </c>
      <c r="T7" s="5" t="s">
        <v>37</v>
      </c>
    </row>
    <row r="8" spans="1:20" ht="13.8">
      <c r="A8" s="3" t="s">
        <v>22</v>
      </c>
      <c r="B8" s="3" t="s">
        <v>23</v>
      </c>
      <c r="C8" s="3" t="s">
        <v>24</v>
      </c>
      <c r="D8" s="3" t="s">
        <v>25</v>
      </c>
      <c r="E8" s="3" t="s">
        <v>55</v>
      </c>
      <c r="F8" s="3" t="s">
        <v>56</v>
      </c>
      <c r="G8" s="3" t="s">
        <v>28</v>
      </c>
      <c r="H8" s="3" t="s">
        <v>28</v>
      </c>
      <c r="I8" s="3" t="s">
        <v>29</v>
      </c>
      <c r="J8" s="3" t="s">
        <v>57</v>
      </c>
      <c r="K8" s="3" t="s">
        <v>31</v>
      </c>
      <c r="L8" s="3" t="s">
        <v>32</v>
      </c>
      <c r="M8" s="3" t="s">
        <v>32</v>
      </c>
      <c r="N8" s="3" t="s">
        <v>33</v>
      </c>
      <c r="O8" s="3" t="s">
        <v>34</v>
      </c>
      <c r="P8" s="3" t="s">
        <v>32</v>
      </c>
      <c r="Q8" s="3" t="s">
        <v>35</v>
      </c>
      <c r="R8" s="4">
        <v>2646</v>
      </c>
      <c r="S8" s="3" t="s">
        <v>36</v>
      </c>
      <c r="T8" s="5" t="s">
        <v>37</v>
      </c>
    </row>
    <row r="9" spans="1:20" ht="13.8">
      <c r="A9" s="3" t="s">
        <v>22</v>
      </c>
      <c r="B9" s="3" t="s">
        <v>23</v>
      </c>
      <c r="C9" s="3" t="s">
        <v>24</v>
      </c>
      <c r="D9" s="3" t="s">
        <v>25</v>
      </c>
      <c r="E9" s="3" t="s">
        <v>58</v>
      </c>
      <c r="F9" s="3" t="s">
        <v>59</v>
      </c>
      <c r="G9" s="3" t="s">
        <v>28</v>
      </c>
      <c r="H9" s="3" t="s">
        <v>28</v>
      </c>
      <c r="I9" s="3" t="s">
        <v>29</v>
      </c>
      <c r="J9" s="3" t="s">
        <v>60</v>
      </c>
      <c r="K9" s="3" t="s">
        <v>31</v>
      </c>
      <c r="L9" s="3" t="s">
        <v>41</v>
      </c>
      <c r="M9" s="3" t="s">
        <v>32</v>
      </c>
      <c r="N9" s="3" t="s">
        <v>46</v>
      </c>
      <c r="O9" s="3" t="s">
        <v>34</v>
      </c>
      <c r="P9" s="3" t="s">
        <v>32</v>
      </c>
      <c r="Q9" s="3" t="s">
        <v>47</v>
      </c>
      <c r="R9" s="6">
        <v>882</v>
      </c>
      <c r="S9" s="3" t="s">
        <v>36</v>
      </c>
      <c r="T9" s="5" t="s">
        <v>37</v>
      </c>
    </row>
    <row r="10" spans="1:20" ht="13.8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58</v>
      </c>
      <c r="F10" s="3" t="s">
        <v>59</v>
      </c>
      <c r="G10" s="3" t="s">
        <v>28</v>
      </c>
      <c r="H10" s="3" t="s">
        <v>28</v>
      </c>
      <c r="I10" s="3" t="s">
        <v>29</v>
      </c>
      <c r="J10" s="3" t="s">
        <v>60</v>
      </c>
      <c r="K10" s="3" t="s">
        <v>31</v>
      </c>
      <c r="L10" s="3" t="s">
        <v>32</v>
      </c>
      <c r="M10" s="3" t="s">
        <v>32</v>
      </c>
      <c r="N10" s="3" t="s">
        <v>33</v>
      </c>
      <c r="O10" s="3" t="s">
        <v>34</v>
      </c>
      <c r="P10" s="3" t="s">
        <v>32</v>
      </c>
      <c r="Q10" s="3" t="s">
        <v>35</v>
      </c>
      <c r="R10" s="4">
        <v>2646</v>
      </c>
      <c r="S10" s="3" t="s">
        <v>36</v>
      </c>
      <c r="T10" s="5" t="s">
        <v>37</v>
      </c>
    </row>
    <row r="11" spans="1:20" ht="13.8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43</v>
      </c>
      <c r="F11" s="3" t="s">
        <v>44</v>
      </c>
      <c r="G11" s="3" t="s">
        <v>28</v>
      </c>
      <c r="H11" s="3" t="s">
        <v>28</v>
      </c>
      <c r="I11" s="3" t="s">
        <v>29</v>
      </c>
      <c r="J11" s="3" t="s">
        <v>45</v>
      </c>
      <c r="K11" s="3" t="s">
        <v>31</v>
      </c>
      <c r="L11" s="3" t="s">
        <v>32</v>
      </c>
      <c r="M11" s="3" t="s">
        <v>32</v>
      </c>
      <c r="N11" s="3" t="s">
        <v>33</v>
      </c>
      <c r="O11" s="3" t="s">
        <v>34</v>
      </c>
      <c r="P11" s="3" t="s">
        <v>32</v>
      </c>
      <c r="Q11" s="3" t="s">
        <v>35</v>
      </c>
      <c r="R11" s="4">
        <v>2646</v>
      </c>
      <c r="S11" s="3" t="s">
        <v>36</v>
      </c>
      <c r="T11" s="5" t="s">
        <v>37</v>
      </c>
    </row>
    <row r="12" spans="1:20" ht="13.8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38</v>
      </c>
      <c r="F12" s="3" t="s">
        <v>39</v>
      </c>
      <c r="G12" s="3" t="s">
        <v>28</v>
      </c>
      <c r="H12" s="3" t="s">
        <v>28</v>
      </c>
      <c r="I12" s="3" t="s">
        <v>29</v>
      </c>
      <c r="J12" s="3" t="s">
        <v>40</v>
      </c>
      <c r="K12" s="3" t="s">
        <v>31</v>
      </c>
      <c r="L12" s="3" t="s">
        <v>32</v>
      </c>
      <c r="M12" s="3" t="s">
        <v>32</v>
      </c>
      <c r="N12" s="3" t="s">
        <v>33</v>
      </c>
      <c r="O12" s="3" t="s">
        <v>34</v>
      </c>
      <c r="P12" s="3" t="s">
        <v>32</v>
      </c>
      <c r="Q12" s="3" t="s">
        <v>35</v>
      </c>
      <c r="R12" s="4">
        <v>2646</v>
      </c>
      <c r="S12" s="3" t="s">
        <v>36</v>
      </c>
      <c r="T12" s="5" t="s">
        <v>37</v>
      </c>
    </row>
    <row r="13" spans="1:20" ht="13.8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61</v>
      </c>
      <c r="F13" s="3" t="s">
        <v>62</v>
      </c>
      <c r="G13" s="3" t="s">
        <v>28</v>
      </c>
      <c r="H13" s="3" t="s">
        <v>28</v>
      </c>
      <c r="I13" s="3" t="s">
        <v>29</v>
      </c>
      <c r="J13" s="3" t="s">
        <v>63</v>
      </c>
      <c r="K13" s="3" t="s">
        <v>31</v>
      </c>
      <c r="L13" s="3" t="s">
        <v>32</v>
      </c>
      <c r="M13" s="3" t="s">
        <v>32</v>
      </c>
      <c r="N13" s="3" t="s">
        <v>64</v>
      </c>
      <c r="O13" s="3" t="s">
        <v>34</v>
      </c>
      <c r="P13" s="3" t="s">
        <v>32</v>
      </c>
      <c r="Q13" s="3" t="s">
        <v>65</v>
      </c>
      <c r="R13" s="4">
        <v>2205</v>
      </c>
      <c r="S13" s="3" t="s">
        <v>36</v>
      </c>
      <c r="T13" s="5" t="s">
        <v>37</v>
      </c>
    </row>
    <row r="14" spans="1:20" ht="13.8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61</v>
      </c>
      <c r="F14" s="3" t="s">
        <v>62</v>
      </c>
      <c r="G14" s="3" t="s">
        <v>28</v>
      </c>
      <c r="H14" s="3" t="s">
        <v>28</v>
      </c>
      <c r="I14" s="3" t="s">
        <v>29</v>
      </c>
      <c r="J14" s="3" t="s">
        <v>63</v>
      </c>
      <c r="K14" s="3" t="s">
        <v>31</v>
      </c>
      <c r="L14" s="3" t="s">
        <v>41</v>
      </c>
      <c r="M14" s="3" t="s">
        <v>32</v>
      </c>
      <c r="N14" s="3" t="s">
        <v>42</v>
      </c>
      <c r="O14" s="3" t="s">
        <v>34</v>
      </c>
      <c r="P14" s="3" t="s">
        <v>32</v>
      </c>
      <c r="Q14" s="3" t="s">
        <v>32</v>
      </c>
      <c r="R14" s="6">
        <v>441</v>
      </c>
      <c r="S14" s="3" t="s">
        <v>36</v>
      </c>
      <c r="T14" s="5" t="s">
        <v>37</v>
      </c>
    </row>
    <row r="15" spans="1:20" ht="13.8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66</v>
      </c>
      <c r="F15" s="3" t="s">
        <v>67</v>
      </c>
      <c r="G15" s="3" t="s">
        <v>28</v>
      </c>
      <c r="H15" s="3" t="s">
        <v>28</v>
      </c>
      <c r="I15" s="3" t="s">
        <v>29</v>
      </c>
      <c r="J15" s="3" t="s">
        <v>68</v>
      </c>
      <c r="K15" s="3" t="s">
        <v>31</v>
      </c>
      <c r="L15" s="3" t="s">
        <v>41</v>
      </c>
      <c r="M15" s="3" t="s">
        <v>32</v>
      </c>
      <c r="N15" s="3" t="s">
        <v>42</v>
      </c>
      <c r="O15" s="3" t="s">
        <v>34</v>
      </c>
      <c r="P15" s="3" t="s">
        <v>32</v>
      </c>
      <c r="Q15" s="3" t="s">
        <v>32</v>
      </c>
      <c r="R15" s="6">
        <v>441</v>
      </c>
      <c r="S15" s="3" t="s">
        <v>36</v>
      </c>
      <c r="T15" s="5" t="s">
        <v>37</v>
      </c>
    </row>
    <row r="16" spans="1:20" ht="13.8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66</v>
      </c>
      <c r="F16" s="3" t="s">
        <v>67</v>
      </c>
      <c r="G16" s="3" t="s">
        <v>28</v>
      </c>
      <c r="H16" s="3" t="s">
        <v>28</v>
      </c>
      <c r="I16" s="3" t="s">
        <v>29</v>
      </c>
      <c r="J16" s="3" t="s">
        <v>68</v>
      </c>
      <c r="K16" s="3" t="s">
        <v>31</v>
      </c>
      <c r="L16" s="3" t="s">
        <v>32</v>
      </c>
      <c r="M16" s="3" t="s">
        <v>32</v>
      </c>
      <c r="N16" s="3" t="s">
        <v>69</v>
      </c>
      <c r="O16" s="3" t="s">
        <v>34</v>
      </c>
      <c r="P16" s="3" t="s">
        <v>32</v>
      </c>
      <c r="Q16" s="3" t="s">
        <v>70</v>
      </c>
      <c r="R16" s="4">
        <v>1764</v>
      </c>
      <c r="S16" s="3" t="s">
        <v>36</v>
      </c>
      <c r="T16" s="5" t="s">
        <v>37</v>
      </c>
    </row>
    <row r="17" spans="1:20" ht="13.8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28</v>
      </c>
      <c r="H17" s="3" t="s">
        <v>28</v>
      </c>
      <c r="I17" s="3" t="s">
        <v>29</v>
      </c>
      <c r="J17" s="3" t="s">
        <v>30</v>
      </c>
      <c r="K17" s="3" t="s">
        <v>31</v>
      </c>
      <c r="L17" s="3" t="s">
        <v>41</v>
      </c>
      <c r="M17" s="3" t="s">
        <v>32</v>
      </c>
      <c r="N17" s="3" t="s">
        <v>46</v>
      </c>
      <c r="O17" s="3" t="s">
        <v>34</v>
      </c>
      <c r="P17" s="3" t="s">
        <v>32</v>
      </c>
      <c r="Q17" s="3" t="s">
        <v>47</v>
      </c>
      <c r="R17" s="6">
        <v>882</v>
      </c>
      <c r="S17" s="3" t="s">
        <v>36</v>
      </c>
      <c r="T17" s="5" t="s">
        <v>37</v>
      </c>
    </row>
    <row r="18" spans="1:20" ht="13.8">
      <c r="A18" s="3" t="s">
        <v>71</v>
      </c>
      <c r="B18" s="3" t="s">
        <v>23</v>
      </c>
      <c r="C18" s="3" t="s">
        <v>24</v>
      </c>
      <c r="D18" s="3" t="s">
        <v>25</v>
      </c>
      <c r="E18" s="3" t="s">
        <v>72</v>
      </c>
      <c r="F18" s="3" t="s">
        <v>27</v>
      </c>
      <c r="G18" s="3" t="s">
        <v>28</v>
      </c>
      <c r="H18" s="3" t="s">
        <v>28</v>
      </c>
      <c r="I18" s="3" t="s">
        <v>29</v>
      </c>
      <c r="J18" s="3" t="s">
        <v>30</v>
      </c>
      <c r="K18" s="3" t="s">
        <v>31</v>
      </c>
      <c r="L18" s="3" t="s">
        <v>32</v>
      </c>
      <c r="M18" s="3" t="s">
        <v>32</v>
      </c>
      <c r="N18" s="3" t="s">
        <v>42</v>
      </c>
      <c r="O18" s="3" t="s">
        <v>34</v>
      </c>
      <c r="P18" s="3" t="s">
        <v>32</v>
      </c>
      <c r="Q18" s="3" t="s">
        <v>32</v>
      </c>
      <c r="R18" s="6">
        <v>315</v>
      </c>
      <c r="S18" s="3" t="s">
        <v>73</v>
      </c>
      <c r="T18" s="5" t="s">
        <v>37</v>
      </c>
    </row>
    <row r="19" spans="1:20" ht="13.8">
      <c r="A19" s="3" t="s">
        <v>71</v>
      </c>
      <c r="B19" s="3" t="s">
        <v>23</v>
      </c>
      <c r="C19" s="3" t="s">
        <v>24</v>
      </c>
      <c r="D19" s="3" t="s">
        <v>25</v>
      </c>
      <c r="E19" s="3" t="s">
        <v>72</v>
      </c>
      <c r="F19" s="3" t="s">
        <v>49</v>
      </c>
      <c r="G19" s="3" t="s">
        <v>28</v>
      </c>
      <c r="H19" s="3" t="s">
        <v>28</v>
      </c>
      <c r="I19" s="3" t="s">
        <v>29</v>
      </c>
      <c r="J19" s="3" t="s">
        <v>50</v>
      </c>
      <c r="K19" s="3" t="s">
        <v>31</v>
      </c>
      <c r="L19" s="3" t="s">
        <v>32</v>
      </c>
      <c r="M19" s="3" t="s">
        <v>32</v>
      </c>
      <c r="N19" s="3" t="s">
        <v>42</v>
      </c>
      <c r="O19" s="3" t="s">
        <v>34</v>
      </c>
      <c r="P19" s="3" t="s">
        <v>32</v>
      </c>
      <c r="Q19" s="3" t="s">
        <v>32</v>
      </c>
      <c r="R19" s="6">
        <v>315</v>
      </c>
      <c r="S19" s="3" t="s">
        <v>73</v>
      </c>
      <c r="T19" s="5" t="s">
        <v>37</v>
      </c>
    </row>
    <row r="20" spans="1:20" ht="13.8">
      <c r="A20" s="3" t="s">
        <v>71</v>
      </c>
      <c r="B20" s="3" t="s">
        <v>23</v>
      </c>
      <c r="C20" s="3" t="s">
        <v>24</v>
      </c>
      <c r="D20" s="3" t="s">
        <v>25</v>
      </c>
      <c r="E20" s="3" t="s">
        <v>72</v>
      </c>
      <c r="F20" s="3" t="s">
        <v>56</v>
      </c>
      <c r="G20" s="3" t="s">
        <v>28</v>
      </c>
      <c r="H20" s="3" t="s">
        <v>28</v>
      </c>
      <c r="I20" s="3" t="s">
        <v>29</v>
      </c>
      <c r="J20" s="3" t="s">
        <v>57</v>
      </c>
      <c r="K20" s="3" t="s">
        <v>31</v>
      </c>
      <c r="L20" s="3" t="s">
        <v>32</v>
      </c>
      <c r="M20" s="3" t="s">
        <v>32</v>
      </c>
      <c r="N20" s="3" t="s">
        <v>42</v>
      </c>
      <c r="O20" s="3" t="s">
        <v>34</v>
      </c>
      <c r="P20" s="3" t="s">
        <v>32</v>
      </c>
      <c r="Q20" s="3" t="s">
        <v>32</v>
      </c>
      <c r="R20" s="6">
        <v>315</v>
      </c>
      <c r="S20" s="3" t="s">
        <v>73</v>
      </c>
      <c r="T20" s="5" t="s">
        <v>37</v>
      </c>
    </row>
    <row r="21" spans="1:20" ht="13.8">
      <c r="A21" s="3" t="s">
        <v>71</v>
      </c>
      <c r="B21" s="3" t="s">
        <v>23</v>
      </c>
      <c r="C21" s="3" t="s">
        <v>24</v>
      </c>
      <c r="D21" s="3" t="s">
        <v>25</v>
      </c>
      <c r="E21" s="3" t="s">
        <v>72</v>
      </c>
      <c r="F21" s="3" t="s">
        <v>59</v>
      </c>
      <c r="G21" s="3" t="s">
        <v>28</v>
      </c>
      <c r="H21" s="3" t="s">
        <v>28</v>
      </c>
      <c r="I21" s="3" t="s">
        <v>29</v>
      </c>
      <c r="J21" s="3" t="s">
        <v>60</v>
      </c>
      <c r="K21" s="3" t="s">
        <v>31</v>
      </c>
      <c r="L21" s="3" t="s">
        <v>32</v>
      </c>
      <c r="M21" s="3" t="s">
        <v>32</v>
      </c>
      <c r="N21" s="3" t="s">
        <v>42</v>
      </c>
      <c r="O21" s="3" t="s">
        <v>34</v>
      </c>
      <c r="P21" s="3" t="s">
        <v>32</v>
      </c>
      <c r="Q21" s="3" t="s">
        <v>32</v>
      </c>
      <c r="R21" s="6">
        <v>315</v>
      </c>
      <c r="S21" s="3" t="s">
        <v>73</v>
      </c>
      <c r="T21" s="5" t="s">
        <v>37</v>
      </c>
    </row>
    <row r="22" spans="1:20" ht="13.8">
      <c r="A22" s="3" t="s">
        <v>71</v>
      </c>
      <c r="B22" s="3" t="s">
        <v>23</v>
      </c>
      <c r="C22" s="3" t="s">
        <v>24</v>
      </c>
      <c r="D22" s="3" t="s">
        <v>25</v>
      </c>
      <c r="E22" s="3" t="s">
        <v>72</v>
      </c>
      <c r="F22" s="3" t="s">
        <v>44</v>
      </c>
      <c r="G22" s="3" t="s">
        <v>28</v>
      </c>
      <c r="H22" s="3" t="s">
        <v>28</v>
      </c>
      <c r="I22" s="3" t="s">
        <v>29</v>
      </c>
      <c r="J22" s="3" t="s">
        <v>45</v>
      </c>
      <c r="K22" s="3" t="s">
        <v>31</v>
      </c>
      <c r="L22" s="3" t="s">
        <v>32</v>
      </c>
      <c r="M22" s="3" t="s">
        <v>32</v>
      </c>
      <c r="N22" s="3" t="s">
        <v>42</v>
      </c>
      <c r="O22" s="3" t="s">
        <v>34</v>
      </c>
      <c r="P22" s="3" t="s">
        <v>32</v>
      </c>
      <c r="Q22" s="3" t="s">
        <v>32</v>
      </c>
      <c r="R22" s="6">
        <v>315</v>
      </c>
      <c r="S22" s="3" t="s">
        <v>73</v>
      </c>
      <c r="T22" s="5" t="s">
        <v>37</v>
      </c>
    </row>
    <row r="23" spans="1:20" ht="13.8">
      <c r="A23" s="3" t="s">
        <v>71</v>
      </c>
      <c r="B23" s="3" t="s">
        <v>23</v>
      </c>
      <c r="C23" s="3" t="s">
        <v>24</v>
      </c>
      <c r="D23" s="3" t="s">
        <v>25</v>
      </c>
      <c r="E23" s="3" t="s">
        <v>72</v>
      </c>
      <c r="F23" s="3" t="s">
        <v>39</v>
      </c>
      <c r="G23" s="3" t="s">
        <v>28</v>
      </c>
      <c r="H23" s="3" t="s">
        <v>28</v>
      </c>
      <c r="I23" s="3" t="s">
        <v>29</v>
      </c>
      <c r="J23" s="3" t="s">
        <v>40</v>
      </c>
      <c r="K23" s="3" t="s">
        <v>31</v>
      </c>
      <c r="L23" s="3" t="s">
        <v>32</v>
      </c>
      <c r="M23" s="3" t="s">
        <v>32</v>
      </c>
      <c r="N23" s="3" t="s">
        <v>42</v>
      </c>
      <c r="O23" s="3" t="s">
        <v>34</v>
      </c>
      <c r="P23" s="3" t="s">
        <v>32</v>
      </c>
      <c r="Q23" s="3" t="s">
        <v>32</v>
      </c>
      <c r="R23" s="6">
        <v>315</v>
      </c>
      <c r="S23" s="3" t="s">
        <v>73</v>
      </c>
      <c r="T23" s="5" t="s">
        <v>37</v>
      </c>
    </row>
    <row r="24" spans="1:20" ht="13.8">
      <c r="A24" s="3" t="s">
        <v>71</v>
      </c>
      <c r="B24" s="3" t="s">
        <v>23</v>
      </c>
      <c r="C24" s="3" t="s">
        <v>24</v>
      </c>
      <c r="D24" s="3" t="s">
        <v>25</v>
      </c>
      <c r="E24" s="3" t="s">
        <v>72</v>
      </c>
      <c r="F24" s="3" t="s">
        <v>67</v>
      </c>
      <c r="G24" s="3" t="s">
        <v>28</v>
      </c>
      <c r="H24" s="3" t="s">
        <v>28</v>
      </c>
      <c r="I24" s="3" t="s">
        <v>29</v>
      </c>
      <c r="J24" s="3" t="s">
        <v>68</v>
      </c>
      <c r="K24" s="3" t="s">
        <v>31</v>
      </c>
      <c r="L24" s="3" t="s">
        <v>32</v>
      </c>
      <c r="M24" s="3" t="s">
        <v>32</v>
      </c>
      <c r="N24" s="3" t="s">
        <v>42</v>
      </c>
      <c r="O24" s="3" t="s">
        <v>34</v>
      </c>
      <c r="P24" s="3" t="s">
        <v>32</v>
      </c>
      <c r="Q24" s="3" t="s">
        <v>32</v>
      </c>
      <c r="R24" s="6">
        <v>315</v>
      </c>
      <c r="S24" s="3" t="s">
        <v>73</v>
      </c>
      <c r="T24" s="5" t="s">
        <v>37</v>
      </c>
    </row>
    <row r="25" spans="1:20" ht="13.8">
      <c r="A25" s="3" t="s">
        <v>71</v>
      </c>
      <c r="B25" s="3" t="s">
        <v>23</v>
      </c>
      <c r="C25" s="3" t="s">
        <v>24</v>
      </c>
      <c r="D25" s="3" t="s">
        <v>25</v>
      </c>
      <c r="E25" s="3" t="s">
        <v>72</v>
      </c>
      <c r="F25" s="3" t="s">
        <v>62</v>
      </c>
      <c r="G25" s="3" t="s">
        <v>28</v>
      </c>
      <c r="H25" s="3" t="s">
        <v>28</v>
      </c>
      <c r="I25" s="3" t="s">
        <v>29</v>
      </c>
      <c r="J25" s="3" t="s">
        <v>63</v>
      </c>
      <c r="K25" s="3" t="s">
        <v>31</v>
      </c>
      <c r="L25" s="3" t="s">
        <v>32</v>
      </c>
      <c r="M25" s="3" t="s">
        <v>32</v>
      </c>
      <c r="N25" s="3" t="s">
        <v>42</v>
      </c>
      <c r="O25" s="3" t="s">
        <v>34</v>
      </c>
      <c r="P25" s="3" t="s">
        <v>32</v>
      </c>
      <c r="Q25" s="3" t="s">
        <v>32</v>
      </c>
      <c r="R25" s="6">
        <v>315</v>
      </c>
      <c r="S25" s="3" t="s">
        <v>73</v>
      </c>
      <c r="T25" s="5" t="s">
        <v>37</v>
      </c>
    </row>
    <row r="26" spans="1:20" ht="13.8">
      <c r="A26" s="3" t="s">
        <v>22</v>
      </c>
      <c r="B26" s="3" t="s">
        <v>74</v>
      </c>
      <c r="C26" s="3" t="s">
        <v>24</v>
      </c>
      <c r="D26" s="3" t="s">
        <v>25</v>
      </c>
      <c r="E26" s="3" t="s">
        <v>75</v>
      </c>
      <c r="F26" s="3" t="s">
        <v>76</v>
      </c>
      <c r="G26" s="3" t="s">
        <v>28</v>
      </c>
      <c r="H26" s="3" t="s">
        <v>28</v>
      </c>
      <c r="I26" s="3" t="s">
        <v>77</v>
      </c>
      <c r="J26" s="3" t="s">
        <v>28</v>
      </c>
      <c r="K26" s="3" t="s">
        <v>31</v>
      </c>
      <c r="L26" s="3" t="s">
        <v>32</v>
      </c>
      <c r="M26" s="3" t="s">
        <v>32</v>
      </c>
      <c r="N26" s="3" t="s">
        <v>42</v>
      </c>
      <c r="O26" s="3" t="s">
        <v>34</v>
      </c>
      <c r="P26" s="3" t="s">
        <v>32</v>
      </c>
      <c r="Q26" s="3" t="s">
        <v>32</v>
      </c>
      <c r="R26" s="6">
        <v>441</v>
      </c>
      <c r="S26" s="3" t="s">
        <v>36</v>
      </c>
      <c r="T26" s="5" t="s">
        <v>37</v>
      </c>
    </row>
    <row r="27" spans="1:20" ht="13.8">
      <c r="A27" s="3" t="s">
        <v>22</v>
      </c>
      <c r="B27" s="3" t="s">
        <v>74</v>
      </c>
      <c r="C27" s="3" t="s">
        <v>24</v>
      </c>
      <c r="D27" s="3" t="s">
        <v>25</v>
      </c>
      <c r="E27" s="3" t="s">
        <v>75</v>
      </c>
      <c r="F27" s="3" t="s">
        <v>76</v>
      </c>
      <c r="G27" s="3" t="s">
        <v>28</v>
      </c>
      <c r="H27" s="3" t="s">
        <v>28</v>
      </c>
      <c r="I27" s="3" t="s">
        <v>77</v>
      </c>
      <c r="J27" s="3" t="s">
        <v>28</v>
      </c>
      <c r="K27" s="3" t="s">
        <v>31</v>
      </c>
      <c r="L27" s="3" t="s">
        <v>41</v>
      </c>
      <c r="M27" s="3" t="s">
        <v>32</v>
      </c>
      <c r="N27" s="3" t="s">
        <v>42</v>
      </c>
      <c r="O27" s="3" t="s">
        <v>34</v>
      </c>
      <c r="P27" s="3" t="s">
        <v>32</v>
      </c>
      <c r="Q27" s="3" t="s">
        <v>32</v>
      </c>
      <c r="R27" s="6">
        <v>441</v>
      </c>
      <c r="S27" s="3" t="s">
        <v>36</v>
      </c>
      <c r="T27" s="5" t="s">
        <v>37</v>
      </c>
    </row>
    <row r="28" spans="1:20" ht="13.8">
      <c r="A28" s="3" t="s">
        <v>71</v>
      </c>
      <c r="B28" s="3" t="s">
        <v>23</v>
      </c>
      <c r="C28" s="3" t="s">
        <v>24</v>
      </c>
      <c r="D28" s="3" t="s">
        <v>25</v>
      </c>
      <c r="E28" s="3" t="s">
        <v>78</v>
      </c>
      <c r="F28" s="3" t="s">
        <v>76</v>
      </c>
      <c r="G28" s="3" t="s">
        <v>28</v>
      </c>
      <c r="H28" s="3" t="s">
        <v>28</v>
      </c>
      <c r="I28" s="3" t="s">
        <v>77</v>
      </c>
      <c r="J28" s="3" t="s">
        <v>28</v>
      </c>
      <c r="K28" s="3" t="s">
        <v>31</v>
      </c>
      <c r="L28" s="3" t="s">
        <v>32</v>
      </c>
      <c r="M28" s="3" t="s">
        <v>32</v>
      </c>
      <c r="N28" s="3" t="s">
        <v>42</v>
      </c>
      <c r="O28" s="3" t="s">
        <v>34</v>
      </c>
      <c r="P28" s="3" t="s">
        <v>32</v>
      </c>
      <c r="Q28" s="3" t="s">
        <v>32</v>
      </c>
      <c r="R28" s="6">
        <v>315</v>
      </c>
      <c r="S28" s="3" t="s">
        <v>73</v>
      </c>
      <c r="T28" s="5" t="s">
        <v>37</v>
      </c>
    </row>
    <row r="29" spans="1:20" ht="13.8">
      <c r="A29" s="3" t="s">
        <v>71</v>
      </c>
      <c r="B29" s="3" t="s">
        <v>74</v>
      </c>
      <c r="C29" s="3" t="s">
        <v>24</v>
      </c>
      <c r="D29" s="3" t="s">
        <v>25</v>
      </c>
      <c r="E29" s="3" t="s">
        <v>75</v>
      </c>
      <c r="F29" s="3" t="s">
        <v>76</v>
      </c>
      <c r="G29" s="3" t="s">
        <v>79</v>
      </c>
      <c r="H29" s="3" t="s">
        <v>28</v>
      </c>
      <c r="I29" s="3" t="s">
        <v>77</v>
      </c>
      <c r="J29" s="3" t="s">
        <v>28</v>
      </c>
      <c r="K29" s="3" t="s">
        <v>31</v>
      </c>
      <c r="L29" s="3" t="s">
        <v>80</v>
      </c>
      <c r="M29" s="3" t="s">
        <v>80</v>
      </c>
      <c r="N29" s="3" t="s">
        <v>42</v>
      </c>
      <c r="O29" s="3" t="s">
        <v>34</v>
      </c>
      <c r="P29" s="3" t="s">
        <v>80</v>
      </c>
      <c r="Q29" s="3" t="s">
        <v>80</v>
      </c>
      <c r="R29" s="4">
        <v>1600</v>
      </c>
      <c r="S29" s="3" t="s">
        <v>73</v>
      </c>
      <c r="T29" s="5" t="s">
        <v>37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opLeftCell="B1" workbookViewId="0">
      <selection activeCell="B1" sqref="B1"/>
    </sheetView>
  </sheetViews>
  <sheetFormatPr defaultRowHeight="17.399999999999999"/>
  <cols>
    <col min="1" max="1" width="12.69921875" bestFit="1" customWidth="1"/>
    <col min="2" max="2" width="15.3984375" bestFit="1" customWidth="1"/>
    <col min="3" max="3" width="23.69921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19921875" bestFit="1" customWidth="1"/>
    <col min="8" max="8" width="12.69921875" bestFit="1" customWidth="1"/>
    <col min="9" max="9" width="12.8984375" bestFit="1" customWidth="1"/>
    <col min="10" max="10" width="27.5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69921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19921875" bestFit="1" customWidth="1"/>
    <col min="21" max="21" width="15.69921875" bestFit="1" customWidth="1"/>
    <col min="22" max="22" width="10.398437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s="7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s="7" t="s">
        <v>102</v>
      </c>
      <c r="V1" t="s">
        <v>103</v>
      </c>
    </row>
    <row r="2" spans="1:22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>
        <v>1</v>
      </c>
      <c r="H2">
        <v>9791159289606</v>
      </c>
      <c r="I2" t="s">
        <v>37</v>
      </c>
      <c r="J2" t="s">
        <v>110</v>
      </c>
      <c r="K2" t="s">
        <v>31</v>
      </c>
      <c r="L2" t="s">
        <v>111</v>
      </c>
      <c r="M2" s="8">
        <v>3200</v>
      </c>
      <c r="N2" t="s">
        <v>111</v>
      </c>
      <c r="O2" s="8">
        <v>3200</v>
      </c>
      <c r="P2" s="8">
        <v>3200</v>
      </c>
      <c r="Q2" t="s">
        <v>112</v>
      </c>
      <c r="R2" s="9">
        <v>0.7</v>
      </c>
      <c r="S2" s="8">
        <v>2240</v>
      </c>
      <c r="T2" t="s">
        <v>111</v>
      </c>
      <c r="U2" s="8">
        <v>2240</v>
      </c>
      <c r="V2" t="s">
        <v>113</v>
      </c>
    </row>
    <row r="3" spans="1:22">
      <c r="A3" t="s">
        <v>104</v>
      </c>
      <c r="B3" t="s">
        <v>105</v>
      </c>
      <c r="C3" t="s">
        <v>114</v>
      </c>
      <c r="D3" t="s">
        <v>107</v>
      </c>
      <c r="E3" t="s">
        <v>108</v>
      </c>
      <c r="F3" t="s">
        <v>109</v>
      </c>
      <c r="G3">
        <v>1</v>
      </c>
      <c r="H3">
        <v>9791159289583</v>
      </c>
      <c r="I3" t="s">
        <v>37</v>
      </c>
      <c r="J3" t="s">
        <v>115</v>
      </c>
      <c r="K3" t="s">
        <v>31</v>
      </c>
      <c r="L3" t="s">
        <v>111</v>
      </c>
      <c r="M3" s="8">
        <v>3200</v>
      </c>
      <c r="N3" t="s">
        <v>111</v>
      </c>
      <c r="O3" s="8">
        <v>3200</v>
      </c>
      <c r="P3" s="8">
        <v>3200</v>
      </c>
      <c r="Q3" t="s">
        <v>112</v>
      </c>
      <c r="R3" s="9">
        <v>0.7</v>
      </c>
      <c r="S3" s="8">
        <v>2240</v>
      </c>
      <c r="T3" t="s">
        <v>111</v>
      </c>
      <c r="U3" s="8">
        <v>2240</v>
      </c>
      <c r="V3" t="s">
        <v>113</v>
      </c>
    </row>
    <row r="4" spans="1:22">
      <c r="A4" t="s">
        <v>104</v>
      </c>
      <c r="B4" t="s">
        <v>105</v>
      </c>
      <c r="C4" t="s">
        <v>116</v>
      </c>
      <c r="D4" t="s">
        <v>107</v>
      </c>
      <c r="E4" t="s">
        <v>108</v>
      </c>
      <c r="F4" t="s">
        <v>109</v>
      </c>
      <c r="G4">
        <v>1</v>
      </c>
      <c r="H4">
        <v>9791159289583</v>
      </c>
      <c r="I4" t="s">
        <v>37</v>
      </c>
      <c r="J4" t="s">
        <v>115</v>
      </c>
      <c r="K4" t="s">
        <v>31</v>
      </c>
      <c r="L4" t="s">
        <v>111</v>
      </c>
      <c r="M4" s="8">
        <v>3200</v>
      </c>
      <c r="N4" t="s">
        <v>111</v>
      </c>
      <c r="O4" s="8">
        <v>3200</v>
      </c>
      <c r="P4" s="8">
        <v>3200</v>
      </c>
      <c r="Q4" t="s">
        <v>112</v>
      </c>
      <c r="R4" s="9">
        <v>0.7</v>
      </c>
      <c r="S4" s="8">
        <v>2240</v>
      </c>
      <c r="T4" t="s">
        <v>111</v>
      </c>
      <c r="U4" s="8">
        <v>2240</v>
      </c>
      <c r="V4" t="s">
        <v>113</v>
      </c>
    </row>
    <row r="5" spans="1:22">
      <c r="A5" t="s">
        <v>104</v>
      </c>
      <c r="B5" t="s">
        <v>117</v>
      </c>
      <c r="C5" t="s">
        <v>118</v>
      </c>
      <c r="D5" t="s">
        <v>107</v>
      </c>
      <c r="E5" t="s">
        <v>108</v>
      </c>
      <c r="F5" t="s">
        <v>109</v>
      </c>
      <c r="G5">
        <v>1</v>
      </c>
      <c r="H5">
        <v>9791159289590</v>
      </c>
      <c r="I5" t="s">
        <v>37</v>
      </c>
      <c r="J5" t="s">
        <v>119</v>
      </c>
      <c r="K5" t="s">
        <v>31</v>
      </c>
      <c r="L5" t="s">
        <v>111</v>
      </c>
      <c r="M5" s="8">
        <v>3200</v>
      </c>
      <c r="N5" t="s">
        <v>111</v>
      </c>
      <c r="O5" s="8">
        <v>3200</v>
      </c>
      <c r="P5" s="8">
        <v>3200</v>
      </c>
      <c r="Q5" t="s">
        <v>112</v>
      </c>
      <c r="R5" s="9">
        <v>0.7</v>
      </c>
      <c r="S5" s="8">
        <v>2240</v>
      </c>
      <c r="T5" t="s">
        <v>111</v>
      </c>
      <c r="U5" s="8">
        <v>2240</v>
      </c>
      <c r="V5" t="s">
        <v>113</v>
      </c>
    </row>
    <row r="6" spans="1:22">
      <c r="A6" t="s">
        <v>104</v>
      </c>
      <c r="B6" t="s">
        <v>117</v>
      </c>
      <c r="C6" t="s">
        <v>120</v>
      </c>
      <c r="D6" t="s">
        <v>107</v>
      </c>
      <c r="E6" t="s">
        <v>108</v>
      </c>
      <c r="F6" t="s">
        <v>109</v>
      </c>
      <c r="G6">
        <v>1</v>
      </c>
      <c r="H6">
        <v>9791159289606</v>
      </c>
      <c r="I6" t="s">
        <v>37</v>
      </c>
      <c r="J6" t="s">
        <v>110</v>
      </c>
      <c r="K6" t="s">
        <v>31</v>
      </c>
      <c r="L6" t="s">
        <v>111</v>
      </c>
      <c r="M6" s="8">
        <v>3200</v>
      </c>
      <c r="N6" t="s">
        <v>111</v>
      </c>
      <c r="O6" s="8">
        <v>3200</v>
      </c>
      <c r="P6" s="8">
        <v>3200</v>
      </c>
      <c r="Q6" t="s">
        <v>112</v>
      </c>
      <c r="R6" s="9">
        <v>0.7</v>
      </c>
      <c r="S6" s="8">
        <v>2240</v>
      </c>
      <c r="T6" t="s">
        <v>111</v>
      </c>
      <c r="U6" s="8">
        <v>2240</v>
      </c>
      <c r="V6" t="s">
        <v>113</v>
      </c>
    </row>
    <row r="7" spans="1:22">
      <c r="A7" t="s">
        <v>104</v>
      </c>
      <c r="B7" t="s">
        <v>121</v>
      </c>
      <c r="C7" t="s">
        <v>122</v>
      </c>
      <c r="D7" t="s">
        <v>107</v>
      </c>
      <c r="E7" t="s">
        <v>108</v>
      </c>
      <c r="F7" t="s">
        <v>109</v>
      </c>
      <c r="G7">
        <v>1</v>
      </c>
      <c r="H7">
        <v>9791159286575</v>
      </c>
      <c r="I7" t="s">
        <v>37</v>
      </c>
      <c r="J7" t="s">
        <v>123</v>
      </c>
      <c r="K7" t="s">
        <v>31</v>
      </c>
      <c r="L7" t="s">
        <v>111</v>
      </c>
      <c r="M7" s="8">
        <v>3200</v>
      </c>
      <c r="N7" t="s">
        <v>111</v>
      </c>
      <c r="O7" s="8">
        <v>3200</v>
      </c>
      <c r="P7" s="8">
        <v>3200</v>
      </c>
      <c r="Q7" t="s">
        <v>112</v>
      </c>
      <c r="R7" s="9">
        <v>0.7</v>
      </c>
      <c r="S7" s="8">
        <v>2240</v>
      </c>
      <c r="T7" t="s">
        <v>111</v>
      </c>
      <c r="U7" s="8">
        <v>2240</v>
      </c>
      <c r="V7" t="s">
        <v>113</v>
      </c>
    </row>
    <row r="8" spans="1:22">
      <c r="A8" t="s">
        <v>104</v>
      </c>
      <c r="B8" t="s">
        <v>124</v>
      </c>
      <c r="C8" t="s">
        <v>125</v>
      </c>
      <c r="D8" t="s">
        <v>107</v>
      </c>
      <c r="E8" t="s">
        <v>108</v>
      </c>
      <c r="F8" t="s">
        <v>109</v>
      </c>
      <c r="G8">
        <v>1</v>
      </c>
      <c r="H8">
        <v>9791159289583</v>
      </c>
      <c r="I8" t="s">
        <v>37</v>
      </c>
      <c r="J8" t="s">
        <v>115</v>
      </c>
      <c r="K8" t="s">
        <v>31</v>
      </c>
      <c r="L8" t="s">
        <v>111</v>
      </c>
      <c r="M8" s="8">
        <v>3200</v>
      </c>
      <c r="N8" t="s">
        <v>111</v>
      </c>
      <c r="O8" s="8">
        <v>3200</v>
      </c>
      <c r="P8" s="8">
        <v>3200</v>
      </c>
      <c r="Q8" t="s">
        <v>112</v>
      </c>
      <c r="R8" s="9">
        <v>0.7</v>
      </c>
      <c r="S8" s="8">
        <v>2240</v>
      </c>
      <c r="T8" t="s">
        <v>111</v>
      </c>
      <c r="U8" s="8">
        <v>2240</v>
      </c>
      <c r="V8" t="s">
        <v>113</v>
      </c>
    </row>
    <row r="9" spans="1:22">
      <c r="A9" t="s">
        <v>104</v>
      </c>
      <c r="B9" t="s">
        <v>126</v>
      </c>
      <c r="C9" t="s">
        <v>127</v>
      </c>
      <c r="D9" t="s">
        <v>107</v>
      </c>
      <c r="E9" t="s">
        <v>108</v>
      </c>
      <c r="F9" t="s">
        <v>109</v>
      </c>
      <c r="G9">
        <v>1</v>
      </c>
      <c r="H9">
        <v>9791159289583</v>
      </c>
      <c r="I9" t="s">
        <v>37</v>
      </c>
      <c r="J9" t="s">
        <v>115</v>
      </c>
      <c r="K9" t="s">
        <v>31</v>
      </c>
      <c r="L9" t="s">
        <v>111</v>
      </c>
      <c r="M9" s="8">
        <v>3200</v>
      </c>
      <c r="N9" t="s">
        <v>111</v>
      </c>
      <c r="O9" s="8">
        <v>3200</v>
      </c>
      <c r="P9" s="8">
        <v>3200</v>
      </c>
      <c r="Q9" t="s">
        <v>112</v>
      </c>
      <c r="R9" s="9">
        <v>0.7</v>
      </c>
      <c r="S9" s="8">
        <v>2240</v>
      </c>
      <c r="T9" t="s">
        <v>111</v>
      </c>
      <c r="U9" s="8">
        <v>2240</v>
      </c>
      <c r="V9" t="s">
        <v>113</v>
      </c>
    </row>
    <row r="10" spans="1:22">
      <c r="A10" t="s">
        <v>104</v>
      </c>
      <c r="B10" t="s">
        <v>128</v>
      </c>
      <c r="C10" t="s">
        <v>129</v>
      </c>
      <c r="D10" t="s">
        <v>107</v>
      </c>
      <c r="E10" t="s">
        <v>108</v>
      </c>
      <c r="F10" t="s">
        <v>109</v>
      </c>
      <c r="G10">
        <v>1</v>
      </c>
      <c r="H10">
        <v>9791159289590</v>
      </c>
      <c r="I10" t="s">
        <v>37</v>
      </c>
      <c r="J10" t="s">
        <v>119</v>
      </c>
      <c r="K10" t="s">
        <v>31</v>
      </c>
      <c r="L10" t="s">
        <v>111</v>
      </c>
      <c r="M10" s="8">
        <v>3200</v>
      </c>
      <c r="N10" t="s">
        <v>111</v>
      </c>
      <c r="O10" s="8">
        <v>3200</v>
      </c>
      <c r="P10" s="8">
        <v>3200</v>
      </c>
      <c r="Q10" t="s">
        <v>112</v>
      </c>
      <c r="R10" s="9">
        <v>0.7</v>
      </c>
      <c r="S10" s="8">
        <v>2240</v>
      </c>
      <c r="T10" t="s">
        <v>111</v>
      </c>
      <c r="U10" s="8">
        <v>2240</v>
      </c>
      <c r="V10" t="s">
        <v>113</v>
      </c>
    </row>
    <row r="11" spans="1:22">
      <c r="A11" t="s">
        <v>104</v>
      </c>
      <c r="B11" t="s">
        <v>128</v>
      </c>
      <c r="C11" t="s">
        <v>130</v>
      </c>
      <c r="D11" t="s">
        <v>107</v>
      </c>
      <c r="E11" t="s">
        <v>108</v>
      </c>
      <c r="F11" t="s">
        <v>109</v>
      </c>
      <c r="G11">
        <v>1</v>
      </c>
      <c r="H11">
        <v>9791159289606</v>
      </c>
      <c r="I11" t="s">
        <v>37</v>
      </c>
      <c r="J11" t="s">
        <v>110</v>
      </c>
      <c r="K11" t="s">
        <v>31</v>
      </c>
      <c r="L11" t="s">
        <v>111</v>
      </c>
      <c r="M11" s="8">
        <v>3200</v>
      </c>
      <c r="N11" t="s">
        <v>111</v>
      </c>
      <c r="O11" s="8">
        <v>3200</v>
      </c>
      <c r="P11" s="8">
        <v>3200</v>
      </c>
      <c r="Q11" t="s">
        <v>112</v>
      </c>
      <c r="R11" s="9">
        <v>0.7</v>
      </c>
      <c r="S11" s="8">
        <v>2240</v>
      </c>
      <c r="T11" t="s">
        <v>111</v>
      </c>
      <c r="U11" s="8">
        <v>2240</v>
      </c>
      <c r="V11" t="s">
        <v>113</v>
      </c>
    </row>
    <row r="12" spans="1:22">
      <c r="A12" t="s">
        <v>104</v>
      </c>
      <c r="B12" t="s">
        <v>128</v>
      </c>
      <c r="C12" t="s">
        <v>131</v>
      </c>
      <c r="D12" t="s">
        <v>107</v>
      </c>
      <c r="E12" t="s">
        <v>108</v>
      </c>
      <c r="F12" t="s">
        <v>109</v>
      </c>
      <c r="G12">
        <v>1</v>
      </c>
      <c r="H12">
        <v>9791159289613</v>
      </c>
      <c r="I12" t="s">
        <v>37</v>
      </c>
      <c r="J12" t="s">
        <v>132</v>
      </c>
      <c r="K12" t="s">
        <v>31</v>
      </c>
      <c r="L12" t="s">
        <v>111</v>
      </c>
      <c r="M12" s="8">
        <v>3200</v>
      </c>
      <c r="N12" t="s">
        <v>111</v>
      </c>
      <c r="O12" s="8">
        <v>3200</v>
      </c>
      <c r="P12" s="8">
        <v>3200</v>
      </c>
      <c r="Q12" t="s">
        <v>112</v>
      </c>
      <c r="R12" s="9">
        <v>0.7</v>
      </c>
      <c r="S12" s="8">
        <v>2240</v>
      </c>
      <c r="T12" t="s">
        <v>111</v>
      </c>
      <c r="U12" s="8">
        <v>2240</v>
      </c>
      <c r="V12" t="s">
        <v>113</v>
      </c>
    </row>
    <row r="13" spans="1:22">
      <c r="A13" t="s">
        <v>104</v>
      </c>
      <c r="B13" t="s">
        <v>128</v>
      </c>
      <c r="C13" t="s">
        <v>133</v>
      </c>
      <c r="D13" t="s">
        <v>107</v>
      </c>
      <c r="E13" t="s">
        <v>108</v>
      </c>
      <c r="F13" t="s">
        <v>109</v>
      </c>
      <c r="G13">
        <v>1</v>
      </c>
      <c r="H13">
        <v>9791159289620</v>
      </c>
      <c r="I13" t="s">
        <v>37</v>
      </c>
      <c r="J13" t="s">
        <v>134</v>
      </c>
      <c r="K13" t="s">
        <v>31</v>
      </c>
      <c r="L13" t="s">
        <v>111</v>
      </c>
      <c r="M13" s="8">
        <v>3200</v>
      </c>
      <c r="N13" t="s">
        <v>111</v>
      </c>
      <c r="O13" s="8">
        <v>3200</v>
      </c>
      <c r="P13" s="8">
        <v>3200</v>
      </c>
      <c r="Q13" t="s">
        <v>112</v>
      </c>
      <c r="R13" s="9">
        <v>0.7</v>
      </c>
      <c r="S13" s="8">
        <v>2240</v>
      </c>
      <c r="T13" t="s">
        <v>111</v>
      </c>
      <c r="U13" s="8">
        <v>2240</v>
      </c>
      <c r="V13" t="s">
        <v>113</v>
      </c>
    </row>
    <row r="14" spans="1:22">
      <c r="A14" t="s">
        <v>104</v>
      </c>
      <c r="B14" t="s">
        <v>128</v>
      </c>
      <c r="C14" t="s">
        <v>135</v>
      </c>
      <c r="D14" t="s">
        <v>107</v>
      </c>
      <c r="E14" t="s">
        <v>108</v>
      </c>
      <c r="F14" t="s">
        <v>109</v>
      </c>
      <c r="G14">
        <v>1</v>
      </c>
      <c r="H14">
        <v>9791159289637</v>
      </c>
      <c r="I14" t="s">
        <v>37</v>
      </c>
      <c r="J14" t="s">
        <v>136</v>
      </c>
      <c r="K14" t="s">
        <v>31</v>
      </c>
      <c r="L14" t="s">
        <v>111</v>
      </c>
      <c r="M14" s="8">
        <v>3200</v>
      </c>
      <c r="N14" t="s">
        <v>111</v>
      </c>
      <c r="O14" s="8">
        <v>3200</v>
      </c>
      <c r="P14" s="8">
        <v>3200</v>
      </c>
      <c r="Q14" t="s">
        <v>112</v>
      </c>
      <c r="R14" s="9">
        <v>0.7</v>
      </c>
      <c r="S14" s="8">
        <v>2240</v>
      </c>
      <c r="T14" t="s">
        <v>111</v>
      </c>
      <c r="U14" s="8">
        <v>2240</v>
      </c>
      <c r="V14" t="s">
        <v>113</v>
      </c>
    </row>
    <row r="15" spans="1:22">
      <c r="A15" t="s">
        <v>104</v>
      </c>
      <c r="B15" t="s">
        <v>128</v>
      </c>
      <c r="C15" t="s">
        <v>137</v>
      </c>
      <c r="D15" t="s">
        <v>107</v>
      </c>
      <c r="E15" t="s">
        <v>108</v>
      </c>
      <c r="F15" t="s">
        <v>109</v>
      </c>
      <c r="G15">
        <v>1</v>
      </c>
      <c r="H15">
        <v>9791159289644</v>
      </c>
      <c r="I15" t="s">
        <v>37</v>
      </c>
      <c r="J15" t="s">
        <v>138</v>
      </c>
      <c r="K15" t="s">
        <v>31</v>
      </c>
      <c r="L15" t="s">
        <v>111</v>
      </c>
      <c r="M15" s="8">
        <v>3200</v>
      </c>
      <c r="N15" t="s">
        <v>111</v>
      </c>
      <c r="O15" s="8">
        <v>3200</v>
      </c>
      <c r="P15" s="8">
        <v>3200</v>
      </c>
      <c r="Q15" t="s">
        <v>112</v>
      </c>
      <c r="R15" s="9">
        <v>0.7</v>
      </c>
      <c r="S15" s="8">
        <v>2240</v>
      </c>
      <c r="T15" t="s">
        <v>111</v>
      </c>
      <c r="U15" s="8">
        <v>2240</v>
      </c>
      <c r="V15" t="s">
        <v>113</v>
      </c>
    </row>
    <row r="16" spans="1:22">
      <c r="A16" t="s">
        <v>104</v>
      </c>
      <c r="B16" t="s">
        <v>128</v>
      </c>
      <c r="C16" t="s">
        <v>139</v>
      </c>
      <c r="D16" t="s">
        <v>107</v>
      </c>
      <c r="E16" t="s">
        <v>108</v>
      </c>
      <c r="F16" t="s">
        <v>109</v>
      </c>
      <c r="G16">
        <v>1</v>
      </c>
      <c r="H16">
        <v>9791159289651</v>
      </c>
      <c r="I16" t="s">
        <v>37</v>
      </c>
      <c r="J16" t="s">
        <v>140</v>
      </c>
      <c r="K16" t="s">
        <v>31</v>
      </c>
      <c r="L16" t="s">
        <v>111</v>
      </c>
      <c r="M16" s="8">
        <v>3200</v>
      </c>
      <c r="N16" t="s">
        <v>111</v>
      </c>
      <c r="O16" s="8">
        <v>3200</v>
      </c>
      <c r="P16" s="8">
        <v>3200</v>
      </c>
      <c r="Q16" t="s">
        <v>112</v>
      </c>
      <c r="R16" s="9">
        <v>0.7</v>
      </c>
      <c r="S16" s="8">
        <v>2240</v>
      </c>
      <c r="T16" t="s">
        <v>111</v>
      </c>
      <c r="U16" s="8">
        <v>2240</v>
      </c>
      <c r="V16" t="s">
        <v>113</v>
      </c>
    </row>
    <row r="17" spans="1:22">
      <c r="A17" t="s">
        <v>104</v>
      </c>
      <c r="B17" t="s">
        <v>141</v>
      </c>
      <c r="C17" t="s">
        <v>142</v>
      </c>
      <c r="D17" t="s">
        <v>107</v>
      </c>
      <c r="E17" t="s">
        <v>108</v>
      </c>
      <c r="F17" t="s">
        <v>109</v>
      </c>
      <c r="G17">
        <v>1</v>
      </c>
      <c r="H17">
        <v>9791159289583</v>
      </c>
      <c r="I17" t="s">
        <v>37</v>
      </c>
      <c r="J17" t="s">
        <v>115</v>
      </c>
      <c r="K17" t="s">
        <v>31</v>
      </c>
      <c r="L17" t="s">
        <v>111</v>
      </c>
      <c r="M17" s="8">
        <v>3200</v>
      </c>
      <c r="N17" t="s">
        <v>111</v>
      </c>
      <c r="O17" s="8">
        <v>3200</v>
      </c>
      <c r="P17" s="8">
        <v>3200</v>
      </c>
      <c r="Q17" t="s">
        <v>112</v>
      </c>
      <c r="R17" s="9">
        <v>0.7</v>
      </c>
      <c r="S17" s="8">
        <v>2240</v>
      </c>
      <c r="T17" t="s">
        <v>111</v>
      </c>
      <c r="U17" s="8">
        <v>2240</v>
      </c>
      <c r="V17" t="s">
        <v>113</v>
      </c>
    </row>
    <row r="18" spans="1:22">
      <c r="A18" t="s">
        <v>104</v>
      </c>
      <c r="B18" t="s">
        <v>141</v>
      </c>
      <c r="C18" t="s">
        <v>143</v>
      </c>
      <c r="D18" t="s">
        <v>107</v>
      </c>
      <c r="E18" t="s">
        <v>108</v>
      </c>
      <c r="F18" t="s">
        <v>109</v>
      </c>
      <c r="G18">
        <v>1</v>
      </c>
      <c r="H18">
        <v>9791159289590</v>
      </c>
      <c r="I18" t="s">
        <v>37</v>
      </c>
      <c r="J18" t="s">
        <v>119</v>
      </c>
      <c r="K18" t="s">
        <v>31</v>
      </c>
      <c r="L18" t="s">
        <v>111</v>
      </c>
      <c r="M18" s="8">
        <v>3200</v>
      </c>
      <c r="N18" t="s">
        <v>111</v>
      </c>
      <c r="O18" s="8">
        <v>3200</v>
      </c>
      <c r="P18" s="8">
        <v>3200</v>
      </c>
      <c r="Q18" t="s">
        <v>112</v>
      </c>
      <c r="R18" s="9">
        <v>0.7</v>
      </c>
      <c r="S18" s="8">
        <v>2240</v>
      </c>
      <c r="T18" t="s">
        <v>111</v>
      </c>
      <c r="U18" s="8">
        <v>2240</v>
      </c>
      <c r="V18" t="s">
        <v>113</v>
      </c>
    </row>
    <row r="19" spans="1:22">
      <c r="A19" t="s">
        <v>104</v>
      </c>
      <c r="B19" t="s">
        <v>141</v>
      </c>
      <c r="C19" t="s">
        <v>144</v>
      </c>
      <c r="D19" t="s">
        <v>107</v>
      </c>
      <c r="E19" t="s">
        <v>108</v>
      </c>
      <c r="F19" t="s">
        <v>109</v>
      </c>
      <c r="G19">
        <v>1</v>
      </c>
      <c r="H19">
        <v>9791159289606</v>
      </c>
      <c r="I19" t="s">
        <v>37</v>
      </c>
      <c r="J19" t="s">
        <v>110</v>
      </c>
      <c r="K19" t="s">
        <v>31</v>
      </c>
      <c r="L19" t="s">
        <v>111</v>
      </c>
      <c r="M19" s="8">
        <v>3200</v>
      </c>
      <c r="N19" t="s">
        <v>111</v>
      </c>
      <c r="O19" s="8">
        <v>3200</v>
      </c>
      <c r="P19" s="8">
        <v>3200</v>
      </c>
      <c r="Q19" t="s">
        <v>112</v>
      </c>
      <c r="R19" s="9">
        <v>0.7</v>
      </c>
      <c r="S19" s="8">
        <v>2240</v>
      </c>
      <c r="T19" t="s">
        <v>111</v>
      </c>
      <c r="U19" s="8">
        <v>2240</v>
      </c>
      <c r="V19" t="s">
        <v>113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topLeftCell="B1" workbookViewId="0">
      <selection activeCell="G22" sqref="G22"/>
    </sheetView>
  </sheetViews>
  <sheetFormatPr defaultRowHeight="17.399999999999999"/>
  <cols>
    <col min="1" max="1" width="7.69921875" bestFit="1" customWidth="1"/>
    <col min="2" max="2" width="9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69921875" bestFit="1" customWidth="1"/>
    <col min="49" max="49" width="9.19921875" bestFit="1" customWidth="1"/>
  </cols>
  <sheetData>
    <row r="1" spans="1:49" ht="19.2">
      <c r="A1" s="10" t="s">
        <v>146</v>
      </c>
      <c r="B1" s="10" t="s">
        <v>1276</v>
      </c>
      <c r="C1" s="10" t="s">
        <v>148</v>
      </c>
      <c r="D1" s="11" t="s">
        <v>149</v>
      </c>
      <c r="E1" s="10" t="s">
        <v>150</v>
      </c>
      <c r="F1" s="12" t="s">
        <v>151</v>
      </c>
      <c r="G1" s="10" t="s">
        <v>152</v>
      </c>
      <c r="H1" s="11" t="s">
        <v>153</v>
      </c>
      <c r="I1" s="11" t="s">
        <v>154</v>
      </c>
      <c r="J1" s="13" t="s">
        <v>155</v>
      </c>
      <c r="K1" s="13" t="s">
        <v>156</v>
      </c>
      <c r="L1" s="13" t="s">
        <v>157</v>
      </c>
      <c r="M1" s="13" t="s">
        <v>158</v>
      </c>
      <c r="N1" s="13" t="s">
        <v>159</v>
      </c>
      <c r="O1" s="13" t="s">
        <v>160</v>
      </c>
      <c r="P1" s="13" t="s">
        <v>161</v>
      </c>
      <c r="Q1" s="13" t="s">
        <v>162</v>
      </c>
      <c r="R1" s="13" t="s">
        <v>163</v>
      </c>
      <c r="S1" s="13" t="s">
        <v>155</v>
      </c>
      <c r="T1" s="13" t="s">
        <v>156</v>
      </c>
      <c r="U1" s="13" t="s">
        <v>157</v>
      </c>
      <c r="V1" s="13" t="s">
        <v>158</v>
      </c>
      <c r="W1" s="13" t="s">
        <v>159</v>
      </c>
      <c r="X1" s="13" t="s">
        <v>160</v>
      </c>
      <c r="Y1" s="13" t="s">
        <v>161</v>
      </c>
      <c r="Z1" s="13" t="s">
        <v>162</v>
      </c>
      <c r="AA1" s="13" t="s">
        <v>163</v>
      </c>
      <c r="AB1" s="13" t="s">
        <v>155</v>
      </c>
      <c r="AC1" s="13" t="s">
        <v>164</v>
      </c>
      <c r="AD1" s="13" t="s">
        <v>165</v>
      </c>
      <c r="AE1" s="13" t="s">
        <v>155</v>
      </c>
      <c r="AF1" s="13" t="s">
        <v>164</v>
      </c>
      <c r="AG1" s="13" t="s">
        <v>165</v>
      </c>
      <c r="AH1" s="13" t="s">
        <v>155</v>
      </c>
      <c r="AI1" s="13" t="s">
        <v>164</v>
      </c>
      <c r="AJ1" s="13" t="s">
        <v>165</v>
      </c>
      <c r="AK1" s="13" t="s">
        <v>155</v>
      </c>
      <c r="AL1" s="13" t="s">
        <v>164</v>
      </c>
      <c r="AM1" s="13" t="s">
        <v>165</v>
      </c>
      <c r="AN1" s="14" t="s">
        <v>166</v>
      </c>
      <c r="AO1" s="13" t="s">
        <v>155</v>
      </c>
      <c r="AP1" s="13" t="s">
        <v>164</v>
      </c>
      <c r="AQ1" s="13" t="s">
        <v>165</v>
      </c>
      <c r="AR1" s="13" t="s">
        <v>155</v>
      </c>
      <c r="AS1" s="13" t="s">
        <v>164</v>
      </c>
      <c r="AT1" s="13" t="s">
        <v>165</v>
      </c>
      <c r="AU1" s="14" t="s">
        <v>167</v>
      </c>
      <c r="AV1" s="15" t="s">
        <v>168</v>
      </c>
      <c r="AW1" s="16" t="s">
        <v>169</v>
      </c>
    </row>
    <row r="2" spans="1:49" ht="19.2">
      <c r="A2" s="17" t="s">
        <v>170</v>
      </c>
      <c r="B2" s="17" t="s">
        <v>171</v>
      </c>
      <c r="C2" s="17">
        <v>387417</v>
      </c>
      <c r="D2" s="18"/>
      <c r="E2" s="17" t="s">
        <v>172</v>
      </c>
      <c r="F2" s="17" t="s">
        <v>31</v>
      </c>
      <c r="G2" s="17" t="s">
        <v>37</v>
      </c>
      <c r="H2" s="19" t="s">
        <v>173</v>
      </c>
      <c r="I2" s="19" t="s">
        <v>174</v>
      </c>
      <c r="J2" s="19">
        <v>0</v>
      </c>
      <c r="K2" s="19">
        <v>75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75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0">
        <v>150900</v>
      </c>
      <c r="AV2" s="21">
        <v>150900</v>
      </c>
      <c r="AW2" s="22">
        <v>105630</v>
      </c>
    </row>
    <row r="3" spans="1:49">
      <c r="A3" s="17" t="s">
        <v>170</v>
      </c>
      <c r="B3" s="17" t="s">
        <v>175</v>
      </c>
      <c r="C3" s="17">
        <v>388999</v>
      </c>
      <c r="D3" s="18"/>
      <c r="E3" s="17" t="s">
        <v>172</v>
      </c>
      <c r="F3" s="17" t="s">
        <v>31</v>
      </c>
      <c r="G3" s="17" t="s">
        <v>37</v>
      </c>
      <c r="H3" s="19" t="s">
        <v>173</v>
      </c>
      <c r="I3" s="19" t="s">
        <v>176</v>
      </c>
      <c r="J3" s="19">
        <v>0</v>
      </c>
      <c r="K3" s="19">
        <v>40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40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20">
        <v>100300</v>
      </c>
      <c r="AV3" s="21">
        <v>100300</v>
      </c>
      <c r="AW3" s="22">
        <v>70210</v>
      </c>
    </row>
    <row r="4" spans="1:49" ht="19.2">
      <c r="A4" s="17" t="s">
        <v>170</v>
      </c>
      <c r="B4" s="17" t="s">
        <v>29</v>
      </c>
      <c r="C4" s="17">
        <v>316658</v>
      </c>
      <c r="D4" s="18"/>
      <c r="E4" s="17" t="s">
        <v>172</v>
      </c>
      <c r="F4" s="17" t="s">
        <v>31</v>
      </c>
      <c r="G4" s="17" t="s">
        <v>37</v>
      </c>
      <c r="H4" s="19" t="s">
        <v>173</v>
      </c>
      <c r="I4" s="19" t="s">
        <v>177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20">
        <v>77100</v>
      </c>
      <c r="AV4" s="21">
        <v>77100</v>
      </c>
      <c r="AW4" s="22">
        <v>53970</v>
      </c>
    </row>
    <row r="5" spans="1:49" ht="19.2">
      <c r="A5" s="17" t="s">
        <v>170</v>
      </c>
      <c r="B5" s="17" t="s">
        <v>178</v>
      </c>
      <c r="C5" s="17">
        <v>391329</v>
      </c>
      <c r="D5" s="18"/>
      <c r="E5" s="17" t="s">
        <v>172</v>
      </c>
      <c r="F5" s="17" t="s">
        <v>31</v>
      </c>
      <c r="G5" s="17" t="s">
        <v>37</v>
      </c>
      <c r="H5" s="19" t="s">
        <v>173</v>
      </c>
      <c r="I5" s="19" t="s">
        <v>179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20">
        <v>6400</v>
      </c>
      <c r="AV5" s="21">
        <v>6400</v>
      </c>
      <c r="AW5" s="22">
        <v>4480</v>
      </c>
    </row>
    <row r="6" spans="1:49" ht="19.2">
      <c r="A6" s="17" t="s">
        <v>170</v>
      </c>
      <c r="B6" s="17" t="s">
        <v>180</v>
      </c>
      <c r="C6" s="17">
        <v>304651</v>
      </c>
      <c r="D6" s="18"/>
      <c r="E6" s="17" t="s">
        <v>172</v>
      </c>
      <c r="F6" s="17" t="s">
        <v>31</v>
      </c>
      <c r="G6" s="17" t="s">
        <v>37</v>
      </c>
      <c r="H6" s="19" t="s">
        <v>173</v>
      </c>
      <c r="I6" s="19" t="s">
        <v>181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900</v>
      </c>
      <c r="AD6" s="19">
        <v>200</v>
      </c>
      <c r="AE6" s="19">
        <v>0</v>
      </c>
      <c r="AF6" s="19">
        <v>900</v>
      </c>
      <c r="AG6" s="19">
        <v>200</v>
      </c>
      <c r="AH6" s="19">
        <v>0</v>
      </c>
      <c r="AI6" s="19">
        <v>900</v>
      </c>
      <c r="AJ6" s="19">
        <v>200</v>
      </c>
      <c r="AK6" s="19">
        <v>0</v>
      </c>
      <c r="AL6" s="19">
        <v>900</v>
      </c>
      <c r="AM6" s="19">
        <v>200</v>
      </c>
      <c r="AN6" s="19">
        <v>0</v>
      </c>
      <c r="AO6" s="19">
        <v>0</v>
      </c>
      <c r="AP6" s="19">
        <v>900</v>
      </c>
      <c r="AQ6" s="19">
        <v>200</v>
      </c>
      <c r="AR6" s="19">
        <v>0</v>
      </c>
      <c r="AS6" s="19">
        <v>900</v>
      </c>
      <c r="AT6" s="19">
        <v>200</v>
      </c>
      <c r="AU6" s="20">
        <v>3600</v>
      </c>
      <c r="AV6" s="21">
        <v>3600</v>
      </c>
      <c r="AW6" s="22">
        <v>2520</v>
      </c>
    </row>
    <row r="7" spans="1:49">
      <c r="A7" s="17" t="s">
        <v>170</v>
      </c>
      <c r="B7" s="17" t="s">
        <v>182</v>
      </c>
      <c r="C7" s="17">
        <v>251205</v>
      </c>
      <c r="D7" s="18"/>
      <c r="E7" s="17" t="s">
        <v>172</v>
      </c>
      <c r="F7" s="17" t="s">
        <v>31</v>
      </c>
      <c r="G7" s="17" t="s">
        <v>37</v>
      </c>
      <c r="H7" s="19" t="s">
        <v>173</v>
      </c>
      <c r="I7" s="19" t="s">
        <v>183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23">
        <v>100</v>
      </c>
      <c r="AV7" s="21">
        <v>100</v>
      </c>
      <c r="AW7" s="22">
        <v>70</v>
      </c>
    </row>
    <row r="8" spans="1:49" ht="19.2">
      <c r="A8" s="17" t="s">
        <v>184</v>
      </c>
      <c r="B8" s="17" t="s">
        <v>29</v>
      </c>
      <c r="C8" s="17">
        <v>316658</v>
      </c>
      <c r="D8" s="18"/>
      <c r="E8" s="17" t="s">
        <v>172</v>
      </c>
      <c r="F8" s="17" t="s">
        <v>31</v>
      </c>
      <c r="G8" s="17" t="s">
        <v>37</v>
      </c>
      <c r="H8" s="19" t="s">
        <v>173</v>
      </c>
      <c r="I8" s="19" t="s">
        <v>177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20">
        <v>33900</v>
      </c>
      <c r="AV8" s="21">
        <v>33900</v>
      </c>
      <c r="AW8" s="22">
        <v>23730</v>
      </c>
    </row>
    <row r="9" spans="1:49" ht="19.2">
      <c r="A9" s="17" t="s">
        <v>184</v>
      </c>
      <c r="B9" s="17" t="s">
        <v>171</v>
      </c>
      <c r="C9" s="17">
        <v>387417</v>
      </c>
      <c r="D9" s="18"/>
      <c r="E9" s="17" t="s">
        <v>172</v>
      </c>
      <c r="F9" s="17" t="s">
        <v>31</v>
      </c>
      <c r="G9" s="17" t="s">
        <v>37</v>
      </c>
      <c r="H9" s="19" t="s">
        <v>173</v>
      </c>
      <c r="I9" s="19" t="s">
        <v>174</v>
      </c>
      <c r="J9" s="19">
        <v>0</v>
      </c>
      <c r="K9" s="19">
        <v>27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27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20">
        <v>12300</v>
      </c>
      <c r="AV9" s="21">
        <v>12300</v>
      </c>
      <c r="AW9" s="22">
        <v>8610</v>
      </c>
    </row>
    <row r="10" spans="1:49">
      <c r="A10" s="17" t="s">
        <v>184</v>
      </c>
      <c r="B10" s="17" t="s">
        <v>175</v>
      </c>
      <c r="C10" s="17">
        <v>388999</v>
      </c>
      <c r="D10" s="18"/>
      <c r="E10" s="17" t="s">
        <v>172</v>
      </c>
      <c r="F10" s="17" t="s">
        <v>31</v>
      </c>
      <c r="G10" s="17" t="s">
        <v>37</v>
      </c>
      <c r="H10" s="19" t="s">
        <v>173</v>
      </c>
      <c r="I10" s="19" t="s">
        <v>176</v>
      </c>
      <c r="J10" s="19">
        <v>0</v>
      </c>
      <c r="K10" s="19">
        <v>1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1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20">
        <v>8000</v>
      </c>
      <c r="AV10" s="21">
        <v>8000</v>
      </c>
      <c r="AW10" s="22">
        <v>5600</v>
      </c>
    </row>
    <row r="11" spans="1:49" ht="19.2">
      <c r="A11" s="17" t="s">
        <v>185</v>
      </c>
      <c r="B11" s="17" t="s">
        <v>171</v>
      </c>
      <c r="C11" s="17">
        <v>387417</v>
      </c>
      <c r="D11" s="18"/>
      <c r="E11" s="17" t="s">
        <v>172</v>
      </c>
      <c r="F11" s="17" t="s">
        <v>31</v>
      </c>
      <c r="G11" s="17" t="s">
        <v>37</v>
      </c>
      <c r="H11" s="19" t="s">
        <v>173</v>
      </c>
      <c r="I11" s="19" t="s">
        <v>174</v>
      </c>
      <c r="J11" s="19">
        <v>0</v>
      </c>
      <c r="K11" s="19">
        <v>3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3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24">
        <v>4176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20">
        <v>40520</v>
      </c>
      <c r="AV11" s="21">
        <v>36344</v>
      </c>
      <c r="AW11" s="22">
        <v>25440.799999999999</v>
      </c>
    </row>
    <row r="12" spans="1:49" ht="19.2">
      <c r="A12" s="17" t="s">
        <v>185</v>
      </c>
      <c r="B12" s="17" t="s">
        <v>29</v>
      </c>
      <c r="C12" s="17">
        <v>316658</v>
      </c>
      <c r="D12" s="18"/>
      <c r="E12" s="17" t="s">
        <v>172</v>
      </c>
      <c r="F12" s="17" t="s">
        <v>31</v>
      </c>
      <c r="G12" s="17" t="s">
        <v>37</v>
      </c>
      <c r="H12" s="19" t="s">
        <v>173</v>
      </c>
      <c r="I12" s="19" t="s">
        <v>177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20">
        <v>4000</v>
      </c>
      <c r="AV12" s="21">
        <v>4000</v>
      </c>
      <c r="AW12" s="22">
        <v>2800</v>
      </c>
    </row>
    <row r="13" spans="1:49">
      <c r="A13" s="17" t="s">
        <v>185</v>
      </c>
      <c r="B13" s="17" t="s">
        <v>175</v>
      </c>
      <c r="C13" s="17">
        <v>388999</v>
      </c>
      <c r="D13" s="18"/>
      <c r="E13" s="17" t="s">
        <v>172</v>
      </c>
      <c r="F13" s="17" t="s">
        <v>31</v>
      </c>
      <c r="G13" s="17" t="s">
        <v>37</v>
      </c>
      <c r="H13" s="19" t="s">
        <v>173</v>
      </c>
      <c r="I13" s="19" t="s">
        <v>176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23">
        <v>100</v>
      </c>
      <c r="AV13" s="21">
        <v>100</v>
      </c>
      <c r="AW13" s="22">
        <v>70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"/>
  <sheetViews>
    <sheetView topLeftCell="B1" workbookViewId="0">
      <selection activeCell="B1" sqref="B1"/>
    </sheetView>
  </sheetViews>
  <sheetFormatPr defaultRowHeight="17.399999999999999"/>
  <cols>
    <col min="1" max="1" width="8" bestFit="1" customWidth="1"/>
    <col min="2" max="2" width="8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" bestFit="1" customWidth="1"/>
    <col min="48" max="48" width="8.09765625" bestFit="1" customWidth="1"/>
    <col min="49" max="49" width="5.5" bestFit="1" customWidth="1"/>
  </cols>
  <sheetData>
    <row r="1" spans="1:49" ht="19.2">
      <c r="A1" s="25" t="s">
        <v>187</v>
      </c>
      <c r="B1" s="10" t="s">
        <v>147</v>
      </c>
      <c r="C1" s="10" t="s">
        <v>148</v>
      </c>
      <c r="D1" s="11" t="s">
        <v>149</v>
      </c>
      <c r="E1" s="10" t="s">
        <v>150</v>
      </c>
      <c r="F1" s="12" t="s">
        <v>151</v>
      </c>
      <c r="G1" s="10" t="s">
        <v>152</v>
      </c>
      <c r="H1" s="11" t="s">
        <v>153</v>
      </c>
      <c r="I1" s="11" t="s">
        <v>154</v>
      </c>
      <c r="J1" s="13" t="s">
        <v>155</v>
      </c>
      <c r="K1" s="13" t="s">
        <v>156</v>
      </c>
      <c r="L1" s="13" t="s">
        <v>157</v>
      </c>
      <c r="M1" s="13" t="s">
        <v>158</v>
      </c>
      <c r="N1" s="13" t="s">
        <v>159</v>
      </c>
      <c r="O1" s="13" t="s">
        <v>160</v>
      </c>
      <c r="P1" s="13" t="s">
        <v>161</v>
      </c>
      <c r="Q1" s="13" t="s">
        <v>162</v>
      </c>
      <c r="R1" s="13" t="s">
        <v>163</v>
      </c>
      <c r="S1" s="13" t="s">
        <v>155</v>
      </c>
      <c r="T1" s="13" t="s">
        <v>156</v>
      </c>
      <c r="U1" s="13" t="s">
        <v>157</v>
      </c>
      <c r="V1" s="13" t="s">
        <v>158</v>
      </c>
      <c r="W1" s="13" t="s">
        <v>159</v>
      </c>
      <c r="X1" s="13" t="s">
        <v>160</v>
      </c>
      <c r="Y1" s="13" t="s">
        <v>161</v>
      </c>
      <c r="Z1" s="13" t="s">
        <v>162</v>
      </c>
      <c r="AA1" s="13" t="s">
        <v>163</v>
      </c>
      <c r="AB1" s="13" t="s">
        <v>155</v>
      </c>
      <c r="AC1" s="13" t="s">
        <v>164</v>
      </c>
      <c r="AD1" s="13" t="s">
        <v>165</v>
      </c>
      <c r="AE1" s="13" t="s">
        <v>155</v>
      </c>
      <c r="AF1" s="13" t="s">
        <v>164</v>
      </c>
      <c r="AG1" s="13" t="s">
        <v>165</v>
      </c>
      <c r="AH1" s="13" t="s">
        <v>155</v>
      </c>
      <c r="AI1" s="13" t="s">
        <v>164</v>
      </c>
      <c r="AJ1" s="13" t="s">
        <v>165</v>
      </c>
      <c r="AK1" s="13" t="s">
        <v>155</v>
      </c>
      <c r="AL1" s="13" t="s">
        <v>164</v>
      </c>
      <c r="AM1" s="13" t="s">
        <v>165</v>
      </c>
      <c r="AN1" s="14" t="s">
        <v>166</v>
      </c>
      <c r="AO1" s="13" t="s">
        <v>155</v>
      </c>
      <c r="AP1" s="13" t="s">
        <v>164</v>
      </c>
      <c r="AQ1" s="13" t="s">
        <v>165</v>
      </c>
      <c r="AR1" s="13" t="s">
        <v>155</v>
      </c>
      <c r="AS1" s="13" t="s">
        <v>164</v>
      </c>
      <c r="AT1" s="13" t="s">
        <v>165</v>
      </c>
      <c r="AU1" s="14" t="s">
        <v>167</v>
      </c>
      <c r="AV1" s="15" t="s">
        <v>188</v>
      </c>
      <c r="AW1" s="26" t="s">
        <v>189</v>
      </c>
    </row>
    <row r="2" spans="1:49" ht="19.2">
      <c r="A2" s="17" t="s">
        <v>190</v>
      </c>
      <c r="B2" s="17" t="s">
        <v>171</v>
      </c>
      <c r="C2" s="17">
        <v>387417</v>
      </c>
      <c r="D2" s="18"/>
      <c r="E2" s="17" t="s">
        <v>172</v>
      </c>
      <c r="F2" s="17" t="s">
        <v>31</v>
      </c>
      <c r="G2" s="17" t="s">
        <v>37</v>
      </c>
      <c r="H2" s="19" t="s">
        <v>173</v>
      </c>
      <c r="I2" s="19" t="s">
        <v>174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3">
        <v>200</v>
      </c>
      <c r="AV2" s="21">
        <v>200</v>
      </c>
      <c r="AW2" s="27">
        <v>140</v>
      </c>
    </row>
    <row r="3" spans="1:49" ht="19.2">
      <c r="A3" s="17" t="s">
        <v>191</v>
      </c>
      <c r="B3" s="17" t="s">
        <v>171</v>
      </c>
      <c r="C3" s="17">
        <v>387417</v>
      </c>
      <c r="D3" s="18"/>
      <c r="E3" s="17" t="s">
        <v>172</v>
      </c>
      <c r="F3" s="17" t="s">
        <v>31</v>
      </c>
      <c r="G3" s="17" t="s">
        <v>37</v>
      </c>
      <c r="H3" s="19" t="s">
        <v>173</v>
      </c>
      <c r="I3" s="19" t="s">
        <v>174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20">
        <v>2100</v>
      </c>
      <c r="AV3" s="21">
        <v>2100</v>
      </c>
      <c r="AW3" s="27">
        <v>1470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2"/>
  <sheetViews>
    <sheetView topLeftCell="B1" workbookViewId="0">
      <selection activeCell="B1" sqref="B1"/>
    </sheetView>
  </sheetViews>
  <sheetFormatPr defaultRowHeight="17.399999999999999"/>
  <cols>
    <col min="1" max="2" width="11.5" bestFit="1" customWidth="1"/>
    <col min="3" max="3" width="33.69921875" bestFit="1" customWidth="1"/>
    <col min="4" max="4" width="7.5" bestFit="1" customWidth="1"/>
    <col min="5" max="5" width="6.69921875" bestFit="1" customWidth="1"/>
    <col min="6" max="7" width="5" bestFit="1" customWidth="1"/>
    <col min="8" max="8" width="10.3984375" bestFit="1" customWidth="1"/>
    <col min="9" max="9" width="22.398437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69921875" bestFit="1" customWidth="1"/>
    <col min="45" max="45" width="13" bestFit="1" customWidth="1"/>
    <col min="46" max="46" width="14.69921875" bestFit="1" customWidth="1"/>
    <col min="47" max="47" width="12.59765625" bestFit="1" customWidth="1"/>
    <col min="48" max="48" width="26.19921875" bestFit="1" customWidth="1"/>
    <col min="49" max="49" width="9.59765625" bestFit="1" customWidth="1"/>
  </cols>
  <sheetData>
    <row r="1" spans="1:49">
      <c r="A1" t="s">
        <v>192</v>
      </c>
      <c r="B1" t="s">
        <v>193</v>
      </c>
      <c r="C1" t="s">
        <v>194</v>
      </c>
      <c r="D1" t="s">
        <v>195</v>
      </c>
      <c r="E1" s="7" t="s">
        <v>196</v>
      </c>
      <c r="F1" t="s">
        <v>197</v>
      </c>
      <c r="G1" t="s">
        <v>198</v>
      </c>
      <c r="H1" t="s">
        <v>152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  <c r="AA1" t="s">
        <v>217</v>
      </c>
      <c r="AB1" t="s">
        <v>218</v>
      </c>
      <c r="AC1" t="s">
        <v>219</v>
      </c>
      <c r="AD1" t="s">
        <v>220</v>
      </c>
      <c r="AE1" t="s">
        <v>221</v>
      </c>
      <c r="AF1" t="s">
        <v>222</v>
      </c>
      <c r="AG1" t="s">
        <v>223</v>
      </c>
      <c r="AH1" t="s">
        <v>224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230</v>
      </c>
      <c r="AO1" t="s">
        <v>231</v>
      </c>
      <c r="AP1" s="28" t="s">
        <v>232</v>
      </c>
      <c r="AQ1" t="s">
        <v>233</v>
      </c>
      <c r="AR1" t="s">
        <v>234</v>
      </c>
      <c r="AS1" t="s">
        <v>235</v>
      </c>
      <c r="AT1" t="s">
        <v>236</v>
      </c>
      <c r="AU1" t="s">
        <v>237</v>
      </c>
      <c r="AV1" t="s">
        <v>238</v>
      </c>
      <c r="AW1" t="s">
        <v>239</v>
      </c>
    </row>
    <row r="2" spans="1:49">
      <c r="A2">
        <v>2313005704</v>
      </c>
      <c r="B2">
        <v>2313005705</v>
      </c>
      <c r="C2" t="s">
        <v>240</v>
      </c>
      <c r="D2" t="s">
        <v>46</v>
      </c>
      <c r="E2" t="s">
        <v>31</v>
      </c>
      <c r="H2" t="s">
        <v>37</v>
      </c>
      <c r="I2" t="s">
        <v>241</v>
      </c>
      <c r="J2">
        <v>3200</v>
      </c>
      <c r="K2">
        <v>9600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9600</v>
      </c>
      <c r="AH2">
        <v>3</v>
      </c>
      <c r="AI2">
        <v>0</v>
      </c>
      <c r="AJ2">
        <v>0</v>
      </c>
      <c r="AK2">
        <v>9600</v>
      </c>
      <c r="AL2">
        <v>0</v>
      </c>
      <c r="AM2">
        <v>0</v>
      </c>
      <c r="AN2">
        <v>0</v>
      </c>
      <c r="AO2">
        <v>0</v>
      </c>
      <c r="AP2">
        <v>6720</v>
      </c>
      <c r="AT2" t="s">
        <v>242</v>
      </c>
      <c r="AV2" t="s">
        <v>243</v>
      </c>
    </row>
    <row r="3" spans="1:49">
      <c r="A3">
        <v>2313005704</v>
      </c>
      <c r="B3">
        <v>2313005706</v>
      </c>
      <c r="C3" t="s">
        <v>244</v>
      </c>
      <c r="D3" t="s">
        <v>51</v>
      </c>
      <c r="E3" t="s">
        <v>31</v>
      </c>
      <c r="H3" t="s">
        <v>37</v>
      </c>
      <c r="I3" t="s">
        <v>241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245</v>
      </c>
      <c r="AV3" t="s">
        <v>243</v>
      </c>
    </row>
    <row r="4" spans="1:49">
      <c r="A4">
        <v>2313005704</v>
      </c>
      <c r="B4">
        <v>2313005707</v>
      </c>
      <c r="C4" t="s">
        <v>246</v>
      </c>
      <c r="D4" t="s">
        <v>69</v>
      </c>
      <c r="E4" t="s">
        <v>31</v>
      </c>
      <c r="H4" t="s">
        <v>37</v>
      </c>
      <c r="I4" t="s">
        <v>241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247</v>
      </c>
      <c r="AV4" t="s">
        <v>243</v>
      </c>
    </row>
    <row r="5" spans="1:49">
      <c r="A5">
        <v>2313005704</v>
      </c>
      <c r="B5">
        <v>2313005708</v>
      </c>
      <c r="C5" t="s">
        <v>248</v>
      </c>
      <c r="D5" t="s">
        <v>64</v>
      </c>
      <c r="E5" t="s">
        <v>31</v>
      </c>
      <c r="H5" t="s">
        <v>37</v>
      </c>
      <c r="I5" t="s">
        <v>241</v>
      </c>
      <c r="J5">
        <v>3200</v>
      </c>
      <c r="K5">
        <v>3200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3200</v>
      </c>
      <c r="AH5">
        <v>1</v>
      </c>
      <c r="AI5">
        <v>0</v>
      </c>
      <c r="AJ5">
        <v>0</v>
      </c>
      <c r="AK5">
        <v>3200</v>
      </c>
      <c r="AL5">
        <v>0</v>
      </c>
      <c r="AM5">
        <v>0</v>
      </c>
      <c r="AN5">
        <v>0</v>
      </c>
      <c r="AO5">
        <v>0</v>
      </c>
      <c r="AP5">
        <v>2240</v>
      </c>
      <c r="AT5" t="s">
        <v>249</v>
      </c>
      <c r="AV5" t="s">
        <v>243</v>
      </c>
    </row>
    <row r="6" spans="1:49">
      <c r="A6">
        <v>2313005704</v>
      </c>
      <c r="B6">
        <v>2313005709</v>
      </c>
      <c r="C6" t="s">
        <v>250</v>
      </c>
      <c r="D6" t="s">
        <v>33</v>
      </c>
      <c r="E6" t="s">
        <v>31</v>
      </c>
      <c r="H6" t="s">
        <v>37</v>
      </c>
      <c r="I6" t="s">
        <v>241</v>
      </c>
      <c r="J6">
        <v>3200</v>
      </c>
      <c r="K6">
        <v>3200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3200</v>
      </c>
      <c r="AH6">
        <v>1</v>
      </c>
      <c r="AI6">
        <v>0</v>
      </c>
      <c r="AJ6">
        <v>0</v>
      </c>
      <c r="AK6">
        <v>3200</v>
      </c>
      <c r="AL6">
        <v>0</v>
      </c>
      <c r="AM6">
        <v>0</v>
      </c>
      <c r="AN6">
        <v>0</v>
      </c>
      <c r="AO6">
        <v>0</v>
      </c>
      <c r="AP6">
        <v>2240</v>
      </c>
      <c r="AT6" t="s">
        <v>251</v>
      </c>
      <c r="AV6" t="s">
        <v>243</v>
      </c>
    </row>
    <row r="7" spans="1:49">
      <c r="A7">
        <v>2313005704</v>
      </c>
      <c r="B7">
        <v>2313005710</v>
      </c>
      <c r="C7" t="s">
        <v>252</v>
      </c>
      <c r="D7" t="s">
        <v>53</v>
      </c>
      <c r="E7" t="s">
        <v>31</v>
      </c>
      <c r="H7" t="s">
        <v>37</v>
      </c>
      <c r="I7" t="s">
        <v>241</v>
      </c>
      <c r="J7">
        <v>3200</v>
      </c>
      <c r="K7">
        <v>3200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3200</v>
      </c>
      <c r="AH7">
        <v>1</v>
      </c>
      <c r="AI7">
        <v>0</v>
      </c>
      <c r="AJ7">
        <v>0</v>
      </c>
      <c r="AK7">
        <v>3200</v>
      </c>
      <c r="AL7">
        <v>0</v>
      </c>
      <c r="AM7">
        <v>0</v>
      </c>
      <c r="AN7">
        <v>0</v>
      </c>
      <c r="AO7">
        <v>0</v>
      </c>
      <c r="AP7">
        <v>2240</v>
      </c>
      <c r="AT7" t="s">
        <v>253</v>
      </c>
      <c r="AV7" t="s">
        <v>243</v>
      </c>
    </row>
    <row r="8" spans="1:49">
      <c r="A8">
        <v>2313005704</v>
      </c>
      <c r="B8">
        <v>2313005711</v>
      </c>
      <c r="C8" t="s">
        <v>254</v>
      </c>
      <c r="D8" t="s">
        <v>255</v>
      </c>
      <c r="E8" t="s">
        <v>31</v>
      </c>
      <c r="H8" t="s">
        <v>37</v>
      </c>
      <c r="I8" t="s">
        <v>241</v>
      </c>
      <c r="J8">
        <v>3200</v>
      </c>
      <c r="K8">
        <v>3200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3200</v>
      </c>
      <c r="AH8">
        <v>1</v>
      </c>
      <c r="AI8">
        <v>0</v>
      </c>
      <c r="AJ8">
        <v>0</v>
      </c>
      <c r="AK8">
        <v>3200</v>
      </c>
      <c r="AL8">
        <v>0</v>
      </c>
      <c r="AM8">
        <v>0</v>
      </c>
      <c r="AN8">
        <v>0</v>
      </c>
      <c r="AO8">
        <v>0</v>
      </c>
      <c r="AP8">
        <v>2240</v>
      </c>
      <c r="AT8" t="s">
        <v>256</v>
      </c>
      <c r="AV8" t="s">
        <v>243</v>
      </c>
    </row>
    <row r="9" spans="1:49">
      <c r="A9">
        <v>2313005704</v>
      </c>
      <c r="B9">
        <v>2313005712</v>
      </c>
      <c r="C9" t="s">
        <v>257</v>
      </c>
      <c r="D9" t="s">
        <v>258</v>
      </c>
      <c r="E9" t="s">
        <v>31</v>
      </c>
      <c r="H9" t="s">
        <v>37</v>
      </c>
      <c r="I9" t="s">
        <v>241</v>
      </c>
      <c r="J9">
        <v>3200</v>
      </c>
      <c r="K9">
        <v>3200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3200</v>
      </c>
      <c r="AH9">
        <v>1</v>
      </c>
      <c r="AI9">
        <v>0</v>
      </c>
      <c r="AJ9">
        <v>0</v>
      </c>
      <c r="AK9">
        <v>3200</v>
      </c>
      <c r="AL9">
        <v>0</v>
      </c>
      <c r="AM9">
        <v>0</v>
      </c>
      <c r="AN9">
        <v>0</v>
      </c>
      <c r="AO9">
        <v>0</v>
      </c>
      <c r="AP9">
        <v>2240</v>
      </c>
      <c r="AT9" t="s">
        <v>259</v>
      </c>
      <c r="AV9" t="s">
        <v>243</v>
      </c>
    </row>
    <row r="10" spans="1:49">
      <c r="A10">
        <v>2313005704</v>
      </c>
      <c r="B10">
        <v>2313005713</v>
      </c>
      <c r="C10" t="s">
        <v>260</v>
      </c>
      <c r="D10" t="s">
        <v>261</v>
      </c>
      <c r="E10" t="s">
        <v>31</v>
      </c>
      <c r="H10" t="s">
        <v>37</v>
      </c>
      <c r="I10" t="s">
        <v>241</v>
      </c>
      <c r="J10">
        <v>3200</v>
      </c>
      <c r="K10">
        <v>3200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3200</v>
      </c>
      <c r="AH10">
        <v>1</v>
      </c>
      <c r="AI10">
        <v>0</v>
      </c>
      <c r="AJ10">
        <v>0</v>
      </c>
      <c r="AK10">
        <v>3200</v>
      </c>
      <c r="AL10">
        <v>0</v>
      </c>
      <c r="AM10">
        <v>0</v>
      </c>
      <c r="AN10">
        <v>0</v>
      </c>
      <c r="AO10">
        <v>0</v>
      </c>
      <c r="AP10">
        <v>2240</v>
      </c>
      <c r="AT10" t="s">
        <v>79</v>
      </c>
      <c r="AV10" t="s">
        <v>243</v>
      </c>
    </row>
    <row r="11" spans="1:49">
      <c r="A11">
        <v>2313009409</v>
      </c>
      <c r="B11">
        <v>2313009410</v>
      </c>
      <c r="C11" t="s">
        <v>262</v>
      </c>
      <c r="D11" t="s">
        <v>46</v>
      </c>
      <c r="E11" t="s">
        <v>31</v>
      </c>
      <c r="H11" t="s">
        <v>37</v>
      </c>
      <c r="I11" t="s">
        <v>263</v>
      </c>
      <c r="J11">
        <v>3200</v>
      </c>
      <c r="K11">
        <v>3200</v>
      </c>
      <c r="L11">
        <v>1</v>
      </c>
      <c r="M11">
        <v>0</v>
      </c>
      <c r="N11">
        <v>3420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6620</v>
      </c>
      <c r="AH11">
        <v>6</v>
      </c>
      <c r="AI11">
        <v>0</v>
      </c>
      <c r="AJ11">
        <v>0</v>
      </c>
      <c r="AK11">
        <v>6620</v>
      </c>
      <c r="AL11">
        <v>0</v>
      </c>
      <c r="AM11">
        <v>0</v>
      </c>
      <c r="AN11">
        <v>0</v>
      </c>
      <c r="AO11">
        <v>0</v>
      </c>
      <c r="AP11">
        <v>4634</v>
      </c>
      <c r="AR11" t="s">
        <v>264</v>
      </c>
      <c r="AT11" t="s">
        <v>265</v>
      </c>
      <c r="AV11" t="s">
        <v>266</v>
      </c>
    </row>
    <row r="12" spans="1:49">
      <c r="A12">
        <v>2313009409</v>
      </c>
      <c r="B12">
        <v>2313009411</v>
      </c>
      <c r="C12" t="s">
        <v>267</v>
      </c>
      <c r="D12" t="s">
        <v>51</v>
      </c>
      <c r="E12" t="s">
        <v>31</v>
      </c>
      <c r="H12" t="s">
        <v>37</v>
      </c>
      <c r="I12" t="s">
        <v>263</v>
      </c>
      <c r="J12">
        <v>3200</v>
      </c>
      <c r="K12">
        <v>3200</v>
      </c>
      <c r="L12">
        <v>1</v>
      </c>
      <c r="M12">
        <v>0</v>
      </c>
      <c r="N12">
        <v>2520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5720</v>
      </c>
      <c r="AH12">
        <v>5</v>
      </c>
      <c r="AI12">
        <v>0</v>
      </c>
      <c r="AJ12">
        <v>0</v>
      </c>
      <c r="AK12">
        <v>5720</v>
      </c>
      <c r="AL12">
        <v>0</v>
      </c>
      <c r="AM12">
        <v>0</v>
      </c>
      <c r="AN12">
        <v>0</v>
      </c>
      <c r="AO12">
        <v>0</v>
      </c>
      <c r="AP12">
        <v>4004</v>
      </c>
      <c r="AR12" t="s">
        <v>264</v>
      </c>
      <c r="AT12" t="s">
        <v>268</v>
      </c>
      <c r="AV12" t="s">
        <v>266</v>
      </c>
    </row>
    <row r="13" spans="1:49">
      <c r="A13">
        <v>2313009409</v>
      </c>
      <c r="B13">
        <v>2313009412</v>
      </c>
      <c r="C13" t="s">
        <v>269</v>
      </c>
      <c r="D13" t="s">
        <v>69</v>
      </c>
      <c r="E13" t="s">
        <v>31</v>
      </c>
      <c r="H13" t="s">
        <v>37</v>
      </c>
      <c r="I13" t="s">
        <v>263</v>
      </c>
      <c r="J13">
        <v>3200</v>
      </c>
      <c r="K13">
        <v>3200</v>
      </c>
      <c r="L13">
        <v>1</v>
      </c>
      <c r="M13">
        <v>0</v>
      </c>
      <c r="N13">
        <v>2520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5720</v>
      </c>
      <c r="AH13">
        <v>5</v>
      </c>
      <c r="AI13">
        <v>0</v>
      </c>
      <c r="AJ13">
        <v>0</v>
      </c>
      <c r="AK13">
        <v>5720</v>
      </c>
      <c r="AL13">
        <v>0</v>
      </c>
      <c r="AM13">
        <v>0</v>
      </c>
      <c r="AN13">
        <v>0</v>
      </c>
      <c r="AO13">
        <v>0</v>
      </c>
      <c r="AP13">
        <v>4004</v>
      </c>
      <c r="AR13" t="s">
        <v>264</v>
      </c>
      <c r="AT13" t="s">
        <v>270</v>
      </c>
      <c r="AV13" t="s">
        <v>266</v>
      </c>
    </row>
    <row r="14" spans="1:49">
      <c r="A14">
        <v>2313009409</v>
      </c>
      <c r="B14">
        <v>2313009413</v>
      </c>
      <c r="C14" t="s">
        <v>271</v>
      </c>
      <c r="D14" t="s">
        <v>64</v>
      </c>
      <c r="E14" t="s">
        <v>31</v>
      </c>
      <c r="H14" t="s">
        <v>37</v>
      </c>
      <c r="I14" t="s">
        <v>263</v>
      </c>
      <c r="J14">
        <v>3200</v>
      </c>
      <c r="K14">
        <v>3200</v>
      </c>
      <c r="L14">
        <v>1</v>
      </c>
      <c r="M14">
        <v>0</v>
      </c>
      <c r="N14">
        <v>2520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5720</v>
      </c>
      <c r="AH14">
        <v>5</v>
      </c>
      <c r="AI14">
        <v>0</v>
      </c>
      <c r="AJ14">
        <v>0</v>
      </c>
      <c r="AK14">
        <v>5720</v>
      </c>
      <c r="AL14">
        <v>0</v>
      </c>
      <c r="AM14">
        <v>0</v>
      </c>
      <c r="AN14">
        <v>0</v>
      </c>
      <c r="AO14">
        <v>0</v>
      </c>
      <c r="AP14">
        <v>4004</v>
      </c>
      <c r="AR14" t="s">
        <v>264</v>
      </c>
      <c r="AT14" t="s">
        <v>272</v>
      </c>
      <c r="AV14" t="s">
        <v>266</v>
      </c>
    </row>
    <row r="15" spans="1:49">
      <c r="A15">
        <v>2313009409</v>
      </c>
      <c r="B15">
        <v>2313009414</v>
      </c>
      <c r="C15" t="s">
        <v>273</v>
      </c>
      <c r="D15" t="s">
        <v>33</v>
      </c>
      <c r="E15" t="s">
        <v>31</v>
      </c>
      <c r="H15" t="s">
        <v>37</v>
      </c>
      <c r="I15" t="s">
        <v>263</v>
      </c>
      <c r="J15">
        <v>3200</v>
      </c>
      <c r="K15">
        <v>3200</v>
      </c>
      <c r="L15">
        <v>1</v>
      </c>
      <c r="M15">
        <v>0</v>
      </c>
      <c r="N15">
        <v>2520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5720</v>
      </c>
      <c r="AH15">
        <v>5</v>
      </c>
      <c r="AI15">
        <v>0</v>
      </c>
      <c r="AJ15">
        <v>0</v>
      </c>
      <c r="AK15">
        <v>5720</v>
      </c>
      <c r="AL15">
        <v>0</v>
      </c>
      <c r="AM15">
        <v>0</v>
      </c>
      <c r="AN15">
        <v>0</v>
      </c>
      <c r="AO15">
        <v>0</v>
      </c>
      <c r="AP15">
        <v>4004</v>
      </c>
      <c r="AR15" t="s">
        <v>264</v>
      </c>
      <c r="AT15" t="s">
        <v>274</v>
      </c>
      <c r="AV15" t="s">
        <v>266</v>
      </c>
    </row>
    <row r="16" spans="1:49">
      <c r="A16">
        <v>2313009409</v>
      </c>
      <c r="B16">
        <v>2313009415</v>
      </c>
      <c r="C16" t="s">
        <v>275</v>
      </c>
      <c r="D16" t="s">
        <v>53</v>
      </c>
      <c r="E16" t="s">
        <v>31</v>
      </c>
      <c r="H16" t="s">
        <v>37</v>
      </c>
      <c r="I16" t="s">
        <v>263</v>
      </c>
      <c r="J16">
        <v>3200</v>
      </c>
      <c r="K16">
        <v>3200</v>
      </c>
      <c r="L16">
        <v>1</v>
      </c>
      <c r="M16">
        <v>0</v>
      </c>
      <c r="N16">
        <v>2520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5720</v>
      </c>
      <c r="AH16">
        <v>5</v>
      </c>
      <c r="AI16">
        <v>0</v>
      </c>
      <c r="AJ16">
        <v>0</v>
      </c>
      <c r="AK16">
        <v>5720</v>
      </c>
      <c r="AL16">
        <v>0</v>
      </c>
      <c r="AM16">
        <v>0</v>
      </c>
      <c r="AN16">
        <v>0</v>
      </c>
      <c r="AO16">
        <v>0</v>
      </c>
      <c r="AP16">
        <v>4004</v>
      </c>
      <c r="AR16" t="s">
        <v>264</v>
      </c>
      <c r="AT16" t="s">
        <v>276</v>
      </c>
      <c r="AV16" t="s">
        <v>266</v>
      </c>
    </row>
    <row r="17" spans="1:48">
      <c r="A17">
        <v>2313009409</v>
      </c>
      <c r="B17">
        <v>2313009416</v>
      </c>
      <c r="C17" t="s">
        <v>277</v>
      </c>
      <c r="D17" t="s">
        <v>255</v>
      </c>
      <c r="E17" t="s">
        <v>31</v>
      </c>
      <c r="H17" t="s">
        <v>37</v>
      </c>
      <c r="I17" t="s">
        <v>263</v>
      </c>
      <c r="J17">
        <v>3200</v>
      </c>
      <c r="K17">
        <v>3200</v>
      </c>
      <c r="L17">
        <v>1</v>
      </c>
      <c r="M17">
        <v>0</v>
      </c>
      <c r="N17">
        <v>2520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5720</v>
      </c>
      <c r="AH17">
        <v>5</v>
      </c>
      <c r="AI17">
        <v>0</v>
      </c>
      <c r="AJ17">
        <v>0</v>
      </c>
      <c r="AK17">
        <v>5720</v>
      </c>
      <c r="AL17">
        <v>0</v>
      </c>
      <c r="AM17">
        <v>0</v>
      </c>
      <c r="AN17">
        <v>0</v>
      </c>
      <c r="AO17">
        <v>0</v>
      </c>
      <c r="AP17">
        <v>4004</v>
      </c>
      <c r="AR17" t="s">
        <v>264</v>
      </c>
      <c r="AT17" t="s">
        <v>278</v>
      </c>
      <c r="AV17" t="s">
        <v>266</v>
      </c>
    </row>
    <row r="18" spans="1:48">
      <c r="A18">
        <v>2313009409</v>
      </c>
      <c r="B18">
        <v>2313009417</v>
      </c>
      <c r="C18" t="s">
        <v>279</v>
      </c>
      <c r="D18" t="s">
        <v>258</v>
      </c>
      <c r="E18" t="s">
        <v>31</v>
      </c>
      <c r="H18" t="s">
        <v>37</v>
      </c>
      <c r="I18" t="s">
        <v>263</v>
      </c>
      <c r="J18">
        <v>3200</v>
      </c>
      <c r="K18">
        <v>3200</v>
      </c>
      <c r="L18">
        <v>1</v>
      </c>
      <c r="M18">
        <v>0</v>
      </c>
      <c r="N18">
        <v>2520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5720</v>
      </c>
      <c r="AH18">
        <v>5</v>
      </c>
      <c r="AI18">
        <v>0</v>
      </c>
      <c r="AJ18">
        <v>0</v>
      </c>
      <c r="AK18">
        <v>5720</v>
      </c>
      <c r="AL18">
        <v>0</v>
      </c>
      <c r="AM18">
        <v>0</v>
      </c>
      <c r="AN18">
        <v>0</v>
      </c>
      <c r="AO18">
        <v>0</v>
      </c>
      <c r="AP18">
        <v>4004</v>
      </c>
      <c r="AR18" t="s">
        <v>264</v>
      </c>
      <c r="AT18" t="s">
        <v>280</v>
      </c>
      <c r="AV18" t="s">
        <v>266</v>
      </c>
    </row>
    <row r="19" spans="1:48">
      <c r="A19">
        <v>2313000001</v>
      </c>
      <c r="B19">
        <v>2313000016</v>
      </c>
      <c r="C19" t="s">
        <v>281</v>
      </c>
      <c r="D19" t="s">
        <v>282</v>
      </c>
      <c r="E19" t="s">
        <v>31</v>
      </c>
      <c r="H19" t="s">
        <v>37</v>
      </c>
      <c r="I19" t="s">
        <v>182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283</v>
      </c>
      <c r="AU19" t="s">
        <v>284</v>
      </c>
      <c r="AV19" t="s">
        <v>285</v>
      </c>
    </row>
    <row r="20" spans="1:48">
      <c r="A20">
        <v>2313000001</v>
      </c>
      <c r="B20">
        <v>2313000017</v>
      </c>
      <c r="C20" t="s">
        <v>286</v>
      </c>
      <c r="D20" t="s">
        <v>287</v>
      </c>
      <c r="E20" t="s">
        <v>31</v>
      </c>
      <c r="H20" t="s">
        <v>37</v>
      </c>
      <c r="I20" t="s">
        <v>182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283</v>
      </c>
      <c r="AU20" t="s">
        <v>284</v>
      </c>
      <c r="AV20" t="s">
        <v>285</v>
      </c>
    </row>
    <row r="21" spans="1:48">
      <c r="A21">
        <v>2313000001</v>
      </c>
      <c r="B21">
        <v>2313000018</v>
      </c>
      <c r="C21" t="s">
        <v>288</v>
      </c>
      <c r="D21" t="s">
        <v>289</v>
      </c>
      <c r="E21" t="s">
        <v>31</v>
      </c>
      <c r="H21" t="s">
        <v>37</v>
      </c>
      <c r="I21" t="s">
        <v>182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283</v>
      </c>
      <c r="AU21" t="s">
        <v>284</v>
      </c>
      <c r="AV21" t="s">
        <v>285</v>
      </c>
    </row>
    <row r="22" spans="1:48">
      <c r="A22">
        <v>2313000001</v>
      </c>
      <c r="B22">
        <v>2313000019</v>
      </c>
      <c r="C22" t="s">
        <v>290</v>
      </c>
      <c r="D22" t="s">
        <v>291</v>
      </c>
      <c r="E22" t="s">
        <v>31</v>
      </c>
      <c r="H22" t="s">
        <v>37</v>
      </c>
      <c r="I22" t="s">
        <v>182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283</v>
      </c>
      <c r="AU22" t="s">
        <v>284</v>
      </c>
      <c r="AV22" t="s">
        <v>285</v>
      </c>
    </row>
    <row r="23" spans="1:48">
      <c r="A23">
        <v>2313000001</v>
      </c>
      <c r="B23">
        <v>2313000020</v>
      </c>
      <c r="C23" t="s">
        <v>292</v>
      </c>
      <c r="D23" t="s">
        <v>293</v>
      </c>
      <c r="E23" t="s">
        <v>31</v>
      </c>
      <c r="H23" t="s">
        <v>37</v>
      </c>
      <c r="I23" t="s">
        <v>182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283</v>
      </c>
      <c r="AU23" t="s">
        <v>284</v>
      </c>
      <c r="AV23" t="s">
        <v>285</v>
      </c>
    </row>
    <row r="24" spans="1:48">
      <c r="A24">
        <v>2313000001</v>
      </c>
      <c r="B24">
        <v>2313000021</v>
      </c>
      <c r="C24" t="s">
        <v>294</v>
      </c>
      <c r="D24" t="s">
        <v>295</v>
      </c>
      <c r="E24" t="s">
        <v>31</v>
      </c>
      <c r="H24" t="s">
        <v>37</v>
      </c>
      <c r="I24" t="s">
        <v>182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283</v>
      </c>
      <c r="AU24" t="s">
        <v>284</v>
      </c>
      <c r="AV24" t="s">
        <v>285</v>
      </c>
    </row>
    <row r="25" spans="1:48">
      <c r="A25">
        <v>2313000001</v>
      </c>
      <c r="B25">
        <v>2313000022</v>
      </c>
      <c r="C25" t="s">
        <v>296</v>
      </c>
      <c r="D25" t="s">
        <v>297</v>
      </c>
      <c r="E25" t="s">
        <v>31</v>
      </c>
      <c r="H25" t="s">
        <v>37</v>
      </c>
      <c r="I25" t="s">
        <v>182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283</v>
      </c>
      <c r="AU25" t="s">
        <v>284</v>
      </c>
      <c r="AV25" t="s">
        <v>285</v>
      </c>
    </row>
    <row r="26" spans="1:48">
      <c r="A26">
        <v>2313000001</v>
      </c>
      <c r="B26">
        <v>2313000023</v>
      </c>
      <c r="C26" t="s">
        <v>298</v>
      </c>
      <c r="D26" t="s">
        <v>299</v>
      </c>
      <c r="E26" t="s">
        <v>31</v>
      </c>
      <c r="H26" t="s">
        <v>37</v>
      </c>
      <c r="I26" t="s">
        <v>182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283</v>
      </c>
      <c r="AU26" t="s">
        <v>284</v>
      </c>
      <c r="AV26" t="s">
        <v>285</v>
      </c>
    </row>
    <row r="27" spans="1:48">
      <c r="A27">
        <v>2313000001</v>
      </c>
      <c r="B27">
        <v>2313000024</v>
      </c>
      <c r="C27" t="s">
        <v>300</v>
      </c>
      <c r="D27" t="s">
        <v>301</v>
      </c>
      <c r="E27" t="s">
        <v>31</v>
      </c>
      <c r="H27" t="s">
        <v>37</v>
      </c>
      <c r="I27" t="s">
        <v>182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283</v>
      </c>
      <c r="AU27" t="s">
        <v>284</v>
      </c>
      <c r="AV27" t="s">
        <v>285</v>
      </c>
    </row>
    <row r="28" spans="1:48">
      <c r="A28">
        <v>2313000001</v>
      </c>
      <c r="B28">
        <v>2313000025</v>
      </c>
      <c r="C28" t="s">
        <v>302</v>
      </c>
      <c r="D28" t="s">
        <v>303</v>
      </c>
      <c r="E28" t="s">
        <v>31</v>
      </c>
      <c r="H28" t="s">
        <v>37</v>
      </c>
      <c r="I28" t="s">
        <v>182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283</v>
      </c>
      <c r="AU28" t="s">
        <v>284</v>
      </c>
      <c r="AV28" t="s">
        <v>285</v>
      </c>
    </row>
    <row r="29" spans="1:48">
      <c r="A29">
        <v>2313000001</v>
      </c>
      <c r="B29">
        <v>2313000026</v>
      </c>
      <c r="C29" t="s">
        <v>304</v>
      </c>
      <c r="D29" t="s">
        <v>305</v>
      </c>
      <c r="E29" t="s">
        <v>31</v>
      </c>
      <c r="H29" t="s">
        <v>37</v>
      </c>
      <c r="I29" t="s">
        <v>182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283</v>
      </c>
      <c r="AU29" t="s">
        <v>284</v>
      </c>
      <c r="AV29" t="s">
        <v>285</v>
      </c>
    </row>
    <row r="30" spans="1:48">
      <c r="A30">
        <v>2313000001</v>
      </c>
      <c r="B30">
        <v>2313000027</v>
      </c>
      <c r="C30" t="s">
        <v>306</v>
      </c>
      <c r="D30" t="s">
        <v>307</v>
      </c>
      <c r="E30" t="s">
        <v>31</v>
      </c>
      <c r="H30" t="s">
        <v>37</v>
      </c>
      <c r="I30" t="s">
        <v>182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283</v>
      </c>
      <c r="AU30" t="s">
        <v>284</v>
      </c>
      <c r="AV30" t="s">
        <v>285</v>
      </c>
    </row>
    <row r="31" spans="1:48">
      <c r="A31">
        <v>2313000001</v>
      </c>
      <c r="B31">
        <v>2313000028</v>
      </c>
      <c r="C31" t="s">
        <v>308</v>
      </c>
      <c r="D31" t="s">
        <v>309</v>
      </c>
      <c r="E31" t="s">
        <v>31</v>
      </c>
      <c r="H31" t="s">
        <v>37</v>
      </c>
      <c r="I31" t="s">
        <v>182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283</v>
      </c>
      <c r="AU31" t="s">
        <v>284</v>
      </c>
      <c r="AV31" t="s">
        <v>285</v>
      </c>
    </row>
    <row r="32" spans="1:48">
      <c r="A32">
        <v>2313000001</v>
      </c>
      <c r="B32">
        <v>2313000029</v>
      </c>
      <c r="C32" t="s">
        <v>310</v>
      </c>
      <c r="D32" t="s">
        <v>311</v>
      </c>
      <c r="E32" t="s">
        <v>31</v>
      </c>
      <c r="H32" t="s">
        <v>37</v>
      </c>
      <c r="I32" t="s">
        <v>182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283</v>
      </c>
      <c r="AU32" t="s">
        <v>284</v>
      </c>
      <c r="AV32" t="s">
        <v>285</v>
      </c>
    </row>
    <row r="33" spans="1:48">
      <c r="A33">
        <v>2313000001</v>
      </c>
      <c r="B33">
        <v>2313000030</v>
      </c>
      <c r="C33" t="s">
        <v>312</v>
      </c>
      <c r="D33" t="s">
        <v>313</v>
      </c>
      <c r="E33" t="s">
        <v>31</v>
      </c>
      <c r="H33" t="s">
        <v>37</v>
      </c>
      <c r="I33" t="s">
        <v>182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283</v>
      </c>
      <c r="AU33" t="s">
        <v>284</v>
      </c>
      <c r="AV33" t="s">
        <v>285</v>
      </c>
    </row>
    <row r="34" spans="1:48">
      <c r="A34">
        <v>2313000001</v>
      </c>
      <c r="B34">
        <v>2313000031</v>
      </c>
      <c r="C34" t="s">
        <v>314</v>
      </c>
      <c r="D34" t="s">
        <v>315</v>
      </c>
      <c r="E34" t="s">
        <v>31</v>
      </c>
      <c r="H34" t="s">
        <v>37</v>
      </c>
      <c r="I34" t="s">
        <v>182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283</v>
      </c>
      <c r="AU34" t="s">
        <v>284</v>
      </c>
      <c r="AV34" t="s">
        <v>285</v>
      </c>
    </row>
    <row r="35" spans="1:48">
      <c r="A35">
        <v>2313000001</v>
      </c>
      <c r="B35">
        <v>2313000032</v>
      </c>
      <c r="C35" t="s">
        <v>316</v>
      </c>
      <c r="D35" t="s">
        <v>317</v>
      </c>
      <c r="E35" t="s">
        <v>31</v>
      </c>
      <c r="H35" t="s">
        <v>37</v>
      </c>
      <c r="I35" t="s">
        <v>182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283</v>
      </c>
      <c r="AU35" t="s">
        <v>284</v>
      </c>
      <c r="AV35" t="s">
        <v>285</v>
      </c>
    </row>
    <row r="36" spans="1:48">
      <c r="A36">
        <v>2313000001</v>
      </c>
      <c r="B36">
        <v>2313000033</v>
      </c>
      <c r="C36" t="s">
        <v>318</v>
      </c>
      <c r="D36" t="s">
        <v>319</v>
      </c>
      <c r="E36" t="s">
        <v>31</v>
      </c>
      <c r="H36" t="s">
        <v>37</v>
      </c>
      <c r="I36" t="s">
        <v>182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283</v>
      </c>
      <c r="AU36" t="s">
        <v>284</v>
      </c>
      <c r="AV36" t="s">
        <v>285</v>
      </c>
    </row>
    <row r="37" spans="1:48">
      <c r="A37">
        <v>2313000001</v>
      </c>
      <c r="B37">
        <v>2313000034</v>
      </c>
      <c r="C37" t="s">
        <v>320</v>
      </c>
      <c r="D37" t="s">
        <v>321</v>
      </c>
      <c r="E37" t="s">
        <v>31</v>
      </c>
      <c r="H37" t="s">
        <v>37</v>
      </c>
      <c r="I37" t="s">
        <v>182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283</v>
      </c>
      <c r="AU37" t="s">
        <v>284</v>
      </c>
      <c r="AV37" t="s">
        <v>285</v>
      </c>
    </row>
    <row r="38" spans="1:48">
      <c r="A38">
        <v>2313008438</v>
      </c>
      <c r="B38">
        <v>2313008530</v>
      </c>
      <c r="C38" t="s">
        <v>322</v>
      </c>
      <c r="D38" t="s">
        <v>323</v>
      </c>
      <c r="E38" t="s">
        <v>31</v>
      </c>
      <c r="H38" t="s">
        <v>37</v>
      </c>
      <c r="I38" t="s">
        <v>175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324</v>
      </c>
      <c r="AV38" t="s">
        <v>325</v>
      </c>
    </row>
    <row r="39" spans="1:48">
      <c r="A39">
        <v>2313008438</v>
      </c>
      <c r="B39">
        <v>2313008531</v>
      </c>
      <c r="C39" t="s">
        <v>326</v>
      </c>
      <c r="D39" t="s">
        <v>327</v>
      </c>
      <c r="E39" t="s">
        <v>31</v>
      </c>
      <c r="H39" t="s">
        <v>37</v>
      </c>
      <c r="I39" t="s">
        <v>175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324</v>
      </c>
      <c r="AV39" t="s">
        <v>325</v>
      </c>
    </row>
    <row r="40" spans="1:48">
      <c r="A40">
        <v>2313008438</v>
      </c>
      <c r="B40">
        <v>2313008544</v>
      </c>
      <c r="C40" t="s">
        <v>328</v>
      </c>
      <c r="D40" t="s">
        <v>329</v>
      </c>
      <c r="E40" t="s">
        <v>31</v>
      </c>
      <c r="H40" t="s">
        <v>37</v>
      </c>
      <c r="I40" t="s">
        <v>175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324</v>
      </c>
      <c r="AV40" t="s">
        <v>325</v>
      </c>
    </row>
    <row r="41" spans="1:48">
      <c r="A41">
        <v>2313008438</v>
      </c>
      <c r="B41">
        <v>2313008546</v>
      </c>
      <c r="C41" t="s">
        <v>330</v>
      </c>
      <c r="D41" t="s">
        <v>331</v>
      </c>
      <c r="E41" t="s">
        <v>31</v>
      </c>
      <c r="H41" t="s">
        <v>37</v>
      </c>
      <c r="I41" t="s">
        <v>175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324</v>
      </c>
      <c r="AV41" t="s">
        <v>325</v>
      </c>
    </row>
    <row r="42" spans="1:48">
      <c r="A42">
        <v>2313008438</v>
      </c>
      <c r="B42">
        <v>2313008547</v>
      </c>
      <c r="C42" t="s">
        <v>332</v>
      </c>
      <c r="D42" t="s">
        <v>333</v>
      </c>
      <c r="E42" t="s">
        <v>31</v>
      </c>
      <c r="H42" t="s">
        <v>37</v>
      </c>
      <c r="I42" t="s">
        <v>175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324</v>
      </c>
      <c r="AV42" t="s">
        <v>325</v>
      </c>
    </row>
    <row r="43" spans="1:48">
      <c r="A43">
        <v>2313008438</v>
      </c>
      <c r="B43">
        <v>2313008642</v>
      </c>
      <c r="C43" t="s">
        <v>334</v>
      </c>
      <c r="D43" t="s">
        <v>335</v>
      </c>
      <c r="E43" t="s">
        <v>31</v>
      </c>
      <c r="H43" t="s">
        <v>37</v>
      </c>
      <c r="I43" t="s">
        <v>175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324</v>
      </c>
      <c r="AV43" t="s">
        <v>325</v>
      </c>
    </row>
    <row r="44" spans="1:48">
      <c r="A44">
        <v>2313000001</v>
      </c>
      <c r="B44">
        <v>2313000001</v>
      </c>
      <c r="C44" t="s">
        <v>336</v>
      </c>
      <c r="D44" t="s">
        <v>42</v>
      </c>
      <c r="E44" t="s">
        <v>31</v>
      </c>
      <c r="H44" t="s">
        <v>37</v>
      </c>
      <c r="I44" t="s">
        <v>182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T44" t="s">
        <v>283</v>
      </c>
      <c r="AU44" t="s">
        <v>284</v>
      </c>
      <c r="AV44" t="s">
        <v>285</v>
      </c>
    </row>
    <row r="45" spans="1:48">
      <c r="A45">
        <v>2313000001</v>
      </c>
      <c r="B45">
        <v>2313000002</v>
      </c>
      <c r="C45" t="s">
        <v>337</v>
      </c>
      <c r="D45" t="s">
        <v>46</v>
      </c>
      <c r="E45" t="s">
        <v>31</v>
      </c>
      <c r="H45" t="s">
        <v>37</v>
      </c>
      <c r="I45" t="s">
        <v>182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T45" t="s">
        <v>283</v>
      </c>
      <c r="AU45" t="s">
        <v>284</v>
      </c>
      <c r="AV45" t="s">
        <v>285</v>
      </c>
    </row>
    <row r="46" spans="1:48">
      <c r="A46">
        <v>2313000001</v>
      </c>
      <c r="B46">
        <v>2313000003</v>
      </c>
      <c r="C46" t="s">
        <v>338</v>
      </c>
      <c r="D46" t="s">
        <v>51</v>
      </c>
      <c r="E46" t="s">
        <v>31</v>
      </c>
      <c r="H46" t="s">
        <v>37</v>
      </c>
      <c r="I46" t="s">
        <v>182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T46" t="s">
        <v>283</v>
      </c>
      <c r="AU46" t="s">
        <v>284</v>
      </c>
      <c r="AV46" t="s">
        <v>285</v>
      </c>
    </row>
    <row r="47" spans="1:48">
      <c r="A47">
        <v>2313000001</v>
      </c>
      <c r="B47">
        <v>2313000004</v>
      </c>
      <c r="C47" t="s">
        <v>339</v>
      </c>
      <c r="D47" t="s">
        <v>69</v>
      </c>
      <c r="E47" t="s">
        <v>31</v>
      </c>
      <c r="H47" t="s">
        <v>37</v>
      </c>
      <c r="I47" t="s">
        <v>182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T47" t="s">
        <v>283</v>
      </c>
      <c r="AU47" t="s">
        <v>284</v>
      </c>
      <c r="AV47" t="s">
        <v>285</v>
      </c>
    </row>
    <row r="48" spans="1:48">
      <c r="A48">
        <v>2313000001</v>
      </c>
      <c r="B48">
        <v>2313000005</v>
      </c>
      <c r="C48" t="s">
        <v>340</v>
      </c>
      <c r="D48" t="s">
        <v>64</v>
      </c>
      <c r="E48" t="s">
        <v>31</v>
      </c>
      <c r="H48" t="s">
        <v>37</v>
      </c>
      <c r="I48" t="s">
        <v>182</v>
      </c>
      <c r="J48">
        <v>0</v>
      </c>
      <c r="K48">
        <v>0</v>
      </c>
      <c r="L48">
        <v>0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T48" t="s">
        <v>283</v>
      </c>
      <c r="AU48" t="s">
        <v>284</v>
      </c>
      <c r="AV48" t="s">
        <v>285</v>
      </c>
    </row>
    <row r="49" spans="1:48">
      <c r="A49">
        <v>2313000001</v>
      </c>
      <c r="B49">
        <v>2313000006</v>
      </c>
      <c r="C49" t="s">
        <v>341</v>
      </c>
      <c r="D49" t="s">
        <v>33</v>
      </c>
      <c r="E49" t="s">
        <v>31</v>
      </c>
      <c r="H49" t="s">
        <v>37</v>
      </c>
      <c r="I49" t="s">
        <v>182</v>
      </c>
      <c r="J49">
        <v>0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T49" t="s">
        <v>283</v>
      </c>
      <c r="AU49" t="s">
        <v>284</v>
      </c>
      <c r="AV49" t="s">
        <v>285</v>
      </c>
    </row>
    <row r="50" spans="1:48">
      <c r="A50">
        <v>2313000001</v>
      </c>
      <c r="B50">
        <v>2313000007</v>
      </c>
      <c r="C50" t="s">
        <v>342</v>
      </c>
      <c r="D50" t="s">
        <v>53</v>
      </c>
      <c r="E50" t="s">
        <v>31</v>
      </c>
      <c r="H50" t="s">
        <v>37</v>
      </c>
      <c r="I50" t="s">
        <v>182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T50" t="s">
        <v>283</v>
      </c>
      <c r="AU50" t="s">
        <v>284</v>
      </c>
      <c r="AV50" t="s">
        <v>285</v>
      </c>
    </row>
    <row r="51" spans="1:48">
      <c r="A51">
        <v>2313000001</v>
      </c>
      <c r="B51">
        <v>2313000008</v>
      </c>
      <c r="C51" t="s">
        <v>343</v>
      </c>
      <c r="D51" t="s">
        <v>255</v>
      </c>
      <c r="E51" t="s">
        <v>31</v>
      </c>
      <c r="H51" t="s">
        <v>37</v>
      </c>
      <c r="I51" t="s">
        <v>182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T51" t="s">
        <v>283</v>
      </c>
      <c r="AU51" t="s">
        <v>284</v>
      </c>
      <c r="AV51" t="s">
        <v>285</v>
      </c>
    </row>
    <row r="52" spans="1:48">
      <c r="A52">
        <v>2313000001</v>
      </c>
      <c r="B52">
        <v>2313000009</v>
      </c>
      <c r="C52" t="s">
        <v>344</v>
      </c>
      <c r="D52" t="s">
        <v>258</v>
      </c>
      <c r="E52" t="s">
        <v>31</v>
      </c>
      <c r="H52" t="s">
        <v>37</v>
      </c>
      <c r="I52" t="s">
        <v>182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T52" t="s">
        <v>283</v>
      </c>
      <c r="AU52" t="s">
        <v>284</v>
      </c>
      <c r="AV52" t="s">
        <v>285</v>
      </c>
    </row>
    <row r="53" spans="1:48">
      <c r="A53">
        <v>2313000001</v>
      </c>
      <c r="B53">
        <v>2313000010</v>
      </c>
      <c r="C53" t="s">
        <v>345</v>
      </c>
      <c r="D53" t="s">
        <v>261</v>
      </c>
      <c r="E53" t="s">
        <v>31</v>
      </c>
      <c r="H53" t="s">
        <v>37</v>
      </c>
      <c r="I53" t="s">
        <v>182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T53" t="s">
        <v>283</v>
      </c>
      <c r="AU53" t="s">
        <v>284</v>
      </c>
      <c r="AV53" t="s">
        <v>285</v>
      </c>
    </row>
    <row r="54" spans="1:48">
      <c r="A54">
        <v>2313000001</v>
      </c>
      <c r="B54">
        <v>2313000011</v>
      </c>
      <c r="C54" t="s">
        <v>346</v>
      </c>
      <c r="D54" t="s">
        <v>347</v>
      </c>
      <c r="E54" t="s">
        <v>31</v>
      </c>
      <c r="H54" t="s">
        <v>37</v>
      </c>
      <c r="I54" t="s">
        <v>182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T54" t="s">
        <v>283</v>
      </c>
      <c r="AU54" t="s">
        <v>284</v>
      </c>
      <c r="AV54" t="s">
        <v>285</v>
      </c>
    </row>
    <row r="55" spans="1:48">
      <c r="A55">
        <v>2313000001</v>
      </c>
      <c r="B55">
        <v>2313000012</v>
      </c>
      <c r="C55" t="s">
        <v>348</v>
      </c>
      <c r="D55" t="s">
        <v>349</v>
      </c>
      <c r="E55" t="s">
        <v>31</v>
      </c>
      <c r="H55" t="s">
        <v>37</v>
      </c>
      <c r="I55" t="s">
        <v>182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T55" t="s">
        <v>283</v>
      </c>
      <c r="AU55" t="s">
        <v>284</v>
      </c>
      <c r="AV55" t="s">
        <v>285</v>
      </c>
    </row>
    <row r="56" spans="1:48">
      <c r="A56">
        <v>2313000001</v>
      </c>
      <c r="B56">
        <v>2313000013</v>
      </c>
      <c r="C56" t="s">
        <v>350</v>
      </c>
      <c r="D56" t="s">
        <v>351</v>
      </c>
      <c r="E56" t="s">
        <v>31</v>
      </c>
      <c r="H56" t="s">
        <v>37</v>
      </c>
      <c r="I56" t="s">
        <v>182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T56" t="s">
        <v>283</v>
      </c>
      <c r="AU56" t="s">
        <v>284</v>
      </c>
      <c r="AV56" t="s">
        <v>285</v>
      </c>
    </row>
    <row r="57" spans="1:48">
      <c r="A57">
        <v>2313000001</v>
      </c>
      <c r="B57">
        <v>2313000014</v>
      </c>
      <c r="C57" t="s">
        <v>352</v>
      </c>
      <c r="D57" t="s">
        <v>353</v>
      </c>
      <c r="E57" t="s">
        <v>31</v>
      </c>
      <c r="H57" t="s">
        <v>37</v>
      </c>
      <c r="I57" t="s">
        <v>182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T57" t="s">
        <v>283</v>
      </c>
      <c r="AU57" t="s">
        <v>284</v>
      </c>
      <c r="AV57" t="s">
        <v>285</v>
      </c>
    </row>
    <row r="58" spans="1:48">
      <c r="A58">
        <v>2313000001</v>
      </c>
      <c r="B58">
        <v>2313000015</v>
      </c>
      <c r="C58" t="s">
        <v>354</v>
      </c>
      <c r="D58" t="s">
        <v>355</v>
      </c>
      <c r="E58" t="s">
        <v>31</v>
      </c>
      <c r="H58" t="s">
        <v>37</v>
      </c>
      <c r="I58" t="s">
        <v>182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T58" t="s">
        <v>283</v>
      </c>
      <c r="AU58" t="s">
        <v>284</v>
      </c>
      <c r="AV58" t="s">
        <v>285</v>
      </c>
    </row>
    <row r="59" spans="1:48">
      <c r="A59">
        <v>2313002085</v>
      </c>
      <c r="B59">
        <v>2313002085</v>
      </c>
      <c r="C59" t="s">
        <v>356</v>
      </c>
      <c r="D59" t="s">
        <v>42</v>
      </c>
      <c r="E59" t="s">
        <v>31</v>
      </c>
      <c r="H59" t="s">
        <v>37</v>
      </c>
      <c r="I59" t="s">
        <v>357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T59" t="s">
        <v>358</v>
      </c>
      <c r="AV59" t="s">
        <v>359</v>
      </c>
    </row>
    <row r="60" spans="1:48">
      <c r="A60">
        <v>2313002085</v>
      </c>
      <c r="B60">
        <v>2313002086</v>
      </c>
      <c r="C60" t="s">
        <v>360</v>
      </c>
      <c r="D60" t="s">
        <v>46</v>
      </c>
      <c r="E60" t="s">
        <v>31</v>
      </c>
      <c r="H60" t="s">
        <v>37</v>
      </c>
      <c r="I60" t="s">
        <v>357</v>
      </c>
      <c r="J60">
        <v>3200</v>
      </c>
      <c r="K60">
        <v>0</v>
      </c>
      <c r="L60">
        <v>0</v>
      </c>
      <c r="M60">
        <v>0</v>
      </c>
      <c r="N60">
        <v>7650</v>
      </c>
      <c r="O60">
        <v>11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7650</v>
      </c>
      <c r="AH60">
        <v>11</v>
      </c>
      <c r="AI60">
        <v>0</v>
      </c>
      <c r="AJ60">
        <v>0</v>
      </c>
      <c r="AK60">
        <v>7650</v>
      </c>
      <c r="AL60">
        <v>0</v>
      </c>
      <c r="AM60">
        <v>0</v>
      </c>
      <c r="AN60">
        <v>0</v>
      </c>
      <c r="AO60">
        <v>0</v>
      </c>
      <c r="AP60">
        <v>5355</v>
      </c>
      <c r="AT60" t="s">
        <v>361</v>
      </c>
      <c r="AV60" t="s">
        <v>359</v>
      </c>
    </row>
    <row r="61" spans="1:48">
      <c r="A61">
        <v>2313002085</v>
      </c>
      <c r="B61">
        <v>2313002087</v>
      </c>
      <c r="C61" t="s">
        <v>362</v>
      </c>
      <c r="D61" t="s">
        <v>51</v>
      </c>
      <c r="E61" t="s">
        <v>31</v>
      </c>
      <c r="H61" t="s">
        <v>37</v>
      </c>
      <c r="I61" t="s">
        <v>357</v>
      </c>
      <c r="J61">
        <v>3200</v>
      </c>
      <c r="K61">
        <v>0</v>
      </c>
      <c r="L61">
        <v>0</v>
      </c>
      <c r="M61">
        <v>0</v>
      </c>
      <c r="N61">
        <v>4050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4050</v>
      </c>
      <c r="AH61">
        <v>7</v>
      </c>
      <c r="AI61">
        <v>0</v>
      </c>
      <c r="AJ61">
        <v>0</v>
      </c>
      <c r="AK61">
        <v>4050</v>
      </c>
      <c r="AL61">
        <v>0</v>
      </c>
      <c r="AM61">
        <v>0</v>
      </c>
      <c r="AN61">
        <v>0</v>
      </c>
      <c r="AO61">
        <v>0</v>
      </c>
      <c r="AP61">
        <v>2835</v>
      </c>
      <c r="AT61" t="s">
        <v>363</v>
      </c>
      <c r="AV61" t="s">
        <v>359</v>
      </c>
    </row>
    <row r="62" spans="1:48">
      <c r="A62">
        <v>2313002085</v>
      </c>
      <c r="B62">
        <v>2313002088</v>
      </c>
      <c r="C62" t="s">
        <v>364</v>
      </c>
      <c r="D62" t="s">
        <v>69</v>
      </c>
      <c r="E62" t="s">
        <v>31</v>
      </c>
      <c r="H62" t="s">
        <v>37</v>
      </c>
      <c r="I62" t="s">
        <v>357</v>
      </c>
      <c r="J62">
        <v>3200</v>
      </c>
      <c r="K62">
        <v>0</v>
      </c>
      <c r="L62">
        <v>0</v>
      </c>
      <c r="M62">
        <v>0</v>
      </c>
      <c r="N62">
        <v>4050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4050</v>
      </c>
      <c r="AH62">
        <v>7</v>
      </c>
      <c r="AI62">
        <v>0</v>
      </c>
      <c r="AJ62">
        <v>0</v>
      </c>
      <c r="AK62">
        <v>4050</v>
      </c>
      <c r="AL62">
        <v>0</v>
      </c>
      <c r="AM62">
        <v>0</v>
      </c>
      <c r="AN62">
        <v>0</v>
      </c>
      <c r="AO62">
        <v>0</v>
      </c>
      <c r="AP62">
        <v>2835</v>
      </c>
      <c r="AT62" t="s">
        <v>365</v>
      </c>
      <c r="AV62" t="s">
        <v>359</v>
      </c>
    </row>
    <row r="63" spans="1:48">
      <c r="A63">
        <v>2313002085</v>
      </c>
      <c r="B63">
        <v>2313002089</v>
      </c>
      <c r="C63" t="s">
        <v>366</v>
      </c>
      <c r="D63" t="s">
        <v>64</v>
      </c>
      <c r="E63" t="s">
        <v>31</v>
      </c>
      <c r="H63" t="s">
        <v>37</v>
      </c>
      <c r="I63" t="s">
        <v>357</v>
      </c>
      <c r="J63">
        <v>3200</v>
      </c>
      <c r="K63">
        <v>0</v>
      </c>
      <c r="L63">
        <v>0</v>
      </c>
      <c r="M63">
        <v>0</v>
      </c>
      <c r="N63">
        <v>3150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3150</v>
      </c>
      <c r="AH63">
        <v>6</v>
      </c>
      <c r="AI63">
        <v>0</v>
      </c>
      <c r="AJ63">
        <v>0</v>
      </c>
      <c r="AK63">
        <v>3150</v>
      </c>
      <c r="AL63">
        <v>0</v>
      </c>
      <c r="AM63">
        <v>0</v>
      </c>
      <c r="AN63">
        <v>0</v>
      </c>
      <c r="AO63">
        <v>0</v>
      </c>
      <c r="AP63">
        <v>2205</v>
      </c>
      <c r="AT63" t="s">
        <v>367</v>
      </c>
      <c r="AV63" t="s">
        <v>359</v>
      </c>
    </row>
    <row r="64" spans="1:48">
      <c r="A64">
        <v>2313002085</v>
      </c>
      <c r="B64">
        <v>2313002090</v>
      </c>
      <c r="C64" t="s">
        <v>368</v>
      </c>
      <c r="D64" t="s">
        <v>33</v>
      </c>
      <c r="E64" t="s">
        <v>31</v>
      </c>
      <c r="H64" t="s">
        <v>37</v>
      </c>
      <c r="I64" t="s">
        <v>357</v>
      </c>
      <c r="J64">
        <v>3200</v>
      </c>
      <c r="K64">
        <v>0</v>
      </c>
      <c r="L64">
        <v>0</v>
      </c>
      <c r="M64">
        <v>0</v>
      </c>
      <c r="N64">
        <v>3150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3150</v>
      </c>
      <c r="AH64">
        <v>6</v>
      </c>
      <c r="AI64">
        <v>0</v>
      </c>
      <c r="AJ64">
        <v>0</v>
      </c>
      <c r="AK64">
        <v>3150</v>
      </c>
      <c r="AL64">
        <v>0</v>
      </c>
      <c r="AM64">
        <v>0</v>
      </c>
      <c r="AN64">
        <v>0</v>
      </c>
      <c r="AO64">
        <v>0</v>
      </c>
      <c r="AP64">
        <v>2205</v>
      </c>
      <c r="AT64" t="s">
        <v>369</v>
      </c>
      <c r="AV64" t="s">
        <v>359</v>
      </c>
    </row>
    <row r="65" spans="1:48">
      <c r="A65">
        <v>2313002085</v>
      </c>
      <c r="B65">
        <v>2313002091</v>
      </c>
      <c r="C65" t="s">
        <v>370</v>
      </c>
      <c r="D65" t="s">
        <v>53</v>
      </c>
      <c r="E65" t="s">
        <v>31</v>
      </c>
      <c r="H65" t="s">
        <v>37</v>
      </c>
      <c r="I65" t="s">
        <v>357</v>
      </c>
      <c r="J65">
        <v>3200</v>
      </c>
      <c r="K65">
        <v>0</v>
      </c>
      <c r="L65">
        <v>0</v>
      </c>
      <c r="M65">
        <v>0</v>
      </c>
      <c r="N65">
        <v>3150</v>
      </c>
      <c r="O65">
        <v>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3150</v>
      </c>
      <c r="AH65">
        <v>6</v>
      </c>
      <c r="AI65">
        <v>0</v>
      </c>
      <c r="AJ65">
        <v>0</v>
      </c>
      <c r="AK65">
        <v>3150</v>
      </c>
      <c r="AL65">
        <v>0</v>
      </c>
      <c r="AM65">
        <v>0</v>
      </c>
      <c r="AN65">
        <v>0</v>
      </c>
      <c r="AO65">
        <v>0</v>
      </c>
      <c r="AP65">
        <v>2205</v>
      </c>
      <c r="AT65" t="s">
        <v>371</v>
      </c>
      <c r="AV65" t="s">
        <v>359</v>
      </c>
    </row>
    <row r="66" spans="1:48">
      <c r="A66">
        <v>2313002085</v>
      </c>
      <c r="B66">
        <v>2313002092</v>
      </c>
      <c r="C66" t="s">
        <v>372</v>
      </c>
      <c r="D66" t="s">
        <v>255</v>
      </c>
      <c r="E66" t="s">
        <v>31</v>
      </c>
      <c r="H66" t="s">
        <v>37</v>
      </c>
      <c r="I66" t="s">
        <v>357</v>
      </c>
      <c r="J66">
        <v>3200</v>
      </c>
      <c r="K66">
        <v>0</v>
      </c>
      <c r="L66">
        <v>0</v>
      </c>
      <c r="M66">
        <v>0</v>
      </c>
      <c r="N66">
        <v>3150</v>
      </c>
      <c r="O66">
        <v>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3150</v>
      </c>
      <c r="AH66">
        <v>6</v>
      </c>
      <c r="AI66">
        <v>0</v>
      </c>
      <c r="AJ66">
        <v>0</v>
      </c>
      <c r="AK66">
        <v>3150</v>
      </c>
      <c r="AL66">
        <v>0</v>
      </c>
      <c r="AM66">
        <v>0</v>
      </c>
      <c r="AN66">
        <v>0</v>
      </c>
      <c r="AO66">
        <v>0</v>
      </c>
      <c r="AP66">
        <v>2205</v>
      </c>
      <c r="AT66" t="s">
        <v>373</v>
      </c>
      <c r="AV66" t="s">
        <v>359</v>
      </c>
    </row>
    <row r="67" spans="1:48">
      <c r="A67">
        <v>2313002926</v>
      </c>
      <c r="B67">
        <v>2313002926</v>
      </c>
      <c r="C67" t="s">
        <v>374</v>
      </c>
      <c r="D67" t="s">
        <v>42</v>
      </c>
      <c r="E67" t="s">
        <v>31</v>
      </c>
      <c r="H67" t="s">
        <v>37</v>
      </c>
      <c r="I67" t="s">
        <v>29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T67" t="s">
        <v>375</v>
      </c>
      <c r="AV67" t="s">
        <v>285</v>
      </c>
    </row>
    <row r="68" spans="1:48">
      <c r="A68">
        <v>2313002926</v>
      </c>
      <c r="B68">
        <v>2313002927</v>
      </c>
      <c r="C68" t="s">
        <v>376</v>
      </c>
      <c r="D68" t="s">
        <v>46</v>
      </c>
      <c r="E68" t="s">
        <v>31</v>
      </c>
      <c r="H68" t="s">
        <v>37</v>
      </c>
      <c r="I68" t="s">
        <v>29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T68" t="s">
        <v>375</v>
      </c>
      <c r="AV68" t="s">
        <v>285</v>
      </c>
    </row>
    <row r="69" spans="1:48">
      <c r="A69">
        <v>2313002926</v>
      </c>
      <c r="B69">
        <v>2313002928</v>
      </c>
      <c r="C69" t="s">
        <v>377</v>
      </c>
      <c r="D69" t="s">
        <v>51</v>
      </c>
      <c r="E69" t="s">
        <v>31</v>
      </c>
      <c r="H69" t="s">
        <v>37</v>
      </c>
      <c r="I69" t="s">
        <v>29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T69" t="s">
        <v>375</v>
      </c>
      <c r="AV69" t="s">
        <v>285</v>
      </c>
    </row>
    <row r="70" spans="1:48">
      <c r="A70">
        <v>2313002926</v>
      </c>
      <c r="B70">
        <v>2313002929</v>
      </c>
      <c r="C70" t="s">
        <v>378</v>
      </c>
      <c r="D70" t="s">
        <v>69</v>
      </c>
      <c r="E70" t="s">
        <v>31</v>
      </c>
      <c r="H70" t="s">
        <v>37</v>
      </c>
      <c r="I70" t="s">
        <v>29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T70" t="s">
        <v>375</v>
      </c>
      <c r="AV70" t="s">
        <v>285</v>
      </c>
    </row>
    <row r="71" spans="1:48">
      <c r="A71">
        <v>2313002926</v>
      </c>
      <c r="B71">
        <v>2313002930</v>
      </c>
      <c r="C71" t="s">
        <v>379</v>
      </c>
      <c r="D71" t="s">
        <v>64</v>
      </c>
      <c r="E71" t="s">
        <v>31</v>
      </c>
      <c r="H71" t="s">
        <v>37</v>
      </c>
      <c r="I71" t="s">
        <v>29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T71" t="s">
        <v>375</v>
      </c>
      <c r="AV71" t="s">
        <v>285</v>
      </c>
    </row>
    <row r="72" spans="1:48">
      <c r="A72">
        <v>2313002926</v>
      </c>
      <c r="B72">
        <v>2313002931</v>
      </c>
      <c r="C72" t="s">
        <v>380</v>
      </c>
      <c r="D72" t="s">
        <v>33</v>
      </c>
      <c r="E72" t="s">
        <v>31</v>
      </c>
      <c r="H72" t="s">
        <v>37</v>
      </c>
      <c r="I72" t="s">
        <v>29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T72" t="s">
        <v>375</v>
      </c>
      <c r="AV72" t="s">
        <v>285</v>
      </c>
    </row>
    <row r="73" spans="1:48">
      <c r="A73">
        <v>2313002926</v>
      </c>
      <c r="B73">
        <v>2313002932</v>
      </c>
      <c r="C73" t="s">
        <v>381</v>
      </c>
      <c r="D73" t="s">
        <v>53</v>
      </c>
      <c r="E73" t="s">
        <v>31</v>
      </c>
      <c r="H73" t="s">
        <v>37</v>
      </c>
      <c r="I73" t="s">
        <v>29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T73" t="s">
        <v>375</v>
      </c>
      <c r="AV73" t="s">
        <v>285</v>
      </c>
    </row>
    <row r="74" spans="1:48">
      <c r="A74">
        <v>2313002926</v>
      </c>
      <c r="B74">
        <v>2313002933</v>
      </c>
      <c r="C74" t="s">
        <v>382</v>
      </c>
      <c r="D74" t="s">
        <v>255</v>
      </c>
      <c r="E74" t="s">
        <v>31</v>
      </c>
      <c r="H74" t="s">
        <v>37</v>
      </c>
      <c r="I74" t="s">
        <v>29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T74" t="s">
        <v>375</v>
      </c>
      <c r="AV74" t="s">
        <v>285</v>
      </c>
    </row>
    <row r="75" spans="1:48">
      <c r="A75">
        <v>2313002926</v>
      </c>
      <c r="B75">
        <v>2313002934</v>
      </c>
      <c r="C75" t="s">
        <v>383</v>
      </c>
      <c r="D75" t="s">
        <v>258</v>
      </c>
      <c r="E75" t="s">
        <v>31</v>
      </c>
      <c r="H75" t="s">
        <v>37</v>
      </c>
      <c r="I75" t="s">
        <v>29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375</v>
      </c>
      <c r="AV75" t="s">
        <v>285</v>
      </c>
    </row>
    <row r="76" spans="1:48">
      <c r="A76">
        <v>2313002926</v>
      </c>
      <c r="B76">
        <v>2313002935</v>
      </c>
      <c r="C76" t="s">
        <v>384</v>
      </c>
      <c r="D76" t="s">
        <v>261</v>
      </c>
      <c r="E76" t="s">
        <v>31</v>
      </c>
      <c r="H76" t="s">
        <v>37</v>
      </c>
      <c r="I76" t="s">
        <v>29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375</v>
      </c>
      <c r="AV76" t="s">
        <v>285</v>
      </c>
    </row>
    <row r="77" spans="1:48">
      <c r="A77">
        <v>2313002926</v>
      </c>
      <c r="B77">
        <v>2313002936</v>
      </c>
      <c r="C77" t="s">
        <v>385</v>
      </c>
      <c r="D77" t="s">
        <v>347</v>
      </c>
      <c r="E77" t="s">
        <v>31</v>
      </c>
      <c r="H77" t="s">
        <v>37</v>
      </c>
      <c r="I77" t="s">
        <v>29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375</v>
      </c>
      <c r="AV77" t="s">
        <v>285</v>
      </c>
    </row>
    <row r="78" spans="1:48">
      <c r="A78">
        <v>2313002926</v>
      </c>
      <c r="B78">
        <v>2313002937</v>
      </c>
      <c r="C78" t="s">
        <v>386</v>
      </c>
      <c r="D78" t="s">
        <v>349</v>
      </c>
      <c r="E78" t="s">
        <v>31</v>
      </c>
      <c r="H78" t="s">
        <v>37</v>
      </c>
      <c r="I78" t="s">
        <v>29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375</v>
      </c>
      <c r="AV78" t="s">
        <v>285</v>
      </c>
    </row>
    <row r="79" spans="1:48">
      <c r="A79">
        <v>2313002926</v>
      </c>
      <c r="B79">
        <v>2313002938</v>
      </c>
      <c r="C79" t="s">
        <v>387</v>
      </c>
      <c r="D79" t="s">
        <v>351</v>
      </c>
      <c r="E79" t="s">
        <v>31</v>
      </c>
      <c r="H79" t="s">
        <v>37</v>
      </c>
      <c r="I79" t="s">
        <v>29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375</v>
      </c>
      <c r="AV79" t="s">
        <v>285</v>
      </c>
    </row>
    <row r="80" spans="1:48">
      <c r="A80">
        <v>2313002926</v>
      </c>
      <c r="B80">
        <v>2313002939</v>
      </c>
      <c r="C80" t="s">
        <v>388</v>
      </c>
      <c r="D80" t="s">
        <v>353</v>
      </c>
      <c r="E80" t="s">
        <v>31</v>
      </c>
      <c r="H80" t="s">
        <v>37</v>
      </c>
      <c r="I80" t="s">
        <v>29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375</v>
      </c>
      <c r="AV80" t="s">
        <v>285</v>
      </c>
    </row>
    <row r="81" spans="1:48">
      <c r="A81">
        <v>2313002926</v>
      </c>
      <c r="B81">
        <v>2313002940</v>
      </c>
      <c r="C81" t="s">
        <v>389</v>
      </c>
      <c r="D81" t="s">
        <v>355</v>
      </c>
      <c r="E81" t="s">
        <v>31</v>
      </c>
      <c r="H81" t="s">
        <v>37</v>
      </c>
      <c r="I81" t="s">
        <v>29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375</v>
      </c>
      <c r="AV81" t="s">
        <v>285</v>
      </c>
    </row>
    <row r="82" spans="1:48">
      <c r="A82">
        <v>2313002926</v>
      </c>
      <c r="B82">
        <v>2313002941</v>
      </c>
      <c r="C82" t="s">
        <v>390</v>
      </c>
      <c r="D82" t="s">
        <v>282</v>
      </c>
      <c r="E82" t="s">
        <v>31</v>
      </c>
      <c r="H82" t="s">
        <v>37</v>
      </c>
      <c r="I82" t="s">
        <v>29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375</v>
      </c>
      <c r="AV82" t="s">
        <v>285</v>
      </c>
    </row>
    <row r="83" spans="1:48">
      <c r="A83">
        <v>2313002926</v>
      </c>
      <c r="B83">
        <v>2313002942</v>
      </c>
      <c r="C83" t="s">
        <v>391</v>
      </c>
      <c r="D83" t="s">
        <v>287</v>
      </c>
      <c r="E83" t="s">
        <v>31</v>
      </c>
      <c r="H83" t="s">
        <v>37</v>
      </c>
      <c r="I83" t="s">
        <v>29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375</v>
      </c>
      <c r="AV83" t="s">
        <v>285</v>
      </c>
    </row>
    <row r="84" spans="1:48">
      <c r="A84">
        <v>2313002926</v>
      </c>
      <c r="B84">
        <v>2313002943</v>
      </c>
      <c r="C84" t="s">
        <v>392</v>
      </c>
      <c r="D84" t="s">
        <v>289</v>
      </c>
      <c r="E84" t="s">
        <v>31</v>
      </c>
      <c r="H84" t="s">
        <v>37</v>
      </c>
      <c r="I84" t="s">
        <v>29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375</v>
      </c>
      <c r="AV84" t="s">
        <v>285</v>
      </c>
    </row>
    <row r="85" spans="1:48">
      <c r="A85">
        <v>2313002926</v>
      </c>
      <c r="B85">
        <v>2313002944</v>
      </c>
      <c r="C85" t="s">
        <v>393</v>
      </c>
      <c r="D85" t="s">
        <v>291</v>
      </c>
      <c r="E85" t="s">
        <v>31</v>
      </c>
      <c r="H85" t="s">
        <v>37</v>
      </c>
      <c r="I85" t="s">
        <v>29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375</v>
      </c>
      <c r="AV85" t="s">
        <v>285</v>
      </c>
    </row>
    <row r="86" spans="1:48">
      <c r="A86">
        <v>2313002926</v>
      </c>
      <c r="B86">
        <v>2313002945</v>
      </c>
      <c r="C86" t="s">
        <v>394</v>
      </c>
      <c r="D86" t="s">
        <v>293</v>
      </c>
      <c r="E86" t="s">
        <v>31</v>
      </c>
      <c r="H86" t="s">
        <v>37</v>
      </c>
      <c r="I86" t="s">
        <v>29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375</v>
      </c>
      <c r="AV86" t="s">
        <v>285</v>
      </c>
    </row>
    <row r="87" spans="1:48">
      <c r="A87">
        <v>2313002926</v>
      </c>
      <c r="B87">
        <v>2313002946</v>
      </c>
      <c r="C87" t="s">
        <v>395</v>
      </c>
      <c r="D87" t="s">
        <v>295</v>
      </c>
      <c r="E87" t="s">
        <v>31</v>
      </c>
      <c r="H87" t="s">
        <v>37</v>
      </c>
      <c r="I87" t="s">
        <v>29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375</v>
      </c>
      <c r="AV87" t="s">
        <v>285</v>
      </c>
    </row>
    <row r="88" spans="1:48">
      <c r="A88">
        <v>2313002926</v>
      </c>
      <c r="B88">
        <v>2313002947</v>
      </c>
      <c r="C88" t="s">
        <v>396</v>
      </c>
      <c r="D88" t="s">
        <v>297</v>
      </c>
      <c r="E88" t="s">
        <v>31</v>
      </c>
      <c r="H88" t="s">
        <v>37</v>
      </c>
      <c r="I88" t="s">
        <v>29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375</v>
      </c>
      <c r="AV88" t="s">
        <v>285</v>
      </c>
    </row>
    <row r="89" spans="1:48">
      <c r="A89">
        <v>2313002926</v>
      </c>
      <c r="B89">
        <v>2313002948</v>
      </c>
      <c r="C89" t="s">
        <v>397</v>
      </c>
      <c r="D89" t="s">
        <v>299</v>
      </c>
      <c r="E89" t="s">
        <v>31</v>
      </c>
      <c r="H89" t="s">
        <v>37</v>
      </c>
      <c r="I89" t="s">
        <v>29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375</v>
      </c>
      <c r="AV89" t="s">
        <v>285</v>
      </c>
    </row>
    <row r="90" spans="1:48">
      <c r="A90">
        <v>2313002926</v>
      </c>
      <c r="B90">
        <v>2313002949</v>
      </c>
      <c r="C90" t="s">
        <v>398</v>
      </c>
      <c r="D90" t="s">
        <v>301</v>
      </c>
      <c r="E90" t="s">
        <v>31</v>
      </c>
      <c r="H90" t="s">
        <v>37</v>
      </c>
      <c r="I90" t="s">
        <v>29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375</v>
      </c>
      <c r="AV90" t="s">
        <v>285</v>
      </c>
    </row>
    <row r="91" spans="1:48">
      <c r="A91">
        <v>2313002926</v>
      </c>
      <c r="B91">
        <v>2313002950</v>
      </c>
      <c r="C91" t="s">
        <v>399</v>
      </c>
      <c r="D91" t="s">
        <v>303</v>
      </c>
      <c r="E91" t="s">
        <v>31</v>
      </c>
      <c r="H91" t="s">
        <v>37</v>
      </c>
      <c r="I91" t="s">
        <v>29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375</v>
      </c>
      <c r="AV91" t="s">
        <v>285</v>
      </c>
    </row>
    <row r="92" spans="1:48">
      <c r="A92">
        <v>2313002926</v>
      </c>
      <c r="B92">
        <v>2313002951</v>
      </c>
      <c r="C92" t="s">
        <v>400</v>
      </c>
      <c r="D92" t="s">
        <v>305</v>
      </c>
      <c r="E92" t="s">
        <v>31</v>
      </c>
      <c r="H92" t="s">
        <v>37</v>
      </c>
      <c r="I92" t="s">
        <v>29</v>
      </c>
      <c r="J92">
        <v>100</v>
      </c>
      <c r="K92">
        <v>0</v>
      </c>
      <c r="L92">
        <v>0</v>
      </c>
      <c r="M92">
        <v>0</v>
      </c>
      <c r="N92">
        <v>100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375</v>
      </c>
      <c r="AV92" t="s">
        <v>285</v>
      </c>
    </row>
    <row r="93" spans="1:48">
      <c r="A93">
        <v>2313002926</v>
      </c>
      <c r="B93">
        <v>2313002952</v>
      </c>
      <c r="C93" t="s">
        <v>401</v>
      </c>
      <c r="D93" t="s">
        <v>307</v>
      </c>
      <c r="E93" t="s">
        <v>31</v>
      </c>
      <c r="H93" t="s">
        <v>37</v>
      </c>
      <c r="I93" t="s">
        <v>29</v>
      </c>
      <c r="J93">
        <v>100</v>
      </c>
      <c r="K93">
        <v>0</v>
      </c>
      <c r="L93">
        <v>0</v>
      </c>
      <c r="M93">
        <v>0</v>
      </c>
      <c r="N93">
        <v>100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375</v>
      </c>
      <c r="AV93" t="s">
        <v>285</v>
      </c>
    </row>
    <row r="94" spans="1:48">
      <c r="A94">
        <v>2313002926</v>
      </c>
      <c r="B94">
        <v>2313002953</v>
      </c>
      <c r="C94" t="s">
        <v>402</v>
      </c>
      <c r="D94" t="s">
        <v>309</v>
      </c>
      <c r="E94" t="s">
        <v>31</v>
      </c>
      <c r="H94" t="s">
        <v>37</v>
      </c>
      <c r="I94" t="s">
        <v>29</v>
      </c>
      <c r="J94">
        <v>100</v>
      </c>
      <c r="K94">
        <v>0</v>
      </c>
      <c r="L94">
        <v>0</v>
      </c>
      <c r="M94">
        <v>0</v>
      </c>
      <c r="N94">
        <v>100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375</v>
      </c>
      <c r="AV94" t="s">
        <v>285</v>
      </c>
    </row>
    <row r="95" spans="1:48">
      <c r="A95">
        <v>2313002926</v>
      </c>
      <c r="B95">
        <v>2313002954</v>
      </c>
      <c r="C95" t="s">
        <v>403</v>
      </c>
      <c r="D95" t="s">
        <v>311</v>
      </c>
      <c r="E95" t="s">
        <v>31</v>
      </c>
      <c r="H95" t="s">
        <v>37</v>
      </c>
      <c r="I95" t="s">
        <v>29</v>
      </c>
      <c r="J95">
        <v>100</v>
      </c>
      <c r="K95">
        <v>0</v>
      </c>
      <c r="L95">
        <v>0</v>
      </c>
      <c r="M95">
        <v>0</v>
      </c>
      <c r="N95">
        <v>100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375</v>
      </c>
      <c r="AV95" t="s">
        <v>285</v>
      </c>
    </row>
    <row r="96" spans="1:48">
      <c r="A96">
        <v>2313002926</v>
      </c>
      <c r="B96">
        <v>2313002955</v>
      </c>
      <c r="C96" t="s">
        <v>404</v>
      </c>
      <c r="D96" t="s">
        <v>313</v>
      </c>
      <c r="E96" t="s">
        <v>31</v>
      </c>
      <c r="H96" t="s">
        <v>37</v>
      </c>
      <c r="I96" t="s">
        <v>29</v>
      </c>
      <c r="J96">
        <v>100</v>
      </c>
      <c r="K96">
        <v>0</v>
      </c>
      <c r="L96">
        <v>0</v>
      </c>
      <c r="M96">
        <v>0</v>
      </c>
      <c r="N96">
        <v>100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375</v>
      </c>
      <c r="AV96" t="s">
        <v>285</v>
      </c>
    </row>
    <row r="97" spans="1:48">
      <c r="A97">
        <v>2313002926</v>
      </c>
      <c r="B97">
        <v>2313002956</v>
      </c>
      <c r="C97" t="s">
        <v>405</v>
      </c>
      <c r="D97" t="s">
        <v>315</v>
      </c>
      <c r="E97" t="s">
        <v>31</v>
      </c>
      <c r="H97" t="s">
        <v>37</v>
      </c>
      <c r="I97" t="s">
        <v>29</v>
      </c>
      <c r="J97">
        <v>100</v>
      </c>
      <c r="K97">
        <v>0</v>
      </c>
      <c r="L97">
        <v>0</v>
      </c>
      <c r="M97">
        <v>0</v>
      </c>
      <c r="N97">
        <v>100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375</v>
      </c>
      <c r="AV97" t="s">
        <v>285</v>
      </c>
    </row>
    <row r="98" spans="1:48">
      <c r="A98">
        <v>2313002926</v>
      </c>
      <c r="B98">
        <v>2313002957</v>
      </c>
      <c r="C98" t="s">
        <v>406</v>
      </c>
      <c r="D98" t="s">
        <v>317</v>
      </c>
      <c r="E98" t="s">
        <v>31</v>
      </c>
      <c r="H98" t="s">
        <v>37</v>
      </c>
      <c r="I98" t="s">
        <v>29</v>
      </c>
      <c r="J98">
        <v>100</v>
      </c>
      <c r="K98">
        <v>0</v>
      </c>
      <c r="L98">
        <v>0</v>
      </c>
      <c r="M98">
        <v>0</v>
      </c>
      <c r="N98">
        <v>100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375</v>
      </c>
      <c r="AV98" t="s">
        <v>285</v>
      </c>
    </row>
    <row r="99" spans="1:48">
      <c r="A99">
        <v>2313002926</v>
      </c>
      <c r="B99">
        <v>2313002958</v>
      </c>
      <c r="C99" t="s">
        <v>407</v>
      </c>
      <c r="D99" t="s">
        <v>319</v>
      </c>
      <c r="E99" t="s">
        <v>31</v>
      </c>
      <c r="H99" t="s">
        <v>37</v>
      </c>
      <c r="I99" t="s">
        <v>29</v>
      </c>
      <c r="J99">
        <v>100</v>
      </c>
      <c r="K99">
        <v>0</v>
      </c>
      <c r="L99">
        <v>0</v>
      </c>
      <c r="M99">
        <v>0</v>
      </c>
      <c r="N99">
        <v>200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375</v>
      </c>
      <c r="AV99" t="s">
        <v>285</v>
      </c>
    </row>
    <row r="100" spans="1:48">
      <c r="A100">
        <v>2313002926</v>
      </c>
      <c r="B100">
        <v>2313002959</v>
      </c>
      <c r="C100" t="s">
        <v>408</v>
      </c>
      <c r="D100" t="s">
        <v>409</v>
      </c>
      <c r="E100" t="s">
        <v>31</v>
      </c>
      <c r="H100" t="s">
        <v>37</v>
      </c>
      <c r="I100" t="s">
        <v>29</v>
      </c>
      <c r="J100">
        <v>100</v>
      </c>
      <c r="K100">
        <v>0</v>
      </c>
      <c r="L100">
        <v>0</v>
      </c>
      <c r="M100">
        <v>0</v>
      </c>
      <c r="N100">
        <v>200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375</v>
      </c>
      <c r="AV100" t="s">
        <v>285</v>
      </c>
    </row>
    <row r="101" spans="1:48">
      <c r="A101">
        <v>2313002926</v>
      </c>
      <c r="B101">
        <v>2313002960</v>
      </c>
      <c r="C101" t="s">
        <v>410</v>
      </c>
      <c r="D101" t="s">
        <v>411</v>
      </c>
      <c r="E101" t="s">
        <v>31</v>
      </c>
      <c r="H101" t="s">
        <v>37</v>
      </c>
      <c r="I101" t="s">
        <v>29</v>
      </c>
      <c r="J101">
        <v>100</v>
      </c>
      <c r="K101">
        <v>0</v>
      </c>
      <c r="L101">
        <v>0</v>
      </c>
      <c r="M101">
        <v>0</v>
      </c>
      <c r="N101">
        <v>200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375</v>
      </c>
      <c r="AV101" t="s">
        <v>285</v>
      </c>
    </row>
    <row r="102" spans="1:48">
      <c r="A102">
        <v>2313002926</v>
      </c>
      <c r="B102">
        <v>2313002961</v>
      </c>
      <c r="C102" t="s">
        <v>412</v>
      </c>
      <c r="D102" t="s">
        <v>413</v>
      </c>
      <c r="E102" t="s">
        <v>31</v>
      </c>
      <c r="H102" t="s">
        <v>37</v>
      </c>
      <c r="I102" t="s">
        <v>29</v>
      </c>
      <c r="J102">
        <v>100</v>
      </c>
      <c r="K102">
        <v>0</v>
      </c>
      <c r="L102">
        <v>0</v>
      </c>
      <c r="M102">
        <v>0</v>
      </c>
      <c r="N102">
        <v>100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375</v>
      </c>
      <c r="AV102" t="s">
        <v>285</v>
      </c>
    </row>
    <row r="103" spans="1:48">
      <c r="A103">
        <v>2313002926</v>
      </c>
      <c r="B103">
        <v>2313002962</v>
      </c>
      <c r="C103" t="s">
        <v>414</v>
      </c>
      <c r="D103" t="s">
        <v>415</v>
      </c>
      <c r="E103" t="s">
        <v>31</v>
      </c>
      <c r="H103" t="s">
        <v>37</v>
      </c>
      <c r="I103" t="s">
        <v>29</v>
      </c>
      <c r="J103">
        <v>100</v>
      </c>
      <c r="K103">
        <v>0</v>
      </c>
      <c r="L103">
        <v>0</v>
      </c>
      <c r="M103">
        <v>0</v>
      </c>
      <c r="N103">
        <v>100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375</v>
      </c>
      <c r="AV103" t="s">
        <v>285</v>
      </c>
    </row>
    <row r="104" spans="1:48">
      <c r="A104">
        <v>2313002926</v>
      </c>
      <c r="B104">
        <v>2313002963</v>
      </c>
      <c r="C104" t="s">
        <v>416</v>
      </c>
      <c r="D104" t="s">
        <v>417</v>
      </c>
      <c r="E104" t="s">
        <v>31</v>
      </c>
      <c r="H104" t="s">
        <v>37</v>
      </c>
      <c r="I104" t="s">
        <v>29</v>
      </c>
      <c r="J104">
        <v>100</v>
      </c>
      <c r="K104">
        <v>0</v>
      </c>
      <c r="L104">
        <v>0</v>
      </c>
      <c r="M104">
        <v>0</v>
      </c>
      <c r="N104">
        <v>100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375</v>
      </c>
      <c r="AV104" t="s">
        <v>285</v>
      </c>
    </row>
    <row r="105" spans="1:48">
      <c r="A105">
        <v>2313002926</v>
      </c>
      <c r="B105">
        <v>2313002964</v>
      </c>
      <c r="C105" t="s">
        <v>418</v>
      </c>
      <c r="D105" t="s">
        <v>419</v>
      </c>
      <c r="E105" t="s">
        <v>31</v>
      </c>
      <c r="H105" t="s">
        <v>37</v>
      </c>
      <c r="I105" t="s">
        <v>29</v>
      </c>
      <c r="J105">
        <v>100</v>
      </c>
      <c r="K105">
        <v>0</v>
      </c>
      <c r="L105">
        <v>0</v>
      </c>
      <c r="M105">
        <v>0</v>
      </c>
      <c r="N105">
        <v>100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375</v>
      </c>
      <c r="AV105" t="s">
        <v>285</v>
      </c>
    </row>
    <row r="106" spans="1:48">
      <c r="A106">
        <v>2313002926</v>
      </c>
      <c r="B106">
        <v>2313002965</v>
      </c>
      <c r="C106" t="s">
        <v>420</v>
      </c>
      <c r="D106" t="s">
        <v>421</v>
      </c>
      <c r="E106" t="s">
        <v>31</v>
      </c>
      <c r="H106" t="s">
        <v>37</v>
      </c>
      <c r="I106" t="s">
        <v>29</v>
      </c>
      <c r="J106">
        <v>100</v>
      </c>
      <c r="K106">
        <v>0</v>
      </c>
      <c r="L106">
        <v>0</v>
      </c>
      <c r="M106">
        <v>0</v>
      </c>
      <c r="N106">
        <v>100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375</v>
      </c>
      <c r="AV106" t="s">
        <v>285</v>
      </c>
    </row>
    <row r="107" spans="1:48">
      <c r="A107">
        <v>2313002926</v>
      </c>
      <c r="B107">
        <v>2313002966</v>
      </c>
      <c r="C107" t="s">
        <v>422</v>
      </c>
      <c r="D107" t="s">
        <v>423</v>
      </c>
      <c r="E107" t="s">
        <v>31</v>
      </c>
      <c r="H107" t="s">
        <v>37</v>
      </c>
      <c r="I107" t="s">
        <v>29</v>
      </c>
      <c r="J107">
        <v>100</v>
      </c>
      <c r="K107">
        <v>0</v>
      </c>
      <c r="L107">
        <v>0</v>
      </c>
      <c r="M107">
        <v>0</v>
      </c>
      <c r="N107">
        <v>100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375</v>
      </c>
      <c r="AV107" t="s">
        <v>285</v>
      </c>
    </row>
    <row r="108" spans="1:48">
      <c r="A108">
        <v>2313002926</v>
      </c>
      <c r="B108">
        <v>2313002967</v>
      </c>
      <c r="C108" t="s">
        <v>424</v>
      </c>
      <c r="D108" t="s">
        <v>425</v>
      </c>
      <c r="E108" t="s">
        <v>31</v>
      </c>
      <c r="H108" t="s">
        <v>37</v>
      </c>
      <c r="I108" t="s">
        <v>29</v>
      </c>
      <c r="J108">
        <v>100</v>
      </c>
      <c r="K108">
        <v>0</v>
      </c>
      <c r="L108">
        <v>0</v>
      </c>
      <c r="M108">
        <v>0</v>
      </c>
      <c r="N108">
        <v>100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375</v>
      </c>
      <c r="AV108" t="s">
        <v>285</v>
      </c>
    </row>
    <row r="109" spans="1:48">
      <c r="A109">
        <v>2313002926</v>
      </c>
      <c r="B109">
        <v>2313002968</v>
      </c>
      <c r="C109" t="s">
        <v>426</v>
      </c>
      <c r="D109" t="s">
        <v>427</v>
      </c>
      <c r="E109" t="s">
        <v>31</v>
      </c>
      <c r="H109" t="s">
        <v>37</v>
      </c>
      <c r="I109" t="s">
        <v>29</v>
      </c>
      <c r="J109">
        <v>100</v>
      </c>
      <c r="K109">
        <v>0</v>
      </c>
      <c r="L109">
        <v>0</v>
      </c>
      <c r="M109">
        <v>0</v>
      </c>
      <c r="N109">
        <v>100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375</v>
      </c>
      <c r="AV109" t="s">
        <v>285</v>
      </c>
    </row>
    <row r="110" spans="1:48">
      <c r="A110">
        <v>2313002926</v>
      </c>
      <c r="B110">
        <v>2313002969</v>
      </c>
      <c r="C110" t="s">
        <v>428</v>
      </c>
      <c r="D110" t="s">
        <v>429</v>
      </c>
      <c r="E110" t="s">
        <v>31</v>
      </c>
      <c r="H110" t="s">
        <v>37</v>
      </c>
      <c r="I110" t="s">
        <v>29</v>
      </c>
      <c r="J110">
        <v>100</v>
      </c>
      <c r="K110">
        <v>0</v>
      </c>
      <c r="L110">
        <v>0</v>
      </c>
      <c r="M110">
        <v>0</v>
      </c>
      <c r="N110">
        <v>100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375</v>
      </c>
      <c r="AV110" t="s">
        <v>285</v>
      </c>
    </row>
    <row r="111" spans="1:48">
      <c r="A111">
        <v>2313002926</v>
      </c>
      <c r="B111">
        <v>2313002970</v>
      </c>
      <c r="C111" t="s">
        <v>430</v>
      </c>
      <c r="D111" t="s">
        <v>431</v>
      </c>
      <c r="E111" t="s">
        <v>31</v>
      </c>
      <c r="H111" t="s">
        <v>37</v>
      </c>
      <c r="I111" t="s">
        <v>29</v>
      </c>
      <c r="J111">
        <v>100</v>
      </c>
      <c r="K111">
        <v>0</v>
      </c>
      <c r="L111">
        <v>0</v>
      </c>
      <c r="M111">
        <v>0</v>
      </c>
      <c r="N111">
        <v>100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375</v>
      </c>
      <c r="AV111" t="s">
        <v>285</v>
      </c>
    </row>
    <row r="112" spans="1:48">
      <c r="A112">
        <v>2313002926</v>
      </c>
      <c r="B112">
        <v>2313002971</v>
      </c>
      <c r="C112" t="s">
        <v>432</v>
      </c>
      <c r="D112" t="s">
        <v>433</v>
      </c>
      <c r="E112" t="s">
        <v>31</v>
      </c>
      <c r="H112" t="s">
        <v>37</v>
      </c>
      <c r="I112" t="s">
        <v>29</v>
      </c>
      <c r="J112">
        <v>100</v>
      </c>
      <c r="K112">
        <v>0</v>
      </c>
      <c r="L112">
        <v>0</v>
      </c>
      <c r="M112">
        <v>0</v>
      </c>
      <c r="N112">
        <v>100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375</v>
      </c>
      <c r="AV112" t="s">
        <v>285</v>
      </c>
    </row>
    <row r="113" spans="1:48">
      <c r="A113">
        <v>2313002926</v>
      </c>
      <c r="B113">
        <v>2313002972</v>
      </c>
      <c r="C113" t="s">
        <v>434</v>
      </c>
      <c r="D113" t="s">
        <v>435</v>
      </c>
      <c r="E113" t="s">
        <v>31</v>
      </c>
      <c r="H113" t="s">
        <v>37</v>
      </c>
      <c r="I113" t="s">
        <v>29</v>
      </c>
      <c r="J113">
        <v>100</v>
      </c>
      <c r="K113">
        <v>0</v>
      </c>
      <c r="L113">
        <v>0</v>
      </c>
      <c r="M113">
        <v>0</v>
      </c>
      <c r="N113">
        <v>100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375</v>
      </c>
      <c r="AV113" t="s">
        <v>285</v>
      </c>
    </row>
    <row r="114" spans="1:48">
      <c r="A114">
        <v>2313002926</v>
      </c>
      <c r="B114">
        <v>2313002973</v>
      </c>
      <c r="C114" t="s">
        <v>436</v>
      </c>
      <c r="D114" t="s">
        <v>437</v>
      </c>
      <c r="E114" t="s">
        <v>31</v>
      </c>
      <c r="H114" t="s">
        <v>37</v>
      </c>
      <c r="I114" t="s">
        <v>29</v>
      </c>
      <c r="J114">
        <v>100</v>
      </c>
      <c r="K114">
        <v>0</v>
      </c>
      <c r="L114">
        <v>0</v>
      </c>
      <c r="M114">
        <v>0</v>
      </c>
      <c r="N114">
        <v>100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375</v>
      </c>
      <c r="AV114" t="s">
        <v>285</v>
      </c>
    </row>
    <row r="115" spans="1:48">
      <c r="A115">
        <v>2313002926</v>
      </c>
      <c r="B115">
        <v>2313002974</v>
      </c>
      <c r="C115" t="s">
        <v>438</v>
      </c>
      <c r="D115" t="s">
        <v>73</v>
      </c>
      <c r="E115" t="s">
        <v>31</v>
      </c>
      <c r="H115" t="s">
        <v>37</v>
      </c>
      <c r="I115" t="s">
        <v>29</v>
      </c>
      <c r="J115">
        <v>100</v>
      </c>
      <c r="K115">
        <v>0</v>
      </c>
      <c r="L115">
        <v>0</v>
      </c>
      <c r="M115">
        <v>0</v>
      </c>
      <c r="N115">
        <v>100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375</v>
      </c>
      <c r="AV115" t="s">
        <v>285</v>
      </c>
    </row>
    <row r="116" spans="1:48">
      <c r="A116">
        <v>2313002926</v>
      </c>
      <c r="B116">
        <v>2313002975</v>
      </c>
      <c r="C116" t="s">
        <v>439</v>
      </c>
      <c r="D116" t="s">
        <v>440</v>
      </c>
      <c r="E116" t="s">
        <v>31</v>
      </c>
      <c r="H116" t="s">
        <v>37</v>
      </c>
      <c r="I116" t="s">
        <v>29</v>
      </c>
      <c r="J116">
        <v>100</v>
      </c>
      <c r="K116">
        <v>0</v>
      </c>
      <c r="L116">
        <v>0</v>
      </c>
      <c r="M116">
        <v>0</v>
      </c>
      <c r="N116">
        <v>100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375</v>
      </c>
      <c r="AV116" t="s">
        <v>285</v>
      </c>
    </row>
    <row r="117" spans="1:48">
      <c r="A117">
        <v>2313002926</v>
      </c>
      <c r="B117">
        <v>2313002976</v>
      </c>
      <c r="C117" t="s">
        <v>441</v>
      </c>
      <c r="D117" t="s">
        <v>442</v>
      </c>
      <c r="E117" t="s">
        <v>31</v>
      </c>
      <c r="H117" t="s">
        <v>37</v>
      </c>
      <c r="I117" t="s">
        <v>29</v>
      </c>
      <c r="J117">
        <v>100</v>
      </c>
      <c r="K117">
        <v>0</v>
      </c>
      <c r="L117">
        <v>0</v>
      </c>
      <c r="M117">
        <v>0</v>
      </c>
      <c r="N117">
        <v>100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375</v>
      </c>
      <c r="AV117" t="s">
        <v>285</v>
      </c>
    </row>
    <row r="118" spans="1:48">
      <c r="A118">
        <v>2313002926</v>
      </c>
      <c r="B118">
        <v>2313002977</v>
      </c>
      <c r="C118" t="s">
        <v>443</v>
      </c>
      <c r="D118" t="s">
        <v>444</v>
      </c>
      <c r="E118" t="s">
        <v>31</v>
      </c>
      <c r="H118" t="s">
        <v>37</v>
      </c>
      <c r="I118" t="s">
        <v>29</v>
      </c>
      <c r="J118">
        <v>100</v>
      </c>
      <c r="K118">
        <v>0</v>
      </c>
      <c r="L118">
        <v>0</v>
      </c>
      <c r="M118">
        <v>0</v>
      </c>
      <c r="N118">
        <v>100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375</v>
      </c>
      <c r="AV118" t="s">
        <v>285</v>
      </c>
    </row>
    <row r="119" spans="1:48">
      <c r="A119">
        <v>2313002926</v>
      </c>
      <c r="B119">
        <v>2313002978</v>
      </c>
      <c r="C119" t="s">
        <v>445</v>
      </c>
      <c r="D119" t="s">
        <v>446</v>
      </c>
      <c r="E119" t="s">
        <v>31</v>
      </c>
      <c r="H119" t="s">
        <v>37</v>
      </c>
      <c r="I119" t="s">
        <v>29</v>
      </c>
      <c r="J119">
        <v>100</v>
      </c>
      <c r="K119">
        <v>0</v>
      </c>
      <c r="L119">
        <v>0</v>
      </c>
      <c r="M119">
        <v>0</v>
      </c>
      <c r="N119">
        <v>100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375</v>
      </c>
      <c r="AV119" t="s">
        <v>285</v>
      </c>
    </row>
    <row r="120" spans="1:48">
      <c r="A120">
        <v>2313002926</v>
      </c>
      <c r="B120">
        <v>2313002979</v>
      </c>
      <c r="C120" t="s">
        <v>447</v>
      </c>
      <c r="D120" t="s">
        <v>448</v>
      </c>
      <c r="E120" t="s">
        <v>31</v>
      </c>
      <c r="H120" t="s">
        <v>37</v>
      </c>
      <c r="I120" t="s">
        <v>29</v>
      </c>
      <c r="J120">
        <v>100</v>
      </c>
      <c r="K120">
        <v>0</v>
      </c>
      <c r="L120">
        <v>0</v>
      </c>
      <c r="M120">
        <v>0</v>
      </c>
      <c r="N120">
        <v>100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375</v>
      </c>
      <c r="AV120" t="s">
        <v>285</v>
      </c>
    </row>
    <row r="121" spans="1:48">
      <c r="A121">
        <v>2313002926</v>
      </c>
      <c r="B121">
        <v>2313002980</v>
      </c>
      <c r="C121" t="s">
        <v>449</v>
      </c>
      <c r="D121" t="s">
        <v>450</v>
      </c>
      <c r="E121" t="s">
        <v>31</v>
      </c>
      <c r="H121" t="s">
        <v>37</v>
      </c>
      <c r="I121" t="s">
        <v>29</v>
      </c>
      <c r="J121">
        <v>100</v>
      </c>
      <c r="K121">
        <v>0</v>
      </c>
      <c r="L121">
        <v>0</v>
      </c>
      <c r="M121">
        <v>0</v>
      </c>
      <c r="N121">
        <v>100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375</v>
      </c>
      <c r="AV121" t="s">
        <v>285</v>
      </c>
    </row>
    <row r="122" spans="1:48">
      <c r="A122">
        <v>2313002926</v>
      </c>
      <c r="B122">
        <v>2313002981</v>
      </c>
      <c r="C122" t="s">
        <v>451</v>
      </c>
      <c r="D122" t="s">
        <v>452</v>
      </c>
      <c r="E122" t="s">
        <v>31</v>
      </c>
      <c r="H122" t="s">
        <v>37</v>
      </c>
      <c r="I122" t="s">
        <v>29</v>
      </c>
      <c r="J122">
        <v>100</v>
      </c>
      <c r="K122">
        <v>0</v>
      </c>
      <c r="L122">
        <v>0</v>
      </c>
      <c r="M122">
        <v>0</v>
      </c>
      <c r="N122">
        <v>100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375</v>
      </c>
      <c r="AV122" t="s">
        <v>285</v>
      </c>
    </row>
    <row r="123" spans="1:48">
      <c r="A123">
        <v>2313002926</v>
      </c>
      <c r="B123">
        <v>2313002982</v>
      </c>
      <c r="C123" t="s">
        <v>453</v>
      </c>
      <c r="D123" t="s">
        <v>454</v>
      </c>
      <c r="E123" t="s">
        <v>31</v>
      </c>
      <c r="H123" t="s">
        <v>37</v>
      </c>
      <c r="I123" t="s">
        <v>29</v>
      </c>
      <c r="J123">
        <v>100</v>
      </c>
      <c r="K123">
        <v>0</v>
      </c>
      <c r="L123">
        <v>0</v>
      </c>
      <c r="M123">
        <v>0</v>
      </c>
      <c r="N123">
        <v>100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375</v>
      </c>
      <c r="AV123" t="s">
        <v>285</v>
      </c>
    </row>
    <row r="124" spans="1:48">
      <c r="A124">
        <v>2313002926</v>
      </c>
      <c r="B124">
        <v>2313002983</v>
      </c>
      <c r="C124" t="s">
        <v>455</v>
      </c>
      <c r="D124" t="s">
        <v>456</v>
      </c>
      <c r="E124" t="s">
        <v>31</v>
      </c>
      <c r="H124" t="s">
        <v>37</v>
      </c>
      <c r="I124" t="s">
        <v>29</v>
      </c>
      <c r="J124">
        <v>100</v>
      </c>
      <c r="K124">
        <v>0</v>
      </c>
      <c r="L124">
        <v>0</v>
      </c>
      <c r="M124">
        <v>0</v>
      </c>
      <c r="N124">
        <v>100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375</v>
      </c>
      <c r="AV124" t="s">
        <v>285</v>
      </c>
    </row>
    <row r="125" spans="1:48">
      <c r="A125">
        <v>2313002926</v>
      </c>
      <c r="B125">
        <v>2313002984</v>
      </c>
      <c r="C125" t="s">
        <v>457</v>
      </c>
      <c r="D125" t="s">
        <v>458</v>
      </c>
      <c r="E125" t="s">
        <v>31</v>
      </c>
      <c r="H125" t="s">
        <v>37</v>
      </c>
      <c r="I125" t="s">
        <v>29</v>
      </c>
      <c r="J125">
        <v>100</v>
      </c>
      <c r="K125">
        <v>0</v>
      </c>
      <c r="L125">
        <v>0</v>
      </c>
      <c r="M125">
        <v>0</v>
      </c>
      <c r="N125">
        <v>100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375</v>
      </c>
      <c r="AV125" t="s">
        <v>285</v>
      </c>
    </row>
    <row r="126" spans="1:48">
      <c r="A126">
        <v>2313002926</v>
      </c>
      <c r="B126">
        <v>2313002985</v>
      </c>
      <c r="C126" t="s">
        <v>459</v>
      </c>
      <c r="D126" t="s">
        <v>460</v>
      </c>
      <c r="E126" t="s">
        <v>31</v>
      </c>
      <c r="H126" t="s">
        <v>37</v>
      </c>
      <c r="I126" t="s">
        <v>29</v>
      </c>
      <c r="J126">
        <v>100</v>
      </c>
      <c r="K126">
        <v>0</v>
      </c>
      <c r="L126">
        <v>0</v>
      </c>
      <c r="M126">
        <v>0</v>
      </c>
      <c r="N126">
        <v>100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375</v>
      </c>
      <c r="AV126" t="s">
        <v>285</v>
      </c>
    </row>
    <row r="127" spans="1:48">
      <c r="A127">
        <v>2313002926</v>
      </c>
      <c r="B127">
        <v>2313002986</v>
      </c>
      <c r="C127" t="s">
        <v>461</v>
      </c>
      <c r="D127" t="s">
        <v>462</v>
      </c>
      <c r="E127" t="s">
        <v>31</v>
      </c>
      <c r="H127" t="s">
        <v>37</v>
      </c>
      <c r="I127" t="s">
        <v>29</v>
      </c>
      <c r="J127">
        <v>100</v>
      </c>
      <c r="K127">
        <v>0</v>
      </c>
      <c r="L127">
        <v>0</v>
      </c>
      <c r="M127">
        <v>0</v>
      </c>
      <c r="N127">
        <v>100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375</v>
      </c>
      <c r="AV127" t="s">
        <v>285</v>
      </c>
    </row>
    <row r="128" spans="1:48">
      <c r="A128">
        <v>2313002926</v>
      </c>
      <c r="B128">
        <v>2313003085</v>
      </c>
      <c r="C128" t="s">
        <v>463</v>
      </c>
      <c r="D128" t="s">
        <v>321</v>
      </c>
      <c r="E128" t="s">
        <v>31</v>
      </c>
      <c r="H128" t="s">
        <v>37</v>
      </c>
      <c r="I128" t="s">
        <v>29</v>
      </c>
      <c r="J128">
        <v>100</v>
      </c>
      <c r="K128">
        <v>0</v>
      </c>
      <c r="L128">
        <v>0</v>
      </c>
      <c r="M128">
        <v>0</v>
      </c>
      <c r="N128">
        <v>100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375</v>
      </c>
      <c r="AV128" t="s">
        <v>285</v>
      </c>
    </row>
    <row r="129" spans="1:48">
      <c r="A129">
        <v>2313005704</v>
      </c>
      <c r="B129">
        <v>2313005704</v>
      </c>
      <c r="C129" t="s">
        <v>464</v>
      </c>
      <c r="D129" t="s">
        <v>42</v>
      </c>
      <c r="E129" t="s">
        <v>31</v>
      </c>
      <c r="H129" t="s">
        <v>37</v>
      </c>
      <c r="I129" t="s">
        <v>241</v>
      </c>
      <c r="J129">
        <v>0</v>
      </c>
      <c r="K129">
        <v>0</v>
      </c>
      <c r="L129">
        <v>0</v>
      </c>
      <c r="M129">
        <v>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T129" t="s">
        <v>465</v>
      </c>
      <c r="AV129" t="s">
        <v>243</v>
      </c>
    </row>
    <row r="130" spans="1:48">
      <c r="A130">
        <v>2313008438</v>
      </c>
      <c r="B130">
        <v>2313008438</v>
      </c>
      <c r="C130" t="s">
        <v>466</v>
      </c>
      <c r="D130" t="s">
        <v>42</v>
      </c>
      <c r="E130" t="s">
        <v>31</v>
      </c>
      <c r="H130" t="s">
        <v>37</v>
      </c>
      <c r="I130" t="s">
        <v>175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T130" t="s">
        <v>324</v>
      </c>
      <c r="AV130" t="s">
        <v>325</v>
      </c>
    </row>
    <row r="131" spans="1:48">
      <c r="A131">
        <v>2313008438</v>
      </c>
      <c r="B131">
        <v>2313008439</v>
      </c>
      <c r="C131" t="s">
        <v>467</v>
      </c>
      <c r="D131" t="s">
        <v>46</v>
      </c>
      <c r="E131" t="s">
        <v>31</v>
      </c>
      <c r="H131" t="s">
        <v>37</v>
      </c>
      <c r="I131" t="s">
        <v>175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T131" t="s">
        <v>324</v>
      </c>
      <c r="AV131" t="s">
        <v>325</v>
      </c>
    </row>
    <row r="132" spans="1:48">
      <c r="A132">
        <v>2313009409</v>
      </c>
      <c r="B132">
        <v>2313009409</v>
      </c>
      <c r="C132" t="s">
        <v>468</v>
      </c>
      <c r="D132" t="s">
        <v>42</v>
      </c>
      <c r="E132" t="s">
        <v>31</v>
      </c>
      <c r="H132" t="s">
        <v>37</v>
      </c>
      <c r="I132" t="s">
        <v>263</v>
      </c>
      <c r="J132">
        <v>0</v>
      </c>
      <c r="K132">
        <v>0</v>
      </c>
      <c r="L132">
        <v>0</v>
      </c>
      <c r="M132">
        <v>16</v>
      </c>
      <c r="N132">
        <v>0</v>
      </c>
      <c r="O132">
        <v>0</v>
      </c>
      <c r="P132">
        <v>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 t="s">
        <v>264</v>
      </c>
      <c r="AT132" t="s">
        <v>469</v>
      </c>
      <c r="AV132" t="s">
        <v>266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B1" workbookViewId="0">
      <selection activeCell="O5" sqref="O5"/>
    </sheetView>
  </sheetViews>
  <sheetFormatPr defaultRowHeight="17.399999999999999"/>
  <cols>
    <col min="1" max="1" width="4.09765625" bestFit="1" customWidth="1"/>
    <col min="2" max="2" width="6.5" bestFit="1" customWidth="1"/>
    <col min="4" max="4" width="6.5" bestFit="1" customWidth="1"/>
    <col min="5" max="5" width="4.69921875" bestFit="1" customWidth="1"/>
    <col min="6" max="6" width="5.3984375" bestFit="1" customWidth="1"/>
    <col min="7" max="7" width="4.69921875" bestFit="1" customWidth="1"/>
    <col min="8" max="8" width="5.3984375" bestFit="1" customWidth="1"/>
    <col min="9" max="9" width="4.69921875" bestFit="1" customWidth="1"/>
    <col min="10" max="10" width="5.3984375" bestFit="1" customWidth="1"/>
    <col min="11" max="11" width="4.69921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>
      <c r="A1" s="29" t="s">
        <v>470</v>
      </c>
      <c r="B1" s="30" t="s">
        <v>471</v>
      </c>
      <c r="C1" s="29" t="s">
        <v>472</v>
      </c>
      <c r="D1" s="29" t="s">
        <v>473</v>
      </c>
      <c r="E1" s="31" t="s">
        <v>474</v>
      </c>
      <c r="F1" s="31" t="s">
        <v>475</v>
      </c>
      <c r="G1" s="31" t="s">
        <v>474</v>
      </c>
      <c r="H1" s="31" t="s">
        <v>475</v>
      </c>
      <c r="I1" s="31" t="s">
        <v>474</v>
      </c>
      <c r="J1" s="31" t="s">
        <v>475</v>
      </c>
      <c r="K1" s="31" t="s">
        <v>476</v>
      </c>
      <c r="L1" s="31" t="s">
        <v>477</v>
      </c>
      <c r="M1" s="32" t="s">
        <v>478</v>
      </c>
      <c r="N1" s="29" t="s">
        <v>479</v>
      </c>
      <c r="O1" s="30" t="s">
        <v>232</v>
      </c>
    </row>
    <row r="2" spans="1:15" ht="31.2">
      <c r="A2" s="33">
        <v>46</v>
      </c>
      <c r="B2" s="34" t="s">
        <v>31</v>
      </c>
      <c r="C2" s="34" t="s">
        <v>29</v>
      </c>
      <c r="D2" s="35" t="s">
        <v>480</v>
      </c>
      <c r="E2" s="36">
        <v>0</v>
      </c>
      <c r="F2" s="36">
        <v>0</v>
      </c>
      <c r="G2" s="36">
        <v>0</v>
      </c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7"/>
      <c r="O2" s="36">
        <v>0</v>
      </c>
    </row>
    <row r="3" spans="1:15" ht="31.2">
      <c r="A3" s="33">
        <v>46</v>
      </c>
      <c r="B3" s="34" t="s">
        <v>31</v>
      </c>
      <c r="C3" s="34" t="s">
        <v>29</v>
      </c>
      <c r="D3" s="35" t="s">
        <v>481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7"/>
      <c r="O3" s="36">
        <v>0</v>
      </c>
    </row>
    <row r="4" spans="1:15" ht="31.2">
      <c r="A4" s="33">
        <v>46</v>
      </c>
      <c r="B4" s="34" t="s">
        <v>31</v>
      </c>
      <c r="C4" s="34" t="s">
        <v>29</v>
      </c>
      <c r="D4" s="35" t="s">
        <v>482</v>
      </c>
      <c r="E4" s="36">
        <v>32</v>
      </c>
      <c r="F4" s="38">
        <v>3200</v>
      </c>
      <c r="G4" s="36">
        <v>32</v>
      </c>
      <c r="H4" s="38">
        <v>3200</v>
      </c>
      <c r="I4" s="36">
        <v>32</v>
      </c>
      <c r="J4" s="38">
        <v>3200</v>
      </c>
      <c r="K4" s="36">
        <v>0</v>
      </c>
      <c r="L4" s="36">
        <v>0</v>
      </c>
      <c r="M4" s="38">
        <v>3200</v>
      </c>
      <c r="N4" s="37"/>
      <c r="O4" s="38">
        <v>2240</v>
      </c>
    </row>
    <row r="5" spans="1:15">
      <c r="O5">
        <f>SUM(O2:O4)</f>
        <v>2240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3" width="5.69921875" bestFit="1" customWidth="1"/>
    <col min="4" max="4" width="6.19921875" bestFit="1" customWidth="1"/>
    <col min="5" max="5" width="7.3984375" bestFit="1" customWidth="1"/>
    <col min="6" max="6" width="19.8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>
      <c r="A1" s="39" t="s">
        <v>484</v>
      </c>
      <c r="B1" s="39" t="s">
        <v>485</v>
      </c>
      <c r="C1" s="39" t="s">
        <v>471</v>
      </c>
      <c r="D1" s="39" t="s">
        <v>486</v>
      </c>
      <c r="E1" s="39" t="s">
        <v>487</v>
      </c>
      <c r="F1" s="39" t="s">
        <v>488</v>
      </c>
      <c r="G1" s="40" t="s">
        <v>489</v>
      </c>
      <c r="H1" s="40" t="s">
        <v>490</v>
      </c>
      <c r="I1" s="40" t="s">
        <v>23</v>
      </c>
      <c r="J1" s="40" t="s">
        <v>491</v>
      </c>
      <c r="K1" s="40" t="s">
        <v>492</v>
      </c>
      <c r="L1" s="40" t="s">
        <v>493</v>
      </c>
      <c r="M1" s="40" t="s">
        <v>494</v>
      </c>
    </row>
    <row r="2" spans="1:13">
      <c r="A2" s="41">
        <v>2022.03</v>
      </c>
      <c r="B2" s="41" t="s">
        <v>495</v>
      </c>
      <c r="C2" s="41" t="s">
        <v>496</v>
      </c>
      <c r="D2" s="41" t="s">
        <v>497</v>
      </c>
      <c r="E2" s="41">
        <v>246133</v>
      </c>
      <c r="F2" s="42" t="s">
        <v>498</v>
      </c>
      <c r="G2" s="43">
        <v>16</v>
      </c>
      <c r="H2" s="43">
        <v>0</v>
      </c>
      <c r="I2" s="43">
        <v>0</v>
      </c>
      <c r="J2" s="43">
        <v>0</v>
      </c>
      <c r="K2" s="44">
        <v>51200</v>
      </c>
      <c r="L2" s="44">
        <v>0</v>
      </c>
      <c r="M2" s="43">
        <v>32256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topLeftCell="P1" workbookViewId="0">
      <selection activeCell="AJ4" sqref="AJ4"/>
    </sheetView>
  </sheetViews>
  <sheetFormatPr defaultColWidth="9" defaultRowHeight="17.399999999999999"/>
  <cols>
    <col min="1" max="1" width="8" style="52" bestFit="1" customWidth="1"/>
    <col min="2" max="2" width="7.09765625" style="52" bestFit="1" customWidth="1"/>
    <col min="3" max="3" width="7" style="52" bestFit="1" customWidth="1"/>
    <col min="4" max="6" width="8.09765625" style="52" bestFit="1" customWidth="1"/>
    <col min="7" max="18" width="8.19921875" style="52" bestFit="1" customWidth="1"/>
    <col min="19" max="30" width="8.69921875" style="52" bestFit="1" customWidth="1"/>
    <col min="31" max="31" width="7.19921875" style="52" bestFit="1" customWidth="1"/>
    <col min="32" max="32" width="7.5" style="52" bestFit="1" customWidth="1"/>
    <col min="33" max="34" width="7.59765625" style="52" bestFit="1" customWidth="1"/>
    <col min="35" max="35" width="8.3984375" style="52" bestFit="1" customWidth="1"/>
    <col min="36" max="36" width="10.19921875" style="52" bestFit="1" customWidth="1"/>
    <col min="37" max="16384" width="9" style="52"/>
  </cols>
  <sheetData>
    <row r="1" spans="1:36" ht="63" thickBot="1">
      <c r="A1" s="45" t="s">
        <v>499</v>
      </c>
      <c r="B1" s="45" t="s">
        <v>151</v>
      </c>
      <c r="C1" s="45" t="s">
        <v>500</v>
      </c>
      <c r="D1" s="46" t="s">
        <v>501</v>
      </c>
      <c r="E1" s="46" t="s">
        <v>502</v>
      </c>
      <c r="F1" s="46" t="s">
        <v>503</v>
      </c>
      <c r="G1" s="47" t="s">
        <v>504</v>
      </c>
      <c r="H1" s="47" t="s">
        <v>505</v>
      </c>
      <c r="I1" s="47" t="s">
        <v>506</v>
      </c>
      <c r="J1" s="47" t="s">
        <v>507</v>
      </c>
      <c r="K1" s="47" t="s">
        <v>508</v>
      </c>
      <c r="L1" s="47" t="s">
        <v>509</v>
      </c>
      <c r="M1" s="47" t="s">
        <v>510</v>
      </c>
      <c r="N1" s="47" t="s">
        <v>511</v>
      </c>
      <c r="O1" s="47" t="s">
        <v>512</v>
      </c>
      <c r="P1" s="47" t="s">
        <v>513</v>
      </c>
      <c r="Q1" s="47" t="s">
        <v>514</v>
      </c>
      <c r="R1" s="47" t="s">
        <v>515</v>
      </c>
      <c r="S1" s="48" t="s">
        <v>516</v>
      </c>
      <c r="T1" s="48" t="s">
        <v>517</v>
      </c>
      <c r="U1" s="48" t="s">
        <v>518</v>
      </c>
      <c r="V1" s="48" t="s">
        <v>519</v>
      </c>
      <c r="W1" s="48" t="s">
        <v>520</v>
      </c>
      <c r="X1" s="48" t="s">
        <v>521</v>
      </c>
      <c r="Y1" s="48" t="s">
        <v>522</v>
      </c>
      <c r="Z1" s="48" t="s">
        <v>523</v>
      </c>
      <c r="AA1" s="48" t="s">
        <v>524</v>
      </c>
      <c r="AB1" s="48" t="s">
        <v>525</v>
      </c>
      <c r="AC1" s="48" t="s">
        <v>526</v>
      </c>
      <c r="AD1" s="48" t="s">
        <v>527</v>
      </c>
      <c r="AE1" s="49" t="s">
        <v>528</v>
      </c>
      <c r="AF1" s="49" t="s">
        <v>529</v>
      </c>
      <c r="AG1" s="49" t="s">
        <v>530</v>
      </c>
      <c r="AH1" s="49" t="s">
        <v>531</v>
      </c>
      <c r="AI1" s="50" t="s">
        <v>532</v>
      </c>
      <c r="AJ1" s="51" t="s">
        <v>533</v>
      </c>
    </row>
    <row r="2" spans="1:36" ht="18.600000000000001" thickBot="1">
      <c r="A2" s="53" t="s">
        <v>29</v>
      </c>
      <c r="B2" s="53" t="s">
        <v>31</v>
      </c>
      <c r="C2" s="53" t="s">
        <v>534</v>
      </c>
      <c r="D2" s="54">
        <v>0</v>
      </c>
      <c r="E2" s="54">
        <v>0</v>
      </c>
      <c r="F2" s="54">
        <v>0</v>
      </c>
      <c r="G2" s="54">
        <v>94</v>
      </c>
      <c r="H2" s="54">
        <v>94</v>
      </c>
      <c r="I2" s="55">
        <v>84600</v>
      </c>
      <c r="J2" s="54">
        <v>4</v>
      </c>
      <c r="K2" s="54">
        <v>4</v>
      </c>
      <c r="L2" s="55">
        <v>12800</v>
      </c>
      <c r="M2" s="54">
        <v>25</v>
      </c>
      <c r="N2" s="54">
        <v>225</v>
      </c>
      <c r="O2" s="55">
        <v>141750</v>
      </c>
      <c r="P2" s="54">
        <v>0</v>
      </c>
      <c r="Q2" s="54">
        <v>0</v>
      </c>
      <c r="R2" s="54">
        <v>0</v>
      </c>
      <c r="S2" s="54">
        <v>0</v>
      </c>
      <c r="T2" s="54">
        <v>0</v>
      </c>
      <c r="U2" s="54">
        <v>0</v>
      </c>
      <c r="V2" s="54">
        <v>0</v>
      </c>
      <c r="W2" s="54">
        <v>0</v>
      </c>
      <c r="X2" s="54">
        <v>0</v>
      </c>
      <c r="Y2" s="54">
        <v>0</v>
      </c>
      <c r="Z2" s="54">
        <v>0</v>
      </c>
      <c r="AA2" s="54">
        <v>0</v>
      </c>
      <c r="AB2" s="54">
        <v>0</v>
      </c>
      <c r="AC2" s="54">
        <v>0</v>
      </c>
      <c r="AD2" s="54">
        <v>0</v>
      </c>
      <c r="AE2" s="54">
        <v>123</v>
      </c>
      <c r="AF2" s="54">
        <v>323</v>
      </c>
      <c r="AG2" s="55">
        <v>239150</v>
      </c>
      <c r="AH2" s="55">
        <v>150664.5</v>
      </c>
      <c r="AI2" s="56">
        <v>239150</v>
      </c>
      <c r="AJ2" s="57">
        <v>150664.5</v>
      </c>
    </row>
    <row r="3" spans="1:36">
      <c r="A3" s="53" t="s">
        <v>175</v>
      </c>
      <c r="B3" s="53" t="s">
        <v>31</v>
      </c>
      <c r="C3" s="53"/>
      <c r="D3" s="54">
        <v>0</v>
      </c>
      <c r="E3" s="54">
        <v>0</v>
      </c>
      <c r="F3" s="54">
        <v>0</v>
      </c>
      <c r="G3" s="54">
        <v>13</v>
      </c>
      <c r="H3" s="54">
        <v>13</v>
      </c>
      <c r="I3" s="55">
        <v>11700</v>
      </c>
      <c r="J3" s="54">
        <v>0</v>
      </c>
      <c r="K3" s="54">
        <v>0</v>
      </c>
      <c r="L3" s="54">
        <v>0</v>
      </c>
      <c r="M3" s="54">
        <v>0</v>
      </c>
      <c r="N3" s="54">
        <v>0</v>
      </c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54">
        <v>0</v>
      </c>
      <c r="W3" s="54">
        <v>0</v>
      </c>
      <c r="X3" s="54">
        <v>0</v>
      </c>
      <c r="Y3" s="54">
        <v>0</v>
      </c>
      <c r="Z3" s="54">
        <v>0</v>
      </c>
      <c r="AA3" s="54">
        <v>0</v>
      </c>
      <c r="AB3" s="54">
        <v>0</v>
      </c>
      <c r="AC3" s="54">
        <v>0</v>
      </c>
      <c r="AD3" s="54">
        <v>0</v>
      </c>
      <c r="AE3" s="54">
        <v>13</v>
      </c>
      <c r="AF3" s="54">
        <v>13</v>
      </c>
      <c r="AG3" s="55">
        <v>11700</v>
      </c>
      <c r="AH3" s="55">
        <v>7371</v>
      </c>
      <c r="AI3" s="56">
        <v>11700</v>
      </c>
      <c r="AJ3" s="57">
        <v>7371</v>
      </c>
    </row>
    <row r="4" spans="1:36">
      <c r="AJ4" s="114">
        <f>SUM(AJ2:AJ3)</f>
        <v>158035.5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B1" workbookViewId="0">
      <selection activeCell="I14" sqref="I14"/>
    </sheetView>
  </sheetViews>
  <sheetFormatPr defaultRowHeight="17.399999999999999"/>
  <cols>
    <col min="1" max="1" width="6.69921875" bestFit="1" customWidth="1"/>
    <col min="2" max="2" width="13.5" bestFit="1" customWidth="1"/>
    <col min="3" max="3" width="6.69921875" bestFit="1" customWidth="1"/>
    <col min="4" max="4" width="8.59765625" bestFit="1" customWidth="1"/>
    <col min="5" max="6" width="7.69921875" bestFit="1" customWidth="1"/>
    <col min="7" max="7" width="10.3984375" bestFit="1" customWidth="1"/>
  </cols>
  <sheetData>
    <row r="1" spans="1:7">
      <c r="A1" s="58" t="s">
        <v>536</v>
      </c>
      <c r="B1" s="58" t="s">
        <v>499</v>
      </c>
      <c r="C1" s="7" t="s">
        <v>537</v>
      </c>
      <c r="D1" s="58" t="s">
        <v>479</v>
      </c>
      <c r="E1" s="58" t="s">
        <v>538</v>
      </c>
      <c r="F1" s="7" t="s">
        <v>539</v>
      </c>
      <c r="G1" s="58" t="s">
        <v>103</v>
      </c>
    </row>
    <row r="2" spans="1:7">
      <c r="A2">
        <v>13757</v>
      </c>
      <c r="B2" t="s">
        <v>182</v>
      </c>
      <c r="C2" t="s">
        <v>31</v>
      </c>
      <c r="D2">
        <v>70</v>
      </c>
      <c r="E2">
        <v>0</v>
      </c>
      <c r="F2">
        <v>0</v>
      </c>
      <c r="G2" t="s">
        <v>113</v>
      </c>
    </row>
    <row r="3" spans="1:7">
      <c r="F3">
        <f>SUM(F2)</f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3"/>
  <sheetViews>
    <sheetView topLeftCell="B1" workbookViewId="0">
      <selection activeCell="B1" sqref="B1"/>
    </sheetView>
  </sheetViews>
  <sheetFormatPr defaultColWidth="9" defaultRowHeight="17.399999999999999"/>
  <cols>
    <col min="1" max="1" width="18.8984375" style="63" bestFit="1" customWidth="1"/>
    <col min="2" max="2" width="8.8984375" style="63" bestFit="1" customWidth="1"/>
    <col min="3" max="3" width="10.3984375" style="63" bestFit="1" customWidth="1"/>
    <col min="4" max="4" width="11.8984375" style="63" bestFit="1" customWidth="1"/>
    <col min="5" max="5" width="18.19921875" style="63" bestFit="1" customWidth="1"/>
    <col min="6" max="6" width="33.19921875" style="63" bestFit="1" customWidth="1"/>
    <col min="7" max="7" width="5" style="63" bestFit="1" customWidth="1"/>
    <col min="8" max="8" width="11.8984375" style="63" bestFit="1" customWidth="1"/>
    <col min="9" max="9" width="7.69921875" style="63" bestFit="1" customWidth="1"/>
    <col min="10" max="10" width="8.59765625" style="63" bestFit="1" customWidth="1"/>
    <col min="11" max="11" width="10.3984375" style="63" bestFit="1" customWidth="1"/>
    <col min="12" max="12" width="6.69921875" style="63" bestFit="1" customWidth="1"/>
    <col min="13" max="13" width="8.59765625" style="63" bestFit="1" customWidth="1"/>
    <col min="14" max="14" width="5" style="63" bestFit="1" customWidth="1"/>
    <col min="15" max="17" width="8.59765625" style="63" bestFit="1" customWidth="1"/>
    <col min="18" max="18" width="7.59765625" style="63" bestFit="1" customWidth="1"/>
    <col min="19" max="19" width="7.69921875" style="63" bestFit="1" customWidth="1"/>
    <col min="20" max="21" width="7.59765625" style="63" bestFit="1" customWidth="1"/>
    <col min="22" max="22" width="7.69921875" style="63" bestFit="1" customWidth="1"/>
    <col min="23" max="25" width="8.59765625" style="63" bestFit="1" customWidth="1"/>
    <col min="26" max="26" width="9.3984375" style="63" bestFit="1" customWidth="1"/>
    <col min="27" max="30" width="8.59765625" style="63" bestFit="1" customWidth="1"/>
    <col min="31" max="16384" width="9" style="63"/>
  </cols>
  <sheetData>
    <row r="1" spans="1:30" ht="69.599999999999994">
      <c r="A1" s="59" t="s">
        <v>541</v>
      </c>
      <c r="B1" s="59" t="s">
        <v>542</v>
      </c>
      <c r="C1" s="59" t="s">
        <v>543</v>
      </c>
      <c r="D1" s="59" t="s">
        <v>544</v>
      </c>
      <c r="E1" s="59" t="s">
        <v>545</v>
      </c>
      <c r="F1" s="59" t="s">
        <v>10</v>
      </c>
      <c r="G1" s="59" t="s">
        <v>546</v>
      </c>
      <c r="H1" s="59" t="s">
        <v>547</v>
      </c>
      <c r="I1" s="59" t="s">
        <v>548</v>
      </c>
      <c r="J1" s="59" t="s">
        <v>549</v>
      </c>
      <c r="K1" s="59" t="s">
        <v>152</v>
      </c>
      <c r="L1" s="60" t="s">
        <v>550</v>
      </c>
      <c r="M1" s="59" t="s">
        <v>551</v>
      </c>
      <c r="N1" s="59" t="s">
        <v>552</v>
      </c>
      <c r="O1" s="59" t="s">
        <v>553</v>
      </c>
      <c r="P1" s="59" t="s">
        <v>554</v>
      </c>
      <c r="Q1" s="59" t="s">
        <v>555</v>
      </c>
      <c r="R1" s="61" t="s">
        <v>556</v>
      </c>
      <c r="S1" s="61" t="s">
        <v>557</v>
      </c>
      <c r="T1" s="61" t="s">
        <v>558</v>
      </c>
      <c r="U1" s="61" t="s">
        <v>559</v>
      </c>
      <c r="V1" s="59" t="s">
        <v>167</v>
      </c>
      <c r="W1" s="61" t="s">
        <v>560</v>
      </c>
      <c r="X1" s="61" t="s">
        <v>561</v>
      </c>
      <c r="Y1" s="61" t="s">
        <v>562</v>
      </c>
      <c r="Z1" s="61" t="s">
        <v>563</v>
      </c>
      <c r="AA1" s="61" t="s">
        <v>564</v>
      </c>
      <c r="AB1" s="62" t="s">
        <v>565</v>
      </c>
      <c r="AC1" s="60" t="s">
        <v>566</v>
      </c>
      <c r="AD1" s="59" t="s">
        <v>567</v>
      </c>
    </row>
    <row r="2" spans="1:30">
      <c r="A2" s="64" t="s">
        <v>568</v>
      </c>
      <c r="B2" s="64" t="s">
        <v>569</v>
      </c>
      <c r="C2" s="64" t="s">
        <v>570</v>
      </c>
      <c r="D2" s="64" t="s">
        <v>571</v>
      </c>
      <c r="E2" s="64" t="s">
        <v>29</v>
      </c>
      <c r="F2" s="64" t="s">
        <v>572</v>
      </c>
      <c r="G2" s="64" t="s">
        <v>573</v>
      </c>
      <c r="H2" s="64" t="s">
        <v>574</v>
      </c>
      <c r="I2" s="64" t="s">
        <v>575</v>
      </c>
      <c r="J2" s="64" t="s">
        <v>24</v>
      </c>
      <c r="K2" s="64" t="s">
        <v>37</v>
      </c>
      <c r="L2" s="64" t="s">
        <v>31</v>
      </c>
      <c r="M2" s="64" t="s">
        <v>28</v>
      </c>
      <c r="N2" s="64" t="s">
        <v>576</v>
      </c>
      <c r="O2" s="65">
        <v>1</v>
      </c>
      <c r="P2" s="65">
        <v>0</v>
      </c>
      <c r="Q2" s="65">
        <v>0</v>
      </c>
      <c r="R2" s="65">
        <v>1</v>
      </c>
      <c r="S2" s="65">
        <v>100</v>
      </c>
      <c r="T2" s="65">
        <v>0</v>
      </c>
      <c r="U2" s="65">
        <v>0</v>
      </c>
      <c r="V2" s="65">
        <v>100</v>
      </c>
      <c r="W2" s="65">
        <v>100</v>
      </c>
      <c r="X2" s="65">
        <v>0</v>
      </c>
      <c r="Y2" s="65">
        <v>0</v>
      </c>
      <c r="Z2" s="65">
        <v>30</v>
      </c>
      <c r="AA2" s="65">
        <v>0</v>
      </c>
      <c r="AB2" s="65">
        <v>0</v>
      </c>
      <c r="AC2" s="65">
        <v>70</v>
      </c>
      <c r="AD2" s="64" t="s">
        <v>577</v>
      </c>
    </row>
    <row r="3" spans="1:30">
      <c r="A3" s="64" t="s">
        <v>568</v>
      </c>
      <c r="B3" s="64" t="s">
        <v>569</v>
      </c>
      <c r="C3" s="64" t="s">
        <v>570</v>
      </c>
      <c r="D3" s="64" t="s">
        <v>571</v>
      </c>
      <c r="E3" s="64" t="s">
        <v>29</v>
      </c>
      <c r="F3" s="64" t="s">
        <v>578</v>
      </c>
      <c r="G3" s="64" t="s">
        <v>579</v>
      </c>
      <c r="H3" s="64" t="s">
        <v>580</v>
      </c>
      <c r="I3" s="64" t="s">
        <v>575</v>
      </c>
      <c r="J3" s="64" t="s">
        <v>24</v>
      </c>
      <c r="K3" s="64" t="s">
        <v>37</v>
      </c>
      <c r="L3" s="64" t="s">
        <v>31</v>
      </c>
      <c r="M3" s="64" t="s">
        <v>28</v>
      </c>
      <c r="N3" s="64" t="s">
        <v>576</v>
      </c>
      <c r="O3" s="65">
        <v>1</v>
      </c>
      <c r="P3" s="65">
        <v>0</v>
      </c>
      <c r="Q3" s="65">
        <v>0</v>
      </c>
      <c r="R3" s="65">
        <v>1</v>
      </c>
      <c r="S3" s="65">
        <v>100</v>
      </c>
      <c r="T3" s="65">
        <v>0</v>
      </c>
      <c r="U3" s="65">
        <v>0</v>
      </c>
      <c r="V3" s="65">
        <v>100</v>
      </c>
      <c r="W3" s="65">
        <v>100</v>
      </c>
      <c r="X3" s="65">
        <v>0</v>
      </c>
      <c r="Y3" s="65">
        <v>0</v>
      </c>
      <c r="Z3" s="65">
        <v>30</v>
      </c>
      <c r="AA3" s="65">
        <v>0</v>
      </c>
      <c r="AB3" s="65">
        <v>0</v>
      </c>
      <c r="AC3" s="65">
        <v>70</v>
      </c>
      <c r="AD3" s="64" t="s">
        <v>577</v>
      </c>
    </row>
    <row r="4" spans="1:30">
      <c r="A4" s="64" t="s">
        <v>568</v>
      </c>
      <c r="B4" s="64" t="s">
        <v>569</v>
      </c>
      <c r="C4" s="64" t="s">
        <v>570</v>
      </c>
      <c r="D4" s="64" t="s">
        <v>571</v>
      </c>
      <c r="E4" s="64" t="s">
        <v>29</v>
      </c>
      <c r="F4" s="64" t="s">
        <v>581</v>
      </c>
      <c r="G4" s="64" t="s">
        <v>582</v>
      </c>
      <c r="H4" s="64" t="s">
        <v>583</v>
      </c>
      <c r="I4" s="64" t="s">
        <v>575</v>
      </c>
      <c r="J4" s="64" t="s">
        <v>24</v>
      </c>
      <c r="K4" s="64" t="s">
        <v>37</v>
      </c>
      <c r="L4" s="64" t="s">
        <v>31</v>
      </c>
      <c r="M4" s="64" t="s">
        <v>28</v>
      </c>
      <c r="N4" s="64" t="s">
        <v>576</v>
      </c>
      <c r="O4" s="65">
        <v>1</v>
      </c>
      <c r="P4" s="65">
        <v>0</v>
      </c>
      <c r="Q4" s="65">
        <v>0</v>
      </c>
      <c r="R4" s="65">
        <v>1</v>
      </c>
      <c r="S4" s="65">
        <v>100</v>
      </c>
      <c r="T4" s="65">
        <v>0</v>
      </c>
      <c r="U4" s="65">
        <v>0</v>
      </c>
      <c r="V4" s="65">
        <v>100</v>
      </c>
      <c r="W4" s="65">
        <v>100</v>
      </c>
      <c r="X4" s="65">
        <v>0</v>
      </c>
      <c r="Y4" s="65">
        <v>0</v>
      </c>
      <c r="Z4" s="65">
        <v>30</v>
      </c>
      <c r="AA4" s="65">
        <v>0</v>
      </c>
      <c r="AB4" s="65">
        <v>0</v>
      </c>
      <c r="AC4" s="65">
        <v>70</v>
      </c>
      <c r="AD4" s="64" t="s">
        <v>577</v>
      </c>
    </row>
    <row r="5" spans="1:30">
      <c r="A5" s="64" t="s">
        <v>568</v>
      </c>
      <c r="B5" s="64" t="s">
        <v>569</v>
      </c>
      <c r="C5" s="64" t="s">
        <v>570</v>
      </c>
      <c r="D5" s="64" t="s">
        <v>571</v>
      </c>
      <c r="E5" s="64" t="s">
        <v>29</v>
      </c>
      <c r="F5" s="64" t="s">
        <v>584</v>
      </c>
      <c r="G5" s="64" t="s">
        <v>585</v>
      </c>
      <c r="H5" s="64" t="s">
        <v>586</v>
      </c>
      <c r="I5" s="64" t="s">
        <v>575</v>
      </c>
      <c r="J5" s="64" t="s">
        <v>24</v>
      </c>
      <c r="K5" s="64" t="s">
        <v>37</v>
      </c>
      <c r="L5" s="64" t="s">
        <v>31</v>
      </c>
      <c r="M5" s="64" t="s">
        <v>28</v>
      </c>
      <c r="N5" s="64" t="s">
        <v>576</v>
      </c>
      <c r="O5" s="65">
        <v>1</v>
      </c>
      <c r="P5" s="65">
        <v>0</v>
      </c>
      <c r="Q5" s="65">
        <v>0</v>
      </c>
      <c r="R5" s="65">
        <v>1</v>
      </c>
      <c r="S5" s="65">
        <v>100</v>
      </c>
      <c r="T5" s="65">
        <v>0</v>
      </c>
      <c r="U5" s="65">
        <v>0</v>
      </c>
      <c r="V5" s="65">
        <v>100</v>
      </c>
      <c r="W5" s="65">
        <v>100</v>
      </c>
      <c r="X5" s="65">
        <v>0</v>
      </c>
      <c r="Y5" s="65">
        <v>0</v>
      </c>
      <c r="Z5" s="65">
        <v>30</v>
      </c>
      <c r="AA5" s="65">
        <v>0</v>
      </c>
      <c r="AB5" s="65">
        <v>0</v>
      </c>
      <c r="AC5" s="65">
        <v>70</v>
      </c>
      <c r="AD5" s="64" t="s">
        <v>577</v>
      </c>
    </row>
    <row r="6" spans="1:30">
      <c r="A6" s="64" t="s">
        <v>568</v>
      </c>
      <c r="B6" s="64" t="s">
        <v>569</v>
      </c>
      <c r="C6" s="64" t="s">
        <v>570</v>
      </c>
      <c r="D6" s="64" t="s">
        <v>571</v>
      </c>
      <c r="E6" s="64" t="s">
        <v>29</v>
      </c>
      <c r="F6" s="64" t="s">
        <v>587</v>
      </c>
      <c r="G6" s="64" t="s">
        <v>588</v>
      </c>
      <c r="H6" s="64" t="s">
        <v>589</v>
      </c>
      <c r="I6" s="64" t="s">
        <v>575</v>
      </c>
      <c r="J6" s="64" t="s">
        <v>24</v>
      </c>
      <c r="K6" s="64" t="s">
        <v>37</v>
      </c>
      <c r="L6" s="64" t="s">
        <v>31</v>
      </c>
      <c r="M6" s="64" t="s">
        <v>28</v>
      </c>
      <c r="N6" s="64" t="s">
        <v>576</v>
      </c>
      <c r="O6" s="65">
        <v>1</v>
      </c>
      <c r="P6" s="65">
        <v>0</v>
      </c>
      <c r="Q6" s="65">
        <v>0</v>
      </c>
      <c r="R6" s="65">
        <v>1</v>
      </c>
      <c r="S6" s="65">
        <v>100</v>
      </c>
      <c r="T6" s="65">
        <v>0</v>
      </c>
      <c r="U6" s="65">
        <v>0</v>
      </c>
      <c r="V6" s="65">
        <v>100</v>
      </c>
      <c r="W6" s="65">
        <v>100</v>
      </c>
      <c r="X6" s="65">
        <v>0</v>
      </c>
      <c r="Y6" s="65">
        <v>0</v>
      </c>
      <c r="Z6" s="65">
        <v>30</v>
      </c>
      <c r="AA6" s="65">
        <v>0</v>
      </c>
      <c r="AB6" s="65">
        <v>0</v>
      </c>
      <c r="AC6" s="65">
        <v>70</v>
      </c>
      <c r="AD6" s="64" t="s">
        <v>577</v>
      </c>
    </row>
    <row r="7" spans="1:30">
      <c r="A7" s="64" t="s">
        <v>568</v>
      </c>
      <c r="B7" s="64" t="s">
        <v>569</v>
      </c>
      <c r="C7" s="64" t="s">
        <v>570</v>
      </c>
      <c r="D7" s="64" t="s">
        <v>571</v>
      </c>
      <c r="E7" s="64" t="s">
        <v>29</v>
      </c>
      <c r="F7" s="64" t="s">
        <v>590</v>
      </c>
      <c r="G7" s="64" t="s">
        <v>591</v>
      </c>
      <c r="H7" s="64" t="s">
        <v>592</v>
      </c>
      <c r="I7" s="64" t="s">
        <v>575</v>
      </c>
      <c r="J7" s="64" t="s">
        <v>24</v>
      </c>
      <c r="K7" s="64" t="s">
        <v>37</v>
      </c>
      <c r="L7" s="64" t="s">
        <v>31</v>
      </c>
      <c r="M7" s="64" t="s">
        <v>28</v>
      </c>
      <c r="N7" s="64" t="s">
        <v>576</v>
      </c>
      <c r="O7" s="65">
        <v>1</v>
      </c>
      <c r="P7" s="65">
        <v>0</v>
      </c>
      <c r="Q7" s="65">
        <v>0</v>
      </c>
      <c r="R7" s="65">
        <v>1</v>
      </c>
      <c r="S7" s="65">
        <v>100</v>
      </c>
      <c r="T7" s="65">
        <v>0</v>
      </c>
      <c r="U7" s="65">
        <v>0</v>
      </c>
      <c r="V7" s="65">
        <v>100</v>
      </c>
      <c r="W7" s="65">
        <v>100</v>
      </c>
      <c r="X7" s="65">
        <v>0</v>
      </c>
      <c r="Y7" s="65">
        <v>0</v>
      </c>
      <c r="Z7" s="65">
        <v>30</v>
      </c>
      <c r="AA7" s="65">
        <v>0</v>
      </c>
      <c r="AB7" s="65">
        <v>0</v>
      </c>
      <c r="AC7" s="65">
        <v>70</v>
      </c>
      <c r="AD7" s="64" t="s">
        <v>577</v>
      </c>
    </row>
    <row r="8" spans="1:30">
      <c r="A8" s="64" t="s">
        <v>568</v>
      </c>
      <c r="B8" s="64" t="s">
        <v>569</v>
      </c>
      <c r="C8" s="64" t="s">
        <v>570</v>
      </c>
      <c r="D8" s="64" t="s">
        <v>571</v>
      </c>
      <c r="E8" s="64" t="s">
        <v>29</v>
      </c>
      <c r="F8" s="64" t="s">
        <v>593</v>
      </c>
      <c r="G8" s="64" t="s">
        <v>594</v>
      </c>
      <c r="H8" s="64" t="s">
        <v>595</v>
      </c>
      <c r="I8" s="64" t="s">
        <v>575</v>
      </c>
      <c r="J8" s="64" t="s">
        <v>24</v>
      </c>
      <c r="K8" s="64" t="s">
        <v>37</v>
      </c>
      <c r="L8" s="64" t="s">
        <v>31</v>
      </c>
      <c r="M8" s="64" t="s">
        <v>28</v>
      </c>
      <c r="N8" s="64" t="s">
        <v>576</v>
      </c>
      <c r="O8" s="65">
        <v>1</v>
      </c>
      <c r="P8" s="65">
        <v>0</v>
      </c>
      <c r="Q8" s="65">
        <v>0</v>
      </c>
      <c r="R8" s="65">
        <v>1</v>
      </c>
      <c r="S8" s="65">
        <v>100</v>
      </c>
      <c r="T8" s="65">
        <v>0</v>
      </c>
      <c r="U8" s="65">
        <v>0</v>
      </c>
      <c r="V8" s="65">
        <v>100</v>
      </c>
      <c r="W8" s="65">
        <v>100</v>
      </c>
      <c r="X8" s="65">
        <v>0</v>
      </c>
      <c r="Y8" s="65">
        <v>0</v>
      </c>
      <c r="Z8" s="65">
        <v>30</v>
      </c>
      <c r="AA8" s="65">
        <v>0</v>
      </c>
      <c r="AB8" s="65">
        <v>0</v>
      </c>
      <c r="AC8" s="65">
        <v>70</v>
      </c>
      <c r="AD8" s="64" t="s">
        <v>577</v>
      </c>
    </row>
    <row r="9" spans="1:30">
      <c r="A9" s="64" t="s">
        <v>568</v>
      </c>
      <c r="B9" s="64" t="s">
        <v>569</v>
      </c>
      <c r="C9" s="64" t="s">
        <v>570</v>
      </c>
      <c r="D9" s="64" t="s">
        <v>571</v>
      </c>
      <c r="E9" s="64" t="s">
        <v>29</v>
      </c>
      <c r="F9" s="64" t="s">
        <v>596</v>
      </c>
      <c r="G9" s="64" t="s">
        <v>329</v>
      </c>
      <c r="H9" s="64" t="s">
        <v>597</v>
      </c>
      <c r="I9" s="64" t="s">
        <v>575</v>
      </c>
      <c r="J9" s="64" t="s">
        <v>24</v>
      </c>
      <c r="K9" s="64" t="s">
        <v>37</v>
      </c>
      <c r="L9" s="64" t="s">
        <v>31</v>
      </c>
      <c r="M9" s="64" t="s">
        <v>28</v>
      </c>
      <c r="N9" s="64" t="s">
        <v>576</v>
      </c>
      <c r="O9" s="65">
        <v>1</v>
      </c>
      <c r="P9" s="65">
        <v>0</v>
      </c>
      <c r="Q9" s="65">
        <v>0</v>
      </c>
      <c r="R9" s="65">
        <v>1</v>
      </c>
      <c r="S9" s="65">
        <v>100</v>
      </c>
      <c r="T9" s="65">
        <v>0</v>
      </c>
      <c r="U9" s="65">
        <v>0</v>
      </c>
      <c r="V9" s="65">
        <v>100</v>
      </c>
      <c r="W9" s="65">
        <v>100</v>
      </c>
      <c r="X9" s="65">
        <v>0</v>
      </c>
      <c r="Y9" s="65">
        <v>0</v>
      </c>
      <c r="Z9" s="65">
        <v>30</v>
      </c>
      <c r="AA9" s="65">
        <v>0</v>
      </c>
      <c r="AB9" s="65">
        <v>0</v>
      </c>
      <c r="AC9" s="65">
        <v>70</v>
      </c>
      <c r="AD9" s="64" t="s">
        <v>577</v>
      </c>
    </row>
    <row r="10" spans="1:30">
      <c r="A10" s="64" t="s">
        <v>568</v>
      </c>
      <c r="B10" s="64" t="s">
        <v>569</v>
      </c>
      <c r="C10" s="64" t="s">
        <v>570</v>
      </c>
      <c r="D10" s="64" t="s">
        <v>571</v>
      </c>
      <c r="E10" s="64" t="s">
        <v>29</v>
      </c>
      <c r="F10" s="64" t="s">
        <v>598</v>
      </c>
      <c r="G10" s="64" t="s">
        <v>599</v>
      </c>
      <c r="H10" s="64" t="s">
        <v>600</v>
      </c>
      <c r="I10" s="64" t="s">
        <v>575</v>
      </c>
      <c r="J10" s="64" t="s">
        <v>24</v>
      </c>
      <c r="K10" s="64" t="s">
        <v>37</v>
      </c>
      <c r="L10" s="64" t="s">
        <v>31</v>
      </c>
      <c r="M10" s="64" t="s">
        <v>28</v>
      </c>
      <c r="N10" s="64" t="s">
        <v>576</v>
      </c>
      <c r="O10" s="65">
        <v>1</v>
      </c>
      <c r="P10" s="65">
        <v>0</v>
      </c>
      <c r="Q10" s="65">
        <v>0</v>
      </c>
      <c r="R10" s="65">
        <v>1</v>
      </c>
      <c r="S10" s="65">
        <v>100</v>
      </c>
      <c r="T10" s="65">
        <v>0</v>
      </c>
      <c r="U10" s="65">
        <v>0</v>
      </c>
      <c r="V10" s="65">
        <v>100</v>
      </c>
      <c r="W10" s="65">
        <v>100</v>
      </c>
      <c r="X10" s="65">
        <v>0</v>
      </c>
      <c r="Y10" s="65">
        <v>0</v>
      </c>
      <c r="Z10" s="65">
        <v>30</v>
      </c>
      <c r="AA10" s="65">
        <v>0</v>
      </c>
      <c r="AB10" s="65">
        <v>0</v>
      </c>
      <c r="AC10" s="65">
        <v>70</v>
      </c>
      <c r="AD10" s="64" t="s">
        <v>577</v>
      </c>
    </row>
    <row r="11" spans="1:30">
      <c r="A11" s="64" t="s">
        <v>568</v>
      </c>
      <c r="B11" s="64" t="s">
        <v>569</v>
      </c>
      <c r="C11" s="64" t="s">
        <v>570</v>
      </c>
      <c r="D11" s="64" t="s">
        <v>571</v>
      </c>
      <c r="E11" s="64" t="s">
        <v>29</v>
      </c>
      <c r="F11" s="64" t="s">
        <v>601</v>
      </c>
      <c r="G11" s="64" t="s">
        <v>331</v>
      </c>
      <c r="H11" s="64" t="s">
        <v>602</v>
      </c>
      <c r="I11" s="64" t="s">
        <v>575</v>
      </c>
      <c r="J11" s="64" t="s">
        <v>24</v>
      </c>
      <c r="K11" s="64" t="s">
        <v>37</v>
      </c>
      <c r="L11" s="64" t="s">
        <v>31</v>
      </c>
      <c r="M11" s="64" t="s">
        <v>28</v>
      </c>
      <c r="N11" s="64" t="s">
        <v>576</v>
      </c>
      <c r="O11" s="65">
        <v>1</v>
      </c>
      <c r="P11" s="65">
        <v>0</v>
      </c>
      <c r="Q11" s="65">
        <v>0</v>
      </c>
      <c r="R11" s="65">
        <v>1</v>
      </c>
      <c r="S11" s="65">
        <v>100</v>
      </c>
      <c r="T11" s="65">
        <v>0</v>
      </c>
      <c r="U11" s="65">
        <v>0</v>
      </c>
      <c r="V11" s="65">
        <v>100</v>
      </c>
      <c r="W11" s="65">
        <v>100</v>
      </c>
      <c r="X11" s="65">
        <v>0</v>
      </c>
      <c r="Y11" s="65">
        <v>0</v>
      </c>
      <c r="Z11" s="65">
        <v>30</v>
      </c>
      <c r="AA11" s="65">
        <v>0</v>
      </c>
      <c r="AB11" s="65">
        <v>0</v>
      </c>
      <c r="AC11" s="65">
        <v>70</v>
      </c>
      <c r="AD11" s="64" t="s">
        <v>577</v>
      </c>
    </row>
    <row r="12" spans="1:30">
      <c r="A12" s="64" t="s">
        <v>568</v>
      </c>
      <c r="B12" s="64" t="s">
        <v>569</v>
      </c>
      <c r="C12" s="64" t="s">
        <v>570</v>
      </c>
      <c r="D12" s="64" t="s">
        <v>571</v>
      </c>
      <c r="E12" s="64" t="s">
        <v>29</v>
      </c>
      <c r="F12" s="64" t="s">
        <v>603</v>
      </c>
      <c r="G12" s="64" t="s">
        <v>333</v>
      </c>
      <c r="H12" s="64" t="s">
        <v>604</v>
      </c>
      <c r="I12" s="64" t="s">
        <v>575</v>
      </c>
      <c r="J12" s="64" t="s">
        <v>24</v>
      </c>
      <c r="K12" s="64" t="s">
        <v>37</v>
      </c>
      <c r="L12" s="64" t="s">
        <v>31</v>
      </c>
      <c r="M12" s="64" t="s">
        <v>28</v>
      </c>
      <c r="N12" s="64" t="s">
        <v>576</v>
      </c>
      <c r="O12" s="65">
        <v>1</v>
      </c>
      <c r="P12" s="65">
        <v>0</v>
      </c>
      <c r="Q12" s="65">
        <v>0</v>
      </c>
      <c r="R12" s="65">
        <v>1</v>
      </c>
      <c r="S12" s="65">
        <v>100</v>
      </c>
      <c r="T12" s="65">
        <v>0</v>
      </c>
      <c r="U12" s="65">
        <v>0</v>
      </c>
      <c r="V12" s="65">
        <v>100</v>
      </c>
      <c r="W12" s="65">
        <v>100</v>
      </c>
      <c r="X12" s="65">
        <v>0</v>
      </c>
      <c r="Y12" s="65">
        <v>0</v>
      </c>
      <c r="Z12" s="65">
        <v>30</v>
      </c>
      <c r="AA12" s="65">
        <v>0</v>
      </c>
      <c r="AB12" s="65">
        <v>0</v>
      </c>
      <c r="AC12" s="65">
        <v>70</v>
      </c>
      <c r="AD12" s="64" t="s">
        <v>577</v>
      </c>
    </row>
    <row r="13" spans="1:30">
      <c r="A13" s="64" t="s">
        <v>568</v>
      </c>
      <c r="B13" s="64" t="s">
        <v>569</v>
      </c>
      <c r="C13" s="64" t="s">
        <v>570</v>
      </c>
      <c r="D13" s="64" t="s">
        <v>571</v>
      </c>
      <c r="E13" s="64" t="s">
        <v>29</v>
      </c>
      <c r="F13" s="64" t="s">
        <v>605</v>
      </c>
      <c r="G13" s="64" t="s">
        <v>606</v>
      </c>
      <c r="H13" s="64" t="s">
        <v>607</v>
      </c>
      <c r="I13" s="64" t="s">
        <v>575</v>
      </c>
      <c r="J13" s="64" t="s">
        <v>24</v>
      </c>
      <c r="K13" s="64" t="s">
        <v>37</v>
      </c>
      <c r="L13" s="64" t="s">
        <v>31</v>
      </c>
      <c r="M13" s="64" t="s">
        <v>28</v>
      </c>
      <c r="N13" s="64" t="s">
        <v>576</v>
      </c>
      <c r="O13" s="65">
        <v>1</v>
      </c>
      <c r="P13" s="65">
        <v>0</v>
      </c>
      <c r="Q13" s="65">
        <v>0</v>
      </c>
      <c r="R13" s="65">
        <v>1</v>
      </c>
      <c r="S13" s="65">
        <v>100</v>
      </c>
      <c r="T13" s="65">
        <v>0</v>
      </c>
      <c r="U13" s="65">
        <v>0</v>
      </c>
      <c r="V13" s="65">
        <v>100</v>
      </c>
      <c r="W13" s="65">
        <v>100</v>
      </c>
      <c r="X13" s="65">
        <v>0</v>
      </c>
      <c r="Y13" s="65">
        <v>0</v>
      </c>
      <c r="Z13" s="65">
        <v>30</v>
      </c>
      <c r="AA13" s="65">
        <v>0</v>
      </c>
      <c r="AB13" s="65">
        <v>0</v>
      </c>
      <c r="AC13" s="65">
        <v>70</v>
      </c>
      <c r="AD13" s="64" t="s">
        <v>577</v>
      </c>
    </row>
    <row r="14" spans="1:30">
      <c r="A14" s="64" t="s">
        <v>568</v>
      </c>
      <c r="B14" s="64" t="s">
        <v>569</v>
      </c>
      <c r="C14" s="64" t="s">
        <v>570</v>
      </c>
      <c r="D14" s="64" t="s">
        <v>571</v>
      </c>
      <c r="E14" s="64" t="s">
        <v>29</v>
      </c>
      <c r="F14" s="64" t="s">
        <v>608</v>
      </c>
      <c r="G14" s="64" t="s">
        <v>609</v>
      </c>
      <c r="H14" s="64" t="s">
        <v>610</v>
      </c>
      <c r="I14" s="64" t="s">
        <v>575</v>
      </c>
      <c r="J14" s="64" t="s">
        <v>24</v>
      </c>
      <c r="K14" s="64" t="s">
        <v>37</v>
      </c>
      <c r="L14" s="64" t="s">
        <v>31</v>
      </c>
      <c r="M14" s="64" t="s">
        <v>28</v>
      </c>
      <c r="N14" s="64" t="s">
        <v>576</v>
      </c>
      <c r="O14" s="65">
        <v>1</v>
      </c>
      <c r="P14" s="65">
        <v>0</v>
      </c>
      <c r="Q14" s="65">
        <v>0</v>
      </c>
      <c r="R14" s="65">
        <v>1</v>
      </c>
      <c r="S14" s="65">
        <v>100</v>
      </c>
      <c r="T14" s="65">
        <v>0</v>
      </c>
      <c r="U14" s="65">
        <v>0</v>
      </c>
      <c r="V14" s="65">
        <v>100</v>
      </c>
      <c r="W14" s="65">
        <v>100</v>
      </c>
      <c r="X14" s="65">
        <v>0</v>
      </c>
      <c r="Y14" s="65">
        <v>0</v>
      </c>
      <c r="Z14" s="65">
        <v>30</v>
      </c>
      <c r="AA14" s="65">
        <v>0</v>
      </c>
      <c r="AB14" s="65">
        <v>0</v>
      </c>
      <c r="AC14" s="65">
        <v>70</v>
      </c>
      <c r="AD14" s="64" t="s">
        <v>577</v>
      </c>
    </row>
    <row r="15" spans="1:30">
      <c r="A15" s="64" t="s">
        <v>568</v>
      </c>
      <c r="B15" s="64" t="s">
        <v>569</v>
      </c>
      <c r="C15" s="64" t="s">
        <v>570</v>
      </c>
      <c r="D15" s="64" t="s">
        <v>571</v>
      </c>
      <c r="E15" s="64" t="s">
        <v>29</v>
      </c>
      <c r="F15" s="64" t="s">
        <v>611</v>
      </c>
      <c r="G15" s="64" t="s">
        <v>612</v>
      </c>
      <c r="H15" s="64" t="s">
        <v>613</v>
      </c>
      <c r="I15" s="64" t="s">
        <v>575</v>
      </c>
      <c r="J15" s="64" t="s">
        <v>24</v>
      </c>
      <c r="K15" s="64" t="s">
        <v>37</v>
      </c>
      <c r="L15" s="64" t="s">
        <v>31</v>
      </c>
      <c r="M15" s="64" t="s">
        <v>28</v>
      </c>
      <c r="N15" s="64" t="s">
        <v>576</v>
      </c>
      <c r="O15" s="65">
        <v>1</v>
      </c>
      <c r="P15" s="65">
        <v>0</v>
      </c>
      <c r="Q15" s="65">
        <v>0</v>
      </c>
      <c r="R15" s="65">
        <v>1</v>
      </c>
      <c r="S15" s="65">
        <v>100</v>
      </c>
      <c r="T15" s="65">
        <v>0</v>
      </c>
      <c r="U15" s="65">
        <v>0</v>
      </c>
      <c r="V15" s="65">
        <v>100</v>
      </c>
      <c r="W15" s="65">
        <v>100</v>
      </c>
      <c r="X15" s="65">
        <v>0</v>
      </c>
      <c r="Y15" s="65">
        <v>0</v>
      </c>
      <c r="Z15" s="65">
        <v>30</v>
      </c>
      <c r="AA15" s="65">
        <v>0</v>
      </c>
      <c r="AB15" s="65">
        <v>0</v>
      </c>
      <c r="AC15" s="65">
        <v>70</v>
      </c>
      <c r="AD15" s="64" t="s">
        <v>577</v>
      </c>
    </row>
    <row r="16" spans="1:30">
      <c r="A16" s="64" t="s">
        <v>568</v>
      </c>
      <c r="B16" s="64" t="s">
        <v>569</v>
      </c>
      <c r="C16" s="64" t="s">
        <v>570</v>
      </c>
      <c r="D16" s="64" t="s">
        <v>571</v>
      </c>
      <c r="E16" s="64" t="s">
        <v>29</v>
      </c>
      <c r="F16" s="64" t="s">
        <v>614</v>
      </c>
      <c r="G16" s="64" t="s">
        <v>615</v>
      </c>
      <c r="H16" s="64" t="s">
        <v>616</v>
      </c>
      <c r="I16" s="64" t="s">
        <v>575</v>
      </c>
      <c r="J16" s="64" t="s">
        <v>24</v>
      </c>
      <c r="K16" s="64" t="s">
        <v>37</v>
      </c>
      <c r="L16" s="64" t="s">
        <v>31</v>
      </c>
      <c r="M16" s="64" t="s">
        <v>28</v>
      </c>
      <c r="N16" s="64" t="s">
        <v>576</v>
      </c>
      <c r="O16" s="65">
        <v>1</v>
      </c>
      <c r="P16" s="65">
        <v>0</v>
      </c>
      <c r="Q16" s="65">
        <v>0</v>
      </c>
      <c r="R16" s="65">
        <v>1</v>
      </c>
      <c r="S16" s="65">
        <v>100</v>
      </c>
      <c r="T16" s="65">
        <v>0</v>
      </c>
      <c r="U16" s="65">
        <v>0</v>
      </c>
      <c r="V16" s="65">
        <v>100</v>
      </c>
      <c r="W16" s="65">
        <v>100</v>
      </c>
      <c r="X16" s="65">
        <v>0</v>
      </c>
      <c r="Y16" s="65">
        <v>0</v>
      </c>
      <c r="Z16" s="65">
        <v>30</v>
      </c>
      <c r="AA16" s="65">
        <v>0</v>
      </c>
      <c r="AB16" s="65">
        <v>0</v>
      </c>
      <c r="AC16" s="65">
        <v>70</v>
      </c>
      <c r="AD16" s="64" t="s">
        <v>577</v>
      </c>
    </row>
    <row r="17" spans="1:30">
      <c r="A17" s="64" t="s">
        <v>568</v>
      </c>
      <c r="B17" s="64" t="s">
        <v>569</v>
      </c>
      <c r="C17" s="64" t="s">
        <v>570</v>
      </c>
      <c r="D17" s="64" t="s">
        <v>571</v>
      </c>
      <c r="E17" s="64" t="s">
        <v>29</v>
      </c>
      <c r="F17" s="64" t="s">
        <v>617</v>
      </c>
      <c r="G17" s="64" t="s">
        <v>618</v>
      </c>
      <c r="H17" s="64" t="s">
        <v>619</v>
      </c>
      <c r="I17" s="64" t="s">
        <v>575</v>
      </c>
      <c r="J17" s="64" t="s">
        <v>24</v>
      </c>
      <c r="K17" s="64" t="s">
        <v>37</v>
      </c>
      <c r="L17" s="64" t="s">
        <v>31</v>
      </c>
      <c r="M17" s="64" t="s">
        <v>28</v>
      </c>
      <c r="N17" s="64" t="s">
        <v>576</v>
      </c>
      <c r="O17" s="65">
        <v>1</v>
      </c>
      <c r="P17" s="65">
        <v>0</v>
      </c>
      <c r="Q17" s="65">
        <v>0</v>
      </c>
      <c r="R17" s="65">
        <v>1</v>
      </c>
      <c r="S17" s="65">
        <v>100</v>
      </c>
      <c r="T17" s="65">
        <v>0</v>
      </c>
      <c r="U17" s="65">
        <v>0</v>
      </c>
      <c r="V17" s="65">
        <v>100</v>
      </c>
      <c r="W17" s="65">
        <v>100</v>
      </c>
      <c r="X17" s="65">
        <v>0</v>
      </c>
      <c r="Y17" s="65">
        <v>0</v>
      </c>
      <c r="Z17" s="65">
        <v>30</v>
      </c>
      <c r="AA17" s="65">
        <v>0</v>
      </c>
      <c r="AB17" s="65">
        <v>0</v>
      </c>
      <c r="AC17" s="65">
        <v>70</v>
      </c>
      <c r="AD17" s="64" t="s">
        <v>577</v>
      </c>
    </row>
    <row r="18" spans="1:30">
      <c r="A18" s="64" t="s">
        <v>568</v>
      </c>
      <c r="B18" s="64" t="s">
        <v>569</v>
      </c>
      <c r="C18" s="64" t="s">
        <v>570</v>
      </c>
      <c r="D18" s="64" t="s">
        <v>571</v>
      </c>
      <c r="E18" s="64" t="s">
        <v>29</v>
      </c>
      <c r="F18" s="64" t="s">
        <v>620</v>
      </c>
      <c r="G18" s="64" t="s">
        <v>621</v>
      </c>
      <c r="H18" s="64" t="s">
        <v>622</v>
      </c>
      <c r="I18" s="64" t="s">
        <v>575</v>
      </c>
      <c r="J18" s="64" t="s">
        <v>24</v>
      </c>
      <c r="K18" s="64" t="s">
        <v>37</v>
      </c>
      <c r="L18" s="64" t="s">
        <v>31</v>
      </c>
      <c r="M18" s="64" t="s">
        <v>28</v>
      </c>
      <c r="N18" s="64" t="s">
        <v>576</v>
      </c>
      <c r="O18" s="65">
        <v>1</v>
      </c>
      <c r="P18" s="65">
        <v>0</v>
      </c>
      <c r="Q18" s="65">
        <v>0</v>
      </c>
      <c r="R18" s="65">
        <v>1</v>
      </c>
      <c r="S18" s="65">
        <v>100</v>
      </c>
      <c r="T18" s="65">
        <v>0</v>
      </c>
      <c r="U18" s="65">
        <v>0</v>
      </c>
      <c r="V18" s="65">
        <v>100</v>
      </c>
      <c r="W18" s="65">
        <v>100</v>
      </c>
      <c r="X18" s="65">
        <v>0</v>
      </c>
      <c r="Y18" s="65">
        <v>0</v>
      </c>
      <c r="Z18" s="65">
        <v>30</v>
      </c>
      <c r="AA18" s="65">
        <v>0</v>
      </c>
      <c r="AB18" s="65">
        <v>0</v>
      </c>
      <c r="AC18" s="65">
        <v>70</v>
      </c>
      <c r="AD18" s="64" t="s">
        <v>577</v>
      </c>
    </row>
    <row r="19" spans="1:30">
      <c r="A19" s="64" t="s">
        <v>568</v>
      </c>
      <c r="B19" s="64" t="s">
        <v>569</v>
      </c>
      <c r="C19" s="64" t="s">
        <v>570</v>
      </c>
      <c r="D19" s="64" t="s">
        <v>571</v>
      </c>
      <c r="E19" s="64" t="s">
        <v>29</v>
      </c>
      <c r="F19" s="64" t="s">
        <v>623</v>
      </c>
      <c r="G19" s="64" t="s">
        <v>624</v>
      </c>
      <c r="H19" s="64" t="s">
        <v>625</v>
      </c>
      <c r="I19" s="64" t="s">
        <v>575</v>
      </c>
      <c r="J19" s="64" t="s">
        <v>24</v>
      </c>
      <c r="K19" s="64" t="s">
        <v>37</v>
      </c>
      <c r="L19" s="64" t="s">
        <v>31</v>
      </c>
      <c r="M19" s="64" t="s">
        <v>28</v>
      </c>
      <c r="N19" s="64" t="s">
        <v>576</v>
      </c>
      <c r="O19" s="65">
        <v>1</v>
      </c>
      <c r="P19" s="65">
        <v>0</v>
      </c>
      <c r="Q19" s="65">
        <v>0</v>
      </c>
      <c r="R19" s="65">
        <v>1</v>
      </c>
      <c r="S19" s="65">
        <v>100</v>
      </c>
      <c r="T19" s="65">
        <v>0</v>
      </c>
      <c r="U19" s="65">
        <v>0</v>
      </c>
      <c r="V19" s="65">
        <v>100</v>
      </c>
      <c r="W19" s="65">
        <v>100</v>
      </c>
      <c r="X19" s="65">
        <v>0</v>
      </c>
      <c r="Y19" s="65">
        <v>0</v>
      </c>
      <c r="Z19" s="65">
        <v>30</v>
      </c>
      <c r="AA19" s="65">
        <v>0</v>
      </c>
      <c r="AB19" s="65">
        <v>0</v>
      </c>
      <c r="AC19" s="65">
        <v>70</v>
      </c>
      <c r="AD19" s="64" t="s">
        <v>577</v>
      </c>
    </row>
    <row r="20" spans="1:30">
      <c r="A20" s="64" t="s">
        <v>568</v>
      </c>
      <c r="B20" s="64" t="s">
        <v>569</v>
      </c>
      <c r="C20" s="64" t="s">
        <v>570</v>
      </c>
      <c r="D20" s="64" t="s">
        <v>571</v>
      </c>
      <c r="E20" s="64" t="s">
        <v>29</v>
      </c>
      <c r="F20" s="64" t="s">
        <v>626</v>
      </c>
      <c r="G20" s="64" t="s">
        <v>627</v>
      </c>
      <c r="H20" s="64" t="s">
        <v>628</v>
      </c>
      <c r="I20" s="64" t="s">
        <v>575</v>
      </c>
      <c r="J20" s="64" t="s">
        <v>24</v>
      </c>
      <c r="K20" s="64" t="s">
        <v>37</v>
      </c>
      <c r="L20" s="64" t="s">
        <v>31</v>
      </c>
      <c r="M20" s="64" t="s">
        <v>28</v>
      </c>
      <c r="N20" s="64" t="s">
        <v>576</v>
      </c>
      <c r="O20" s="65">
        <v>1</v>
      </c>
      <c r="P20" s="65">
        <v>0</v>
      </c>
      <c r="Q20" s="65">
        <v>0</v>
      </c>
      <c r="R20" s="65">
        <v>1</v>
      </c>
      <c r="S20" s="65">
        <v>100</v>
      </c>
      <c r="T20" s="65">
        <v>0</v>
      </c>
      <c r="U20" s="65">
        <v>0</v>
      </c>
      <c r="V20" s="65">
        <v>100</v>
      </c>
      <c r="W20" s="65">
        <v>100</v>
      </c>
      <c r="X20" s="65">
        <v>0</v>
      </c>
      <c r="Y20" s="65">
        <v>0</v>
      </c>
      <c r="Z20" s="65">
        <v>30</v>
      </c>
      <c r="AA20" s="65">
        <v>0</v>
      </c>
      <c r="AB20" s="65">
        <v>0</v>
      </c>
      <c r="AC20" s="65">
        <v>70</v>
      </c>
      <c r="AD20" s="64" t="s">
        <v>577</v>
      </c>
    </row>
    <row r="21" spans="1:30">
      <c r="A21" s="64" t="s">
        <v>568</v>
      </c>
      <c r="B21" s="64" t="s">
        <v>569</v>
      </c>
      <c r="C21" s="64" t="s">
        <v>570</v>
      </c>
      <c r="D21" s="64" t="s">
        <v>571</v>
      </c>
      <c r="E21" s="64" t="s">
        <v>29</v>
      </c>
      <c r="F21" s="64" t="s">
        <v>629</v>
      </c>
      <c r="G21" s="64" t="s">
        <v>630</v>
      </c>
      <c r="H21" s="64" t="s">
        <v>631</v>
      </c>
      <c r="I21" s="64" t="s">
        <v>575</v>
      </c>
      <c r="J21" s="64" t="s">
        <v>24</v>
      </c>
      <c r="K21" s="64" t="s">
        <v>37</v>
      </c>
      <c r="L21" s="64" t="s">
        <v>31</v>
      </c>
      <c r="M21" s="64" t="s">
        <v>28</v>
      </c>
      <c r="N21" s="64" t="s">
        <v>576</v>
      </c>
      <c r="O21" s="65">
        <v>1</v>
      </c>
      <c r="P21" s="65">
        <v>0</v>
      </c>
      <c r="Q21" s="65">
        <v>0</v>
      </c>
      <c r="R21" s="65">
        <v>1</v>
      </c>
      <c r="S21" s="65">
        <v>100</v>
      </c>
      <c r="T21" s="65">
        <v>0</v>
      </c>
      <c r="U21" s="65">
        <v>0</v>
      </c>
      <c r="V21" s="65">
        <v>100</v>
      </c>
      <c r="W21" s="65">
        <v>100</v>
      </c>
      <c r="X21" s="65">
        <v>0</v>
      </c>
      <c r="Y21" s="65">
        <v>0</v>
      </c>
      <c r="Z21" s="65">
        <v>30</v>
      </c>
      <c r="AA21" s="65">
        <v>0</v>
      </c>
      <c r="AB21" s="65">
        <v>0</v>
      </c>
      <c r="AC21" s="65">
        <v>70</v>
      </c>
      <c r="AD21" s="64" t="s">
        <v>577</v>
      </c>
    </row>
    <row r="22" spans="1:30">
      <c r="A22" s="64" t="s">
        <v>568</v>
      </c>
      <c r="B22" s="64" t="s">
        <v>569</v>
      </c>
      <c r="C22" s="64" t="s">
        <v>570</v>
      </c>
      <c r="D22" s="64" t="s">
        <v>571</v>
      </c>
      <c r="E22" s="64" t="s">
        <v>29</v>
      </c>
      <c r="F22" s="64" t="s">
        <v>632</v>
      </c>
      <c r="G22" s="64" t="s">
        <v>633</v>
      </c>
      <c r="H22" s="64" t="s">
        <v>634</v>
      </c>
      <c r="I22" s="64" t="s">
        <v>575</v>
      </c>
      <c r="J22" s="64" t="s">
        <v>24</v>
      </c>
      <c r="K22" s="64" t="s">
        <v>37</v>
      </c>
      <c r="L22" s="64" t="s">
        <v>31</v>
      </c>
      <c r="M22" s="64" t="s">
        <v>28</v>
      </c>
      <c r="N22" s="64" t="s">
        <v>576</v>
      </c>
      <c r="O22" s="65">
        <v>1</v>
      </c>
      <c r="P22" s="65">
        <v>0</v>
      </c>
      <c r="Q22" s="65">
        <v>0</v>
      </c>
      <c r="R22" s="65">
        <v>1</v>
      </c>
      <c r="S22" s="65">
        <v>100</v>
      </c>
      <c r="T22" s="65">
        <v>0</v>
      </c>
      <c r="U22" s="65">
        <v>0</v>
      </c>
      <c r="V22" s="65">
        <v>100</v>
      </c>
      <c r="W22" s="65">
        <v>100</v>
      </c>
      <c r="X22" s="65">
        <v>0</v>
      </c>
      <c r="Y22" s="65">
        <v>0</v>
      </c>
      <c r="Z22" s="65">
        <v>30</v>
      </c>
      <c r="AA22" s="65">
        <v>0</v>
      </c>
      <c r="AB22" s="65">
        <v>0</v>
      </c>
      <c r="AC22" s="65">
        <v>70</v>
      </c>
      <c r="AD22" s="64" t="s">
        <v>577</v>
      </c>
    </row>
    <row r="23" spans="1:30">
      <c r="A23" s="64" t="s">
        <v>568</v>
      </c>
      <c r="B23" s="64" t="s">
        <v>569</v>
      </c>
      <c r="C23" s="64" t="s">
        <v>570</v>
      </c>
      <c r="D23" s="64" t="s">
        <v>571</v>
      </c>
      <c r="E23" s="64" t="s">
        <v>29</v>
      </c>
      <c r="F23" s="64" t="s">
        <v>635</v>
      </c>
      <c r="G23" s="64" t="s">
        <v>636</v>
      </c>
      <c r="H23" s="64" t="s">
        <v>637</v>
      </c>
      <c r="I23" s="64" t="s">
        <v>575</v>
      </c>
      <c r="J23" s="64" t="s">
        <v>24</v>
      </c>
      <c r="K23" s="64" t="s">
        <v>37</v>
      </c>
      <c r="L23" s="64" t="s">
        <v>31</v>
      </c>
      <c r="M23" s="64" t="s">
        <v>28</v>
      </c>
      <c r="N23" s="64" t="s">
        <v>576</v>
      </c>
      <c r="O23" s="65">
        <v>1</v>
      </c>
      <c r="P23" s="65">
        <v>0</v>
      </c>
      <c r="Q23" s="65">
        <v>0</v>
      </c>
      <c r="R23" s="65">
        <v>1</v>
      </c>
      <c r="S23" s="65">
        <v>100</v>
      </c>
      <c r="T23" s="65">
        <v>0</v>
      </c>
      <c r="U23" s="65">
        <v>0</v>
      </c>
      <c r="V23" s="65">
        <v>100</v>
      </c>
      <c r="W23" s="65">
        <v>100</v>
      </c>
      <c r="X23" s="65">
        <v>0</v>
      </c>
      <c r="Y23" s="65">
        <v>0</v>
      </c>
      <c r="Z23" s="65">
        <v>30</v>
      </c>
      <c r="AA23" s="65">
        <v>0</v>
      </c>
      <c r="AB23" s="65">
        <v>0</v>
      </c>
      <c r="AC23" s="65">
        <v>70</v>
      </c>
      <c r="AD23" s="64" t="s">
        <v>577</v>
      </c>
    </row>
    <row r="24" spans="1:30">
      <c r="A24" s="64" t="s">
        <v>568</v>
      </c>
      <c r="B24" s="64" t="s">
        <v>569</v>
      </c>
      <c r="C24" s="64" t="s">
        <v>570</v>
      </c>
      <c r="D24" s="64" t="s">
        <v>571</v>
      </c>
      <c r="E24" s="64" t="s">
        <v>29</v>
      </c>
      <c r="F24" s="64" t="s">
        <v>638</v>
      </c>
      <c r="G24" s="64" t="s">
        <v>639</v>
      </c>
      <c r="H24" s="64" t="s">
        <v>640</v>
      </c>
      <c r="I24" s="64" t="s">
        <v>575</v>
      </c>
      <c r="J24" s="64" t="s">
        <v>24</v>
      </c>
      <c r="K24" s="64" t="s">
        <v>37</v>
      </c>
      <c r="L24" s="64" t="s">
        <v>31</v>
      </c>
      <c r="M24" s="64" t="s">
        <v>28</v>
      </c>
      <c r="N24" s="64" t="s">
        <v>576</v>
      </c>
      <c r="O24" s="65">
        <v>1</v>
      </c>
      <c r="P24" s="65">
        <v>0</v>
      </c>
      <c r="Q24" s="65">
        <v>0</v>
      </c>
      <c r="R24" s="65">
        <v>1</v>
      </c>
      <c r="S24" s="65">
        <v>100</v>
      </c>
      <c r="T24" s="65">
        <v>0</v>
      </c>
      <c r="U24" s="65">
        <v>0</v>
      </c>
      <c r="V24" s="65">
        <v>100</v>
      </c>
      <c r="W24" s="65">
        <v>100</v>
      </c>
      <c r="X24" s="65">
        <v>0</v>
      </c>
      <c r="Y24" s="65">
        <v>0</v>
      </c>
      <c r="Z24" s="65">
        <v>30</v>
      </c>
      <c r="AA24" s="65">
        <v>0</v>
      </c>
      <c r="AB24" s="65">
        <v>0</v>
      </c>
      <c r="AC24" s="65">
        <v>70</v>
      </c>
      <c r="AD24" s="64" t="s">
        <v>577</v>
      </c>
    </row>
    <row r="25" spans="1:30">
      <c r="A25" s="64" t="s">
        <v>568</v>
      </c>
      <c r="B25" s="64" t="s">
        <v>569</v>
      </c>
      <c r="C25" s="64" t="s">
        <v>570</v>
      </c>
      <c r="D25" s="64" t="s">
        <v>571</v>
      </c>
      <c r="E25" s="64" t="s">
        <v>29</v>
      </c>
      <c r="F25" s="64" t="s">
        <v>641</v>
      </c>
      <c r="G25" s="64" t="s">
        <v>642</v>
      </c>
      <c r="H25" s="64" t="s">
        <v>643</v>
      </c>
      <c r="I25" s="64" t="s">
        <v>575</v>
      </c>
      <c r="J25" s="64" t="s">
        <v>24</v>
      </c>
      <c r="K25" s="64" t="s">
        <v>37</v>
      </c>
      <c r="L25" s="64" t="s">
        <v>31</v>
      </c>
      <c r="M25" s="64" t="s">
        <v>28</v>
      </c>
      <c r="N25" s="64" t="s">
        <v>576</v>
      </c>
      <c r="O25" s="65">
        <v>1</v>
      </c>
      <c r="P25" s="65">
        <v>0</v>
      </c>
      <c r="Q25" s="65">
        <v>0</v>
      </c>
      <c r="R25" s="65">
        <v>1</v>
      </c>
      <c r="S25" s="65">
        <v>100</v>
      </c>
      <c r="T25" s="65">
        <v>0</v>
      </c>
      <c r="U25" s="65">
        <v>0</v>
      </c>
      <c r="V25" s="65">
        <v>100</v>
      </c>
      <c r="W25" s="65">
        <v>100</v>
      </c>
      <c r="X25" s="65">
        <v>0</v>
      </c>
      <c r="Y25" s="65">
        <v>0</v>
      </c>
      <c r="Z25" s="65">
        <v>30</v>
      </c>
      <c r="AA25" s="65">
        <v>0</v>
      </c>
      <c r="AB25" s="65">
        <v>0</v>
      </c>
      <c r="AC25" s="65">
        <v>70</v>
      </c>
      <c r="AD25" s="64" t="s">
        <v>577</v>
      </c>
    </row>
    <row r="26" spans="1:30">
      <c r="A26" s="64" t="s">
        <v>568</v>
      </c>
      <c r="B26" s="64" t="s">
        <v>569</v>
      </c>
      <c r="C26" s="64" t="s">
        <v>570</v>
      </c>
      <c r="D26" s="64" t="s">
        <v>571</v>
      </c>
      <c r="E26" s="64" t="s">
        <v>29</v>
      </c>
      <c r="F26" s="64" t="s">
        <v>644</v>
      </c>
      <c r="G26" s="64" t="s">
        <v>645</v>
      </c>
      <c r="H26" s="64" t="s">
        <v>646</v>
      </c>
      <c r="I26" s="64" t="s">
        <v>575</v>
      </c>
      <c r="J26" s="64" t="s">
        <v>24</v>
      </c>
      <c r="K26" s="64" t="s">
        <v>37</v>
      </c>
      <c r="L26" s="64" t="s">
        <v>31</v>
      </c>
      <c r="M26" s="64" t="s">
        <v>28</v>
      </c>
      <c r="N26" s="64" t="s">
        <v>576</v>
      </c>
      <c r="O26" s="65">
        <v>1</v>
      </c>
      <c r="P26" s="65">
        <v>0</v>
      </c>
      <c r="Q26" s="65">
        <v>0</v>
      </c>
      <c r="R26" s="65">
        <v>1</v>
      </c>
      <c r="S26" s="65">
        <v>100</v>
      </c>
      <c r="T26" s="65">
        <v>0</v>
      </c>
      <c r="U26" s="65">
        <v>0</v>
      </c>
      <c r="V26" s="65">
        <v>100</v>
      </c>
      <c r="W26" s="65">
        <v>100</v>
      </c>
      <c r="X26" s="65">
        <v>0</v>
      </c>
      <c r="Y26" s="65">
        <v>0</v>
      </c>
      <c r="Z26" s="65">
        <v>30</v>
      </c>
      <c r="AA26" s="65">
        <v>0</v>
      </c>
      <c r="AB26" s="65">
        <v>0</v>
      </c>
      <c r="AC26" s="65">
        <v>70</v>
      </c>
      <c r="AD26" s="64" t="s">
        <v>577</v>
      </c>
    </row>
    <row r="27" spans="1:30">
      <c r="A27" s="64" t="s">
        <v>568</v>
      </c>
      <c r="B27" s="64" t="s">
        <v>569</v>
      </c>
      <c r="C27" s="64" t="s">
        <v>570</v>
      </c>
      <c r="D27" s="64" t="s">
        <v>571</v>
      </c>
      <c r="E27" s="64" t="s">
        <v>29</v>
      </c>
      <c r="F27" s="64" t="s">
        <v>647</v>
      </c>
      <c r="G27" s="64" t="s">
        <v>648</v>
      </c>
      <c r="H27" s="64" t="s">
        <v>649</v>
      </c>
      <c r="I27" s="64" t="s">
        <v>575</v>
      </c>
      <c r="J27" s="64" t="s">
        <v>24</v>
      </c>
      <c r="K27" s="64" t="s">
        <v>37</v>
      </c>
      <c r="L27" s="64" t="s">
        <v>31</v>
      </c>
      <c r="M27" s="64" t="s">
        <v>28</v>
      </c>
      <c r="N27" s="64" t="s">
        <v>576</v>
      </c>
      <c r="O27" s="65">
        <v>1</v>
      </c>
      <c r="P27" s="65">
        <v>0</v>
      </c>
      <c r="Q27" s="65">
        <v>0</v>
      </c>
      <c r="R27" s="65">
        <v>1</v>
      </c>
      <c r="S27" s="65">
        <v>100</v>
      </c>
      <c r="T27" s="65">
        <v>0</v>
      </c>
      <c r="U27" s="65">
        <v>0</v>
      </c>
      <c r="V27" s="65">
        <v>100</v>
      </c>
      <c r="W27" s="65">
        <v>100</v>
      </c>
      <c r="X27" s="65">
        <v>0</v>
      </c>
      <c r="Y27" s="65">
        <v>0</v>
      </c>
      <c r="Z27" s="65">
        <v>30</v>
      </c>
      <c r="AA27" s="65">
        <v>0</v>
      </c>
      <c r="AB27" s="65">
        <v>0</v>
      </c>
      <c r="AC27" s="65">
        <v>70</v>
      </c>
      <c r="AD27" s="64" t="s">
        <v>577</v>
      </c>
    </row>
    <row r="28" spans="1:30">
      <c r="A28" s="64" t="s">
        <v>568</v>
      </c>
      <c r="B28" s="64" t="s">
        <v>569</v>
      </c>
      <c r="C28" s="64" t="s">
        <v>570</v>
      </c>
      <c r="D28" s="64" t="s">
        <v>571</v>
      </c>
      <c r="E28" s="64" t="s">
        <v>29</v>
      </c>
      <c r="F28" s="64" t="s">
        <v>650</v>
      </c>
      <c r="G28" s="64" t="s">
        <v>651</v>
      </c>
      <c r="H28" s="64" t="s">
        <v>652</v>
      </c>
      <c r="I28" s="64" t="s">
        <v>575</v>
      </c>
      <c r="J28" s="64" t="s">
        <v>24</v>
      </c>
      <c r="K28" s="64" t="s">
        <v>37</v>
      </c>
      <c r="L28" s="64" t="s">
        <v>31</v>
      </c>
      <c r="M28" s="64" t="s">
        <v>28</v>
      </c>
      <c r="N28" s="64" t="s">
        <v>576</v>
      </c>
      <c r="O28" s="65">
        <v>1</v>
      </c>
      <c r="P28" s="65">
        <v>0</v>
      </c>
      <c r="Q28" s="65">
        <v>0</v>
      </c>
      <c r="R28" s="65">
        <v>1</v>
      </c>
      <c r="S28" s="65">
        <v>100</v>
      </c>
      <c r="T28" s="65">
        <v>0</v>
      </c>
      <c r="U28" s="65">
        <v>0</v>
      </c>
      <c r="V28" s="65">
        <v>100</v>
      </c>
      <c r="W28" s="65">
        <v>100</v>
      </c>
      <c r="X28" s="65">
        <v>0</v>
      </c>
      <c r="Y28" s="65">
        <v>0</v>
      </c>
      <c r="Z28" s="65">
        <v>30</v>
      </c>
      <c r="AA28" s="65">
        <v>0</v>
      </c>
      <c r="AB28" s="65">
        <v>0</v>
      </c>
      <c r="AC28" s="65">
        <v>70</v>
      </c>
      <c r="AD28" s="64" t="s">
        <v>577</v>
      </c>
    </row>
    <row r="29" spans="1:30">
      <c r="A29" s="64" t="s">
        <v>568</v>
      </c>
      <c r="B29" s="64" t="s">
        <v>569</v>
      </c>
      <c r="C29" s="64" t="s">
        <v>570</v>
      </c>
      <c r="D29" s="64" t="s">
        <v>571</v>
      </c>
      <c r="E29" s="64" t="s">
        <v>29</v>
      </c>
      <c r="F29" s="64" t="s">
        <v>653</v>
      </c>
      <c r="G29" s="64" t="s">
        <v>654</v>
      </c>
      <c r="H29" s="64" t="s">
        <v>655</v>
      </c>
      <c r="I29" s="64" t="s">
        <v>575</v>
      </c>
      <c r="J29" s="64" t="s">
        <v>24</v>
      </c>
      <c r="K29" s="64" t="s">
        <v>37</v>
      </c>
      <c r="L29" s="64" t="s">
        <v>31</v>
      </c>
      <c r="M29" s="64" t="s">
        <v>28</v>
      </c>
      <c r="N29" s="64" t="s">
        <v>576</v>
      </c>
      <c r="O29" s="65">
        <v>1</v>
      </c>
      <c r="P29" s="65">
        <v>0</v>
      </c>
      <c r="Q29" s="65">
        <v>0</v>
      </c>
      <c r="R29" s="65">
        <v>1</v>
      </c>
      <c r="S29" s="65">
        <v>100</v>
      </c>
      <c r="T29" s="65">
        <v>0</v>
      </c>
      <c r="U29" s="65">
        <v>0</v>
      </c>
      <c r="V29" s="65">
        <v>100</v>
      </c>
      <c r="W29" s="65">
        <v>100</v>
      </c>
      <c r="X29" s="65">
        <v>0</v>
      </c>
      <c r="Y29" s="65">
        <v>0</v>
      </c>
      <c r="Z29" s="65">
        <v>30</v>
      </c>
      <c r="AA29" s="65">
        <v>0</v>
      </c>
      <c r="AB29" s="65">
        <v>0</v>
      </c>
      <c r="AC29" s="65">
        <v>70</v>
      </c>
      <c r="AD29" s="64" t="s">
        <v>577</v>
      </c>
    </row>
    <row r="30" spans="1:30">
      <c r="A30" s="64" t="s">
        <v>568</v>
      </c>
      <c r="B30" s="64" t="s">
        <v>569</v>
      </c>
      <c r="C30" s="64" t="s">
        <v>570</v>
      </c>
      <c r="D30" s="64" t="s">
        <v>571</v>
      </c>
      <c r="E30" s="64" t="s">
        <v>29</v>
      </c>
      <c r="F30" s="64" t="s">
        <v>656</v>
      </c>
      <c r="G30" s="64" t="s">
        <v>657</v>
      </c>
      <c r="H30" s="64" t="s">
        <v>658</v>
      </c>
      <c r="I30" s="64" t="s">
        <v>575</v>
      </c>
      <c r="J30" s="64" t="s">
        <v>24</v>
      </c>
      <c r="K30" s="64" t="s">
        <v>37</v>
      </c>
      <c r="L30" s="64" t="s">
        <v>31</v>
      </c>
      <c r="M30" s="64" t="s">
        <v>28</v>
      </c>
      <c r="N30" s="64" t="s">
        <v>576</v>
      </c>
      <c r="O30" s="65">
        <v>1</v>
      </c>
      <c r="P30" s="65">
        <v>0</v>
      </c>
      <c r="Q30" s="65">
        <v>0</v>
      </c>
      <c r="R30" s="65">
        <v>1</v>
      </c>
      <c r="S30" s="65">
        <v>100</v>
      </c>
      <c r="T30" s="65">
        <v>0</v>
      </c>
      <c r="U30" s="65">
        <v>0</v>
      </c>
      <c r="V30" s="65">
        <v>100</v>
      </c>
      <c r="W30" s="65">
        <v>100</v>
      </c>
      <c r="X30" s="65">
        <v>0</v>
      </c>
      <c r="Y30" s="65">
        <v>0</v>
      </c>
      <c r="Z30" s="65">
        <v>30</v>
      </c>
      <c r="AA30" s="65">
        <v>0</v>
      </c>
      <c r="AB30" s="65">
        <v>0</v>
      </c>
      <c r="AC30" s="65">
        <v>70</v>
      </c>
      <c r="AD30" s="64" t="s">
        <v>577</v>
      </c>
    </row>
    <row r="31" spans="1:30">
      <c r="A31" s="64" t="s">
        <v>568</v>
      </c>
      <c r="B31" s="64" t="s">
        <v>569</v>
      </c>
      <c r="C31" s="64" t="s">
        <v>570</v>
      </c>
      <c r="D31" s="64" t="s">
        <v>571</v>
      </c>
      <c r="E31" s="64" t="s">
        <v>29</v>
      </c>
      <c r="F31" s="64" t="s">
        <v>659</v>
      </c>
      <c r="G31" s="64" t="s">
        <v>660</v>
      </c>
      <c r="H31" s="64" t="s">
        <v>661</v>
      </c>
      <c r="I31" s="64" t="s">
        <v>575</v>
      </c>
      <c r="J31" s="64" t="s">
        <v>24</v>
      </c>
      <c r="K31" s="64" t="s">
        <v>37</v>
      </c>
      <c r="L31" s="64" t="s">
        <v>31</v>
      </c>
      <c r="M31" s="64" t="s">
        <v>28</v>
      </c>
      <c r="N31" s="64" t="s">
        <v>576</v>
      </c>
      <c r="O31" s="65">
        <v>1</v>
      </c>
      <c r="P31" s="65">
        <v>0</v>
      </c>
      <c r="Q31" s="65">
        <v>0</v>
      </c>
      <c r="R31" s="65">
        <v>1</v>
      </c>
      <c r="S31" s="65">
        <v>100</v>
      </c>
      <c r="T31" s="65">
        <v>0</v>
      </c>
      <c r="U31" s="65">
        <v>0</v>
      </c>
      <c r="V31" s="65">
        <v>100</v>
      </c>
      <c r="W31" s="65">
        <v>100</v>
      </c>
      <c r="X31" s="65">
        <v>0</v>
      </c>
      <c r="Y31" s="65">
        <v>0</v>
      </c>
      <c r="Z31" s="65">
        <v>30</v>
      </c>
      <c r="AA31" s="65">
        <v>0</v>
      </c>
      <c r="AB31" s="65">
        <v>0</v>
      </c>
      <c r="AC31" s="65">
        <v>70</v>
      </c>
      <c r="AD31" s="64" t="s">
        <v>577</v>
      </c>
    </row>
    <row r="32" spans="1:30">
      <c r="A32" s="64" t="s">
        <v>568</v>
      </c>
      <c r="B32" s="64" t="s">
        <v>569</v>
      </c>
      <c r="C32" s="64" t="s">
        <v>570</v>
      </c>
      <c r="D32" s="64" t="s">
        <v>571</v>
      </c>
      <c r="E32" s="64" t="s">
        <v>29</v>
      </c>
      <c r="F32" s="64" t="s">
        <v>662</v>
      </c>
      <c r="G32" s="64" t="s">
        <v>663</v>
      </c>
      <c r="H32" s="64" t="s">
        <v>664</v>
      </c>
      <c r="I32" s="64" t="s">
        <v>575</v>
      </c>
      <c r="J32" s="64" t="s">
        <v>24</v>
      </c>
      <c r="K32" s="64" t="s">
        <v>37</v>
      </c>
      <c r="L32" s="64" t="s">
        <v>31</v>
      </c>
      <c r="M32" s="64" t="s">
        <v>28</v>
      </c>
      <c r="N32" s="64" t="s">
        <v>576</v>
      </c>
      <c r="O32" s="65">
        <v>1</v>
      </c>
      <c r="P32" s="65">
        <v>0</v>
      </c>
      <c r="Q32" s="65">
        <v>0</v>
      </c>
      <c r="R32" s="65">
        <v>1</v>
      </c>
      <c r="S32" s="65">
        <v>100</v>
      </c>
      <c r="T32" s="65">
        <v>0</v>
      </c>
      <c r="U32" s="65">
        <v>0</v>
      </c>
      <c r="V32" s="65">
        <v>100</v>
      </c>
      <c r="W32" s="65">
        <v>100</v>
      </c>
      <c r="X32" s="65">
        <v>0</v>
      </c>
      <c r="Y32" s="65">
        <v>0</v>
      </c>
      <c r="Z32" s="65">
        <v>30</v>
      </c>
      <c r="AA32" s="65">
        <v>0</v>
      </c>
      <c r="AB32" s="65">
        <v>0</v>
      </c>
      <c r="AC32" s="65">
        <v>70</v>
      </c>
      <c r="AD32" s="64" t="s">
        <v>577</v>
      </c>
    </row>
    <row r="33" spans="1:30">
      <c r="A33" s="64" t="s">
        <v>568</v>
      </c>
      <c r="B33" s="64" t="s">
        <v>569</v>
      </c>
      <c r="C33" s="64" t="s">
        <v>570</v>
      </c>
      <c r="D33" s="64" t="s">
        <v>571</v>
      </c>
      <c r="E33" s="64" t="s">
        <v>29</v>
      </c>
      <c r="F33" s="64" t="s">
        <v>665</v>
      </c>
      <c r="G33" s="64" t="s">
        <v>666</v>
      </c>
      <c r="H33" s="64" t="s">
        <v>667</v>
      </c>
      <c r="I33" s="64" t="s">
        <v>575</v>
      </c>
      <c r="J33" s="64" t="s">
        <v>24</v>
      </c>
      <c r="K33" s="64" t="s">
        <v>37</v>
      </c>
      <c r="L33" s="64" t="s">
        <v>31</v>
      </c>
      <c r="M33" s="64" t="s">
        <v>28</v>
      </c>
      <c r="N33" s="64" t="s">
        <v>576</v>
      </c>
      <c r="O33" s="65">
        <v>1</v>
      </c>
      <c r="P33" s="65">
        <v>0</v>
      </c>
      <c r="Q33" s="65">
        <v>0</v>
      </c>
      <c r="R33" s="65">
        <v>1</v>
      </c>
      <c r="S33" s="65">
        <v>100</v>
      </c>
      <c r="T33" s="65">
        <v>0</v>
      </c>
      <c r="U33" s="65">
        <v>0</v>
      </c>
      <c r="V33" s="65">
        <v>100</v>
      </c>
      <c r="W33" s="65">
        <v>100</v>
      </c>
      <c r="X33" s="65">
        <v>0</v>
      </c>
      <c r="Y33" s="65">
        <v>0</v>
      </c>
      <c r="Z33" s="65">
        <v>30</v>
      </c>
      <c r="AA33" s="65">
        <v>0</v>
      </c>
      <c r="AB33" s="65">
        <v>0</v>
      </c>
      <c r="AC33" s="65">
        <v>70</v>
      </c>
      <c r="AD33" s="64" t="s">
        <v>577</v>
      </c>
    </row>
    <row r="34" spans="1:30">
      <c r="A34" s="64" t="s">
        <v>568</v>
      </c>
      <c r="B34" s="64" t="s">
        <v>569</v>
      </c>
      <c r="C34" s="64" t="s">
        <v>570</v>
      </c>
      <c r="D34" s="64" t="s">
        <v>571</v>
      </c>
      <c r="E34" s="64" t="s">
        <v>29</v>
      </c>
      <c r="F34" s="64" t="s">
        <v>668</v>
      </c>
      <c r="G34" s="64" t="s">
        <v>669</v>
      </c>
      <c r="H34" s="64" t="s">
        <v>670</v>
      </c>
      <c r="I34" s="64" t="s">
        <v>575</v>
      </c>
      <c r="J34" s="64" t="s">
        <v>24</v>
      </c>
      <c r="K34" s="64" t="s">
        <v>37</v>
      </c>
      <c r="L34" s="64" t="s">
        <v>31</v>
      </c>
      <c r="M34" s="64" t="s">
        <v>28</v>
      </c>
      <c r="N34" s="64" t="s">
        <v>576</v>
      </c>
      <c r="O34" s="65">
        <v>1</v>
      </c>
      <c r="P34" s="65">
        <v>0</v>
      </c>
      <c r="Q34" s="65">
        <v>0</v>
      </c>
      <c r="R34" s="65">
        <v>1</v>
      </c>
      <c r="S34" s="65">
        <v>100</v>
      </c>
      <c r="T34" s="65">
        <v>0</v>
      </c>
      <c r="U34" s="65">
        <v>0</v>
      </c>
      <c r="V34" s="65">
        <v>100</v>
      </c>
      <c r="W34" s="65">
        <v>100</v>
      </c>
      <c r="X34" s="65">
        <v>0</v>
      </c>
      <c r="Y34" s="65">
        <v>0</v>
      </c>
      <c r="Z34" s="65">
        <v>30</v>
      </c>
      <c r="AA34" s="65">
        <v>0</v>
      </c>
      <c r="AB34" s="65">
        <v>0</v>
      </c>
      <c r="AC34" s="65">
        <v>70</v>
      </c>
      <c r="AD34" s="64" t="s">
        <v>577</v>
      </c>
    </row>
    <row r="35" spans="1:30">
      <c r="A35" s="64" t="s">
        <v>568</v>
      </c>
      <c r="B35" s="64" t="s">
        <v>569</v>
      </c>
      <c r="C35" s="64" t="s">
        <v>570</v>
      </c>
      <c r="D35" s="64" t="s">
        <v>571</v>
      </c>
      <c r="E35" s="64" t="s">
        <v>29</v>
      </c>
      <c r="F35" s="64" t="s">
        <v>671</v>
      </c>
      <c r="G35" s="64" t="s">
        <v>672</v>
      </c>
      <c r="H35" s="64" t="s">
        <v>673</v>
      </c>
      <c r="I35" s="64" t="s">
        <v>575</v>
      </c>
      <c r="J35" s="64" t="s">
        <v>24</v>
      </c>
      <c r="K35" s="64" t="s">
        <v>37</v>
      </c>
      <c r="L35" s="64" t="s">
        <v>31</v>
      </c>
      <c r="M35" s="64" t="s">
        <v>28</v>
      </c>
      <c r="N35" s="64" t="s">
        <v>576</v>
      </c>
      <c r="O35" s="65">
        <v>1</v>
      </c>
      <c r="P35" s="65">
        <v>0</v>
      </c>
      <c r="Q35" s="65">
        <v>0</v>
      </c>
      <c r="R35" s="65">
        <v>1</v>
      </c>
      <c r="S35" s="65">
        <v>100</v>
      </c>
      <c r="T35" s="65">
        <v>0</v>
      </c>
      <c r="U35" s="65">
        <v>0</v>
      </c>
      <c r="V35" s="65">
        <v>100</v>
      </c>
      <c r="W35" s="65">
        <v>100</v>
      </c>
      <c r="X35" s="65">
        <v>0</v>
      </c>
      <c r="Y35" s="65">
        <v>0</v>
      </c>
      <c r="Z35" s="65">
        <v>30</v>
      </c>
      <c r="AA35" s="65">
        <v>0</v>
      </c>
      <c r="AB35" s="65">
        <v>0</v>
      </c>
      <c r="AC35" s="65">
        <v>70</v>
      </c>
      <c r="AD35" s="64" t="s">
        <v>577</v>
      </c>
    </row>
    <row r="36" spans="1:30">
      <c r="A36" s="64" t="s">
        <v>568</v>
      </c>
      <c r="B36" s="64" t="s">
        <v>569</v>
      </c>
      <c r="C36" s="64" t="s">
        <v>570</v>
      </c>
      <c r="D36" s="64" t="s">
        <v>571</v>
      </c>
      <c r="E36" s="64" t="s">
        <v>29</v>
      </c>
      <c r="F36" s="64" t="s">
        <v>674</v>
      </c>
      <c r="G36" s="64" t="s">
        <v>675</v>
      </c>
      <c r="H36" s="64" t="s">
        <v>676</v>
      </c>
      <c r="I36" s="64" t="s">
        <v>575</v>
      </c>
      <c r="J36" s="64" t="s">
        <v>24</v>
      </c>
      <c r="K36" s="64" t="s">
        <v>37</v>
      </c>
      <c r="L36" s="64" t="s">
        <v>31</v>
      </c>
      <c r="M36" s="64" t="s">
        <v>28</v>
      </c>
      <c r="N36" s="64" t="s">
        <v>576</v>
      </c>
      <c r="O36" s="65">
        <v>1</v>
      </c>
      <c r="P36" s="65">
        <v>0</v>
      </c>
      <c r="Q36" s="65">
        <v>0</v>
      </c>
      <c r="R36" s="65">
        <v>1</v>
      </c>
      <c r="S36" s="65">
        <v>100</v>
      </c>
      <c r="T36" s="65">
        <v>0</v>
      </c>
      <c r="U36" s="65">
        <v>0</v>
      </c>
      <c r="V36" s="65">
        <v>100</v>
      </c>
      <c r="W36" s="65">
        <v>100</v>
      </c>
      <c r="X36" s="65">
        <v>0</v>
      </c>
      <c r="Y36" s="65">
        <v>0</v>
      </c>
      <c r="Z36" s="65">
        <v>30</v>
      </c>
      <c r="AA36" s="65">
        <v>0</v>
      </c>
      <c r="AB36" s="65">
        <v>0</v>
      </c>
      <c r="AC36" s="65">
        <v>70</v>
      </c>
      <c r="AD36" s="64" t="s">
        <v>577</v>
      </c>
    </row>
    <row r="37" spans="1:30">
      <c r="A37" s="64" t="s">
        <v>568</v>
      </c>
      <c r="B37" s="64" t="s">
        <v>569</v>
      </c>
      <c r="C37" s="64" t="s">
        <v>570</v>
      </c>
      <c r="D37" s="64" t="s">
        <v>571</v>
      </c>
      <c r="E37" s="64" t="s">
        <v>29</v>
      </c>
      <c r="F37" s="64" t="s">
        <v>677</v>
      </c>
      <c r="G37" s="64" t="s">
        <v>678</v>
      </c>
      <c r="H37" s="64" t="s">
        <v>679</v>
      </c>
      <c r="I37" s="64" t="s">
        <v>575</v>
      </c>
      <c r="J37" s="64" t="s">
        <v>24</v>
      </c>
      <c r="K37" s="64" t="s">
        <v>37</v>
      </c>
      <c r="L37" s="64" t="s">
        <v>31</v>
      </c>
      <c r="M37" s="64" t="s">
        <v>28</v>
      </c>
      <c r="N37" s="64" t="s">
        <v>576</v>
      </c>
      <c r="O37" s="65">
        <v>1</v>
      </c>
      <c r="P37" s="65">
        <v>0</v>
      </c>
      <c r="Q37" s="65">
        <v>0</v>
      </c>
      <c r="R37" s="65">
        <v>1</v>
      </c>
      <c r="S37" s="65">
        <v>100</v>
      </c>
      <c r="T37" s="65">
        <v>0</v>
      </c>
      <c r="U37" s="65">
        <v>0</v>
      </c>
      <c r="V37" s="65">
        <v>100</v>
      </c>
      <c r="W37" s="65">
        <v>100</v>
      </c>
      <c r="X37" s="65">
        <v>0</v>
      </c>
      <c r="Y37" s="65">
        <v>0</v>
      </c>
      <c r="Z37" s="65">
        <v>30</v>
      </c>
      <c r="AA37" s="65">
        <v>0</v>
      </c>
      <c r="AB37" s="65">
        <v>0</v>
      </c>
      <c r="AC37" s="65">
        <v>70</v>
      </c>
      <c r="AD37" s="64" t="s">
        <v>577</v>
      </c>
    </row>
    <row r="38" spans="1:30">
      <c r="A38" s="64" t="s">
        <v>568</v>
      </c>
      <c r="B38" s="64" t="s">
        <v>569</v>
      </c>
      <c r="C38" s="64" t="s">
        <v>570</v>
      </c>
      <c r="D38" s="64" t="s">
        <v>571</v>
      </c>
      <c r="E38" s="64" t="s">
        <v>29</v>
      </c>
      <c r="F38" s="64" t="s">
        <v>680</v>
      </c>
      <c r="G38" s="64" t="s">
        <v>681</v>
      </c>
      <c r="H38" s="64" t="s">
        <v>682</v>
      </c>
      <c r="I38" s="64" t="s">
        <v>575</v>
      </c>
      <c r="J38" s="64" t="s">
        <v>24</v>
      </c>
      <c r="K38" s="64" t="s">
        <v>37</v>
      </c>
      <c r="L38" s="64" t="s">
        <v>31</v>
      </c>
      <c r="M38" s="64" t="s">
        <v>28</v>
      </c>
      <c r="N38" s="64" t="s">
        <v>576</v>
      </c>
      <c r="O38" s="65">
        <v>1</v>
      </c>
      <c r="P38" s="65">
        <v>0</v>
      </c>
      <c r="Q38" s="65">
        <v>0</v>
      </c>
      <c r="R38" s="65">
        <v>1</v>
      </c>
      <c r="S38" s="65">
        <v>100</v>
      </c>
      <c r="T38" s="65">
        <v>0</v>
      </c>
      <c r="U38" s="65">
        <v>0</v>
      </c>
      <c r="V38" s="65">
        <v>100</v>
      </c>
      <c r="W38" s="65">
        <v>100</v>
      </c>
      <c r="X38" s="65">
        <v>0</v>
      </c>
      <c r="Y38" s="65">
        <v>0</v>
      </c>
      <c r="Z38" s="65">
        <v>30</v>
      </c>
      <c r="AA38" s="65">
        <v>0</v>
      </c>
      <c r="AB38" s="65">
        <v>0</v>
      </c>
      <c r="AC38" s="65">
        <v>70</v>
      </c>
      <c r="AD38" s="64" t="s">
        <v>577</v>
      </c>
    </row>
    <row r="39" spans="1:30">
      <c r="A39" s="64" t="s">
        <v>568</v>
      </c>
      <c r="B39" s="64" t="s">
        <v>569</v>
      </c>
      <c r="C39" s="64" t="s">
        <v>570</v>
      </c>
      <c r="D39" s="64" t="s">
        <v>571</v>
      </c>
      <c r="E39" s="64" t="s">
        <v>29</v>
      </c>
      <c r="F39" s="64" t="s">
        <v>683</v>
      </c>
      <c r="G39" s="64" t="s">
        <v>684</v>
      </c>
      <c r="H39" s="64" t="s">
        <v>685</v>
      </c>
      <c r="I39" s="64" t="s">
        <v>575</v>
      </c>
      <c r="J39" s="64" t="s">
        <v>24</v>
      </c>
      <c r="K39" s="64" t="s">
        <v>37</v>
      </c>
      <c r="L39" s="64" t="s">
        <v>31</v>
      </c>
      <c r="M39" s="64" t="s">
        <v>28</v>
      </c>
      <c r="N39" s="64" t="s">
        <v>576</v>
      </c>
      <c r="O39" s="65">
        <v>1</v>
      </c>
      <c r="P39" s="65">
        <v>0</v>
      </c>
      <c r="Q39" s="65">
        <v>0</v>
      </c>
      <c r="R39" s="65">
        <v>1</v>
      </c>
      <c r="S39" s="65">
        <v>100</v>
      </c>
      <c r="T39" s="65">
        <v>0</v>
      </c>
      <c r="U39" s="65">
        <v>0</v>
      </c>
      <c r="V39" s="65">
        <v>100</v>
      </c>
      <c r="W39" s="65">
        <v>100</v>
      </c>
      <c r="X39" s="65">
        <v>0</v>
      </c>
      <c r="Y39" s="65">
        <v>0</v>
      </c>
      <c r="Z39" s="65">
        <v>30</v>
      </c>
      <c r="AA39" s="65">
        <v>0</v>
      </c>
      <c r="AB39" s="65">
        <v>0</v>
      </c>
      <c r="AC39" s="65">
        <v>70</v>
      </c>
      <c r="AD39" s="64" t="s">
        <v>577</v>
      </c>
    </row>
    <row r="40" spans="1:30">
      <c r="A40" s="64" t="s">
        <v>568</v>
      </c>
      <c r="B40" s="64" t="s">
        <v>569</v>
      </c>
      <c r="C40" s="64" t="s">
        <v>570</v>
      </c>
      <c r="D40" s="64" t="s">
        <v>571</v>
      </c>
      <c r="E40" s="64" t="s">
        <v>29</v>
      </c>
      <c r="F40" s="64" t="s">
        <v>686</v>
      </c>
      <c r="G40" s="64" t="s">
        <v>687</v>
      </c>
      <c r="H40" s="64" t="s">
        <v>688</v>
      </c>
      <c r="I40" s="64" t="s">
        <v>575</v>
      </c>
      <c r="J40" s="64" t="s">
        <v>24</v>
      </c>
      <c r="K40" s="64" t="s">
        <v>37</v>
      </c>
      <c r="L40" s="64" t="s">
        <v>31</v>
      </c>
      <c r="M40" s="64" t="s">
        <v>28</v>
      </c>
      <c r="N40" s="64" t="s">
        <v>576</v>
      </c>
      <c r="O40" s="65">
        <v>1</v>
      </c>
      <c r="P40" s="65">
        <v>0</v>
      </c>
      <c r="Q40" s="65">
        <v>0</v>
      </c>
      <c r="R40" s="65">
        <v>1</v>
      </c>
      <c r="S40" s="65">
        <v>100</v>
      </c>
      <c r="T40" s="65">
        <v>0</v>
      </c>
      <c r="U40" s="65">
        <v>0</v>
      </c>
      <c r="V40" s="65">
        <v>100</v>
      </c>
      <c r="W40" s="65">
        <v>100</v>
      </c>
      <c r="X40" s="65">
        <v>0</v>
      </c>
      <c r="Y40" s="65">
        <v>0</v>
      </c>
      <c r="Z40" s="65">
        <v>30</v>
      </c>
      <c r="AA40" s="65">
        <v>0</v>
      </c>
      <c r="AB40" s="65">
        <v>0</v>
      </c>
      <c r="AC40" s="65">
        <v>70</v>
      </c>
      <c r="AD40" s="64" t="s">
        <v>577</v>
      </c>
    </row>
    <row r="41" spans="1:30">
      <c r="A41" s="64" t="s">
        <v>568</v>
      </c>
      <c r="B41" s="64" t="s">
        <v>569</v>
      </c>
      <c r="C41" s="64" t="s">
        <v>570</v>
      </c>
      <c r="D41" s="64" t="s">
        <v>571</v>
      </c>
      <c r="E41" s="64" t="s">
        <v>29</v>
      </c>
      <c r="F41" s="64" t="s">
        <v>689</v>
      </c>
      <c r="G41" s="64" t="s">
        <v>690</v>
      </c>
      <c r="H41" s="64" t="s">
        <v>691</v>
      </c>
      <c r="I41" s="64" t="s">
        <v>575</v>
      </c>
      <c r="J41" s="64" t="s">
        <v>24</v>
      </c>
      <c r="K41" s="64" t="s">
        <v>37</v>
      </c>
      <c r="L41" s="64" t="s">
        <v>31</v>
      </c>
      <c r="M41" s="64" t="s">
        <v>28</v>
      </c>
      <c r="N41" s="64" t="s">
        <v>576</v>
      </c>
      <c r="O41" s="65">
        <v>1</v>
      </c>
      <c r="P41" s="65">
        <v>0</v>
      </c>
      <c r="Q41" s="65">
        <v>0</v>
      </c>
      <c r="R41" s="65">
        <v>1</v>
      </c>
      <c r="S41" s="65">
        <v>100</v>
      </c>
      <c r="T41" s="65">
        <v>0</v>
      </c>
      <c r="U41" s="65">
        <v>0</v>
      </c>
      <c r="V41" s="65">
        <v>100</v>
      </c>
      <c r="W41" s="65">
        <v>100</v>
      </c>
      <c r="X41" s="65">
        <v>0</v>
      </c>
      <c r="Y41" s="65">
        <v>0</v>
      </c>
      <c r="Z41" s="65">
        <v>30</v>
      </c>
      <c r="AA41" s="65">
        <v>0</v>
      </c>
      <c r="AB41" s="65">
        <v>0</v>
      </c>
      <c r="AC41" s="65">
        <v>70</v>
      </c>
      <c r="AD41" s="64" t="s">
        <v>577</v>
      </c>
    </row>
    <row r="42" spans="1:30">
      <c r="A42" s="64" t="s">
        <v>568</v>
      </c>
      <c r="B42" s="64" t="s">
        <v>569</v>
      </c>
      <c r="C42" s="64" t="s">
        <v>570</v>
      </c>
      <c r="D42" s="64" t="s">
        <v>571</v>
      </c>
      <c r="E42" s="64" t="s">
        <v>29</v>
      </c>
      <c r="F42" s="64" t="s">
        <v>692</v>
      </c>
      <c r="G42" s="64" t="s">
        <v>693</v>
      </c>
      <c r="H42" s="64" t="s">
        <v>694</v>
      </c>
      <c r="I42" s="64" t="s">
        <v>575</v>
      </c>
      <c r="J42" s="64" t="s">
        <v>24</v>
      </c>
      <c r="K42" s="64" t="s">
        <v>37</v>
      </c>
      <c r="L42" s="64" t="s">
        <v>31</v>
      </c>
      <c r="M42" s="64" t="s">
        <v>28</v>
      </c>
      <c r="N42" s="64" t="s">
        <v>576</v>
      </c>
      <c r="O42" s="65">
        <v>1</v>
      </c>
      <c r="P42" s="65">
        <v>0</v>
      </c>
      <c r="Q42" s="65">
        <v>0</v>
      </c>
      <c r="R42" s="65">
        <v>1</v>
      </c>
      <c r="S42" s="65">
        <v>100</v>
      </c>
      <c r="T42" s="65">
        <v>0</v>
      </c>
      <c r="U42" s="65">
        <v>0</v>
      </c>
      <c r="V42" s="65">
        <v>100</v>
      </c>
      <c r="W42" s="65">
        <v>100</v>
      </c>
      <c r="X42" s="65">
        <v>0</v>
      </c>
      <c r="Y42" s="65">
        <v>0</v>
      </c>
      <c r="Z42" s="65">
        <v>30</v>
      </c>
      <c r="AA42" s="65">
        <v>0</v>
      </c>
      <c r="AB42" s="65">
        <v>0</v>
      </c>
      <c r="AC42" s="65">
        <v>70</v>
      </c>
      <c r="AD42" s="64" t="s">
        <v>577</v>
      </c>
    </row>
    <row r="43" spans="1:30">
      <c r="A43" s="64" t="s">
        <v>568</v>
      </c>
      <c r="B43" s="64" t="s">
        <v>569</v>
      </c>
      <c r="C43" s="64" t="s">
        <v>570</v>
      </c>
      <c r="D43" s="64" t="s">
        <v>571</v>
      </c>
      <c r="E43" s="64" t="s">
        <v>29</v>
      </c>
      <c r="F43" s="64" t="s">
        <v>695</v>
      </c>
      <c r="G43" s="64" t="s">
        <v>696</v>
      </c>
      <c r="H43" s="64" t="s">
        <v>697</v>
      </c>
      <c r="I43" s="64" t="s">
        <v>575</v>
      </c>
      <c r="J43" s="64" t="s">
        <v>24</v>
      </c>
      <c r="K43" s="64" t="s">
        <v>37</v>
      </c>
      <c r="L43" s="64" t="s">
        <v>31</v>
      </c>
      <c r="M43" s="64" t="s">
        <v>28</v>
      </c>
      <c r="N43" s="64" t="s">
        <v>576</v>
      </c>
      <c r="O43" s="65">
        <v>1</v>
      </c>
      <c r="P43" s="65">
        <v>0</v>
      </c>
      <c r="Q43" s="65">
        <v>0</v>
      </c>
      <c r="R43" s="65">
        <v>1</v>
      </c>
      <c r="S43" s="65">
        <v>100</v>
      </c>
      <c r="T43" s="65">
        <v>0</v>
      </c>
      <c r="U43" s="65">
        <v>0</v>
      </c>
      <c r="V43" s="65">
        <v>100</v>
      </c>
      <c r="W43" s="65">
        <v>100</v>
      </c>
      <c r="X43" s="65">
        <v>0</v>
      </c>
      <c r="Y43" s="65">
        <v>0</v>
      </c>
      <c r="Z43" s="65">
        <v>30</v>
      </c>
      <c r="AA43" s="65">
        <v>0</v>
      </c>
      <c r="AB43" s="65">
        <v>0</v>
      </c>
      <c r="AC43" s="65">
        <v>70</v>
      </c>
      <c r="AD43" s="64" t="s">
        <v>577</v>
      </c>
    </row>
    <row r="44" spans="1:30">
      <c r="A44" s="64" t="s">
        <v>568</v>
      </c>
      <c r="B44" s="64" t="s">
        <v>569</v>
      </c>
      <c r="C44" s="64" t="s">
        <v>570</v>
      </c>
      <c r="D44" s="64" t="s">
        <v>571</v>
      </c>
      <c r="E44" s="64" t="s">
        <v>29</v>
      </c>
      <c r="F44" s="64" t="s">
        <v>698</v>
      </c>
      <c r="G44" s="64" t="s">
        <v>699</v>
      </c>
      <c r="H44" s="64" t="s">
        <v>700</v>
      </c>
      <c r="I44" s="64" t="s">
        <v>575</v>
      </c>
      <c r="J44" s="64" t="s">
        <v>24</v>
      </c>
      <c r="K44" s="64" t="s">
        <v>37</v>
      </c>
      <c r="L44" s="64" t="s">
        <v>31</v>
      </c>
      <c r="M44" s="64" t="s">
        <v>28</v>
      </c>
      <c r="N44" s="64" t="s">
        <v>576</v>
      </c>
      <c r="O44" s="65">
        <v>1</v>
      </c>
      <c r="P44" s="65">
        <v>0</v>
      </c>
      <c r="Q44" s="65">
        <v>0</v>
      </c>
      <c r="R44" s="65">
        <v>1</v>
      </c>
      <c r="S44" s="65">
        <v>100</v>
      </c>
      <c r="T44" s="65">
        <v>0</v>
      </c>
      <c r="U44" s="65">
        <v>0</v>
      </c>
      <c r="V44" s="65">
        <v>100</v>
      </c>
      <c r="W44" s="65">
        <v>100</v>
      </c>
      <c r="X44" s="65">
        <v>0</v>
      </c>
      <c r="Y44" s="65">
        <v>0</v>
      </c>
      <c r="Z44" s="65">
        <v>30</v>
      </c>
      <c r="AA44" s="65">
        <v>0</v>
      </c>
      <c r="AB44" s="65">
        <v>0</v>
      </c>
      <c r="AC44" s="65">
        <v>70</v>
      </c>
      <c r="AD44" s="64" t="s">
        <v>577</v>
      </c>
    </row>
    <row r="45" spans="1:30">
      <c r="A45" s="64" t="s">
        <v>568</v>
      </c>
      <c r="B45" s="64" t="s">
        <v>569</v>
      </c>
      <c r="C45" s="64" t="s">
        <v>570</v>
      </c>
      <c r="D45" s="64" t="s">
        <v>571</v>
      </c>
      <c r="E45" s="64" t="s">
        <v>29</v>
      </c>
      <c r="F45" s="64" t="s">
        <v>701</v>
      </c>
      <c r="G45" s="64" t="s">
        <v>702</v>
      </c>
      <c r="H45" s="64" t="s">
        <v>703</v>
      </c>
      <c r="I45" s="64" t="s">
        <v>575</v>
      </c>
      <c r="J45" s="64" t="s">
        <v>24</v>
      </c>
      <c r="K45" s="64" t="s">
        <v>37</v>
      </c>
      <c r="L45" s="64" t="s">
        <v>31</v>
      </c>
      <c r="M45" s="64" t="s">
        <v>28</v>
      </c>
      <c r="N45" s="64" t="s">
        <v>576</v>
      </c>
      <c r="O45" s="65">
        <v>1</v>
      </c>
      <c r="P45" s="65">
        <v>0</v>
      </c>
      <c r="Q45" s="65">
        <v>0</v>
      </c>
      <c r="R45" s="65">
        <v>1</v>
      </c>
      <c r="S45" s="65">
        <v>100</v>
      </c>
      <c r="T45" s="65">
        <v>0</v>
      </c>
      <c r="U45" s="65">
        <v>0</v>
      </c>
      <c r="V45" s="65">
        <v>100</v>
      </c>
      <c r="W45" s="65">
        <v>100</v>
      </c>
      <c r="X45" s="65">
        <v>0</v>
      </c>
      <c r="Y45" s="65">
        <v>0</v>
      </c>
      <c r="Z45" s="65">
        <v>30</v>
      </c>
      <c r="AA45" s="65">
        <v>0</v>
      </c>
      <c r="AB45" s="65">
        <v>0</v>
      </c>
      <c r="AC45" s="65">
        <v>70</v>
      </c>
      <c r="AD45" s="64" t="s">
        <v>577</v>
      </c>
    </row>
    <row r="46" spans="1:30">
      <c r="A46" s="64" t="s">
        <v>568</v>
      </c>
      <c r="B46" s="64" t="s">
        <v>569</v>
      </c>
      <c r="C46" s="64" t="s">
        <v>570</v>
      </c>
      <c r="D46" s="64" t="s">
        <v>571</v>
      </c>
      <c r="E46" s="64" t="s">
        <v>29</v>
      </c>
      <c r="F46" s="64" t="s">
        <v>704</v>
      </c>
      <c r="G46" s="64" t="s">
        <v>705</v>
      </c>
      <c r="H46" s="64" t="s">
        <v>706</v>
      </c>
      <c r="I46" s="64" t="s">
        <v>575</v>
      </c>
      <c r="J46" s="64" t="s">
        <v>24</v>
      </c>
      <c r="K46" s="64" t="s">
        <v>37</v>
      </c>
      <c r="L46" s="64" t="s">
        <v>31</v>
      </c>
      <c r="M46" s="64" t="s">
        <v>28</v>
      </c>
      <c r="N46" s="64" t="s">
        <v>576</v>
      </c>
      <c r="O46" s="65">
        <v>1</v>
      </c>
      <c r="P46" s="65">
        <v>0</v>
      </c>
      <c r="Q46" s="65">
        <v>0</v>
      </c>
      <c r="R46" s="65">
        <v>1</v>
      </c>
      <c r="S46" s="65">
        <v>100</v>
      </c>
      <c r="T46" s="65">
        <v>0</v>
      </c>
      <c r="U46" s="65">
        <v>0</v>
      </c>
      <c r="V46" s="65">
        <v>100</v>
      </c>
      <c r="W46" s="65">
        <v>100</v>
      </c>
      <c r="X46" s="65">
        <v>0</v>
      </c>
      <c r="Y46" s="65">
        <v>0</v>
      </c>
      <c r="Z46" s="65">
        <v>30</v>
      </c>
      <c r="AA46" s="65">
        <v>0</v>
      </c>
      <c r="AB46" s="65">
        <v>0</v>
      </c>
      <c r="AC46" s="65">
        <v>70</v>
      </c>
      <c r="AD46" s="64" t="s">
        <v>577</v>
      </c>
    </row>
    <row r="47" spans="1:30">
      <c r="A47" s="64" t="s">
        <v>568</v>
      </c>
      <c r="B47" s="64" t="s">
        <v>569</v>
      </c>
      <c r="C47" s="64" t="s">
        <v>570</v>
      </c>
      <c r="D47" s="64" t="s">
        <v>571</v>
      </c>
      <c r="E47" s="64" t="s">
        <v>29</v>
      </c>
      <c r="F47" s="64" t="s">
        <v>707</v>
      </c>
      <c r="G47" s="64" t="s">
        <v>708</v>
      </c>
      <c r="H47" s="64" t="s">
        <v>709</v>
      </c>
      <c r="I47" s="64" t="s">
        <v>575</v>
      </c>
      <c r="J47" s="64" t="s">
        <v>24</v>
      </c>
      <c r="K47" s="64" t="s">
        <v>37</v>
      </c>
      <c r="L47" s="64" t="s">
        <v>31</v>
      </c>
      <c r="M47" s="64" t="s">
        <v>28</v>
      </c>
      <c r="N47" s="64" t="s">
        <v>576</v>
      </c>
      <c r="O47" s="65">
        <v>1</v>
      </c>
      <c r="P47" s="65">
        <v>0</v>
      </c>
      <c r="Q47" s="65">
        <v>0</v>
      </c>
      <c r="R47" s="65">
        <v>1</v>
      </c>
      <c r="S47" s="65">
        <v>100</v>
      </c>
      <c r="T47" s="65">
        <v>0</v>
      </c>
      <c r="U47" s="65">
        <v>0</v>
      </c>
      <c r="V47" s="65">
        <v>100</v>
      </c>
      <c r="W47" s="65">
        <v>100</v>
      </c>
      <c r="X47" s="65">
        <v>0</v>
      </c>
      <c r="Y47" s="65">
        <v>0</v>
      </c>
      <c r="Z47" s="65">
        <v>30</v>
      </c>
      <c r="AA47" s="65">
        <v>0</v>
      </c>
      <c r="AB47" s="65">
        <v>0</v>
      </c>
      <c r="AC47" s="65">
        <v>70</v>
      </c>
      <c r="AD47" s="64" t="s">
        <v>577</v>
      </c>
    </row>
    <row r="48" spans="1:30">
      <c r="A48" s="64" t="s">
        <v>568</v>
      </c>
      <c r="B48" s="64" t="s">
        <v>569</v>
      </c>
      <c r="C48" s="64" t="s">
        <v>570</v>
      </c>
      <c r="D48" s="64" t="s">
        <v>571</v>
      </c>
      <c r="E48" s="64" t="s">
        <v>29</v>
      </c>
      <c r="F48" s="64" t="s">
        <v>710</v>
      </c>
      <c r="G48" s="64" t="s">
        <v>711</v>
      </c>
      <c r="H48" s="64" t="s">
        <v>712</v>
      </c>
      <c r="I48" s="64" t="s">
        <v>575</v>
      </c>
      <c r="J48" s="64" t="s">
        <v>24</v>
      </c>
      <c r="K48" s="64" t="s">
        <v>37</v>
      </c>
      <c r="L48" s="64" t="s">
        <v>31</v>
      </c>
      <c r="M48" s="64" t="s">
        <v>28</v>
      </c>
      <c r="N48" s="64" t="s">
        <v>576</v>
      </c>
      <c r="O48" s="65">
        <v>1</v>
      </c>
      <c r="P48" s="65">
        <v>0</v>
      </c>
      <c r="Q48" s="65">
        <v>0</v>
      </c>
      <c r="R48" s="65">
        <v>1</v>
      </c>
      <c r="S48" s="65">
        <v>100</v>
      </c>
      <c r="T48" s="65">
        <v>0</v>
      </c>
      <c r="U48" s="65">
        <v>0</v>
      </c>
      <c r="V48" s="65">
        <v>100</v>
      </c>
      <c r="W48" s="65">
        <v>100</v>
      </c>
      <c r="X48" s="65">
        <v>0</v>
      </c>
      <c r="Y48" s="65">
        <v>0</v>
      </c>
      <c r="Z48" s="65">
        <v>30</v>
      </c>
      <c r="AA48" s="65">
        <v>0</v>
      </c>
      <c r="AB48" s="65">
        <v>0</v>
      </c>
      <c r="AC48" s="65">
        <v>70</v>
      </c>
      <c r="AD48" s="64" t="s">
        <v>577</v>
      </c>
    </row>
    <row r="49" spans="1:30">
      <c r="A49" s="64" t="s">
        <v>568</v>
      </c>
      <c r="B49" s="64" t="s">
        <v>569</v>
      </c>
      <c r="C49" s="64" t="s">
        <v>570</v>
      </c>
      <c r="D49" s="64" t="s">
        <v>571</v>
      </c>
      <c r="E49" s="64" t="s">
        <v>29</v>
      </c>
      <c r="F49" s="64" t="s">
        <v>713</v>
      </c>
      <c r="G49" s="64" t="s">
        <v>714</v>
      </c>
      <c r="H49" s="64" t="s">
        <v>715</v>
      </c>
      <c r="I49" s="64" t="s">
        <v>575</v>
      </c>
      <c r="J49" s="64" t="s">
        <v>24</v>
      </c>
      <c r="K49" s="64" t="s">
        <v>37</v>
      </c>
      <c r="L49" s="64" t="s">
        <v>31</v>
      </c>
      <c r="M49" s="64" t="s">
        <v>28</v>
      </c>
      <c r="N49" s="64" t="s">
        <v>576</v>
      </c>
      <c r="O49" s="65">
        <v>1</v>
      </c>
      <c r="P49" s="65">
        <v>0</v>
      </c>
      <c r="Q49" s="65">
        <v>0</v>
      </c>
      <c r="R49" s="65">
        <v>1</v>
      </c>
      <c r="S49" s="65">
        <v>100</v>
      </c>
      <c r="T49" s="65">
        <v>0</v>
      </c>
      <c r="U49" s="65">
        <v>0</v>
      </c>
      <c r="V49" s="65">
        <v>100</v>
      </c>
      <c r="W49" s="65">
        <v>100</v>
      </c>
      <c r="X49" s="65">
        <v>0</v>
      </c>
      <c r="Y49" s="65">
        <v>0</v>
      </c>
      <c r="Z49" s="65">
        <v>30</v>
      </c>
      <c r="AA49" s="65">
        <v>0</v>
      </c>
      <c r="AB49" s="65">
        <v>0</v>
      </c>
      <c r="AC49" s="65">
        <v>70</v>
      </c>
      <c r="AD49" s="64" t="s">
        <v>577</v>
      </c>
    </row>
    <row r="50" spans="1:30">
      <c r="A50" s="64" t="s">
        <v>568</v>
      </c>
      <c r="B50" s="64" t="s">
        <v>569</v>
      </c>
      <c r="C50" s="64" t="s">
        <v>570</v>
      </c>
      <c r="D50" s="64" t="s">
        <v>571</v>
      </c>
      <c r="E50" s="64" t="s">
        <v>29</v>
      </c>
      <c r="F50" s="64" t="s">
        <v>716</v>
      </c>
      <c r="G50" s="64" t="s">
        <v>717</v>
      </c>
      <c r="H50" s="64" t="s">
        <v>718</v>
      </c>
      <c r="I50" s="64" t="s">
        <v>575</v>
      </c>
      <c r="J50" s="64" t="s">
        <v>24</v>
      </c>
      <c r="K50" s="64" t="s">
        <v>37</v>
      </c>
      <c r="L50" s="64" t="s">
        <v>31</v>
      </c>
      <c r="M50" s="64" t="s">
        <v>28</v>
      </c>
      <c r="N50" s="64" t="s">
        <v>576</v>
      </c>
      <c r="O50" s="65">
        <v>1</v>
      </c>
      <c r="P50" s="65">
        <v>0</v>
      </c>
      <c r="Q50" s="65">
        <v>0</v>
      </c>
      <c r="R50" s="65">
        <v>1</v>
      </c>
      <c r="S50" s="65">
        <v>100</v>
      </c>
      <c r="T50" s="65">
        <v>0</v>
      </c>
      <c r="U50" s="65">
        <v>0</v>
      </c>
      <c r="V50" s="65">
        <v>100</v>
      </c>
      <c r="W50" s="65">
        <v>100</v>
      </c>
      <c r="X50" s="65">
        <v>0</v>
      </c>
      <c r="Y50" s="65">
        <v>0</v>
      </c>
      <c r="Z50" s="65">
        <v>30</v>
      </c>
      <c r="AA50" s="65">
        <v>0</v>
      </c>
      <c r="AB50" s="65">
        <v>0</v>
      </c>
      <c r="AC50" s="65">
        <v>70</v>
      </c>
      <c r="AD50" s="64" t="s">
        <v>577</v>
      </c>
    </row>
    <row r="51" spans="1:30">
      <c r="A51" s="64" t="s">
        <v>568</v>
      </c>
      <c r="B51" s="64" t="s">
        <v>569</v>
      </c>
      <c r="C51" s="64" t="s">
        <v>570</v>
      </c>
      <c r="D51" s="64" t="s">
        <v>571</v>
      </c>
      <c r="E51" s="64" t="s">
        <v>29</v>
      </c>
      <c r="F51" s="64" t="s">
        <v>719</v>
      </c>
      <c r="G51" s="64" t="s">
        <v>720</v>
      </c>
      <c r="H51" s="64" t="s">
        <v>721</v>
      </c>
      <c r="I51" s="64" t="s">
        <v>575</v>
      </c>
      <c r="J51" s="64" t="s">
        <v>24</v>
      </c>
      <c r="K51" s="64" t="s">
        <v>37</v>
      </c>
      <c r="L51" s="64" t="s">
        <v>31</v>
      </c>
      <c r="M51" s="64" t="s">
        <v>28</v>
      </c>
      <c r="N51" s="64" t="s">
        <v>576</v>
      </c>
      <c r="O51" s="65">
        <v>1</v>
      </c>
      <c r="P51" s="65">
        <v>0</v>
      </c>
      <c r="Q51" s="65">
        <v>0</v>
      </c>
      <c r="R51" s="65">
        <v>1</v>
      </c>
      <c r="S51" s="65">
        <v>100</v>
      </c>
      <c r="T51" s="65">
        <v>0</v>
      </c>
      <c r="U51" s="65">
        <v>0</v>
      </c>
      <c r="V51" s="65">
        <v>100</v>
      </c>
      <c r="W51" s="65">
        <v>100</v>
      </c>
      <c r="X51" s="65">
        <v>0</v>
      </c>
      <c r="Y51" s="65">
        <v>0</v>
      </c>
      <c r="Z51" s="65">
        <v>30</v>
      </c>
      <c r="AA51" s="65">
        <v>0</v>
      </c>
      <c r="AB51" s="65">
        <v>0</v>
      </c>
      <c r="AC51" s="65">
        <v>70</v>
      </c>
      <c r="AD51" s="64" t="s">
        <v>577</v>
      </c>
    </row>
    <row r="52" spans="1:30">
      <c r="A52" s="64" t="s">
        <v>568</v>
      </c>
      <c r="B52" s="64" t="s">
        <v>569</v>
      </c>
      <c r="C52" s="64" t="s">
        <v>570</v>
      </c>
      <c r="D52" s="64" t="s">
        <v>571</v>
      </c>
      <c r="E52" s="64" t="s">
        <v>29</v>
      </c>
      <c r="F52" s="64" t="s">
        <v>722</v>
      </c>
      <c r="G52" s="64" t="s">
        <v>723</v>
      </c>
      <c r="H52" s="64" t="s">
        <v>724</v>
      </c>
      <c r="I52" s="64" t="s">
        <v>575</v>
      </c>
      <c r="J52" s="64" t="s">
        <v>24</v>
      </c>
      <c r="K52" s="64" t="s">
        <v>37</v>
      </c>
      <c r="L52" s="64" t="s">
        <v>31</v>
      </c>
      <c r="M52" s="64" t="s">
        <v>28</v>
      </c>
      <c r="N52" s="64" t="s">
        <v>576</v>
      </c>
      <c r="O52" s="65">
        <v>1</v>
      </c>
      <c r="P52" s="65">
        <v>0</v>
      </c>
      <c r="Q52" s="65">
        <v>0</v>
      </c>
      <c r="R52" s="65">
        <v>1</v>
      </c>
      <c r="S52" s="65">
        <v>100</v>
      </c>
      <c r="T52" s="65">
        <v>0</v>
      </c>
      <c r="U52" s="65">
        <v>0</v>
      </c>
      <c r="V52" s="65">
        <v>100</v>
      </c>
      <c r="W52" s="65">
        <v>100</v>
      </c>
      <c r="X52" s="65">
        <v>0</v>
      </c>
      <c r="Y52" s="65">
        <v>0</v>
      </c>
      <c r="Z52" s="65">
        <v>30</v>
      </c>
      <c r="AA52" s="65">
        <v>0</v>
      </c>
      <c r="AB52" s="65">
        <v>0</v>
      </c>
      <c r="AC52" s="65">
        <v>70</v>
      </c>
      <c r="AD52" s="64" t="s">
        <v>577</v>
      </c>
    </row>
    <row r="53" spans="1:30">
      <c r="A53" s="64" t="s">
        <v>568</v>
      </c>
      <c r="B53" s="64" t="s">
        <v>569</v>
      </c>
      <c r="C53" s="64" t="s">
        <v>570</v>
      </c>
      <c r="D53" s="64" t="s">
        <v>571</v>
      </c>
      <c r="E53" s="64" t="s">
        <v>29</v>
      </c>
      <c r="F53" s="64" t="s">
        <v>725</v>
      </c>
      <c r="G53" s="64" t="s">
        <v>726</v>
      </c>
      <c r="H53" s="64" t="s">
        <v>727</v>
      </c>
      <c r="I53" s="64" t="s">
        <v>575</v>
      </c>
      <c r="J53" s="64" t="s">
        <v>24</v>
      </c>
      <c r="K53" s="64" t="s">
        <v>37</v>
      </c>
      <c r="L53" s="64" t="s">
        <v>31</v>
      </c>
      <c r="M53" s="64" t="s">
        <v>28</v>
      </c>
      <c r="N53" s="64" t="s">
        <v>576</v>
      </c>
      <c r="O53" s="65">
        <v>1</v>
      </c>
      <c r="P53" s="65">
        <v>0</v>
      </c>
      <c r="Q53" s="65">
        <v>0</v>
      </c>
      <c r="R53" s="65">
        <v>1</v>
      </c>
      <c r="S53" s="65">
        <v>100</v>
      </c>
      <c r="T53" s="65">
        <v>0</v>
      </c>
      <c r="U53" s="65">
        <v>0</v>
      </c>
      <c r="V53" s="65">
        <v>100</v>
      </c>
      <c r="W53" s="65">
        <v>100</v>
      </c>
      <c r="X53" s="65">
        <v>0</v>
      </c>
      <c r="Y53" s="65">
        <v>0</v>
      </c>
      <c r="Z53" s="65">
        <v>30</v>
      </c>
      <c r="AA53" s="65">
        <v>0</v>
      </c>
      <c r="AB53" s="65">
        <v>0</v>
      </c>
      <c r="AC53" s="65">
        <v>70</v>
      </c>
      <c r="AD53" s="64" t="s">
        <v>577</v>
      </c>
    </row>
    <row r="54" spans="1:30">
      <c r="A54" s="64" t="s">
        <v>568</v>
      </c>
      <c r="B54" s="64" t="s">
        <v>569</v>
      </c>
      <c r="C54" s="64" t="s">
        <v>570</v>
      </c>
      <c r="D54" s="64" t="s">
        <v>571</v>
      </c>
      <c r="E54" s="64" t="s">
        <v>29</v>
      </c>
      <c r="F54" s="64" t="s">
        <v>728</v>
      </c>
      <c r="G54" s="64" t="s">
        <v>729</v>
      </c>
      <c r="H54" s="64" t="s">
        <v>730</v>
      </c>
      <c r="I54" s="64" t="s">
        <v>575</v>
      </c>
      <c r="J54" s="64" t="s">
        <v>24</v>
      </c>
      <c r="K54" s="64" t="s">
        <v>37</v>
      </c>
      <c r="L54" s="64" t="s">
        <v>31</v>
      </c>
      <c r="M54" s="64" t="s">
        <v>28</v>
      </c>
      <c r="N54" s="64" t="s">
        <v>576</v>
      </c>
      <c r="O54" s="65">
        <v>1</v>
      </c>
      <c r="P54" s="65">
        <v>0</v>
      </c>
      <c r="Q54" s="65">
        <v>0</v>
      </c>
      <c r="R54" s="65">
        <v>1</v>
      </c>
      <c r="S54" s="65">
        <v>100</v>
      </c>
      <c r="T54" s="65">
        <v>0</v>
      </c>
      <c r="U54" s="65">
        <v>0</v>
      </c>
      <c r="V54" s="65">
        <v>100</v>
      </c>
      <c r="W54" s="65">
        <v>100</v>
      </c>
      <c r="X54" s="65">
        <v>0</v>
      </c>
      <c r="Y54" s="65">
        <v>0</v>
      </c>
      <c r="Z54" s="65">
        <v>30</v>
      </c>
      <c r="AA54" s="65">
        <v>0</v>
      </c>
      <c r="AB54" s="65">
        <v>0</v>
      </c>
      <c r="AC54" s="65">
        <v>70</v>
      </c>
      <c r="AD54" s="64" t="s">
        <v>577</v>
      </c>
    </row>
    <row r="55" spans="1:30">
      <c r="A55" s="64" t="s">
        <v>568</v>
      </c>
      <c r="B55" s="64" t="s">
        <v>569</v>
      </c>
      <c r="C55" s="64" t="s">
        <v>570</v>
      </c>
      <c r="D55" s="64" t="s">
        <v>571</v>
      </c>
      <c r="E55" s="64" t="s">
        <v>29</v>
      </c>
      <c r="F55" s="64" t="s">
        <v>731</v>
      </c>
      <c r="G55" s="64" t="s">
        <v>732</v>
      </c>
      <c r="H55" s="64" t="s">
        <v>733</v>
      </c>
      <c r="I55" s="64" t="s">
        <v>575</v>
      </c>
      <c r="J55" s="64" t="s">
        <v>24</v>
      </c>
      <c r="K55" s="64" t="s">
        <v>37</v>
      </c>
      <c r="L55" s="64" t="s">
        <v>31</v>
      </c>
      <c r="M55" s="64" t="s">
        <v>28</v>
      </c>
      <c r="N55" s="64" t="s">
        <v>576</v>
      </c>
      <c r="O55" s="65">
        <v>1</v>
      </c>
      <c r="P55" s="65">
        <v>0</v>
      </c>
      <c r="Q55" s="65">
        <v>0</v>
      </c>
      <c r="R55" s="65">
        <v>1</v>
      </c>
      <c r="S55" s="65">
        <v>100</v>
      </c>
      <c r="T55" s="65">
        <v>0</v>
      </c>
      <c r="U55" s="65">
        <v>0</v>
      </c>
      <c r="V55" s="65">
        <v>100</v>
      </c>
      <c r="W55" s="65">
        <v>100</v>
      </c>
      <c r="X55" s="65">
        <v>0</v>
      </c>
      <c r="Y55" s="65">
        <v>0</v>
      </c>
      <c r="Z55" s="65">
        <v>30</v>
      </c>
      <c r="AA55" s="65">
        <v>0</v>
      </c>
      <c r="AB55" s="65">
        <v>0</v>
      </c>
      <c r="AC55" s="65">
        <v>70</v>
      </c>
      <c r="AD55" s="64" t="s">
        <v>577</v>
      </c>
    </row>
    <row r="56" spans="1:30">
      <c r="A56" s="64" t="s">
        <v>568</v>
      </c>
      <c r="B56" s="64" t="s">
        <v>569</v>
      </c>
      <c r="C56" s="64" t="s">
        <v>570</v>
      </c>
      <c r="D56" s="64" t="s">
        <v>571</v>
      </c>
      <c r="E56" s="64" t="s">
        <v>29</v>
      </c>
      <c r="F56" s="64" t="s">
        <v>734</v>
      </c>
      <c r="G56" s="64" t="s">
        <v>735</v>
      </c>
      <c r="H56" s="64" t="s">
        <v>736</v>
      </c>
      <c r="I56" s="64" t="s">
        <v>575</v>
      </c>
      <c r="J56" s="64" t="s">
        <v>24</v>
      </c>
      <c r="K56" s="64" t="s">
        <v>37</v>
      </c>
      <c r="L56" s="64" t="s">
        <v>31</v>
      </c>
      <c r="M56" s="64" t="s">
        <v>28</v>
      </c>
      <c r="N56" s="64" t="s">
        <v>576</v>
      </c>
      <c r="O56" s="65">
        <v>1</v>
      </c>
      <c r="P56" s="65">
        <v>0</v>
      </c>
      <c r="Q56" s="65">
        <v>0</v>
      </c>
      <c r="R56" s="65">
        <v>1</v>
      </c>
      <c r="S56" s="65">
        <v>100</v>
      </c>
      <c r="T56" s="65">
        <v>0</v>
      </c>
      <c r="U56" s="65">
        <v>0</v>
      </c>
      <c r="V56" s="65">
        <v>100</v>
      </c>
      <c r="W56" s="65">
        <v>100</v>
      </c>
      <c r="X56" s="65">
        <v>0</v>
      </c>
      <c r="Y56" s="65">
        <v>0</v>
      </c>
      <c r="Z56" s="65">
        <v>30</v>
      </c>
      <c r="AA56" s="65">
        <v>0</v>
      </c>
      <c r="AB56" s="65">
        <v>0</v>
      </c>
      <c r="AC56" s="65">
        <v>70</v>
      </c>
      <c r="AD56" s="64" t="s">
        <v>577</v>
      </c>
    </row>
    <row r="57" spans="1:30">
      <c r="A57" s="64" t="s">
        <v>568</v>
      </c>
      <c r="B57" s="64" t="s">
        <v>569</v>
      </c>
      <c r="C57" s="64" t="s">
        <v>570</v>
      </c>
      <c r="D57" s="64" t="s">
        <v>571</v>
      </c>
      <c r="E57" s="64" t="s">
        <v>29</v>
      </c>
      <c r="F57" s="64" t="s">
        <v>737</v>
      </c>
      <c r="G57" s="64" t="s">
        <v>738</v>
      </c>
      <c r="H57" s="64" t="s">
        <v>739</v>
      </c>
      <c r="I57" s="64" t="s">
        <v>575</v>
      </c>
      <c r="J57" s="64" t="s">
        <v>24</v>
      </c>
      <c r="K57" s="64" t="s">
        <v>37</v>
      </c>
      <c r="L57" s="64" t="s">
        <v>31</v>
      </c>
      <c r="M57" s="64" t="s">
        <v>28</v>
      </c>
      <c r="N57" s="64" t="s">
        <v>576</v>
      </c>
      <c r="O57" s="65">
        <v>1</v>
      </c>
      <c r="P57" s="65">
        <v>0</v>
      </c>
      <c r="Q57" s="65">
        <v>0</v>
      </c>
      <c r="R57" s="65">
        <v>1</v>
      </c>
      <c r="S57" s="65">
        <v>100</v>
      </c>
      <c r="T57" s="65">
        <v>0</v>
      </c>
      <c r="U57" s="65">
        <v>0</v>
      </c>
      <c r="V57" s="65">
        <v>100</v>
      </c>
      <c r="W57" s="65">
        <v>100</v>
      </c>
      <c r="X57" s="65">
        <v>0</v>
      </c>
      <c r="Y57" s="65">
        <v>0</v>
      </c>
      <c r="Z57" s="65">
        <v>30</v>
      </c>
      <c r="AA57" s="65">
        <v>0</v>
      </c>
      <c r="AB57" s="65">
        <v>0</v>
      </c>
      <c r="AC57" s="65">
        <v>70</v>
      </c>
      <c r="AD57" s="64" t="s">
        <v>577</v>
      </c>
    </row>
    <row r="58" spans="1:30">
      <c r="A58" s="64" t="s">
        <v>568</v>
      </c>
      <c r="B58" s="64" t="s">
        <v>569</v>
      </c>
      <c r="C58" s="64" t="s">
        <v>570</v>
      </c>
      <c r="D58" s="64" t="s">
        <v>571</v>
      </c>
      <c r="E58" s="64" t="s">
        <v>29</v>
      </c>
      <c r="F58" s="64" t="s">
        <v>740</v>
      </c>
      <c r="G58" s="64" t="s">
        <v>741</v>
      </c>
      <c r="H58" s="64" t="s">
        <v>742</v>
      </c>
      <c r="I58" s="64" t="s">
        <v>575</v>
      </c>
      <c r="J58" s="64" t="s">
        <v>24</v>
      </c>
      <c r="K58" s="64" t="s">
        <v>37</v>
      </c>
      <c r="L58" s="64" t="s">
        <v>31</v>
      </c>
      <c r="M58" s="64" t="s">
        <v>28</v>
      </c>
      <c r="N58" s="64" t="s">
        <v>576</v>
      </c>
      <c r="O58" s="65">
        <v>1</v>
      </c>
      <c r="P58" s="65">
        <v>0</v>
      </c>
      <c r="Q58" s="65">
        <v>0</v>
      </c>
      <c r="R58" s="65">
        <v>1</v>
      </c>
      <c r="S58" s="65">
        <v>100</v>
      </c>
      <c r="T58" s="65">
        <v>0</v>
      </c>
      <c r="U58" s="65">
        <v>0</v>
      </c>
      <c r="V58" s="65">
        <v>100</v>
      </c>
      <c r="W58" s="65">
        <v>100</v>
      </c>
      <c r="X58" s="65">
        <v>0</v>
      </c>
      <c r="Y58" s="65">
        <v>0</v>
      </c>
      <c r="Z58" s="65">
        <v>30</v>
      </c>
      <c r="AA58" s="65">
        <v>0</v>
      </c>
      <c r="AB58" s="65">
        <v>0</v>
      </c>
      <c r="AC58" s="65">
        <v>70</v>
      </c>
      <c r="AD58" s="64" t="s">
        <v>577</v>
      </c>
    </row>
    <row r="59" spans="1:30">
      <c r="A59" s="64" t="s">
        <v>568</v>
      </c>
      <c r="B59" s="64" t="s">
        <v>569</v>
      </c>
      <c r="C59" s="64" t="s">
        <v>570</v>
      </c>
      <c r="D59" s="64" t="s">
        <v>571</v>
      </c>
      <c r="E59" s="64" t="s">
        <v>29</v>
      </c>
      <c r="F59" s="64" t="s">
        <v>743</v>
      </c>
      <c r="G59" s="64" t="s">
        <v>744</v>
      </c>
      <c r="H59" s="64" t="s">
        <v>745</v>
      </c>
      <c r="I59" s="64" t="s">
        <v>575</v>
      </c>
      <c r="J59" s="64" t="s">
        <v>24</v>
      </c>
      <c r="K59" s="64" t="s">
        <v>37</v>
      </c>
      <c r="L59" s="64" t="s">
        <v>31</v>
      </c>
      <c r="M59" s="64" t="s">
        <v>28</v>
      </c>
      <c r="N59" s="64" t="s">
        <v>576</v>
      </c>
      <c r="O59" s="65">
        <v>1</v>
      </c>
      <c r="P59" s="65">
        <v>0</v>
      </c>
      <c r="Q59" s="65">
        <v>0</v>
      </c>
      <c r="R59" s="65">
        <v>1</v>
      </c>
      <c r="S59" s="65">
        <v>100</v>
      </c>
      <c r="T59" s="65">
        <v>0</v>
      </c>
      <c r="U59" s="65">
        <v>0</v>
      </c>
      <c r="V59" s="65">
        <v>100</v>
      </c>
      <c r="W59" s="65">
        <v>100</v>
      </c>
      <c r="X59" s="65">
        <v>0</v>
      </c>
      <c r="Y59" s="65">
        <v>0</v>
      </c>
      <c r="Z59" s="65">
        <v>30</v>
      </c>
      <c r="AA59" s="65">
        <v>0</v>
      </c>
      <c r="AB59" s="65">
        <v>0</v>
      </c>
      <c r="AC59" s="65">
        <v>70</v>
      </c>
      <c r="AD59" s="64" t="s">
        <v>577</v>
      </c>
    </row>
    <row r="60" spans="1:30">
      <c r="A60" s="64" t="s">
        <v>568</v>
      </c>
      <c r="B60" s="64" t="s">
        <v>569</v>
      </c>
      <c r="C60" s="64" t="s">
        <v>570</v>
      </c>
      <c r="D60" s="64" t="s">
        <v>571</v>
      </c>
      <c r="E60" s="64" t="s">
        <v>29</v>
      </c>
      <c r="F60" s="64" t="s">
        <v>746</v>
      </c>
      <c r="G60" s="64" t="s">
        <v>747</v>
      </c>
      <c r="H60" s="64" t="s">
        <v>748</v>
      </c>
      <c r="I60" s="64" t="s">
        <v>575</v>
      </c>
      <c r="J60" s="64" t="s">
        <v>24</v>
      </c>
      <c r="K60" s="64" t="s">
        <v>37</v>
      </c>
      <c r="L60" s="64" t="s">
        <v>31</v>
      </c>
      <c r="M60" s="64" t="s">
        <v>28</v>
      </c>
      <c r="N60" s="64" t="s">
        <v>576</v>
      </c>
      <c r="O60" s="65">
        <v>1</v>
      </c>
      <c r="P60" s="65">
        <v>0</v>
      </c>
      <c r="Q60" s="65">
        <v>0</v>
      </c>
      <c r="R60" s="65">
        <v>1</v>
      </c>
      <c r="S60" s="65">
        <v>100</v>
      </c>
      <c r="T60" s="65">
        <v>0</v>
      </c>
      <c r="U60" s="65">
        <v>0</v>
      </c>
      <c r="V60" s="65">
        <v>100</v>
      </c>
      <c r="W60" s="65">
        <v>100</v>
      </c>
      <c r="X60" s="65">
        <v>0</v>
      </c>
      <c r="Y60" s="65">
        <v>0</v>
      </c>
      <c r="Z60" s="65">
        <v>30</v>
      </c>
      <c r="AA60" s="65">
        <v>0</v>
      </c>
      <c r="AB60" s="65">
        <v>0</v>
      </c>
      <c r="AC60" s="65">
        <v>70</v>
      </c>
      <c r="AD60" s="64" t="s">
        <v>577</v>
      </c>
    </row>
    <row r="61" spans="1:30">
      <c r="A61" s="64" t="s">
        <v>568</v>
      </c>
      <c r="B61" s="64" t="s">
        <v>569</v>
      </c>
      <c r="C61" s="64" t="s">
        <v>570</v>
      </c>
      <c r="D61" s="64" t="s">
        <v>571</v>
      </c>
      <c r="E61" s="64" t="s">
        <v>29</v>
      </c>
      <c r="F61" s="64" t="s">
        <v>749</v>
      </c>
      <c r="G61" s="64" t="s">
        <v>750</v>
      </c>
      <c r="H61" s="64" t="s">
        <v>751</v>
      </c>
      <c r="I61" s="64" t="s">
        <v>575</v>
      </c>
      <c r="J61" s="64" t="s">
        <v>24</v>
      </c>
      <c r="K61" s="64" t="s">
        <v>37</v>
      </c>
      <c r="L61" s="64" t="s">
        <v>31</v>
      </c>
      <c r="M61" s="64" t="s">
        <v>28</v>
      </c>
      <c r="N61" s="64" t="s">
        <v>576</v>
      </c>
      <c r="O61" s="65">
        <v>1</v>
      </c>
      <c r="P61" s="65">
        <v>0</v>
      </c>
      <c r="Q61" s="65">
        <v>0</v>
      </c>
      <c r="R61" s="65">
        <v>1</v>
      </c>
      <c r="S61" s="65">
        <v>100</v>
      </c>
      <c r="T61" s="65">
        <v>0</v>
      </c>
      <c r="U61" s="65">
        <v>0</v>
      </c>
      <c r="V61" s="65">
        <v>100</v>
      </c>
      <c r="W61" s="65">
        <v>100</v>
      </c>
      <c r="X61" s="65">
        <v>0</v>
      </c>
      <c r="Y61" s="65">
        <v>0</v>
      </c>
      <c r="Z61" s="65">
        <v>30</v>
      </c>
      <c r="AA61" s="65">
        <v>0</v>
      </c>
      <c r="AB61" s="65">
        <v>0</v>
      </c>
      <c r="AC61" s="65">
        <v>70</v>
      </c>
      <c r="AD61" s="64" t="s">
        <v>577</v>
      </c>
    </row>
    <row r="62" spans="1:30">
      <c r="A62" s="64" t="s">
        <v>568</v>
      </c>
      <c r="B62" s="64" t="s">
        <v>569</v>
      </c>
      <c r="C62" s="64" t="s">
        <v>570</v>
      </c>
      <c r="D62" s="64" t="s">
        <v>571</v>
      </c>
      <c r="E62" s="64" t="s">
        <v>29</v>
      </c>
      <c r="F62" s="64" t="s">
        <v>752</v>
      </c>
      <c r="G62" s="64" t="s">
        <v>753</v>
      </c>
      <c r="H62" s="64" t="s">
        <v>754</v>
      </c>
      <c r="I62" s="64" t="s">
        <v>575</v>
      </c>
      <c r="J62" s="64" t="s">
        <v>24</v>
      </c>
      <c r="K62" s="64" t="s">
        <v>37</v>
      </c>
      <c r="L62" s="64" t="s">
        <v>31</v>
      </c>
      <c r="M62" s="64" t="s">
        <v>28</v>
      </c>
      <c r="N62" s="64" t="s">
        <v>576</v>
      </c>
      <c r="O62" s="65">
        <v>1</v>
      </c>
      <c r="P62" s="65">
        <v>0</v>
      </c>
      <c r="Q62" s="65">
        <v>0</v>
      </c>
      <c r="R62" s="65">
        <v>1</v>
      </c>
      <c r="S62" s="65">
        <v>100</v>
      </c>
      <c r="T62" s="65">
        <v>0</v>
      </c>
      <c r="U62" s="65">
        <v>0</v>
      </c>
      <c r="V62" s="65">
        <v>100</v>
      </c>
      <c r="W62" s="65">
        <v>100</v>
      </c>
      <c r="X62" s="65">
        <v>0</v>
      </c>
      <c r="Y62" s="65">
        <v>0</v>
      </c>
      <c r="Z62" s="65">
        <v>30</v>
      </c>
      <c r="AA62" s="65">
        <v>0</v>
      </c>
      <c r="AB62" s="65">
        <v>0</v>
      </c>
      <c r="AC62" s="65">
        <v>70</v>
      </c>
      <c r="AD62" s="64" t="s">
        <v>577</v>
      </c>
    </row>
    <row r="63" spans="1:30">
      <c r="A63" s="64" t="s">
        <v>568</v>
      </c>
      <c r="B63" s="64" t="s">
        <v>569</v>
      </c>
      <c r="C63" s="64" t="s">
        <v>570</v>
      </c>
      <c r="D63" s="64" t="s">
        <v>571</v>
      </c>
      <c r="E63" s="64" t="s">
        <v>29</v>
      </c>
      <c r="F63" s="64" t="s">
        <v>755</v>
      </c>
      <c r="G63" s="64" t="s">
        <v>756</v>
      </c>
      <c r="H63" s="64" t="s">
        <v>757</v>
      </c>
      <c r="I63" s="64" t="s">
        <v>575</v>
      </c>
      <c r="J63" s="64" t="s">
        <v>24</v>
      </c>
      <c r="K63" s="64" t="s">
        <v>37</v>
      </c>
      <c r="L63" s="64" t="s">
        <v>31</v>
      </c>
      <c r="M63" s="64" t="s">
        <v>28</v>
      </c>
      <c r="N63" s="64" t="s">
        <v>576</v>
      </c>
      <c r="O63" s="65">
        <v>1</v>
      </c>
      <c r="P63" s="65">
        <v>0</v>
      </c>
      <c r="Q63" s="65">
        <v>0</v>
      </c>
      <c r="R63" s="65">
        <v>1</v>
      </c>
      <c r="S63" s="65">
        <v>100</v>
      </c>
      <c r="T63" s="65">
        <v>0</v>
      </c>
      <c r="U63" s="65">
        <v>0</v>
      </c>
      <c r="V63" s="65">
        <v>100</v>
      </c>
      <c r="W63" s="65">
        <v>100</v>
      </c>
      <c r="X63" s="65">
        <v>0</v>
      </c>
      <c r="Y63" s="65">
        <v>0</v>
      </c>
      <c r="Z63" s="65">
        <v>30</v>
      </c>
      <c r="AA63" s="65">
        <v>0</v>
      </c>
      <c r="AB63" s="65">
        <v>0</v>
      </c>
      <c r="AC63" s="65">
        <v>70</v>
      </c>
      <c r="AD63" s="64" t="s">
        <v>577</v>
      </c>
    </row>
    <row r="64" spans="1:30">
      <c r="A64" s="64" t="s">
        <v>568</v>
      </c>
      <c r="B64" s="64" t="s">
        <v>569</v>
      </c>
      <c r="C64" s="64" t="s">
        <v>570</v>
      </c>
      <c r="D64" s="64" t="s">
        <v>571</v>
      </c>
      <c r="E64" s="64" t="s">
        <v>29</v>
      </c>
      <c r="F64" s="64" t="s">
        <v>758</v>
      </c>
      <c r="G64" s="64" t="s">
        <v>759</v>
      </c>
      <c r="H64" s="64" t="s">
        <v>760</v>
      </c>
      <c r="I64" s="64" t="s">
        <v>575</v>
      </c>
      <c r="J64" s="64" t="s">
        <v>24</v>
      </c>
      <c r="K64" s="64" t="s">
        <v>37</v>
      </c>
      <c r="L64" s="64" t="s">
        <v>31</v>
      </c>
      <c r="M64" s="64" t="s">
        <v>28</v>
      </c>
      <c r="N64" s="64" t="s">
        <v>576</v>
      </c>
      <c r="O64" s="65">
        <v>1</v>
      </c>
      <c r="P64" s="65">
        <v>0</v>
      </c>
      <c r="Q64" s="65">
        <v>0</v>
      </c>
      <c r="R64" s="65">
        <v>1</v>
      </c>
      <c r="S64" s="65">
        <v>100</v>
      </c>
      <c r="T64" s="65">
        <v>0</v>
      </c>
      <c r="U64" s="65">
        <v>0</v>
      </c>
      <c r="V64" s="65">
        <v>100</v>
      </c>
      <c r="W64" s="65">
        <v>100</v>
      </c>
      <c r="X64" s="65">
        <v>0</v>
      </c>
      <c r="Y64" s="65">
        <v>0</v>
      </c>
      <c r="Z64" s="65">
        <v>30</v>
      </c>
      <c r="AA64" s="65">
        <v>0</v>
      </c>
      <c r="AB64" s="65">
        <v>0</v>
      </c>
      <c r="AC64" s="65">
        <v>70</v>
      </c>
      <c r="AD64" s="64" t="s">
        <v>577</v>
      </c>
    </row>
    <row r="65" spans="1:30">
      <c r="A65" s="64" t="s">
        <v>568</v>
      </c>
      <c r="B65" s="64" t="s">
        <v>569</v>
      </c>
      <c r="C65" s="64" t="s">
        <v>570</v>
      </c>
      <c r="D65" s="64" t="s">
        <v>571</v>
      </c>
      <c r="E65" s="64" t="s">
        <v>29</v>
      </c>
      <c r="F65" s="64" t="s">
        <v>761</v>
      </c>
      <c r="G65" s="64" t="s">
        <v>762</v>
      </c>
      <c r="H65" s="64" t="s">
        <v>763</v>
      </c>
      <c r="I65" s="64" t="s">
        <v>575</v>
      </c>
      <c r="J65" s="64" t="s">
        <v>24</v>
      </c>
      <c r="K65" s="64" t="s">
        <v>37</v>
      </c>
      <c r="L65" s="64" t="s">
        <v>31</v>
      </c>
      <c r="M65" s="64" t="s">
        <v>28</v>
      </c>
      <c r="N65" s="64" t="s">
        <v>576</v>
      </c>
      <c r="O65" s="65">
        <v>1</v>
      </c>
      <c r="P65" s="65">
        <v>0</v>
      </c>
      <c r="Q65" s="65">
        <v>0</v>
      </c>
      <c r="R65" s="65">
        <v>1</v>
      </c>
      <c r="S65" s="65">
        <v>100</v>
      </c>
      <c r="T65" s="65">
        <v>0</v>
      </c>
      <c r="U65" s="65">
        <v>0</v>
      </c>
      <c r="V65" s="65">
        <v>100</v>
      </c>
      <c r="W65" s="65">
        <v>100</v>
      </c>
      <c r="X65" s="65">
        <v>0</v>
      </c>
      <c r="Y65" s="65">
        <v>0</v>
      </c>
      <c r="Z65" s="65">
        <v>30</v>
      </c>
      <c r="AA65" s="65">
        <v>0</v>
      </c>
      <c r="AB65" s="65">
        <v>0</v>
      </c>
      <c r="AC65" s="65">
        <v>70</v>
      </c>
      <c r="AD65" s="64" t="s">
        <v>577</v>
      </c>
    </row>
    <row r="66" spans="1:30">
      <c r="A66" s="64" t="s">
        <v>568</v>
      </c>
      <c r="B66" s="64" t="s">
        <v>569</v>
      </c>
      <c r="C66" s="64" t="s">
        <v>570</v>
      </c>
      <c r="D66" s="64" t="s">
        <v>571</v>
      </c>
      <c r="E66" s="64" t="s">
        <v>29</v>
      </c>
      <c r="F66" s="64" t="s">
        <v>764</v>
      </c>
      <c r="G66" s="64" t="s">
        <v>765</v>
      </c>
      <c r="H66" s="64" t="s">
        <v>766</v>
      </c>
      <c r="I66" s="64" t="s">
        <v>575</v>
      </c>
      <c r="J66" s="64" t="s">
        <v>24</v>
      </c>
      <c r="K66" s="64" t="s">
        <v>37</v>
      </c>
      <c r="L66" s="64" t="s">
        <v>31</v>
      </c>
      <c r="M66" s="64" t="s">
        <v>28</v>
      </c>
      <c r="N66" s="64" t="s">
        <v>576</v>
      </c>
      <c r="O66" s="65">
        <v>1</v>
      </c>
      <c r="P66" s="65">
        <v>0</v>
      </c>
      <c r="Q66" s="65">
        <v>0</v>
      </c>
      <c r="R66" s="65">
        <v>1</v>
      </c>
      <c r="S66" s="65">
        <v>100</v>
      </c>
      <c r="T66" s="65">
        <v>0</v>
      </c>
      <c r="U66" s="65">
        <v>0</v>
      </c>
      <c r="V66" s="65">
        <v>100</v>
      </c>
      <c r="W66" s="65">
        <v>100</v>
      </c>
      <c r="X66" s="65">
        <v>0</v>
      </c>
      <c r="Y66" s="65">
        <v>0</v>
      </c>
      <c r="Z66" s="65">
        <v>30</v>
      </c>
      <c r="AA66" s="65">
        <v>0</v>
      </c>
      <c r="AB66" s="65">
        <v>0</v>
      </c>
      <c r="AC66" s="65">
        <v>70</v>
      </c>
      <c r="AD66" s="64" t="s">
        <v>577</v>
      </c>
    </row>
    <row r="67" spans="1:30">
      <c r="A67" s="64" t="s">
        <v>568</v>
      </c>
      <c r="B67" s="64" t="s">
        <v>569</v>
      </c>
      <c r="C67" s="64" t="s">
        <v>570</v>
      </c>
      <c r="D67" s="64" t="s">
        <v>571</v>
      </c>
      <c r="E67" s="64" t="s">
        <v>29</v>
      </c>
      <c r="F67" s="64" t="s">
        <v>767</v>
      </c>
      <c r="G67" s="64" t="s">
        <v>768</v>
      </c>
      <c r="H67" s="64" t="s">
        <v>769</v>
      </c>
      <c r="I67" s="64" t="s">
        <v>575</v>
      </c>
      <c r="J67" s="64" t="s">
        <v>24</v>
      </c>
      <c r="K67" s="64" t="s">
        <v>37</v>
      </c>
      <c r="L67" s="64" t="s">
        <v>31</v>
      </c>
      <c r="M67" s="64" t="s">
        <v>28</v>
      </c>
      <c r="N67" s="64" t="s">
        <v>576</v>
      </c>
      <c r="O67" s="65">
        <v>1</v>
      </c>
      <c r="P67" s="65">
        <v>0</v>
      </c>
      <c r="Q67" s="65">
        <v>0</v>
      </c>
      <c r="R67" s="65">
        <v>1</v>
      </c>
      <c r="S67" s="65">
        <v>100</v>
      </c>
      <c r="T67" s="65">
        <v>0</v>
      </c>
      <c r="U67" s="65">
        <v>0</v>
      </c>
      <c r="V67" s="65">
        <v>100</v>
      </c>
      <c r="W67" s="65">
        <v>100</v>
      </c>
      <c r="X67" s="65">
        <v>0</v>
      </c>
      <c r="Y67" s="65">
        <v>0</v>
      </c>
      <c r="Z67" s="65">
        <v>30</v>
      </c>
      <c r="AA67" s="65">
        <v>0</v>
      </c>
      <c r="AB67" s="65">
        <v>0</v>
      </c>
      <c r="AC67" s="65">
        <v>70</v>
      </c>
      <c r="AD67" s="64" t="s">
        <v>577</v>
      </c>
    </row>
    <row r="68" spans="1:30">
      <c r="A68" s="64" t="s">
        <v>568</v>
      </c>
      <c r="B68" s="64" t="s">
        <v>569</v>
      </c>
      <c r="C68" s="64" t="s">
        <v>570</v>
      </c>
      <c r="D68" s="64" t="s">
        <v>571</v>
      </c>
      <c r="E68" s="64" t="s">
        <v>29</v>
      </c>
      <c r="F68" s="64" t="s">
        <v>770</v>
      </c>
      <c r="G68" s="64" t="s">
        <v>771</v>
      </c>
      <c r="H68" s="64" t="s">
        <v>772</v>
      </c>
      <c r="I68" s="64" t="s">
        <v>575</v>
      </c>
      <c r="J68" s="64" t="s">
        <v>24</v>
      </c>
      <c r="K68" s="64" t="s">
        <v>37</v>
      </c>
      <c r="L68" s="64" t="s">
        <v>31</v>
      </c>
      <c r="M68" s="64" t="s">
        <v>28</v>
      </c>
      <c r="N68" s="64" t="s">
        <v>576</v>
      </c>
      <c r="O68" s="65">
        <v>1</v>
      </c>
      <c r="P68" s="65">
        <v>0</v>
      </c>
      <c r="Q68" s="65">
        <v>0</v>
      </c>
      <c r="R68" s="65">
        <v>1</v>
      </c>
      <c r="S68" s="65">
        <v>100</v>
      </c>
      <c r="T68" s="65">
        <v>0</v>
      </c>
      <c r="U68" s="65">
        <v>0</v>
      </c>
      <c r="V68" s="65">
        <v>100</v>
      </c>
      <c r="W68" s="65">
        <v>100</v>
      </c>
      <c r="X68" s="65">
        <v>0</v>
      </c>
      <c r="Y68" s="65">
        <v>0</v>
      </c>
      <c r="Z68" s="65">
        <v>30</v>
      </c>
      <c r="AA68" s="65">
        <v>0</v>
      </c>
      <c r="AB68" s="65">
        <v>0</v>
      </c>
      <c r="AC68" s="65">
        <v>70</v>
      </c>
      <c r="AD68" s="64" t="s">
        <v>577</v>
      </c>
    </row>
    <row r="69" spans="1:30">
      <c r="A69" s="64" t="s">
        <v>568</v>
      </c>
      <c r="B69" s="64" t="s">
        <v>569</v>
      </c>
      <c r="C69" s="64" t="s">
        <v>570</v>
      </c>
      <c r="D69" s="64" t="s">
        <v>571</v>
      </c>
      <c r="E69" s="64" t="s">
        <v>29</v>
      </c>
      <c r="F69" s="64" t="s">
        <v>773</v>
      </c>
      <c r="G69" s="64" t="s">
        <v>774</v>
      </c>
      <c r="H69" s="64" t="s">
        <v>775</v>
      </c>
      <c r="I69" s="64" t="s">
        <v>575</v>
      </c>
      <c r="J69" s="64" t="s">
        <v>24</v>
      </c>
      <c r="K69" s="64" t="s">
        <v>37</v>
      </c>
      <c r="L69" s="64" t="s">
        <v>31</v>
      </c>
      <c r="M69" s="64" t="s">
        <v>28</v>
      </c>
      <c r="N69" s="64" t="s">
        <v>576</v>
      </c>
      <c r="O69" s="65">
        <v>1</v>
      </c>
      <c r="P69" s="65">
        <v>0</v>
      </c>
      <c r="Q69" s="65">
        <v>0</v>
      </c>
      <c r="R69" s="65">
        <v>1</v>
      </c>
      <c r="S69" s="65">
        <v>100</v>
      </c>
      <c r="T69" s="65">
        <v>0</v>
      </c>
      <c r="U69" s="65">
        <v>0</v>
      </c>
      <c r="V69" s="65">
        <v>100</v>
      </c>
      <c r="W69" s="65">
        <v>100</v>
      </c>
      <c r="X69" s="65">
        <v>0</v>
      </c>
      <c r="Y69" s="65">
        <v>0</v>
      </c>
      <c r="Z69" s="65">
        <v>30</v>
      </c>
      <c r="AA69" s="65">
        <v>0</v>
      </c>
      <c r="AB69" s="65">
        <v>0</v>
      </c>
      <c r="AC69" s="65">
        <v>70</v>
      </c>
      <c r="AD69" s="64" t="s">
        <v>577</v>
      </c>
    </row>
    <row r="70" spans="1:30">
      <c r="A70" s="64" t="s">
        <v>568</v>
      </c>
      <c r="B70" s="64" t="s">
        <v>569</v>
      </c>
      <c r="C70" s="64" t="s">
        <v>570</v>
      </c>
      <c r="D70" s="64" t="s">
        <v>571</v>
      </c>
      <c r="E70" s="64" t="s">
        <v>29</v>
      </c>
      <c r="F70" s="64" t="s">
        <v>776</v>
      </c>
      <c r="G70" s="64" t="s">
        <v>777</v>
      </c>
      <c r="H70" s="64" t="s">
        <v>778</v>
      </c>
      <c r="I70" s="64" t="s">
        <v>575</v>
      </c>
      <c r="J70" s="64" t="s">
        <v>24</v>
      </c>
      <c r="K70" s="64" t="s">
        <v>37</v>
      </c>
      <c r="L70" s="64" t="s">
        <v>31</v>
      </c>
      <c r="M70" s="64" t="s">
        <v>28</v>
      </c>
      <c r="N70" s="64" t="s">
        <v>576</v>
      </c>
      <c r="O70" s="65">
        <v>1</v>
      </c>
      <c r="P70" s="65">
        <v>0</v>
      </c>
      <c r="Q70" s="65">
        <v>0</v>
      </c>
      <c r="R70" s="65">
        <v>1</v>
      </c>
      <c r="S70" s="65">
        <v>100</v>
      </c>
      <c r="T70" s="65">
        <v>0</v>
      </c>
      <c r="U70" s="65">
        <v>0</v>
      </c>
      <c r="V70" s="65">
        <v>100</v>
      </c>
      <c r="W70" s="65">
        <v>100</v>
      </c>
      <c r="X70" s="65">
        <v>0</v>
      </c>
      <c r="Y70" s="65">
        <v>0</v>
      </c>
      <c r="Z70" s="65">
        <v>30</v>
      </c>
      <c r="AA70" s="65">
        <v>0</v>
      </c>
      <c r="AB70" s="65">
        <v>0</v>
      </c>
      <c r="AC70" s="65">
        <v>70</v>
      </c>
      <c r="AD70" s="64" t="s">
        <v>577</v>
      </c>
    </row>
    <row r="71" spans="1:30">
      <c r="A71" s="64" t="s">
        <v>568</v>
      </c>
      <c r="B71" s="64" t="s">
        <v>569</v>
      </c>
      <c r="C71" s="64" t="s">
        <v>570</v>
      </c>
      <c r="D71" s="64" t="s">
        <v>571</v>
      </c>
      <c r="E71" s="64" t="s">
        <v>29</v>
      </c>
      <c r="F71" s="64" t="s">
        <v>779</v>
      </c>
      <c r="G71" s="64" t="s">
        <v>780</v>
      </c>
      <c r="H71" s="64" t="s">
        <v>781</v>
      </c>
      <c r="I71" s="64" t="s">
        <v>575</v>
      </c>
      <c r="J71" s="64" t="s">
        <v>24</v>
      </c>
      <c r="K71" s="64" t="s">
        <v>37</v>
      </c>
      <c r="L71" s="64" t="s">
        <v>31</v>
      </c>
      <c r="M71" s="64" t="s">
        <v>28</v>
      </c>
      <c r="N71" s="64" t="s">
        <v>576</v>
      </c>
      <c r="O71" s="65">
        <v>1</v>
      </c>
      <c r="P71" s="65">
        <v>0</v>
      </c>
      <c r="Q71" s="65">
        <v>0</v>
      </c>
      <c r="R71" s="65">
        <v>1</v>
      </c>
      <c r="S71" s="65">
        <v>100</v>
      </c>
      <c r="T71" s="65">
        <v>0</v>
      </c>
      <c r="U71" s="65">
        <v>0</v>
      </c>
      <c r="V71" s="65">
        <v>100</v>
      </c>
      <c r="W71" s="65">
        <v>100</v>
      </c>
      <c r="X71" s="65">
        <v>0</v>
      </c>
      <c r="Y71" s="65">
        <v>0</v>
      </c>
      <c r="Z71" s="65">
        <v>30</v>
      </c>
      <c r="AA71" s="65">
        <v>0</v>
      </c>
      <c r="AB71" s="65">
        <v>0</v>
      </c>
      <c r="AC71" s="65">
        <v>70</v>
      </c>
      <c r="AD71" s="64" t="s">
        <v>577</v>
      </c>
    </row>
    <row r="72" spans="1:30">
      <c r="A72" s="64" t="s">
        <v>568</v>
      </c>
      <c r="B72" s="64" t="s">
        <v>569</v>
      </c>
      <c r="C72" s="64" t="s">
        <v>570</v>
      </c>
      <c r="D72" s="64" t="s">
        <v>571</v>
      </c>
      <c r="E72" s="64" t="s">
        <v>29</v>
      </c>
      <c r="F72" s="64" t="s">
        <v>782</v>
      </c>
      <c r="G72" s="64" t="s">
        <v>783</v>
      </c>
      <c r="H72" s="64" t="s">
        <v>784</v>
      </c>
      <c r="I72" s="64" t="s">
        <v>575</v>
      </c>
      <c r="J72" s="64" t="s">
        <v>24</v>
      </c>
      <c r="K72" s="64" t="s">
        <v>37</v>
      </c>
      <c r="L72" s="64" t="s">
        <v>31</v>
      </c>
      <c r="M72" s="64" t="s">
        <v>28</v>
      </c>
      <c r="N72" s="64" t="s">
        <v>576</v>
      </c>
      <c r="O72" s="65">
        <v>1</v>
      </c>
      <c r="P72" s="65">
        <v>0</v>
      </c>
      <c r="Q72" s="65">
        <v>0</v>
      </c>
      <c r="R72" s="65">
        <v>1</v>
      </c>
      <c r="S72" s="65">
        <v>100</v>
      </c>
      <c r="T72" s="65">
        <v>0</v>
      </c>
      <c r="U72" s="65">
        <v>0</v>
      </c>
      <c r="V72" s="65">
        <v>100</v>
      </c>
      <c r="W72" s="65">
        <v>100</v>
      </c>
      <c r="X72" s="65">
        <v>0</v>
      </c>
      <c r="Y72" s="65">
        <v>0</v>
      </c>
      <c r="Z72" s="65">
        <v>30</v>
      </c>
      <c r="AA72" s="65">
        <v>0</v>
      </c>
      <c r="AB72" s="65">
        <v>0</v>
      </c>
      <c r="AC72" s="65">
        <v>70</v>
      </c>
      <c r="AD72" s="64" t="s">
        <v>577</v>
      </c>
    </row>
    <row r="73" spans="1:30">
      <c r="A73" s="64" t="s">
        <v>568</v>
      </c>
      <c r="B73" s="64" t="s">
        <v>569</v>
      </c>
      <c r="C73" s="64" t="s">
        <v>570</v>
      </c>
      <c r="D73" s="64" t="s">
        <v>571</v>
      </c>
      <c r="E73" s="64" t="s">
        <v>29</v>
      </c>
      <c r="F73" s="64" t="s">
        <v>785</v>
      </c>
      <c r="G73" s="64" t="s">
        <v>786</v>
      </c>
      <c r="H73" s="64" t="s">
        <v>787</v>
      </c>
      <c r="I73" s="64" t="s">
        <v>575</v>
      </c>
      <c r="J73" s="64" t="s">
        <v>24</v>
      </c>
      <c r="K73" s="64" t="s">
        <v>37</v>
      </c>
      <c r="L73" s="64" t="s">
        <v>31</v>
      </c>
      <c r="M73" s="64" t="s">
        <v>28</v>
      </c>
      <c r="N73" s="64" t="s">
        <v>576</v>
      </c>
      <c r="O73" s="65">
        <v>1</v>
      </c>
      <c r="P73" s="65">
        <v>0</v>
      </c>
      <c r="Q73" s="65">
        <v>0</v>
      </c>
      <c r="R73" s="65">
        <v>1</v>
      </c>
      <c r="S73" s="65">
        <v>100</v>
      </c>
      <c r="T73" s="65">
        <v>0</v>
      </c>
      <c r="U73" s="65">
        <v>0</v>
      </c>
      <c r="V73" s="65">
        <v>100</v>
      </c>
      <c r="W73" s="65">
        <v>100</v>
      </c>
      <c r="X73" s="65">
        <v>0</v>
      </c>
      <c r="Y73" s="65">
        <v>0</v>
      </c>
      <c r="Z73" s="65">
        <v>30</v>
      </c>
      <c r="AA73" s="65">
        <v>0</v>
      </c>
      <c r="AB73" s="65">
        <v>0</v>
      </c>
      <c r="AC73" s="65">
        <v>70</v>
      </c>
      <c r="AD73" s="64" t="s">
        <v>577</v>
      </c>
    </row>
    <row r="74" spans="1:30">
      <c r="A74" s="64" t="s">
        <v>568</v>
      </c>
      <c r="B74" s="64" t="s">
        <v>569</v>
      </c>
      <c r="C74" s="64" t="s">
        <v>570</v>
      </c>
      <c r="D74" s="64" t="s">
        <v>571</v>
      </c>
      <c r="E74" s="64" t="s">
        <v>29</v>
      </c>
      <c r="F74" s="64" t="s">
        <v>788</v>
      </c>
      <c r="G74" s="64" t="s">
        <v>789</v>
      </c>
      <c r="H74" s="64" t="s">
        <v>790</v>
      </c>
      <c r="I74" s="64" t="s">
        <v>575</v>
      </c>
      <c r="J74" s="64" t="s">
        <v>24</v>
      </c>
      <c r="K74" s="64" t="s">
        <v>37</v>
      </c>
      <c r="L74" s="64" t="s">
        <v>31</v>
      </c>
      <c r="M74" s="64" t="s">
        <v>28</v>
      </c>
      <c r="N74" s="64" t="s">
        <v>576</v>
      </c>
      <c r="O74" s="65">
        <v>1</v>
      </c>
      <c r="P74" s="65">
        <v>0</v>
      </c>
      <c r="Q74" s="65">
        <v>0</v>
      </c>
      <c r="R74" s="65">
        <v>1</v>
      </c>
      <c r="S74" s="65">
        <v>100</v>
      </c>
      <c r="T74" s="65">
        <v>0</v>
      </c>
      <c r="U74" s="65">
        <v>0</v>
      </c>
      <c r="V74" s="65">
        <v>100</v>
      </c>
      <c r="W74" s="65">
        <v>100</v>
      </c>
      <c r="X74" s="65">
        <v>0</v>
      </c>
      <c r="Y74" s="65">
        <v>0</v>
      </c>
      <c r="Z74" s="65">
        <v>30</v>
      </c>
      <c r="AA74" s="65">
        <v>0</v>
      </c>
      <c r="AB74" s="65">
        <v>0</v>
      </c>
      <c r="AC74" s="65">
        <v>70</v>
      </c>
      <c r="AD74" s="64" t="s">
        <v>577</v>
      </c>
    </row>
    <row r="75" spans="1:30">
      <c r="A75" s="64" t="s">
        <v>568</v>
      </c>
      <c r="B75" s="64" t="s">
        <v>569</v>
      </c>
      <c r="C75" s="64" t="s">
        <v>570</v>
      </c>
      <c r="D75" s="64" t="s">
        <v>571</v>
      </c>
      <c r="E75" s="64" t="s">
        <v>29</v>
      </c>
      <c r="F75" s="64" t="s">
        <v>791</v>
      </c>
      <c r="G75" s="64" t="s">
        <v>792</v>
      </c>
      <c r="H75" s="64" t="s">
        <v>793</v>
      </c>
      <c r="I75" s="64" t="s">
        <v>575</v>
      </c>
      <c r="J75" s="64" t="s">
        <v>24</v>
      </c>
      <c r="K75" s="64" t="s">
        <v>37</v>
      </c>
      <c r="L75" s="64" t="s">
        <v>31</v>
      </c>
      <c r="M75" s="64" t="s">
        <v>28</v>
      </c>
      <c r="N75" s="64" t="s">
        <v>576</v>
      </c>
      <c r="O75" s="65">
        <v>1</v>
      </c>
      <c r="P75" s="65">
        <v>0</v>
      </c>
      <c r="Q75" s="65">
        <v>0</v>
      </c>
      <c r="R75" s="65">
        <v>1</v>
      </c>
      <c r="S75" s="65">
        <v>100</v>
      </c>
      <c r="T75" s="65">
        <v>0</v>
      </c>
      <c r="U75" s="65">
        <v>0</v>
      </c>
      <c r="V75" s="65">
        <v>100</v>
      </c>
      <c r="W75" s="65">
        <v>100</v>
      </c>
      <c r="X75" s="65">
        <v>0</v>
      </c>
      <c r="Y75" s="65">
        <v>0</v>
      </c>
      <c r="Z75" s="65">
        <v>30</v>
      </c>
      <c r="AA75" s="65">
        <v>0</v>
      </c>
      <c r="AB75" s="65">
        <v>0</v>
      </c>
      <c r="AC75" s="65">
        <v>70</v>
      </c>
      <c r="AD75" s="64" t="s">
        <v>577</v>
      </c>
    </row>
    <row r="76" spans="1:30">
      <c r="A76" s="64" t="s">
        <v>568</v>
      </c>
      <c r="B76" s="64" t="s">
        <v>569</v>
      </c>
      <c r="C76" s="64" t="s">
        <v>570</v>
      </c>
      <c r="D76" s="64" t="s">
        <v>571</v>
      </c>
      <c r="E76" s="64" t="s">
        <v>29</v>
      </c>
      <c r="F76" s="64" t="s">
        <v>794</v>
      </c>
      <c r="G76" s="64" t="s">
        <v>795</v>
      </c>
      <c r="H76" s="64" t="s">
        <v>796</v>
      </c>
      <c r="I76" s="64" t="s">
        <v>575</v>
      </c>
      <c r="J76" s="64" t="s">
        <v>24</v>
      </c>
      <c r="K76" s="64" t="s">
        <v>37</v>
      </c>
      <c r="L76" s="64" t="s">
        <v>31</v>
      </c>
      <c r="M76" s="64" t="s">
        <v>28</v>
      </c>
      <c r="N76" s="64" t="s">
        <v>576</v>
      </c>
      <c r="O76" s="65">
        <v>1</v>
      </c>
      <c r="P76" s="65">
        <v>0</v>
      </c>
      <c r="Q76" s="65">
        <v>0</v>
      </c>
      <c r="R76" s="65">
        <v>1</v>
      </c>
      <c r="S76" s="65">
        <v>100</v>
      </c>
      <c r="T76" s="65">
        <v>0</v>
      </c>
      <c r="U76" s="65">
        <v>0</v>
      </c>
      <c r="V76" s="65">
        <v>100</v>
      </c>
      <c r="W76" s="65">
        <v>100</v>
      </c>
      <c r="X76" s="65">
        <v>0</v>
      </c>
      <c r="Y76" s="65">
        <v>0</v>
      </c>
      <c r="Z76" s="65">
        <v>30</v>
      </c>
      <c r="AA76" s="65">
        <v>0</v>
      </c>
      <c r="AB76" s="65">
        <v>0</v>
      </c>
      <c r="AC76" s="65">
        <v>70</v>
      </c>
      <c r="AD76" s="64" t="s">
        <v>577</v>
      </c>
    </row>
    <row r="77" spans="1:30">
      <c r="A77" s="64" t="s">
        <v>568</v>
      </c>
      <c r="B77" s="64" t="s">
        <v>569</v>
      </c>
      <c r="C77" s="64" t="s">
        <v>570</v>
      </c>
      <c r="D77" s="64" t="s">
        <v>571</v>
      </c>
      <c r="E77" s="64" t="s">
        <v>29</v>
      </c>
      <c r="F77" s="64" t="s">
        <v>797</v>
      </c>
      <c r="G77" s="64" t="s">
        <v>798</v>
      </c>
      <c r="H77" s="64" t="s">
        <v>799</v>
      </c>
      <c r="I77" s="64" t="s">
        <v>575</v>
      </c>
      <c r="J77" s="64" t="s">
        <v>24</v>
      </c>
      <c r="K77" s="64" t="s">
        <v>37</v>
      </c>
      <c r="L77" s="64" t="s">
        <v>31</v>
      </c>
      <c r="M77" s="64" t="s">
        <v>28</v>
      </c>
      <c r="N77" s="64" t="s">
        <v>576</v>
      </c>
      <c r="O77" s="65">
        <v>1</v>
      </c>
      <c r="P77" s="65">
        <v>0</v>
      </c>
      <c r="Q77" s="65">
        <v>0</v>
      </c>
      <c r="R77" s="65">
        <v>1</v>
      </c>
      <c r="S77" s="65">
        <v>100</v>
      </c>
      <c r="T77" s="65">
        <v>0</v>
      </c>
      <c r="U77" s="65">
        <v>0</v>
      </c>
      <c r="V77" s="65">
        <v>100</v>
      </c>
      <c r="W77" s="65">
        <v>100</v>
      </c>
      <c r="X77" s="65">
        <v>0</v>
      </c>
      <c r="Y77" s="65">
        <v>0</v>
      </c>
      <c r="Z77" s="65">
        <v>30</v>
      </c>
      <c r="AA77" s="65">
        <v>0</v>
      </c>
      <c r="AB77" s="65">
        <v>0</v>
      </c>
      <c r="AC77" s="65">
        <v>70</v>
      </c>
      <c r="AD77" s="64" t="s">
        <v>577</v>
      </c>
    </row>
    <row r="78" spans="1:30">
      <c r="A78" s="64" t="s">
        <v>568</v>
      </c>
      <c r="B78" s="64" t="s">
        <v>569</v>
      </c>
      <c r="C78" s="64" t="s">
        <v>570</v>
      </c>
      <c r="D78" s="64" t="s">
        <v>571</v>
      </c>
      <c r="E78" s="64" t="s">
        <v>29</v>
      </c>
      <c r="F78" s="64" t="s">
        <v>800</v>
      </c>
      <c r="G78" s="64" t="s">
        <v>801</v>
      </c>
      <c r="H78" s="64" t="s">
        <v>802</v>
      </c>
      <c r="I78" s="64" t="s">
        <v>575</v>
      </c>
      <c r="J78" s="64" t="s">
        <v>24</v>
      </c>
      <c r="K78" s="64" t="s">
        <v>37</v>
      </c>
      <c r="L78" s="64" t="s">
        <v>31</v>
      </c>
      <c r="M78" s="64" t="s">
        <v>28</v>
      </c>
      <c r="N78" s="64" t="s">
        <v>576</v>
      </c>
      <c r="O78" s="65">
        <v>1</v>
      </c>
      <c r="P78" s="65">
        <v>0</v>
      </c>
      <c r="Q78" s="65">
        <v>0</v>
      </c>
      <c r="R78" s="65">
        <v>1</v>
      </c>
      <c r="S78" s="65">
        <v>100</v>
      </c>
      <c r="T78" s="65">
        <v>0</v>
      </c>
      <c r="U78" s="65">
        <v>0</v>
      </c>
      <c r="V78" s="65">
        <v>100</v>
      </c>
      <c r="W78" s="65">
        <v>100</v>
      </c>
      <c r="X78" s="65">
        <v>0</v>
      </c>
      <c r="Y78" s="65">
        <v>0</v>
      </c>
      <c r="Z78" s="65">
        <v>30</v>
      </c>
      <c r="AA78" s="65">
        <v>0</v>
      </c>
      <c r="AB78" s="65">
        <v>0</v>
      </c>
      <c r="AC78" s="65">
        <v>70</v>
      </c>
      <c r="AD78" s="64" t="s">
        <v>577</v>
      </c>
    </row>
    <row r="79" spans="1:30">
      <c r="A79" s="64" t="s">
        <v>568</v>
      </c>
      <c r="B79" s="64" t="s">
        <v>569</v>
      </c>
      <c r="C79" s="64" t="s">
        <v>570</v>
      </c>
      <c r="D79" s="64" t="s">
        <v>571</v>
      </c>
      <c r="E79" s="64" t="s">
        <v>29</v>
      </c>
      <c r="F79" s="64" t="s">
        <v>803</v>
      </c>
      <c r="G79" s="64" t="s">
        <v>804</v>
      </c>
      <c r="H79" s="64" t="s">
        <v>805</v>
      </c>
      <c r="I79" s="64" t="s">
        <v>575</v>
      </c>
      <c r="J79" s="64" t="s">
        <v>24</v>
      </c>
      <c r="K79" s="64" t="s">
        <v>37</v>
      </c>
      <c r="L79" s="64" t="s">
        <v>31</v>
      </c>
      <c r="M79" s="64" t="s">
        <v>28</v>
      </c>
      <c r="N79" s="64" t="s">
        <v>576</v>
      </c>
      <c r="O79" s="65">
        <v>1</v>
      </c>
      <c r="P79" s="65">
        <v>0</v>
      </c>
      <c r="Q79" s="65">
        <v>0</v>
      </c>
      <c r="R79" s="65">
        <v>1</v>
      </c>
      <c r="S79" s="65">
        <v>100</v>
      </c>
      <c r="T79" s="65">
        <v>0</v>
      </c>
      <c r="U79" s="65">
        <v>0</v>
      </c>
      <c r="V79" s="65">
        <v>100</v>
      </c>
      <c r="W79" s="65">
        <v>100</v>
      </c>
      <c r="X79" s="65">
        <v>0</v>
      </c>
      <c r="Y79" s="65">
        <v>0</v>
      </c>
      <c r="Z79" s="65">
        <v>30</v>
      </c>
      <c r="AA79" s="65">
        <v>0</v>
      </c>
      <c r="AB79" s="65">
        <v>0</v>
      </c>
      <c r="AC79" s="65">
        <v>70</v>
      </c>
      <c r="AD79" s="64" t="s">
        <v>577</v>
      </c>
    </row>
    <row r="80" spans="1:30">
      <c r="A80" s="64" t="s">
        <v>568</v>
      </c>
      <c r="B80" s="64" t="s">
        <v>569</v>
      </c>
      <c r="C80" s="64" t="s">
        <v>570</v>
      </c>
      <c r="D80" s="64" t="s">
        <v>571</v>
      </c>
      <c r="E80" s="64" t="s">
        <v>29</v>
      </c>
      <c r="F80" s="64" t="s">
        <v>806</v>
      </c>
      <c r="G80" s="64" t="s">
        <v>807</v>
      </c>
      <c r="H80" s="64" t="s">
        <v>808</v>
      </c>
      <c r="I80" s="64" t="s">
        <v>575</v>
      </c>
      <c r="J80" s="64" t="s">
        <v>24</v>
      </c>
      <c r="K80" s="64" t="s">
        <v>37</v>
      </c>
      <c r="L80" s="64" t="s">
        <v>31</v>
      </c>
      <c r="M80" s="64" t="s">
        <v>28</v>
      </c>
      <c r="N80" s="64" t="s">
        <v>576</v>
      </c>
      <c r="O80" s="65">
        <v>1</v>
      </c>
      <c r="P80" s="65">
        <v>0</v>
      </c>
      <c r="Q80" s="65">
        <v>0</v>
      </c>
      <c r="R80" s="65">
        <v>1</v>
      </c>
      <c r="S80" s="65">
        <v>100</v>
      </c>
      <c r="T80" s="65">
        <v>0</v>
      </c>
      <c r="U80" s="65">
        <v>0</v>
      </c>
      <c r="V80" s="65">
        <v>100</v>
      </c>
      <c r="W80" s="65">
        <v>100</v>
      </c>
      <c r="X80" s="65">
        <v>0</v>
      </c>
      <c r="Y80" s="65">
        <v>0</v>
      </c>
      <c r="Z80" s="65">
        <v>30</v>
      </c>
      <c r="AA80" s="65">
        <v>0</v>
      </c>
      <c r="AB80" s="65">
        <v>0</v>
      </c>
      <c r="AC80" s="65">
        <v>70</v>
      </c>
      <c r="AD80" s="64" t="s">
        <v>577</v>
      </c>
    </row>
    <row r="81" spans="1:30">
      <c r="A81" s="64" t="s">
        <v>568</v>
      </c>
      <c r="B81" s="64" t="s">
        <v>569</v>
      </c>
      <c r="C81" s="64" t="s">
        <v>570</v>
      </c>
      <c r="D81" s="64" t="s">
        <v>571</v>
      </c>
      <c r="E81" s="64" t="s">
        <v>29</v>
      </c>
      <c r="F81" s="64" t="s">
        <v>809</v>
      </c>
      <c r="G81" s="64" t="s">
        <v>810</v>
      </c>
      <c r="H81" s="64" t="s">
        <v>811</v>
      </c>
      <c r="I81" s="64" t="s">
        <v>575</v>
      </c>
      <c r="J81" s="64" t="s">
        <v>24</v>
      </c>
      <c r="K81" s="64" t="s">
        <v>37</v>
      </c>
      <c r="L81" s="64" t="s">
        <v>31</v>
      </c>
      <c r="M81" s="64" t="s">
        <v>28</v>
      </c>
      <c r="N81" s="64" t="s">
        <v>576</v>
      </c>
      <c r="O81" s="65">
        <v>1</v>
      </c>
      <c r="P81" s="65">
        <v>0</v>
      </c>
      <c r="Q81" s="65">
        <v>0</v>
      </c>
      <c r="R81" s="65">
        <v>1</v>
      </c>
      <c r="S81" s="65">
        <v>100</v>
      </c>
      <c r="T81" s="65">
        <v>0</v>
      </c>
      <c r="U81" s="65">
        <v>0</v>
      </c>
      <c r="V81" s="65">
        <v>100</v>
      </c>
      <c r="W81" s="65">
        <v>100</v>
      </c>
      <c r="X81" s="65">
        <v>0</v>
      </c>
      <c r="Y81" s="65">
        <v>0</v>
      </c>
      <c r="Z81" s="65">
        <v>30</v>
      </c>
      <c r="AA81" s="65">
        <v>0</v>
      </c>
      <c r="AB81" s="65">
        <v>0</v>
      </c>
      <c r="AC81" s="65">
        <v>70</v>
      </c>
      <c r="AD81" s="64" t="s">
        <v>577</v>
      </c>
    </row>
    <row r="82" spans="1:30">
      <c r="A82" s="64" t="s">
        <v>568</v>
      </c>
      <c r="B82" s="64" t="s">
        <v>569</v>
      </c>
      <c r="C82" s="64" t="s">
        <v>570</v>
      </c>
      <c r="D82" s="64" t="s">
        <v>571</v>
      </c>
      <c r="E82" s="64" t="s">
        <v>29</v>
      </c>
      <c r="F82" s="64" t="s">
        <v>812</v>
      </c>
      <c r="G82" s="64" t="s">
        <v>813</v>
      </c>
      <c r="H82" s="64" t="s">
        <v>814</v>
      </c>
      <c r="I82" s="64" t="s">
        <v>575</v>
      </c>
      <c r="J82" s="64" t="s">
        <v>24</v>
      </c>
      <c r="K82" s="64" t="s">
        <v>37</v>
      </c>
      <c r="L82" s="64" t="s">
        <v>31</v>
      </c>
      <c r="M82" s="64" t="s">
        <v>28</v>
      </c>
      <c r="N82" s="64" t="s">
        <v>576</v>
      </c>
      <c r="O82" s="65">
        <v>1</v>
      </c>
      <c r="P82" s="65">
        <v>0</v>
      </c>
      <c r="Q82" s="65">
        <v>0</v>
      </c>
      <c r="R82" s="65">
        <v>1</v>
      </c>
      <c r="S82" s="65">
        <v>100</v>
      </c>
      <c r="T82" s="65">
        <v>0</v>
      </c>
      <c r="U82" s="65">
        <v>0</v>
      </c>
      <c r="V82" s="65">
        <v>100</v>
      </c>
      <c r="W82" s="65">
        <v>100</v>
      </c>
      <c r="X82" s="65">
        <v>0</v>
      </c>
      <c r="Y82" s="65">
        <v>0</v>
      </c>
      <c r="Z82" s="65">
        <v>30</v>
      </c>
      <c r="AA82" s="65">
        <v>0</v>
      </c>
      <c r="AB82" s="65">
        <v>0</v>
      </c>
      <c r="AC82" s="65">
        <v>70</v>
      </c>
      <c r="AD82" s="64" t="s">
        <v>577</v>
      </c>
    </row>
    <row r="83" spans="1:30">
      <c r="A83" s="64" t="s">
        <v>568</v>
      </c>
      <c r="B83" s="64" t="s">
        <v>569</v>
      </c>
      <c r="C83" s="64" t="s">
        <v>570</v>
      </c>
      <c r="D83" s="64" t="s">
        <v>571</v>
      </c>
      <c r="E83" s="64" t="s">
        <v>29</v>
      </c>
      <c r="F83" s="64" t="s">
        <v>815</v>
      </c>
      <c r="G83" s="64" t="s">
        <v>816</v>
      </c>
      <c r="H83" s="64" t="s">
        <v>817</v>
      </c>
      <c r="I83" s="64" t="s">
        <v>575</v>
      </c>
      <c r="J83" s="64" t="s">
        <v>24</v>
      </c>
      <c r="K83" s="64" t="s">
        <v>37</v>
      </c>
      <c r="L83" s="64" t="s">
        <v>31</v>
      </c>
      <c r="M83" s="64" t="s">
        <v>28</v>
      </c>
      <c r="N83" s="64" t="s">
        <v>576</v>
      </c>
      <c r="O83" s="65">
        <v>1</v>
      </c>
      <c r="P83" s="65">
        <v>0</v>
      </c>
      <c r="Q83" s="65">
        <v>0</v>
      </c>
      <c r="R83" s="65">
        <v>1</v>
      </c>
      <c r="S83" s="65">
        <v>100</v>
      </c>
      <c r="T83" s="65">
        <v>0</v>
      </c>
      <c r="U83" s="65">
        <v>0</v>
      </c>
      <c r="V83" s="65">
        <v>100</v>
      </c>
      <c r="W83" s="65">
        <v>100</v>
      </c>
      <c r="X83" s="65">
        <v>0</v>
      </c>
      <c r="Y83" s="65">
        <v>0</v>
      </c>
      <c r="Z83" s="65">
        <v>30</v>
      </c>
      <c r="AA83" s="65">
        <v>0</v>
      </c>
      <c r="AB83" s="65">
        <v>0</v>
      </c>
      <c r="AC83" s="65">
        <v>70</v>
      </c>
      <c r="AD83" s="64" t="s">
        <v>577</v>
      </c>
    </row>
    <row r="84" spans="1:30">
      <c r="A84" s="64" t="s">
        <v>568</v>
      </c>
      <c r="B84" s="64" t="s">
        <v>569</v>
      </c>
      <c r="C84" s="64" t="s">
        <v>570</v>
      </c>
      <c r="D84" s="64" t="s">
        <v>571</v>
      </c>
      <c r="E84" s="64" t="s">
        <v>29</v>
      </c>
      <c r="F84" s="64" t="s">
        <v>818</v>
      </c>
      <c r="G84" s="64" t="s">
        <v>819</v>
      </c>
      <c r="H84" s="64" t="s">
        <v>820</v>
      </c>
      <c r="I84" s="64" t="s">
        <v>575</v>
      </c>
      <c r="J84" s="64" t="s">
        <v>24</v>
      </c>
      <c r="K84" s="64" t="s">
        <v>37</v>
      </c>
      <c r="L84" s="64" t="s">
        <v>31</v>
      </c>
      <c r="M84" s="64" t="s">
        <v>28</v>
      </c>
      <c r="N84" s="64" t="s">
        <v>576</v>
      </c>
      <c r="O84" s="65">
        <v>1</v>
      </c>
      <c r="P84" s="65">
        <v>0</v>
      </c>
      <c r="Q84" s="65">
        <v>0</v>
      </c>
      <c r="R84" s="65">
        <v>1</v>
      </c>
      <c r="S84" s="65">
        <v>100</v>
      </c>
      <c r="T84" s="65">
        <v>0</v>
      </c>
      <c r="U84" s="65">
        <v>0</v>
      </c>
      <c r="V84" s="65">
        <v>100</v>
      </c>
      <c r="W84" s="65">
        <v>100</v>
      </c>
      <c r="X84" s="65">
        <v>0</v>
      </c>
      <c r="Y84" s="65">
        <v>0</v>
      </c>
      <c r="Z84" s="65">
        <v>30</v>
      </c>
      <c r="AA84" s="65">
        <v>0</v>
      </c>
      <c r="AB84" s="65">
        <v>0</v>
      </c>
      <c r="AC84" s="65">
        <v>70</v>
      </c>
      <c r="AD84" s="64" t="s">
        <v>577</v>
      </c>
    </row>
    <row r="85" spans="1:30">
      <c r="A85" s="64" t="s">
        <v>568</v>
      </c>
      <c r="B85" s="64" t="s">
        <v>569</v>
      </c>
      <c r="C85" s="64" t="s">
        <v>570</v>
      </c>
      <c r="D85" s="64" t="s">
        <v>571</v>
      </c>
      <c r="E85" s="64" t="s">
        <v>29</v>
      </c>
      <c r="F85" s="64" t="s">
        <v>821</v>
      </c>
      <c r="G85" s="64" t="s">
        <v>822</v>
      </c>
      <c r="H85" s="64" t="s">
        <v>823</v>
      </c>
      <c r="I85" s="64" t="s">
        <v>575</v>
      </c>
      <c r="J85" s="64" t="s">
        <v>24</v>
      </c>
      <c r="K85" s="64" t="s">
        <v>37</v>
      </c>
      <c r="L85" s="64" t="s">
        <v>31</v>
      </c>
      <c r="M85" s="64" t="s">
        <v>28</v>
      </c>
      <c r="N85" s="64" t="s">
        <v>576</v>
      </c>
      <c r="O85" s="65">
        <v>1</v>
      </c>
      <c r="P85" s="65">
        <v>0</v>
      </c>
      <c r="Q85" s="65">
        <v>0</v>
      </c>
      <c r="R85" s="65">
        <v>1</v>
      </c>
      <c r="S85" s="65">
        <v>100</v>
      </c>
      <c r="T85" s="65">
        <v>0</v>
      </c>
      <c r="U85" s="65">
        <v>0</v>
      </c>
      <c r="V85" s="65">
        <v>100</v>
      </c>
      <c r="W85" s="65">
        <v>100</v>
      </c>
      <c r="X85" s="65">
        <v>0</v>
      </c>
      <c r="Y85" s="65">
        <v>0</v>
      </c>
      <c r="Z85" s="65">
        <v>30</v>
      </c>
      <c r="AA85" s="65">
        <v>0</v>
      </c>
      <c r="AB85" s="65">
        <v>0</v>
      </c>
      <c r="AC85" s="65">
        <v>70</v>
      </c>
      <c r="AD85" s="64" t="s">
        <v>577</v>
      </c>
    </row>
    <row r="86" spans="1:30">
      <c r="A86" s="64" t="s">
        <v>568</v>
      </c>
      <c r="B86" s="64" t="s">
        <v>569</v>
      </c>
      <c r="C86" s="64" t="s">
        <v>570</v>
      </c>
      <c r="D86" s="64" t="s">
        <v>571</v>
      </c>
      <c r="E86" s="64" t="s">
        <v>29</v>
      </c>
      <c r="F86" s="64" t="s">
        <v>824</v>
      </c>
      <c r="G86" s="64" t="s">
        <v>825</v>
      </c>
      <c r="H86" s="64" t="s">
        <v>826</v>
      </c>
      <c r="I86" s="64" t="s">
        <v>575</v>
      </c>
      <c r="J86" s="64" t="s">
        <v>24</v>
      </c>
      <c r="K86" s="64" t="s">
        <v>37</v>
      </c>
      <c r="L86" s="64" t="s">
        <v>31</v>
      </c>
      <c r="M86" s="64" t="s">
        <v>28</v>
      </c>
      <c r="N86" s="64" t="s">
        <v>576</v>
      </c>
      <c r="O86" s="65">
        <v>1</v>
      </c>
      <c r="P86" s="65">
        <v>0</v>
      </c>
      <c r="Q86" s="65">
        <v>0</v>
      </c>
      <c r="R86" s="65">
        <v>1</v>
      </c>
      <c r="S86" s="65">
        <v>100</v>
      </c>
      <c r="T86" s="65">
        <v>0</v>
      </c>
      <c r="U86" s="65">
        <v>0</v>
      </c>
      <c r="V86" s="65">
        <v>100</v>
      </c>
      <c r="W86" s="65">
        <v>100</v>
      </c>
      <c r="X86" s="65">
        <v>0</v>
      </c>
      <c r="Y86" s="65">
        <v>0</v>
      </c>
      <c r="Z86" s="65">
        <v>30</v>
      </c>
      <c r="AA86" s="65">
        <v>0</v>
      </c>
      <c r="AB86" s="65">
        <v>0</v>
      </c>
      <c r="AC86" s="65">
        <v>70</v>
      </c>
      <c r="AD86" s="64" t="s">
        <v>577</v>
      </c>
    </row>
    <row r="87" spans="1:30">
      <c r="A87" s="64" t="s">
        <v>568</v>
      </c>
      <c r="B87" s="64" t="s">
        <v>569</v>
      </c>
      <c r="C87" s="64" t="s">
        <v>570</v>
      </c>
      <c r="D87" s="64" t="s">
        <v>571</v>
      </c>
      <c r="E87" s="64" t="s">
        <v>29</v>
      </c>
      <c r="F87" s="64" t="s">
        <v>827</v>
      </c>
      <c r="G87" s="64" t="s">
        <v>828</v>
      </c>
      <c r="H87" s="64" t="s">
        <v>829</v>
      </c>
      <c r="I87" s="64" t="s">
        <v>575</v>
      </c>
      <c r="J87" s="64" t="s">
        <v>24</v>
      </c>
      <c r="K87" s="64" t="s">
        <v>37</v>
      </c>
      <c r="L87" s="64" t="s">
        <v>31</v>
      </c>
      <c r="M87" s="64" t="s">
        <v>28</v>
      </c>
      <c r="N87" s="64" t="s">
        <v>576</v>
      </c>
      <c r="O87" s="65">
        <v>1</v>
      </c>
      <c r="P87" s="65">
        <v>0</v>
      </c>
      <c r="Q87" s="65">
        <v>0</v>
      </c>
      <c r="R87" s="65">
        <v>1</v>
      </c>
      <c r="S87" s="65">
        <v>100</v>
      </c>
      <c r="T87" s="65">
        <v>0</v>
      </c>
      <c r="U87" s="65">
        <v>0</v>
      </c>
      <c r="V87" s="65">
        <v>100</v>
      </c>
      <c r="W87" s="65">
        <v>0</v>
      </c>
      <c r="X87" s="65">
        <v>0</v>
      </c>
      <c r="Y87" s="65">
        <v>100</v>
      </c>
      <c r="Z87" s="65">
        <v>0</v>
      </c>
      <c r="AA87" s="65">
        <v>30</v>
      </c>
      <c r="AB87" s="65">
        <v>0</v>
      </c>
      <c r="AC87" s="65">
        <v>70</v>
      </c>
      <c r="AD87" s="64" t="s">
        <v>577</v>
      </c>
    </row>
    <row r="88" spans="1:30">
      <c r="A88" s="64" t="s">
        <v>568</v>
      </c>
      <c r="B88" s="64" t="s">
        <v>569</v>
      </c>
      <c r="C88" s="64" t="s">
        <v>570</v>
      </c>
      <c r="D88" s="64" t="s">
        <v>571</v>
      </c>
      <c r="E88" s="64" t="s">
        <v>29</v>
      </c>
      <c r="F88" s="64" t="s">
        <v>830</v>
      </c>
      <c r="G88" s="64" t="s">
        <v>831</v>
      </c>
      <c r="H88" s="64" t="s">
        <v>832</v>
      </c>
      <c r="I88" s="64" t="s">
        <v>575</v>
      </c>
      <c r="J88" s="64" t="s">
        <v>24</v>
      </c>
      <c r="K88" s="64" t="s">
        <v>37</v>
      </c>
      <c r="L88" s="64" t="s">
        <v>31</v>
      </c>
      <c r="M88" s="64" t="s">
        <v>28</v>
      </c>
      <c r="N88" s="64" t="s">
        <v>576</v>
      </c>
      <c r="O88" s="65">
        <v>1</v>
      </c>
      <c r="P88" s="65">
        <v>0</v>
      </c>
      <c r="Q88" s="65">
        <v>0</v>
      </c>
      <c r="R88" s="65">
        <v>1</v>
      </c>
      <c r="S88" s="65">
        <v>100</v>
      </c>
      <c r="T88" s="65">
        <v>0</v>
      </c>
      <c r="U88" s="65">
        <v>0</v>
      </c>
      <c r="V88" s="65">
        <v>100</v>
      </c>
      <c r="W88" s="65">
        <v>0</v>
      </c>
      <c r="X88" s="65">
        <v>0</v>
      </c>
      <c r="Y88" s="65">
        <v>100</v>
      </c>
      <c r="Z88" s="65">
        <v>0</v>
      </c>
      <c r="AA88" s="65">
        <v>30</v>
      </c>
      <c r="AB88" s="65">
        <v>0</v>
      </c>
      <c r="AC88" s="65">
        <v>70</v>
      </c>
      <c r="AD88" s="64" t="s">
        <v>577</v>
      </c>
    </row>
    <row r="89" spans="1:30">
      <c r="A89" s="64" t="s">
        <v>568</v>
      </c>
      <c r="B89" s="64" t="s">
        <v>569</v>
      </c>
      <c r="C89" s="64" t="s">
        <v>570</v>
      </c>
      <c r="D89" s="64" t="s">
        <v>571</v>
      </c>
      <c r="E89" s="64" t="s">
        <v>29</v>
      </c>
      <c r="F89" s="64" t="s">
        <v>833</v>
      </c>
      <c r="G89" s="64" t="s">
        <v>834</v>
      </c>
      <c r="H89" s="64" t="s">
        <v>835</v>
      </c>
      <c r="I89" s="64" t="s">
        <v>575</v>
      </c>
      <c r="J89" s="64" t="s">
        <v>24</v>
      </c>
      <c r="K89" s="64" t="s">
        <v>37</v>
      </c>
      <c r="L89" s="64" t="s">
        <v>31</v>
      </c>
      <c r="M89" s="64" t="s">
        <v>28</v>
      </c>
      <c r="N89" s="64" t="s">
        <v>576</v>
      </c>
      <c r="O89" s="65">
        <v>1</v>
      </c>
      <c r="P89" s="65">
        <v>0</v>
      </c>
      <c r="Q89" s="65">
        <v>0</v>
      </c>
      <c r="R89" s="65">
        <v>1</v>
      </c>
      <c r="S89" s="65">
        <v>100</v>
      </c>
      <c r="T89" s="65">
        <v>0</v>
      </c>
      <c r="U89" s="65">
        <v>0</v>
      </c>
      <c r="V89" s="65">
        <v>100</v>
      </c>
      <c r="W89" s="65">
        <v>0</v>
      </c>
      <c r="X89" s="65">
        <v>0</v>
      </c>
      <c r="Y89" s="65">
        <v>100</v>
      </c>
      <c r="Z89" s="65">
        <v>0</v>
      </c>
      <c r="AA89" s="65">
        <v>30</v>
      </c>
      <c r="AB89" s="65">
        <v>0</v>
      </c>
      <c r="AC89" s="65">
        <v>70</v>
      </c>
      <c r="AD89" s="64" t="s">
        <v>577</v>
      </c>
    </row>
    <row r="90" spans="1:30">
      <c r="A90" s="64" t="s">
        <v>568</v>
      </c>
      <c r="B90" s="64" t="s">
        <v>569</v>
      </c>
      <c r="C90" s="64" t="s">
        <v>570</v>
      </c>
      <c r="D90" s="64" t="s">
        <v>571</v>
      </c>
      <c r="E90" s="64" t="s">
        <v>29</v>
      </c>
      <c r="F90" s="64" t="s">
        <v>836</v>
      </c>
      <c r="G90" s="64" t="s">
        <v>837</v>
      </c>
      <c r="H90" s="64" t="s">
        <v>838</v>
      </c>
      <c r="I90" s="64" t="s">
        <v>575</v>
      </c>
      <c r="J90" s="64" t="s">
        <v>24</v>
      </c>
      <c r="K90" s="64" t="s">
        <v>37</v>
      </c>
      <c r="L90" s="64" t="s">
        <v>31</v>
      </c>
      <c r="M90" s="64" t="s">
        <v>28</v>
      </c>
      <c r="N90" s="64" t="s">
        <v>576</v>
      </c>
      <c r="O90" s="65">
        <v>1</v>
      </c>
      <c r="P90" s="65">
        <v>0</v>
      </c>
      <c r="Q90" s="65">
        <v>0</v>
      </c>
      <c r="R90" s="65">
        <v>1</v>
      </c>
      <c r="S90" s="65">
        <v>100</v>
      </c>
      <c r="T90" s="65">
        <v>0</v>
      </c>
      <c r="U90" s="65">
        <v>0</v>
      </c>
      <c r="V90" s="65">
        <v>100</v>
      </c>
      <c r="W90" s="65">
        <v>0</v>
      </c>
      <c r="X90" s="65">
        <v>0</v>
      </c>
      <c r="Y90" s="65">
        <v>100</v>
      </c>
      <c r="Z90" s="65">
        <v>0</v>
      </c>
      <c r="AA90" s="65">
        <v>30</v>
      </c>
      <c r="AB90" s="65">
        <v>0</v>
      </c>
      <c r="AC90" s="65">
        <v>70</v>
      </c>
      <c r="AD90" s="64" t="s">
        <v>577</v>
      </c>
    </row>
    <row r="91" spans="1:30">
      <c r="A91" s="64" t="s">
        <v>568</v>
      </c>
      <c r="B91" s="64" t="s">
        <v>569</v>
      </c>
      <c r="C91" s="64" t="s">
        <v>570</v>
      </c>
      <c r="D91" s="64" t="s">
        <v>571</v>
      </c>
      <c r="E91" s="64" t="s">
        <v>29</v>
      </c>
      <c r="F91" s="64" t="s">
        <v>839</v>
      </c>
      <c r="G91" s="64" t="s">
        <v>840</v>
      </c>
      <c r="H91" s="64" t="s">
        <v>841</v>
      </c>
      <c r="I91" s="64" t="s">
        <v>575</v>
      </c>
      <c r="J91" s="64" t="s">
        <v>24</v>
      </c>
      <c r="K91" s="64" t="s">
        <v>37</v>
      </c>
      <c r="L91" s="64" t="s">
        <v>31</v>
      </c>
      <c r="M91" s="64" t="s">
        <v>28</v>
      </c>
      <c r="N91" s="64" t="s">
        <v>576</v>
      </c>
      <c r="O91" s="65">
        <v>1</v>
      </c>
      <c r="P91" s="65">
        <v>0</v>
      </c>
      <c r="Q91" s="65">
        <v>0</v>
      </c>
      <c r="R91" s="65">
        <v>1</v>
      </c>
      <c r="S91" s="65">
        <v>100</v>
      </c>
      <c r="T91" s="65">
        <v>0</v>
      </c>
      <c r="U91" s="65">
        <v>0</v>
      </c>
      <c r="V91" s="65">
        <v>100</v>
      </c>
      <c r="W91" s="65">
        <v>0</v>
      </c>
      <c r="X91" s="65">
        <v>0</v>
      </c>
      <c r="Y91" s="65">
        <v>100</v>
      </c>
      <c r="Z91" s="65">
        <v>0</v>
      </c>
      <c r="AA91" s="65">
        <v>30</v>
      </c>
      <c r="AB91" s="65">
        <v>0</v>
      </c>
      <c r="AC91" s="65">
        <v>70</v>
      </c>
      <c r="AD91" s="64" t="s">
        <v>577</v>
      </c>
    </row>
    <row r="92" spans="1:30">
      <c r="A92" s="64" t="s">
        <v>568</v>
      </c>
      <c r="B92" s="64" t="s">
        <v>569</v>
      </c>
      <c r="C92" s="64" t="s">
        <v>570</v>
      </c>
      <c r="D92" s="64" t="s">
        <v>571</v>
      </c>
      <c r="E92" s="64" t="s">
        <v>29</v>
      </c>
      <c r="F92" s="64" t="s">
        <v>842</v>
      </c>
      <c r="G92" s="64" t="s">
        <v>843</v>
      </c>
      <c r="H92" s="64" t="s">
        <v>844</v>
      </c>
      <c r="I92" s="64" t="s">
        <v>575</v>
      </c>
      <c r="J92" s="64" t="s">
        <v>24</v>
      </c>
      <c r="K92" s="64" t="s">
        <v>37</v>
      </c>
      <c r="L92" s="64" t="s">
        <v>31</v>
      </c>
      <c r="M92" s="64" t="s">
        <v>28</v>
      </c>
      <c r="N92" s="64" t="s">
        <v>576</v>
      </c>
      <c r="O92" s="65">
        <v>1</v>
      </c>
      <c r="P92" s="65">
        <v>0</v>
      </c>
      <c r="Q92" s="65">
        <v>0</v>
      </c>
      <c r="R92" s="65">
        <v>1</v>
      </c>
      <c r="S92" s="65">
        <v>100</v>
      </c>
      <c r="T92" s="65">
        <v>0</v>
      </c>
      <c r="U92" s="65">
        <v>0</v>
      </c>
      <c r="V92" s="65">
        <v>100</v>
      </c>
      <c r="W92" s="65">
        <v>0</v>
      </c>
      <c r="X92" s="65">
        <v>0</v>
      </c>
      <c r="Y92" s="65">
        <v>100</v>
      </c>
      <c r="Z92" s="65">
        <v>0</v>
      </c>
      <c r="AA92" s="65">
        <v>30</v>
      </c>
      <c r="AB92" s="65">
        <v>0</v>
      </c>
      <c r="AC92" s="65">
        <v>70</v>
      </c>
      <c r="AD92" s="64" t="s">
        <v>577</v>
      </c>
    </row>
    <row r="93" spans="1:30">
      <c r="A93" s="64" t="s">
        <v>568</v>
      </c>
      <c r="B93" s="64" t="s">
        <v>569</v>
      </c>
      <c r="C93" s="64" t="s">
        <v>570</v>
      </c>
      <c r="D93" s="64" t="s">
        <v>571</v>
      </c>
      <c r="E93" s="64" t="s">
        <v>29</v>
      </c>
      <c r="F93" s="64" t="s">
        <v>845</v>
      </c>
      <c r="G93" s="64" t="s">
        <v>846</v>
      </c>
      <c r="H93" s="64" t="s">
        <v>847</v>
      </c>
      <c r="I93" s="64" t="s">
        <v>575</v>
      </c>
      <c r="J93" s="64" t="s">
        <v>24</v>
      </c>
      <c r="K93" s="64" t="s">
        <v>37</v>
      </c>
      <c r="L93" s="64" t="s">
        <v>31</v>
      </c>
      <c r="M93" s="64" t="s">
        <v>28</v>
      </c>
      <c r="N93" s="64" t="s">
        <v>576</v>
      </c>
      <c r="O93" s="65">
        <v>1</v>
      </c>
      <c r="P93" s="65">
        <v>0</v>
      </c>
      <c r="Q93" s="65">
        <v>0</v>
      </c>
      <c r="R93" s="65">
        <v>1</v>
      </c>
      <c r="S93" s="65">
        <v>100</v>
      </c>
      <c r="T93" s="65">
        <v>0</v>
      </c>
      <c r="U93" s="65">
        <v>0</v>
      </c>
      <c r="V93" s="65">
        <v>100</v>
      </c>
      <c r="W93" s="65">
        <v>0</v>
      </c>
      <c r="X93" s="65">
        <v>0</v>
      </c>
      <c r="Y93" s="65">
        <v>100</v>
      </c>
      <c r="Z93" s="65">
        <v>0</v>
      </c>
      <c r="AA93" s="65">
        <v>30</v>
      </c>
      <c r="AB93" s="65">
        <v>0</v>
      </c>
      <c r="AC93" s="65">
        <v>70</v>
      </c>
      <c r="AD93" s="64" t="s">
        <v>577</v>
      </c>
    </row>
    <row r="94" spans="1:30">
      <c r="A94" s="64" t="s">
        <v>568</v>
      </c>
      <c r="B94" s="64" t="s">
        <v>569</v>
      </c>
      <c r="C94" s="64" t="s">
        <v>570</v>
      </c>
      <c r="D94" s="64" t="s">
        <v>571</v>
      </c>
      <c r="E94" s="64" t="s">
        <v>29</v>
      </c>
      <c r="F94" s="64" t="s">
        <v>848</v>
      </c>
      <c r="G94" s="64" t="s">
        <v>849</v>
      </c>
      <c r="H94" s="64" t="s">
        <v>850</v>
      </c>
      <c r="I94" s="64" t="s">
        <v>575</v>
      </c>
      <c r="J94" s="64" t="s">
        <v>24</v>
      </c>
      <c r="K94" s="64" t="s">
        <v>37</v>
      </c>
      <c r="L94" s="64" t="s">
        <v>31</v>
      </c>
      <c r="M94" s="64" t="s">
        <v>28</v>
      </c>
      <c r="N94" s="64" t="s">
        <v>576</v>
      </c>
      <c r="O94" s="65">
        <v>1</v>
      </c>
      <c r="P94" s="65">
        <v>0</v>
      </c>
      <c r="Q94" s="65">
        <v>0</v>
      </c>
      <c r="R94" s="65">
        <v>1</v>
      </c>
      <c r="S94" s="65">
        <v>100</v>
      </c>
      <c r="T94" s="65">
        <v>0</v>
      </c>
      <c r="U94" s="65">
        <v>0</v>
      </c>
      <c r="V94" s="65">
        <v>100</v>
      </c>
      <c r="W94" s="65">
        <v>0</v>
      </c>
      <c r="X94" s="65">
        <v>0</v>
      </c>
      <c r="Y94" s="65">
        <v>100</v>
      </c>
      <c r="Z94" s="65">
        <v>0</v>
      </c>
      <c r="AA94" s="65">
        <v>30</v>
      </c>
      <c r="AB94" s="65">
        <v>0</v>
      </c>
      <c r="AC94" s="65">
        <v>70</v>
      </c>
      <c r="AD94" s="64" t="s">
        <v>577</v>
      </c>
    </row>
    <row r="95" spans="1:30">
      <c r="A95" s="64" t="s">
        <v>568</v>
      </c>
      <c r="B95" s="64" t="s">
        <v>569</v>
      </c>
      <c r="C95" s="64" t="s">
        <v>570</v>
      </c>
      <c r="D95" s="64" t="s">
        <v>571</v>
      </c>
      <c r="E95" s="64" t="s">
        <v>29</v>
      </c>
      <c r="F95" s="64" t="s">
        <v>851</v>
      </c>
      <c r="G95" s="64" t="s">
        <v>852</v>
      </c>
      <c r="H95" s="64" t="s">
        <v>853</v>
      </c>
      <c r="I95" s="64" t="s">
        <v>575</v>
      </c>
      <c r="J95" s="64" t="s">
        <v>24</v>
      </c>
      <c r="K95" s="64" t="s">
        <v>37</v>
      </c>
      <c r="L95" s="64" t="s">
        <v>31</v>
      </c>
      <c r="M95" s="64" t="s">
        <v>28</v>
      </c>
      <c r="N95" s="64" t="s">
        <v>576</v>
      </c>
      <c r="O95" s="65">
        <v>1</v>
      </c>
      <c r="P95" s="65">
        <v>0</v>
      </c>
      <c r="Q95" s="65">
        <v>0</v>
      </c>
      <c r="R95" s="65">
        <v>1</v>
      </c>
      <c r="S95" s="65">
        <v>100</v>
      </c>
      <c r="T95" s="65">
        <v>0</v>
      </c>
      <c r="U95" s="65">
        <v>0</v>
      </c>
      <c r="V95" s="65">
        <v>100</v>
      </c>
      <c r="W95" s="65">
        <v>0</v>
      </c>
      <c r="X95" s="65">
        <v>0</v>
      </c>
      <c r="Y95" s="65">
        <v>100</v>
      </c>
      <c r="Z95" s="65">
        <v>0</v>
      </c>
      <c r="AA95" s="65">
        <v>30</v>
      </c>
      <c r="AB95" s="65">
        <v>0</v>
      </c>
      <c r="AC95" s="65">
        <v>70</v>
      </c>
      <c r="AD95" s="64" t="s">
        <v>577</v>
      </c>
    </row>
    <row r="96" spans="1:30">
      <c r="A96" s="64" t="s">
        <v>568</v>
      </c>
      <c r="B96" s="64" t="s">
        <v>569</v>
      </c>
      <c r="C96" s="64" t="s">
        <v>570</v>
      </c>
      <c r="D96" s="64" t="s">
        <v>571</v>
      </c>
      <c r="E96" s="64" t="s">
        <v>29</v>
      </c>
      <c r="F96" s="64" t="s">
        <v>854</v>
      </c>
      <c r="G96" s="64" t="s">
        <v>855</v>
      </c>
      <c r="H96" s="64" t="s">
        <v>856</v>
      </c>
      <c r="I96" s="64" t="s">
        <v>575</v>
      </c>
      <c r="J96" s="64" t="s">
        <v>24</v>
      </c>
      <c r="K96" s="64" t="s">
        <v>37</v>
      </c>
      <c r="L96" s="64" t="s">
        <v>31</v>
      </c>
      <c r="M96" s="64" t="s">
        <v>28</v>
      </c>
      <c r="N96" s="64" t="s">
        <v>576</v>
      </c>
      <c r="O96" s="65">
        <v>1</v>
      </c>
      <c r="P96" s="65">
        <v>0</v>
      </c>
      <c r="Q96" s="65">
        <v>0</v>
      </c>
      <c r="R96" s="65">
        <v>1</v>
      </c>
      <c r="S96" s="65">
        <v>100</v>
      </c>
      <c r="T96" s="65">
        <v>0</v>
      </c>
      <c r="U96" s="65">
        <v>0</v>
      </c>
      <c r="V96" s="65">
        <v>100</v>
      </c>
      <c r="W96" s="65">
        <v>0</v>
      </c>
      <c r="X96" s="65">
        <v>0</v>
      </c>
      <c r="Y96" s="65">
        <v>100</v>
      </c>
      <c r="Z96" s="65">
        <v>0</v>
      </c>
      <c r="AA96" s="65">
        <v>30</v>
      </c>
      <c r="AB96" s="65">
        <v>0</v>
      </c>
      <c r="AC96" s="65">
        <v>70</v>
      </c>
      <c r="AD96" s="64" t="s">
        <v>577</v>
      </c>
    </row>
    <row r="97" spans="1:30">
      <c r="A97" s="64" t="s">
        <v>568</v>
      </c>
      <c r="B97" s="64" t="s">
        <v>569</v>
      </c>
      <c r="C97" s="64" t="s">
        <v>570</v>
      </c>
      <c r="D97" s="64" t="s">
        <v>571</v>
      </c>
      <c r="E97" s="64" t="s">
        <v>29</v>
      </c>
      <c r="F97" s="64" t="s">
        <v>857</v>
      </c>
      <c r="G97" s="64" t="s">
        <v>858</v>
      </c>
      <c r="H97" s="64" t="s">
        <v>859</v>
      </c>
      <c r="I97" s="64" t="s">
        <v>575</v>
      </c>
      <c r="J97" s="64" t="s">
        <v>24</v>
      </c>
      <c r="K97" s="64" t="s">
        <v>37</v>
      </c>
      <c r="L97" s="64" t="s">
        <v>31</v>
      </c>
      <c r="M97" s="64" t="s">
        <v>28</v>
      </c>
      <c r="N97" s="64" t="s">
        <v>576</v>
      </c>
      <c r="O97" s="65">
        <v>1</v>
      </c>
      <c r="P97" s="65">
        <v>0</v>
      </c>
      <c r="Q97" s="65">
        <v>0</v>
      </c>
      <c r="R97" s="65">
        <v>1</v>
      </c>
      <c r="S97" s="65">
        <v>100</v>
      </c>
      <c r="T97" s="65">
        <v>0</v>
      </c>
      <c r="U97" s="65">
        <v>0</v>
      </c>
      <c r="V97" s="65">
        <v>100</v>
      </c>
      <c r="W97" s="65">
        <v>0</v>
      </c>
      <c r="X97" s="65">
        <v>0</v>
      </c>
      <c r="Y97" s="65">
        <v>100</v>
      </c>
      <c r="Z97" s="65">
        <v>0</v>
      </c>
      <c r="AA97" s="65">
        <v>30</v>
      </c>
      <c r="AB97" s="65">
        <v>0</v>
      </c>
      <c r="AC97" s="65">
        <v>70</v>
      </c>
      <c r="AD97" s="64" t="s">
        <v>577</v>
      </c>
    </row>
    <row r="98" spans="1:30">
      <c r="A98" s="64" t="s">
        <v>568</v>
      </c>
      <c r="B98" s="64" t="s">
        <v>569</v>
      </c>
      <c r="C98" s="64" t="s">
        <v>570</v>
      </c>
      <c r="D98" s="64" t="s">
        <v>571</v>
      </c>
      <c r="E98" s="64" t="s">
        <v>29</v>
      </c>
      <c r="F98" s="64" t="s">
        <v>860</v>
      </c>
      <c r="G98" s="64" t="s">
        <v>861</v>
      </c>
      <c r="H98" s="64" t="s">
        <v>862</v>
      </c>
      <c r="I98" s="64" t="s">
        <v>575</v>
      </c>
      <c r="J98" s="64" t="s">
        <v>24</v>
      </c>
      <c r="K98" s="64" t="s">
        <v>37</v>
      </c>
      <c r="L98" s="64" t="s">
        <v>31</v>
      </c>
      <c r="M98" s="64" t="s">
        <v>28</v>
      </c>
      <c r="N98" s="64" t="s">
        <v>576</v>
      </c>
      <c r="O98" s="65">
        <v>1</v>
      </c>
      <c r="P98" s="65">
        <v>0</v>
      </c>
      <c r="Q98" s="65">
        <v>0</v>
      </c>
      <c r="R98" s="65">
        <v>1</v>
      </c>
      <c r="S98" s="65">
        <v>100</v>
      </c>
      <c r="T98" s="65">
        <v>0</v>
      </c>
      <c r="U98" s="65">
        <v>0</v>
      </c>
      <c r="V98" s="65">
        <v>100</v>
      </c>
      <c r="W98" s="65">
        <v>0</v>
      </c>
      <c r="X98" s="65">
        <v>0</v>
      </c>
      <c r="Y98" s="65">
        <v>100</v>
      </c>
      <c r="Z98" s="65">
        <v>0</v>
      </c>
      <c r="AA98" s="65">
        <v>30</v>
      </c>
      <c r="AB98" s="65">
        <v>0</v>
      </c>
      <c r="AC98" s="65">
        <v>70</v>
      </c>
      <c r="AD98" s="64" t="s">
        <v>577</v>
      </c>
    </row>
    <row r="99" spans="1:30">
      <c r="A99" s="64" t="s">
        <v>568</v>
      </c>
      <c r="B99" s="64" t="s">
        <v>569</v>
      </c>
      <c r="C99" s="64" t="s">
        <v>570</v>
      </c>
      <c r="D99" s="64" t="s">
        <v>571</v>
      </c>
      <c r="E99" s="64" t="s">
        <v>29</v>
      </c>
      <c r="F99" s="64" t="s">
        <v>863</v>
      </c>
      <c r="G99" s="64" t="s">
        <v>864</v>
      </c>
      <c r="H99" s="64" t="s">
        <v>865</v>
      </c>
      <c r="I99" s="64" t="s">
        <v>575</v>
      </c>
      <c r="J99" s="64" t="s">
        <v>24</v>
      </c>
      <c r="K99" s="64" t="s">
        <v>37</v>
      </c>
      <c r="L99" s="64" t="s">
        <v>31</v>
      </c>
      <c r="M99" s="64" t="s">
        <v>28</v>
      </c>
      <c r="N99" s="64" t="s">
        <v>576</v>
      </c>
      <c r="O99" s="65">
        <v>1</v>
      </c>
      <c r="P99" s="65">
        <v>0</v>
      </c>
      <c r="Q99" s="65">
        <v>0</v>
      </c>
      <c r="R99" s="65">
        <v>1</v>
      </c>
      <c r="S99" s="65">
        <v>100</v>
      </c>
      <c r="T99" s="65">
        <v>0</v>
      </c>
      <c r="U99" s="65">
        <v>0</v>
      </c>
      <c r="V99" s="65">
        <v>100</v>
      </c>
      <c r="W99" s="65">
        <v>0</v>
      </c>
      <c r="X99" s="65">
        <v>0</v>
      </c>
      <c r="Y99" s="65">
        <v>100</v>
      </c>
      <c r="Z99" s="65">
        <v>0</v>
      </c>
      <c r="AA99" s="65">
        <v>30</v>
      </c>
      <c r="AB99" s="65">
        <v>0</v>
      </c>
      <c r="AC99" s="65">
        <v>70</v>
      </c>
      <c r="AD99" s="64" t="s">
        <v>577</v>
      </c>
    </row>
    <row r="100" spans="1:30">
      <c r="A100" s="64" t="s">
        <v>568</v>
      </c>
      <c r="B100" s="64" t="s">
        <v>569</v>
      </c>
      <c r="C100" s="64" t="s">
        <v>570</v>
      </c>
      <c r="D100" s="64" t="s">
        <v>571</v>
      </c>
      <c r="E100" s="64" t="s">
        <v>29</v>
      </c>
      <c r="F100" s="64" t="s">
        <v>866</v>
      </c>
      <c r="G100" s="64" t="s">
        <v>867</v>
      </c>
      <c r="H100" s="64" t="s">
        <v>868</v>
      </c>
      <c r="I100" s="64" t="s">
        <v>575</v>
      </c>
      <c r="J100" s="64" t="s">
        <v>24</v>
      </c>
      <c r="K100" s="64" t="s">
        <v>37</v>
      </c>
      <c r="L100" s="64" t="s">
        <v>31</v>
      </c>
      <c r="M100" s="64" t="s">
        <v>28</v>
      </c>
      <c r="N100" s="64" t="s">
        <v>576</v>
      </c>
      <c r="O100" s="65">
        <v>1</v>
      </c>
      <c r="P100" s="65">
        <v>0</v>
      </c>
      <c r="Q100" s="65">
        <v>0</v>
      </c>
      <c r="R100" s="65">
        <v>1</v>
      </c>
      <c r="S100" s="65">
        <v>100</v>
      </c>
      <c r="T100" s="65">
        <v>0</v>
      </c>
      <c r="U100" s="65">
        <v>0</v>
      </c>
      <c r="V100" s="65">
        <v>100</v>
      </c>
      <c r="W100" s="65">
        <v>0</v>
      </c>
      <c r="X100" s="65">
        <v>0</v>
      </c>
      <c r="Y100" s="65">
        <v>100</v>
      </c>
      <c r="Z100" s="65">
        <v>0</v>
      </c>
      <c r="AA100" s="65">
        <v>30</v>
      </c>
      <c r="AB100" s="65">
        <v>0</v>
      </c>
      <c r="AC100" s="65">
        <v>70</v>
      </c>
      <c r="AD100" s="64" t="s">
        <v>577</v>
      </c>
    </row>
    <row r="101" spans="1:30">
      <c r="A101" s="64" t="s">
        <v>568</v>
      </c>
      <c r="B101" s="64" t="s">
        <v>569</v>
      </c>
      <c r="C101" s="64" t="s">
        <v>570</v>
      </c>
      <c r="D101" s="64" t="s">
        <v>571</v>
      </c>
      <c r="E101" s="64" t="s">
        <v>29</v>
      </c>
      <c r="F101" s="64" t="s">
        <v>869</v>
      </c>
      <c r="G101" s="64" t="s">
        <v>870</v>
      </c>
      <c r="H101" s="64" t="s">
        <v>871</v>
      </c>
      <c r="I101" s="64" t="s">
        <v>575</v>
      </c>
      <c r="J101" s="64" t="s">
        <v>24</v>
      </c>
      <c r="K101" s="64" t="s">
        <v>37</v>
      </c>
      <c r="L101" s="64" t="s">
        <v>31</v>
      </c>
      <c r="M101" s="64" t="s">
        <v>28</v>
      </c>
      <c r="N101" s="64" t="s">
        <v>576</v>
      </c>
      <c r="O101" s="65">
        <v>1</v>
      </c>
      <c r="P101" s="65">
        <v>0</v>
      </c>
      <c r="Q101" s="65">
        <v>0</v>
      </c>
      <c r="R101" s="65">
        <v>1</v>
      </c>
      <c r="S101" s="65">
        <v>100</v>
      </c>
      <c r="T101" s="65">
        <v>0</v>
      </c>
      <c r="U101" s="65">
        <v>0</v>
      </c>
      <c r="V101" s="65">
        <v>100</v>
      </c>
      <c r="W101" s="65">
        <v>0</v>
      </c>
      <c r="X101" s="65">
        <v>0</v>
      </c>
      <c r="Y101" s="65">
        <v>100</v>
      </c>
      <c r="Z101" s="65">
        <v>0</v>
      </c>
      <c r="AA101" s="65">
        <v>30</v>
      </c>
      <c r="AB101" s="65">
        <v>0</v>
      </c>
      <c r="AC101" s="65">
        <v>70</v>
      </c>
      <c r="AD101" s="64" t="s">
        <v>577</v>
      </c>
    </row>
    <row r="102" spans="1:30">
      <c r="A102" s="64" t="s">
        <v>568</v>
      </c>
      <c r="B102" s="64" t="s">
        <v>569</v>
      </c>
      <c r="C102" s="64" t="s">
        <v>570</v>
      </c>
      <c r="D102" s="64" t="s">
        <v>571</v>
      </c>
      <c r="E102" s="64" t="s">
        <v>29</v>
      </c>
      <c r="F102" s="64" t="s">
        <v>872</v>
      </c>
      <c r="G102" s="64" t="s">
        <v>873</v>
      </c>
      <c r="H102" s="64" t="s">
        <v>874</v>
      </c>
      <c r="I102" s="64" t="s">
        <v>575</v>
      </c>
      <c r="J102" s="64" t="s">
        <v>24</v>
      </c>
      <c r="K102" s="64" t="s">
        <v>37</v>
      </c>
      <c r="L102" s="64" t="s">
        <v>31</v>
      </c>
      <c r="M102" s="64" t="s">
        <v>28</v>
      </c>
      <c r="N102" s="64" t="s">
        <v>576</v>
      </c>
      <c r="O102" s="65">
        <v>1</v>
      </c>
      <c r="P102" s="65">
        <v>0</v>
      </c>
      <c r="Q102" s="65">
        <v>0</v>
      </c>
      <c r="R102" s="65">
        <v>1</v>
      </c>
      <c r="S102" s="65">
        <v>100</v>
      </c>
      <c r="T102" s="65">
        <v>0</v>
      </c>
      <c r="U102" s="65">
        <v>0</v>
      </c>
      <c r="V102" s="65">
        <v>100</v>
      </c>
      <c r="W102" s="65">
        <v>100</v>
      </c>
      <c r="X102" s="65">
        <v>0</v>
      </c>
      <c r="Y102" s="65">
        <v>0</v>
      </c>
      <c r="Z102" s="65">
        <v>30</v>
      </c>
      <c r="AA102" s="65">
        <v>0</v>
      </c>
      <c r="AB102" s="65">
        <v>0</v>
      </c>
      <c r="AC102" s="65">
        <v>70</v>
      </c>
      <c r="AD102" s="64" t="s">
        <v>577</v>
      </c>
    </row>
    <row r="103" spans="1:30">
      <c r="A103" s="64" t="s">
        <v>568</v>
      </c>
      <c r="B103" s="64" t="s">
        <v>569</v>
      </c>
      <c r="C103" s="64" t="s">
        <v>570</v>
      </c>
      <c r="D103" s="64" t="s">
        <v>571</v>
      </c>
      <c r="E103" s="64" t="s">
        <v>29</v>
      </c>
      <c r="F103" s="64" t="s">
        <v>875</v>
      </c>
      <c r="G103" s="64" t="s">
        <v>876</v>
      </c>
      <c r="H103" s="64" t="s">
        <v>877</v>
      </c>
      <c r="I103" s="64" t="s">
        <v>575</v>
      </c>
      <c r="J103" s="64" t="s">
        <v>24</v>
      </c>
      <c r="K103" s="64" t="s">
        <v>37</v>
      </c>
      <c r="L103" s="64" t="s">
        <v>31</v>
      </c>
      <c r="M103" s="64" t="s">
        <v>28</v>
      </c>
      <c r="N103" s="64" t="s">
        <v>576</v>
      </c>
      <c r="O103" s="65">
        <v>1</v>
      </c>
      <c r="P103" s="65">
        <v>0</v>
      </c>
      <c r="Q103" s="65">
        <v>0</v>
      </c>
      <c r="R103" s="65">
        <v>1</v>
      </c>
      <c r="S103" s="65">
        <v>100</v>
      </c>
      <c r="T103" s="65">
        <v>0</v>
      </c>
      <c r="U103" s="65">
        <v>0</v>
      </c>
      <c r="V103" s="65">
        <v>100</v>
      </c>
      <c r="W103" s="65">
        <v>100</v>
      </c>
      <c r="X103" s="65">
        <v>0</v>
      </c>
      <c r="Y103" s="65">
        <v>0</v>
      </c>
      <c r="Z103" s="65">
        <v>30</v>
      </c>
      <c r="AA103" s="65">
        <v>0</v>
      </c>
      <c r="AB103" s="65">
        <v>0</v>
      </c>
      <c r="AC103" s="65">
        <v>70</v>
      </c>
      <c r="AD103" s="64" t="s">
        <v>577</v>
      </c>
    </row>
    <row r="104" spans="1:30">
      <c r="A104" s="64" t="s">
        <v>568</v>
      </c>
      <c r="B104" s="64" t="s">
        <v>569</v>
      </c>
      <c r="C104" s="64" t="s">
        <v>570</v>
      </c>
      <c r="D104" s="64" t="s">
        <v>571</v>
      </c>
      <c r="E104" s="64" t="s">
        <v>29</v>
      </c>
      <c r="F104" s="64" t="s">
        <v>878</v>
      </c>
      <c r="G104" s="64" t="s">
        <v>879</v>
      </c>
      <c r="H104" s="64" t="s">
        <v>880</v>
      </c>
      <c r="I104" s="64" t="s">
        <v>575</v>
      </c>
      <c r="J104" s="64" t="s">
        <v>24</v>
      </c>
      <c r="K104" s="64" t="s">
        <v>37</v>
      </c>
      <c r="L104" s="64" t="s">
        <v>31</v>
      </c>
      <c r="M104" s="64" t="s">
        <v>28</v>
      </c>
      <c r="N104" s="64" t="s">
        <v>576</v>
      </c>
      <c r="O104" s="65">
        <v>1</v>
      </c>
      <c r="P104" s="65">
        <v>0</v>
      </c>
      <c r="Q104" s="65">
        <v>0</v>
      </c>
      <c r="R104" s="65">
        <v>1</v>
      </c>
      <c r="S104" s="65">
        <v>100</v>
      </c>
      <c r="T104" s="65">
        <v>0</v>
      </c>
      <c r="U104" s="65">
        <v>0</v>
      </c>
      <c r="V104" s="65">
        <v>100</v>
      </c>
      <c r="W104" s="65">
        <v>100</v>
      </c>
      <c r="X104" s="65">
        <v>0</v>
      </c>
      <c r="Y104" s="65">
        <v>0</v>
      </c>
      <c r="Z104" s="65">
        <v>30</v>
      </c>
      <c r="AA104" s="65">
        <v>0</v>
      </c>
      <c r="AB104" s="65">
        <v>0</v>
      </c>
      <c r="AC104" s="65">
        <v>70</v>
      </c>
      <c r="AD104" s="64" t="s">
        <v>577</v>
      </c>
    </row>
    <row r="105" spans="1:30">
      <c r="A105" s="64" t="s">
        <v>568</v>
      </c>
      <c r="B105" s="64" t="s">
        <v>569</v>
      </c>
      <c r="C105" s="64" t="s">
        <v>570</v>
      </c>
      <c r="D105" s="64" t="s">
        <v>571</v>
      </c>
      <c r="E105" s="64" t="s">
        <v>29</v>
      </c>
      <c r="F105" s="64" t="s">
        <v>881</v>
      </c>
      <c r="G105" s="64" t="s">
        <v>882</v>
      </c>
      <c r="H105" s="64" t="s">
        <v>883</v>
      </c>
      <c r="I105" s="64" t="s">
        <v>575</v>
      </c>
      <c r="J105" s="64" t="s">
        <v>24</v>
      </c>
      <c r="K105" s="64" t="s">
        <v>37</v>
      </c>
      <c r="L105" s="64" t="s">
        <v>31</v>
      </c>
      <c r="M105" s="64" t="s">
        <v>28</v>
      </c>
      <c r="N105" s="64" t="s">
        <v>576</v>
      </c>
      <c r="O105" s="65">
        <v>1</v>
      </c>
      <c r="P105" s="65">
        <v>0</v>
      </c>
      <c r="Q105" s="65">
        <v>0</v>
      </c>
      <c r="R105" s="65">
        <v>1</v>
      </c>
      <c r="S105" s="65">
        <v>100</v>
      </c>
      <c r="T105" s="65">
        <v>0</v>
      </c>
      <c r="U105" s="65">
        <v>0</v>
      </c>
      <c r="V105" s="65">
        <v>100</v>
      </c>
      <c r="W105" s="65">
        <v>100</v>
      </c>
      <c r="X105" s="65">
        <v>0</v>
      </c>
      <c r="Y105" s="65">
        <v>0</v>
      </c>
      <c r="Z105" s="65">
        <v>30</v>
      </c>
      <c r="AA105" s="65">
        <v>0</v>
      </c>
      <c r="AB105" s="65">
        <v>0</v>
      </c>
      <c r="AC105" s="65">
        <v>70</v>
      </c>
      <c r="AD105" s="64" t="s">
        <v>577</v>
      </c>
    </row>
    <row r="106" spans="1:30">
      <c r="A106" s="64" t="s">
        <v>568</v>
      </c>
      <c r="B106" s="64" t="s">
        <v>569</v>
      </c>
      <c r="C106" s="64" t="s">
        <v>570</v>
      </c>
      <c r="D106" s="64" t="s">
        <v>571</v>
      </c>
      <c r="E106" s="64" t="s">
        <v>29</v>
      </c>
      <c r="F106" s="64" t="s">
        <v>884</v>
      </c>
      <c r="G106" s="64" t="s">
        <v>885</v>
      </c>
      <c r="H106" s="64" t="s">
        <v>886</v>
      </c>
      <c r="I106" s="64" t="s">
        <v>575</v>
      </c>
      <c r="J106" s="64" t="s">
        <v>24</v>
      </c>
      <c r="K106" s="64" t="s">
        <v>37</v>
      </c>
      <c r="L106" s="64" t="s">
        <v>31</v>
      </c>
      <c r="M106" s="64" t="s">
        <v>28</v>
      </c>
      <c r="N106" s="64" t="s">
        <v>576</v>
      </c>
      <c r="O106" s="65">
        <v>1</v>
      </c>
      <c r="P106" s="65">
        <v>0</v>
      </c>
      <c r="Q106" s="65">
        <v>0</v>
      </c>
      <c r="R106" s="65">
        <v>1</v>
      </c>
      <c r="S106" s="65">
        <v>100</v>
      </c>
      <c r="T106" s="65">
        <v>0</v>
      </c>
      <c r="U106" s="65">
        <v>0</v>
      </c>
      <c r="V106" s="65">
        <v>100</v>
      </c>
      <c r="W106" s="65">
        <v>100</v>
      </c>
      <c r="X106" s="65">
        <v>0</v>
      </c>
      <c r="Y106" s="65">
        <v>0</v>
      </c>
      <c r="Z106" s="65">
        <v>30</v>
      </c>
      <c r="AA106" s="65">
        <v>0</v>
      </c>
      <c r="AB106" s="65">
        <v>0</v>
      </c>
      <c r="AC106" s="65">
        <v>70</v>
      </c>
      <c r="AD106" s="64" t="s">
        <v>577</v>
      </c>
    </row>
    <row r="107" spans="1:30">
      <c r="A107" s="64" t="s">
        <v>568</v>
      </c>
      <c r="B107" s="64" t="s">
        <v>569</v>
      </c>
      <c r="C107" s="64" t="s">
        <v>570</v>
      </c>
      <c r="D107" s="64" t="s">
        <v>571</v>
      </c>
      <c r="E107" s="64" t="s">
        <v>29</v>
      </c>
      <c r="F107" s="64" t="s">
        <v>887</v>
      </c>
      <c r="G107" s="64" t="s">
        <v>335</v>
      </c>
      <c r="H107" s="64" t="s">
        <v>888</v>
      </c>
      <c r="I107" s="64" t="s">
        <v>575</v>
      </c>
      <c r="J107" s="64" t="s">
        <v>24</v>
      </c>
      <c r="K107" s="64" t="s">
        <v>37</v>
      </c>
      <c r="L107" s="64" t="s">
        <v>31</v>
      </c>
      <c r="M107" s="64" t="s">
        <v>28</v>
      </c>
      <c r="N107" s="64" t="s">
        <v>576</v>
      </c>
      <c r="O107" s="65">
        <v>1</v>
      </c>
      <c r="P107" s="65">
        <v>0</v>
      </c>
      <c r="Q107" s="65">
        <v>0</v>
      </c>
      <c r="R107" s="65">
        <v>1</v>
      </c>
      <c r="S107" s="65">
        <v>100</v>
      </c>
      <c r="T107" s="65">
        <v>0</v>
      </c>
      <c r="U107" s="65">
        <v>0</v>
      </c>
      <c r="V107" s="65">
        <v>100</v>
      </c>
      <c r="W107" s="65">
        <v>100</v>
      </c>
      <c r="X107" s="65">
        <v>0</v>
      </c>
      <c r="Y107" s="65">
        <v>0</v>
      </c>
      <c r="Z107" s="65">
        <v>30</v>
      </c>
      <c r="AA107" s="65">
        <v>0</v>
      </c>
      <c r="AB107" s="65">
        <v>0</v>
      </c>
      <c r="AC107" s="65">
        <v>70</v>
      </c>
      <c r="AD107" s="64" t="s">
        <v>577</v>
      </c>
    </row>
    <row r="108" spans="1:30">
      <c r="A108" s="64" t="s">
        <v>568</v>
      </c>
      <c r="B108" s="64" t="s">
        <v>569</v>
      </c>
      <c r="C108" s="64" t="s">
        <v>570</v>
      </c>
      <c r="D108" s="64" t="s">
        <v>571</v>
      </c>
      <c r="E108" s="64" t="s">
        <v>29</v>
      </c>
      <c r="F108" s="64" t="s">
        <v>889</v>
      </c>
      <c r="G108" s="64" t="s">
        <v>890</v>
      </c>
      <c r="H108" s="64" t="s">
        <v>891</v>
      </c>
      <c r="I108" s="64" t="s">
        <v>575</v>
      </c>
      <c r="J108" s="64" t="s">
        <v>24</v>
      </c>
      <c r="K108" s="64" t="s">
        <v>37</v>
      </c>
      <c r="L108" s="64" t="s">
        <v>31</v>
      </c>
      <c r="M108" s="64" t="s">
        <v>28</v>
      </c>
      <c r="N108" s="64" t="s">
        <v>576</v>
      </c>
      <c r="O108" s="65">
        <v>1</v>
      </c>
      <c r="P108" s="65">
        <v>0</v>
      </c>
      <c r="Q108" s="65">
        <v>0</v>
      </c>
      <c r="R108" s="65">
        <v>1</v>
      </c>
      <c r="S108" s="65">
        <v>100</v>
      </c>
      <c r="T108" s="65">
        <v>0</v>
      </c>
      <c r="U108" s="65">
        <v>0</v>
      </c>
      <c r="V108" s="65">
        <v>100</v>
      </c>
      <c r="W108" s="65">
        <v>100</v>
      </c>
      <c r="X108" s="65">
        <v>0</v>
      </c>
      <c r="Y108" s="65">
        <v>0</v>
      </c>
      <c r="Z108" s="65">
        <v>30</v>
      </c>
      <c r="AA108" s="65">
        <v>0</v>
      </c>
      <c r="AB108" s="65">
        <v>0</v>
      </c>
      <c r="AC108" s="65">
        <v>70</v>
      </c>
      <c r="AD108" s="64" t="s">
        <v>577</v>
      </c>
    </row>
    <row r="109" spans="1:30">
      <c r="A109" s="64" t="s">
        <v>568</v>
      </c>
      <c r="B109" s="64" t="s">
        <v>569</v>
      </c>
      <c r="C109" s="64" t="s">
        <v>570</v>
      </c>
      <c r="D109" s="64" t="s">
        <v>571</v>
      </c>
      <c r="E109" s="64" t="s">
        <v>29</v>
      </c>
      <c r="F109" s="64" t="s">
        <v>892</v>
      </c>
      <c r="G109" s="64" t="s">
        <v>893</v>
      </c>
      <c r="H109" s="64" t="s">
        <v>894</v>
      </c>
      <c r="I109" s="64" t="s">
        <v>575</v>
      </c>
      <c r="J109" s="64" t="s">
        <v>24</v>
      </c>
      <c r="K109" s="64" t="s">
        <v>37</v>
      </c>
      <c r="L109" s="64" t="s">
        <v>31</v>
      </c>
      <c r="M109" s="64" t="s">
        <v>28</v>
      </c>
      <c r="N109" s="64" t="s">
        <v>576</v>
      </c>
      <c r="O109" s="65">
        <v>1</v>
      </c>
      <c r="P109" s="65">
        <v>0</v>
      </c>
      <c r="Q109" s="65">
        <v>0</v>
      </c>
      <c r="R109" s="65">
        <v>1</v>
      </c>
      <c r="S109" s="65">
        <v>100</v>
      </c>
      <c r="T109" s="65">
        <v>0</v>
      </c>
      <c r="U109" s="65">
        <v>0</v>
      </c>
      <c r="V109" s="65">
        <v>100</v>
      </c>
      <c r="W109" s="65">
        <v>100</v>
      </c>
      <c r="X109" s="65">
        <v>0</v>
      </c>
      <c r="Y109" s="65">
        <v>0</v>
      </c>
      <c r="Z109" s="65">
        <v>30</v>
      </c>
      <c r="AA109" s="65">
        <v>0</v>
      </c>
      <c r="AB109" s="65">
        <v>0</v>
      </c>
      <c r="AC109" s="65">
        <v>70</v>
      </c>
      <c r="AD109" s="64" t="s">
        <v>577</v>
      </c>
    </row>
    <row r="110" spans="1:30">
      <c r="A110" s="64" t="s">
        <v>568</v>
      </c>
      <c r="B110" s="64" t="s">
        <v>569</v>
      </c>
      <c r="C110" s="64" t="s">
        <v>570</v>
      </c>
      <c r="D110" s="64" t="s">
        <v>571</v>
      </c>
      <c r="E110" s="64" t="s">
        <v>29</v>
      </c>
      <c r="F110" s="64" t="s">
        <v>895</v>
      </c>
      <c r="G110" s="64" t="s">
        <v>896</v>
      </c>
      <c r="H110" s="64" t="s">
        <v>897</v>
      </c>
      <c r="I110" s="64" t="s">
        <v>575</v>
      </c>
      <c r="J110" s="64" t="s">
        <v>24</v>
      </c>
      <c r="K110" s="64" t="s">
        <v>37</v>
      </c>
      <c r="L110" s="64" t="s">
        <v>31</v>
      </c>
      <c r="M110" s="64" t="s">
        <v>28</v>
      </c>
      <c r="N110" s="64" t="s">
        <v>576</v>
      </c>
      <c r="O110" s="65">
        <v>1</v>
      </c>
      <c r="P110" s="65">
        <v>0</v>
      </c>
      <c r="Q110" s="65">
        <v>0</v>
      </c>
      <c r="R110" s="65">
        <v>1</v>
      </c>
      <c r="S110" s="65">
        <v>100</v>
      </c>
      <c r="T110" s="65">
        <v>0</v>
      </c>
      <c r="U110" s="65">
        <v>0</v>
      </c>
      <c r="V110" s="65">
        <v>100</v>
      </c>
      <c r="W110" s="65">
        <v>100</v>
      </c>
      <c r="X110" s="65">
        <v>0</v>
      </c>
      <c r="Y110" s="65">
        <v>0</v>
      </c>
      <c r="Z110" s="65">
        <v>30</v>
      </c>
      <c r="AA110" s="65">
        <v>0</v>
      </c>
      <c r="AB110" s="65">
        <v>0</v>
      </c>
      <c r="AC110" s="65">
        <v>70</v>
      </c>
      <c r="AD110" s="64" t="s">
        <v>577</v>
      </c>
    </row>
    <row r="111" spans="1:30">
      <c r="A111" s="64" t="s">
        <v>568</v>
      </c>
      <c r="B111" s="64" t="s">
        <v>569</v>
      </c>
      <c r="C111" s="64" t="s">
        <v>570</v>
      </c>
      <c r="D111" s="64" t="s">
        <v>571</v>
      </c>
      <c r="E111" s="64" t="s">
        <v>29</v>
      </c>
      <c r="F111" s="64" t="s">
        <v>898</v>
      </c>
      <c r="G111" s="64" t="s">
        <v>899</v>
      </c>
      <c r="H111" s="64" t="s">
        <v>900</v>
      </c>
      <c r="I111" s="64" t="s">
        <v>575</v>
      </c>
      <c r="J111" s="64" t="s">
        <v>24</v>
      </c>
      <c r="K111" s="64" t="s">
        <v>37</v>
      </c>
      <c r="L111" s="64" t="s">
        <v>31</v>
      </c>
      <c r="M111" s="64" t="s">
        <v>28</v>
      </c>
      <c r="N111" s="64" t="s">
        <v>576</v>
      </c>
      <c r="O111" s="65">
        <v>1</v>
      </c>
      <c r="P111" s="65">
        <v>0</v>
      </c>
      <c r="Q111" s="65">
        <v>0</v>
      </c>
      <c r="R111" s="65">
        <v>1</v>
      </c>
      <c r="S111" s="65">
        <v>100</v>
      </c>
      <c r="T111" s="65">
        <v>0</v>
      </c>
      <c r="U111" s="65">
        <v>0</v>
      </c>
      <c r="V111" s="65">
        <v>100</v>
      </c>
      <c r="W111" s="65">
        <v>100</v>
      </c>
      <c r="X111" s="65">
        <v>0</v>
      </c>
      <c r="Y111" s="65">
        <v>0</v>
      </c>
      <c r="Z111" s="65">
        <v>30</v>
      </c>
      <c r="AA111" s="65">
        <v>0</v>
      </c>
      <c r="AB111" s="65">
        <v>0</v>
      </c>
      <c r="AC111" s="65">
        <v>70</v>
      </c>
      <c r="AD111" s="64" t="s">
        <v>577</v>
      </c>
    </row>
    <row r="112" spans="1:30">
      <c r="A112" s="64" t="s">
        <v>568</v>
      </c>
      <c r="B112" s="64" t="s">
        <v>569</v>
      </c>
      <c r="C112" s="64" t="s">
        <v>570</v>
      </c>
      <c r="D112" s="64" t="s">
        <v>571</v>
      </c>
      <c r="E112" s="64" t="s">
        <v>29</v>
      </c>
      <c r="F112" s="64" t="s">
        <v>901</v>
      </c>
      <c r="G112" s="64" t="s">
        <v>902</v>
      </c>
      <c r="H112" s="64" t="s">
        <v>903</v>
      </c>
      <c r="I112" s="64" t="s">
        <v>575</v>
      </c>
      <c r="J112" s="64" t="s">
        <v>24</v>
      </c>
      <c r="K112" s="64" t="s">
        <v>37</v>
      </c>
      <c r="L112" s="64" t="s">
        <v>31</v>
      </c>
      <c r="M112" s="64" t="s">
        <v>28</v>
      </c>
      <c r="N112" s="64" t="s">
        <v>576</v>
      </c>
      <c r="O112" s="65">
        <v>1</v>
      </c>
      <c r="P112" s="65">
        <v>0</v>
      </c>
      <c r="Q112" s="65">
        <v>0</v>
      </c>
      <c r="R112" s="65">
        <v>1</v>
      </c>
      <c r="S112" s="65">
        <v>100</v>
      </c>
      <c r="T112" s="65">
        <v>0</v>
      </c>
      <c r="U112" s="65">
        <v>0</v>
      </c>
      <c r="V112" s="65">
        <v>100</v>
      </c>
      <c r="W112" s="65">
        <v>100</v>
      </c>
      <c r="X112" s="65">
        <v>0</v>
      </c>
      <c r="Y112" s="65">
        <v>0</v>
      </c>
      <c r="Z112" s="65">
        <v>30</v>
      </c>
      <c r="AA112" s="65">
        <v>0</v>
      </c>
      <c r="AB112" s="65">
        <v>0</v>
      </c>
      <c r="AC112" s="65">
        <v>70</v>
      </c>
      <c r="AD112" s="64" t="s">
        <v>577</v>
      </c>
    </row>
    <row r="113" spans="1:30">
      <c r="A113" s="64" t="s">
        <v>568</v>
      </c>
      <c r="B113" s="64" t="s">
        <v>569</v>
      </c>
      <c r="C113" s="64" t="s">
        <v>570</v>
      </c>
      <c r="D113" s="64" t="s">
        <v>571</v>
      </c>
      <c r="E113" s="64" t="s">
        <v>29</v>
      </c>
      <c r="F113" s="64" t="s">
        <v>904</v>
      </c>
      <c r="G113" s="64" t="s">
        <v>905</v>
      </c>
      <c r="H113" s="64" t="s">
        <v>906</v>
      </c>
      <c r="I113" s="64" t="s">
        <v>575</v>
      </c>
      <c r="J113" s="64" t="s">
        <v>24</v>
      </c>
      <c r="K113" s="64" t="s">
        <v>37</v>
      </c>
      <c r="L113" s="64" t="s">
        <v>31</v>
      </c>
      <c r="M113" s="64" t="s">
        <v>28</v>
      </c>
      <c r="N113" s="64" t="s">
        <v>576</v>
      </c>
      <c r="O113" s="65">
        <v>1</v>
      </c>
      <c r="P113" s="65">
        <v>0</v>
      </c>
      <c r="Q113" s="65">
        <v>0</v>
      </c>
      <c r="R113" s="65">
        <v>1</v>
      </c>
      <c r="S113" s="65">
        <v>100</v>
      </c>
      <c r="T113" s="65">
        <v>0</v>
      </c>
      <c r="U113" s="65">
        <v>0</v>
      </c>
      <c r="V113" s="65">
        <v>100</v>
      </c>
      <c r="W113" s="65">
        <v>100</v>
      </c>
      <c r="X113" s="65">
        <v>0</v>
      </c>
      <c r="Y113" s="65">
        <v>0</v>
      </c>
      <c r="Z113" s="65">
        <v>30</v>
      </c>
      <c r="AA113" s="65">
        <v>0</v>
      </c>
      <c r="AB113" s="65">
        <v>0</v>
      </c>
      <c r="AC113" s="65">
        <v>70</v>
      </c>
      <c r="AD113" s="64" t="s">
        <v>577</v>
      </c>
    </row>
    <row r="114" spans="1:30">
      <c r="A114" s="64" t="s">
        <v>568</v>
      </c>
      <c r="B114" s="64" t="s">
        <v>569</v>
      </c>
      <c r="C114" s="64" t="s">
        <v>570</v>
      </c>
      <c r="D114" s="64" t="s">
        <v>571</v>
      </c>
      <c r="E114" s="64" t="s">
        <v>29</v>
      </c>
      <c r="F114" s="64" t="s">
        <v>907</v>
      </c>
      <c r="G114" s="64" t="s">
        <v>908</v>
      </c>
      <c r="H114" s="64" t="s">
        <v>909</v>
      </c>
      <c r="I114" s="64" t="s">
        <v>575</v>
      </c>
      <c r="J114" s="64" t="s">
        <v>24</v>
      </c>
      <c r="K114" s="64" t="s">
        <v>37</v>
      </c>
      <c r="L114" s="64" t="s">
        <v>31</v>
      </c>
      <c r="M114" s="64" t="s">
        <v>28</v>
      </c>
      <c r="N114" s="64" t="s">
        <v>576</v>
      </c>
      <c r="O114" s="65">
        <v>1</v>
      </c>
      <c r="P114" s="65">
        <v>0</v>
      </c>
      <c r="Q114" s="65">
        <v>0</v>
      </c>
      <c r="R114" s="65">
        <v>1</v>
      </c>
      <c r="S114" s="65">
        <v>100</v>
      </c>
      <c r="T114" s="65">
        <v>0</v>
      </c>
      <c r="U114" s="65">
        <v>0</v>
      </c>
      <c r="V114" s="65">
        <v>100</v>
      </c>
      <c r="W114" s="65">
        <v>100</v>
      </c>
      <c r="X114" s="65">
        <v>0</v>
      </c>
      <c r="Y114" s="65">
        <v>0</v>
      </c>
      <c r="Z114" s="65">
        <v>30</v>
      </c>
      <c r="AA114" s="65">
        <v>0</v>
      </c>
      <c r="AB114" s="65">
        <v>0</v>
      </c>
      <c r="AC114" s="65">
        <v>70</v>
      </c>
      <c r="AD114" s="64" t="s">
        <v>577</v>
      </c>
    </row>
    <row r="115" spans="1:30">
      <c r="A115" s="64" t="s">
        <v>568</v>
      </c>
      <c r="B115" s="64" t="s">
        <v>569</v>
      </c>
      <c r="C115" s="64" t="s">
        <v>570</v>
      </c>
      <c r="D115" s="64" t="s">
        <v>571</v>
      </c>
      <c r="E115" s="64" t="s">
        <v>29</v>
      </c>
      <c r="F115" s="64" t="s">
        <v>910</v>
      </c>
      <c r="G115" s="64" t="s">
        <v>911</v>
      </c>
      <c r="H115" s="64" t="s">
        <v>912</v>
      </c>
      <c r="I115" s="64" t="s">
        <v>575</v>
      </c>
      <c r="J115" s="64" t="s">
        <v>24</v>
      </c>
      <c r="K115" s="64" t="s">
        <v>37</v>
      </c>
      <c r="L115" s="64" t="s">
        <v>31</v>
      </c>
      <c r="M115" s="64" t="s">
        <v>28</v>
      </c>
      <c r="N115" s="64" t="s">
        <v>576</v>
      </c>
      <c r="O115" s="65">
        <v>1</v>
      </c>
      <c r="P115" s="65">
        <v>0</v>
      </c>
      <c r="Q115" s="65">
        <v>0</v>
      </c>
      <c r="R115" s="65">
        <v>1</v>
      </c>
      <c r="S115" s="65">
        <v>100</v>
      </c>
      <c r="T115" s="65">
        <v>0</v>
      </c>
      <c r="U115" s="65">
        <v>0</v>
      </c>
      <c r="V115" s="65">
        <v>100</v>
      </c>
      <c r="W115" s="65">
        <v>100</v>
      </c>
      <c r="X115" s="65">
        <v>0</v>
      </c>
      <c r="Y115" s="65">
        <v>0</v>
      </c>
      <c r="Z115" s="65">
        <v>30</v>
      </c>
      <c r="AA115" s="65">
        <v>0</v>
      </c>
      <c r="AB115" s="65">
        <v>0</v>
      </c>
      <c r="AC115" s="65">
        <v>70</v>
      </c>
      <c r="AD115" s="64" t="s">
        <v>577</v>
      </c>
    </row>
    <row r="116" spans="1:30">
      <c r="A116" s="64" t="s">
        <v>568</v>
      </c>
      <c r="B116" s="64" t="s">
        <v>569</v>
      </c>
      <c r="C116" s="64" t="s">
        <v>570</v>
      </c>
      <c r="D116" s="64" t="s">
        <v>571</v>
      </c>
      <c r="E116" s="64" t="s">
        <v>29</v>
      </c>
      <c r="F116" s="64" t="s">
        <v>913</v>
      </c>
      <c r="G116" s="64" t="s">
        <v>914</v>
      </c>
      <c r="H116" s="64" t="s">
        <v>915</v>
      </c>
      <c r="I116" s="64" t="s">
        <v>575</v>
      </c>
      <c r="J116" s="64" t="s">
        <v>24</v>
      </c>
      <c r="K116" s="64" t="s">
        <v>37</v>
      </c>
      <c r="L116" s="64" t="s">
        <v>31</v>
      </c>
      <c r="M116" s="64" t="s">
        <v>28</v>
      </c>
      <c r="N116" s="64" t="s">
        <v>576</v>
      </c>
      <c r="O116" s="65">
        <v>1</v>
      </c>
      <c r="P116" s="65">
        <v>0</v>
      </c>
      <c r="Q116" s="65">
        <v>0</v>
      </c>
      <c r="R116" s="65">
        <v>1</v>
      </c>
      <c r="S116" s="65">
        <v>100</v>
      </c>
      <c r="T116" s="65">
        <v>0</v>
      </c>
      <c r="U116" s="65">
        <v>0</v>
      </c>
      <c r="V116" s="65">
        <v>100</v>
      </c>
      <c r="W116" s="65">
        <v>100</v>
      </c>
      <c r="X116" s="65">
        <v>0</v>
      </c>
      <c r="Y116" s="65">
        <v>0</v>
      </c>
      <c r="Z116" s="65">
        <v>30</v>
      </c>
      <c r="AA116" s="65">
        <v>0</v>
      </c>
      <c r="AB116" s="65">
        <v>0</v>
      </c>
      <c r="AC116" s="65">
        <v>70</v>
      </c>
      <c r="AD116" s="64" t="s">
        <v>577</v>
      </c>
    </row>
    <row r="117" spans="1:30">
      <c r="A117" s="64" t="s">
        <v>568</v>
      </c>
      <c r="B117" s="64" t="s">
        <v>569</v>
      </c>
      <c r="C117" s="64" t="s">
        <v>570</v>
      </c>
      <c r="D117" s="64" t="s">
        <v>571</v>
      </c>
      <c r="E117" s="64" t="s">
        <v>29</v>
      </c>
      <c r="F117" s="64" t="s">
        <v>916</v>
      </c>
      <c r="G117" s="64" t="s">
        <v>917</v>
      </c>
      <c r="H117" s="64" t="s">
        <v>918</v>
      </c>
      <c r="I117" s="64" t="s">
        <v>575</v>
      </c>
      <c r="J117" s="64" t="s">
        <v>24</v>
      </c>
      <c r="K117" s="64" t="s">
        <v>37</v>
      </c>
      <c r="L117" s="64" t="s">
        <v>31</v>
      </c>
      <c r="M117" s="64" t="s">
        <v>28</v>
      </c>
      <c r="N117" s="64" t="s">
        <v>576</v>
      </c>
      <c r="O117" s="65">
        <v>1</v>
      </c>
      <c r="P117" s="65">
        <v>0</v>
      </c>
      <c r="Q117" s="65">
        <v>0</v>
      </c>
      <c r="R117" s="65">
        <v>1</v>
      </c>
      <c r="S117" s="65">
        <v>100</v>
      </c>
      <c r="T117" s="65">
        <v>0</v>
      </c>
      <c r="U117" s="65">
        <v>0</v>
      </c>
      <c r="V117" s="65">
        <v>100</v>
      </c>
      <c r="W117" s="65">
        <v>100</v>
      </c>
      <c r="X117" s="65">
        <v>0</v>
      </c>
      <c r="Y117" s="65">
        <v>0</v>
      </c>
      <c r="Z117" s="65">
        <v>30</v>
      </c>
      <c r="AA117" s="65">
        <v>0</v>
      </c>
      <c r="AB117" s="65">
        <v>0</v>
      </c>
      <c r="AC117" s="65">
        <v>70</v>
      </c>
      <c r="AD117" s="64" t="s">
        <v>577</v>
      </c>
    </row>
    <row r="118" spans="1:30">
      <c r="A118" s="64" t="s">
        <v>568</v>
      </c>
      <c r="B118" s="64" t="s">
        <v>569</v>
      </c>
      <c r="C118" s="64" t="s">
        <v>570</v>
      </c>
      <c r="D118" s="64" t="s">
        <v>571</v>
      </c>
      <c r="E118" s="64" t="s">
        <v>29</v>
      </c>
      <c r="F118" s="64" t="s">
        <v>919</v>
      </c>
      <c r="G118" s="64" t="s">
        <v>920</v>
      </c>
      <c r="H118" s="64" t="s">
        <v>921</v>
      </c>
      <c r="I118" s="64" t="s">
        <v>575</v>
      </c>
      <c r="J118" s="64" t="s">
        <v>24</v>
      </c>
      <c r="K118" s="64" t="s">
        <v>37</v>
      </c>
      <c r="L118" s="64" t="s">
        <v>31</v>
      </c>
      <c r="M118" s="64" t="s">
        <v>28</v>
      </c>
      <c r="N118" s="64" t="s">
        <v>576</v>
      </c>
      <c r="O118" s="65">
        <v>1</v>
      </c>
      <c r="P118" s="65">
        <v>0</v>
      </c>
      <c r="Q118" s="65">
        <v>0</v>
      </c>
      <c r="R118" s="65">
        <v>1</v>
      </c>
      <c r="S118" s="65">
        <v>100</v>
      </c>
      <c r="T118" s="65">
        <v>0</v>
      </c>
      <c r="U118" s="65">
        <v>0</v>
      </c>
      <c r="V118" s="65">
        <v>100</v>
      </c>
      <c r="W118" s="65">
        <v>100</v>
      </c>
      <c r="X118" s="65">
        <v>0</v>
      </c>
      <c r="Y118" s="65">
        <v>0</v>
      </c>
      <c r="Z118" s="65">
        <v>30</v>
      </c>
      <c r="AA118" s="65">
        <v>0</v>
      </c>
      <c r="AB118" s="65">
        <v>0</v>
      </c>
      <c r="AC118" s="65">
        <v>70</v>
      </c>
      <c r="AD118" s="64" t="s">
        <v>577</v>
      </c>
    </row>
    <row r="119" spans="1:30">
      <c r="A119" s="64" t="s">
        <v>568</v>
      </c>
      <c r="B119" s="64" t="s">
        <v>569</v>
      </c>
      <c r="C119" s="64" t="s">
        <v>570</v>
      </c>
      <c r="D119" s="64" t="s">
        <v>571</v>
      </c>
      <c r="E119" s="64" t="s">
        <v>29</v>
      </c>
      <c r="F119" s="64" t="s">
        <v>922</v>
      </c>
      <c r="G119" s="64" t="s">
        <v>923</v>
      </c>
      <c r="H119" s="64" t="s">
        <v>924</v>
      </c>
      <c r="I119" s="64" t="s">
        <v>575</v>
      </c>
      <c r="J119" s="64" t="s">
        <v>24</v>
      </c>
      <c r="K119" s="64" t="s">
        <v>37</v>
      </c>
      <c r="L119" s="64" t="s">
        <v>31</v>
      </c>
      <c r="M119" s="64" t="s">
        <v>28</v>
      </c>
      <c r="N119" s="64" t="s">
        <v>576</v>
      </c>
      <c r="O119" s="65">
        <v>1</v>
      </c>
      <c r="P119" s="65">
        <v>0</v>
      </c>
      <c r="Q119" s="65">
        <v>0</v>
      </c>
      <c r="R119" s="65">
        <v>1</v>
      </c>
      <c r="S119" s="65">
        <v>100</v>
      </c>
      <c r="T119" s="65">
        <v>0</v>
      </c>
      <c r="U119" s="65">
        <v>0</v>
      </c>
      <c r="V119" s="65">
        <v>100</v>
      </c>
      <c r="W119" s="65">
        <v>100</v>
      </c>
      <c r="X119" s="65">
        <v>0</v>
      </c>
      <c r="Y119" s="65">
        <v>0</v>
      </c>
      <c r="Z119" s="65">
        <v>30</v>
      </c>
      <c r="AA119" s="65">
        <v>0</v>
      </c>
      <c r="AB119" s="65">
        <v>0</v>
      </c>
      <c r="AC119" s="65">
        <v>70</v>
      </c>
      <c r="AD119" s="64" t="s">
        <v>577</v>
      </c>
    </row>
    <row r="120" spans="1:30">
      <c r="A120" s="64" t="s">
        <v>568</v>
      </c>
      <c r="B120" s="64" t="s">
        <v>569</v>
      </c>
      <c r="C120" s="64" t="s">
        <v>570</v>
      </c>
      <c r="D120" s="64" t="s">
        <v>571</v>
      </c>
      <c r="E120" s="64" t="s">
        <v>29</v>
      </c>
      <c r="F120" s="64" t="s">
        <v>925</v>
      </c>
      <c r="G120" s="64" t="s">
        <v>926</v>
      </c>
      <c r="H120" s="64" t="s">
        <v>927</v>
      </c>
      <c r="I120" s="64" t="s">
        <v>575</v>
      </c>
      <c r="J120" s="64" t="s">
        <v>24</v>
      </c>
      <c r="K120" s="64" t="s">
        <v>37</v>
      </c>
      <c r="L120" s="64" t="s">
        <v>31</v>
      </c>
      <c r="M120" s="64" t="s">
        <v>28</v>
      </c>
      <c r="N120" s="64" t="s">
        <v>576</v>
      </c>
      <c r="O120" s="65">
        <v>1</v>
      </c>
      <c r="P120" s="65">
        <v>0</v>
      </c>
      <c r="Q120" s="65">
        <v>0</v>
      </c>
      <c r="R120" s="65">
        <v>1</v>
      </c>
      <c r="S120" s="65">
        <v>100</v>
      </c>
      <c r="T120" s="65">
        <v>0</v>
      </c>
      <c r="U120" s="65">
        <v>0</v>
      </c>
      <c r="V120" s="65">
        <v>100</v>
      </c>
      <c r="W120" s="65">
        <v>100</v>
      </c>
      <c r="X120" s="65">
        <v>0</v>
      </c>
      <c r="Y120" s="65">
        <v>0</v>
      </c>
      <c r="Z120" s="65">
        <v>30</v>
      </c>
      <c r="AA120" s="65">
        <v>0</v>
      </c>
      <c r="AB120" s="65">
        <v>0</v>
      </c>
      <c r="AC120" s="65">
        <v>70</v>
      </c>
      <c r="AD120" s="64" t="s">
        <v>577</v>
      </c>
    </row>
    <row r="121" spans="1:30">
      <c r="A121" s="64" t="s">
        <v>568</v>
      </c>
      <c r="B121" s="64" t="s">
        <v>569</v>
      </c>
      <c r="C121" s="64" t="s">
        <v>570</v>
      </c>
      <c r="D121" s="64" t="s">
        <v>571</v>
      </c>
      <c r="E121" s="64" t="s">
        <v>29</v>
      </c>
      <c r="F121" s="64" t="s">
        <v>928</v>
      </c>
      <c r="G121" s="64" t="s">
        <v>929</v>
      </c>
      <c r="H121" s="64" t="s">
        <v>930</v>
      </c>
      <c r="I121" s="64" t="s">
        <v>575</v>
      </c>
      <c r="J121" s="64" t="s">
        <v>24</v>
      </c>
      <c r="K121" s="64" t="s">
        <v>37</v>
      </c>
      <c r="L121" s="64" t="s">
        <v>31</v>
      </c>
      <c r="M121" s="64" t="s">
        <v>28</v>
      </c>
      <c r="N121" s="64" t="s">
        <v>576</v>
      </c>
      <c r="O121" s="65">
        <v>1</v>
      </c>
      <c r="P121" s="65">
        <v>0</v>
      </c>
      <c r="Q121" s="65">
        <v>0</v>
      </c>
      <c r="R121" s="65">
        <v>1</v>
      </c>
      <c r="S121" s="65">
        <v>100</v>
      </c>
      <c r="T121" s="65">
        <v>0</v>
      </c>
      <c r="U121" s="65">
        <v>0</v>
      </c>
      <c r="V121" s="65">
        <v>100</v>
      </c>
      <c r="W121" s="65">
        <v>100</v>
      </c>
      <c r="X121" s="65">
        <v>0</v>
      </c>
      <c r="Y121" s="65">
        <v>0</v>
      </c>
      <c r="Z121" s="65">
        <v>30</v>
      </c>
      <c r="AA121" s="65">
        <v>0</v>
      </c>
      <c r="AB121" s="65">
        <v>0</v>
      </c>
      <c r="AC121" s="65">
        <v>70</v>
      </c>
      <c r="AD121" s="64" t="s">
        <v>577</v>
      </c>
    </row>
    <row r="122" spans="1:30">
      <c r="A122" s="64" t="s">
        <v>568</v>
      </c>
      <c r="B122" s="64" t="s">
        <v>569</v>
      </c>
      <c r="C122" s="64" t="s">
        <v>570</v>
      </c>
      <c r="D122" s="64" t="s">
        <v>571</v>
      </c>
      <c r="E122" s="64" t="s">
        <v>29</v>
      </c>
      <c r="F122" s="64" t="s">
        <v>931</v>
      </c>
      <c r="G122" s="64" t="s">
        <v>932</v>
      </c>
      <c r="H122" s="64" t="s">
        <v>933</v>
      </c>
      <c r="I122" s="64" t="s">
        <v>575</v>
      </c>
      <c r="J122" s="64" t="s">
        <v>24</v>
      </c>
      <c r="K122" s="64" t="s">
        <v>37</v>
      </c>
      <c r="L122" s="64" t="s">
        <v>31</v>
      </c>
      <c r="M122" s="64" t="s">
        <v>28</v>
      </c>
      <c r="N122" s="64" t="s">
        <v>576</v>
      </c>
      <c r="O122" s="65">
        <v>1</v>
      </c>
      <c r="P122" s="65">
        <v>0</v>
      </c>
      <c r="Q122" s="65">
        <v>0</v>
      </c>
      <c r="R122" s="65">
        <v>1</v>
      </c>
      <c r="S122" s="65">
        <v>100</v>
      </c>
      <c r="T122" s="65">
        <v>0</v>
      </c>
      <c r="U122" s="65">
        <v>0</v>
      </c>
      <c r="V122" s="65">
        <v>100</v>
      </c>
      <c r="W122" s="65">
        <v>100</v>
      </c>
      <c r="X122" s="65">
        <v>0</v>
      </c>
      <c r="Y122" s="65">
        <v>0</v>
      </c>
      <c r="Z122" s="65">
        <v>30</v>
      </c>
      <c r="AA122" s="65">
        <v>0</v>
      </c>
      <c r="AB122" s="65">
        <v>0</v>
      </c>
      <c r="AC122" s="65">
        <v>70</v>
      </c>
      <c r="AD122" s="64" t="s">
        <v>577</v>
      </c>
    </row>
    <row r="123" spans="1:30">
      <c r="A123" s="64" t="s">
        <v>568</v>
      </c>
      <c r="B123" s="64" t="s">
        <v>569</v>
      </c>
      <c r="C123" s="64" t="s">
        <v>570</v>
      </c>
      <c r="D123" s="64" t="s">
        <v>571</v>
      </c>
      <c r="E123" s="64" t="s">
        <v>29</v>
      </c>
      <c r="F123" s="64" t="s">
        <v>934</v>
      </c>
      <c r="G123" s="64" t="s">
        <v>935</v>
      </c>
      <c r="H123" s="64" t="s">
        <v>936</v>
      </c>
      <c r="I123" s="64" t="s">
        <v>575</v>
      </c>
      <c r="J123" s="64" t="s">
        <v>24</v>
      </c>
      <c r="K123" s="64" t="s">
        <v>37</v>
      </c>
      <c r="L123" s="64" t="s">
        <v>31</v>
      </c>
      <c r="M123" s="64" t="s">
        <v>28</v>
      </c>
      <c r="N123" s="64" t="s">
        <v>576</v>
      </c>
      <c r="O123" s="65">
        <v>1</v>
      </c>
      <c r="P123" s="65">
        <v>0</v>
      </c>
      <c r="Q123" s="65">
        <v>0</v>
      </c>
      <c r="R123" s="65">
        <v>1</v>
      </c>
      <c r="S123" s="65">
        <v>100</v>
      </c>
      <c r="T123" s="65">
        <v>0</v>
      </c>
      <c r="U123" s="65">
        <v>0</v>
      </c>
      <c r="V123" s="65">
        <v>100</v>
      </c>
      <c r="W123" s="65">
        <v>100</v>
      </c>
      <c r="X123" s="65">
        <v>0</v>
      </c>
      <c r="Y123" s="65">
        <v>0</v>
      </c>
      <c r="Z123" s="65">
        <v>30</v>
      </c>
      <c r="AA123" s="65">
        <v>0</v>
      </c>
      <c r="AB123" s="65">
        <v>0</v>
      </c>
      <c r="AC123" s="65">
        <v>70</v>
      </c>
      <c r="AD123" s="64" t="s">
        <v>577</v>
      </c>
    </row>
    <row r="124" spans="1:30">
      <c r="A124" s="64" t="s">
        <v>568</v>
      </c>
      <c r="B124" s="64" t="s">
        <v>569</v>
      </c>
      <c r="C124" s="64" t="s">
        <v>570</v>
      </c>
      <c r="D124" s="64" t="s">
        <v>571</v>
      </c>
      <c r="E124" s="64" t="s">
        <v>29</v>
      </c>
      <c r="F124" s="64" t="s">
        <v>937</v>
      </c>
      <c r="G124" s="64" t="s">
        <v>938</v>
      </c>
      <c r="H124" s="64" t="s">
        <v>939</v>
      </c>
      <c r="I124" s="64" t="s">
        <v>575</v>
      </c>
      <c r="J124" s="64" t="s">
        <v>24</v>
      </c>
      <c r="K124" s="64" t="s">
        <v>37</v>
      </c>
      <c r="L124" s="64" t="s">
        <v>31</v>
      </c>
      <c r="M124" s="64" t="s">
        <v>28</v>
      </c>
      <c r="N124" s="64" t="s">
        <v>576</v>
      </c>
      <c r="O124" s="65">
        <v>1</v>
      </c>
      <c r="P124" s="65">
        <v>0</v>
      </c>
      <c r="Q124" s="65">
        <v>0</v>
      </c>
      <c r="R124" s="65">
        <v>1</v>
      </c>
      <c r="S124" s="65">
        <v>100</v>
      </c>
      <c r="T124" s="65">
        <v>0</v>
      </c>
      <c r="U124" s="65">
        <v>0</v>
      </c>
      <c r="V124" s="65">
        <v>100</v>
      </c>
      <c r="W124" s="65">
        <v>100</v>
      </c>
      <c r="X124" s="65">
        <v>0</v>
      </c>
      <c r="Y124" s="65">
        <v>0</v>
      </c>
      <c r="Z124" s="65">
        <v>30</v>
      </c>
      <c r="AA124" s="65">
        <v>0</v>
      </c>
      <c r="AB124" s="65">
        <v>0</v>
      </c>
      <c r="AC124" s="65">
        <v>70</v>
      </c>
      <c r="AD124" s="64" t="s">
        <v>577</v>
      </c>
    </row>
    <row r="125" spans="1:30">
      <c r="A125" s="64" t="s">
        <v>568</v>
      </c>
      <c r="B125" s="64" t="s">
        <v>569</v>
      </c>
      <c r="C125" s="64" t="s">
        <v>570</v>
      </c>
      <c r="D125" s="64" t="s">
        <v>571</v>
      </c>
      <c r="E125" s="64" t="s">
        <v>29</v>
      </c>
      <c r="F125" s="64" t="s">
        <v>940</v>
      </c>
      <c r="G125" s="64" t="s">
        <v>941</v>
      </c>
      <c r="H125" s="64" t="s">
        <v>942</v>
      </c>
      <c r="I125" s="64" t="s">
        <v>575</v>
      </c>
      <c r="J125" s="64" t="s">
        <v>24</v>
      </c>
      <c r="K125" s="64" t="s">
        <v>37</v>
      </c>
      <c r="L125" s="64" t="s">
        <v>31</v>
      </c>
      <c r="M125" s="64" t="s">
        <v>28</v>
      </c>
      <c r="N125" s="64" t="s">
        <v>576</v>
      </c>
      <c r="O125" s="65">
        <v>1</v>
      </c>
      <c r="P125" s="65">
        <v>0</v>
      </c>
      <c r="Q125" s="65">
        <v>0</v>
      </c>
      <c r="R125" s="65">
        <v>1</v>
      </c>
      <c r="S125" s="65">
        <v>100</v>
      </c>
      <c r="T125" s="65">
        <v>0</v>
      </c>
      <c r="U125" s="65">
        <v>0</v>
      </c>
      <c r="V125" s="65">
        <v>100</v>
      </c>
      <c r="W125" s="65">
        <v>100</v>
      </c>
      <c r="X125" s="65">
        <v>0</v>
      </c>
      <c r="Y125" s="65">
        <v>0</v>
      </c>
      <c r="Z125" s="65">
        <v>30</v>
      </c>
      <c r="AA125" s="65">
        <v>0</v>
      </c>
      <c r="AB125" s="65">
        <v>0</v>
      </c>
      <c r="AC125" s="65">
        <v>70</v>
      </c>
      <c r="AD125" s="64" t="s">
        <v>577</v>
      </c>
    </row>
    <row r="126" spans="1:30">
      <c r="A126" s="64" t="s">
        <v>568</v>
      </c>
      <c r="B126" s="64" t="s">
        <v>569</v>
      </c>
      <c r="C126" s="64" t="s">
        <v>570</v>
      </c>
      <c r="D126" s="64" t="s">
        <v>571</v>
      </c>
      <c r="E126" s="64" t="s">
        <v>29</v>
      </c>
      <c r="F126" s="64" t="s">
        <v>943</v>
      </c>
      <c r="G126" s="64" t="s">
        <v>944</v>
      </c>
      <c r="H126" s="64" t="s">
        <v>945</v>
      </c>
      <c r="I126" s="64" t="s">
        <v>575</v>
      </c>
      <c r="J126" s="64" t="s">
        <v>24</v>
      </c>
      <c r="K126" s="64" t="s">
        <v>37</v>
      </c>
      <c r="L126" s="64" t="s">
        <v>31</v>
      </c>
      <c r="M126" s="64" t="s">
        <v>28</v>
      </c>
      <c r="N126" s="64" t="s">
        <v>576</v>
      </c>
      <c r="O126" s="65">
        <v>1</v>
      </c>
      <c r="P126" s="65">
        <v>0</v>
      </c>
      <c r="Q126" s="65">
        <v>0</v>
      </c>
      <c r="R126" s="65">
        <v>1</v>
      </c>
      <c r="S126" s="65">
        <v>100</v>
      </c>
      <c r="T126" s="65">
        <v>0</v>
      </c>
      <c r="U126" s="65">
        <v>0</v>
      </c>
      <c r="V126" s="65">
        <v>100</v>
      </c>
      <c r="W126" s="65">
        <v>100</v>
      </c>
      <c r="X126" s="65">
        <v>0</v>
      </c>
      <c r="Y126" s="65">
        <v>0</v>
      </c>
      <c r="Z126" s="65">
        <v>30</v>
      </c>
      <c r="AA126" s="65">
        <v>0</v>
      </c>
      <c r="AB126" s="65">
        <v>0</v>
      </c>
      <c r="AC126" s="65">
        <v>70</v>
      </c>
      <c r="AD126" s="64" t="s">
        <v>577</v>
      </c>
    </row>
    <row r="127" spans="1:30">
      <c r="A127" s="64" t="s">
        <v>568</v>
      </c>
      <c r="B127" s="64" t="s">
        <v>569</v>
      </c>
      <c r="C127" s="64" t="s">
        <v>570</v>
      </c>
      <c r="D127" s="64" t="s">
        <v>571</v>
      </c>
      <c r="E127" s="64" t="s">
        <v>29</v>
      </c>
      <c r="F127" s="64" t="s">
        <v>946</v>
      </c>
      <c r="G127" s="64" t="s">
        <v>305</v>
      </c>
      <c r="H127" s="64" t="s">
        <v>947</v>
      </c>
      <c r="I127" s="64" t="s">
        <v>575</v>
      </c>
      <c r="J127" s="64" t="s">
        <v>24</v>
      </c>
      <c r="K127" s="64" t="s">
        <v>37</v>
      </c>
      <c r="L127" s="64" t="s">
        <v>31</v>
      </c>
      <c r="M127" s="64" t="s">
        <v>28</v>
      </c>
      <c r="N127" s="64" t="s">
        <v>576</v>
      </c>
      <c r="O127" s="65">
        <v>1</v>
      </c>
      <c r="P127" s="65">
        <v>0</v>
      </c>
      <c r="Q127" s="65">
        <v>0</v>
      </c>
      <c r="R127" s="65">
        <v>1</v>
      </c>
      <c r="S127" s="65">
        <v>100</v>
      </c>
      <c r="T127" s="65">
        <v>0</v>
      </c>
      <c r="U127" s="65">
        <v>0</v>
      </c>
      <c r="V127" s="65">
        <v>100</v>
      </c>
      <c r="W127" s="65">
        <v>100</v>
      </c>
      <c r="X127" s="65">
        <v>0</v>
      </c>
      <c r="Y127" s="65">
        <v>0</v>
      </c>
      <c r="Z127" s="65">
        <v>30</v>
      </c>
      <c r="AA127" s="65">
        <v>0</v>
      </c>
      <c r="AB127" s="65">
        <v>0</v>
      </c>
      <c r="AC127" s="65">
        <v>70</v>
      </c>
      <c r="AD127" s="64" t="s">
        <v>577</v>
      </c>
    </row>
    <row r="128" spans="1:30">
      <c r="A128" s="64" t="s">
        <v>568</v>
      </c>
      <c r="B128" s="64" t="s">
        <v>569</v>
      </c>
      <c r="C128" s="64" t="s">
        <v>570</v>
      </c>
      <c r="D128" s="64" t="s">
        <v>571</v>
      </c>
      <c r="E128" s="64" t="s">
        <v>29</v>
      </c>
      <c r="F128" s="64" t="s">
        <v>948</v>
      </c>
      <c r="G128" s="64" t="s">
        <v>307</v>
      </c>
      <c r="H128" s="64" t="s">
        <v>949</v>
      </c>
      <c r="I128" s="64" t="s">
        <v>575</v>
      </c>
      <c r="J128" s="64" t="s">
        <v>24</v>
      </c>
      <c r="K128" s="64" t="s">
        <v>37</v>
      </c>
      <c r="L128" s="64" t="s">
        <v>31</v>
      </c>
      <c r="M128" s="64" t="s">
        <v>28</v>
      </c>
      <c r="N128" s="64" t="s">
        <v>576</v>
      </c>
      <c r="O128" s="65">
        <v>1</v>
      </c>
      <c r="P128" s="65">
        <v>0</v>
      </c>
      <c r="Q128" s="65">
        <v>0</v>
      </c>
      <c r="R128" s="65">
        <v>1</v>
      </c>
      <c r="S128" s="65">
        <v>100</v>
      </c>
      <c r="T128" s="65">
        <v>0</v>
      </c>
      <c r="U128" s="65">
        <v>0</v>
      </c>
      <c r="V128" s="65">
        <v>100</v>
      </c>
      <c r="W128" s="65">
        <v>100</v>
      </c>
      <c r="X128" s="65">
        <v>0</v>
      </c>
      <c r="Y128" s="65">
        <v>0</v>
      </c>
      <c r="Z128" s="65">
        <v>30</v>
      </c>
      <c r="AA128" s="65">
        <v>0</v>
      </c>
      <c r="AB128" s="65">
        <v>0</v>
      </c>
      <c r="AC128" s="65">
        <v>70</v>
      </c>
      <c r="AD128" s="64" t="s">
        <v>577</v>
      </c>
    </row>
    <row r="129" spans="1:30">
      <c r="A129" s="64" t="s">
        <v>568</v>
      </c>
      <c r="B129" s="64" t="s">
        <v>569</v>
      </c>
      <c r="C129" s="64" t="s">
        <v>570</v>
      </c>
      <c r="D129" s="64" t="s">
        <v>571</v>
      </c>
      <c r="E129" s="64" t="s">
        <v>29</v>
      </c>
      <c r="F129" s="64" t="s">
        <v>950</v>
      </c>
      <c r="G129" s="64" t="s">
        <v>309</v>
      </c>
      <c r="H129" s="64" t="s">
        <v>951</v>
      </c>
      <c r="I129" s="64" t="s">
        <v>575</v>
      </c>
      <c r="J129" s="64" t="s">
        <v>24</v>
      </c>
      <c r="K129" s="64" t="s">
        <v>37</v>
      </c>
      <c r="L129" s="64" t="s">
        <v>31</v>
      </c>
      <c r="M129" s="64" t="s">
        <v>28</v>
      </c>
      <c r="N129" s="64" t="s">
        <v>576</v>
      </c>
      <c r="O129" s="65">
        <v>1</v>
      </c>
      <c r="P129" s="65">
        <v>0</v>
      </c>
      <c r="Q129" s="65">
        <v>0</v>
      </c>
      <c r="R129" s="65">
        <v>1</v>
      </c>
      <c r="S129" s="65">
        <v>100</v>
      </c>
      <c r="T129" s="65">
        <v>0</v>
      </c>
      <c r="U129" s="65">
        <v>0</v>
      </c>
      <c r="V129" s="65">
        <v>100</v>
      </c>
      <c r="W129" s="65">
        <v>100</v>
      </c>
      <c r="X129" s="65">
        <v>0</v>
      </c>
      <c r="Y129" s="65">
        <v>0</v>
      </c>
      <c r="Z129" s="65">
        <v>30</v>
      </c>
      <c r="AA129" s="65">
        <v>0</v>
      </c>
      <c r="AB129" s="65">
        <v>0</v>
      </c>
      <c r="AC129" s="65">
        <v>70</v>
      </c>
      <c r="AD129" s="64" t="s">
        <v>577</v>
      </c>
    </row>
    <row r="130" spans="1:30">
      <c r="A130" s="64" t="s">
        <v>568</v>
      </c>
      <c r="B130" s="64" t="s">
        <v>569</v>
      </c>
      <c r="C130" s="64" t="s">
        <v>570</v>
      </c>
      <c r="D130" s="64" t="s">
        <v>571</v>
      </c>
      <c r="E130" s="64" t="s">
        <v>29</v>
      </c>
      <c r="F130" s="64" t="s">
        <v>952</v>
      </c>
      <c r="G130" s="64" t="s">
        <v>311</v>
      </c>
      <c r="H130" s="64" t="s">
        <v>953</v>
      </c>
      <c r="I130" s="64" t="s">
        <v>575</v>
      </c>
      <c r="J130" s="64" t="s">
        <v>24</v>
      </c>
      <c r="K130" s="64" t="s">
        <v>37</v>
      </c>
      <c r="L130" s="64" t="s">
        <v>31</v>
      </c>
      <c r="M130" s="64" t="s">
        <v>28</v>
      </c>
      <c r="N130" s="64" t="s">
        <v>576</v>
      </c>
      <c r="O130" s="65">
        <v>1</v>
      </c>
      <c r="P130" s="65">
        <v>0</v>
      </c>
      <c r="Q130" s="65">
        <v>0</v>
      </c>
      <c r="R130" s="65">
        <v>1</v>
      </c>
      <c r="S130" s="65">
        <v>100</v>
      </c>
      <c r="T130" s="65">
        <v>0</v>
      </c>
      <c r="U130" s="65">
        <v>0</v>
      </c>
      <c r="V130" s="65">
        <v>100</v>
      </c>
      <c r="W130" s="65">
        <v>100</v>
      </c>
      <c r="X130" s="65">
        <v>0</v>
      </c>
      <c r="Y130" s="65">
        <v>0</v>
      </c>
      <c r="Z130" s="65">
        <v>30</v>
      </c>
      <c r="AA130" s="65">
        <v>0</v>
      </c>
      <c r="AB130" s="65">
        <v>0</v>
      </c>
      <c r="AC130" s="65">
        <v>70</v>
      </c>
      <c r="AD130" s="64" t="s">
        <v>577</v>
      </c>
    </row>
    <row r="131" spans="1:30">
      <c r="A131" s="64" t="s">
        <v>568</v>
      </c>
      <c r="B131" s="64" t="s">
        <v>569</v>
      </c>
      <c r="C131" s="64" t="s">
        <v>570</v>
      </c>
      <c r="D131" s="64" t="s">
        <v>571</v>
      </c>
      <c r="E131" s="64" t="s">
        <v>29</v>
      </c>
      <c r="F131" s="64" t="s">
        <v>954</v>
      </c>
      <c r="G131" s="64" t="s">
        <v>313</v>
      </c>
      <c r="H131" s="64" t="s">
        <v>955</v>
      </c>
      <c r="I131" s="64" t="s">
        <v>575</v>
      </c>
      <c r="J131" s="64" t="s">
        <v>24</v>
      </c>
      <c r="K131" s="64" t="s">
        <v>37</v>
      </c>
      <c r="L131" s="64" t="s">
        <v>31</v>
      </c>
      <c r="M131" s="64" t="s">
        <v>28</v>
      </c>
      <c r="N131" s="64" t="s">
        <v>576</v>
      </c>
      <c r="O131" s="65">
        <v>1</v>
      </c>
      <c r="P131" s="65">
        <v>0</v>
      </c>
      <c r="Q131" s="65">
        <v>0</v>
      </c>
      <c r="R131" s="65">
        <v>1</v>
      </c>
      <c r="S131" s="65">
        <v>100</v>
      </c>
      <c r="T131" s="65">
        <v>0</v>
      </c>
      <c r="U131" s="65">
        <v>0</v>
      </c>
      <c r="V131" s="65">
        <v>100</v>
      </c>
      <c r="W131" s="65">
        <v>100</v>
      </c>
      <c r="X131" s="65">
        <v>0</v>
      </c>
      <c r="Y131" s="65">
        <v>0</v>
      </c>
      <c r="Z131" s="65">
        <v>30</v>
      </c>
      <c r="AA131" s="65">
        <v>0</v>
      </c>
      <c r="AB131" s="65">
        <v>0</v>
      </c>
      <c r="AC131" s="65">
        <v>70</v>
      </c>
      <c r="AD131" s="64" t="s">
        <v>577</v>
      </c>
    </row>
    <row r="132" spans="1:30">
      <c r="A132" s="64" t="s">
        <v>568</v>
      </c>
      <c r="B132" s="64" t="s">
        <v>569</v>
      </c>
      <c r="C132" s="64" t="s">
        <v>570</v>
      </c>
      <c r="D132" s="64" t="s">
        <v>571</v>
      </c>
      <c r="E132" s="64" t="s">
        <v>29</v>
      </c>
      <c r="F132" s="64" t="s">
        <v>956</v>
      </c>
      <c r="G132" s="64" t="s">
        <v>315</v>
      </c>
      <c r="H132" s="64" t="s">
        <v>957</v>
      </c>
      <c r="I132" s="64" t="s">
        <v>575</v>
      </c>
      <c r="J132" s="64" t="s">
        <v>24</v>
      </c>
      <c r="K132" s="64" t="s">
        <v>37</v>
      </c>
      <c r="L132" s="64" t="s">
        <v>31</v>
      </c>
      <c r="M132" s="64" t="s">
        <v>28</v>
      </c>
      <c r="N132" s="64" t="s">
        <v>576</v>
      </c>
      <c r="O132" s="65">
        <v>1</v>
      </c>
      <c r="P132" s="65">
        <v>0</v>
      </c>
      <c r="Q132" s="65">
        <v>0</v>
      </c>
      <c r="R132" s="65">
        <v>1</v>
      </c>
      <c r="S132" s="65">
        <v>100</v>
      </c>
      <c r="T132" s="65">
        <v>0</v>
      </c>
      <c r="U132" s="65">
        <v>0</v>
      </c>
      <c r="V132" s="65">
        <v>100</v>
      </c>
      <c r="W132" s="65">
        <v>100</v>
      </c>
      <c r="X132" s="65">
        <v>0</v>
      </c>
      <c r="Y132" s="65">
        <v>0</v>
      </c>
      <c r="Z132" s="65">
        <v>30</v>
      </c>
      <c r="AA132" s="65">
        <v>0</v>
      </c>
      <c r="AB132" s="65">
        <v>0</v>
      </c>
      <c r="AC132" s="65">
        <v>70</v>
      </c>
      <c r="AD132" s="64" t="s">
        <v>577</v>
      </c>
    </row>
    <row r="133" spans="1:30">
      <c r="A133" s="64" t="s">
        <v>568</v>
      </c>
      <c r="B133" s="64" t="s">
        <v>569</v>
      </c>
      <c r="C133" s="64" t="s">
        <v>570</v>
      </c>
      <c r="D133" s="64" t="s">
        <v>571</v>
      </c>
      <c r="E133" s="64" t="s">
        <v>29</v>
      </c>
      <c r="F133" s="64" t="s">
        <v>958</v>
      </c>
      <c r="G133" s="64" t="s">
        <v>317</v>
      </c>
      <c r="H133" s="64" t="s">
        <v>959</v>
      </c>
      <c r="I133" s="64" t="s">
        <v>575</v>
      </c>
      <c r="J133" s="64" t="s">
        <v>24</v>
      </c>
      <c r="K133" s="64" t="s">
        <v>37</v>
      </c>
      <c r="L133" s="64" t="s">
        <v>31</v>
      </c>
      <c r="M133" s="64" t="s">
        <v>28</v>
      </c>
      <c r="N133" s="64" t="s">
        <v>576</v>
      </c>
      <c r="O133" s="65">
        <v>1</v>
      </c>
      <c r="P133" s="65">
        <v>0</v>
      </c>
      <c r="Q133" s="65">
        <v>0</v>
      </c>
      <c r="R133" s="65">
        <v>1</v>
      </c>
      <c r="S133" s="65">
        <v>100</v>
      </c>
      <c r="T133" s="65">
        <v>0</v>
      </c>
      <c r="U133" s="65">
        <v>0</v>
      </c>
      <c r="V133" s="65">
        <v>100</v>
      </c>
      <c r="W133" s="65">
        <v>100</v>
      </c>
      <c r="X133" s="65">
        <v>0</v>
      </c>
      <c r="Y133" s="65">
        <v>0</v>
      </c>
      <c r="Z133" s="65">
        <v>30</v>
      </c>
      <c r="AA133" s="65">
        <v>0</v>
      </c>
      <c r="AB133" s="65">
        <v>0</v>
      </c>
      <c r="AC133" s="65">
        <v>70</v>
      </c>
      <c r="AD133" s="64" t="s">
        <v>577</v>
      </c>
    </row>
    <row r="134" spans="1:30">
      <c r="A134" s="64" t="s">
        <v>568</v>
      </c>
      <c r="B134" s="64" t="s">
        <v>569</v>
      </c>
      <c r="C134" s="64" t="s">
        <v>570</v>
      </c>
      <c r="D134" s="64" t="s">
        <v>571</v>
      </c>
      <c r="E134" s="64" t="s">
        <v>29</v>
      </c>
      <c r="F134" s="64" t="s">
        <v>960</v>
      </c>
      <c r="G134" s="64" t="s">
        <v>319</v>
      </c>
      <c r="H134" s="64" t="s">
        <v>961</v>
      </c>
      <c r="I134" s="64" t="s">
        <v>575</v>
      </c>
      <c r="J134" s="64" t="s">
        <v>24</v>
      </c>
      <c r="K134" s="64" t="s">
        <v>37</v>
      </c>
      <c r="L134" s="64" t="s">
        <v>31</v>
      </c>
      <c r="M134" s="64" t="s">
        <v>28</v>
      </c>
      <c r="N134" s="64" t="s">
        <v>576</v>
      </c>
      <c r="O134" s="65">
        <v>1</v>
      </c>
      <c r="P134" s="65">
        <v>0</v>
      </c>
      <c r="Q134" s="65">
        <v>0</v>
      </c>
      <c r="R134" s="65">
        <v>1</v>
      </c>
      <c r="S134" s="65">
        <v>100</v>
      </c>
      <c r="T134" s="65">
        <v>0</v>
      </c>
      <c r="U134" s="65">
        <v>0</v>
      </c>
      <c r="V134" s="65">
        <v>100</v>
      </c>
      <c r="W134" s="65">
        <v>100</v>
      </c>
      <c r="X134" s="65">
        <v>0</v>
      </c>
      <c r="Y134" s="65">
        <v>0</v>
      </c>
      <c r="Z134" s="65">
        <v>30</v>
      </c>
      <c r="AA134" s="65">
        <v>0</v>
      </c>
      <c r="AB134" s="65">
        <v>0</v>
      </c>
      <c r="AC134" s="65">
        <v>70</v>
      </c>
      <c r="AD134" s="64" t="s">
        <v>577</v>
      </c>
    </row>
    <row r="135" spans="1:30">
      <c r="A135" s="64" t="s">
        <v>568</v>
      </c>
      <c r="B135" s="64" t="s">
        <v>569</v>
      </c>
      <c r="C135" s="64" t="s">
        <v>570</v>
      </c>
      <c r="D135" s="64" t="s">
        <v>571</v>
      </c>
      <c r="E135" s="64" t="s">
        <v>29</v>
      </c>
      <c r="F135" s="64" t="s">
        <v>962</v>
      </c>
      <c r="G135" s="64" t="s">
        <v>321</v>
      </c>
      <c r="H135" s="64" t="s">
        <v>963</v>
      </c>
      <c r="I135" s="64" t="s">
        <v>575</v>
      </c>
      <c r="J135" s="64" t="s">
        <v>24</v>
      </c>
      <c r="K135" s="64" t="s">
        <v>37</v>
      </c>
      <c r="L135" s="64" t="s">
        <v>31</v>
      </c>
      <c r="M135" s="64" t="s">
        <v>28</v>
      </c>
      <c r="N135" s="64" t="s">
        <v>576</v>
      </c>
      <c r="O135" s="65">
        <v>1</v>
      </c>
      <c r="P135" s="65">
        <v>0</v>
      </c>
      <c r="Q135" s="65">
        <v>0</v>
      </c>
      <c r="R135" s="65">
        <v>1</v>
      </c>
      <c r="S135" s="65">
        <v>100</v>
      </c>
      <c r="T135" s="65">
        <v>0</v>
      </c>
      <c r="U135" s="65">
        <v>0</v>
      </c>
      <c r="V135" s="65">
        <v>100</v>
      </c>
      <c r="W135" s="65">
        <v>100</v>
      </c>
      <c r="X135" s="65">
        <v>0</v>
      </c>
      <c r="Y135" s="65">
        <v>0</v>
      </c>
      <c r="Z135" s="65">
        <v>30</v>
      </c>
      <c r="AA135" s="65">
        <v>0</v>
      </c>
      <c r="AB135" s="65">
        <v>0</v>
      </c>
      <c r="AC135" s="65">
        <v>70</v>
      </c>
      <c r="AD135" s="64" t="s">
        <v>577</v>
      </c>
    </row>
    <row r="136" spans="1:30">
      <c r="A136" s="64" t="s">
        <v>568</v>
      </c>
      <c r="B136" s="64" t="s">
        <v>569</v>
      </c>
      <c r="C136" s="64" t="s">
        <v>570</v>
      </c>
      <c r="D136" s="64" t="s">
        <v>571</v>
      </c>
      <c r="E136" s="64" t="s">
        <v>29</v>
      </c>
      <c r="F136" s="64" t="s">
        <v>964</v>
      </c>
      <c r="G136" s="64" t="s">
        <v>409</v>
      </c>
      <c r="H136" s="64" t="s">
        <v>965</v>
      </c>
      <c r="I136" s="64" t="s">
        <v>575</v>
      </c>
      <c r="J136" s="64" t="s">
        <v>24</v>
      </c>
      <c r="K136" s="64" t="s">
        <v>37</v>
      </c>
      <c r="L136" s="64" t="s">
        <v>31</v>
      </c>
      <c r="M136" s="64" t="s">
        <v>28</v>
      </c>
      <c r="N136" s="64" t="s">
        <v>576</v>
      </c>
      <c r="O136" s="65">
        <v>1</v>
      </c>
      <c r="P136" s="65">
        <v>0</v>
      </c>
      <c r="Q136" s="65">
        <v>0</v>
      </c>
      <c r="R136" s="65">
        <v>1</v>
      </c>
      <c r="S136" s="65">
        <v>100</v>
      </c>
      <c r="T136" s="65">
        <v>0</v>
      </c>
      <c r="U136" s="65">
        <v>0</v>
      </c>
      <c r="V136" s="65">
        <v>100</v>
      </c>
      <c r="W136" s="65">
        <v>100</v>
      </c>
      <c r="X136" s="65">
        <v>0</v>
      </c>
      <c r="Y136" s="65">
        <v>0</v>
      </c>
      <c r="Z136" s="65">
        <v>30</v>
      </c>
      <c r="AA136" s="65">
        <v>0</v>
      </c>
      <c r="AB136" s="65">
        <v>0</v>
      </c>
      <c r="AC136" s="65">
        <v>70</v>
      </c>
      <c r="AD136" s="64" t="s">
        <v>577</v>
      </c>
    </row>
    <row r="137" spans="1:30">
      <c r="A137" s="64" t="s">
        <v>568</v>
      </c>
      <c r="B137" s="64" t="s">
        <v>569</v>
      </c>
      <c r="C137" s="64" t="s">
        <v>570</v>
      </c>
      <c r="D137" s="64" t="s">
        <v>571</v>
      </c>
      <c r="E137" s="64" t="s">
        <v>29</v>
      </c>
      <c r="F137" s="64" t="s">
        <v>966</v>
      </c>
      <c r="G137" s="64" t="s">
        <v>411</v>
      </c>
      <c r="H137" s="64" t="s">
        <v>967</v>
      </c>
      <c r="I137" s="64" t="s">
        <v>575</v>
      </c>
      <c r="J137" s="64" t="s">
        <v>24</v>
      </c>
      <c r="K137" s="64" t="s">
        <v>37</v>
      </c>
      <c r="L137" s="64" t="s">
        <v>31</v>
      </c>
      <c r="M137" s="64" t="s">
        <v>28</v>
      </c>
      <c r="N137" s="64" t="s">
        <v>576</v>
      </c>
      <c r="O137" s="65">
        <v>1</v>
      </c>
      <c r="P137" s="65">
        <v>0</v>
      </c>
      <c r="Q137" s="65">
        <v>0</v>
      </c>
      <c r="R137" s="65">
        <v>1</v>
      </c>
      <c r="S137" s="65">
        <v>100</v>
      </c>
      <c r="T137" s="65">
        <v>0</v>
      </c>
      <c r="U137" s="65">
        <v>0</v>
      </c>
      <c r="V137" s="65">
        <v>100</v>
      </c>
      <c r="W137" s="65">
        <v>100</v>
      </c>
      <c r="X137" s="65">
        <v>0</v>
      </c>
      <c r="Y137" s="65">
        <v>0</v>
      </c>
      <c r="Z137" s="65">
        <v>30</v>
      </c>
      <c r="AA137" s="65">
        <v>0</v>
      </c>
      <c r="AB137" s="65">
        <v>0</v>
      </c>
      <c r="AC137" s="65">
        <v>70</v>
      </c>
      <c r="AD137" s="64" t="s">
        <v>577</v>
      </c>
    </row>
    <row r="138" spans="1:30">
      <c r="A138" s="64" t="s">
        <v>568</v>
      </c>
      <c r="B138" s="64" t="s">
        <v>569</v>
      </c>
      <c r="C138" s="64" t="s">
        <v>570</v>
      </c>
      <c r="D138" s="64" t="s">
        <v>571</v>
      </c>
      <c r="E138" s="64" t="s">
        <v>29</v>
      </c>
      <c r="F138" s="64" t="s">
        <v>968</v>
      </c>
      <c r="G138" s="64" t="s">
        <v>413</v>
      </c>
      <c r="H138" s="64" t="s">
        <v>969</v>
      </c>
      <c r="I138" s="64" t="s">
        <v>575</v>
      </c>
      <c r="J138" s="64" t="s">
        <v>24</v>
      </c>
      <c r="K138" s="64" t="s">
        <v>37</v>
      </c>
      <c r="L138" s="64" t="s">
        <v>31</v>
      </c>
      <c r="M138" s="64" t="s">
        <v>28</v>
      </c>
      <c r="N138" s="64" t="s">
        <v>576</v>
      </c>
      <c r="O138" s="65">
        <v>1</v>
      </c>
      <c r="P138" s="65">
        <v>0</v>
      </c>
      <c r="Q138" s="65">
        <v>0</v>
      </c>
      <c r="R138" s="65">
        <v>1</v>
      </c>
      <c r="S138" s="65">
        <v>100</v>
      </c>
      <c r="T138" s="65">
        <v>0</v>
      </c>
      <c r="U138" s="65">
        <v>0</v>
      </c>
      <c r="V138" s="65">
        <v>100</v>
      </c>
      <c r="W138" s="65">
        <v>100</v>
      </c>
      <c r="X138" s="65">
        <v>0</v>
      </c>
      <c r="Y138" s="65">
        <v>0</v>
      </c>
      <c r="Z138" s="65">
        <v>30</v>
      </c>
      <c r="AA138" s="65">
        <v>0</v>
      </c>
      <c r="AB138" s="65">
        <v>0</v>
      </c>
      <c r="AC138" s="65">
        <v>70</v>
      </c>
      <c r="AD138" s="64" t="s">
        <v>577</v>
      </c>
    </row>
    <row r="139" spans="1:30">
      <c r="A139" s="64" t="s">
        <v>568</v>
      </c>
      <c r="B139" s="64" t="s">
        <v>569</v>
      </c>
      <c r="C139" s="64" t="s">
        <v>570</v>
      </c>
      <c r="D139" s="64" t="s">
        <v>571</v>
      </c>
      <c r="E139" s="64" t="s">
        <v>29</v>
      </c>
      <c r="F139" s="64" t="s">
        <v>970</v>
      </c>
      <c r="G139" s="64" t="s">
        <v>415</v>
      </c>
      <c r="H139" s="64" t="s">
        <v>971</v>
      </c>
      <c r="I139" s="64" t="s">
        <v>575</v>
      </c>
      <c r="J139" s="64" t="s">
        <v>24</v>
      </c>
      <c r="K139" s="64" t="s">
        <v>37</v>
      </c>
      <c r="L139" s="64" t="s">
        <v>31</v>
      </c>
      <c r="M139" s="64" t="s">
        <v>28</v>
      </c>
      <c r="N139" s="64" t="s">
        <v>576</v>
      </c>
      <c r="O139" s="65">
        <v>1</v>
      </c>
      <c r="P139" s="65">
        <v>0</v>
      </c>
      <c r="Q139" s="65">
        <v>0</v>
      </c>
      <c r="R139" s="65">
        <v>1</v>
      </c>
      <c r="S139" s="65">
        <v>100</v>
      </c>
      <c r="T139" s="65">
        <v>0</v>
      </c>
      <c r="U139" s="65">
        <v>0</v>
      </c>
      <c r="V139" s="65">
        <v>100</v>
      </c>
      <c r="W139" s="65">
        <v>100</v>
      </c>
      <c r="X139" s="65">
        <v>0</v>
      </c>
      <c r="Y139" s="65">
        <v>0</v>
      </c>
      <c r="Z139" s="65">
        <v>30</v>
      </c>
      <c r="AA139" s="65">
        <v>0</v>
      </c>
      <c r="AB139" s="65">
        <v>0</v>
      </c>
      <c r="AC139" s="65">
        <v>70</v>
      </c>
      <c r="AD139" s="64" t="s">
        <v>577</v>
      </c>
    </row>
    <row r="140" spans="1:30">
      <c r="A140" s="64" t="s">
        <v>568</v>
      </c>
      <c r="B140" s="64" t="s">
        <v>569</v>
      </c>
      <c r="C140" s="64" t="s">
        <v>570</v>
      </c>
      <c r="D140" s="64" t="s">
        <v>571</v>
      </c>
      <c r="E140" s="64" t="s">
        <v>29</v>
      </c>
      <c r="F140" s="64" t="s">
        <v>972</v>
      </c>
      <c r="G140" s="64" t="s">
        <v>417</v>
      </c>
      <c r="H140" s="64" t="s">
        <v>973</v>
      </c>
      <c r="I140" s="64" t="s">
        <v>575</v>
      </c>
      <c r="J140" s="64" t="s">
        <v>24</v>
      </c>
      <c r="K140" s="64" t="s">
        <v>37</v>
      </c>
      <c r="L140" s="64" t="s">
        <v>31</v>
      </c>
      <c r="M140" s="64" t="s">
        <v>28</v>
      </c>
      <c r="N140" s="64" t="s">
        <v>576</v>
      </c>
      <c r="O140" s="65">
        <v>1</v>
      </c>
      <c r="P140" s="65">
        <v>0</v>
      </c>
      <c r="Q140" s="65">
        <v>0</v>
      </c>
      <c r="R140" s="65">
        <v>1</v>
      </c>
      <c r="S140" s="65">
        <v>100</v>
      </c>
      <c r="T140" s="65">
        <v>0</v>
      </c>
      <c r="U140" s="65">
        <v>0</v>
      </c>
      <c r="V140" s="65">
        <v>100</v>
      </c>
      <c r="W140" s="65">
        <v>100</v>
      </c>
      <c r="X140" s="65">
        <v>0</v>
      </c>
      <c r="Y140" s="65">
        <v>0</v>
      </c>
      <c r="Z140" s="65">
        <v>30</v>
      </c>
      <c r="AA140" s="65">
        <v>0</v>
      </c>
      <c r="AB140" s="65">
        <v>0</v>
      </c>
      <c r="AC140" s="65">
        <v>70</v>
      </c>
      <c r="AD140" s="64" t="s">
        <v>577</v>
      </c>
    </row>
    <row r="141" spans="1:30">
      <c r="A141" s="64" t="s">
        <v>568</v>
      </c>
      <c r="B141" s="64" t="s">
        <v>569</v>
      </c>
      <c r="C141" s="64" t="s">
        <v>570</v>
      </c>
      <c r="D141" s="64" t="s">
        <v>571</v>
      </c>
      <c r="E141" s="64" t="s">
        <v>29</v>
      </c>
      <c r="F141" s="64" t="s">
        <v>974</v>
      </c>
      <c r="G141" s="64" t="s">
        <v>419</v>
      </c>
      <c r="H141" s="64" t="s">
        <v>975</v>
      </c>
      <c r="I141" s="64" t="s">
        <v>575</v>
      </c>
      <c r="J141" s="64" t="s">
        <v>24</v>
      </c>
      <c r="K141" s="64" t="s">
        <v>37</v>
      </c>
      <c r="L141" s="64" t="s">
        <v>31</v>
      </c>
      <c r="M141" s="64" t="s">
        <v>28</v>
      </c>
      <c r="N141" s="64" t="s">
        <v>576</v>
      </c>
      <c r="O141" s="65">
        <v>1</v>
      </c>
      <c r="P141" s="65">
        <v>0</v>
      </c>
      <c r="Q141" s="65">
        <v>0</v>
      </c>
      <c r="R141" s="65">
        <v>1</v>
      </c>
      <c r="S141" s="65">
        <v>100</v>
      </c>
      <c r="T141" s="65">
        <v>0</v>
      </c>
      <c r="U141" s="65">
        <v>0</v>
      </c>
      <c r="V141" s="65">
        <v>100</v>
      </c>
      <c r="W141" s="65">
        <v>100</v>
      </c>
      <c r="X141" s="65">
        <v>0</v>
      </c>
      <c r="Y141" s="65">
        <v>0</v>
      </c>
      <c r="Z141" s="65">
        <v>30</v>
      </c>
      <c r="AA141" s="65">
        <v>0</v>
      </c>
      <c r="AB141" s="65">
        <v>0</v>
      </c>
      <c r="AC141" s="65">
        <v>70</v>
      </c>
      <c r="AD141" s="64" t="s">
        <v>577</v>
      </c>
    </row>
    <row r="142" spans="1:30">
      <c r="A142" s="64" t="s">
        <v>568</v>
      </c>
      <c r="B142" s="64" t="s">
        <v>569</v>
      </c>
      <c r="C142" s="64" t="s">
        <v>570</v>
      </c>
      <c r="D142" s="64" t="s">
        <v>571</v>
      </c>
      <c r="E142" s="64" t="s">
        <v>29</v>
      </c>
      <c r="F142" s="64" t="s">
        <v>976</v>
      </c>
      <c r="G142" s="64" t="s">
        <v>421</v>
      </c>
      <c r="H142" s="64" t="s">
        <v>977</v>
      </c>
      <c r="I142" s="64" t="s">
        <v>575</v>
      </c>
      <c r="J142" s="64" t="s">
        <v>24</v>
      </c>
      <c r="K142" s="64" t="s">
        <v>37</v>
      </c>
      <c r="L142" s="64" t="s">
        <v>31</v>
      </c>
      <c r="M142" s="64" t="s">
        <v>28</v>
      </c>
      <c r="N142" s="64" t="s">
        <v>576</v>
      </c>
      <c r="O142" s="65">
        <v>1</v>
      </c>
      <c r="P142" s="65">
        <v>0</v>
      </c>
      <c r="Q142" s="65">
        <v>0</v>
      </c>
      <c r="R142" s="65">
        <v>1</v>
      </c>
      <c r="S142" s="65">
        <v>100</v>
      </c>
      <c r="T142" s="65">
        <v>0</v>
      </c>
      <c r="U142" s="65">
        <v>0</v>
      </c>
      <c r="V142" s="65">
        <v>100</v>
      </c>
      <c r="W142" s="65">
        <v>100</v>
      </c>
      <c r="X142" s="65">
        <v>0</v>
      </c>
      <c r="Y142" s="65">
        <v>0</v>
      </c>
      <c r="Z142" s="65">
        <v>30</v>
      </c>
      <c r="AA142" s="65">
        <v>0</v>
      </c>
      <c r="AB142" s="65">
        <v>0</v>
      </c>
      <c r="AC142" s="65">
        <v>70</v>
      </c>
      <c r="AD142" s="64" t="s">
        <v>577</v>
      </c>
    </row>
    <row r="143" spans="1:30">
      <c r="A143" s="64" t="s">
        <v>568</v>
      </c>
      <c r="B143" s="64" t="s">
        <v>569</v>
      </c>
      <c r="C143" s="64" t="s">
        <v>570</v>
      </c>
      <c r="D143" s="64" t="s">
        <v>571</v>
      </c>
      <c r="E143" s="64" t="s">
        <v>29</v>
      </c>
      <c r="F143" s="64" t="s">
        <v>978</v>
      </c>
      <c r="G143" s="64" t="s">
        <v>423</v>
      </c>
      <c r="H143" s="64" t="s">
        <v>979</v>
      </c>
      <c r="I143" s="64" t="s">
        <v>575</v>
      </c>
      <c r="J143" s="64" t="s">
        <v>24</v>
      </c>
      <c r="K143" s="64" t="s">
        <v>37</v>
      </c>
      <c r="L143" s="64" t="s">
        <v>31</v>
      </c>
      <c r="M143" s="64" t="s">
        <v>28</v>
      </c>
      <c r="N143" s="64" t="s">
        <v>576</v>
      </c>
      <c r="O143" s="65">
        <v>1</v>
      </c>
      <c r="P143" s="65">
        <v>0</v>
      </c>
      <c r="Q143" s="65">
        <v>0</v>
      </c>
      <c r="R143" s="65">
        <v>1</v>
      </c>
      <c r="S143" s="65">
        <v>100</v>
      </c>
      <c r="T143" s="65">
        <v>0</v>
      </c>
      <c r="U143" s="65">
        <v>0</v>
      </c>
      <c r="V143" s="65">
        <v>100</v>
      </c>
      <c r="W143" s="65">
        <v>100</v>
      </c>
      <c r="X143" s="65">
        <v>0</v>
      </c>
      <c r="Y143" s="65">
        <v>0</v>
      </c>
      <c r="Z143" s="65">
        <v>30</v>
      </c>
      <c r="AA143" s="65">
        <v>0</v>
      </c>
      <c r="AB143" s="65">
        <v>0</v>
      </c>
      <c r="AC143" s="65">
        <v>70</v>
      </c>
      <c r="AD143" s="64" t="s">
        <v>577</v>
      </c>
    </row>
    <row r="144" spans="1:30">
      <c r="A144" s="64" t="s">
        <v>568</v>
      </c>
      <c r="B144" s="64" t="s">
        <v>569</v>
      </c>
      <c r="C144" s="64" t="s">
        <v>570</v>
      </c>
      <c r="D144" s="64" t="s">
        <v>571</v>
      </c>
      <c r="E144" s="64" t="s">
        <v>29</v>
      </c>
      <c r="F144" s="64" t="s">
        <v>980</v>
      </c>
      <c r="G144" s="64" t="s">
        <v>425</v>
      </c>
      <c r="H144" s="64" t="s">
        <v>981</v>
      </c>
      <c r="I144" s="64" t="s">
        <v>575</v>
      </c>
      <c r="J144" s="64" t="s">
        <v>24</v>
      </c>
      <c r="K144" s="64" t="s">
        <v>37</v>
      </c>
      <c r="L144" s="64" t="s">
        <v>31</v>
      </c>
      <c r="M144" s="64" t="s">
        <v>28</v>
      </c>
      <c r="N144" s="64" t="s">
        <v>576</v>
      </c>
      <c r="O144" s="65">
        <v>1</v>
      </c>
      <c r="P144" s="65">
        <v>0</v>
      </c>
      <c r="Q144" s="65">
        <v>0</v>
      </c>
      <c r="R144" s="65">
        <v>1</v>
      </c>
      <c r="S144" s="65">
        <v>100</v>
      </c>
      <c r="T144" s="65">
        <v>0</v>
      </c>
      <c r="U144" s="65">
        <v>0</v>
      </c>
      <c r="V144" s="65">
        <v>100</v>
      </c>
      <c r="W144" s="65">
        <v>100</v>
      </c>
      <c r="X144" s="65">
        <v>0</v>
      </c>
      <c r="Y144" s="65">
        <v>0</v>
      </c>
      <c r="Z144" s="65">
        <v>30</v>
      </c>
      <c r="AA144" s="65">
        <v>0</v>
      </c>
      <c r="AB144" s="65">
        <v>0</v>
      </c>
      <c r="AC144" s="65">
        <v>70</v>
      </c>
      <c r="AD144" s="64" t="s">
        <v>577</v>
      </c>
    </row>
    <row r="145" spans="1:30">
      <c r="A145" s="64" t="s">
        <v>568</v>
      </c>
      <c r="B145" s="64" t="s">
        <v>569</v>
      </c>
      <c r="C145" s="64" t="s">
        <v>570</v>
      </c>
      <c r="D145" s="64" t="s">
        <v>571</v>
      </c>
      <c r="E145" s="64" t="s">
        <v>29</v>
      </c>
      <c r="F145" s="64" t="s">
        <v>982</v>
      </c>
      <c r="G145" s="64" t="s">
        <v>427</v>
      </c>
      <c r="H145" s="64" t="s">
        <v>983</v>
      </c>
      <c r="I145" s="64" t="s">
        <v>575</v>
      </c>
      <c r="J145" s="64" t="s">
        <v>24</v>
      </c>
      <c r="K145" s="64" t="s">
        <v>37</v>
      </c>
      <c r="L145" s="64" t="s">
        <v>31</v>
      </c>
      <c r="M145" s="64" t="s">
        <v>28</v>
      </c>
      <c r="N145" s="64" t="s">
        <v>576</v>
      </c>
      <c r="O145" s="65">
        <v>1</v>
      </c>
      <c r="P145" s="65">
        <v>0</v>
      </c>
      <c r="Q145" s="65">
        <v>0</v>
      </c>
      <c r="R145" s="65">
        <v>1</v>
      </c>
      <c r="S145" s="65">
        <v>100</v>
      </c>
      <c r="T145" s="65">
        <v>0</v>
      </c>
      <c r="U145" s="65">
        <v>0</v>
      </c>
      <c r="V145" s="65">
        <v>100</v>
      </c>
      <c r="W145" s="65">
        <v>100</v>
      </c>
      <c r="X145" s="65">
        <v>0</v>
      </c>
      <c r="Y145" s="65">
        <v>0</v>
      </c>
      <c r="Z145" s="65">
        <v>30</v>
      </c>
      <c r="AA145" s="65">
        <v>0</v>
      </c>
      <c r="AB145" s="65">
        <v>0</v>
      </c>
      <c r="AC145" s="65">
        <v>70</v>
      </c>
      <c r="AD145" s="64" t="s">
        <v>577</v>
      </c>
    </row>
    <row r="146" spans="1:30">
      <c r="A146" s="64" t="s">
        <v>568</v>
      </c>
      <c r="B146" s="64" t="s">
        <v>569</v>
      </c>
      <c r="C146" s="64" t="s">
        <v>570</v>
      </c>
      <c r="D146" s="64" t="s">
        <v>571</v>
      </c>
      <c r="E146" s="64" t="s">
        <v>29</v>
      </c>
      <c r="F146" s="64" t="s">
        <v>984</v>
      </c>
      <c r="G146" s="64" t="s">
        <v>429</v>
      </c>
      <c r="H146" s="64" t="s">
        <v>985</v>
      </c>
      <c r="I146" s="64" t="s">
        <v>575</v>
      </c>
      <c r="J146" s="64" t="s">
        <v>24</v>
      </c>
      <c r="K146" s="64" t="s">
        <v>37</v>
      </c>
      <c r="L146" s="64" t="s">
        <v>31</v>
      </c>
      <c r="M146" s="64" t="s">
        <v>28</v>
      </c>
      <c r="N146" s="64" t="s">
        <v>576</v>
      </c>
      <c r="O146" s="65">
        <v>1</v>
      </c>
      <c r="P146" s="65">
        <v>0</v>
      </c>
      <c r="Q146" s="65">
        <v>0</v>
      </c>
      <c r="R146" s="65">
        <v>1</v>
      </c>
      <c r="S146" s="65">
        <v>100</v>
      </c>
      <c r="T146" s="65">
        <v>0</v>
      </c>
      <c r="U146" s="65">
        <v>0</v>
      </c>
      <c r="V146" s="65">
        <v>100</v>
      </c>
      <c r="W146" s="65">
        <v>100</v>
      </c>
      <c r="X146" s="65">
        <v>0</v>
      </c>
      <c r="Y146" s="65">
        <v>0</v>
      </c>
      <c r="Z146" s="65">
        <v>30</v>
      </c>
      <c r="AA146" s="65">
        <v>0</v>
      </c>
      <c r="AB146" s="65">
        <v>0</v>
      </c>
      <c r="AC146" s="65">
        <v>70</v>
      </c>
      <c r="AD146" s="64" t="s">
        <v>577</v>
      </c>
    </row>
    <row r="147" spans="1:30">
      <c r="A147" s="64" t="s">
        <v>568</v>
      </c>
      <c r="B147" s="64" t="s">
        <v>569</v>
      </c>
      <c r="C147" s="64" t="s">
        <v>570</v>
      </c>
      <c r="D147" s="64" t="s">
        <v>571</v>
      </c>
      <c r="E147" s="64" t="s">
        <v>29</v>
      </c>
      <c r="F147" s="64" t="s">
        <v>986</v>
      </c>
      <c r="G147" s="64" t="s">
        <v>431</v>
      </c>
      <c r="H147" s="64" t="s">
        <v>987</v>
      </c>
      <c r="I147" s="64" t="s">
        <v>575</v>
      </c>
      <c r="J147" s="64" t="s">
        <v>24</v>
      </c>
      <c r="K147" s="64" t="s">
        <v>37</v>
      </c>
      <c r="L147" s="64" t="s">
        <v>31</v>
      </c>
      <c r="M147" s="64" t="s">
        <v>28</v>
      </c>
      <c r="N147" s="64" t="s">
        <v>576</v>
      </c>
      <c r="O147" s="65">
        <v>1</v>
      </c>
      <c r="P147" s="65">
        <v>0</v>
      </c>
      <c r="Q147" s="65">
        <v>0</v>
      </c>
      <c r="R147" s="65">
        <v>1</v>
      </c>
      <c r="S147" s="65">
        <v>100</v>
      </c>
      <c r="T147" s="65">
        <v>0</v>
      </c>
      <c r="U147" s="65">
        <v>0</v>
      </c>
      <c r="V147" s="65">
        <v>100</v>
      </c>
      <c r="W147" s="65">
        <v>100</v>
      </c>
      <c r="X147" s="65">
        <v>0</v>
      </c>
      <c r="Y147" s="65">
        <v>0</v>
      </c>
      <c r="Z147" s="65">
        <v>30</v>
      </c>
      <c r="AA147" s="65">
        <v>0</v>
      </c>
      <c r="AB147" s="65">
        <v>0</v>
      </c>
      <c r="AC147" s="65">
        <v>70</v>
      </c>
      <c r="AD147" s="64" t="s">
        <v>577</v>
      </c>
    </row>
    <row r="148" spans="1:30">
      <c r="A148" s="64" t="s">
        <v>568</v>
      </c>
      <c r="B148" s="64" t="s">
        <v>569</v>
      </c>
      <c r="C148" s="64" t="s">
        <v>570</v>
      </c>
      <c r="D148" s="64" t="s">
        <v>571</v>
      </c>
      <c r="E148" s="64" t="s">
        <v>29</v>
      </c>
      <c r="F148" s="64" t="s">
        <v>988</v>
      </c>
      <c r="G148" s="64" t="s">
        <v>433</v>
      </c>
      <c r="H148" s="64" t="s">
        <v>989</v>
      </c>
      <c r="I148" s="64" t="s">
        <v>575</v>
      </c>
      <c r="J148" s="64" t="s">
        <v>24</v>
      </c>
      <c r="K148" s="64" t="s">
        <v>37</v>
      </c>
      <c r="L148" s="64" t="s">
        <v>31</v>
      </c>
      <c r="M148" s="64" t="s">
        <v>28</v>
      </c>
      <c r="N148" s="64" t="s">
        <v>576</v>
      </c>
      <c r="O148" s="65">
        <v>1</v>
      </c>
      <c r="P148" s="65">
        <v>0</v>
      </c>
      <c r="Q148" s="65">
        <v>0</v>
      </c>
      <c r="R148" s="65">
        <v>1</v>
      </c>
      <c r="S148" s="65">
        <v>100</v>
      </c>
      <c r="T148" s="65">
        <v>0</v>
      </c>
      <c r="U148" s="65">
        <v>0</v>
      </c>
      <c r="V148" s="65">
        <v>100</v>
      </c>
      <c r="W148" s="65">
        <v>100</v>
      </c>
      <c r="X148" s="65">
        <v>0</v>
      </c>
      <c r="Y148" s="65">
        <v>0</v>
      </c>
      <c r="Z148" s="65">
        <v>30</v>
      </c>
      <c r="AA148" s="65">
        <v>0</v>
      </c>
      <c r="AB148" s="65">
        <v>0</v>
      </c>
      <c r="AC148" s="65">
        <v>70</v>
      </c>
      <c r="AD148" s="64" t="s">
        <v>577</v>
      </c>
    </row>
    <row r="149" spans="1:30">
      <c r="A149" s="64" t="s">
        <v>568</v>
      </c>
      <c r="B149" s="64" t="s">
        <v>569</v>
      </c>
      <c r="C149" s="64" t="s">
        <v>570</v>
      </c>
      <c r="D149" s="64" t="s">
        <v>571</v>
      </c>
      <c r="E149" s="64" t="s">
        <v>29</v>
      </c>
      <c r="F149" s="64" t="s">
        <v>990</v>
      </c>
      <c r="G149" s="64" t="s">
        <v>435</v>
      </c>
      <c r="H149" s="64" t="s">
        <v>991</v>
      </c>
      <c r="I149" s="64" t="s">
        <v>575</v>
      </c>
      <c r="J149" s="64" t="s">
        <v>24</v>
      </c>
      <c r="K149" s="64" t="s">
        <v>37</v>
      </c>
      <c r="L149" s="64" t="s">
        <v>31</v>
      </c>
      <c r="M149" s="64" t="s">
        <v>28</v>
      </c>
      <c r="N149" s="64" t="s">
        <v>576</v>
      </c>
      <c r="O149" s="65">
        <v>1</v>
      </c>
      <c r="P149" s="65">
        <v>0</v>
      </c>
      <c r="Q149" s="65">
        <v>0</v>
      </c>
      <c r="R149" s="65">
        <v>1</v>
      </c>
      <c r="S149" s="65">
        <v>100</v>
      </c>
      <c r="T149" s="65">
        <v>0</v>
      </c>
      <c r="U149" s="65">
        <v>0</v>
      </c>
      <c r="V149" s="65">
        <v>100</v>
      </c>
      <c r="W149" s="65">
        <v>100</v>
      </c>
      <c r="X149" s="65">
        <v>0</v>
      </c>
      <c r="Y149" s="65">
        <v>0</v>
      </c>
      <c r="Z149" s="65">
        <v>30</v>
      </c>
      <c r="AA149" s="65">
        <v>0</v>
      </c>
      <c r="AB149" s="65">
        <v>0</v>
      </c>
      <c r="AC149" s="65">
        <v>70</v>
      </c>
      <c r="AD149" s="64" t="s">
        <v>577</v>
      </c>
    </row>
    <row r="150" spans="1:30">
      <c r="A150" s="64" t="s">
        <v>568</v>
      </c>
      <c r="B150" s="64" t="s">
        <v>569</v>
      </c>
      <c r="C150" s="64" t="s">
        <v>570</v>
      </c>
      <c r="D150" s="64" t="s">
        <v>571</v>
      </c>
      <c r="E150" s="64" t="s">
        <v>29</v>
      </c>
      <c r="F150" s="64" t="s">
        <v>992</v>
      </c>
      <c r="G150" s="64" t="s">
        <v>437</v>
      </c>
      <c r="H150" s="64" t="s">
        <v>993</v>
      </c>
      <c r="I150" s="64" t="s">
        <v>575</v>
      </c>
      <c r="J150" s="64" t="s">
        <v>24</v>
      </c>
      <c r="K150" s="64" t="s">
        <v>37</v>
      </c>
      <c r="L150" s="64" t="s">
        <v>31</v>
      </c>
      <c r="M150" s="64" t="s">
        <v>28</v>
      </c>
      <c r="N150" s="64" t="s">
        <v>576</v>
      </c>
      <c r="O150" s="65">
        <v>1</v>
      </c>
      <c r="P150" s="65">
        <v>0</v>
      </c>
      <c r="Q150" s="65">
        <v>0</v>
      </c>
      <c r="R150" s="65">
        <v>1</v>
      </c>
      <c r="S150" s="65">
        <v>100</v>
      </c>
      <c r="T150" s="65">
        <v>0</v>
      </c>
      <c r="U150" s="65">
        <v>0</v>
      </c>
      <c r="V150" s="65">
        <v>100</v>
      </c>
      <c r="W150" s="65">
        <v>100</v>
      </c>
      <c r="X150" s="65">
        <v>0</v>
      </c>
      <c r="Y150" s="65">
        <v>0</v>
      </c>
      <c r="Z150" s="65">
        <v>30</v>
      </c>
      <c r="AA150" s="65">
        <v>0</v>
      </c>
      <c r="AB150" s="65">
        <v>0</v>
      </c>
      <c r="AC150" s="65">
        <v>70</v>
      </c>
      <c r="AD150" s="64" t="s">
        <v>577</v>
      </c>
    </row>
    <row r="151" spans="1:30">
      <c r="A151" s="64" t="s">
        <v>568</v>
      </c>
      <c r="B151" s="64" t="s">
        <v>569</v>
      </c>
      <c r="C151" s="64" t="s">
        <v>570</v>
      </c>
      <c r="D151" s="64" t="s">
        <v>571</v>
      </c>
      <c r="E151" s="64" t="s">
        <v>29</v>
      </c>
      <c r="F151" s="64" t="s">
        <v>994</v>
      </c>
      <c r="G151" s="64" t="s">
        <v>73</v>
      </c>
      <c r="H151" s="64" t="s">
        <v>995</v>
      </c>
      <c r="I151" s="64" t="s">
        <v>575</v>
      </c>
      <c r="J151" s="64" t="s">
        <v>24</v>
      </c>
      <c r="K151" s="64" t="s">
        <v>37</v>
      </c>
      <c r="L151" s="64" t="s">
        <v>31</v>
      </c>
      <c r="M151" s="64" t="s">
        <v>28</v>
      </c>
      <c r="N151" s="64" t="s">
        <v>576</v>
      </c>
      <c r="O151" s="65">
        <v>1</v>
      </c>
      <c r="P151" s="65">
        <v>0</v>
      </c>
      <c r="Q151" s="65">
        <v>0</v>
      </c>
      <c r="R151" s="65">
        <v>1</v>
      </c>
      <c r="S151" s="65">
        <v>100</v>
      </c>
      <c r="T151" s="65">
        <v>0</v>
      </c>
      <c r="U151" s="65">
        <v>0</v>
      </c>
      <c r="V151" s="65">
        <v>100</v>
      </c>
      <c r="W151" s="65">
        <v>100</v>
      </c>
      <c r="X151" s="65">
        <v>0</v>
      </c>
      <c r="Y151" s="65">
        <v>0</v>
      </c>
      <c r="Z151" s="65">
        <v>30</v>
      </c>
      <c r="AA151" s="65">
        <v>0</v>
      </c>
      <c r="AB151" s="65">
        <v>0</v>
      </c>
      <c r="AC151" s="65">
        <v>70</v>
      </c>
      <c r="AD151" s="64" t="s">
        <v>577</v>
      </c>
    </row>
    <row r="152" spans="1:30">
      <c r="A152" s="64" t="s">
        <v>568</v>
      </c>
      <c r="B152" s="64" t="s">
        <v>569</v>
      </c>
      <c r="C152" s="64" t="s">
        <v>570</v>
      </c>
      <c r="D152" s="64" t="s">
        <v>571</v>
      </c>
      <c r="E152" s="64" t="s">
        <v>29</v>
      </c>
      <c r="F152" s="64" t="s">
        <v>996</v>
      </c>
      <c r="G152" s="64" t="s">
        <v>440</v>
      </c>
      <c r="H152" s="64" t="s">
        <v>997</v>
      </c>
      <c r="I152" s="64" t="s">
        <v>575</v>
      </c>
      <c r="J152" s="64" t="s">
        <v>24</v>
      </c>
      <c r="K152" s="64" t="s">
        <v>37</v>
      </c>
      <c r="L152" s="64" t="s">
        <v>31</v>
      </c>
      <c r="M152" s="64" t="s">
        <v>28</v>
      </c>
      <c r="N152" s="64" t="s">
        <v>576</v>
      </c>
      <c r="O152" s="65">
        <v>1</v>
      </c>
      <c r="P152" s="65">
        <v>0</v>
      </c>
      <c r="Q152" s="65">
        <v>0</v>
      </c>
      <c r="R152" s="65">
        <v>1</v>
      </c>
      <c r="S152" s="65">
        <v>100</v>
      </c>
      <c r="T152" s="65">
        <v>0</v>
      </c>
      <c r="U152" s="65">
        <v>0</v>
      </c>
      <c r="V152" s="65">
        <v>100</v>
      </c>
      <c r="W152" s="65">
        <v>100</v>
      </c>
      <c r="X152" s="65">
        <v>0</v>
      </c>
      <c r="Y152" s="65">
        <v>0</v>
      </c>
      <c r="Z152" s="65">
        <v>30</v>
      </c>
      <c r="AA152" s="65">
        <v>0</v>
      </c>
      <c r="AB152" s="65">
        <v>0</v>
      </c>
      <c r="AC152" s="65">
        <v>70</v>
      </c>
      <c r="AD152" s="64" t="s">
        <v>577</v>
      </c>
    </row>
    <row r="153" spans="1:30">
      <c r="A153" s="64" t="s">
        <v>568</v>
      </c>
      <c r="B153" s="64" t="s">
        <v>569</v>
      </c>
      <c r="C153" s="64" t="s">
        <v>570</v>
      </c>
      <c r="D153" s="64" t="s">
        <v>571</v>
      </c>
      <c r="E153" s="64" t="s">
        <v>29</v>
      </c>
      <c r="F153" s="64" t="s">
        <v>998</v>
      </c>
      <c r="G153" s="64" t="s">
        <v>442</v>
      </c>
      <c r="H153" s="64" t="s">
        <v>999</v>
      </c>
      <c r="I153" s="64" t="s">
        <v>575</v>
      </c>
      <c r="J153" s="64" t="s">
        <v>24</v>
      </c>
      <c r="K153" s="64" t="s">
        <v>37</v>
      </c>
      <c r="L153" s="64" t="s">
        <v>31</v>
      </c>
      <c r="M153" s="64" t="s">
        <v>28</v>
      </c>
      <c r="N153" s="64" t="s">
        <v>576</v>
      </c>
      <c r="O153" s="65">
        <v>1</v>
      </c>
      <c r="P153" s="65">
        <v>0</v>
      </c>
      <c r="Q153" s="65">
        <v>0</v>
      </c>
      <c r="R153" s="65">
        <v>1</v>
      </c>
      <c r="S153" s="65">
        <v>100</v>
      </c>
      <c r="T153" s="65">
        <v>0</v>
      </c>
      <c r="U153" s="65">
        <v>0</v>
      </c>
      <c r="V153" s="65">
        <v>100</v>
      </c>
      <c r="W153" s="65">
        <v>100</v>
      </c>
      <c r="X153" s="65">
        <v>0</v>
      </c>
      <c r="Y153" s="65">
        <v>0</v>
      </c>
      <c r="Z153" s="65">
        <v>30</v>
      </c>
      <c r="AA153" s="65">
        <v>0</v>
      </c>
      <c r="AB153" s="65">
        <v>0</v>
      </c>
      <c r="AC153" s="65">
        <v>70</v>
      </c>
      <c r="AD153" s="64" t="s">
        <v>577</v>
      </c>
    </row>
    <row r="154" spans="1:30">
      <c r="A154" s="64" t="s">
        <v>568</v>
      </c>
      <c r="B154" s="64" t="s">
        <v>569</v>
      </c>
      <c r="C154" s="64" t="s">
        <v>570</v>
      </c>
      <c r="D154" s="64" t="s">
        <v>571</v>
      </c>
      <c r="E154" s="64" t="s">
        <v>29</v>
      </c>
      <c r="F154" s="64" t="s">
        <v>1000</v>
      </c>
      <c r="G154" s="64" t="s">
        <v>444</v>
      </c>
      <c r="H154" s="64" t="s">
        <v>1001</v>
      </c>
      <c r="I154" s="64" t="s">
        <v>575</v>
      </c>
      <c r="J154" s="64" t="s">
        <v>24</v>
      </c>
      <c r="K154" s="64" t="s">
        <v>37</v>
      </c>
      <c r="L154" s="64" t="s">
        <v>31</v>
      </c>
      <c r="M154" s="64" t="s">
        <v>28</v>
      </c>
      <c r="N154" s="64" t="s">
        <v>576</v>
      </c>
      <c r="O154" s="65">
        <v>1</v>
      </c>
      <c r="P154" s="65">
        <v>0</v>
      </c>
      <c r="Q154" s="65">
        <v>0</v>
      </c>
      <c r="R154" s="65">
        <v>1</v>
      </c>
      <c r="S154" s="65">
        <v>100</v>
      </c>
      <c r="T154" s="65">
        <v>0</v>
      </c>
      <c r="U154" s="65">
        <v>0</v>
      </c>
      <c r="V154" s="65">
        <v>100</v>
      </c>
      <c r="W154" s="65">
        <v>100</v>
      </c>
      <c r="X154" s="65">
        <v>0</v>
      </c>
      <c r="Y154" s="65">
        <v>0</v>
      </c>
      <c r="Z154" s="65">
        <v>30</v>
      </c>
      <c r="AA154" s="65">
        <v>0</v>
      </c>
      <c r="AB154" s="65">
        <v>0</v>
      </c>
      <c r="AC154" s="65">
        <v>70</v>
      </c>
      <c r="AD154" s="64" t="s">
        <v>577</v>
      </c>
    </row>
    <row r="155" spans="1:30">
      <c r="A155" s="64" t="s">
        <v>568</v>
      </c>
      <c r="B155" s="64" t="s">
        <v>569</v>
      </c>
      <c r="C155" s="64" t="s">
        <v>570</v>
      </c>
      <c r="D155" s="64" t="s">
        <v>571</v>
      </c>
      <c r="E155" s="64" t="s">
        <v>29</v>
      </c>
      <c r="F155" s="64" t="s">
        <v>1002</v>
      </c>
      <c r="G155" s="64" t="s">
        <v>446</v>
      </c>
      <c r="H155" s="64" t="s">
        <v>1003</v>
      </c>
      <c r="I155" s="64" t="s">
        <v>575</v>
      </c>
      <c r="J155" s="64" t="s">
        <v>24</v>
      </c>
      <c r="K155" s="64" t="s">
        <v>37</v>
      </c>
      <c r="L155" s="64" t="s">
        <v>31</v>
      </c>
      <c r="M155" s="64" t="s">
        <v>28</v>
      </c>
      <c r="N155" s="64" t="s">
        <v>576</v>
      </c>
      <c r="O155" s="65">
        <v>1</v>
      </c>
      <c r="P155" s="65">
        <v>0</v>
      </c>
      <c r="Q155" s="65">
        <v>0</v>
      </c>
      <c r="R155" s="65">
        <v>1</v>
      </c>
      <c r="S155" s="65">
        <v>100</v>
      </c>
      <c r="T155" s="65">
        <v>0</v>
      </c>
      <c r="U155" s="65">
        <v>0</v>
      </c>
      <c r="V155" s="65">
        <v>100</v>
      </c>
      <c r="W155" s="65">
        <v>100</v>
      </c>
      <c r="X155" s="65">
        <v>0</v>
      </c>
      <c r="Y155" s="65">
        <v>0</v>
      </c>
      <c r="Z155" s="65">
        <v>30</v>
      </c>
      <c r="AA155" s="65">
        <v>0</v>
      </c>
      <c r="AB155" s="65">
        <v>0</v>
      </c>
      <c r="AC155" s="65">
        <v>70</v>
      </c>
      <c r="AD155" s="64" t="s">
        <v>577</v>
      </c>
    </row>
    <row r="156" spans="1:30">
      <c r="A156" s="64" t="s">
        <v>568</v>
      </c>
      <c r="B156" s="64" t="s">
        <v>569</v>
      </c>
      <c r="C156" s="64" t="s">
        <v>570</v>
      </c>
      <c r="D156" s="64" t="s">
        <v>571</v>
      </c>
      <c r="E156" s="64" t="s">
        <v>29</v>
      </c>
      <c r="F156" s="64" t="s">
        <v>1004</v>
      </c>
      <c r="G156" s="64" t="s">
        <v>448</v>
      </c>
      <c r="H156" s="64" t="s">
        <v>1005</v>
      </c>
      <c r="I156" s="64" t="s">
        <v>575</v>
      </c>
      <c r="J156" s="64" t="s">
        <v>24</v>
      </c>
      <c r="K156" s="64" t="s">
        <v>37</v>
      </c>
      <c r="L156" s="64" t="s">
        <v>31</v>
      </c>
      <c r="M156" s="64" t="s">
        <v>28</v>
      </c>
      <c r="N156" s="64" t="s">
        <v>576</v>
      </c>
      <c r="O156" s="65">
        <v>1</v>
      </c>
      <c r="P156" s="65">
        <v>0</v>
      </c>
      <c r="Q156" s="65">
        <v>0</v>
      </c>
      <c r="R156" s="65">
        <v>1</v>
      </c>
      <c r="S156" s="65">
        <v>100</v>
      </c>
      <c r="T156" s="65">
        <v>0</v>
      </c>
      <c r="U156" s="65">
        <v>0</v>
      </c>
      <c r="V156" s="65">
        <v>100</v>
      </c>
      <c r="W156" s="65">
        <v>100</v>
      </c>
      <c r="X156" s="65">
        <v>0</v>
      </c>
      <c r="Y156" s="65">
        <v>0</v>
      </c>
      <c r="Z156" s="65">
        <v>30</v>
      </c>
      <c r="AA156" s="65">
        <v>0</v>
      </c>
      <c r="AB156" s="65">
        <v>0</v>
      </c>
      <c r="AC156" s="65">
        <v>70</v>
      </c>
      <c r="AD156" s="64" t="s">
        <v>577</v>
      </c>
    </row>
    <row r="157" spans="1:30">
      <c r="A157" s="64" t="s">
        <v>568</v>
      </c>
      <c r="B157" s="64" t="s">
        <v>569</v>
      </c>
      <c r="C157" s="64" t="s">
        <v>570</v>
      </c>
      <c r="D157" s="64" t="s">
        <v>571</v>
      </c>
      <c r="E157" s="64" t="s">
        <v>29</v>
      </c>
      <c r="F157" s="64" t="s">
        <v>1006</v>
      </c>
      <c r="G157" s="64" t="s">
        <v>450</v>
      </c>
      <c r="H157" s="64" t="s">
        <v>1007</v>
      </c>
      <c r="I157" s="64" t="s">
        <v>575</v>
      </c>
      <c r="J157" s="64" t="s">
        <v>24</v>
      </c>
      <c r="K157" s="64" t="s">
        <v>37</v>
      </c>
      <c r="L157" s="64" t="s">
        <v>31</v>
      </c>
      <c r="M157" s="64" t="s">
        <v>28</v>
      </c>
      <c r="N157" s="64" t="s">
        <v>576</v>
      </c>
      <c r="O157" s="65">
        <v>1</v>
      </c>
      <c r="P157" s="65">
        <v>0</v>
      </c>
      <c r="Q157" s="65">
        <v>0</v>
      </c>
      <c r="R157" s="65">
        <v>1</v>
      </c>
      <c r="S157" s="65">
        <v>100</v>
      </c>
      <c r="T157" s="65">
        <v>0</v>
      </c>
      <c r="U157" s="65">
        <v>0</v>
      </c>
      <c r="V157" s="65">
        <v>100</v>
      </c>
      <c r="W157" s="65">
        <v>100</v>
      </c>
      <c r="X157" s="65">
        <v>0</v>
      </c>
      <c r="Y157" s="65">
        <v>0</v>
      </c>
      <c r="Z157" s="65">
        <v>30</v>
      </c>
      <c r="AA157" s="65">
        <v>0</v>
      </c>
      <c r="AB157" s="65">
        <v>0</v>
      </c>
      <c r="AC157" s="65">
        <v>70</v>
      </c>
      <c r="AD157" s="64" t="s">
        <v>577</v>
      </c>
    </row>
    <row r="158" spans="1:30">
      <c r="A158" s="64" t="s">
        <v>568</v>
      </c>
      <c r="B158" s="64" t="s">
        <v>569</v>
      </c>
      <c r="C158" s="64" t="s">
        <v>570</v>
      </c>
      <c r="D158" s="64" t="s">
        <v>571</v>
      </c>
      <c r="E158" s="64" t="s">
        <v>29</v>
      </c>
      <c r="F158" s="64" t="s">
        <v>1008</v>
      </c>
      <c r="G158" s="64" t="s">
        <v>452</v>
      </c>
      <c r="H158" s="64" t="s">
        <v>1009</v>
      </c>
      <c r="I158" s="64" t="s">
        <v>575</v>
      </c>
      <c r="J158" s="64" t="s">
        <v>24</v>
      </c>
      <c r="K158" s="64" t="s">
        <v>37</v>
      </c>
      <c r="L158" s="64" t="s">
        <v>31</v>
      </c>
      <c r="M158" s="64" t="s">
        <v>28</v>
      </c>
      <c r="N158" s="64" t="s">
        <v>576</v>
      </c>
      <c r="O158" s="65">
        <v>1</v>
      </c>
      <c r="P158" s="65">
        <v>0</v>
      </c>
      <c r="Q158" s="65">
        <v>0</v>
      </c>
      <c r="R158" s="65">
        <v>1</v>
      </c>
      <c r="S158" s="65">
        <v>100</v>
      </c>
      <c r="T158" s="65">
        <v>0</v>
      </c>
      <c r="U158" s="65">
        <v>0</v>
      </c>
      <c r="V158" s="65">
        <v>100</v>
      </c>
      <c r="W158" s="65">
        <v>100</v>
      </c>
      <c r="X158" s="65">
        <v>0</v>
      </c>
      <c r="Y158" s="65">
        <v>0</v>
      </c>
      <c r="Z158" s="65">
        <v>30</v>
      </c>
      <c r="AA158" s="65">
        <v>0</v>
      </c>
      <c r="AB158" s="65">
        <v>0</v>
      </c>
      <c r="AC158" s="65">
        <v>70</v>
      </c>
      <c r="AD158" s="64" t="s">
        <v>577</v>
      </c>
    </row>
    <row r="159" spans="1:30">
      <c r="A159" s="64" t="s">
        <v>568</v>
      </c>
      <c r="B159" s="64" t="s">
        <v>569</v>
      </c>
      <c r="C159" s="64" t="s">
        <v>570</v>
      </c>
      <c r="D159" s="64" t="s">
        <v>571</v>
      </c>
      <c r="E159" s="64" t="s">
        <v>29</v>
      </c>
      <c r="F159" s="64" t="s">
        <v>1010</v>
      </c>
      <c r="G159" s="64" t="s">
        <v>454</v>
      </c>
      <c r="H159" s="64" t="s">
        <v>1011</v>
      </c>
      <c r="I159" s="64" t="s">
        <v>575</v>
      </c>
      <c r="J159" s="64" t="s">
        <v>24</v>
      </c>
      <c r="K159" s="64" t="s">
        <v>37</v>
      </c>
      <c r="L159" s="64" t="s">
        <v>31</v>
      </c>
      <c r="M159" s="64" t="s">
        <v>28</v>
      </c>
      <c r="N159" s="64" t="s">
        <v>576</v>
      </c>
      <c r="O159" s="65">
        <v>1</v>
      </c>
      <c r="P159" s="65">
        <v>0</v>
      </c>
      <c r="Q159" s="65">
        <v>0</v>
      </c>
      <c r="R159" s="65">
        <v>1</v>
      </c>
      <c r="S159" s="65">
        <v>100</v>
      </c>
      <c r="T159" s="65">
        <v>0</v>
      </c>
      <c r="U159" s="65">
        <v>0</v>
      </c>
      <c r="V159" s="65">
        <v>100</v>
      </c>
      <c r="W159" s="65">
        <v>100</v>
      </c>
      <c r="X159" s="65">
        <v>0</v>
      </c>
      <c r="Y159" s="65">
        <v>0</v>
      </c>
      <c r="Z159" s="65">
        <v>30</v>
      </c>
      <c r="AA159" s="65">
        <v>0</v>
      </c>
      <c r="AB159" s="65">
        <v>0</v>
      </c>
      <c r="AC159" s="65">
        <v>70</v>
      </c>
      <c r="AD159" s="64" t="s">
        <v>577</v>
      </c>
    </row>
    <row r="160" spans="1:30">
      <c r="A160" s="64" t="s">
        <v>568</v>
      </c>
      <c r="B160" s="64" t="s">
        <v>569</v>
      </c>
      <c r="C160" s="64" t="s">
        <v>570</v>
      </c>
      <c r="D160" s="64" t="s">
        <v>571</v>
      </c>
      <c r="E160" s="64" t="s">
        <v>29</v>
      </c>
      <c r="F160" s="64" t="s">
        <v>1012</v>
      </c>
      <c r="G160" s="64" t="s">
        <v>456</v>
      </c>
      <c r="H160" s="64" t="s">
        <v>1013</v>
      </c>
      <c r="I160" s="64" t="s">
        <v>575</v>
      </c>
      <c r="J160" s="64" t="s">
        <v>24</v>
      </c>
      <c r="K160" s="64" t="s">
        <v>37</v>
      </c>
      <c r="L160" s="64" t="s">
        <v>31</v>
      </c>
      <c r="M160" s="64" t="s">
        <v>28</v>
      </c>
      <c r="N160" s="64" t="s">
        <v>576</v>
      </c>
      <c r="O160" s="65">
        <v>1</v>
      </c>
      <c r="P160" s="65">
        <v>0</v>
      </c>
      <c r="Q160" s="65">
        <v>0</v>
      </c>
      <c r="R160" s="65">
        <v>1</v>
      </c>
      <c r="S160" s="65">
        <v>100</v>
      </c>
      <c r="T160" s="65">
        <v>0</v>
      </c>
      <c r="U160" s="65">
        <v>0</v>
      </c>
      <c r="V160" s="65">
        <v>100</v>
      </c>
      <c r="W160" s="65">
        <v>100</v>
      </c>
      <c r="X160" s="65">
        <v>0</v>
      </c>
      <c r="Y160" s="65">
        <v>0</v>
      </c>
      <c r="Z160" s="65">
        <v>30</v>
      </c>
      <c r="AA160" s="65">
        <v>0</v>
      </c>
      <c r="AB160" s="65">
        <v>0</v>
      </c>
      <c r="AC160" s="65">
        <v>70</v>
      </c>
      <c r="AD160" s="64" t="s">
        <v>577</v>
      </c>
    </row>
    <row r="161" spans="1:30">
      <c r="A161" s="64" t="s">
        <v>568</v>
      </c>
      <c r="B161" s="64" t="s">
        <v>569</v>
      </c>
      <c r="C161" s="64" t="s">
        <v>570</v>
      </c>
      <c r="D161" s="64" t="s">
        <v>571</v>
      </c>
      <c r="E161" s="64" t="s">
        <v>29</v>
      </c>
      <c r="F161" s="64" t="s">
        <v>1014</v>
      </c>
      <c r="G161" s="64" t="s">
        <v>458</v>
      </c>
      <c r="H161" s="64" t="s">
        <v>1015</v>
      </c>
      <c r="I161" s="64" t="s">
        <v>575</v>
      </c>
      <c r="J161" s="64" t="s">
        <v>24</v>
      </c>
      <c r="K161" s="64" t="s">
        <v>37</v>
      </c>
      <c r="L161" s="64" t="s">
        <v>31</v>
      </c>
      <c r="M161" s="64" t="s">
        <v>28</v>
      </c>
      <c r="N161" s="64" t="s">
        <v>576</v>
      </c>
      <c r="O161" s="65">
        <v>1</v>
      </c>
      <c r="P161" s="65">
        <v>0</v>
      </c>
      <c r="Q161" s="65">
        <v>0</v>
      </c>
      <c r="R161" s="65">
        <v>1</v>
      </c>
      <c r="S161" s="65">
        <v>100</v>
      </c>
      <c r="T161" s="65">
        <v>0</v>
      </c>
      <c r="U161" s="65">
        <v>0</v>
      </c>
      <c r="V161" s="65">
        <v>100</v>
      </c>
      <c r="W161" s="65">
        <v>100</v>
      </c>
      <c r="X161" s="65">
        <v>0</v>
      </c>
      <c r="Y161" s="65">
        <v>0</v>
      </c>
      <c r="Z161" s="65">
        <v>30</v>
      </c>
      <c r="AA161" s="65">
        <v>0</v>
      </c>
      <c r="AB161" s="65">
        <v>0</v>
      </c>
      <c r="AC161" s="65">
        <v>70</v>
      </c>
      <c r="AD161" s="64" t="s">
        <v>577</v>
      </c>
    </row>
    <row r="162" spans="1:30">
      <c r="A162" s="64" t="s">
        <v>568</v>
      </c>
      <c r="B162" s="64" t="s">
        <v>569</v>
      </c>
      <c r="C162" s="64" t="s">
        <v>570</v>
      </c>
      <c r="D162" s="64" t="s">
        <v>571</v>
      </c>
      <c r="E162" s="64" t="s">
        <v>29</v>
      </c>
      <c r="F162" s="64" t="s">
        <v>1016</v>
      </c>
      <c r="G162" s="64" t="s">
        <v>460</v>
      </c>
      <c r="H162" s="64" t="s">
        <v>1017</v>
      </c>
      <c r="I162" s="64" t="s">
        <v>575</v>
      </c>
      <c r="J162" s="64" t="s">
        <v>24</v>
      </c>
      <c r="K162" s="64" t="s">
        <v>37</v>
      </c>
      <c r="L162" s="64" t="s">
        <v>31</v>
      </c>
      <c r="M162" s="64" t="s">
        <v>28</v>
      </c>
      <c r="N162" s="64" t="s">
        <v>576</v>
      </c>
      <c r="O162" s="65">
        <v>1</v>
      </c>
      <c r="P162" s="65">
        <v>0</v>
      </c>
      <c r="Q162" s="65">
        <v>0</v>
      </c>
      <c r="R162" s="65">
        <v>1</v>
      </c>
      <c r="S162" s="65">
        <v>100</v>
      </c>
      <c r="T162" s="65">
        <v>0</v>
      </c>
      <c r="U162" s="65">
        <v>0</v>
      </c>
      <c r="V162" s="65">
        <v>100</v>
      </c>
      <c r="W162" s="65">
        <v>100</v>
      </c>
      <c r="X162" s="65">
        <v>0</v>
      </c>
      <c r="Y162" s="65">
        <v>0</v>
      </c>
      <c r="Z162" s="65">
        <v>30</v>
      </c>
      <c r="AA162" s="65">
        <v>0</v>
      </c>
      <c r="AB162" s="65">
        <v>0</v>
      </c>
      <c r="AC162" s="65">
        <v>70</v>
      </c>
      <c r="AD162" s="64" t="s">
        <v>577</v>
      </c>
    </row>
    <row r="163" spans="1:30">
      <c r="A163" s="64" t="s">
        <v>568</v>
      </c>
      <c r="B163" s="64" t="s">
        <v>569</v>
      </c>
      <c r="C163" s="64" t="s">
        <v>570</v>
      </c>
      <c r="D163" s="64" t="s">
        <v>571</v>
      </c>
      <c r="E163" s="64" t="s">
        <v>29</v>
      </c>
      <c r="F163" s="64" t="s">
        <v>1018</v>
      </c>
      <c r="G163" s="64" t="s">
        <v>462</v>
      </c>
      <c r="H163" s="64" t="s">
        <v>1019</v>
      </c>
      <c r="I163" s="64" t="s">
        <v>575</v>
      </c>
      <c r="J163" s="64" t="s">
        <v>24</v>
      </c>
      <c r="K163" s="64" t="s">
        <v>37</v>
      </c>
      <c r="L163" s="64" t="s">
        <v>31</v>
      </c>
      <c r="M163" s="64" t="s">
        <v>28</v>
      </c>
      <c r="N163" s="64" t="s">
        <v>576</v>
      </c>
      <c r="O163" s="65">
        <v>1</v>
      </c>
      <c r="P163" s="65">
        <v>0</v>
      </c>
      <c r="Q163" s="65">
        <v>0</v>
      </c>
      <c r="R163" s="65">
        <v>1</v>
      </c>
      <c r="S163" s="65">
        <v>100</v>
      </c>
      <c r="T163" s="65">
        <v>0</v>
      </c>
      <c r="U163" s="65">
        <v>0</v>
      </c>
      <c r="V163" s="65">
        <v>100</v>
      </c>
      <c r="W163" s="65">
        <v>100</v>
      </c>
      <c r="X163" s="65">
        <v>0</v>
      </c>
      <c r="Y163" s="65">
        <v>0</v>
      </c>
      <c r="Z163" s="65">
        <v>30</v>
      </c>
      <c r="AA163" s="65">
        <v>0</v>
      </c>
      <c r="AB163" s="65">
        <v>0</v>
      </c>
      <c r="AC163" s="65">
        <v>70</v>
      </c>
      <c r="AD163" s="64" t="s">
        <v>577</v>
      </c>
    </row>
    <row r="164" spans="1:30">
      <c r="A164" s="64" t="s">
        <v>568</v>
      </c>
      <c r="B164" s="64" t="s">
        <v>569</v>
      </c>
      <c r="C164" s="64" t="s">
        <v>570</v>
      </c>
      <c r="D164" s="64" t="s">
        <v>571</v>
      </c>
      <c r="E164" s="64" t="s">
        <v>29</v>
      </c>
      <c r="F164" s="64" t="s">
        <v>1020</v>
      </c>
      <c r="G164" s="64" t="s">
        <v>1021</v>
      </c>
      <c r="H164" s="64" t="s">
        <v>1022</v>
      </c>
      <c r="I164" s="64" t="s">
        <v>575</v>
      </c>
      <c r="J164" s="64" t="s">
        <v>24</v>
      </c>
      <c r="K164" s="64" t="s">
        <v>37</v>
      </c>
      <c r="L164" s="64" t="s">
        <v>31</v>
      </c>
      <c r="M164" s="64" t="s">
        <v>28</v>
      </c>
      <c r="N164" s="64" t="s">
        <v>576</v>
      </c>
      <c r="O164" s="65">
        <v>1</v>
      </c>
      <c r="P164" s="65">
        <v>0</v>
      </c>
      <c r="Q164" s="65">
        <v>0</v>
      </c>
      <c r="R164" s="65">
        <v>1</v>
      </c>
      <c r="S164" s="65">
        <v>100</v>
      </c>
      <c r="T164" s="65">
        <v>0</v>
      </c>
      <c r="U164" s="65">
        <v>0</v>
      </c>
      <c r="V164" s="65">
        <v>100</v>
      </c>
      <c r="W164" s="65">
        <v>100</v>
      </c>
      <c r="X164" s="65">
        <v>0</v>
      </c>
      <c r="Y164" s="65">
        <v>0</v>
      </c>
      <c r="Z164" s="65">
        <v>30</v>
      </c>
      <c r="AA164" s="65">
        <v>0</v>
      </c>
      <c r="AB164" s="65">
        <v>0</v>
      </c>
      <c r="AC164" s="65">
        <v>70</v>
      </c>
      <c r="AD164" s="64" t="s">
        <v>577</v>
      </c>
    </row>
    <row r="165" spans="1:30">
      <c r="A165" s="64" t="s">
        <v>568</v>
      </c>
      <c r="B165" s="64" t="s">
        <v>569</v>
      </c>
      <c r="C165" s="64" t="s">
        <v>570</v>
      </c>
      <c r="D165" s="64" t="s">
        <v>571</v>
      </c>
      <c r="E165" s="64" t="s">
        <v>29</v>
      </c>
      <c r="F165" s="64" t="s">
        <v>1023</v>
      </c>
      <c r="G165" s="64" t="s">
        <v>1024</v>
      </c>
      <c r="H165" s="64" t="s">
        <v>1025</v>
      </c>
      <c r="I165" s="64" t="s">
        <v>575</v>
      </c>
      <c r="J165" s="64" t="s">
        <v>24</v>
      </c>
      <c r="K165" s="64" t="s">
        <v>37</v>
      </c>
      <c r="L165" s="64" t="s">
        <v>31</v>
      </c>
      <c r="M165" s="64" t="s">
        <v>28</v>
      </c>
      <c r="N165" s="64" t="s">
        <v>576</v>
      </c>
      <c r="O165" s="65">
        <v>1</v>
      </c>
      <c r="P165" s="65">
        <v>0</v>
      </c>
      <c r="Q165" s="65">
        <v>0</v>
      </c>
      <c r="R165" s="65">
        <v>1</v>
      </c>
      <c r="S165" s="65">
        <v>100</v>
      </c>
      <c r="T165" s="65">
        <v>0</v>
      </c>
      <c r="U165" s="65">
        <v>0</v>
      </c>
      <c r="V165" s="65">
        <v>100</v>
      </c>
      <c r="W165" s="65">
        <v>100</v>
      </c>
      <c r="X165" s="65">
        <v>0</v>
      </c>
      <c r="Y165" s="65">
        <v>0</v>
      </c>
      <c r="Z165" s="65">
        <v>30</v>
      </c>
      <c r="AA165" s="65">
        <v>0</v>
      </c>
      <c r="AB165" s="65">
        <v>0</v>
      </c>
      <c r="AC165" s="65">
        <v>70</v>
      </c>
      <c r="AD165" s="64" t="s">
        <v>577</v>
      </c>
    </row>
    <row r="166" spans="1:30">
      <c r="A166" s="64" t="s">
        <v>568</v>
      </c>
      <c r="B166" s="64" t="s">
        <v>569</v>
      </c>
      <c r="C166" s="64" t="s">
        <v>570</v>
      </c>
      <c r="D166" s="64" t="s">
        <v>571</v>
      </c>
      <c r="E166" s="64" t="s">
        <v>29</v>
      </c>
      <c r="F166" s="64" t="s">
        <v>1026</v>
      </c>
      <c r="G166" s="64" t="s">
        <v>1027</v>
      </c>
      <c r="H166" s="64" t="s">
        <v>1028</v>
      </c>
      <c r="I166" s="64" t="s">
        <v>575</v>
      </c>
      <c r="J166" s="64" t="s">
        <v>24</v>
      </c>
      <c r="K166" s="64" t="s">
        <v>37</v>
      </c>
      <c r="L166" s="64" t="s">
        <v>31</v>
      </c>
      <c r="M166" s="64" t="s">
        <v>28</v>
      </c>
      <c r="N166" s="64" t="s">
        <v>576</v>
      </c>
      <c r="O166" s="65">
        <v>1</v>
      </c>
      <c r="P166" s="65">
        <v>0</v>
      </c>
      <c r="Q166" s="65">
        <v>0</v>
      </c>
      <c r="R166" s="65">
        <v>1</v>
      </c>
      <c r="S166" s="65">
        <v>100</v>
      </c>
      <c r="T166" s="65">
        <v>0</v>
      </c>
      <c r="U166" s="65">
        <v>0</v>
      </c>
      <c r="V166" s="65">
        <v>100</v>
      </c>
      <c r="W166" s="65">
        <v>100</v>
      </c>
      <c r="X166" s="65">
        <v>0</v>
      </c>
      <c r="Y166" s="65">
        <v>0</v>
      </c>
      <c r="Z166" s="65">
        <v>30</v>
      </c>
      <c r="AA166" s="65">
        <v>0</v>
      </c>
      <c r="AB166" s="65">
        <v>0</v>
      </c>
      <c r="AC166" s="65">
        <v>70</v>
      </c>
      <c r="AD166" s="64" t="s">
        <v>577</v>
      </c>
    </row>
    <row r="167" spans="1:30">
      <c r="A167" s="64" t="s">
        <v>568</v>
      </c>
      <c r="B167" s="64" t="s">
        <v>569</v>
      </c>
      <c r="C167" s="64" t="s">
        <v>570</v>
      </c>
      <c r="D167" s="64" t="s">
        <v>571</v>
      </c>
      <c r="E167" s="64" t="s">
        <v>29</v>
      </c>
      <c r="F167" s="64" t="s">
        <v>1029</v>
      </c>
      <c r="G167" s="64" t="s">
        <v>1030</v>
      </c>
      <c r="H167" s="64" t="s">
        <v>1031</v>
      </c>
      <c r="I167" s="64" t="s">
        <v>575</v>
      </c>
      <c r="J167" s="64" t="s">
        <v>24</v>
      </c>
      <c r="K167" s="64" t="s">
        <v>37</v>
      </c>
      <c r="L167" s="64" t="s">
        <v>31</v>
      </c>
      <c r="M167" s="64" t="s">
        <v>28</v>
      </c>
      <c r="N167" s="64" t="s">
        <v>576</v>
      </c>
      <c r="O167" s="65">
        <v>1</v>
      </c>
      <c r="P167" s="65">
        <v>0</v>
      </c>
      <c r="Q167" s="65">
        <v>0</v>
      </c>
      <c r="R167" s="65">
        <v>1</v>
      </c>
      <c r="S167" s="65">
        <v>100</v>
      </c>
      <c r="T167" s="65">
        <v>0</v>
      </c>
      <c r="U167" s="65">
        <v>0</v>
      </c>
      <c r="V167" s="65">
        <v>100</v>
      </c>
      <c r="W167" s="65">
        <v>100</v>
      </c>
      <c r="X167" s="65">
        <v>0</v>
      </c>
      <c r="Y167" s="65">
        <v>0</v>
      </c>
      <c r="Z167" s="65">
        <v>30</v>
      </c>
      <c r="AA167" s="65">
        <v>0</v>
      </c>
      <c r="AB167" s="65">
        <v>0</v>
      </c>
      <c r="AC167" s="65">
        <v>70</v>
      </c>
      <c r="AD167" s="64" t="s">
        <v>577</v>
      </c>
    </row>
    <row r="168" spans="1:30">
      <c r="A168" s="64" t="s">
        <v>568</v>
      </c>
      <c r="B168" s="64" t="s">
        <v>569</v>
      </c>
      <c r="C168" s="64" t="s">
        <v>570</v>
      </c>
      <c r="D168" s="64" t="s">
        <v>571</v>
      </c>
      <c r="E168" s="64" t="s">
        <v>29</v>
      </c>
      <c r="F168" s="64" t="s">
        <v>1032</v>
      </c>
      <c r="G168" s="64" t="s">
        <v>1033</v>
      </c>
      <c r="H168" s="64" t="s">
        <v>1034</v>
      </c>
      <c r="I168" s="64" t="s">
        <v>575</v>
      </c>
      <c r="J168" s="64" t="s">
        <v>24</v>
      </c>
      <c r="K168" s="64" t="s">
        <v>37</v>
      </c>
      <c r="L168" s="64" t="s">
        <v>31</v>
      </c>
      <c r="M168" s="64" t="s">
        <v>28</v>
      </c>
      <c r="N168" s="64" t="s">
        <v>576</v>
      </c>
      <c r="O168" s="65">
        <v>1</v>
      </c>
      <c r="P168" s="65">
        <v>0</v>
      </c>
      <c r="Q168" s="65">
        <v>0</v>
      </c>
      <c r="R168" s="65">
        <v>1</v>
      </c>
      <c r="S168" s="65">
        <v>100</v>
      </c>
      <c r="T168" s="65">
        <v>0</v>
      </c>
      <c r="U168" s="65">
        <v>0</v>
      </c>
      <c r="V168" s="65">
        <v>100</v>
      </c>
      <c r="W168" s="65">
        <v>100</v>
      </c>
      <c r="X168" s="65">
        <v>0</v>
      </c>
      <c r="Y168" s="65">
        <v>0</v>
      </c>
      <c r="Z168" s="65">
        <v>30</v>
      </c>
      <c r="AA168" s="65">
        <v>0</v>
      </c>
      <c r="AB168" s="65">
        <v>0</v>
      </c>
      <c r="AC168" s="65">
        <v>70</v>
      </c>
      <c r="AD168" s="64" t="s">
        <v>577</v>
      </c>
    </row>
    <row r="169" spans="1:30">
      <c r="A169" s="64" t="s">
        <v>568</v>
      </c>
      <c r="B169" s="64" t="s">
        <v>569</v>
      </c>
      <c r="C169" s="64" t="s">
        <v>570</v>
      </c>
      <c r="D169" s="64" t="s">
        <v>571</v>
      </c>
      <c r="E169" s="64" t="s">
        <v>29</v>
      </c>
      <c r="F169" s="64" t="s">
        <v>1035</v>
      </c>
      <c r="G169" s="64" t="s">
        <v>1036</v>
      </c>
      <c r="H169" s="64" t="s">
        <v>1037</v>
      </c>
      <c r="I169" s="64" t="s">
        <v>575</v>
      </c>
      <c r="J169" s="64" t="s">
        <v>24</v>
      </c>
      <c r="K169" s="64" t="s">
        <v>37</v>
      </c>
      <c r="L169" s="64" t="s">
        <v>31</v>
      </c>
      <c r="M169" s="64" t="s">
        <v>28</v>
      </c>
      <c r="N169" s="64" t="s">
        <v>576</v>
      </c>
      <c r="O169" s="65">
        <v>1</v>
      </c>
      <c r="P169" s="65">
        <v>0</v>
      </c>
      <c r="Q169" s="65">
        <v>0</v>
      </c>
      <c r="R169" s="65">
        <v>1</v>
      </c>
      <c r="S169" s="65">
        <v>100</v>
      </c>
      <c r="T169" s="65">
        <v>0</v>
      </c>
      <c r="U169" s="65">
        <v>0</v>
      </c>
      <c r="V169" s="65">
        <v>100</v>
      </c>
      <c r="W169" s="65">
        <v>100</v>
      </c>
      <c r="X169" s="65">
        <v>0</v>
      </c>
      <c r="Y169" s="65">
        <v>0</v>
      </c>
      <c r="Z169" s="65">
        <v>30</v>
      </c>
      <c r="AA169" s="65">
        <v>0</v>
      </c>
      <c r="AB169" s="65">
        <v>0</v>
      </c>
      <c r="AC169" s="65">
        <v>70</v>
      </c>
      <c r="AD169" s="64" t="s">
        <v>577</v>
      </c>
    </row>
    <row r="170" spans="1:30">
      <c r="A170" s="64" t="s">
        <v>568</v>
      </c>
      <c r="B170" s="64" t="s">
        <v>569</v>
      </c>
      <c r="C170" s="64" t="s">
        <v>570</v>
      </c>
      <c r="D170" s="64" t="s">
        <v>571</v>
      </c>
      <c r="E170" s="64" t="s">
        <v>29</v>
      </c>
      <c r="F170" s="64" t="s">
        <v>1038</v>
      </c>
      <c r="G170" s="64" t="s">
        <v>1039</v>
      </c>
      <c r="H170" s="64" t="s">
        <v>1040</v>
      </c>
      <c r="I170" s="64" t="s">
        <v>575</v>
      </c>
      <c r="J170" s="64" t="s">
        <v>24</v>
      </c>
      <c r="K170" s="64" t="s">
        <v>37</v>
      </c>
      <c r="L170" s="64" t="s">
        <v>31</v>
      </c>
      <c r="M170" s="64" t="s">
        <v>28</v>
      </c>
      <c r="N170" s="64" t="s">
        <v>576</v>
      </c>
      <c r="O170" s="65">
        <v>1</v>
      </c>
      <c r="P170" s="65">
        <v>0</v>
      </c>
      <c r="Q170" s="65">
        <v>0</v>
      </c>
      <c r="R170" s="65">
        <v>1</v>
      </c>
      <c r="S170" s="65">
        <v>100</v>
      </c>
      <c r="T170" s="65">
        <v>0</v>
      </c>
      <c r="U170" s="65">
        <v>0</v>
      </c>
      <c r="V170" s="65">
        <v>100</v>
      </c>
      <c r="W170" s="65">
        <v>100</v>
      </c>
      <c r="X170" s="65">
        <v>0</v>
      </c>
      <c r="Y170" s="65">
        <v>0</v>
      </c>
      <c r="Z170" s="65">
        <v>30</v>
      </c>
      <c r="AA170" s="65">
        <v>0</v>
      </c>
      <c r="AB170" s="65">
        <v>0</v>
      </c>
      <c r="AC170" s="65">
        <v>70</v>
      </c>
      <c r="AD170" s="64" t="s">
        <v>577</v>
      </c>
    </row>
    <row r="171" spans="1:30">
      <c r="A171" s="64" t="s">
        <v>568</v>
      </c>
      <c r="B171" s="64" t="s">
        <v>569</v>
      </c>
      <c r="C171" s="64" t="s">
        <v>570</v>
      </c>
      <c r="D171" s="64" t="s">
        <v>571</v>
      </c>
      <c r="E171" s="64" t="s">
        <v>29</v>
      </c>
      <c r="F171" s="64" t="s">
        <v>1041</v>
      </c>
      <c r="G171" s="64" t="s">
        <v>36</v>
      </c>
      <c r="H171" s="64" t="s">
        <v>1042</v>
      </c>
      <c r="I171" s="64" t="s">
        <v>575</v>
      </c>
      <c r="J171" s="64" t="s">
        <v>24</v>
      </c>
      <c r="K171" s="64" t="s">
        <v>37</v>
      </c>
      <c r="L171" s="64" t="s">
        <v>31</v>
      </c>
      <c r="M171" s="64" t="s">
        <v>28</v>
      </c>
      <c r="N171" s="64" t="s">
        <v>576</v>
      </c>
      <c r="O171" s="65">
        <v>1</v>
      </c>
      <c r="P171" s="65">
        <v>0</v>
      </c>
      <c r="Q171" s="65">
        <v>0</v>
      </c>
      <c r="R171" s="65">
        <v>1</v>
      </c>
      <c r="S171" s="65">
        <v>100</v>
      </c>
      <c r="T171" s="65">
        <v>0</v>
      </c>
      <c r="U171" s="65">
        <v>0</v>
      </c>
      <c r="V171" s="65">
        <v>100</v>
      </c>
      <c r="W171" s="65">
        <v>100</v>
      </c>
      <c r="X171" s="65">
        <v>0</v>
      </c>
      <c r="Y171" s="65">
        <v>0</v>
      </c>
      <c r="Z171" s="65">
        <v>30</v>
      </c>
      <c r="AA171" s="65">
        <v>0</v>
      </c>
      <c r="AB171" s="65">
        <v>0</v>
      </c>
      <c r="AC171" s="65">
        <v>70</v>
      </c>
      <c r="AD171" s="64" t="s">
        <v>577</v>
      </c>
    </row>
    <row r="172" spans="1:30">
      <c r="A172" s="64" t="s">
        <v>568</v>
      </c>
      <c r="B172" s="64" t="s">
        <v>569</v>
      </c>
      <c r="C172" s="64" t="s">
        <v>570</v>
      </c>
      <c r="D172" s="64" t="s">
        <v>571</v>
      </c>
      <c r="E172" s="64" t="s">
        <v>29</v>
      </c>
      <c r="F172" s="64" t="s">
        <v>1043</v>
      </c>
      <c r="G172" s="64" t="s">
        <v>1044</v>
      </c>
      <c r="H172" s="64" t="s">
        <v>1045</v>
      </c>
      <c r="I172" s="64" t="s">
        <v>575</v>
      </c>
      <c r="J172" s="64" t="s">
        <v>24</v>
      </c>
      <c r="K172" s="64" t="s">
        <v>37</v>
      </c>
      <c r="L172" s="64" t="s">
        <v>31</v>
      </c>
      <c r="M172" s="64" t="s">
        <v>28</v>
      </c>
      <c r="N172" s="64" t="s">
        <v>576</v>
      </c>
      <c r="O172" s="65">
        <v>1</v>
      </c>
      <c r="P172" s="65">
        <v>0</v>
      </c>
      <c r="Q172" s="65">
        <v>0</v>
      </c>
      <c r="R172" s="65">
        <v>1</v>
      </c>
      <c r="S172" s="65">
        <v>100</v>
      </c>
      <c r="T172" s="65">
        <v>0</v>
      </c>
      <c r="U172" s="65">
        <v>0</v>
      </c>
      <c r="V172" s="65">
        <v>100</v>
      </c>
      <c r="W172" s="65">
        <v>100</v>
      </c>
      <c r="X172" s="65">
        <v>0</v>
      </c>
      <c r="Y172" s="65">
        <v>0</v>
      </c>
      <c r="Z172" s="65">
        <v>30</v>
      </c>
      <c r="AA172" s="65">
        <v>0</v>
      </c>
      <c r="AB172" s="65">
        <v>0</v>
      </c>
      <c r="AC172" s="65">
        <v>70</v>
      </c>
      <c r="AD172" s="64" t="s">
        <v>577</v>
      </c>
    </row>
    <row r="173" spans="1:30">
      <c r="A173" s="64" t="s">
        <v>568</v>
      </c>
      <c r="B173" s="64" t="s">
        <v>569</v>
      </c>
      <c r="C173" s="64" t="s">
        <v>570</v>
      </c>
      <c r="D173" s="64" t="s">
        <v>571</v>
      </c>
      <c r="E173" s="64" t="s">
        <v>29</v>
      </c>
      <c r="F173" s="64" t="s">
        <v>1046</v>
      </c>
      <c r="G173" s="64" t="s">
        <v>1047</v>
      </c>
      <c r="H173" s="64" t="s">
        <v>1048</v>
      </c>
      <c r="I173" s="64" t="s">
        <v>575</v>
      </c>
      <c r="J173" s="64" t="s">
        <v>24</v>
      </c>
      <c r="K173" s="64" t="s">
        <v>37</v>
      </c>
      <c r="L173" s="64" t="s">
        <v>31</v>
      </c>
      <c r="M173" s="64" t="s">
        <v>28</v>
      </c>
      <c r="N173" s="64" t="s">
        <v>576</v>
      </c>
      <c r="O173" s="65">
        <v>1</v>
      </c>
      <c r="P173" s="65">
        <v>0</v>
      </c>
      <c r="Q173" s="65">
        <v>0</v>
      </c>
      <c r="R173" s="65">
        <v>1</v>
      </c>
      <c r="S173" s="65">
        <v>100</v>
      </c>
      <c r="T173" s="65">
        <v>0</v>
      </c>
      <c r="U173" s="65">
        <v>0</v>
      </c>
      <c r="V173" s="65">
        <v>100</v>
      </c>
      <c r="W173" s="65">
        <v>100</v>
      </c>
      <c r="X173" s="65">
        <v>0</v>
      </c>
      <c r="Y173" s="65">
        <v>0</v>
      </c>
      <c r="Z173" s="65">
        <v>30</v>
      </c>
      <c r="AA173" s="65">
        <v>0</v>
      </c>
      <c r="AB173" s="65">
        <v>0</v>
      </c>
      <c r="AC173" s="65">
        <v>70</v>
      </c>
      <c r="AD173" s="64" t="s">
        <v>577</v>
      </c>
    </row>
    <row r="174" spans="1:30">
      <c r="A174" s="64" t="s">
        <v>568</v>
      </c>
      <c r="B174" s="64" t="s">
        <v>569</v>
      </c>
      <c r="C174" s="64" t="s">
        <v>570</v>
      </c>
      <c r="D174" s="64" t="s">
        <v>571</v>
      </c>
      <c r="E174" s="64" t="s">
        <v>29</v>
      </c>
      <c r="F174" s="64" t="s">
        <v>1049</v>
      </c>
      <c r="G174" s="64" t="s">
        <v>1050</v>
      </c>
      <c r="H174" s="64" t="s">
        <v>1051</v>
      </c>
      <c r="I174" s="64" t="s">
        <v>575</v>
      </c>
      <c r="J174" s="64" t="s">
        <v>24</v>
      </c>
      <c r="K174" s="64" t="s">
        <v>37</v>
      </c>
      <c r="L174" s="64" t="s">
        <v>31</v>
      </c>
      <c r="M174" s="64" t="s">
        <v>28</v>
      </c>
      <c r="N174" s="64" t="s">
        <v>576</v>
      </c>
      <c r="O174" s="65">
        <v>1</v>
      </c>
      <c r="P174" s="65">
        <v>0</v>
      </c>
      <c r="Q174" s="65">
        <v>0</v>
      </c>
      <c r="R174" s="65">
        <v>1</v>
      </c>
      <c r="S174" s="65">
        <v>100</v>
      </c>
      <c r="T174" s="65">
        <v>0</v>
      </c>
      <c r="U174" s="65">
        <v>0</v>
      </c>
      <c r="V174" s="65">
        <v>100</v>
      </c>
      <c r="W174" s="65">
        <v>100</v>
      </c>
      <c r="X174" s="65">
        <v>0</v>
      </c>
      <c r="Y174" s="65">
        <v>0</v>
      </c>
      <c r="Z174" s="65">
        <v>30</v>
      </c>
      <c r="AA174" s="65">
        <v>0</v>
      </c>
      <c r="AB174" s="65">
        <v>0</v>
      </c>
      <c r="AC174" s="65">
        <v>70</v>
      </c>
      <c r="AD174" s="64" t="s">
        <v>577</v>
      </c>
    </row>
    <row r="175" spans="1:30">
      <c r="A175" s="64" t="s">
        <v>568</v>
      </c>
      <c r="B175" s="64" t="s">
        <v>569</v>
      </c>
      <c r="C175" s="64" t="s">
        <v>570</v>
      </c>
      <c r="D175" s="64" t="s">
        <v>571</v>
      </c>
      <c r="E175" s="64" t="s">
        <v>29</v>
      </c>
      <c r="F175" s="64" t="s">
        <v>1052</v>
      </c>
      <c r="G175" s="64" t="s">
        <v>1053</v>
      </c>
      <c r="H175" s="64" t="s">
        <v>1054</v>
      </c>
      <c r="I175" s="64" t="s">
        <v>575</v>
      </c>
      <c r="J175" s="64" t="s">
        <v>24</v>
      </c>
      <c r="K175" s="64" t="s">
        <v>37</v>
      </c>
      <c r="L175" s="64" t="s">
        <v>31</v>
      </c>
      <c r="M175" s="64" t="s">
        <v>28</v>
      </c>
      <c r="N175" s="64" t="s">
        <v>576</v>
      </c>
      <c r="O175" s="65">
        <v>1</v>
      </c>
      <c r="P175" s="65">
        <v>0</v>
      </c>
      <c r="Q175" s="65">
        <v>0</v>
      </c>
      <c r="R175" s="65">
        <v>1</v>
      </c>
      <c r="S175" s="65">
        <v>100</v>
      </c>
      <c r="T175" s="65">
        <v>0</v>
      </c>
      <c r="U175" s="65">
        <v>0</v>
      </c>
      <c r="V175" s="65">
        <v>100</v>
      </c>
      <c r="W175" s="65">
        <v>100</v>
      </c>
      <c r="X175" s="65">
        <v>0</v>
      </c>
      <c r="Y175" s="65">
        <v>0</v>
      </c>
      <c r="Z175" s="65">
        <v>30</v>
      </c>
      <c r="AA175" s="65">
        <v>0</v>
      </c>
      <c r="AB175" s="65">
        <v>0</v>
      </c>
      <c r="AC175" s="65">
        <v>70</v>
      </c>
      <c r="AD175" s="64" t="s">
        <v>577</v>
      </c>
    </row>
    <row r="176" spans="1:30">
      <c r="A176" s="64" t="s">
        <v>568</v>
      </c>
      <c r="B176" s="64" t="s">
        <v>569</v>
      </c>
      <c r="C176" s="64" t="s">
        <v>570</v>
      </c>
      <c r="D176" s="64" t="s">
        <v>571</v>
      </c>
      <c r="E176" s="64" t="s">
        <v>29</v>
      </c>
      <c r="F176" s="64" t="s">
        <v>1055</v>
      </c>
      <c r="G176" s="64" t="s">
        <v>1056</v>
      </c>
      <c r="H176" s="64" t="s">
        <v>1057</v>
      </c>
      <c r="I176" s="64" t="s">
        <v>575</v>
      </c>
      <c r="J176" s="64" t="s">
        <v>24</v>
      </c>
      <c r="K176" s="64" t="s">
        <v>37</v>
      </c>
      <c r="L176" s="64" t="s">
        <v>31</v>
      </c>
      <c r="M176" s="64" t="s">
        <v>28</v>
      </c>
      <c r="N176" s="64" t="s">
        <v>576</v>
      </c>
      <c r="O176" s="65">
        <v>1</v>
      </c>
      <c r="P176" s="65">
        <v>0</v>
      </c>
      <c r="Q176" s="65">
        <v>0</v>
      </c>
      <c r="R176" s="65">
        <v>1</v>
      </c>
      <c r="S176" s="65">
        <v>100</v>
      </c>
      <c r="T176" s="65">
        <v>0</v>
      </c>
      <c r="U176" s="65">
        <v>0</v>
      </c>
      <c r="V176" s="65">
        <v>100</v>
      </c>
      <c r="W176" s="65">
        <v>100</v>
      </c>
      <c r="X176" s="65">
        <v>0</v>
      </c>
      <c r="Y176" s="65">
        <v>0</v>
      </c>
      <c r="Z176" s="65">
        <v>30</v>
      </c>
      <c r="AA176" s="65">
        <v>0</v>
      </c>
      <c r="AB176" s="65">
        <v>0</v>
      </c>
      <c r="AC176" s="65">
        <v>70</v>
      </c>
      <c r="AD176" s="64" t="s">
        <v>577</v>
      </c>
    </row>
    <row r="177" spans="1:30">
      <c r="A177" s="64" t="s">
        <v>568</v>
      </c>
      <c r="B177" s="64" t="s">
        <v>569</v>
      </c>
      <c r="C177" s="64" t="s">
        <v>570</v>
      </c>
      <c r="D177" s="64" t="s">
        <v>571</v>
      </c>
      <c r="E177" s="64" t="s">
        <v>29</v>
      </c>
      <c r="F177" s="64" t="s">
        <v>1058</v>
      </c>
      <c r="G177" s="64" t="s">
        <v>1059</v>
      </c>
      <c r="H177" s="64" t="s">
        <v>1060</v>
      </c>
      <c r="I177" s="64" t="s">
        <v>575</v>
      </c>
      <c r="J177" s="64" t="s">
        <v>24</v>
      </c>
      <c r="K177" s="64" t="s">
        <v>37</v>
      </c>
      <c r="L177" s="64" t="s">
        <v>31</v>
      </c>
      <c r="M177" s="64" t="s">
        <v>28</v>
      </c>
      <c r="N177" s="64" t="s">
        <v>576</v>
      </c>
      <c r="O177" s="65">
        <v>1</v>
      </c>
      <c r="P177" s="65">
        <v>0</v>
      </c>
      <c r="Q177" s="65">
        <v>0</v>
      </c>
      <c r="R177" s="65">
        <v>1</v>
      </c>
      <c r="S177" s="65">
        <v>100</v>
      </c>
      <c r="T177" s="65">
        <v>0</v>
      </c>
      <c r="U177" s="65">
        <v>0</v>
      </c>
      <c r="V177" s="65">
        <v>100</v>
      </c>
      <c r="W177" s="65">
        <v>100</v>
      </c>
      <c r="X177" s="65">
        <v>0</v>
      </c>
      <c r="Y177" s="65">
        <v>0</v>
      </c>
      <c r="Z177" s="65">
        <v>30</v>
      </c>
      <c r="AA177" s="65">
        <v>0</v>
      </c>
      <c r="AB177" s="65">
        <v>0</v>
      </c>
      <c r="AC177" s="65">
        <v>70</v>
      </c>
      <c r="AD177" s="64" t="s">
        <v>577</v>
      </c>
    </row>
    <row r="178" spans="1:30">
      <c r="A178" s="64" t="s">
        <v>568</v>
      </c>
      <c r="B178" s="64" t="s">
        <v>569</v>
      </c>
      <c r="C178" s="64" t="s">
        <v>570</v>
      </c>
      <c r="D178" s="64" t="s">
        <v>571</v>
      </c>
      <c r="E178" s="64" t="s">
        <v>29</v>
      </c>
      <c r="F178" s="64" t="s">
        <v>1061</v>
      </c>
      <c r="G178" s="64" t="s">
        <v>1062</v>
      </c>
      <c r="H178" s="64" t="s">
        <v>1063</v>
      </c>
      <c r="I178" s="64" t="s">
        <v>575</v>
      </c>
      <c r="J178" s="64" t="s">
        <v>24</v>
      </c>
      <c r="K178" s="64" t="s">
        <v>37</v>
      </c>
      <c r="L178" s="64" t="s">
        <v>31</v>
      </c>
      <c r="M178" s="64" t="s">
        <v>28</v>
      </c>
      <c r="N178" s="64" t="s">
        <v>576</v>
      </c>
      <c r="O178" s="65">
        <v>1</v>
      </c>
      <c r="P178" s="65">
        <v>0</v>
      </c>
      <c r="Q178" s="65">
        <v>0</v>
      </c>
      <c r="R178" s="65">
        <v>1</v>
      </c>
      <c r="S178" s="65">
        <v>100</v>
      </c>
      <c r="T178" s="65">
        <v>0</v>
      </c>
      <c r="U178" s="65">
        <v>0</v>
      </c>
      <c r="V178" s="65">
        <v>100</v>
      </c>
      <c r="W178" s="65">
        <v>100</v>
      </c>
      <c r="X178" s="65">
        <v>0</v>
      </c>
      <c r="Y178" s="65">
        <v>0</v>
      </c>
      <c r="Z178" s="65">
        <v>30</v>
      </c>
      <c r="AA178" s="65">
        <v>0</v>
      </c>
      <c r="AB178" s="65">
        <v>0</v>
      </c>
      <c r="AC178" s="65">
        <v>70</v>
      </c>
      <c r="AD178" s="64" t="s">
        <v>577</v>
      </c>
    </row>
    <row r="179" spans="1:30">
      <c r="A179" s="64" t="s">
        <v>568</v>
      </c>
      <c r="B179" s="64" t="s">
        <v>569</v>
      </c>
      <c r="C179" s="64" t="s">
        <v>570</v>
      </c>
      <c r="D179" s="64" t="s">
        <v>571</v>
      </c>
      <c r="E179" s="64" t="s">
        <v>29</v>
      </c>
      <c r="F179" s="64" t="s">
        <v>1064</v>
      </c>
      <c r="G179" s="64" t="s">
        <v>1065</v>
      </c>
      <c r="H179" s="64" t="s">
        <v>1066</v>
      </c>
      <c r="I179" s="64" t="s">
        <v>575</v>
      </c>
      <c r="J179" s="64" t="s">
        <v>24</v>
      </c>
      <c r="K179" s="64" t="s">
        <v>37</v>
      </c>
      <c r="L179" s="64" t="s">
        <v>31</v>
      </c>
      <c r="M179" s="64" t="s">
        <v>28</v>
      </c>
      <c r="N179" s="64" t="s">
        <v>576</v>
      </c>
      <c r="O179" s="65">
        <v>1</v>
      </c>
      <c r="P179" s="65">
        <v>0</v>
      </c>
      <c r="Q179" s="65">
        <v>0</v>
      </c>
      <c r="R179" s="65">
        <v>1</v>
      </c>
      <c r="S179" s="65">
        <v>100</v>
      </c>
      <c r="T179" s="65">
        <v>0</v>
      </c>
      <c r="U179" s="65">
        <v>0</v>
      </c>
      <c r="V179" s="65">
        <v>100</v>
      </c>
      <c r="W179" s="65">
        <v>100</v>
      </c>
      <c r="X179" s="65">
        <v>0</v>
      </c>
      <c r="Y179" s="65">
        <v>0</v>
      </c>
      <c r="Z179" s="65">
        <v>30</v>
      </c>
      <c r="AA179" s="65">
        <v>0</v>
      </c>
      <c r="AB179" s="65">
        <v>0</v>
      </c>
      <c r="AC179" s="65">
        <v>70</v>
      </c>
      <c r="AD179" s="64" t="s">
        <v>577</v>
      </c>
    </row>
    <row r="180" spans="1:30">
      <c r="A180" s="64" t="s">
        <v>568</v>
      </c>
      <c r="B180" s="64" t="s">
        <v>569</v>
      </c>
      <c r="C180" s="64" t="s">
        <v>570</v>
      </c>
      <c r="D180" s="64" t="s">
        <v>571</v>
      </c>
      <c r="E180" s="64" t="s">
        <v>29</v>
      </c>
      <c r="F180" s="64" t="s">
        <v>1067</v>
      </c>
      <c r="G180" s="64" t="s">
        <v>1068</v>
      </c>
      <c r="H180" s="64" t="s">
        <v>1069</v>
      </c>
      <c r="I180" s="64" t="s">
        <v>575</v>
      </c>
      <c r="J180" s="64" t="s">
        <v>24</v>
      </c>
      <c r="K180" s="64" t="s">
        <v>37</v>
      </c>
      <c r="L180" s="64" t="s">
        <v>31</v>
      </c>
      <c r="M180" s="64" t="s">
        <v>28</v>
      </c>
      <c r="N180" s="64" t="s">
        <v>576</v>
      </c>
      <c r="O180" s="65">
        <v>1</v>
      </c>
      <c r="P180" s="65">
        <v>0</v>
      </c>
      <c r="Q180" s="65">
        <v>0</v>
      </c>
      <c r="R180" s="65">
        <v>1</v>
      </c>
      <c r="S180" s="65">
        <v>100</v>
      </c>
      <c r="T180" s="65">
        <v>0</v>
      </c>
      <c r="U180" s="65">
        <v>0</v>
      </c>
      <c r="V180" s="65">
        <v>100</v>
      </c>
      <c r="W180" s="65">
        <v>100</v>
      </c>
      <c r="X180" s="65">
        <v>0</v>
      </c>
      <c r="Y180" s="65">
        <v>0</v>
      </c>
      <c r="Z180" s="65">
        <v>30</v>
      </c>
      <c r="AA180" s="65">
        <v>0</v>
      </c>
      <c r="AB180" s="65">
        <v>0</v>
      </c>
      <c r="AC180" s="65">
        <v>70</v>
      </c>
      <c r="AD180" s="64" t="s">
        <v>577</v>
      </c>
    </row>
    <row r="181" spans="1:30">
      <c r="A181" s="64" t="s">
        <v>568</v>
      </c>
      <c r="B181" s="64" t="s">
        <v>569</v>
      </c>
      <c r="C181" s="64" t="s">
        <v>570</v>
      </c>
      <c r="D181" s="64" t="s">
        <v>571</v>
      </c>
      <c r="E181" s="64" t="s">
        <v>29</v>
      </c>
      <c r="F181" s="64" t="s">
        <v>1070</v>
      </c>
      <c r="G181" s="64" t="s">
        <v>1071</v>
      </c>
      <c r="H181" s="64" t="s">
        <v>1072</v>
      </c>
      <c r="I181" s="64" t="s">
        <v>575</v>
      </c>
      <c r="J181" s="64" t="s">
        <v>24</v>
      </c>
      <c r="K181" s="64" t="s">
        <v>37</v>
      </c>
      <c r="L181" s="64" t="s">
        <v>31</v>
      </c>
      <c r="M181" s="64" t="s">
        <v>28</v>
      </c>
      <c r="N181" s="64" t="s">
        <v>576</v>
      </c>
      <c r="O181" s="65">
        <v>1</v>
      </c>
      <c r="P181" s="65">
        <v>0</v>
      </c>
      <c r="Q181" s="65">
        <v>0</v>
      </c>
      <c r="R181" s="65">
        <v>1</v>
      </c>
      <c r="S181" s="65">
        <v>100</v>
      </c>
      <c r="T181" s="65">
        <v>0</v>
      </c>
      <c r="U181" s="65">
        <v>0</v>
      </c>
      <c r="V181" s="65">
        <v>100</v>
      </c>
      <c r="W181" s="65">
        <v>100</v>
      </c>
      <c r="X181" s="65">
        <v>0</v>
      </c>
      <c r="Y181" s="65">
        <v>0</v>
      </c>
      <c r="Z181" s="65">
        <v>30</v>
      </c>
      <c r="AA181" s="65">
        <v>0</v>
      </c>
      <c r="AB181" s="65">
        <v>0</v>
      </c>
      <c r="AC181" s="65">
        <v>70</v>
      </c>
      <c r="AD181" s="64" t="s">
        <v>577</v>
      </c>
    </row>
    <row r="182" spans="1:30">
      <c r="A182" s="64" t="s">
        <v>568</v>
      </c>
      <c r="B182" s="64" t="s">
        <v>569</v>
      </c>
      <c r="C182" s="64" t="s">
        <v>570</v>
      </c>
      <c r="D182" s="64" t="s">
        <v>571</v>
      </c>
      <c r="E182" s="64" t="s">
        <v>29</v>
      </c>
      <c r="F182" s="64" t="s">
        <v>1073</v>
      </c>
      <c r="G182" s="64" t="s">
        <v>1074</v>
      </c>
      <c r="H182" s="64" t="s">
        <v>1075</v>
      </c>
      <c r="I182" s="64" t="s">
        <v>575</v>
      </c>
      <c r="J182" s="64" t="s">
        <v>24</v>
      </c>
      <c r="K182" s="64" t="s">
        <v>37</v>
      </c>
      <c r="L182" s="64" t="s">
        <v>31</v>
      </c>
      <c r="M182" s="64" t="s">
        <v>28</v>
      </c>
      <c r="N182" s="64" t="s">
        <v>576</v>
      </c>
      <c r="O182" s="65">
        <v>1</v>
      </c>
      <c r="P182" s="65">
        <v>0</v>
      </c>
      <c r="Q182" s="65">
        <v>0</v>
      </c>
      <c r="R182" s="65">
        <v>1</v>
      </c>
      <c r="S182" s="65">
        <v>100</v>
      </c>
      <c r="T182" s="65">
        <v>0</v>
      </c>
      <c r="U182" s="65">
        <v>0</v>
      </c>
      <c r="V182" s="65">
        <v>100</v>
      </c>
      <c r="W182" s="65">
        <v>100</v>
      </c>
      <c r="X182" s="65">
        <v>0</v>
      </c>
      <c r="Y182" s="65">
        <v>0</v>
      </c>
      <c r="Z182" s="65">
        <v>30</v>
      </c>
      <c r="AA182" s="65">
        <v>0</v>
      </c>
      <c r="AB182" s="65">
        <v>0</v>
      </c>
      <c r="AC182" s="65">
        <v>70</v>
      </c>
      <c r="AD182" s="64" t="s">
        <v>577</v>
      </c>
    </row>
    <row r="183" spans="1:30">
      <c r="A183" s="64" t="s">
        <v>568</v>
      </c>
      <c r="B183" s="64" t="s">
        <v>569</v>
      </c>
      <c r="C183" s="64" t="s">
        <v>570</v>
      </c>
      <c r="D183" s="64" t="s">
        <v>571</v>
      </c>
      <c r="E183" s="64" t="s">
        <v>29</v>
      </c>
      <c r="F183" s="64" t="s">
        <v>1076</v>
      </c>
      <c r="G183" s="64" t="s">
        <v>1077</v>
      </c>
      <c r="H183" s="64" t="s">
        <v>1078</v>
      </c>
      <c r="I183" s="64" t="s">
        <v>575</v>
      </c>
      <c r="J183" s="64" t="s">
        <v>24</v>
      </c>
      <c r="K183" s="64" t="s">
        <v>37</v>
      </c>
      <c r="L183" s="64" t="s">
        <v>31</v>
      </c>
      <c r="M183" s="64" t="s">
        <v>28</v>
      </c>
      <c r="N183" s="64" t="s">
        <v>576</v>
      </c>
      <c r="O183" s="65">
        <v>1</v>
      </c>
      <c r="P183" s="65">
        <v>0</v>
      </c>
      <c r="Q183" s="65">
        <v>0</v>
      </c>
      <c r="R183" s="65">
        <v>1</v>
      </c>
      <c r="S183" s="65">
        <v>100</v>
      </c>
      <c r="T183" s="65">
        <v>0</v>
      </c>
      <c r="U183" s="65">
        <v>0</v>
      </c>
      <c r="V183" s="65">
        <v>100</v>
      </c>
      <c r="W183" s="65">
        <v>100</v>
      </c>
      <c r="X183" s="65">
        <v>0</v>
      </c>
      <c r="Y183" s="65">
        <v>0</v>
      </c>
      <c r="Z183" s="65">
        <v>30</v>
      </c>
      <c r="AA183" s="65">
        <v>0</v>
      </c>
      <c r="AB183" s="65">
        <v>0</v>
      </c>
      <c r="AC183" s="65">
        <v>70</v>
      </c>
      <c r="AD183" s="64" t="s">
        <v>577</v>
      </c>
    </row>
    <row r="184" spans="1:30">
      <c r="A184" s="64" t="s">
        <v>568</v>
      </c>
      <c r="B184" s="64" t="s">
        <v>569</v>
      </c>
      <c r="C184" s="64" t="s">
        <v>570</v>
      </c>
      <c r="D184" s="64" t="s">
        <v>571</v>
      </c>
      <c r="E184" s="64" t="s">
        <v>29</v>
      </c>
      <c r="F184" s="64" t="s">
        <v>1079</v>
      </c>
      <c r="G184" s="64" t="s">
        <v>1080</v>
      </c>
      <c r="H184" s="64" t="s">
        <v>1081</v>
      </c>
      <c r="I184" s="64" t="s">
        <v>575</v>
      </c>
      <c r="J184" s="64" t="s">
        <v>24</v>
      </c>
      <c r="K184" s="64" t="s">
        <v>37</v>
      </c>
      <c r="L184" s="64" t="s">
        <v>31</v>
      </c>
      <c r="M184" s="64" t="s">
        <v>28</v>
      </c>
      <c r="N184" s="64" t="s">
        <v>576</v>
      </c>
      <c r="O184" s="65">
        <v>1</v>
      </c>
      <c r="P184" s="65">
        <v>0</v>
      </c>
      <c r="Q184" s="65">
        <v>0</v>
      </c>
      <c r="R184" s="65">
        <v>1</v>
      </c>
      <c r="S184" s="65">
        <v>100</v>
      </c>
      <c r="T184" s="65">
        <v>0</v>
      </c>
      <c r="U184" s="65">
        <v>0</v>
      </c>
      <c r="V184" s="65">
        <v>100</v>
      </c>
      <c r="W184" s="65">
        <v>100</v>
      </c>
      <c r="X184" s="65">
        <v>0</v>
      </c>
      <c r="Y184" s="65">
        <v>0</v>
      </c>
      <c r="Z184" s="65">
        <v>30</v>
      </c>
      <c r="AA184" s="65">
        <v>0</v>
      </c>
      <c r="AB184" s="65">
        <v>0</v>
      </c>
      <c r="AC184" s="65">
        <v>70</v>
      </c>
      <c r="AD184" s="64" t="s">
        <v>577</v>
      </c>
    </row>
    <row r="185" spans="1:30">
      <c r="A185" s="64" t="s">
        <v>568</v>
      </c>
      <c r="B185" s="64" t="s">
        <v>569</v>
      </c>
      <c r="C185" s="64" t="s">
        <v>570</v>
      </c>
      <c r="D185" s="64" t="s">
        <v>571</v>
      </c>
      <c r="E185" s="64" t="s">
        <v>29</v>
      </c>
      <c r="F185" s="64" t="s">
        <v>1082</v>
      </c>
      <c r="G185" s="64" t="s">
        <v>1083</v>
      </c>
      <c r="H185" s="64" t="s">
        <v>1084</v>
      </c>
      <c r="I185" s="64" t="s">
        <v>575</v>
      </c>
      <c r="J185" s="64" t="s">
        <v>24</v>
      </c>
      <c r="K185" s="64" t="s">
        <v>37</v>
      </c>
      <c r="L185" s="64" t="s">
        <v>31</v>
      </c>
      <c r="M185" s="64" t="s">
        <v>28</v>
      </c>
      <c r="N185" s="64" t="s">
        <v>576</v>
      </c>
      <c r="O185" s="65">
        <v>1</v>
      </c>
      <c r="P185" s="65">
        <v>0</v>
      </c>
      <c r="Q185" s="65">
        <v>0</v>
      </c>
      <c r="R185" s="65">
        <v>1</v>
      </c>
      <c r="S185" s="65">
        <v>100</v>
      </c>
      <c r="T185" s="65">
        <v>0</v>
      </c>
      <c r="U185" s="65">
        <v>0</v>
      </c>
      <c r="V185" s="65">
        <v>100</v>
      </c>
      <c r="W185" s="65">
        <v>100</v>
      </c>
      <c r="X185" s="65">
        <v>0</v>
      </c>
      <c r="Y185" s="65">
        <v>0</v>
      </c>
      <c r="Z185" s="65">
        <v>30</v>
      </c>
      <c r="AA185" s="65">
        <v>0</v>
      </c>
      <c r="AB185" s="65">
        <v>0</v>
      </c>
      <c r="AC185" s="65">
        <v>70</v>
      </c>
      <c r="AD185" s="64" t="s">
        <v>577</v>
      </c>
    </row>
    <row r="186" spans="1:30">
      <c r="A186" s="64" t="s">
        <v>568</v>
      </c>
      <c r="B186" s="64" t="s">
        <v>569</v>
      </c>
      <c r="C186" s="64" t="s">
        <v>570</v>
      </c>
      <c r="D186" s="64" t="s">
        <v>571</v>
      </c>
      <c r="E186" s="64" t="s">
        <v>29</v>
      </c>
      <c r="F186" s="64" t="s">
        <v>1085</v>
      </c>
      <c r="G186" s="64" t="s">
        <v>1086</v>
      </c>
      <c r="H186" s="64" t="s">
        <v>1087</v>
      </c>
      <c r="I186" s="64" t="s">
        <v>575</v>
      </c>
      <c r="J186" s="64" t="s">
        <v>24</v>
      </c>
      <c r="K186" s="64" t="s">
        <v>37</v>
      </c>
      <c r="L186" s="64" t="s">
        <v>31</v>
      </c>
      <c r="M186" s="64" t="s">
        <v>28</v>
      </c>
      <c r="N186" s="64" t="s">
        <v>576</v>
      </c>
      <c r="O186" s="65">
        <v>1</v>
      </c>
      <c r="P186" s="65">
        <v>0</v>
      </c>
      <c r="Q186" s="65">
        <v>0</v>
      </c>
      <c r="R186" s="65">
        <v>1</v>
      </c>
      <c r="S186" s="65">
        <v>100</v>
      </c>
      <c r="T186" s="65">
        <v>0</v>
      </c>
      <c r="U186" s="65">
        <v>0</v>
      </c>
      <c r="V186" s="65">
        <v>100</v>
      </c>
      <c r="W186" s="65">
        <v>100</v>
      </c>
      <c r="X186" s="65">
        <v>0</v>
      </c>
      <c r="Y186" s="65">
        <v>0</v>
      </c>
      <c r="Z186" s="65">
        <v>30</v>
      </c>
      <c r="AA186" s="65">
        <v>0</v>
      </c>
      <c r="AB186" s="65">
        <v>0</v>
      </c>
      <c r="AC186" s="65">
        <v>70</v>
      </c>
      <c r="AD186" s="64" t="s">
        <v>577</v>
      </c>
    </row>
    <row r="187" spans="1:30">
      <c r="A187" s="64" t="s">
        <v>568</v>
      </c>
      <c r="B187" s="64" t="s">
        <v>569</v>
      </c>
      <c r="C187" s="64" t="s">
        <v>570</v>
      </c>
      <c r="D187" s="64" t="s">
        <v>571</v>
      </c>
      <c r="E187" s="64" t="s">
        <v>29</v>
      </c>
      <c r="F187" s="64" t="s">
        <v>1088</v>
      </c>
      <c r="G187" s="64" t="s">
        <v>1089</v>
      </c>
      <c r="H187" s="64" t="s">
        <v>1090</v>
      </c>
      <c r="I187" s="64" t="s">
        <v>575</v>
      </c>
      <c r="J187" s="64" t="s">
        <v>24</v>
      </c>
      <c r="K187" s="64" t="s">
        <v>37</v>
      </c>
      <c r="L187" s="64" t="s">
        <v>31</v>
      </c>
      <c r="M187" s="64" t="s">
        <v>28</v>
      </c>
      <c r="N187" s="64" t="s">
        <v>576</v>
      </c>
      <c r="O187" s="65">
        <v>1</v>
      </c>
      <c r="P187" s="65">
        <v>0</v>
      </c>
      <c r="Q187" s="65">
        <v>0</v>
      </c>
      <c r="R187" s="65">
        <v>1</v>
      </c>
      <c r="S187" s="65">
        <v>100</v>
      </c>
      <c r="T187" s="65">
        <v>0</v>
      </c>
      <c r="U187" s="65">
        <v>0</v>
      </c>
      <c r="V187" s="65">
        <v>100</v>
      </c>
      <c r="W187" s="65">
        <v>100</v>
      </c>
      <c r="X187" s="65">
        <v>0</v>
      </c>
      <c r="Y187" s="65">
        <v>0</v>
      </c>
      <c r="Z187" s="65">
        <v>30</v>
      </c>
      <c r="AA187" s="65">
        <v>0</v>
      </c>
      <c r="AB187" s="65">
        <v>0</v>
      </c>
      <c r="AC187" s="65">
        <v>70</v>
      </c>
      <c r="AD187" s="64" t="s">
        <v>577</v>
      </c>
    </row>
    <row r="188" spans="1:30">
      <c r="A188" s="64" t="s">
        <v>568</v>
      </c>
      <c r="B188" s="64" t="s">
        <v>569</v>
      </c>
      <c r="C188" s="64" t="s">
        <v>570</v>
      </c>
      <c r="D188" s="64" t="s">
        <v>571</v>
      </c>
      <c r="E188" s="64" t="s">
        <v>29</v>
      </c>
      <c r="F188" s="64" t="s">
        <v>1091</v>
      </c>
      <c r="G188" s="64" t="s">
        <v>1092</v>
      </c>
      <c r="H188" s="64" t="s">
        <v>1093</v>
      </c>
      <c r="I188" s="64" t="s">
        <v>575</v>
      </c>
      <c r="J188" s="64" t="s">
        <v>24</v>
      </c>
      <c r="K188" s="64" t="s">
        <v>37</v>
      </c>
      <c r="L188" s="64" t="s">
        <v>31</v>
      </c>
      <c r="M188" s="64" t="s">
        <v>28</v>
      </c>
      <c r="N188" s="64" t="s">
        <v>576</v>
      </c>
      <c r="O188" s="65">
        <v>1</v>
      </c>
      <c r="P188" s="65">
        <v>0</v>
      </c>
      <c r="Q188" s="65">
        <v>0</v>
      </c>
      <c r="R188" s="65">
        <v>1</v>
      </c>
      <c r="S188" s="65">
        <v>100</v>
      </c>
      <c r="T188" s="65">
        <v>0</v>
      </c>
      <c r="U188" s="65">
        <v>0</v>
      </c>
      <c r="V188" s="65">
        <v>100</v>
      </c>
      <c r="W188" s="65">
        <v>100</v>
      </c>
      <c r="X188" s="65">
        <v>0</v>
      </c>
      <c r="Y188" s="65">
        <v>0</v>
      </c>
      <c r="Z188" s="65">
        <v>30</v>
      </c>
      <c r="AA188" s="65">
        <v>0</v>
      </c>
      <c r="AB188" s="65">
        <v>0</v>
      </c>
      <c r="AC188" s="65">
        <v>70</v>
      </c>
      <c r="AD188" s="64" t="s">
        <v>577</v>
      </c>
    </row>
    <row r="189" spans="1:30">
      <c r="A189" s="64" t="s">
        <v>568</v>
      </c>
      <c r="B189" s="64" t="s">
        <v>569</v>
      </c>
      <c r="C189" s="64" t="s">
        <v>570</v>
      </c>
      <c r="D189" s="64" t="s">
        <v>571</v>
      </c>
      <c r="E189" s="64" t="s">
        <v>29</v>
      </c>
      <c r="F189" s="64" t="s">
        <v>1094</v>
      </c>
      <c r="G189" s="64" t="s">
        <v>1095</v>
      </c>
      <c r="H189" s="64" t="s">
        <v>1096</v>
      </c>
      <c r="I189" s="64" t="s">
        <v>575</v>
      </c>
      <c r="J189" s="64" t="s">
        <v>24</v>
      </c>
      <c r="K189" s="64" t="s">
        <v>37</v>
      </c>
      <c r="L189" s="64" t="s">
        <v>31</v>
      </c>
      <c r="M189" s="64" t="s">
        <v>28</v>
      </c>
      <c r="N189" s="64" t="s">
        <v>576</v>
      </c>
      <c r="O189" s="65">
        <v>1</v>
      </c>
      <c r="P189" s="65">
        <v>0</v>
      </c>
      <c r="Q189" s="65">
        <v>0</v>
      </c>
      <c r="R189" s="65">
        <v>1</v>
      </c>
      <c r="S189" s="65">
        <v>100</v>
      </c>
      <c r="T189" s="65">
        <v>0</v>
      </c>
      <c r="U189" s="65">
        <v>0</v>
      </c>
      <c r="V189" s="65">
        <v>100</v>
      </c>
      <c r="W189" s="65">
        <v>100</v>
      </c>
      <c r="X189" s="65">
        <v>0</v>
      </c>
      <c r="Y189" s="65">
        <v>0</v>
      </c>
      <c r="Z189" s="65">
        <v>30</v>
      </c>
      <c r="AA189" s="65">
        <v>0</v>
      </c>
      <c r="AB189" s="65">
        <v>0</v>
      </c>
      <c r="AC189" s="65">
        <v>70</v>
      </c>
      <c r="AD189" s="64" t="s">
        <v>577</v>
      </c>
    </row>
    <row r="190" spans="1:30">
      <c r="A190" s="64" t="s">
        <v>568</v>
      </c>
      <c r="B190" s="64" t="s">
        <v>569</v>
      </c>
      <c r="C190" s="64" t="s">
        <v>570</v>
      </c>
      <c r="D190" s="64" t="s">
        <v>571</v>
      </c>
      <c r="E190" s="64" t="s">
        <v>29</v>
      </c>
      <c r="F190" s="64" t="s">
        <v>1097</v>
      </c>
      <c r="G190" s="64" t="s">
        <v>1098</v>
      </c>
      <c r="H190" s="64" t="s">
        <v>1099</v>
      </c>
      <c r="I190" s="64" t="s">
        <v>575</v>
      </c>
      <c r="J190" s="64" t="s">
        <v>24</v>
      </c>
      <c r="K190" s="64" t="s">
        <v>37</v>
      </c>
      <c r="L190" s="64" t="s">
        <v>31</v>
      </c>
      <c r="M190" s="64" t="s">
        <v>28</v>
      </c>
      <c r="N190" s="64" t="s">
        <v>576</v>
      </c>
      <c r="O190" s="65">
        <v>1</v>
      </c>
      <c r="P190" s="65">
        <v>0</v>
      </c>
      <c r="Q190" s="65">
        <v>0</v>
      </c>
      <c r="R190" s="65">
        <v>1</v>
      </c>
      <c r="S190" s="65">
        <v>100</v>
      </c>
      <c r="T190" s="65">
        <v>0</v>
      </c>
      <c r="U190" s="65">
        <v>0</v>
      </c>
      <c r="V190" s="65">
        <v>100</v>
      </c>
      <c r="W190" s="65">
        <v>100</v>
      </c>
      <c r="X190" s="65">
        <v>0</v>
      </c>
      <c r="Y190" s="65">
        <v>0</v>
      </c>
      <c r="Z190" s="65">
        <v>30</v>
      </c>
      <c r="AA190" s="65">
        <v>0</v>
      </c>
      <c r="AB190" s="65">
        <v>0</v>
      </c>
      <c r="AC190" s="65">
        <v>70</v>
      </c>
      <c r="AD190" s="64" t="s">
        <v>577</v>
      </c>
    </row>
    <row r="191" spans="1:30">
      <c r="A191" s="64" t="s">
        <v>568</v>
      </c>
      <c r="B191" s="64" t="s">
        <v>569</v>
      </c>
      <c r="C191" s="64" t="s">
        <v>570</v>
      </c>
      <c r="D191" s="64" t="s">
        <v>571</v>
      </c>
      <c r="E191" s="64" t="s">
        <v>29</v>
      </c>
      <c r="F191" s="64" t="s">
        <v>1100</v>
      </c>
      <c r="G191" s="64" t="s">
        <v>1101</v>
      </c>
      <c r="H191" s="64" t="s">
        <v>1102</v>
      </c>
      <c r="I191" s="64" t="s">
        <v>575</v>
      </c>
      <c r="J191" s="64" t="s">
        <v>24</v>
      </c>
      <c r="K191" s="64" t="s">
        <v>37</v>
      </c>
      <c r="L191" s="64" t="s">
        <v>31</v>
      </c>
      <c r="M191" s="64" t="s">
        <v>28</v>
      </c>
      <c r="N191" s="64" t="s">
        <v>576</v>
      </c>
      <c r="O191" s="65">
        <v>1</v>
      </c>
      <c r="P191" s="65">
        <v>0</v>
      </c>
      <c r="Q191" s="65">
        <v>0</v>
      </c>
      <c r="R191" s="65">
        <v>1</v>
      </c>
      <c r="S191" s="65">
        <v>100</v>
      </c>
      <c r="T191" s="65">
        <v>0</v>
      </c>
      <c r="U191" s="65">
        <v>0</v>
      </c>
      <c r="V191" s="65">
        <v>100</v>
      </c>
      <c r="W191" s="65">
        <v>100</v>
      </c>
      <c r="X191" s="65">
        <v>0</v>
      </c>
      <c r="Y191" s="65">
        <v>0</v>
      </c>
      <c r="Z191" s="65">
        <v>30</v>
      </c>
      <c r="AA191" s="65">
        <v>0</v>
      </c>
      <c r="AB191" s="65">
        <v>0</v>
      </c>
      <c r="AC191" s="65">
        <v>70</v>
      </c>
      <c r="AD191" s="64" t="s">
        <v>577</v>
      </c>
    </row>
    <row r="192" spans="1:30">
      <c r="A192" s="64" t="s">
        <v>568</v>
      </c>
      <c r="B192" s="64" t="s">
        <v>569</v>
      </c>
      <c r="C192" s="64" t="s">
        <v>570</v>
      </c>
      <c r="D192" s="64" t="s">
        <v>571</v>
      </c>
      <c r="E192" s="64" t="s">
        <v>29</v>
      </c>
      <c r="F192" s="64" t="s">
        <v>1103</v>
      </c>
      <c r="G192" s="64" t="s">
        <v>1104</v>
      </c>
      <c r="H192" s="64" t="s">
        <v>1105</v>
      </c>
      <c r="I192" s="64" t="s">
        <v>575</v>
      </c>
      <c r="J192" s="64" t="s">
        <v>24</v>
      </c>
      <c r="K192" s="64" t="s">
        <v>37</v>
      </c>
      <c r="L192" s="64" t="s">
        <v>31</v>
      </c>
      <c r="M192" s="64" t="s">
        <v>28</v>
      </c>
      <c r="N192" s="64" t="s">
        <v>576</v>
      </c>
      <c r="O192" s="65">
        <v>1</v>
      </c>
      <c r="P192" s="65">
        <v>0</v>
      </c>
      <c r="Q192" s="65">
        <v>0</v>
      </c>
      <c r="R192" s="65">
        <v>1</v>
      </c>
      <c r="S192" s="65">
        <v>100</v>
      </c>
      <c r="T192" s="65">
        <v>0</v>
      </c>
      <c r="U192" s="65">
        <v>0</v>
      </c>
      <c r="V192" s="65">
        <v>100</v>
      </c>
      <c r="W192" s="65">
        <v>100</v>
      </c>
      <c r="X192" s="65">
        <v>0</v>
      </c>
      <c r="Y192" s="65">
        <v>0</v>
      </c>
      <c r="Z192" s="65">
        <v>30</v>
      </c>
      <c r="AA192" s="65">
        <v>0</v>
      </c>
      <c r="AB192" s="65">
        <v>0</v>
      </c>
      <c r="AC192" s="65">
        <v>70</v>
      </c>
      <c r="AD192" s="64" t="s">
        <v>577</v>
      </c>
    </row>
    <row r="193" spans="1:30">
      <c r="A193" s="64" t="s">
        <v>568</v>
      </c>
      <c r="B193" s="64" t="s">
        <v>569</v>
      </c>
      <c r="C193" s="64" t="s">
        <v>570</v>
      </c>
      <c r="D193" s="64" t="s">
        <v>571</v>
      </c>
      <c r="E193" s="64" t="s">
        <v>29</v>
      </c>
      <c r="F193" s="64" t="s">
        <v>1106</v>
      </c>
      <c r="G193" s="64" t="s">
        <v>1107</v>
      </c>
      <c r="H193" s="64" t="s">
        <v>1108</v>
      </c>
      <c r="I193" s="64" t="s">
        <v>575</v>
      </c>
      <c r="J193" s="64" t="s">
        <v>24</v>
      </c>
      <c r="K193" s="64" t="s">
        <v>37</v>
      </c>
      <c r="L193" s="64" t="s">
        <v>31</v>
      </c>
      <c r="M193" s="64" t="s">
        <v>28</v>
      </c>
      <c r="N193" s="64" t="s">
        <v>576</v>
      </c>
      <c r="O193" s="65">
        <v>1</v>
      </c>
      <c r="P193" s="65">
        <v>0</v>
      </c>
      <c r="Q193" s="65">
        <v>0</v>
      </c>
      <c r="R193" s="65">
        <v>1</v>
      </c>
      <c r="S193" s="65">
        <v>100</v>
      </c>
      <c r="T193" s="65">
        <v>0</v>
      </c>
      <c r="U193" s="65">
        <v>0</v>
      </c>
      <c r="V193" s="65">
        <v>100</v>
      </c>
      <c r="W193" s="65">
        <v>100</v>
      </c>
      <c r="X193" s="65">
        <v>0</v>
      </c>
      <c r="Y193" s="65">
        <v>0</v>
      </c>
      <c r="Z193" s="65">
        <v>30</v>
      </c>
      <c r="AA193" s="65">
        <v>0</v>
      </c>
      <c r="AB193" s="65">
        <v>0</v>
      </c>
      <c r="AC193" s="65">
        <v>70</v>
      </c>
      <c r="AD193" s="64" t="s">
        <v>577</v>
      </c>
    </row>
    <row r="194" spans="1:30">
      <c r="A194" s="64" t="s">
        <v>568</v>
      </c>
      <c r="B194" s="64" t="s">
        <v>569</v>
      </c>
      <c r="C194" s="64" t="s">
        <v>570</v>
      </c>
      <c r="D194" s="64" t="s">
        <v>571</v>
      </c>
      <c r="E194" s="64" t="s">
        <v>29</v>
      </c>
      <c r="F194" s="64" t="s">
        <v>1109</v>
      </c>
      <c r="G194" s="64" t="s">
        <v>323</v>
      </c>
      <c r="H194" s="64" t="s">
        <v>1110</v>
      </c>
      <c r="I194" s="64" t="s">
        <v>575</v>
      </c>
      <c r="J194" s="64" t="s">
        <v>24</v>
      </c>
      <c r="K194" s="64" t="s">
        <v>37</v>
      </c>
      <c r="L194" s="64" t="s">
        <v>31</v>
      </c>
      <c r="M194" s="64" t="s">
        <v>28</v>
      </c>
      <c r="N194" s="64" t="s">
        <v>576</v>
      </c>
      <c r="O194" s="65">
        <v>1</v>
      </c>
      <c r="P194" s="65">
        <v>0</v>
      </c>
      <c r="Q194" s="65">
        <v>0</v>
      </c>
      <c r="R194" s="65">
        <v>1</v>
      </c>
      <c r="S194" s="65">
        <v>100</v>
      </c>
      <c r="T194" s="65">
        <v>0</v>
      </c>
      <c r="U194" s="65">
        <v>0</v>
      </c>
      <c r="V194" s="65">
        <v>100</v>
      </c>
      <c r="W194" s="65">
        <v>100</v>
      </c>
      <c r="X194" s="65">
        <v>0</v>
      </c>
      <c r="Y194" s="65">
        <v>0</v>
      </c>
      <c r="Z194" s="65">
        <v>30</v>
      </c>
      <c r="AA194" s="65">
        <v>0</v>
      </c>
      <c r="AB194" s="65">
        <v>0</v>
      </c>
      <c r="AC194" s="65">
        <v>70</v>
      </c>
      <c r="AD194" s="64" t="s">
        <v>577</v>
      </c>
    </row>
    <row r="195" spans="1:30">
      <c r="A195" s="64" t="s">
        <v>568</v>
      </c>
      <c r="B195" s="64" t="s">
        <v>569</v>
      </c>
      <c r="C195" s="64" t="s">
        <v>570</v>
      </c>
      <c r="D195" s="64" t="s">
        <v>571</v>
      </c>
      <c r="E195" s="64" t="s">
        <v>29</v>
      </c>
      <c r="F195" s="64" t="s">
        <v>1111</v>
      </c>
      <c r="G195" s="64" t="s">
        <v>327</v>
      </c>
      <c r="H195" s="64" t="s">
        <v>1112</v>
      </c>
      <c r="I195" s="64" t="s">
        <v>575</v>
      </c>
      <c r="J195" s="64" t="s">
        <v>24</v>
      </c>
      <c r="K195" s="64" t="s">
        <v>37</v>
      </c>
      <c r="L195" s="64" t="s">
        <v>31</v>
      </c>
      <c r="M195" s="64" t="s">
        <v>28</v>
      </c>
      <c r="N195" s="64" t="s">
        <v>576</v>
      </c>
      <c r="O195" s="65">
        <v>1</v>
      </c>
      <c r="P195" s="65">
        <v>0</v>
      </c>
      <c r="Q195" s="65">
        <v>0</v>
      </c>
      <c r="R195" s="65">
        <v>1</v>
      </c>
      <c r="S195" s="65">
        <v>100</v>
      </c>
      <c r="T195" s="65">
        <v>0</v>
      </c>
      <c r="U195" s="65">
        <v>0</v>
      </c>
      <c r="V195" s="65">
        <v>100</v>
      </c>
      <c r="W195" s="65">
        <v>100</v>
      </c>
      <c r="X195" s="65">
        <v>0</v>
      </c>
      <c r="Y195" s="65">
        <v>0</v>
      </c>
      <c r="Z195" s="65">
        <v>30</v>
      </c>
      <c r="AA195" s="65">
        <v>0</v>
      </c>
      <c r="AB195" s="65">
        <v>0</v>
      </c>
      <c r="AC195" s="65">
        <v>70</v>
      </c>
      <c r="AD195" s="64" t="s">
        <v>577</v>
      </c>
    </row>
    <row r="196" spans="1:30">
      <c r="A196" s="64" t="s">
        <v>568</v>
      </c>
      <c r="B196" s="64" t="s">
        <v>569</v>
      </c>
      <c r="C196" s="64" t="s">
        <v>570</v>
      </c>
      <c r="D196" s="64" t="s">
        <v>571</v>
      </c>
      <c r="E196" s="64" t="s">
        <v>29</v>
      </c>
      <c r="F196" s="64" t="s">
        <v>1113</v>
      </c>
      <c r="G196" s="64" t="s">
        <v>1114</v>
      </c>
      <c r="H196" s="64" t="s">
        <v>1115</v>
      </c>
      <c r="I196" s="64" t="s">
        <v>575</v>
      </c>
      <c r="J196" s="64" t="s">
        <v>24</v>
      </c>
      <c r="K196" s="64" t="s">
        <v>37</v>
      </c>
      <c r="L196" s="64" t="s">
        <v>31</v>
      </c>
      <c r="M196" s="64" t="s">
        <v>28</v>
      </c>
      <c r="N196" s="64" t="s">
        <v>576</v>
      </c>
      <c r="O196" s="65">
        <v>1</v>
      </c>
      <c r="P196" s="65">
        <v>0</v>
      </c>
      <c r="Q196" s="65">
        <v>0</v>
      </c>
      <c r="R196" s="65">
        <v>1</v>
      </c>
      <c r="S196" s="65">
        <v>100</v>
      </c>
      <c r="T196" s="65">
        <v>0</v>
      </c>
      <c r="U196" s="65">
        <v>0</v>
      </c>
      <c r="V196" s="65">
        <v>100</v>
      </c>
      <c r="W196" s="65">
        <v>100</v>
      </c>
      <c r="X196" s="65">
        <v>0</v>
      </c>
      <c r="Y196" s="65">
        <v>0</v>
      </c>
      <c r="Z196" s="65">
        <v>30</v>
      </c>
      <c r="AA196" s="65">
        <v>0</v>
      </c>
      <c r="AB196" s="65">
        <v>0</v>
      </c>
      <c r="AC196" s="65">
        <v>70</v>
      </c>
      <c r="AD196" s="64" t="s">
        <v>577</v>
      </c>
    </row>
    <row r="197" spans="1:30">
      <c r="A197" s="64" t="s">
        <v>568</v>
      </c>
      <c r="B197" s="64" t="s">
        <v>569</v>
      </c>
      <c r="C197" s="64" t="s">
        <v>570</v>
      </c>
      <c r="D197" s="64" t="s">
        <v>571</v>
      </c>
      <c r="E197" s="64" t="s">
        <v>29</v>
      </c>
      <c r="F197" s="64" t="s">
        <v>1116</v>
      </c>
      <c r="G197" s="64" t="s">
        <v>1117</v>
      </c>
      <c r="H197" s="64" t="s">
        <v>1118</v>
      </c>
      <c r="I197" s="64" t="s">
        <v>575</v>
      </c>
      <c r="J197" s="64" t="s">
        <v>24</v>
      </c>
      <c r="K197" s="64" t="s">
        <v>37</v>
      </c>
      <c r="L197" s="64" t="s">
        <v>31</v>
      </c>
      <c r="M197" s="64" t="s">
        <v>28</v>
      </c>
      <c r="N197" s="64" t="s">
        <v>576</v>
      </c>
      <c r="O197" s="65">
        <v>1</v>
      </c>
      <c r="P197" s="65">
        <v>0</v>
      </c>
      <c r="Q197" s="65">
        <v>0</v>
      </c>
      <c r="R197" s="65">
        <v>1</v>
      </c>
      <c r="S197" s="65">
        <v>100</v>
      </c>
      <c r="T197" s="65">
        <v>0</v>
      </c>
      <c r="U197" s="65">
        <v>0</v>
      </c>
      <c r="V197" s="65">
        <v>100</v>
      </c>
      <c r="W197" s="65">
        <v>100</v>
      </c>
      <c r="X197" s="65">
        <v>0</v>
      </c>
      <c r="Y197" s="65">
        <v>0</v>
      </c>
      <c r="Z197" s="65">
        <v>30</v>
      </c>
      <c r="AA197" s="65">
        <v>0</v>
      </c>
      <c r="AB197" s="65">
        <v>0</v>
      </c>
      <c r="AC197" s="65">
        <v>70</v>
      </c>
      <c r="AD197" s="64" t="s">
        <v>577</v>
      </c>
    </row>
    <row r="198" spans="1:30">
      <c r="A198" s="64" t="s">
        <v>568</v>
      </c>
      <c r="B198" s="64" t="s">
        <v>569</v>
      </c>
      <c r="C198" s="64" t="s">
        <v>570</v>
      </c>
      <c r="D198" s="64" t="s">
        <v>571</v>
      </c>
      <c r="E198" s="64" t="s">
        <v>29</v>
      </c>
      <c r="F198" s="64" t="s">
        <v>1119</v>
      </c>
      <c r="G198" s="64" t="s">
        <v>1120</v>
      </c>
      <c r="H198" s="64" t="s">
        <v>1121</v>
      </c>
      <c r="I198" s="64" t="s">
        <v>575</v>
      </c>
      <c r="J198" s="64" t="s">
        <v>24</v>
      </c>
      <c r="K198" s="64" t="s">
        <v>37</v>
      </c>
      <c r="L198" s="64" t="s">
        <v>31</v>
      </c>
      <c r="M198" s="64" t="s">
        <v>28</v>
      </c>
      <c r="N198" s="64" t="s">
        <v>576</v>
      </c>
      <c r="O198" s="65">
        <v>1</v>
      </c>
      <c r="P198" s="65">
        <v>0</v>
      </c>
      <c r="Q198" s="65">
        <v>0</v>
      </c>
      <c r="R198" s="65">
        <v>1</v>
      </c>
      <c r="S198" s="65">
        <v>100</v>
      </c>
      <c r="T198" s="65">
        <v>0</v>
      </c>
      <c r="U198" s="65">
        <v>0</v>
      </c>
      <c r="V198" s="65">
        <v>100</v>
      </c>
      <c r="W198" s="65">
        <v>100</v>
      </c>
      <c r="X198" s="65">
        <v>0</v>
      </c>
      <c r="Y198" s="65">
        <v>0</v>
      </c>
      <c r="Z198" s="65">
        <v>30</v>
      </c>
      <c r="AA198" s="65">
        <v>0</v>
      </c>
      <c r="AB198" s="65">
        <v>0</v>
      </c>
      <c r="AC198" s="65">
        <v>70</v>
      </c>
      <c r="AD198" s="64" t="s">
        <v>577</v>
      </c>
    </row>
    <row r="199" spans="1:30">
      <c r="A199" s="64" t="s">
        <v>568</v>
      </c>
      <c r="B199" s="64" t="s">
        <v>569</v>
      </c>
      <c r="C199" s="64" t="s">
        <v>570</v>
      </c>
      <c r="D199" s="64" t="s">
        <v>571</v>
      </c>
      <c r="E199" s="64" t="s">
        <v>29</v>
      </c>
      <c r="F199" s="64" t="s">
        <v>1122</v>
      </c>
      <c r="G199" s="64" t="s">
        <v>1123</v>
      </c>
      <c r="H199" s="64" t="s">
        <v>1124</v>
      </c>
      <c r="I199" s="64" t="s">
        <v>575</v>
      </c>
      <c r="J199" s="64" t="s">
        <v>24</v>
      </c>
      <c r="K199" s="64" t="s">
        <v>37</v>
      </c>
      <c r="L199" s="64" t="s">
        <v>31</v>
      </c>
      <c r="M199" s="64" t="s">
        <v>28</v>
      </c>
      <c r="N199" s="64" t="s">
        <v>576</v>
      </c>
      <c r="O199" s="65">
        <v>1</v>
      </c>
      <c r="P199" s="65">
        <v>0</v>
      </c>
      <c r="Q199" s="65">
        <v>0</v>
      </c>
      <c r="R199" s="65">
        <v>1</v>
      </c>
      <c r="S199" s="65">
        <v>100</v>
      </c>
      <c r="T199" s="65">
        <v>0</v>
      </c>
      <c r="U199" s="65">
        <v>0</v>
      </c>
      <c r="V199" s="65">
        <v>100</v>
      </c>
      <c r="W199" s="65">
        <v>100</v>
      </c>
      <c r="X199" s="65">
        <v>0</v>
      </c>
      <c r="Y199" s="65">
        <v>0</v>
      </c>
      <c r="Z199" s="65">
        <v>30</v>
      </c>
      <c r="AA199" s="65">
        <v>0</v>
      </c>
      <c r="AB199" s="65">
        <v>0</v>
      </c>
      <c r="AC199" s="65">
        <v>70</v>
      </c>
      <c r="AD199" s="64" t="s">
        <v>577</v>
      </c>
    </row>
    <row r="200" spans="1:30">
      <c r="A200" s="64" t="s">
        <v>568</v>
      </c>
      <c r="B200" s="64" t="s">
        <v>569</v>
      </c>
      <c r="C200" s="64" t="s">
        <v>570</v>
      </c>
      <c r="D200" s="64" t="s">
        <v>571</v>
      </c>
      <c r="E200" s="64" t="s">
        <v>29</v>
      </c>
      <c r="F200" s="64" t="s">
        <v>1125</v>
      </c>
      <c r="G200" s="64" t="s">
        <v>1126</v>
      </c>
      <c r="H200" s="64" t="s">
        <v>1127</v>
      </c>
      <c r="I200" s="64" t="s">
        <v>575</v>
      </c>
      <c r="J200" s="64" t="s">
        <v>24</v>
      </c>
      <c r="K200" s="64" t="s">
        <v>37</v>
      </c>
      <c r="L200" s="64" t="s">
        <v>31</v>
      </c>
      <c r="M200" s="64" t="s">
        <v>28</v>
      </c>
      <c r="N200" s="64" t="s">
        <v>576</v>
      </c>
      <c r="O200" s="65">
        <v>1</v>
      </c>
      <c r="P200" s="65">
        <v>0</v>
      </c>
      <c r="Q200" s="65">
        <v>0</v>
      </c>
      <c r="R200" s="65">
        <v>1</v>
      </c>
      <c r="S200" s="65">
        <v>100</v>
      </c>
      <c r="T200" s="65">
        <v>0</v>
      </c>
      <c r="U200" s="65">
        <v>0</v>
      </c>
      <c r="V200" s="65">
        <v>100</v>
      </c>
      <c r="W200" s="65">
        <v>100</v>
      </c>
      <c r="X200" s="65">
        <v>0</v>
      </c>
      <c r="Y200" s="65">
        <v>0</v>
      </c>
      <c r="Z200" s="65">
        <v>30</v>
      </c>
      <c r="AA200" s="65">
        <v>0</v>
      </c>
      <c r="AB200" s="65">
        <v>0</v>
      </c>
      <c r="AC200" s="65">
        <v>70</v>
      </c>
      <c r="AD200" s="64" t="s">
        <v>577</v>
      </c>
    </row>
    <row r="201" spans="1:30">
      <c r="A201" s="64" t="s">
        <v>568</v>
      </c>
      <c r="B201" s="64" t="s">
        <v>569</v>
      </c>
      <c r="C201" s="64" t="s">
        <v>570</v>
      </c>
      <c r="D201" s="64" t="s">
        <v>571</v>
      </c>
      <c r="E201" s="64" t="s">
        <v>29</v>
      </c>
      <c r="F201" s="64" t="s">
        <v>1128</v>
      </c>
      <c r="G201" s="64" t="s">
        <v>1129</v>
      </c>
      <c r="H201" s="64" t="s">
        <v>1130</v>
      </c>
      <c r="I201" s="64" t="s">
        <v>575</v>
      </c>
      <c r="J201" s="64" t="s">
        <v>24</v>
      </c>
      <c r="K201" s="64" t="s">
        <v>37</v>
      </c>
      <c r="L201" s="64" t="s">
        <v>31</v>
      </c>
      <c r="M201" s="64" t="s">
        <v>28</v>
      </c>
      <c r="N201" s="64" t="s">
        <v>576</v>
      </c>
      <c r="O201" s="65">
        <v>1</v>
      </c>
      <c r="P201" s="65">
        <v>0</v>
      </c>
      <c r="Q201" s="65">
        <v>0</v>
      </c>
      <c r="R201" s="65">
        <v>1</v>
      </c>
      <c r="S201" s="65">
        <v>100</v>
      </c>
      <c r="T201" s="65">
        <v>0</v>
      </c>
      <c r="U201" s="65">
        <v>0</v>
      </c>
      <c r="V201" s="65">
        <v>100</v>
      </c>
      <c r="W201" s="65">
        <v>100</v>
      </c>
      <c r="X201" s="65">
        <v>0</v>
      </c>
      <c r="Y201" s="65">
        <v>0</v>
      </c>
      <c r="Z201" s="65">
        <v>30</v>
      </c>
      <c r="AA201" s="65">
        <v>0</v>
      </c>
      <c r="AB201" s="65">
        <v>0</v>
      </c>
      <c r="AC201" s="65">
        <v>70</v>
      </c>
      <c r="AD201" s="64" t="s">
        <v>577</v>
      </c>
    </row>
    <row r="202" spans="1:30">
      <c r="A202" s="64" t="s">
        <v>568</v>
      </c>
      <c r="B202" s="64" t="s">
        <v>569</v>
      </c>
      <c r="C202" s="64" t="s">
        <v>570</v>
      </c>
      <c r="D202" s="64" t="s">
        <v>571</v>
      </c>
      <c r="E202" s="64" t="s">
        <v>29</v>
      </c>
      <c r="F202" s="64" t="s">
        <v>1131</v>
      </c>
      <c r="G202" s="64" t="s">
        <v>1132</v>
      </c>
      <c r="H202" s="64" t="s">
        <v>1133</v>
      </c>
      <c r="I202" s="64" t="s">
        <v>575</v>
      </c>
      <c r="J202" s="64" t="s">
        <v>24</v>
      </c>
      <c r="K202" s="64" t="s">
        <v>37</v>
      </c>
      <c r="L202" s="64" t="s">
        <v>31</v>
      </c>
      <c r="M202" s="64" t="s">
        <v>28</v>
      </c>
      <c r="N202" s="64" t="s">
        <v>576</v>
      </c>
      <c r="O202" s="65">
        <v>1</v>
      </c>
      <c r="P202" s="65">
        <v>0</v>
      </c>
      <c r="Q202" s="65">
        <v>0</v>
      </c>
      <c r="R202" s="65">
        <v>1</v>
      </c>
      <c r="S202" s="65">
        <v>100</v>
      </c>
      <c r="T202" s="65">
        <v>0</v>
      </c>
      <c r="U202" s="65">
        <v>0</v>
      </c>
      <c r="V202" s="65">
        <v>100</v>
      </c>
      <c r="W202" s="65">
        <v>100</v>
      </c>
      <c r="X202" s="65">
        <v>0</v>
      </c>
      <c r="Y202" s="65">
        <v>0</v>
      </c>
      <c r="Z202" s="65">
        <v>30</v>
      </c>
      <c r="AA202" s="65">
        <v>0</v>
      </c>
      <c r="AB202" s="65">
        <v>0</v>
      </c>
      <c r="AC202" s="65">
        <v>70</v>
      </c>
      <c r="AD202" s="64" t="s">
        <v>577</v>
      </c>
    </row>
    <row r="203" spans="1:30">
      <c r="A203" s="64" t="s">
        <v>568</v>
      </c>
      <c r="B203" s="64" t="s">
        <v>569</v>
      </c>
      <c r="C203" s="64" t="s">
        <v>570</v>
      </c>
      <c r="D203" s="64" t="s">
        <v>571</v>
      </c>
      <c r="E203" s="64" t="s">
        <v>29</v>
      </c>
      <c r="F203" s="64" t="s">
        <v>1134</v>
      </c>
      <c r="G203" s="64" t="s">
        <v>1135</v>
      </c>
      <c r="H203" s="64" t="s">
        <v>1136</v>
      </c>
      <c r="I203" s="64" t="s">
        <v>575</v>
      </c>
      <c r="J203" s="64" t="s">
        <v>24</v>
      </c>
      <c r="K203" s="64" t="s">
        <v>37</v>
      </c>
      <c r="L203" s="64" t="s">
        <v>31</v>
      </c>
      <c r="M203" s="64" t="s">
        <v>28</v>
      </c>
      <c r="N203" s="64" t="s">
        <v>576</v>
      </c>
      <c r="O203" s="65">
        <v>1</v>
      </c>
      <c r="P203" s="65">
        <v>0</v>
      </c>
      <c r="Q203" s="65">
        <v>0</v>
      </c>
      <c r="R203" s="65">
        <v>1</v>
      </c>
      <c r="S203" s="65">
        <v>100</v>
      </c>
      <c r="T203" s="65">
        <v>0</v>
      </c>
      <c r="U203" s="65">
        <v>0</v>
      </c>
      <c r="V203" s="65">
        <v>100</v>
      </c>
      <c r="W203" s="65">
        <v>100</v>
      </c>
      <c r="X203" s="65">
        <v>0</v>
      </c>
      <c r="Y203" s="65">
        <v>0</v>
      </c>
      <c r="Z203" s="65">
        <v>30</v>
      </c>
      <c r="AA203" s="65">
        <v>0</v>
      </c>
      <c r="AB203" s="65">
        <v>0</v>
      </c>
      <c r="AC203" s="65">
        <v>70</v>
      </c>
      <c r="AD203" s="64" t="s">
        <v>577</v>
      </c>
    </row>
    <row r="204" spans="1:30">
      <c r="A204" s="64" t="s">
        <v>568</v>
      </c>
      <c r="B204" s="64" t="s">
        <v>569</v>
      </c>
      <c r="C204" s="64" t="s">
        <v>570</v>
      </c>
      <c r="D204" s="64" t="s">
        <v>571</v>
      </c>
      <c r="E204" s="64" t="s">
        <v>29</v>
      </c>
      <c r="F204" s="64" t="s">
        <v>1137</v>
      </c>
      <c r="G204" s="64" t="s">
        <v>1138</v>
      </c>
      <c r="H204" s="64" t="s">
        <v>1139</v>
      </c>
      <c r="I204" s="64" t="s">
        <v>575</v>
      </c>
      <c r="J204" s="64" t="s">
        <v>24</v>
      </c>
      <c r="K204" s="64" t="s">
        <v>37</v>
      </c>
      <c r="L204" s="64" t="s">
        <v>31</v>
      </c>
      <c r="M204" s="64" t="s">
        <v>28</v>
      </c>
      <c r="N204" s="64" t="s">
        <v>576</v>
      </c>
      <c r="O204" s="65">
        <v>1</v>
      </c>
      <c r="P204" s="65">
        <v>0</v>
      </c>
      <c r="Q204" s="65">
        <v>0</v>
      </c>
      <c r="R204" s="65">
        <v>1</v>
      </c>
      <c r="S204" s="65">
        <v>100</v>
      </c>
      <c r="T204" s="65">
        <v>0</v>
      </c>
      <c r="U204" s="65">
        <v>0</v>
      </c>
      <c r="V204" s="65">
        <v>100</v>
      </c>
      <c r="W204" s="65">
        <v>100</v>
      </c>
      <c r="X204" s="65">
        <v>0</v>
      </c>
      <c r="Y204" s="65">
        <v>0</v>
      </c>
      <c r="Z204" s="65">
        <v>30</v>
      </c>
      <c r="AA204" s="65">
        <v>0</v>
      </c>
      <c r="AB204" s="65">
        <v>0</v>
      </c>
      <c r="AC204" s="65">
        <v>70</v>
      </c>
      <c r="AD204" s="64" t="s">
        <v>577</v>
      </c>
    </row>
    <row r="205" spans="1:30">
      <c r="A205" s="64" t="s">
        <v>568</v>
      </c>
      <c r="B205" s="64" t="s">
        <v>569</v>
      </c>
      <c r="C205" s="64" t="s">
        <v>570</v>
      </c>
      <c r="D205" s="64" t="s">
        <v>571</v>
      </c>
      <c r="E205" s="64" t="s">
        <v>29</v>
      </c>
      <c r="F205" s="64" t="s">
        <v>1140</v>
      </c>
      <c r="G205" s="64" t="s">
        <v>1141</v>
      </c>
      <c r="H205" s="64" t="s">
        <v>1142</v>
      </c>
      <c r="I205" s="64" t="s">
        <v>575</v>
      </c>
      <c r="J205" s="64" t="s">
        <v>24</v>
      </c>
      <c r="K205" s="64" t="s">
        <v>37</v>
      </c>
      <c r="L205" s="64" t="s">
        <v>31</v>
      </c>
      <c r="M205" s="64" t="s">
        <v>28</v>
      </c>
      <c r="N205" s="64" t="s">
        <v>576</v>
      </c>
      <c r="O205" s="65">
        <v>1</v>
      </c>
      <c r="P205" s="65">
        <v>0</v>
      </c>
      <c r="Q205" s="65">
        <v>0</v>
      </c>
      <c r="R205" s="65">
        <v>1</v>
      </c>
      <c r="S205" s="65">
        <v>100</v>
      </c>
      <c r="T205" s="65">
        <v>0</v>
      </c>
      <c r="U205" s="65">
        <v>0</v>
      </c>
      <c r="V205" s="65">
        <v>100</v>
      </c>
      <c r="W205" s="65">
        <v>100</v>
      </c>
      <c r="X205" s="65">
        <v>0</v>
      </c>
      <c r="Y205" s="65">
        <v>0</v>
      </c>
      <c r="Z205" s="65">
        <v>30</v>
      </c>
      <c r="AA205" s="65">
        <v>0</v>
      </c>
      <c r="AB205" s="65">
        <v>0</v>
      </c>
      <c r="AC205" s="65">
        <v>70</v>
      </c>
      <c r="AD205" s="64" t="s">
        <v>577</v>
      </c>
    </row>
    <row r="206" spans="1:30">
      <c r="A206" s="64" t="s">
        <v>568</v>
      </c>
      <c r="B206" s="64" t="s">
        <v>569</v>
      </c>
      <c r="C206" s="64" t="s">
        <v>570</v>
      </c>
      <c r="D206" s="64" t="s">
        <v>571</v>
      </c>
      <c r="E206" s="64" t="s">
        <v>29</v>
      </c>
      <c r="F206" s="64" t="s">
        <v>1143</v>
      </c>
      <c r="G206" s="64" t="s">
        <v>1144</v>
      </c>
      <c r="H206" s="64" t="s">
        <v>1145</v>
      </c>
      <c r="I206" s="64" t="s">
        <v>575</v>
      </c>
      <c r="J206" s="64" t="s">
        <v>24</v>
      </c>
      <c r="K206" s="64" t="s">
        <v>37</v>
      </c>
      <c r="L206" s="64" t="s">
        <v>31</v>
      </c>
      <c r="M206" s="64" t="s">
        <v>28</v>
      </c>
      <c r="N206" s="64" t="s">
        <v>576</v>
      </c>
      <c r="O206" s="65">
        <v>1</v>
      </c>
      <c r="P206" s="65">
        <v>0</v>
      </c>
      <c r="Q206" s="65">
        <v>0</v>
      </c>
      <c r="R206" s="65">
        <v>1</v>
      </c>
      <c r="S206" s="65">
        <v>100</v>
      </c>
      <c r="T206" s="65">
        <v>0</v>
      </c>
      <c r="U206" s="65">
        <v>0</v>
      </c>
      <c r="V206" s="65">
        <v>100</v>
      </c>
      <c r="W206" s="65">
        <v>100</v>
      </c>
      <c r="X206" s="65">
        <v>0</v>
      </c>
      <c r="Y206" s="65">
        <v>0</v>
      </c>
      <c r="Z206" s="65">
        <v>30</v>
      </c>
      <c r="AA206" s="65">
        <v>0</v>
      </c>
      <c r="AB206" s="65">
        <v>0</v>
      </c>
      <c r="AC206" s="65">
        <v>70</v>
      </c>
      <c r="AD206" s="64" t="s">
        <v>577</v>
      </c>
    </row>
    <row r="207" spans="1:30">
      <c r="A207" s="64" t="s">
        <v>568</v>
      </c>
      <c r="B207" s="64" t="s">
        <v>569</v>
      </c>
      <c r="C207" s="64" t="s">
        <v>570</v>
      </c>
      <c r="D207" s="64" t="s">
        <v>571</v>
      </c>
      <c r="E207" s="64" t="s">
        <v>29</v>
      </c>
      <c r="F207" s="64" t="s">
        <v>1146</v>
      </c>
      <c r="G207" s="64" t="s">
        <v>1147</v>
      </c>
      <c r="H207" s="64" t="s">
        <v>1148</v>
      </c>
      <c r="I207" s="64" t="s">
        <v>575</v>
      </c>
      <c r="J207" s="64" t="s">
        <v>24</v>
      </c>
      <c r="K207" s="64" t="s">
        <v>37</v>
      </c>
      <c r="L207" s="64" t="s">
        <v>31</v>
      </c>
      <c r="M207" s="64" t="s">
        <v>28</v>
      </c>
      <c r="N207" s="64" t="s">
        <v>576</v>
      </c>
      <c r="O207" s="65">
        <v>1</v>
      </c>
      <c r="P207" s="65">
        <v>0</v>
      </c>
      <c r="Q207" s="65">
        <v>0</v>
      </c>
      <c r="R207" s="65">
        <v>1</v>
      </c>
      <c r="S207" s="65">
        <v>100</v>
      </c>
      <c r="T207" s="65">
        <v>0</v>
      </c>
      <c r="U207" s="65">
        <v>0</v>
      </c>
      <c r="V207" s="65">
        <v>100</v>
      </c>
      <c r="W207" s="65">
        <v>100</v>
      </c>
      <c r="X207" s="65">
        <v>0</v>
      </c>
      <c r="Y207" s="65">
        <v>0</v>
      </c>
      <c r="Z207" s="65">
        <v>30</v>
      </c>
      <c r="AA207" s="65">
        <v>0</v>
      </c>
      <c r="AB207" s="65">
        <v>0</v>
      </c>
      <c r="AC207" s="65">
        <v>70</v>
      </c>
      <c r="AD207" s="64" t="s">
        <v>577</v>
      </c>
    </row>
    <row r="208" spans="1:30">
      <c r="A208" s="64" t="s">
        <v>568</v>
      </c>
      <c r="B208" s="64" t="s">
        <v>569</v>
      </c>
      <c r="C208" s="64" t="s">
        <v>570</v>
      </c>
      <c r="D208" s="64" t="s">
        <v>571</v>
      </c>
      <c r="E208" s="64" t="s">
        <v>29</v>
      </c>
      <c r="F208" s="64" t="s">
        <v>1149</v>
      </c>
      <c r="G208" s="64" t="s">
        <v>1150</v>
      </c>
      <c r="H208" s="64" t="s">
        <v>1151</v>
      </c>
      <c r="I208" s="64" t="s">
        <v>575</v>
      </c>
      <c r="J208" s="64" t="s">
        <v>24</v>
      </c>
      <c r="K208" s="64" t="s">
        <v>37</v>
      </c>
      <c r="L208" s="64" t="s">
        <v>31</v>
      </c>
      <c r="M208" s="64" t="s">
        <v>28</v>
      </c>
      <c r="N208" s="64" t="s">
        <v>576</v>
      </c>
      <c r="O208" s="65">
        <v>1</v>
      </c>
      <c r="P208" s="65">
        <v>0</v>
      </c>
      <c r="Q208" s="65">
        <v>0</v>
      </c>
      <c r="R208" s="65">
        <v>1</v>
      </c>
      <c r="S208" s="65">
        <v>100</v>
      </c>
      <c r="T208" s="65">
        <v>0</v>
      </c>
      <c r="U208" s="65">
        <v>0</v>
      </c>
      <c r="V208" s="65">
        <v>100</v>
      </c>
      <c r="W208" s="65">
        <v>100</v>
      </c>
      <c r="X208" s="65">
        <v>0</v>
      </c>
      <c r="Y208" s="65">
        <v>0</v>
      </c>
      <c r="Z208" s="65">
        <v>30</v>
      </c>
      <c r="AA208" s="65">
        <v>0</v>
      </c>
      <c r="AB208" s="65">
        <v>0</v>
      </c>
      <c r="AC208" s="65">
        <v>70</v>
      </c>
      <c r="AD208" s="64" t="s">
        <v>577</v>
      </c>
    </row>
    <row r="209" spans="1:30">
      <c r="A209" s="64" t="s">
        <v>568</v>
      </c>
      <c r="B209" s="64" t="s">
        <v>569</v>
      </c>
      <c r="C209" s="64" t="s">
        <v>570</v>
      </c>
      <c r="D209" s="64" t="s">
        <v>571</v>
      </c>
      <c r="E209" s="64" t="s">
        <v>29</v>
      </c>
      <c r="F209" s="64" t="s">
        <v>1152</v>
      </c>
      <c r="G209" s="64" t="s">
        <v>1153</v>
      </c>
      <c r="H209" s="64" t="s">
        <v>1154</v>
      </c>
      <c r="I209" s="64" t="s">
        <v>575</v>
      </c>
      <c r="J209" s="64" t="s">
        <v>24</v>
      </c>
      <c r="K209" s="64" t="s">
        <v>37</v>
      </c>
      <c r="L209" s="64" t="s">
        <v>31</v>
      </c>
      <c r="M209" s="64" t="s">
        <v>28</v>
      </c>
      <c r="N209" s="64" t="s">
        <v>576</v>
      </c>
      <c r="O209" s="65">
        <v>1</v>
      </c>
      <c r="P209" s="65">
        <v>0</v>
      </c>
      <c r="Q209" s="65">
        <v>0</v>
      </c>
      <c r="R209" s="65">
        <v>1</v>
      </c>
      <c r="S209" s="65">
        <v>100</v>
      </c>
      <c r="T209" s="65">
        <v>0</v>
      </c>
      <c r="U209" s="65">
        <v>0</v>
      </c>
      <c r="V209" s="65">
        <v>100</v>
      </c>
      <c r="W209" s="65">
        <v>100</v>
      </c>
      <c r="X209" s="65">
        <v>0</v>
      </c>
      <c r="Y209" s="65">
        <v>0</v>
      </c>
      <c r="Z209" s="65">
        <v>30</v>
      </c>
      <c r="AA209" s="65">
        <v>0</v>
      </c>
      <c r="AB209" s="65">
        <v>0</v>
      </c>
      <c r="AC209" s="65">
        <v>70</v>
      </c>
      <c r="AD209" s="64" t="s">
        <v>577</v>
      </c>
    </row>
    <row r="210" spans="1:30">
      <c r="A210" s="64" t="s">
        <v>568</v>
      </c>
      <c r="B210" s="64" t="s">
        <v>569</v>
      </c>
      <c r="C210" s="64" t="s">
        <v>570</v>
      </c>
      <c r="D210" s="64" t="s">
        <v>571</v>
      </c>
      <c r="E210" s="64" t="s">
        <v>29</v>
      </c>
      <c r="F210" s="64" t="s">
        <v>1155</v>
      </c>
      <c r="G210" s="64" t="s">
        <v>1156</v>
      </c>
      <c r="H210" s="64" t="s">
        <v>1157</v>
      </c>
      <c r="I210" s="64" t="s">
        <v>575</v>
      </c>
      <c r="J210" s="64" t="s">
        <v>24</v>
      </c>
      <c r="K210" s="64" t="s">
        <v>37</v>
      </c>
      <c r="L210" s="64" t="s">
        <v>31</v>
      </c>
      <c r="M210" s="64" t="s">
        <v>28</v>
      </c>
      <c r="N210" s="64" t="s">
        <v>576</v>
      </c>
      <c r="O210" s="65">
        <v>1</v>
      </c>
      <c r="P210" s="65">
        <v>0</v>
      </c>
      <c r="Q210" s="65">
        <v>0</v>
      </c>
      <c r="R210" s="65">
        <v>1</v>
      </c>
      <c r="S210" s="65">
        <v>100</v>
      </c>
      <c r="T210" s="65">
        <v>0</v>
      </c>
      <c r="U210" s="65">
        <v>0</v>
      </c>
      <c r="V210" s="65">
        <v>100</v>
      </c>
      <c r="W210" s="65">
        <v>100</v>
      </c>
      <c r="X210" s="65">
        <v>0</v>
      </c>
      <c r="Y210" s="65">
        <v>0</v>
      </c>
      <c r="Z210" s="65">
        <v>30</v>
      </c>
      <c r="AA210" s="65">
        <v>0</v>
      </c>
      <c r="AB210" s="65">
        <v>0</v>
      </c>
      <c r="AC210" s="65">
        <v>70</v>
      </c>
      <c r="AD210" s="64" t="s">
        <v>577</v>
      </c>
    </row>
    <row r="211" spans="1:30">
      <c r="A211" s="64" t="s">
        <v>568</v>
      </c>
      <c r="B211" s="64" t="s">
        <v>569</v>
      </c>
      <c r="C211" s="64" t="s">
        <v>570</v>
      </c>
      <c r="D211" s="64" t="s">
        <v>571</v>
      </c>
      <c r="E211" s="64" t="s">
        <v>29</v>
      </c>
      <c r="F211" s="64" t="s">
        <v>1158</v>
      </c>
      <c r="G211" s="64" t="s">
        <v>1159</v>
      </c>
      <c r="H211" s="64" t="s">
        <v>1160</v>
      </c>
      <c r="I211" s="64" t="s">
        <v>575</v>
      </c>
      <c r="J211" s="64" t="s">
        <v>24</v>
      </c>
      <c r="K211" s="64" t="s">
        <v>37</v>
      </c>
      <c r="L211" s="64" t="s">
        <v>31</v>
      </c>
      <c r="M211" s="64" t="s">
        <v>28</v>
      </c>
      <c r="N211" s="64" t="s">
        <v>576</v>
      </c>
      <c r="O211" s="65">
        <v>1</v>
      </c>
      <c r="P211" s="65">
        <v>0</v>
      </c>
      <c r="Q211" s="65">
        <v>0</v>
      </c>
      <c r="R211" s="65">
        <v>1</v>
      </c>
      <c r="S211" s="65">
        <v>100</v>
      </c>
      <c r="T211" s="65">
        <v>0</v>
      </c>
      <c r="U211" s="65">
        <v>0</v>
      </c>
      <c r="V211" s="65">
        <v>100</v>
      </c>
      <c r="W211" s="65">
        <v>100</v>
      </c>
      <c r="X211" s="65">
        <v>0</v>
      </c>
      <c r="Y211" s="65">
        <v>0</v>
      </c>
      <c r="Z211" s="65">
        <v>30</v>
      </c>
      <c r="AA211" s="65">
        <v>0</v>
      </c>
      <c r="AB211" s="65">
        <v>0</v>
      </c>
      <c r="AC211" s="65">
        <v>70</v>
      </c>
      <c r="AD211" s="64" t="s">
        <v>577</v>
      </c>
    </row>
    <row r="212" spans="1:30">
      <c r="A212" s="64" t="s">
        <v>568</v>
      </c>
      <c r="B212" s="64" t="s">
        <v>569</v>
      </c>
      <c r="C212" s="64" t="s">
        <v>570</v>
      </c>
      <c r="D212" s="64" t="s">
        <v>571</v>
      </c>
      <c r="E212" s="64" t="s">
        <v>29</v>
      </c>
      <c r="F212" s="64" t="s">
        <v>1161</v>
      </c>
      <c r="G212" s="64" t="s">
        <v>1162</v>
      </c>
      <c r="H212" s="64" t="s">
        <v>1163</v>
      </c>
      <c r="I212" s="64" t="s">
        <v>575</v>
      </c>
      <c r="J212" s="64" t="s">
        <v>24</v>
      </c>
      <c r="K212" s="64" t="s">
        <v>37</v>
      </c>
      <c r="L212" s="64" t="s">
        <v>31</v>
      </c>
      <c r="M212" s="64" t="s">
        <v>28</v>
      </c>
      <c r="N212" s="64" t="s">
        <v>576</v>
      </c>
      <c r="O212" s="65">
        <v>1</v>
      </c>
      <c r="P212" s="65">
        <v>0</v>
      </c>
      <c r="Q212" s="65">
        <v>0</v>
      </c>
      <c r="R212" s="65">
        <v>1</v>
      </c>
      <c r="S212" s="65">
        <v>100</v>
      </c>
      <c r="T212" s="65">
        <v>0</v>
      </c>
      <c r="U212" s="65">
        <v>0</v>
      </c>
      <c r="V212" s="65">
        <v>100</v>
      </c>
      <c r="W212" s="65">
        <v>100</v>
      </c>
      <c r="X212" s="65">
        <v>0</v>
      </c>
      <c r="Y212" s="65">
        <v>0</v>
      </c>
      <c r="Z212" s="65">
        <v>30</v>
      </c>
      <c r="AA212" s="65">
        <v>0</v>
      </c>
      <c r="AB212" s="65">
        <v>0</v>
      </c>
      <c r="AC212" s="65">
        <v>70</v>
      </c>
      <c r="AD212" s="64" t="s">
        <v>577</v>
      </c>
    </row>
    <row r="213" spans="1:30">
      <c r="A213" s="64" t="s">
        <v>568</v>
      </c>
      <c r="B213" s="64" t="s">
        <v>569</v>
      </c>
      <c r="C213" s="64" t="s">
        <v>570</v>
      </c>
      <c r="D213" s="64" t="s">
        <v>1164</v>
      </c>
      <c r="E213" s="64" t="s">
        <v>29</v>
      </c>
      <c r="F213" s="64" t="s">
        <v>29</v>
      </c>
      <c r="G213" s="64" t="s">
        <v>34</v>
      </c>
      <c r="H213" s="64" t="s">
        <v>1165</v>
      </c>
      <c r="I213" s="64" t="s">
        <v>575</v>
      </c>
      <c r="J213" s="64" t="s">
        <v>24</v>
      </c>
      <c r="K213" s="64" t="s">
        <v>37</v>
      </c>
      <c r="L213" s="64" t="s">
        <v>31</v>
      </c>
      <c r="M213" s="64" t="s">
        <v>28</v>
      </c>
      <c r="N213" s="64" t="s">
        <v>1166</v>
      </c>
      <c r="O213" s="65">
        <v>1</v>
      </c>
      <c r="P213" s="65">
        <v>0</v>
      </c>
      <c r="Q213" s="65">
        <v>0</v>
      </c>
      <c r="R213" s="65">
        <v>1</v>
      </c>
      <c r="S213" s="65">
        <v>6400</v>
      </c>
      <c r="T213" s="65">
        <v>0</v>
      </c>
      <c r="U213" s="65">
        <v>0</v>
      </c>
      <c r="V213" s="65">
        <v>6400</v>
      </c>
      <c r="W213" s="65">
        <v>6400</v>
      </c>
      <c r="X213" s="65">
        <v>0</v>
      </c>
      <c r="Y213" s="65">
        <v>0</v>
      </c>
      <c r="Z213" s="65">
        <v>1920</v>
      </c>
      <c r="AA213" s="65">
        <v>0</v>
      </c>
      <c r="AB213" s="65">
        <v>0</v>
      </c>
      <c r="AC213" s="65">
        <v>4480</v>
      </c>
      <c r="AD213" s="64" t="s">
        <v>577</v>
      </c>
    </row>
    <row r="214" spans="1:30">
      <c r="A214" s="64" t="s">
        <v>568</v>
      </c>
      <c r="B214" s="64" t="s">
        <v>569</v>
      </c>
      <c r="C214" s="64" t="s">
        <v>570</v>
      </c>
      <c r="D214" s="64" t="s">
        <v>1164</v>
      </c>
      <c r="E214" s="64" t="s">
        <v>29</v>
      </c>
      <c r="F214" s="64" t="s">
        <v>29</v>
      </c>
      <c r="G214" s="64" t="s">
        <v>34</v>
      </c>
      <c r="H214" s="64" t="s">
        <v>1167</v>
      </c>
      <c r="I214" s="64" t="s">
        <v>575</v>
      </c>
      <c r="J214" s="64" t="s">
        <v>24</v>
      </c>
      <c r="K214" s="64" t="s">
        <v>37</v>
      </c>
      <c r="L214" s="64" t="s">
        <v>31</v>
      </c>
      <c r="M214" s="64" t="s">
        <v>28</v>
      </c>
      <c r="N214" s="64" t="s">
        <v>1166</v>
      </c>
      <c r="O214" s="65">
        <v>14</v>
      </c>
      <c r="P214" s="65">
        <v>0</v>
      </c>
      <c r="Q214" s="65">
        <v>0</v>
      </c>
      <c r="R214" s="65">
        <v>14</v>
      </c>
      <c r="S214" s="65">
        <v>88200</v>
      </c>
      <c r="T214" s="65">
        <v>0</v>
      </c>
      <c r="U214" s="65">
        <v>0</v>
      </c>
      <c r="V214" s="65">
        <v>88200</v>
      </c>
      <c r="W214" s="65">
        <v>57086</v>
      </c>
      <c r="X214" s="65">
        <v>0</v>
      </c>
      <c r="Y214" s="65">
        <v>31114</v>
      </c>
      <c r="Z214" s="65">
        <v>17125.8</v>
      </c>
      <c r="AA214" s="65">
        <v>9334.2000000000007</v>
      </c>
      <c r="AB214" s="65">
        <v>0</v>
      </c>
      <c r="AC214" s="65">
        <v>61740</v>
      </c>
      <c r="AD214" s="64" t="s">
        <v>577</v>
      </c>
    </row>
    <row r="215" spans="1:30">
      <c r="A215" s="64" t="s">
        <v>568</v>
      </c>
      <c r="B215" s="64" t="s">
        <v>569</v>
      </c>
      <c r="C215" s="64" t="s">
        <v>570</v>
      </c>
      <c r="D215" s="64" t="s">
        <v>1164</v>
      </c>
      <c r="E215" s="64" t="s">
        <v>29</v>
      </c>
      <c r="F215" s="64" t="s">
        <v>115</v>
      </c>
      <c r="G215" s="64" t="s">
        <v>46</v>
      </c>
      <c r="H215" s="64" t="s">
        <v>1168</v>
      </c>
      <c r="I215" s="64" t="s">
        <v>575</v>
      </c>
      <c r="J215" s="64" t="s">
        <v>24</v>
      </c>
      <c r="K215" s="64" t="s">
        <v>37</v>
      </c>
      <c r="L215" s="64" t="s">
        <v>31</v>
      </c>
      <c r="M215" s="64" t="s">
        <v>28</v>
      </c>
      <c r="N215" s="64" t="s">
        <v>1166</v>
      </c>
      <c r="O215" s="65">
        <v>2</v>
      </c>
      <c r="P215" s="65">
        <v>0</v>
      </c>
      <c r="Q215" s="65">
        <v>0</v>
      </c>
      <c r="R215" s="65">
        <v>2</v>
      </c>
      <c r="S215" s="65">
        <v>6400</v>
      </c>
      <c r="T215" s="65">
        <v>0</v>
      </c>
      <c r="U215" s="65">
        <v>0</v>
      </c>
      <c r="V215" s="65">
        <v>6400</v>
      </c>
      <c r="W215" s="65">
        <v>5440</v>
      </c>
      <c r="X215" s="65">
        <v>0</v>
      </c>
      <c r="Y215" s="65">
        <v>960</v>
      </c>
      <c r="Z215" s="65">
        <v>1632</v>
      </c>
      <c r="AA215" s="65">
        <v>288</v>
      </c>
      <c r="AB215" s="65">
        <v>0</v>
      </c>
      <c r="AC215" s="65">
        <v>4480</v>
      </c>
      <c r="AD215" s="64" t="s">
        <v>577</v>
      </c>
    </row>
    <row r="216" spans="1:30">
      <c r="A216" s="64" t="s">
        <v>568</v>
      </c>
      <c r="B216" s="64" t="s">
        <v>569</v>
      </c>
      <c r="C216" s="64" t="s">
        <v>570</v>
      </c>
      <c r="D216" s="64" t="s">
        <v>1164</v>
      </c>
      <c r="E216" s="64" t="s">
        <v>29</v>
      </c>
      <c r="F216" s="64" t="s">
        <v>119</v>
      </c>
      <c r="G216" s="64" t="s">
        <v>51</v>
      </c>
      <c r="H216" s="64" t="s">
        <v>1169</v>
      </c>
      <c r="I216" s="64" t="s">
        <v>575</v>
      </c>
      <c r="J216" s="64" t="s">
        <v>24</v>
      </c>
      <c r="K216" s="64" t="s">
        <v>37</v>
      </c>
      <c r="L216" s="64" t="s">
        <v>31</v>
      </c>
      <c r="M216" s="64" t="s">
        <v>28</v>
      </c>
      <c r="N216" s="64" t="s">
        <v>1166</v>
      </c>
      <c r="O216" s="65">
        <v>1</v>
      </c>
      <c r="P216" s="65">
        <v>0</v>
      </c>
      <c r="Q216" s="65">
        <v>0</v>
      </c>
      <c r="R216" s="65">
        <v>1</v>
      </c>
      <c r="S216" s="65">
        <v>3200</v>
      </c>
      <c r="T216" s="65">
        <v>0</v>
      </c>
      <c r="U216" s="65">
        <v>0</v>
      </c>
      <c r="V216" s="65">
        <v>3200</v>
      </c>
      <c r="W216" s="65">
        <v>3200</v>
      </c>
      <c r="X216" s="65">
        <v>0</v>
      </c>
      <c r="Y216" s="65">
        <v>0</v>
      </c>
      <c r="Z216" s="65">
        <v>960</v>
      </c>
      <c r="AA216" s="65">
        <v>0</v>
      </c>
      <c r="AB216" s="65">
        <v>0</v>
      </c>
      <c r="AC216" s="65">
        <v>2240</v>
      </c>
      <c r="AD216" s="64" t="s">
        <v>577</v>
      </c>
    </row>
    <row r="217" spans="1:30">
      <c r="A217" s="64" t="s">
        <v>568</v>
      </c>
      <c r="B217" s="64" t="s">
        <v>569</v>
      </c>
      <c r="C217" s="64" t="s">
        <v>570</v>
      </c>
      <c r="D217" s="64" t="s">
        <v>1164</v>
      </c>
      <c r="E217" s="64" t="s">
        <v>29</v>
      </c>
      <c r="F217" s="64" t="s">
        <v>110</v>
      </c>
      <c r="G217" s="64" t="s">
        <v>69</v>
      </c>
      <c r="H217" s="64" t="s">
        <v>1170</v>
      </c>
      <c r="I217" s="64" t="s">
        <v>575</v>
      </c>
      <c r="J217" s="64" t="s">
        <v>24</v>
      </c>
      <c r="K217" s="64" t="s">
        <v>37</v>
      </c>
      <c r="L217" s="64" t="s">
        <v>31</v>
      </c>
      <c r="M217" s="64" t="s">
        <v>28</v>
      </c>
      <c r="N217" s="64" t="s">
        <v>1166</v>
      </c>
      <c r="O217" s="65">
        <v>4</v>
      </c>
      <c r="P217" s="65">
        <v>0</v>
      </c>
      <c r="Q217" s="65">
        <v>0</v>
      </c>
      <c r="R217" s="65">
        <v>4</v>
      </c>
      <c r="S217" s="65">
        <v>12800</v>
      </c>
      <c r="T217" s="65">
        <v>0</v>
      </c>
      <c r="U217" s="65">
        <v>0</v>
      </c>
      <c r="V217" s="65">
        <v>12800</v>
      </c>
      <c r="W217" s="65">
        <v>12640</v>
      </c>
      <c r="X217" s="65">
        <v>0</v>
      </c>
      <c r="Y217" s="65">
        <v>160</v>
      </c>
      <c r="Z217" s="65">
        <v>3792</v>
      </c>
      <c r="AA217" s="65">
        <v>48</v>
      </c>
      <c r="AB217" s="65">
        <v>0</v>
      </c>
      <c r="AC217" s="65">
        <v>8960</v>
      </c>
      <c r="AD217" s="64" t="s">
        <v>577</v>
      </c>
    </row>
    <row r="218" spans="1:30">
      <c r="A218" s="64" t="s">
        <v>568</v>
      </c>
      <c r="B218" s="64" t="s">
        <v>569</v>
      </c>
      <c r="C218" s="64" t="s">
        <v>570</v>
      </c>
      <c r="D218" s="64" t="s">
        <v>1164</v>
      </c>
      <c r="E218" s="64" t="s">
        <v>29</v>
      </c>
      <c r="F218" s="64" t="s">
        <v>110</v>
      </c>
      <c r="G218" s="64" t="s">
        <v>69</v>
      </c>
      <c r="H218" s="64" t="s">
        <v>1171</v>
      </c>
      <c r="I218" s="64" t="s">
        <v>575</v>
      </c>
      <c r="J218" s="64" t="s">
        <v>24</v>
      </c>
      <c r="K218" s="64" t="s">
        <v>37</v>
      </c>
      <c r="L218" s="64" t="s">
        <v>31</v>
      </c>
      <c r="M218" s="64" t="s">
        <v>28</v>
      </c>
      <c r="N218" s="64" t="s">
        <v>1166</v>
      </c>
      <c r="O218" s="65">
        <v>1</v>
      </c>
      <c r="P218" s="65">
        <v>0</v>
      </c>
      <c r="Q218" s="65">
        <v>0</v>
      </c>
      <c r="R218" s="65">
        <v>1</v>
      </c>
      <c r="S218" s="65">
        <v>900</v>
      </c>
      <c r="T218" s="65">
        <v>0</v>
      </c>
      <c r="U218" s="65">
        <v>0</v>
      </c>
      <c r="V218" s="65">
        <v>900</v>
      </c>
      <c r="W218" s="65">
        <v>900</v>
      </c>
      <c r="X218" s="65">
        <v>0</v>
      </c>
      <c r="Y218" s="65">
        <v>0</v>
      </c>
      <c r="Z218" s="65">
        <v>270</v>
      </c>
      <c r="AA218" s="65">
        <v>0</v>
      </c>
      <c r="AB218" s="65">
        <v>0</v>
      </c>
      <c r="AC218" s="65">
        <v>630</v>
      </c>
      <c r="AD218" s="64" t="s">
        <v>577</v>
      </c>
    </row>
    <row r="219" spans="1:30">
      <c r="A219" s="64" t="s">
        <v>568</v>
      </c>
      <c r="B219" s="64" t="s">
        <v>569</v>
      </c>
      <c r="C219" s="64" t="s">
        <v>570</v>
      </c>
      <c r="D219" s="64" t="s">
        <v>1164</v>
      </c>
      <c r="E219" s="64" t="s">
        <v>29</v>
      </c>
      <c r="F219" s="64" t="s">
        <v>110</v>
      </c>
      <c r="G219" s="64" t="s">
        <v>69</v>
      </c>
      <c r="H219" s="64" t="s">
        <v>1171</v>
      </c>
      <c r="I219" s="64" t="s">
        <v>575</v>
      </c>
      <c r="J219" s="64" t="s">
        <v>24</v>
      </c>
      <c r="K219" s="64" t="s">
        <v>37</v>
      </c>
      <c r="L219" s="64" t="s">
        <v>31</v>
      </c>
      <c r="M219" s="64" t="s">
        <v>28</v>
      </c>
      <c r="N219" s="64" t="s">
        <v>1166</v>
      </c>
      <c r="O219" s="65">
        <v>115</v>
      </c>
      <c r="P219" s="65">
        <v>0</v>
      </c>
      <c r="Q219" s="65">
        <v>0</v>
      </c>
      <c r="R219" s="65">
        <v>115</v>
      </c>
      <c r="S219" s="65">
        <v>103500</v>
      </c>
      <c r="T219" s="65">
        <v>0</v>
      </c>
      <c r="U219" s="65">
        <v>0</v>
      </c>
      <c r="V219" s="65">
        <v>103500</v>
      </c>
      <c r="W219" s="65">
        <v>83029</v>
      </c>
      <c r="X219" s="65">
        <v>0</v>
      </c>
      <c r="Y219" s="65">
        <v>20471</v>
      </c>
      <c r="Z219" s="65">
        <v>24908.7</v>
      </c>
      <c r="AA219" s="65">
        <v>6141.3</v>
      </c>
      <c r="AB219" s="65">
        <v>0</v>
      </c>
      <c r="AC219" s="65">
        <v>72450</v>
      </c>
      <c r="AD219" s="64" t="s">
        <v>577</v>
      </c>
    </row>
    <row r="220" spans="1:30">
      <c r="A220" s="64" t="s">
        <v>568</v>
      </c>
      <c r="B220" s="64" t="s">
        <v>569</v>
      </c>
      <c r="C220" s="64" t="s">
        <v>570</v>
      </c>
      <c r="D220" s="64" t="s">
        <v>1164</v>
      </c>
      <c r="E220" s="64" t="s">
        <v>29</v>
      </c>
      <c r="F220" s="64" t="s">
        <v>110</v>
      </c>
      <c r="G220" s="64" t="s">
        <v>69</v>
      </c>
      <c r="H220" s="64" t="s">
        <v>1171</v>
      </c>
      <c r="I220" s="64" t="s">
        <v>575</v>
      </c>
      <c r="J220" s="64" t="s">
        <v>24</v>
      </c>
      <c r="K220" s="64" t="s">
        <v>37</v>
      </c>
      <c r="L220" s="64" t="s">
        <v>31</v>
      </c>
      <c r="M220" s="64" t="s">
        <v>28</v>
      </c>
      <c r="N220" s="64" t="s">
        <v>1166</v>
      </c>
      <c r="O220" s="65">
        <v>2</v>
      </c>
      <c r="P220" s="65">
        <v>0</v>
      </c>
      <c r="Q220" s="65">
        <v>0</v>
      </c>
      <c r="R220" s="65">
        <v>2</v>
      </c>
      <c r="S220" s="65">
        <v>1800</v>
      </c>
      <c r="T220" s="65">
        <v>0</v>
      </c>
      <c r="U220" s="65">
        <v>0</v>
      </c>
      <c r="V220" s="65">
        <v>1800</v>
      </c>
      <c r="W220" s="65">
        <v>1800</v>
      </c>
      <c r="X220" s="65">
        <v>0</v>
      </c>
      <c r="Y220" s="65">
        <v>0</v>
      </c>
      <c r="Z220" s="65">
        <v>540</v>
      </c>
      <c r="AA220" s="65">
        <v>0</v>
      </c>
      <c r="AB220" s="65">
        <v>0</v>
      </c>
      <c r="AC220" s="65">
        <v>1260</v>
      </c>
      <c r="AD220" s="64" t="s">
        <v>577</v>
      </c>
    </row>
    <row r="221" spans="1:30">
      <c r="A221" s="64" t="s">
        <v>568</v>
      </c>
      <c r="B221" s="64" t="s">
        <v>569</v>
      </c>
      <c r="C221" s="64" t="s">
        <v>570</v>
      </c>
      <c r="D221" s="64" t="s">
        <v>1164</v>
      </c>
      <c r="E221" s="64" t="s">
        <v>29</v>
      </c>
      <c r="F221" s="64" t="s">
        <v>132</v>
      </c>
      <c r="G221" s="64" t="s">
        <v>64</v>
      </c>
      <c r="H221" s="64" t="s">
        <v>1172</v>
      </c>
      <c r="I221" s="64" t="s">
        <v>575</v>
      </c>
      <c r="J221" s="64" t="s">
        <v>24</v>
      </c>
      <c r="K221" s="64" t="s">
        <v>37</v>
      </c>
      <c r="L221" s="64" t="s">
        <v>31</v>
      </c>
      <c r="M221" s="64" t="s">
        <v>28</v>
      </c>
      <c r="N221" s="64" t="s">
        <v>1166</v>
      </c>
      <c r="O221" s="65">
        <v>5</v>
      </c>
      <c r="P221" s="65">
        <v>0</v>
      </c>
      <c r="Q221" s="65">
        <v>0</v>
      </c>
      <c r="R221" s="65">
        <v>5</v>
      </c>
      <c r="S221" s="65">
        <v>16000</v>
      </c>
      <c r="T221" s="65">
        <v>0</v>
      </c>
      <c r="U221" s="65">
        <v>0</v>
      </c>
      <c r="V221" s="65">
        <v>16000</v>
      </c>
      <c r="W221" s="65">
        <v>15040</v>
      </c>
      <c r="X221" s="65">
        <v>0</v>
      </c>
      <c r="Y221" s="65">
        <v>960</v>
      </c>
      <c r="Z221" s="65">
        <v>4512</v>
      </c>
      <c r="AA221" s="65">
        <v>288</v>
      </c>
      <c r="AB221" s="65">
        <v>0</v>
      </c>
      <c r="AC221" s="65">
        <v>11200</v>
      </c>
      <c r="AD221" s="64" t="s">
        <v>577</v>
      </c>
    </row>
    <row r="222" spans="1:30">
      <c r="A222" s="64" t="s">
        <v>568</v>
      </c>
      <c r="B222" s="64" t="s">
        <v>569</v>
      </c>
      <c r="C222" s="64" t="s">
        <v>570</v>
      </c>
      <c r="D222" s="64" t="s">
        <v>1164</v>
      </c>
      <c r="E222" s="64" t="s">
        <v>29</v>
      </c>
      <c r="F222" s="64" t="s">
        <v>132</v>
      </c>
      <c r="G222" s="64" t="s">
        <v>64</v>
      </c>
      <c r="H222" s="64" t="s">
        <v>1173</v>
      </c>
      <c r="I222" s="64" t="s">
        <v>575</v>
      </c>
      <c r="J222" s="64" t="s">
        <v>24</v>
      </c>
      <c r="K222" s="64" t="s">
        <v>37</v>
      </c>
      <c r="L222" s="64" t="s">
        <v>31</v>
      </c>
      <c r="M222" s="64" t="s">
        <v>28</v>
      </c>
      <c r="N222" s="64" t="s">
        <v>1166</v>
      </c>
      <c r="O222" s="65">
        <v>1</v>
      </c>
      <c r="P222" s="65">
        <v>0</v>
      </c>
      <c r="Q222" s="65">
        <v>0</v>
      </c>
      <c r="R222" s="65">
        <v>1</v>
      </c>
      <c r="S222" s="65">
        <v>900</v>
      </c>
      <c r="T222" s="65">
        <v>0</v>
      </c>
      <c r="U222" s="65">
        <v>0</v>
      </c>
      <c r="V222" s="65">
        <v>900</v>
      </c>
      <c r="W222" s="65">
        <v>900</v>
      </c>
      <c r="X222" s="65">
        <v>0</v>
      </c>
      <c r="Y222" s="65">
        <v>0</v>
      </c>
      <c r="Z222" s="65">
        <v>270</v>
      </c>
      <c r="AA222" s="65">
        <v>0</v>
      </c>
      <c r="AB222" s="65">
        <v>0</v>
      </c>
      <c r="AC222" s="65">
        <v>630</v>
      </c>
      <c r="AD222" s="64" t="s">
        <v>577</v>
      </c>
    </row>
    <row r="223" spans="1:30">
      <c r="A223" s="64" t="s">
        <v>568</v>
      </c>
      <c r="B223" s="64" t="s">
        <v>569</v>
      </c>
      <c r="C223" s="64" t="s">
        <v>570</v>
      </c>
      <c r="D223" s="64" t="s">
        <v>1164</v>
      </c>
      <c r="E223" s="64" t="s">
        <v>29</v>
      </c>
      <c r="F223" s="64" t="s">
        <v>132</v>
      </c>
      <c r="G223" s="64" t="s">
        <v>64</v>
      </c>
      <c r="H223" s="64" t="s">
        <v>1173</v>
      </c>
      <c r="I223" s="64" t="s">
        <v>575</v>
      </c>
      <c r="J223" s="64" t="s">
        <v>24</v>
      </c>
      <c r="K223" s="64" t="s">
        <v>37</v>
      </c>
      <c r="L223" s="64" t="s">
        <v>31</v>
      </c>
      <c r="M223" s="64" t="s">
        <v>28</v>
      </c>
      <c r="N223" s="64" t="s">
        <v>1166</v>
      </c>
      <c r="O223" s="65">
        <v>94</v>
      </c>
      <c r="P223" s="65">
        <v>0</v>
      </c>
      <c r="Q223" s="65">
        <v>0</v>
      </c>
      <c r="R223" s="65">
        <v>94</v>
      </c>
      <c r="S223" s="65">
        <v>84600</v>
      </c>
      <c r="T223" s="65">
        <v>0</v>
      </c>
      <c r="U223" s="65">
        <v>0</v>
      </c>
      <c r="V223" s="65">
        <v>84600</v>
      </c>
      <c r="W223" s="65">
        <v>67200</v>
      </c>
      <c r="X223" s="65">
        <v>0</v>
      </c>
      <c r="Y223" s="65">
        <v>17400</v>
      </c>
      <c r="Z223" s="65">
        <v>20160</v>
      </c>
      <c r="AA223" s="65">
        <v>5220</v>
      </c>
      <c r="AB223" s="65">
        <v>0</v>
      </c>
      <c r="AC223" s="65">
        <v>59220</v>
      </c>
      <c r="AD223" s="64" t="s">
        <v>577</v>
      </c>
    </row>
    <row r="224" spans="1:30">
      <c r="A224" s="64" t="s">
        <v>568</v>
      </c>
      <c r="B224" s="64" t="s">
        <v>569</v>
      </c>
      <c r="C224" s="64" t="s">
        <v>570</v>
      </c>
      <c r="D224" s="64" t="s">
        <v>1164</v>
      </c>
      <c r="E224" s="64" t="s">
        <v>29</v>
      </c>
      <c r="F224" s="64" t="s">
        <v>134</v>
      </c>
      <c r="G224" s="64" t="s">
        <v>33</v>
      </c>
      <c r="H224" s="64" t="s">
        <v>1174</v>
      </c>
      <c r="I224" s="64" t="s">
        <v>575</v>
      </c>
      <c r="J224" s="64" t="s">
        <v>24</v>
      </c>
      <c r="K224" s="64" t="s">
        <v>37</v>
      </c>
      <c r="L224" s="64" t="s">
        <v>31</v>
      </c>
      <c r="M224" s="64" t="s">
        <v>28</v>
      </c>
      <c r="N224" s="64" t="s">
        <v>1166</v>
      </c>
      <c r="O224" s="65">
        <v>5</v>
      </c>
      <c r="P224" s="65">
        <v>0</v>
      </c>
      <c r="Q224" s="65">
        <v>0</v>
      </c>
      <c r="R224" s="65">
        <v>5</v>
      </c>
      <c r="S224" s="65">
        <v>16000</v>
      </c>
      <c r="T224" s="65">
        <v>0</v>
      </c>
      <c r="U224" s="65">
        <v>0</v>
      </c>
      <c r="V224" s="65">
        <v>16000</v>
      </c>
      <c r="W224" s="65">
        <v>15840</v>
      </c>
      <c r="X224" s="65">
        <v>0</v>
      </c>
      <c r="Y224" s="65">
        <v>160</v>
      </c>
      <c r="Z224" s="65">
        <v>4752</v>
      </c>
      <c r="AA224" s="65">
        <v>48</v>
      </c>
      <c r="AB224" s="65">
        <v>0</v>
      </c>
      <c r="AC224" s="65">
        <v>11200</v>
      </c>
      <c r="AD224" s="64" t="s">
        <v>577</v>
      </c>
    </row>
    <row r="225" spans="1:30">
      <c r="A225" s="64" t="s">
        <v>568</v>
      </c>
      <c r="B225" s="64" t="s">
        <v>569</v>
      </c>
      <c r="C225" s="64" t="s">
        <v>570</v>
      </c>
      <c r="D225" s="64" t="s">
        <v>1164</v>
      </c>
      <c r="E225" s="64" t="s">
        <v>29</v>
      </c>
      <c r="F225" s="64" t="s">
        <v>134</v>
      </c>
      <c r="G225" s="64" t="s">
        <v>33</v>
      </c>
      <c r="H225" s="64" t="s">
        <v>1175</v>
      </c>
      <c r="I225" s="64" t="s">
        <v>575</v>
      </c>
      <c r="J225" s="64" t="s">
        <v>24</v>
      </c>
      <c r="K225" s="64" t="s">
        <v>37</v>
      </c>
      <c r="L225" s="64" t="s">
        <v>31</v>
      </c>
      <c r="M225" s="64" t="s">
        <v>28</v>
      </c>
      <c r="N225" s="64" t="s">
        <v>1166</v>
      </c>
      <c r="O225" s="65">
        <v>83</v>
      </c>
      <c r="P225" s="65">
        <v>0</v>
      </c>
      <c r="Q225" s="65">
        <v>0</v>
      </c>
      <c r="R225" s="65">
        <v>83</v>
      </c>
      <c r="S225" s="65">
        <v>74700</v>
      </c>
      <c r="T225" s="65">
        <v>0</v>
      </c>
      <c r="U225" s="65">
        <v>0</v>
      </c>
      <c r="V225" s="65">
        <v>74700</v>
      </c>
      <c r="W225" s="65">
        <v>64011</v>
      </c>
      <c r="X225" s="65">
        <v>0</v>
      </c>
      <c r="Y225" s="65">
        <v>10689</v>
      </c>
      <c r="Z225" s="65">
        <v>19203.3</v>
      </c>
      <c r="AA225" s="65">
        <v>3206.7</v>
      </c>
      <c r="AB225" s="65">
        <v>0</v>
      </c>
      <c r="AC225" s="65">
        <v>52290</v>
      </c>
      <c r="AD225" s="64" t="s">
        <v>577</v>
      </c>
    </row>
    <row r="226" spans="1:30">
      <c r="A226" s="64" t="s">
        <v>568</v>
      </c>
      <c r="B226" s="64" t="s">
        <v>569</v>
      </c>
      <c r="C226" s="64" t="s">
        <v>570</v>
      </c>
      <c r="D226" s="64" t="s">
        <v>1164</v>
      </c>
      <c r="E226" s="64" t="s">
        <v>29</v>
      </c>
      <c r="F226" s="64" t="s">
        <v>136</v>
      </c>
      <c r="G226" s="64" t="s">
        <v>53</v>
      </c>
      <c r="H226" s="64" t="s">
        <v>1176</v>
      </c>
      <c r="I226" s="64" t="s">
        <v>575</v>
      </c>
      <c r="J226" s="64" t="s">
        <v>24</v>
      </c>
      <c r="K226" s="64" t="s">
        <v>37</v>
      </c>
      <c r="L226" s="64" t="s">
        <v>31</v>
      </c>
      <c r="M226" s="64" t="s">
        <v>28</v>
      </c>
      <c r="N226" s="64" t="s">
        <v>1166</v>
      </c>
      <c r="O226" s="65">
        <v>5</v>
      </c>
      <c r="P226" s="65">
        <v>0</v>
      </c>
      <c r="Q226" s="65">
        <v>0</v>
      </c>
      <c r="R226" s="65">
        <v>5</v>
      </c>
      <c r="S226" s="65">
        <v>16000</v>
      </c>
      <c r="T226" s="65">
        <v>0</v>
      </c>
      <c r="U226" s="65">
        <v>0</v>
      </c>
      <c r="V226" s="65">
        <v>16000</v>
      </c>
      <c r="W226" s="65">
        <v>15840</v>
      </c>
      <c r="X226" s="65">
        <v>0</v>
      </c>
      <c r="Y226" s="65">
        <v>160</v>
      </c>
      <c r="Z226" s="65">
        <v>4752</v>
      </c>
      <c r="AA226" s="65">
        <v>48</v>
      </c>
      <c r="AB226" s="65">
        <v>0</v>
      </c>
      <c r="AC226" s="65">
        <v>11200</v>
      </c>
      <c r="AD226" s="64" t="s">
        <v>577</v>
      </c>
    </row>
    <row r="227" spans="1:30">
      <c r="A227" s="64" t="s">
        <v>568</v>
      </c>
      <c r="B227" s="64" t="s">
        <v>569</v>
      </c>
      <c r="C227" s="64" t="s">
        <v>570</v>
      </c>
      <c r="D227" s="64" t="s">
        <v>1164</v>
      </c>
      <c r="E227" s="64" t="s">
        <v>29</v>
      </c>
      <c r="F227" s="64" t="s">
        <v>136</v>
      </c>
      <c r="G227" s="64" t="s">
        <v>53</v>
      </c>
      <c r="H227" s="64" t="s">
        <v>1177</v>
      </c>
      <c r="I227" s="64" t="s">
        <v>575</v>
      </c>
      <c r="J227" s="64" t="s">
        <v>24</v>
      </c>
      <c r="K227" s="64" t="s">
        <v>37</v>
      </c>
      <c r="L227" s="64" t="s">
        <v>31</v>
      </c>
      <c r="M227" s="64" t="s">
        <v>28</v>
      </c>
      <c r="N227" s="64" t="s">
        <v>1166</v>
      </c>
      <c r="O227" s="65">
        <v>73</v>
      </c>
      <c r="P227" s="65">
        <v>0</v>
      </c>
      <c r="Q227" s="65">
        <v>0</v>
      </c>
      <c r="R227" s="65">
        <v>73</v>
      </c>
      <c r="S227" s="65">
        <v>65700</v>
      </c>
      <c r="T227" s="65">
        <v>0</v>
      </c>
      <c r="U227" s="65">
        <v>0</v>
      </c>
      <c r="V227" s="65">
        <v>65700</v>
      </c>
      <c r="W227" s="65">
        <v>56722.5</v>
      </c>
      <c r="X227" s="65">
        <v>0</v>
      </c>
      <c r="Y227" s="65">
        <v>8977.5</v>
      </c>
      <c r="Z227" s="65">
        <v>17016.75</v>
      </c>
      <c r="AA227" s="65">
        <v>2693.25</v>
      </c>
      <c r="AB227" s="65">
        <v>0</v>
      </c>
      <c r="AC227" s="65">
        <v>45990</v>
      </c>
      <c r="AD227" s="64" t="s">
        <v>577</v>
      </c>
    </row>
    <row r="228" spans="1:30">
      <c r="A228" s="64" t="s">
        <v>568</v>
      </c>
      <c r="B228" s="64" t="s">
        <v>569</v>
      </c>
      <c r="C228" s="64" t="s">
        <v>570</v>
      </c>
      <c r="D228" s="64" t="s">
        <v>1164</v>
      </c>
      <c r="E228" s="64" t="s">
        <v>29</v>
      </c>
      <c r="F228" s="64" t="s">
        <v>138</v>
      </c>
      <c r="G228" s="64" t="s">
        <v>255</v>
      </c>
      <c r="H228" s="64" t="s">
        <v>1178</v>
      </c>
      <c r="I228" s="64" t="s">
        <v>575</v>
      </c>
      <c r="J228" s="64" t="s">
        <v>24</v>
      </c>
      <c r="K228" s="64" t="s">
        <v>37</v>
      </c>
      <c r="L228" s="64" t="s">
        <v>31</v>
      </c>
      <c r="M228" s="64" t="s">
        <v>28</v>
      </c>
      <c r="N228" s="64" t="s">
        <v>1166</v>
      </c>
      <c r="O228" s="65">
        <v>5</v>
      </c>
      <c r="P228" s="65">
        <v>0</v>
      </c>
      <c r="Q228" s="65">
        <v>0</v>
      </c>
      <c r="R228" s="65">
        <v>5</v>
      </c>
      <c r="S228" s="65">
        <v>16000</v>
      </c>
      <c r="T228" s="65">
        <v>0</v>
      </c>
      <c r="U228" s="65">
        <v>0</v>
      </c>
      <c r="V228" s="65">
        <v>16000</v>
      </c>
      <c r="W228" s="65">
        <v>15040</v>
      </c>
      <c r="X228" s="65">
        <v>0</v>
      </c>
      <c r="Y228" s="65">
        <v>960</v>
      </c>
      <c r="Z228" s="65">
        <v>4512</v>
      </c>
      <c r="AA228" s="65">
        <v>288</v>
      </c>
      <c r="AB228" s="65">
        <v>0</v>
      </c>
      <c r="AC228" s="65">
        <v>11200</v>
      </c>
      <c r="AD228" s="64" t="s">
        <v>577</v>
      </c>
    </row>
    <row r="229" spans="1:30">
      <c r="A229" s="64" t="s">
        <v>568</v>
      </c>
      <c r="B229" s="64" t="s">
        <v>569</v>
      </c>
      <c r="C229" s="64" t="s">
        <v>570</v>
      </c>
      <c r="D229" s="64" t="s">
        <v>1164</v>
      </c>
      <c r="E229" s="64" t="s">
        <v>29</v>
      </c>
      <c r="F229" s="64" t="s">
        <v>138</v>
      </c>
      <c r="G229" s="64" t="s">
        <v>255</v>
      </c>
      <c r="H229" s="64" t="s">
        <v>1179</v>
      </c>
      <c r="I229" s="64" t="s">
        <v>575</v>
      </c>
      <c r="J229" s="64" t="s">
        <v>24</v>
      </c>
      <c r="K229" s="64" t="s">
        <v>37</v>
      </c>
      <c r="L229" s="64" t="s">
        <v>31</v>
      </c>
      <c r="M229" s="64" t="s">
        <v>28</v>
      </c>
      <c r="N229" s="64" t="s">
        <v>1166</v>
      </c>
      <c r="O229" s="65">
        <v>61</v>
      </c>
      <c r="P229" s="65">
        <v>0</v>
      </c>
      <c r="Q229" s="65">
        <v>0</v>
      </c>
      <c r="R229" s="65">
        <v>61</v>
      </c>
      <c r="S229" s="65">
        <v>54900</v>
      </c>
      <c r="T229" s="65">
        <v>0</v>
      </c>
      <c r="U229" s="65">
        <v>0</v>
      </c>
      <c r="V229" s="65">
        <v>54900</v>
      </c>
      <c r="W229" s="65">
        <v>44788.5</v>
      </c>
      <c r="X229" s="65">
        <v>0</v>
      </c>
      <c r="Y229" s="65">
        <v>10111.5</v>
      </c>
      <c r="Z229" s="65">
        <v>13436.55</v>
      </c>
      <c r="AA229" s="65">
        <v>3033.45</v>
      </c>
      <c r="AB229" s="65">
        <v>0</v>
      </c>
      <c r="AC229" s="65">
        <v>38430</v>
      </c>
      <c r="AD229" s="64" t="s">
        <v>577</v>
      </c>
    </row>
    <row r="230" spans="1:30">
      <c r="A230" s="64" t="s">
        <v>568</v>
      </c>
      <c r="B230" s="64" t="s">
        <v>569</v>
      </c>
      <c r="C230" s="64" t="s">
        <v>570</v>
      </c>
      <c r="D230" s="64" t="s">
        <v>1164</v>
      </c>
      <c r="E230" s="64" t="s">
        <v>29</v>
      </c>
      <c r="F230" s="64" t="s">
        <v>1180</v>
      </c>
      <c r="G230" s="64" t="s">
        <v>258</v>
      </c>
      <c r="H230" s="64" t="s">
        <v>1181</v>
      </c>
      <c r="I230" s="64" t="s">
        <v>575</v>
      </c>
      <c r="J230" s="64" t="s">
        <v>24</v>
      </c>
      <c r="K230" s="64" t="s">
        <v>37</v>
      </c>
      <c r="L230" s="64" t="s">
        <v>31</v>
      </c>
      <c r="M230" s="64" t="s">
        <v>28</v>
      </c>
      <c r="N230" s="64" t="s">
        <v>1166</v>
      </c>
      <c r="O230" s="65">
        <v>6</v>
      </c>
      <c r="P230" s="65">
        <v>0</v>
      </c>
      <c r="Q230" s="65">
        <v>0</v>
      </c>
      <c r="R230" s="65">
        <v>6</v>
      </c>
      <c r="S230" s="65">
        <v>19200</v>
      </c>
      <c r="T230" s="65">
        <v>0</v>
      </c>
      <c r="U230" s="65">
        <v>0</v>
      </c>
      <c r="V230" s="65">
        <v>19200</v>
      </c>
      <c r="W230" s="65">
        <v>18640</v>
      </c>
      <c r="X230" s="65">
        <v>0</v>
      </c>
      <c r="Y230" s="65">
        <v>560</v>
      </c>
      <c r="Z230" s="65">
        <v>5592</v>
      </c>
      <c r="AA230" s="65">
        <v>168</v>
      </c>
      <c r="AB230" s="65">
        <v>0</v>
      </c>
      <c r="AC230" s="65">
        <v>13440</v>
      </c>
      <c r="AD230" s="64" t="s">
        <v>577</v>
      </c>
    </row>
    <row r="231" spans="1:30">
      <c r="A231" s="64" t="s">
        <v>568</v>
      </c>
      <c r="B231" s="64" t="s">
        <v>569</v>
      </c>
      <c r="C231" s="64" t="s">
        <v>570</v>
      </c>
      <c r="D231" s="64" t="s">
        <v>1164</v>
      </c>
      <c r="E231" s="64" t="s">
        <v>29</v>
      </c>
      <c r="F231" s="64" t="s">
        <v>1180</v>
      </c>
      <c r="G231" s="64" t="s">
        <v>258</v>
      </c>
      <c r="H231" s="64" t="s">
        <v>1182</v>
      </c>
      <c r="I231" s="64" t="s">
        <v>575</v>
      </c>
      <c r="J231" s="64" t="s">
        <v>24</v>
      </c>
      <c r="K231" s="64" t="s">
        <v>37</v>
      </c>
      <c r="L231" s="64" t="s">
        <v>31</v>
      </c>
      <c r="M231" s="64" t="s">
        <v>28</v>
      </c>
      <c r="N231" s="64" t="s">
        <v>1166</v>
      </c>
      <c r="O231" s="65">
        <v>52</v>
      </c>
      <c r="P231" s="65">
        <v>0</v>
      </c>
      <c r="Q231" s="65">
        <v>0</v>
      </c>
      <c r="R231" s="65">
        <v>52</v>
      </c>
      <c r="S231" s="65">
        <v>46800</v>
      </c>
      <c r="T231" s="65">
        <v>0</v>
      </c>
      <c r="U231" s="65">
        <v>0</v>
      </c>
      <c r="V231" s="65">
        <v>46800</v>
      </c>
      <c r="W231" s="65">
        <v>42445</v>
      </c>
      <c r="X231" s="65">
        <v>0</v>
      </c>
      <c r="Y231" s="65">
        <v>4355</v>
      </c>
      <c r="Z231" s="65">
        <v>12733.5</v>
      </c>
      <c r="AA231" s="65">
        <v>1306.5</v>
      </c>
      <c r="AB231" s="65">
        <v>0</v>
      </c>
      <c r="AC231" s="65">
        <v>32760</v>
      </c>
      <c r="AD231" s="64" t="s">
        <v>577</v>
      </c>
    </row>
    <row r="232" spans="1:30">
      <c r="A232" s="64" t="s">
        <v>568</v>
      </c>
      <c r="B232" s="64" t="s">
        <v>569</v>
      </c>
      <c r="C232" s="64" t="s">
        <v>570</v>
      </c>
      <c r="D232" s="64" t="s">
        <v>1164</v>
      </c>
      <c r="E232" s="64" t="s">
        <v>29</v>
      </c>
      <c r="F232" s="64" t="s">
        <v>1183</v>
      </c>
      <c r="G232" s="64" t="s">
        <v>261</v>
      </c>
      <c r="H232" s="64" t="s">
        <v>1184</v>
      </c>
      <c r="I232" s="64" t="s">
        <v>575</v>
      </c>
      <c r="J232" s="64" t="s">
        <v>24</v>
      </c>
      <c r="K232" s="64" t="s">
        <v>37</v>
      </c>
      <c r="L232" s="64" t="s">
        <v>31</v>
      </c>
      <c r="M232" s="64" t="s">
        <v>28</v>
      </c>
      <c r="N232" s="64" t="s">
        <v>1166</v>
      </c>
      <c r="O232" s="65">
        <v>4</v>
      </c>
      <c r="P232" s="65">
        <v>0</v>
      </c>
      <c r="Q232" s="65">
        <v>0</v>
      </c>
      <c r="R232" s="65">
        <v>4</v>
      </c>
      <c r="S232" s="65">
        <v>12800</v>
      </c>
      <c r="T232" s="65">
        <v>0</v>
      </c>
      <c r="U232" s="65">
        <v>0</v>
      </c>
      <c r="V232" s="65">
        <v>12800</v>
      </c>
      <c r="W232" s="65">
        <v>12640</v>
      </c>
      <c r="X232" s="65">
        <v>0</v>
      </c>
      <c r="Y232" s="65">
        <v>160</v>
      </c>
      <c r="Z232" s="65">
        <v>3792</v>
      </c>
      <c r="AA232" s="65">
        <v>48</v>
      </c>
      <c r="AB232" s="65">
        <v>0</v>
      </c>
      <c r="AC232" s="65">
        <v>8960</v>
      </c>
      <c r="AD232" s="64" t="s">
        <v>577</v>
      </c>
    </row>
    <row r="233" spans="1:30">
      <c r="A233" s="64" t="s">
        <v>568</v>
      </c>
      <c r="B233" s="64" t="s">
        <v>569</v>
      </c>
      <c r="C233" s="64" t="s">
        <v>570</v>
      </c>
      <c r="D233" s="64" t="s">
        <v>1164</v>
      </c>
      <c r="E233" s="64" t="s">
        <v>29</v>
      </c>
      <c r="F233" s="64" t="s">
        <v>1183</v>
      </c>
      <c r="G233" s="64" t="s">
        <v>261</v>
      </c>
      <c r="H233" s="64" t="s">
        <v>1185</v>
      </c>
      <c r="I233" s="64" t="s">
        <v>575</v>
      </c>
      <c r="J233" s="64" t="s">
        <v>24</v>
      </c>
      <c r="K233" s="64" t="s">
        <v>37</v>
      </c>
      <c r="L233" s="64" t="s">
        <v>31</v>
      </c>
      <c r="M233" s="64" t="s">
        <v>28</v>
      </c>
      <c r="N233" s="64" t="s">
        <v>1166</v>
      </c>
      <c r="O233" s="65">
        <v>25</v>
      </c>
      <c r="P233" s="65">
        <v>0</v>
      </c>
      <c r="Q233" s="65">
        <v>0</v>
      </c>
      <c r="R233" s="65">
        <v>25</v>
      </c>
      <c r="S233" s="65">
        <v>22500</v>
      </c>
      <c r="T233" s="65">
        <v>0</v>
      </c>
      <c r="U233" s="65">
        <v>0</v>
      </c>
      <c r="V233" s="65">
        <v>22500</v>
      </c>
      <c r="W233" s="65">
        <v>20450</v>
      </c>
      <c r="X233" s="65">
        <v>0</v>
      </c>
      <c r="Y233" s="65">
        <v>2050</v>
      </c>
      <c r="Z233" s="65">
        <v>6135</v>
      </c>
      <c r="AA233" s="65">
        <v>615</v>
      </c>
      <c r="AB233" s="65">
        <v>0</v>
      </c>
      <c r="AC233" s="65">
        <v>15750</v>
      </c>
      <c r="AD233" s="64" t="s">
        <v>577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B1" workbookViewId="0">
      <selection activeCell="B1" sqref="B1"/>
    </sheetView>
  </sheetViews>
  <sheetFormatPr defaultRowHeight="17.399999999999999"/>
  <cols>
    <col min="1" max="1" width="18.19921875" bestFit="1" customWidth="1"/>
    <col min="2" max="2" width="8.59765625" bestFit="1" customWidth="1"/>
    <col min="3" max="3" width="6.69921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66" t="s">
        <v>499</v>
      </c>
      <c r="B1" s="66" t="s">
        <v>487</v>
      </c>
      <c r="C1" s="66" t="s">
        <v>151</v>
      </c>
      <c r="D1" s="66" t="s">
        <v>1187</v>
      </c>
      <c r="E1" s="66" t="s">
        <v>553</v>
      </c>
      <c r="F1" s="66" t="s">
        <v>1188</v>
      </c>
      <c r="G1" s="67" t="s">
        <v>1189</v>
      </c>
      <c r="H1" s="68" t="s">
        <v>1190</v>
      </c>
    </row>
    <row r="2" spans="1:8">
      <c r="A2" t="s">
        <v>182</v>
      </c>
      <c r="B2">
        <v>1197084</v>
      </c>
      <c r="C2" t="s">
        <v>31</v>
      </c>
      <c r="D2">
        <v>100</v>
      </c>
      <c r="E2">
        <v>84</v>
      </c>
      <c r="F2" s="69">
        <v>0.6</v>
      </c>
      <c r="G2">
        <v>5040</v>
      </c>
    </row>
    <row r="3" spans="1:8">
      <c r="A3" t="s">
        <v>29</v>
      </c>
      <c r="B3">
        <v>1430791</v>
      </c>
      <c r="C3" t="s">
        <v>31</v>
      </c>
      <c r="D3">
        <v>100</v>
      </c>
      <c r="E3">
        <v>224</v>
      </c>
      <c r="F3" s="69">
        <v>0.6</v>
      </c>
      <c r="G3">
        <v>13440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opLeftCell="B1" workbookViewId="0">
      <selection activeCell="B1" sqref="B1"/>
    </sheetView>
  </sheetViews>
  <sheetFormatPr defaultRowHeight="17.399999999999999"/>
  <cols>
    <col min="1" max="1" width="10.3984375" bestFit="1" customWidth="1"/>
    <col min="2" max="2" width="22" bestFit="1" customWidth="1"/>
    <col min="3" max="3" width="7.09765625" bestFit="1" customWidth="1"/>
    <col min="4" max="4" width="22" bestFit="1" customWidth="1"/>
    <col min="5" max="6" width="6.69921875" bestFit="1" customWidth="1"/>
    <col min="7" max="7" width="9.09765625" bestFit="1" customWidth="1"/>
    <col min="8" max="9" width="5" bestFit="1" customWidth="1"/>
    <col min="10" max="11" width="8.59765625" bestFit="1" customWidth="1"/>
    <col min="12" max="13" width="5" bestFit="1" customWidth="1"/>
    <col min="14" max="15" width="8.59765625" bestFit="1" customWidth="1"/>
    <col min="17" max="17" width="12.69921875" bestFit="1" customWidth="1"/>
    <col min="18" max="18" width="14.69921875" bestFit="1" customWidth="1"/>
    <col min="19" max="19" width="21.69921875" bestFit="1" customWidth="1"/>
    <col min="20" max="20" width="8.19921875" bestFit="1" customWidth="1"/>
    <col min="21" max="21" width="15.69921875" bestFit="1" customWidth="1"/>
    <col min="22" max="22" width="13.19921875" bestFit="1" customWidth="1"/>
    <col min="23" max="23" width="15.09765625" bestFit="1" customWidth="1"/>
    <col min="24" max="24" width="23.09765625" bestFit="1" customWidth="1"/>
    <col min="25" max="25" width="8.19921875" bestFit="1" customWidth="1"/>
    <col min="26" max="26" width="19.09765625" bestFit="1" customWidth="1"/>
    <col min="27" max="27" width="9.19921875" bestFit="1" customWidth="1"/>
    <col min="28" max="28" width="10" bestFit="1" customWidth="1"/>
  </cols>
  <sheetData>
    <row r="1" spans="1:28">
      <c r="A1" s="70" t="s">
        <v>473</v>
      </c>
      <c r="B1" s="70" t="s">
        <v>1192</v>
      </c>
      <c r="C1" s="70" t="s">
        <v>1193</v>
      </c>
      <c r="D1" s="70" t="s">
        <v>499</v>
      </c>
      <c r="E1" s="70" t="s">
        <v>471</v>
      </c>
      <c r="F1" s="70" t="s">
        <v>152</v>
      </c>
      <c r="G1" s="70" t="s">
        <v>1194</v>
      </c>
      <c r="H1" s="70" t="s">
        <v>1195</v>
      </c>
      <c r="I1" s="70" t="s">
        <v>1196</v>
      </c>
      <c r="J1" s="70" t="s">
        <v>1197</v>
      </c>
      <c r="K1" s="70" t="s">
        <v>1198</v>
      </c>
      <c r="L1" s="70" t="s">
        <v>1195</v>
      </c>
      <c r="M1" s="70" t="s">
        <v>1196</v>
      </c>
      <c r="N1" s="70" t="s">
        <v>1197</v>
      </c>
      <c r="O1" s="70" t="s">
        <v>1198</v>
      </c>
      <c r="Q1" s="70" t="s">
        <v>1199</v>
      </c>
      <c r="R1" s="70" t="s">
        <v>1200</v>
      </c>
      <c r="S1" s="70" t="s">
        <v>1201</v>
      </c>
      <c r="T1" s="70" t="s">
        <v>1202</v>
      </c>
      <c r="U1" s="70" t="s">
        <v>1203</v>
      </c>
      <c r="V1" s="70" t="s">
        <v>1204</v>
      </c>
      <c r="W1" s="70" t="s">
        <v>1205</v>
      </c>
      <c r="X1" s="70" t="s">
        <v>1206</v>
      </c>
      <c r="Y1" s="70" t="s">
        <v>1207</v>
      </c>
      <c r="Z1" s="70" t="s">
        <v>1208</v>
      </c>
      <c r="AA1" s="70" t="s">
        <v>1209</v>
      </c>
      <c r="AB1" s="71" t="s">
        <v>1210</v>
      </c>
    </row>
    <row r="2" spans="1:28">
      <c r="A2" s="72" t="s">
        <v>1211</v>
      </c>
      <c r="B2" s="73" t="s">
        <v>1212</v>
      </c>
      <c r="C2" s="73" t="s">
        <v>1213</v>
      </c>
      <c r="D2" s="73" t="s">
        <v>1212</v>
      </c>
      <c r="E2" s="73" t="s">
        <v>31</v>
      </c>
      <c r="F2" s="73" t="s">
        <v>28</v>
      </c>
      <c r="G2" s="72" t="s">
        <v>1214</v>
      </c>
      <c r="H2" s="74">
        <v>0</v>
      </c>
      <c r="I2" s="74">
        <v>0</v>
      </c>
      <c r="J2" s="74">
        <v>0</v>
      </c>
      <c r="K2" s="74">
        <v>0</v>
      </c>
      <c r="L2" s="74">
        <v>0</v>
      </c>
      <c r="M2" s="74">
        <v>0</v>
      </c>
      <c r="N2" s="74">
        <v>0</v>
      </c>
      <c r="O2" s="74">
        <v>0</v>
      </c>
      <c r="Q2" s="75">
        <v>18900</v>
      </c>
      <c r="R2" s="76">
        <v>0</v>
      </c>
      <c r="S2" s="75">
        <v>18900</v>
      </c>
      <c r="T2" s="76">
        <v>0.7</v>
      </c>
      <c r="U2" s="75">
        <v>13230</v>
      </c>
      <c r="V2" s="75">
        <v>0</v>
      </c>
      <c r="W2" s="76">
        <v>0</v>
      </c>
      <c r="X2" s="75">
        <v>0</v>
      </c>
      <c r="Y2" s="76">
        <v>0.7</v>
      </c>
      <c r="Z2" s="75">
        <v>0</v>
      </c>
      <c r="AA2" s="75">
        <v>18900</v>
      </c>
      <c r="AB2" s="75">
        <v>13230</v>
      </c>
    </row>
    <row r="3" spans="1:28">
      <c r="A3" s="72" t="s">
        <v>1211</v>
      </c>
      <c r="B3" s="73" t="s">
        <v>1212</v>
      </c>
      <c r="C3" s="73" t="s">
        <v>1213</v>
      </c>
      <c r="D3" s="73" t="s">
        <v>1212</v>
      </c>
      <c r="E3" s="73" t="s">
        <v>31</v>
      </c>
      <c r="F3" s="73" t="s">
        <v>28</v>
      </c>
      <c r="G3" s="72" t="s">
        <v>1215</v>
      </c>
      <c r="H3" s="74">
        <v>0</v>
      </c>
      <c r="I3" s="74">
        <v>0</v>
      </c>
      <c r="J3" s="74">
        <v>0</v>
      </c>
      <c r="K3" s="74">
        <v>0</v>
      </c>
      <c r="L3" s="74">
        <v>0</v>
      </c>
      <c r="M3" s="74">
        <v>0</v>
      </c>
      <c r="N3" s="74">
        <v>0</v>
      </c>
      <c r="O3" s="74">
        <v>0</v>
      </c>
      <c r="Q3" s="75">
        <v>1600</v>
      </c>
      <c r="R3" s="76">
        <v>0.3</v>
      </c>
      <c r="S3" s="75">
        <v>1120</v>
      </c>
      <c r="T3" s="76">
        <v>0.7</v>
      </c>
      <c r="U3" s="75">
        <v>784</v>
      </c>
      <c r="V3" s="75">
        <v>500</v>
      </c>
      <c r="W3" s="76">
        <v>0.3</v>
      </c>
      <c r="X3" s="75">
        <v>350</v>
      </c>
      <c r="Y3" s="76">
        <v>0.7</v>
      </c>
      <c r="Z3" s="75">
        <v>245</v>
      </c>
      <c r="AA3" s="75">
        <v>2100</v>
      </c>
      <c r="AB3" s="75">
        <v>1029</v>
      </c>
    </row>
    <row r="4" spans="1:28">
      <c r="A4" s="72" t="s">
        <v>1211</v>
      </c>
      <c r="B4" s="73" t="s">
        <v>1212</v>
      </c>
      <c r="C4" s="73" t="s">
        <v>1213</v>
      </c>
      <c r="D4" s="73" t="s">
        <v>1212</v>
      </c>
      <c r="E4" s="73" t="s">
        <v>31</v>
      </c>
      <c r="F4" s="73" t="s">
        <v>28</v>
      </c>
      <c r="G4" s="72" t="s">
        <v>1216</v>
      </c>
      <c r="H4" s="74">
        <v>0</v>
      </c>
      <c r="I4" s="74">
        <v>0</v>
      </c>
      <c r="J4" s="74">
        <v>0</v>
      </c>
      <c r="K4" s="74">
        <v>0</v>
      </c>
      <c r="L4" s="74">
        <v>0</v>
      </c>
      <c r="M4" s="74">
        <v>0</v>
      </c>
      <c r="N4" s="74">
        <v>0</v>
      </c>
      <c r="O4" s="74">
        <v>0</v>
      </c>
      <c r="Q4" s="75">
        <v>3200</v>
      </c>
      <c r="R4" s="76">
        <v>0</v>
      </c>
      <c r="S4" s="75">
        <v>3200</v>
      </c>
      <c r="T4" s="76">
        <v>0.7</v>
      </c>
      <c r="U4" s="75">
        <v>2240</v>
      </c>
      <c r="V4" s="75">
        <v>0</v>
      </c>
      <c r="W4" s="76">
        <v>0</v>
      </c>
      <c r="X4" s="75">
        <v>0</v>
      </c>
      <c r="Y4" s="76">
        <v>0.7</v>
      </c>
      <c r="Z4" s="75">
        <v>0</v>
      </c>
      <c r="AA4" s="75">
        <v>3200</v>
      </c>
      <c r="AB4" s="75">
        <v>2240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opLeftCell="B1" workbookViewId="0">
      <selection activeCell="B1" sqref="B1"/>
    </sheetView>
  </sheetViews>
  <sheetFormatPr defaultColWidth="8.69921875" defaultRowHeight="17.399999999999999"/>
  <cols>
    <col min="1" max="1" width="8.59765625" style="63" bestFit="1" customWidth="1"/>
    <col min="2" max="3" width="6.69921875" style="63" bestFit="1" customWidth="1"/>
    <col min="4" max="4" width="15.5" style="63" bestFit="1" customWidth="1"/>
    <col min="5" max="5" width="18.19921875" style="63" bestFit="1" customWidth="1"/>
    <col min="6" max="6" width="9.59765625" style="63" bestFit="1" customWidth="1"/>
    <col min="7" max="8" width="6.69921875" style="63" bestFit="1" customWidth="1"/>
    <col min="9" max="9" width="13.5" style="63" bestFit="1" customWidth="1"/>
    <col min="10" max="10" width="9.19921875" style="63" bestFit="1" customWidth="1"/>
    <col min="11" max="11" width="5" style="63" bestFit="1" customWidth="1"/>
    <col min="12" max="12" width="6.69921875" style="63" bestFit="1" customWidth="1"/>
    <col min="13" max="13" width="21.5" style="63" bestFit="1" customWidth="1"/>
    <col min="14" max="14" width="5" style="63" bestFit="1" customWidth="1"/>
    <col min="15" max="15" width="10.3984375" style="63" bestFit="1" customWidth="1"/>
    <col min="16" max="16" width="24.09765625" style="63" bestFit="1" customWidth="1"/>
    <col min="17" max="17" width="6.69921875" style="63" bestFit="1" customWidth="1"/>
    <col min="18" max="18" width="10" style="63" bestFit="1" customWidth="1"/>
    <col min="19" max="19" width="10.3984375" style="63" bestFit="1" customWidth="1"/>
    <col min="20" max="16384" width="8.69921875" style="63"/>
  </cols>
  <sheetData>
    <row r="1" spans="1:19">
      <c r="A1" s="77" t="s">
        <v>1218</v>
      </c>
      <c r="B1" s="77" t="s">
        <v>5</v>
      </c>
      <c r="C1" s="77" t="s">
        <v>1219</v>
      </c>
      <c r="D1" s="77" t="s">
        <v>1220</v>
      </c>
      <c r="E1" s="77" t="s">
        <v>10</v>
      </c>
      <c r="F1" s="77" t="s">
        <v>1221</v>
      </c>
      <c r="G1" s="78" t="s">
        <v>196</v>
      </c>
      <c r="H1" s="77" t="s">
        <v>1222</v>
      </c>
      <c r="I1" s="77" t="s">
        <v>1223</v>
      </c>
      <c r="J1" s="77" t="s">
        <v>485</v>
      </c>
      <c r="K1" s="77" t="s">
        <v>13</v>
      </c>
      <c r="L1" s="77" t="s">
        <v>14</v>
      </c>
      <c r="M1" s="77" t="s">
        <v>1224</v>
      </c>
      <c r="N1" s="77" t="s">
        <v>1225</v>
      </c>
      <c r="O1" s="77" t="s">
        <v>1226</v>
      </c>
      <c r="P1" s="77" t="s">
        <v>1227</v>
      </c>
      <c r="Q1" s="77" t="s">
        <v>1228</v>
      </c>
      <c r="R1" s="79" t="s">
        <v>1189</v>
      </c>
      <c r="S1" s="79" t="s">
        <v>1229</v>
      </c>
    </row>
    <row r="2" spans="1:19">
      <c r="A2" s="80" t="s">
        <v>1230</v>
      </c>
      <c r="B2" s="80" t="s">
        <v>1231</v>
      </c>
      <c r="C2" s="80" t="s">
        <v>1232</v>
      </c>
      <c r="D2" s="80" t="s">
        <v>1233</v>
      </c>
      <c r="E2" s="80" t="s">
        <v>29</v>
      </c>
      <c r="F2" s="80" t="s">
        <v>1234</v>
      </c>
      <c r="G2" s="80" t="s">
        <v>31</v>
      </c>
      <c r="H2" s="80">
        <v>249</v>
      </c>
      <c r="I2" s="80" t="s">
        <v>1235</v>
      </c>
      <c r="J2" s="80" t="s">
        <v>1236</v>
      </c>
      <c r="K2" s="80">
        <v>100</v>
      </c>
      <c r="L2" s="80">
        <v>100</v>
      </c>
      <c r="M2" s="80">
        <v>21600</v>
      </c>
      <c r="N2" s="80">
        <v>216</v>
      </c>
      <c r="O2" s="80">
        <v>21600</v>
      </c>
      <c r="P2" s="80">
        <v>21600</v>
      </c>
      <c r="Q2" s="80">
        <v>70</v>
      </c>
      <c r="R2" s="80">
        <v>15120</v>
      </c>
      <c r="S2" s="63" t="s">
        <v>1237</v>
      </c>
    </row>
    <row r="3" spans="1:19">
      <c r="A3" s="80" t="s">
        <v>1230</v>
      </c>
      <c r="B3" s="80" t="s">
        <v>1231</v>
      </c>
      <c r="C3" s="80" t="s">
        <v>1232</v>
      </c>
      <c r="D3" s="80" t="s">
        <v>1233</v>
      </c>
      <c r="E3" s="80" t="s">
        <v>29</v>
      </c>
      <c r="F3" s="80" t="s">
        <v>1234</v>
      </c>
      <c r="G3" s="80" t="s">
        <v>31</v>
      </c>
      <c r="H3" s="80">
        <v>249</v>
      </c>
      <c r="I3" s="80" t="s">
        <v>1235</v>
      </c>
      <c r="J3" s="80" t="s">
        <v>1238</v>
      </c>
      <c r="K3" s="80">
        <v>100</v>
      </c>
      <c r="L3" s="80">
        <v>100</v>
      </c>
      <c r="M3" s="80">
        <v>700</v>
      </c>
      <c r="N3" s="80">
        <v>7</v>
      </c>
      <c r="O3" s="80">
        <v>700</v>
      </c>
      <c r="P3" s="80">
        <v>700</v>
      </c>
      <c r="Q3" s="80">
        <v>70</v>
      </c>
      <c r="R3" s="80">
        <v>490</v>
      </c>
      <c r="S3" s="63" t="s">
        <v>1237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opLeftCell="B1" workbookViewId="0">
      <selection activeCell="B1" sqref="B1"/>
    </sheetView>
  </sheetViews>
  <sheetFormatPr defaultRowHeight="17.399999999999999"/>
  <cols>
    <col min="1" max="1" width="8.69921875" bestFit="1" customWidth="1"/>
    <col min="2" max="2" width="6.5" bestFit="1" customWidth="1"/>
    <col min="3" max="3" width="8.6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>
      <c r="A1" s="81" t="s">
        <v>499</v>
      </c>
      <c r="B1" s="82" t="s">
        <v>151</v>
      </c>
      <c r="C1" s="83" t="s">
        <v>103</v>
      </c>
      <c r="D1" s="84" t="s">
        <v>1240</v>
      </c>
      <c r="E1" s="84" t="s">
        <v>1241</v>
      </c>
      <c r="F1" s="84" t="s">
        <v>1242</v>
      </c>
      <c r="G1" s="84" t="s">
        <v>1243</v>
      </c>
      <c r="H1" s="84" t="s">
        <v>1244</v>
      </c>
      <c r="I1" s="84" t="s">
        <v>1245</v>
      </c>
      <c r="J1" s="84" t="s">
        <v>1246</v>
      </c>
      <c r="K1" s="84" t="s">
        <v>1247</v>
      </c>
      <c r="L1" s="84" t="s">
        <v>1248</v>
      </c>
      <c r="M1" s="84" t="s">
        <v>1249</v>
      </c>
      <c r="N1" s="85" t="s">
        <v>1189</v>
      </c>
    </row>
    <row r="2" spans="1:14" ht="21.6">
      <c r="A2" s="86" t="s">
        <v>29</v>
      </c>
      <c r="B2" s="87" t="s">
        <v>31</v>
      </c>
      <c r="C2" s="88" t="s">
        <v>1250</v>
      </c>
      <c r="D2" s="88" t="s">
        <v>1251</v>
      </c>
      <c r="E2" s="88" t="s">
        <v>1252</v>
      </c>
      <c r="F2" s="88">
        <v>7</v>
      </c>
      <c r="G2" s="88">
        <v>700</v>
      </c>
      <c r="H2" s="88">
        <v>490</v>
      </c>
      <c r="I2" s="88">
        <v>0</v>
      </c>
      <c r="J2" s="88">
        <v>0</v>
      </c>
      <c r="K2" s="88">
        <v>0</v>
      </c>
      <c r="L2" s="88">
        <v>7</v>
      </c>
      <c r="M2" s="88">
        <v>700</v>
      </c>
      <c r="N2" s="88">
        <v>490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B1" sqref="B1"/>
    </sheetView>
  </sheetViews>
  <sheetFormatPr defaultRowHeight="17.399999999999999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8.09765625" bestFit="1" customWidth="1"/>
    <col min="8" max="8" width="5.3984375" bestFit="1" customWidth="1"/>
    <col min="9" max="9" width="5.69921875" bestFit="1" customWidth="1"/>
    <col min="10" max="10" width="5.3984375" bestFit="1" customWidth="1"/>
    <col min="11" max="11" width="5.69921875" bestFit="1" customWidth="1"/>
    <col min="12" max="12" width="8.09765625" bestFit="1" customWidth="1"/>
  </cols>
  <sheetData>
    <row r="1" spans="1:12">
      <c r="A1" s="89" t="s">
        <v>1254</v>
      </c>
      <c r="B1" s="89" t="s">
        <v>1255</v>
      </c>
      <c r="C1" s="89" t="s">
        <v>485</v>
      </c>
      <c r="D1" s="89" t="s">
        <v>152</v>
      </c>
      <c r="E1" s="90" t="s">
        <v>151</v>
      </c>
      <c r="F1" s="89" t="s">
        <v>1256</v>
      </c>
      <c r="G1" s="89" t="s">
        <v>1257</v>
      </c>
      <c r="H1" s="89" t="s">
        <v>1258</v>
      </c>
      <c r="I1" s="89" t="s">
        <v>1259</v>
      </c>
      <c r="J1" s="89" t="s">
        <v>1260</v>
      </c>
      <c r="K1" s="89" t="s">
        <v>1261</v>
      </c>
      <c r="L1" s="91" t="s">
        <v>1262</v>
      </c>
    </row>
    <row r="2" spans="1:12" ht="47.4" thickBot="1">
      <c r="A2" s="92"/>
      <c r="B2" s="93" t="s">
        <v>37</v>
      </c>
      <c r="C2" s="93" t="s">
        <v>1263</v>
      </c>
      <c r="D2" s="93" t="s">
        <v>37</v>
      </c>
      <c r="E2" s="93" t="s">
        <v>31</v>
      </c>
      <c r="F2" s="93" t="s">
        <v>489</v>
      </c>
      <c r="G2" s="94" t="s">
        <v>29</v>
      </c>
      <c r="H2" s="93">
        <v>2</v>
      </c>
      <c r="I2" s="93">
        <v>2240</v>
      </c>
      <c r="J2" s="93">
        <v>1</v>
      </c>
      <c r="K2" s="95">
        <v>2240</v>
      </c>
      <c r="L2" s="96">
        <v>1568</v>
      </c>
    </row>
    <row r="3" spans="1:12" ht="47.4" thickBot="1">
      <c r="A3" s="92"/>
      <c r="B3" s="93" t="s">
        <v>37</v>
      </c>
      <c r="C3" s="93" t="s">
        <v>1263</v>
      </c>
      <c r="D3" s="93" t="s">
        <v>37</v>
      </c>
      <c r="E3" s="93" t="s">
        <v>31</v>
      </c>
      <c r="F3" s="93" t="s">
        <v>489</v>
      </c>
      <c r="G3" s="94" t="s">
        <v>29</v>
      </c>
      <c r="H3" s="93">
        <v>3</v>
      </c>
      <c r="I3" s="93">
        <v>2240</v>
      </c>
      <c r="J3" s="93">
        <v>1</v>
      </c>
      <c r="K3" s="95">
        <v>2240</v>
      </c>
      <c r="L3" s="96">
        <v>1568</v>
      </c>
    </row>
    <row r="4" spans="1:12" ht="47.4" thickBot="1">
      <c r="A4" s="92"/>
      <c r="B4" s="93" t="s">
        <v>37</v>
      </c>
      <c r="C4" s="93" t="s">
        <v>1263</v>
      </c>
      <c r="D4" s="93" t="s">
        <v>37</v>
      </c>
      <c r="E4" s="93" t="s">
        <v>31</v>
      </c>
      <c r="F4" s="93" t="s">
        <v>489</v>
      </c>
      <c r="G4" s="94" t="s">
        <v>29</v>
      </c>
      <c r="H4" s="93">
        <v>4</v>
      </c>
      <c r="I4" s="93">
        <v>2240</v>
      </c>
      <c r="J4" s="93">
        <v>1</v>
      </c>
      <c r="K4" s="95">
        <v>2240</v>
      </c>
      <c r="L4" s="96">
        <v>1568</v>
      </c>
    </row>
    <row r="5" spans="1:12" ht="47.4" thickBot="1">
      <c r="A5" s="92"/>
      <c r="B5" s="93" t="s">
        <v>37</v>
      </c>
      <c r="C5" s="93" t="s">
        <v>1263</v>
      </c>
      <c r="D5" s="93" t="s">
        <v>37</v>
      </c>
      <c r="E5" s="93" t="s">
        <v>31</v>
      </c>
      <c r="F5" s="93" t="s">
        <v>489</v>
      </c>
      <c r="G5" s="94" t="s">
        <v>29</v>
      </c>
      <c r="H5" s="93">
        <v>5</v>
      </c>
      <c r="I5" s="93">
        <v>2240</v>
      </c>
      <c r="J5" s="93">
        <v>1</v>
      </c>
      <c r="K5" s="95">
        <v>2240</v>
      </c>
      <c r="L5" s="96">
        <v>1568</v>
      </c>
    </row>
    <row r="6" spans="1:12" ht="47.4" thickBot="1">
      <c r="A6" s="92"/>
      <c r="B6" s="93" t="s">
        <v>37</v>
      </c>
      <c r="C6" s="93" t="s">
        <v>1263</v>
      </c>
      <c r="D6" s="93" t="s">
        <v>37</v>
      </c>
      <c r="E6" s="93" t="s">
        <v>31</v>
      </c>
      <c r="F6" s="93" t="s">
        <v>489</v>
      </c>
      <c r="G6" s="94" t="s">
        <v>29</v>
      </c>
      <c r="H6" s="93">
        <v>6</v>
      </c>
      <c r="I6" s="93">
        <v>2240</v>
      </c>
      <c r="J6" s="93">
        <v>1</v>
      </c>
      <c r="K6" s="95">
        <v>2240</v>
      </c>
      <c r="L6" s="96">
        <v>1568</v>
      </c>
    </row>
    <row r="7" spans="1:12" ht="47.4" thickBot="1">
      <c r="A7" s="92"/>
      <c r="B7" s="93" t="s">
        <v>37</v>
      </c>
      <c r="C7" s="93" t="s">
        <v>1263</v>
      </c>
      <c r="D7" s="93" t="s">
        <v>37</v>
      </c>
      <c r="E7" s="93" t="s">
        <v>31</v>
      </c>
      <c r="F7" s="93" t="s">
        <v>489</v>
      </c>
      <c r="G7" s="94" t="s">
        <v>29</v>
      </c>
      <c r="H7" s="93">
        <v>7</v>
      </c>
      <c r="I7" s="93">
        <v>2240</v>
      </c>
      <c r="J7" s="93">
        <v>1</v>
      </c>
      <c r="K7" s="95">
        <v>2240</v>
      </c>
      <c r="L7" s="96">
        <v>1568</v>
      </c>
    </row>
    <row r="8" spans="1:12" ht="47.4" thickBot="1">
      <c r="A8" s="92"/>
      <c r="B8" s="93" t="s">
        <v>37</v>
      </c>
      <c r="C8" s="93" t="s">
        <v>1263</v>
      </c>
      <c r="D8" s="93" t="s">
        <v>37</v>
      </c>
      <c r="E8" s="93" t="s">
        <v>31</v>
      </c>
      <c r="F8" s="93" t="s">
        <v>489</v>
      </c>
      <c r="G8" s="94" t="s">
        <v>29</v>
      </c>
      <c r="H8" s="93">
        <v>8</v>
      </c>
      <c r="I8" s="93">
        <v>2240</v>
      </c>
      <c r="J8" s="93">
        <v>1</v>
      </c>
      <c r="K8" s="95">
        <v>2240</v>
      </c>
      <c r="L8" s="96">
        <v>1568</v>
      </c>
    </row>
    <row r="9" spans="1:12" ht="47.4" thickBot="1">
      <c r="A9" s="92"/>
      <c r="B9" s="93" t="s">
        <v>37</v>
      </c>
      <c r="C9" s="93" t="s">
        <v>1263</v>
      </c>
      <c r="D9" s="93" t="s">
        <v>37</v>
      </c>
      <c r="E9" s="93" t="s">
        <v>31</v>
      </c>
      <c r="F9" s="93" t="s">
        <v>489</v>
      </c>
      <c r="G9" s="94" t="s">
        <v>29</v>
      </c>
      <c r="H9" s="93">
        <v>9</v>
      </c>
      <c r="I9" s="93">
        <v>2240</v>
      </c>
      <c r="J9" s="93">
        <v>1</v>
      </c>
      <c r="K9" s="95">
        <v>2240</v>
      </c>
      <c r="L9" s="96">
        <v>1568</v>
      </c>
    </row>
    <row r="10" spans="1:12" ht="47.4" thickBot="1">
      <c r="A10" s="92"/>
      <c r="B10" s="93" t="s">
        <v>37</v>
      </c>
      <c r="C10" s="93" t="s">
        <v>1263</v>
      </c>
      <c r="D10" s="93" t="s">
        <v>37</v>
      </c>
      <c r="E10" s="93" t="s">
        <v>31</v>
      </c>
      <c r="F10" s="93" t="s">
        <v>489</v>
      </c>
      <c r="G10" s="94" t="s">
        <v>29</v>
      </c>
      <c r="H10" s="93">
        <v>10</v>
      </c>
      <c r="I10" s="93">
        <v>2240</v>
      </c>
      <c r="J10" s="93">
        <v>1</v>
      </c>
      <c r="K10" s="95">
        <v>2240</v>
      </c>
      <c r="L10" s="96">
        <v>1568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"/>
  <sheetViews>
    <sheetView topLeftCell="X1" workbookViewId="0">
      <selection activeCell="AP20" sqref="AP20"/>
    </sheetView>
  </sheetViews>
  <sheetFormatPr defaultRowHeight="17.399999999999999"/>
  <cols>
    <col min="1" max="1" width="9.296875" style="63" bestFit="1" customWidth="1"/>
    <col min="2" max="2" width="18.8984375" style="63" bestFit="1" customWidth="1"/>
    <col min="3" max="3" width="11.5" style="63" bestFit="1" customWidth="1"/>
    <col min="4" max="4" width="10.3984375" style="63" bestFit="1" customWidth="1"/>
    <col min="5" max="5" width="8.09765625" style="63" bestFit="1" customWidth="1"/>
    <col min="6" max="6" width="8.59765625" style="63" bestFit="1" customWidth="1"/>
    <col min="7" max="7" width="12.296875" style="63" bestFit="1" customWidth="1"/>
    <col min="8" max="8" width="16.296875" style="63" bestFit="1" customWidth="1"/>
    <col min="9" max="9" width="8.59765625" style="63" bestFit="1" customWidth="1"/>
    <col min="10" max="10" width="9.3984375" style="63" bestFit="1" customWidth="1"/>
    <col min="11" max="11" width="26.09765625" style="63" bestFit="1" customWidth="1"/>
    <col min="12" max="12" width="21.5" style="63" bestFit="1" customWidth="1"/>
    <col min="13" max="14" width="6.796875" style="63" bestFit="1" customWidth="1"/>
    <col min="15" max="15" width="10.796875" style="63" bestFit="1" customWidth="1"/>
    <col min="16" max="16" width="30" style="63" bestFit="1" customWidth="1"/>
    <col min="17" max="17" width="12.69921875" style="63" bestFit="1" customWidth="1"/>
    <col min="18" max="18" width="19.59765625" style="63" bestFit="1" customWidth="1"/>
    <col min="19" max="19" width="11.09765625" style="63" bestFit="1" customWidth="1"/>
    <col min="20" max="20" width="9.3984375" style="63" bestFit="1" customWidth="1"/>
    <col min="21" max="21" width="8.8984375" style="63" bestFit="1" customWidth="1"/>
    <col min="22" max="22" width="8.3984375" style="63" bestFit="1" customWidth="1"/>
    <col min="23" max="28" width="8.8984375" style="63" bestFit="1" customWidth="1"/>
    <col min="29" max="29" width="15.19921875" style="63" bestFit="1" customWidth="1"/>
    <col min="30" max="30" width="9.3984375" style="63" bestFit="1" customWidth="1"/>
    <col min="31" max="31" width="8.8984375" style="63" bestFit="1" customWidth="1"/>
    <col min="32" max="32" width="8.3984375" style="63" bestFit="1" customWidth="1"/>
    <col min="33" max="38" width="8.8984375" style="63" bestFit="1" customWidth="1"/>
    <col min="39" max="39" width="15.19921875" style="63" bestFit="1" customWidth="1"/>
    <col min="40" max="40" width="8.59765625" style="63" bestFit="1" customWidth="1"/>
    <col min="41" max="41" width="6.796875" style="63" bestFit="1" customWidth="1"/>
    <col min="42" max="42" width="8.59765625" style="63" bestFit="1" customWidth="1"/>
    <col min="43" max="16384" width="8.796875" style="63"/>
  </cols>
  <sheetData>
    <row r="1" spans="1:42" ht="18" thickBot="1">
      <c r="A1" s="115" t="s">
        <v>1279</v>
      </c>
      <c r="B1" s="115" t="s">
        <v>1280</v>
      </c>
      <c r="C1" s="115" t="s">
        <v>1281</v>
      </c>
      <c r="D1" s="115" t="s">
        <v>1282</v>
      </c>
      <c r="E1" s="115" t="s">
        <v>1283</v>
      </c>
      <c r="F1" s="115" t="s">
        <v>1284</v>
      </c>
      <c r="G1" s="115" t="s">
        <v>1285</v>
      </c>
      <c r="H1" s="115" t="s">
        <v>1286</v>
      </c>
      <c r="I1" s="115" t="s">
        <v>549</v>
      </c>
      <c r="J1" s="115" t="s">
        <v>1287</v>
      </c>
      <c r="K1" s="115" t="s">
        <v>199</v>
      </c>
      <c r="L1" s="115" t="s">
        <v>1288</v>
      </c>
      <c r="M1" s="115" t="s">
        <v>1289</v>
      </c>
      <c r="N1" s="116" t="s">
        <v>151</v>
      </c>
      <c r="O1" s="115" t="s">
        <v>1290</v>
      </c>
      <c r="P1" s="116" t="s">
        <v>1291</v>
      </c>
      <c r="Q1" s="115" t="s">
        <v>1292</v>
      </c>
      <c r="R1" s="115" t="s">
        <v>1293</v>
      </c>
      <c r="S1" s="115" t="s">
        <v>1294</v>
      </c>
      <c r="T1" s="115" t="s">
        <v>1295</v>
      </c>
      <c r="U1" s="115" t="s">
        <v>1296</v>
      </c>
      <c r="V1" s="115" t="s">
        <v>1297</v>
      </c>
      <c r="W1" s="115" t="s">
        <v>1298</v>
      </c>
      <c r="X1" s="115" t="s">
        <v>1299</v>
      </c>
      <c r="Y1" s="115" t="s">
        <v>1300</v>
      </c>
      <c r="Z1" s="115" t="s">
        <v>1301</v>
      </c>
      <c r="AA1" s="115" t="s">
        <v>1302</v>
      </c>
      <c r="AB1" s="115" t="s">
        <v>1303</v>
      </c>
      <c r="AC1" s="115" t="s">
        <v>1304</v>
      </c>
      <c r="AD1" s="116" t="s">
        <v>1305</v>
      </c>
      <c r="AE1" s="115" t="s">
        <v>1306</v>
      </c>
      <c r="AF1" s="115" t="s">
        <v>1307</v>
      </c>
      <c r="AG1" s="115" t="s">
        <v>1308</v>
      </c>
      <c r="AH1" s="115" t="s">
        <v>1309</v>
      </c>
      <c r="AI1" s="115" t="s">
        <v>1310</v>
      </c>
      <c r="AJ1" s="115" t="s">
        <v>1311</v>
      </c>
      <c r="AK1" s="115" t="s">
        <v>1312</v>
      </c>
      <c r="AL1" s="115" t="s">
        <v>1313</v>
      </c>
      <c r="AM1" s="115" t="s">
        <v>1314</v>
      </c>
      <c r="AN1" s="115" t="s">
        <v>1315</v>
      </c>
      <c r="AO1" s="115" t="s">
        <v>1316</v>
      </c>
      <c r="AP1" s="116" t="s">
        <v>1317</v>
      </c>
    </row>
    <row r="2" spans="1:42" ht="18" thickTop="1">
      <c r="A2" s="117" t="s">
        <v>1318</v>
      </c>
      <c r="B2" s="117" t="s">
        <v>568</v>
      </c>
      <c r="C2" s="117" t="s">
        <v>1319</v>
      </c>
      <c r="D2" s="117" t="s">
        <v>37</v>
      </c>
      <c r="E2" s="117" t="s">
        <v>1320</v>
      </c>
      <c r="F2" s="117" t="s">
        <v>1321</v>
      </c>
      <c r="G2" s="117" t="s">
        <v>1322</v>
      </c>
      <c r="H2" s="117" t="s">
        <v>1323</v>
      </c>
      <c r="I2" s="117" t="s">
        <v>1263</v>
      </c>
      <c r="J2" s="117">
        <v>49989820</v>
      </c>
      <c r="K2" s="117" t="s">
        <v>182</v>
      </c>
      <c r="L2" s="117"/>
      <c r="M2" s="117"/>
      <c r="N2" s="117" t="s">
        <v>31</v>
      </c>
      <c r="O2" s="117" t="s">
        <v>1324</v>
      </c>
      <c r="P2" s="117">
        <v>0.55000000000000004</v>
      </c>
      <c r="Q2" s="117">
        <v>0.55000000000000004</v>
      </c>
      <c r="R2" s="118" t="s">
        <v>1325</v>
      </c>
      <c r="S2" s="118">
        <v>100</v>
      </c>
      <c r="T2" s="118">
        <v>7900</v>
      </c>
      <c r="U2" s="118">
        <v>700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7200</v>
      </c>
      <c r="AD2" s="118">
        <v>7900</v>
      </c>
      <c r="AE2" s="118">
        <v>700</v>
      </c>
      <c r="AF2" s="118">
        <v>0</v>
      </c>
      <c r="AG2" s="118">
        <v>0</v>
      </c>
      <c r="AH2" s="118">
        <v>0</v>
      </c>
      <c r="AI2" s="118">
        <v>0</v>
      </c>
      <c r="AJ2" s="118">
        <v>0</v>
      </c>
      <c r="AK2" s="118">
        <v>0</v>
      </c>
      <c r="AL2" s="118">
        <v>0</v>
      </c>
      <c r="AM2" s="118">
        <v>7200</v>
      </c>
      <c r="AN2" s="118">
        <v>4345</v>
      </c>
      <c r="AO2" s="118">
        <v>0</v>
      </c>
      <c r="AP2" s="118">
        <v>4345</v>
      </c>
    </row>
    <row r="3" spans="1:42">
      <c r="A3" s="117" t="s">
        <v>1318</v>
      </c>
      <c r="B3" s="117" t="s">
        <v>568</v>
      </c>
      <c r="C3" s="117" t="s">
        <v>1319</v>
      </c>
      <c r="D3" s="117" t="s">
        <v>37</v>
      </c>
      <c r="E3" s="117" t="s">
        <v>1320</v>
      </c>
      <c r="F3" s="117" t="s">
        <v>1321</v>
      </c>
      <c r="G3" s="117" t="s">
        <v>1322</v>
      </c>
      <c r="H3" s="117" t="s">
        <v>1323</v>
      </c>
      <c r="I3" s="117" t="s">
        <v>1263</v>
      </c>
      <c r="J3" s="117">
        <v>49989820</v>
      </c>
      <c r="K3" s="117" t="s">
        <v>182</v>
      </c>
      <c r="L3" s="117"/>
      <c r="M3" s="117"/>
      <c r="N3" s="117" t="s">
        <v>31</v>
      </c>
      <c r="O3" s="117" t="s">
        <v>1324</v>
      </c>
      <c r="P3" s="117">
        <v>0.55000000000000004</v>
      </c>
      <c r="Q3" s="117">
        <v>0.55000000000000004</v>
      </c>
      <c r="R3" s="118" t="s">
        <v>1326</v>
      </c>
      <c r="S3" s="118">
        <v>2400</v>
      </c>
      <c r="T3" s="118">
        <v>5700</v>
      </c>
      <c r="U3" s="118">
        <v>3300</v>
      </c>
      <c r="V3" s="118">
        <v>0</v>
      </c>
      <c r="W3" s="118">
        <v>0</v>
      </c>
      <c r="X3" s="118">
        <v>0</v>
      </c>
      <c r="Y3" s="118">
        <v>0</v>
      </c>
      <c r="Z3" s="118">
        <v>0</v>
      </c>
      <c r="AA3" s="118">
        <v>0</v>
      </c>
      <c r="AB3" s="118">
        <v>0</v>
      </c>
      <c r="AC3" s="118">
        <v>2400</v>
      </c>
      <c r="AD3" s="118">
        <v>5700</v>
      </c>
      <c r="AE3" s="118">
        <v>3300</v>
      </c>
      <c r="AF3" s="118">
        <v>0</v>
      </c>
      <c r="AG3" s="118">
        <v>0</v>
      </c>
      <c r="AH3" s="118">
        <v>0</v>
      </c>
      <c r="AI3" s="118">
        <v>0</v>
      </c>
      <c r="AJ3" s="118">
        <v>0</v>
      </c>
      <c r="AK3" s="118">
        <v>0</v>
      </c>
      <c r="AL3" s="118">
        <v>0</v>
      </c>
      <c r="AM3" s="118">
        <v>2400</v>
      </c>
      <c r="AN3" s="118">
        <v>3135</v>
      </c>
      <c r="AO3" s="118">
        <v>0</v>
      </c>
      <c r="AP3" s="118">
        <v>3135</v>
      </c>
    </row>
    <row r="4" spans="1:42">
      <c r="A4" s="117" t="s">
        <v>1318</v>
      </c>
      <c r="B4" s="117" t="s">
        <v>568</v>
      </c>
      <c r="C4" s="117" t="s">
        <v>1319</v>
      </c>
      <c r="D4" s="117" t="s">
        <v>37</v>
      </c>
      <c r="E4" s="117" t="s">
        <v>1320</v>
      </c>
      <c r="F4" s="117" t="s">
        <v>1321</v>
      </c>
      <c r="G4" s="117" t="s">
        <v>1322</v>
      </c>
      <c r="H4" s="117" t="s">
        <v>1323</v>
      </c>
      <c r="I4" s="117" t="s">
        <v>1263</v>
      </c>
      <c r="J4" s="117">
        <v>49989820</v>
      </c>
      <c r="K4" s="117" t="s">
        <v>182</v>
      </c>
      <c r="L4" s="117"/>
      <c r="M4" s="117"/>
      <c r="N4" s="117" t="s">
        <v>31</v>
      </c>
      <c r="O4" s="117" t="s">
        <v>1324</v>
      </c>
      <c r="P4" s="117">
        <v>0.55000000000000004</v>
      </c>
      <c r="Q4" s="117">
        <v>0.55000000000000004</v>
      </c>
      <c r="R4" s="118" t="s">
        <v>1326</v>
      </c>
      <c r="S4" s="118">
        <v>9000</v>
      </c>
      <c r="T4" s="118">
        <v>-3200</v>
      </c>
      <c r="U4" s="118">
        <v>-3200</v>
      </c>
      <c r="V4" s="118">
        <v>0</v>
      </c>
      <c r="W4" s="118">
        <v>0</v>
      </c>
      <c r="X4" s="118">
        <v>0</v>
      </c>
      <c r="Y4" s="118">
        <v>0</v>
      </c>
      <c r="Z4" s="118">
        <v>0</v>
      </c>
      <c r="AA4" s="118">
        <v>0</v>
      </c>
      <c r="AB4" s="118">
        <v>0</v>
      </c>
      <c r="AC4" s="118">
        <v>0</v>
      </c>
      <c r="AD4" s="118">
        <v>-3200</v>
      </c>
      <c r="AE4" s="118">
        <v>-3200</v>
      </c>
      <c r="AF4" s="118">
        <v>0</v>
      </c>
      <c r="AG4" s="118">
        <v>0</v>
      </c>
      <c r="AH4" s="118">
        <v>0</v>
      </c>
      <c r="AI4" s="118">
        <v>0</v>
      </c>
      <c r="AJ4" s="118">
        <v>0</v>
      </c>
      <c r="AK4" s="118">
        <v>0</v>
      </c>
      <c r="AL4" s="118">
        <v>0</v>
      </c>
      <c r="AM4" s="118">
        <v>0</v>
      </c>
      <c r="AN4" s="118">
        <v>-1760</v>
      </c>
      <c r="AO4" s="118">
        <v>0</v>
      </c>
      <c r="AP4" s="118">
        <v>-1760</v>
      </c>
    </row>
    <row r="5" spans="1:42">
      <c r="A5" s="117" t="s">
        <v>1318</v>
      </c>
      <c r="B5" s="117" t="s">
        <v>568</v>
      </c>
      <c r="C5" s="117" t="s">
        <v>1319</v>
      </c>
      <c r="D5" s="117" t="s">
        <v>37</v>
      </c>
      <c r="E5" s="117" t="s">
        <v>1320</v>
      </c>
      <c r="F5" s="117" t="s">
        <v>1321</v>
      </c>
      <c r="G5" s="117" t="s">
        <v>1322</v>
      </c>
      <c r="H5" s="117" t="s">
        <v>1323</v>
      </c>
      <c r="I5" s="117" t="s">
        <v>1263</v>
      </c>
      <c r="J5" s="117">
        <v>49989820</v>
      </c>
      <c r="K5" s="117" t="s">
        <v>182</v>
      </c>
      <c r="L5" s="117"/>
      <c r="M5" s="117"/>
      <c r="N5" s="117" t="s">
        <v>31</v>
      </c>
      <c r="O5" s="117" t="s">
        <v>1324</v>
      </c>
      <c r="P5" s="117">
        <v>0.55000000000000004</v>
      </c>
      <c r="Q5" s="117">
        <v>0.55000000000000004</v>
      </c>
      <c r="R5" s="118" t="s">
        <v>1326</v>
      </c>
      <c r="S5" s="118">
        <v>13500</v>
      </c>
      <c r="T5" s="118">
        <v>13500</v>
      </c>
      <c r="U5" s="118">
        <v>13500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8">
        <v>0</v>
      </c>
      <c r="AC5" s="118">
        <v>0</v>
      </c>
      <c r="AD5" s="118">
        <v>13500</v>
      </c>
      <c r="AE5" s="118">
        <v>13500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8">
        <v>0</v>
      </c>
      <c r="AL5" s="118">
        <v>0</v>
      </c>
      <c r="AM5" s="118">
        <v>0</v>
      </c>
      <c r="AN5" s="118">
        <v>7425</v>
      </c>
      <c r="AO5" s="118">
        <v>0</v>
      </c>
      <c r="AP5" s="118">
        <v>7425</v>
      </c>
    </row>
    <row r="6" spans="1:42">
      <c r="A6" s="117" t="s">
        <v>1318</v>
      </c>
      <c r="B6" s="117" t="s">
        <v>568</v>
      </c>
      <c r="C6" s="117" t="s">
        <v>1319</v>
      </c>
      <c r="D6" s="117" t="s">
        <v>37</v>
      </c>
      <c r="E6" s="117" t="s">
        <v>1320</v>
      </c>
      <c r="F6" s="117" t="s">
        <v>1321</v>
      </c>
      <c r="G6" s="117" t="s">
        <v>1322</v>
      </c>
      <c r="H6" s="117" t="s">
        <v>1323</v>
      </c>
      <c r="I6" s="117" t="s">
        <v>1263</v>
      </c>
      <c r="J6" s="117">
        <v>51584299</v>
      </c>
      <c r="K6" s="117" t="s">
        <v>29</v>
      </c>
      <c r="L6" s="117"/>
      <c r="M6" s="117"/>
      <c r="N6" s="117" t="s">
        <v>31</v>
      </c>
      <c r="O6" s="117" t="s">
        <v>1324</v>
      </c>
      <c r="P6" s="117">
        <v>0.55000000000000004</v>
      </c>
      <c r="Q6" s="117">
        <v>0.55000000000000004</v>
      </c>
      <c r="R6" s="118" t="s">
        <v>1325</v>
      </c>
      <c r="S6" s="118">
        <v>100</v>
      </c>
      <c r="T6" s="118">
        <v>25000</v>
      </c>
      <c r="U6" s="118">
        <v>8600</v>
      </c>
      <c r="V6" s="118">
        <v>0</v>
      </c>
      <c r="W6" s="118">
        <v>0</v>
      </c>
      <c r="X6" s="118">
        <v>0</v>
      </c>
      <c r="Y6" s="118">
        <v>0</v>
      </c>
      <c r="Z6" s="118">
        <v>100</v>
      </c>
      <c r="AA6" s="118">
        <v>0</v>
      </c>
      <c r="AB6" s="118">
        <v>0</v>
      </c>
      <c r="AC6" s="118">
        <v>16300</v>
      </c>
      <c r="AD6" s="118">
        <v>25010</v>
      </c>
      <c r="AE6" s="118">
        <v>8600</v>
      </c>
      <c r="AF6" s="118">
        <v>0</v>
      </c>
      <c r="AG6" s="118">
        <v>0</v>
      </c>
      <c r="AH6" s="118">
        <v>0</v>
      </c>
      <c r="AI6" s="118">
        <v>0</v>
      </c>
      <c r="AJ6" s="118">
        <v>110</v>
      </c>
      <c r="AK6" s="118">
        <v>0</v>
      </c>
      <c r="AL6" s="118">
        <v>0</v>
      </c>
      <c r="AM6" s="118">
        <v>16300</v>
      </c>
      <c r="AN6" s="118">
        <v>13756</v>
      </c>
      <c r="AO6" s="118">
        <v>0</v>
      </c>
      <c r="AP6" s="118">
        <v>13756</v>
      </c>
    </row>
    <row r="7" spans="1:42">
      <c r="A7" s="117" t="s">
        <v>1318</v>
      </c>
      <c r="B7" s="117" t="s">
        <v>568</v>
      </c>
      <c r="C7" s="117" t="s">
        <v>1319</v>
      </c>
      <c r="D7" s="117" t="s">
        <v>37</v>
      </c>
      <c r="E7" s="117" t="s">
        <v>1320</v>
      </c>
      <c r="F7" s="117" t="s">
        <v>1321</v>
      </c>
      <c r="G7" s="117" t="s">
        <v>1322</v>
      </c>
      <c r="H7" s="117" t="s">
        <v>1323</v>
      </c>
      <c r="I7" s="117" t="s">
        <v>1263</v>
      </c>
      <c r="J7" s="117">
        <v>51584299</v>
      </c>
      <c r="K7" s="117" t="s">
        <v>29</v>
      </c>
      <c r="L7" s="117"/>
      <c r="M7" s="117"/>
      <c r="N7" s="117" t="s">
        <v>31</v>
      </c>
      <c r="O7" s="117" t="s">
        <v>1324</v>
      </c>
      <c r="P7" s="117">
        <v>0.55000000000000004</v>
      </c>
      <c r="Q7" s="117">
        <v>0.55000000000000004</v>
      </c>
      <c r="R7" s="118" t="s">
        <v>1326</v>
      </c>
      <c r="S7" s="118">
        <v>2400</v>
      </c>
      <c r="T7" s="118">
        <v>43000</v>
      </c>
      <c r="U7" s="118">
        <v>37800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8">
        <v>0</v>
      </c>
      <c r="AC7" s="118">
        <v>5200</v>
      </c>
      <c r="AD7" s="118">
        <v>43000</v>
      </c>
      <c r="AE7" s="118">
        <v>37800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8">
        <v>0</v>
      </c>
      <c r="AL7" s="118">
        <v>0</v>
      </c>
      <c r="AM7" s="118">
        <v>5200</v>
      </c>
      <c r="AN7" s="118">
        <v>23650</v>
      </c>
      <c r="AO7" s="118">
        <v>0</v>
      </c>
      <c r="AP7" s="118">
        <v>23650</v>
      </c>
    </row>
    <row r="8" spans="1:42">
      <c r="A8" s="117" t="s">
        <v>1318</v>
      </c>
      <c r="B8" s="117" t="s">
        <v>568</v>
      </c>
      <c r="C8" s="117" t="s">
        <v>1319</v>
      </c>
      <c r="D8" s="117" t="s">
        <v>37</v>
      </c>
      <c r="E8" s="117" t="s">
        <v>1320</v>
      </c>
      <c r="F8" s="117" t="s">
        <v>1321</v>
      </c>
      <c r="G8" s="117" t="s">
        <v>1322</v>
      </c>
      <c r="H8" s="117" t="s">
        <v>1323</v>
      </c>
      <c r="I8" s="117" t="s">
        <v>1263</v>
      </c>
      <c r="J8" s="117">
        <v>51584299</v>
      </c>
      <c r="K8" s="117" t="s">
        <v>29</v>
      </c>
      <c r="L8" s="117"/>
      <c r="M8" s="117"/>
      <c r="N8" s="117" t="s">
        <v>31</v>
      </c>
      <c r="O8" s="117" t="s">
        <v>1324</v>
      </c>
      <c r="P8" s="117">
        <v>0.55000000000000004</v>
      </c>
      <c r="Q8" s="117">
        <v>0.55000000000000004</v>
      </c>
      <c r="R8" s="118" t="s">
        <v>1326</v>
      </c>
      <c r="S8" s="118">
        <v>9200</v>
      </c>
      <c r="T8" s="118">
        <v>78500</v>
      </c>
      <c r="U8" s="118">
        <v>71000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8">
        <v>7500</v>
      </c>
      <c r="AD8" s="118">
        <v>78500</v>
      </c>
      <c r="AE8" s="118">
        <v>71000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8">
        <v>0</v>
      </c>
      <c r="AL8" s="118">
        <v>0</v>
      </c>
      <c r="AM8" s="118">
        <v>7500</v>
      </c>
      <c r="AN8" s="118">
        <v>43175</v>
      </c>
      <c r="AO8" s="118">
        <v>0</v>
      </c>
      <c r="AP8" s="118">
        <v>43175</v>
      </c>
    </row>
    <row r="9" spans="1:42">
      <c r="A9" s="117" t="s">
        <v>1318</v>
      </c>
      <c r="B9" s="117" t="s">
        <v>568</v>
      </c>
      <c r="C9" s="117" t="s">
        <v>1319</v>
      </c>
      <c r="D9" s="117" t="s">
        <v>37</v>
      </c>
      <c r="E9" s="117" t="s">
        <v>1320</v>
      </c>
      <c r="F9" s="117" t="s">
        <v>1321</v>
      </c>
      <c r="G9" s="117" t="s">
        <v>1322</v>
      </c>
      <c r="H9" s="117" t="s">
        <v>1323</v>
      </c>
      <c r="I9" s="117" t="s">
        <v>1263</v>
      </c>
      <c r="J9" s="117">
        <v>51584299</v>
      </c>
      <c r="K9" s="117" t="s">
        <v>29</v>
      </c>
      <c r="L9" s="117"/>
      <c r="M9" s="117"/>
      <c r="N9" s="117" t="s">
        <v>31</v>
      </c>
      <c r="O9" s="117" t="s">
        <v>1324</v>
      </c>
      <c r="P9" s="117">
        <v>0.55000000000000004</v>
      </c>
      <c r="Q9" s="117">
        <v>0.55000000000000004</v>
      </c>
      <c r="R9" s="118" t="s">
        <v>1326</v>
      </c>
      <c r="S9" s="118">
        <v>18000</v>
      </c>
      <c r="T9" s="118">
        <v>45800</v>
      </c>
      <c r="U9" s="118">
        <v>42000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8">
        <v>3800</v>
      </c>
      <c r="AD9" s="118">
        <v>45800</v>
      </c>
      <c r="AE9" s="118">
        <v>42000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8">
        <v>0</v>
      </c>
      <c r="AL9" s="118">
        <v>0</v>
      </c>
      <c r="AM9" s="118">
        <v>3800</v>
      </c>
      <c r="AN9" s="118">
        <v>25190</v>
      </c>
      <c r="AO9" s="118">
        <v>0</v>
      </c>
      <c r="AP9" s="118">
        <v>25190</v>
      </c>
    </row>
    <row r="10" spans="1:42">
      <c r="A10" s="117" t="s">
        <v>1318</v>
      </c>
      <c r="B10" s="117" t="s">
        <v>568</v>
      </c>
      <c r="C10" s="117" t="s">
        <v>1319</v>
      </c>
      <c r="D10" s="117" t="s">
        <v>37</v>
      </c>
      <c r="E10" s="117" t="s">
        <v>1320</v>
      </c>
      <c r="F10" s="117" t="s">
        <v>1321</v>
      </c>
      <c r="G10" s="117" t="s">
        <v>1322</v>
      </c>
      <c r="H10" s="117" t="s">
        <v>1323</v>
      </c>
      <c r="I10" s="117" t="s">
        <v>1263</v>
      </c>
      <c r="J10" s="117">
        <v>52963521</v>
      </c>
      <c r="K10" s="117" t="s">
        <v>175</v>
      </c>
      <c r="L10" s="117"/>
      <c r="M10" s="117"/>
      <c r="N10" s="117" t="s">
        <v>31</v>
      </c>
      <c r="O10" s="117" t="s">
        <v>1324</v>
      </c>
      <c r="P10" s="117">
        <v>0.55000000000000004</v>
      </c>
      <c r="Q10" s="117">
        <v>0.55000000000000004</v>
      </c>
      <c r="R10" s="118" t="s">
        <v>1325</v>
      </c>
      <c r="S10" s="118">
        <v>100</v>
      </c>
      <c r="T10" s="118">
        <v>17000</v>
      </c>
      <c r="U10" s="118">
        <v>6500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8">
        <v>10500</v>
      </c>
      <c r="AD10" s="118">
        <v>17000</v>
      </c>
      <c r="AE10" s="118">
        <v>6500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8">
        <v>0</v>
      </c>
      <c r="AL10" s="118">
        <v>0</v>
      </c>
      <c r="AM10" s="118">
        <v>10500</v>
      </c>
      <c r="AN10" s="118">
        <v>9350</v>
      </c>
      <c r="AO10" s="118">
        <v>0</v>
      </c>
      <c r="AP10" s="118">
        <v>9350</v>
      </c>
    </row>
    <row r="11" spans="1:42">
      <c r="A11" s="117" t="s">
        <v>1318</v>
      </c>
      <c r="B11" s="117" t="s">
        <v>568</v>
      </c>
      <c r="C11" s="117" t="s">
        <v>1319</v>
      </c>
      <c r="D11" s="117" t="s">
        <v>37</v>
      </c>
      <c r="E11" s="117" t="s">
        <v>1320</v>
      </c>
      <c r="F11" s="117" t="s">
        <v>1321</v>
      </c>
      <c r="G11" s="117" t="s">
        <v>1322</v>
      </c>
      <c r="H11" s="117" t="s">
        <v>1323</v>
      </c>
      <c r="I11" s="117" t="s">
        <v>1263</v>
      </c>
      <c r="J11" s="117">
        <v>52963521</v>
      </c>
      <c r="K11" s="117" t="s">
        <v>175</v>
      </c>
      <c r="L11" s="117"/>
      <c r="M11" s="117"/>
      <c r="N11" s="117" t="s">
        <v>31</v>
      </c>
      <c r="O11" s="117" t="s">
        <v>1324</v>
      </c>
      <c r="P11" s="117">
        <v>0.55000000000000004</v>
      </c>
      <c r="Q11" s="117">
        <v>0.55000000000000004</v>
      </c>
      <c r="R11" s="118" t="s">
        <v>1326</v>
      </c>
      <c r="S11" s="118">
        <v>2400</v>
      </c>
      <c r="T11" s="118">
        <v>29300</v>
      </c>
      <c r="U11" s="118">
        <v>18800</v>
      </c>
      <c r="V11" s="118">
        <v>0</v>
      </c>
      <c r="W11" s="118">
        <v>0</v>
      </c>
      <c r="X11" s="118">
        <v>0</v>
      </c>
      <c r="Y11" s="118">
        <v>6600</v>
      </c>
      <c r="Z11" s="118">
        <v>0</v>
      </c>
      <c r="AA11" s="118">
        <v>0</v>
      </c>
      <c r="AB11" s="118">
        <v>0</v>
      </c>
      <c r="AC11" s="118">
        <v>3900</v>
      </c>
      <c r="AD11" s="118">
        <v>30620</v>
      </c>
      <c r="AE11" s="118">
        <v>18800</v>
      </c>
      <c r="AF11" s="118">
        <v>0</v>
      </c>
      <c r="AG11" s="118">
        <v>0</v>
      </c>
      <c r="AH11" s="118">
        <v>0</v>
      </c>
      <c r="AI11" s="118">
        <v>7920</v>
      </c>
      <c r="AJ11" s="118">
        <v>0</v>
      </c>
      <c r="AK11" s="118">
        <v>0</v>
      </c>
      <c r="AL11" s="118">
        <v>0</v>
      </c>
      <c r="AM11" s="118">
        <v>3900</v>
      </c>
      <c r="AN11" s="118">
        <v>16841</v>
      </c>
      <c r="AO11" s="118">
        <v>0</v>
      </c>
      <c r="AP11" s="118">
        <v>16841</v>
      </c>
    </row>
    <row r="12" spans="1:42">
      <c r="A12" s="117" t="s">
        <v>1318</v>
      </c>
      <c r="B12" s="117" t="s">
        <v>568</v>
      </c>
      <c r="C12" s="117" t="s">
        <v>1319</v>
      </c>
      <c r="D12" s="117" t="s">
        <v>37</v>
      </c>
      <c r="E12" s="117" t="s">
        <v>1320</v>
      </c>
      <c r="F12" s="117" t="s">
        <v>1321</v>
      </c>
      <c r="G12" s="117" t="s">
        <v>1322</v>
      </c>
      <c r="H12" s="117" t="s">
        <v>1323</v>
      </c>
      <c r="I12" s="117" t="s">
        <v>1263</v>
      </c>
      <c r="J12" s="117">
        <v>52963521</v>
      </c>
      <c r="K12" s="117" t="s">
        <v>175</v>
      </c>
      <c r="L12" s="117"/>
      <c r="M12" s="117"/>
      <c r="N12" s="117" t="s">
        <v>31</v>
      </c>
      <c r="O12" s="117" t="s">
        <v>1324</v>
      </c>
      <c r="P12" s="117">
        <v>0.55000000000000004</v>
      </c>
      <c r="Q12" s="117">
        <v>0.55000000000000004</v>
      </c>
      <c r="R12" s="118" t="s">
        <v>1326</v>
      </c>
      <c r="S12" s="118">
        <v>9200</v>
      </c>
      <c r="T12" s="118">
        <v>46000</v>
      </c>
      <c r="U12" s="118">
        <v>46000</v>
      </c>
      <c r="V12" s="118">
        <v>0</v>
      </c>
      <c r="W12" s="118">
        <v>0</v>
      </c>
      <c r="X12" s="118">
        <v>0</v>
      </c>
      <c r="Y12" s="118">
        <v>0</v>
      </c>
      <c r="Z12" s="118">
        <v>0</v>
      </c>
      <c r="AA12" s="118">
        <v>0</v>
      </c>
      <c r="AB12" s="118">
        <v>0</v>
      </c>
      <c r="AC12" s="118">
        <v>0</v>
      </c>
      <c r="AD12" s="118">
        <v>46000</v>
      </c>
      <c r="AE12" s="118">
        <v>46000</v>
      </c>
      <c r="AF12" s="118">
        <v>0</v>
      </c>
      <c r="AG12" s="118">
        <v>0</v>
      </c>
      <c r="AH12" s="118">
        <v>0</v>
      </c>
      <c r="AI12" s="118">
        <v>0</v>
      </c>
      <c r="AJ12" s="118">
        <v>0</v>
      </c>
      <c r="AK12" s="118">
        <v>0</v>
      </c>
      <c r="AL12" s="118">
        <v>0</v>
      </c>
      <c r="AM12" s="118">
        <v>0</v>
      </c>
      <c r="AN12" s="118">
        <v>25300</v>
      </c>
      <c r="AO12" s="118">
        <v>0</v>
      </c>
      <c r="AP12" s="118">
        <v>25300</v>
      </c>
    </row>
    <row r="13" spans="1:42">
      <c r="A13" s="117" t="s">
        <v>1318</v>
      </c>
      <c r="B13" s="117" t="s">
        <v>568</v>
      </c>
      <c r="C13" s="117" t="s">
        <v>1319</v>
      </c>
      <c r="D13" s="117" t="s">
        <v>37</v>
      </c>
      <c r="E13" s="117" t="s">
        <v>1320</v>
      </c>
      <c r="F13" s="117" t="s">
        <v>1321</v>
      </c>
      <c r="G13" s="117" t="s">
        <v>1322</v>
      </c>
      <c r="H13" s="117" t="s">
        <v>1323</v>
      </c>
      <c r="I13" s="117" t="s">
        <v>1263</v>
      </c>
      <c r="J13" s="117">
        <v>56766083</v>
      </c>
      <c r="K13" s="117" t="s">
        <v>180</v>
      </c>
      <c r="L13" s="117"/>
      <c r="M13" s="117"/>
      <c r="N13" s="117" t="s">
        <v>31</v>
      </c>
      <c r="O13" s="117" t="s">
        <v>1324</v>
      </c>
      <c r="P13" s="117">
        <v>0.55000000000000004</v>
      </c>
      <c r="Q13" s="117">
        <v>0.55000000000000004</v>
      </c>
      <c r="R13" s="118" t="s">
        <v>1327</v>
      </c>
      <c r="S13" s="118">
        <v>900</v>
      </c>
      <c r="T13" s="118">
        <v>2700</v>
      </c>
      <c r="U13" s="118">
        <v>2700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118">
        <v>0</v>
      </c>
      <c r="AC13" s="118">
        <v>0</v>
      </c>
      <c r="AD13" s="118">
        <v>2700</v>
      </c>
      <c r="AE13" s="118">
        <v>2700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118">
        <v>0</v>
      </c>
      <c r="AL13" s="118">
        <v>0</v>
      </c>
      <c r="AM13" s="118">
        <v>0</v>
      </c>
      <c r="AN13" s="118">
        <v>1485</v>
      </c>
      <c r="AO13" s="118">
        <v>0</v>
      </c>
      <c r="AP13" s="118">
        <v>1485</v>
      </c>
    </row>
    <row r="14" spans="1:42">
      <c r="A14" s="117" t="s">
        <v>1318</v>
      </c>
      <c r="B14" s="117" t="s">
        <v>568</v>
      </c>
      <c r="C14" s="117" t="s">
        <v>1319</v>
      </c>
      <c r="D14" s="117" t="s">
        <v>37</v>
      </c>
      <c r="E14" s="117" t="s">
        <v>1320</v>
      </c>
      <c r="F14" s="117" t="s">
        <v>1321</v>
      </c>
      <c r="G14" s="117" t="s">
        <v>1322</v>
      </c>
      <c r="H14" s="117" t="s">
        <v>1323</v>
      </c>
      <c r="I14" s="117" t="s">
        <v>1263</v>
      </c>
      <c r="J14" s="117">
        <v>56766146</v>
      </c>
      <c r="K14" s="117" t="s">
        <v>178</v>
      </c>
      <c r="L14" s="117"/>
      <c r="M14" s="117"/>
      <c r="N14" s="117" t="s">
        <v>31</v>
      </c>
      <c r="O14" s="117" t="s">
        <v>1324</v>
      </c>
      <c r="P14" s="117">
        <v>0.55000000000000004</v>
      </c>
      <c r="Q14" s="117">
        <v>0.55000000000000004</v>
      </c>
      <c r="R14" s="118" t="s">
        <v>1325</v>
      </c>
      <c r="S14" s="118">
        <v>3200</v>
      </c>
      <c r="T14" s="118">
        <v>25600</v>
      </c>
      <c r="U14" s="118">
        <v>25200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8">
        <v>400</v>
      </c>
      <c r="AD14" s="118">
        <v>25600</v>
      </c>
      <c r="AE14" s="118">
        <v>25200</v>
      </c>
      <c r="AF14" s="118">
        <v>0</v>
      </c>
      <c r="AG14" s="118">
        <v>0</v>
      </c>
      <c r="AH14" s="118">
        <v>0</v>
      </c>
      <c r="AI14" s="118">
        <v>0</v>
      </c>
      <c r="AJ14" s="118">
        <v>0</v>
      </c>
      <c r="AK14" s="118">
        <v>0</v>
      </c>
      <c r="AL14" s="118">
        <v>0</v>
      </c>
      <c r="AM14" s="118">
        <v>400</v>
      </c>
      <c r="AN14" s="118">
        <v>14080</v>
      </c>
      <c r="AO14" s="118">
        <v>0</v>
      </c>
      <c r="AP14" s="118">
        <v>14080</v>
      </c>
    </row>
    <row r="15" spans="1:42">
      <c r="A15" s="117" t="s">
        <v>1318</v>
      </c>
      <c r="B15" s="117" t="s">
        <v>568</v>
      </c>
      <c r="C15" s="117" t="s">
        <v>1319</v>
      </c>
      <c r="D15" s="117" t="s">
        <v>37</v>
      </c>
      <c r="E15" s="117" t="s">
        <v>1320</v>
      </c>
      <c r="F15" s="117" t="s">
        <v>1321</v>
      </c>
      <c r="G15" s="117" t="s">
        <v>1322</v>
      </c>
      <c r="H15" s="117" t="s">
        <v>1323</v>
      </c>
      <c r="I15" s="117" t="s">
        <v>1263</v>
      </c>
      <c r="J15" s="117">
        <v>58669835</v>
      </c>
      <c r="K15" s="117" t="s">
        <v>1328</v>
      </c>
      <c r="L15" s="117"/>
      <c r="M15" s="117"/>
      <c r="N15" s="117" t="s">
        <v>31</v>
      </c>
      <c r="O15" s="117" t="s">
        <v>1324</v>
      </c>
      <c r="P15" s="117">
        <v>0.55000000000000004</v>
      </c>
      <c r="Q15" s="117">
        <v>0.55000000000000004</v>
      </c>
      <c r="R15" s="118" t="s">
        <v>1325</v>
      </c>
      <c r="S15" s="118">
        <v>100</v>
      </c>
      <c r="T15" s="118">
        <v>336800</v>
      </c>
      <c r="U15" s="118">
        <v>156300</v>
      </c>
      <c r="V15" s="118">
        <v>0</v>
      </c>
      <c r="W15" s="118">
        <v>0</v>
      </c>
      <c r="X15" s="118">
        <v>0</v>
      </c>
      <c r="Y15" s="118">
        <v>3900</v>
      </c>
      <c r="Z15" s="118">
        <v>1800</v>
      </c>
      <c r="AA15" s="118">
        <v>0</v>
      </c>
      <c r="AB15" s="118">
        <v>0</v>
      </c>
      <c r="AC15" s="118">
        <v>174800</v>
      </c>
      <c r="AD15" s="118">
        <v>337760</v>
      </c>
      <c r="AE15" s="118">
        <v>156300</v>
      </c>
      <c r="AF15" s="118">
        <v>0</v>
      </c>
      <c r="AG15" s="118">
        <v>0</v>
      </c>
      <c r="AH15" s="118">
        <v>0</v>
      </c>
      <c r="AI15" s="118">
        <v>4680</v>
      </c>
      <c r="AJ15" s="118">
        <v>1980</v>
      </c>
      <c r="AK15" s="118">
        <v>0</v>
      </c>
      <c r="AL15" s="118">
        <v>0</v>
      </c>
      <c r="AM15" s="118">
        <v>174800</v>
      </c>
      <c r="AN15" s="118">
        <v>185768</v>
      </c>
      <c r="AO15" s="118">
        <v>0</v>
      </c>
      <c r="AP15" s="118">
        <v>185768</v>
      </c>
    </row>
    <row r="16" spans="1:42">
      <c r="A16" s="117" t="s">
        <v>1318</v>
      </c>
      <c r="B16" s="117" t="s">
        <v>568</v>
      </c>
      <c r="C16" s="117" t="s">
        <v>1319</v>
      </c>
      <c r="D16" s="117" t="s">
        <v>37</v>
      </c>
      <c r="E16" s="117" t="s">
        <v>1320</v>
      </c>
      <c r="F16" s="117" t="s">
        <v>1321</v>
      </c>
      <c r="G16" s="117" t="s">
        <v>1322</v>
      </c>
      <c r="H16" s="117" t="s">
        <v>1323</v>
      </c>
      <c r="I16" s="117" t="s">
        <v>1263</v>
      </c>
      <c r="J16" s="117">
        <v>58669835</v>
      </c>
      <c r="K16" s="117" t="s">
        <v>1328</v>
      </c>
      <c r="L16" s="117"/>
      <c r="M16" s="117"/>
      <c r="N16" s="117" t="s">
        <v>31</v>
      </c>
      <c r="O16" s="117" t="s">
        <v>1324</v>
      </c>
      <c r="P16" s="117">
        <v>0.55000000000000004</v>
      </c>
      <c r="Q16" s="117">
        <v>0.55000000000000004</v>
      </c>
      <c r="R16" s="118" t="s">
        <v>1326</v>
      </c>
      <c r="S16" s="118">
        <v>2400</v>
      </c>
      <c r="T16" s="118">
        <v>207600</v>
      </c>
      <c r="U16" s="118">
        <v>172400</v>
      </c>
      <c r="V16" s="118">
        <v>0</v>
      </c>
      <c r="W16" s="118">
        <v>0</v>
      </c>
      <c r="X16" s="118">
        <v>0</v>
      </c>
      <c r="Y16" s="118">
        <v>0</v>
      </c>
      <c r="Z16" s="118">
        <v>2400</v>
      </c>
      <c r="AA16" s="118">
        <v>0</v>
      </c>
      <c r="AB16" s="118">
        <v>0</v>
      </c>
      <c r="AC16" s="118">
        <v>32800</v>
      </c>
      <c r="AD16" s="118">
        <v>207840</v>
      </c>
      <c r="AE16" s="118">
        <v>172400</v>
      </c>
      <c r="AF16" s="118">
        <v>0</v>
      </c>
      <c r="AG16" s="118">
        <v>0</v>
      </c>
      <c r="AH16" s="118">
        <v>0</v>
      </c>
      <c r="AI16" s="118">
        <v>0</v>
      </c>
      <c r="AJ16" s="118">
        <v>2640</v>
      </c>
      <c r="AK16" s="118">
        <v>0</v>
      </c>
      <c r="AL16" s="118">
        <v>0</v>
      </c>
      <c r="AM16" s="118">
        <v>32800</v>
      </c>
      <c r="AN16" s="118">
        <v>114312</v>
      </c>
      <c r="AO16" s="118">
        <v>0</v>
      </c>
      <c r="AP16" s="118">
        <v>114312</v>
      </c>
    </row>
    <row r="17" spans="1:42">
      <c r="A17" s="117" t="s">
        <v>1318</v>
      </c>
      <c r="B17" s="117" t="s">
        <v>568</v>
      </c>
      <c r="C17" s="117" t="s">
        <v>1319</v>
      </c>
      <c r="D17" s="117" t="s">
        <v>37</v>
      </c>
      <c r="E17" s="117" t="s">
        <v>1320</v>
      </c>
      <c r="F17" s="117" t="s">
        <v>1321</v>
      </c>
      <c r="G17" s="117" t="s">
        <v>1322</v>
      </c>
      <c r="H17" s="117" t="s">
        <v>1323</v>
      </c>
      <c r="I17" s="117" t="s">
        <v>1263</v>
      </c>
      <c r="J17" s="117">
        <v>58669835</v>
      </c>
      <c r="K17" s="117" t="s">
        <v>1328</v>
      </c>
      <c r="L17" s="117"/>
      <c r="M17" s="117"/>
      <c r="N17" s="117" t="s">
        <v>31</v>
      </c>
      <c r="O17" s="117" t="s">
        <v>1324</v>
      </c>
      <c r="P17" s="117">
        <v>0.55000000000000004</v>
      </c>
      <c r="Q17" s="117">
        <v>0.55000000000000004</v>
      </c>
      <c r="R17" s="118" t="s">
        <v>1326</v>
      </c>
      <c r="S17" s="118">
        <v>4700</v>
      </c>
      <c r="T17" s="118">
        <v>152800</v>
      </c>
      <c r="U17" s="118">
        <v>144800</v>
      </c>
      <c r="V17" s="118">
        <v>0</v>
      </c>
      <c r="W17" s="118">
        <v>0</v>
      </c>
      <c r="X17" s="118">
        <v>0</v>
      </c>
      <c r="Y17" s="118">
        <v>0</v>
      </c>
      <c r="Z17" s="118">
        <v>2300</v>
      </c>
      <c r="AA17" s="118">
        <v>0</v>
      </c>
      <c r="AB17" s="118">
        <v>0</v>
      </c>
      <c r="AC17" s="118">
        <v>5700</v>
      </c>
      <c r="AD17" s="118">
        <v>153030</v>
      </c>
      <c r="AE17" s="118">
        <v>144800</v>
      </c>
      <c r="AF17" s="118">
        <v>0</v>
      </c>
      <c r="AG17" s="118">
        <v>0</v>
      </c>
      <c r="AH17" s="118">
        <v>0</v>
      </c>
      <c r="AI17" s="118">
        <v>0</v>
      </c>
      <c r="AJ17" s="118">
        <v>2530</v>
      </c>
      <c r="AK17" s="118">
        <v>0</v>
      </c>
      <c r="AL17" s="118">
        <v>0</v>
      </c>
      <c r="AM17" s="118">
        <v>5700</v>
      </c>
      <c r="AN17" s="118">
        <v>84167</v>
      </c>
      <c r="AO17" s="118">
        <v>0</v>
      </c>
      <c r="AP17" s="118">
        <v>84167</v>
      </c>
    </row>
    <row r="18" spans="1:42">
      <c r="A18" s="117" t="s">
        <v>1318</v>
      </c>
      <c r="B18" s="117" t="s">
        <v>568</v>
      </c>
      <c r="C18" s="117" t="s">
        <v>1319</v>
      </c>
      <c r="D18" s="117" t="s">
        <v>37</v>
      </c>
      <c r="E18" s="117" t="s">
        <v>1320</v>
      </c>
      <c r="F18" s="117" t="s">
        <v>1321</v>
      </c>
      <c r="G18" s="117" t="s">
        <v>1322</v>
      </c>
      <c r="H18" s="117" t="s">
        <v>1323</v>
      </c>
      <c r="I18" s="117" t="s">
        <v>1263</v>
      </c>
      <c r="J18" s="117">
        <v>58669835</v>
      </c>
      <c r="K18" s="117" t="s">
        <v>1328</v>
      </c>
      <c r="L18" s="117"/>
      <c r="M18" s="117"/>
      <c r="N18" s="117" t="s">
        <v>31</v>
      </c>
      <c r="O18" s="117" t="s">
        <v>1324</v>
      </c>
      <c r="P18" s="117">
        <v>0.55000000000000004</v>
      </c>
      <c r="Q18" s="117">
        <v>0.55000000000000004</v>
      </c>
      <c r="R18" s="118" t="s">
        <v>1326</v>
      </c>
      <c r="S18" s="118">
        <v>9200</v>
      </c>
      <c r="T18" s="118">
        <v>327500</v>
      </c>
      <c r="U18" s="118">
        <v>300600</v>
      </c>
      <c r="V18" s="118">
        <v>0</v>
      </c>
      <c r="W18" s="118">
        <v>0</v>
      </c>
      <c r="X18" s="118">
        <v>0</v>
      </c>
      <c r="Y18" s="118">
        <v>0</v>
      </c>
      <c r="Z18" s="118">
        <v>9200</v>
      </c>
      <c r="AA18" s="118">
        <v>0</v>
      </c>
      <c r="AB18" s="118">
        <v>0</v>
      </c>
      <c r="AC18" s="118">
        <v>17700</v>
      </c>
      <c r="AD18" s="118">
        <v>328420</v>
      </c>
      <c r="AE18" s="118">
        <v>300600</v>
      </c>
      <c r="AF18" s="118">
        <v>0</v>
      </c>
      <c r="AG18" s="118">
        <v>0</v>
      </c>
      <c r="AH18" s="118">
        <v>0</v>
      </c>
      <c r="AI18" s="118">
        <v>0</v>
      </c>
      <c r="AJ18" s="118">
        <v>10120</v>
      </c>
      <c r="AK18" s="118">
        <v>0</v>
      </c>
      <c r="AL18" s="118">
        <v>0</v>
      </c>
      <c r="AM18" s="118">
        <v>17700</v>
      </c>
      <c r="AN18" s="118">
        <v>180631</v>
      </c>
      <c r="AO18" s="118">
        <v>0</v>
      </c>
      <c r="AP18" s="118">
        <v>180631</v>
      </c>
    </row>
    <row r="19" spans="1:42">
      <c r="AP19" s="119">
        <f>SUM(AP2:AP18)</f>
        <v>750850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16</vt:i4>
      </vt:variant>
    </vt:vector>
  </HeadingPairs>
  <TitlesOfParts>
    <vt:vector size="34" baseType="lpstr">
      <vt:lpstr>합계</vt:lpstr>
      <vt:lpstr>MG차감내역04</vt:lpstr>
      <vt:lpstr>교보문고04</vt:lpstr>
      <vt:lpstr>구글북스04</vt:lpstr>
      <vt:lpstr>네이버APP04</vt:lpstr>
      <vt:lpstr>네이버PC04</vt:lpstr>
      <vt:lpstr>리디북스03</vt:lpstr>
      <vt:lpstr>무툰04</vt:lpstr>
      <vt:lpstr>문피아03</vt:lpstr>
      <vt:lpstr>미스터블루04</vt:lpstr>
      <vt:lpstr>스낵북04</vt:lpstr>
      <vt:lpstr>원스토어03</vt:lpstr>
      <vt:lpstr>조아라04</vt:lpstr>
      <vt:lpstr>코미코04</vt:lpstr>
      <vt:lpstr>톡소다04</vt:lpstr>
      <vt:lpstr>하이북04</vt:lpstr>
      <vt:lpstr>한아름04</vt:lpstr>
      <vt:lpstr>카카오04</vt:lpstr>
      <vt:lpstr>교보문고04!Extract</vt:lpstr>
      <vt:lpstr>구글북스04!Extract</vt:lpstr>
      <vt:lpstr>네이버APP04!Extract</vt:lpstr>
      <vt:lpstr>네이버PC04!Extract</vt:lpstr>
      <vt:lpstr>리디북스03!Extract</vt:lpstr>
      <vt:lpstr>무툰04!Extract</vt:lpstr>
      <vt:lpstr>문피아03!Extract</vt:lpstr>
      <vt:lpstr>미스터블루04!Extract</vt:lpstr>
      <vt:lpstr>스낵북04!Extract</vt:lpstr>
      <vt:lpstr>원스토어03!Extract</vt:lpstr>
      <vt:lpstr>조아라04!Extract</vt:lpstr>
      <vt:lpstr>카카오04!Extract</vt:lpstr>
      <vt:lpstr>코미코04!Extract</vt:lpstr>
      <vt:lpstr>톡소다04!Extract</vt:lpstr>
      <vt:lpstr>하이북04!Extract</vt:lpstr>
      <vt:lpstr>한아름04!Extract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2022-05-10T07:25:19Z</dcterms:created>
  <dcterms:modified xsi:type="dcterms:W3CDTF">2022-05-12T10:56:11Z</dcterms:modified>
</cp:coreProperties>
</file>