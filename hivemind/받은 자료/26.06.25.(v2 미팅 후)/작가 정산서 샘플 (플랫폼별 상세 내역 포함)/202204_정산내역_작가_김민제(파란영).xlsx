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작가정산서1차 취합\은미님\"/>
    </mc:Choice>
  </mc:AlternateContent>
  <bookViews>
    <workbookView xWindow="0" yWindow="0" windowWidth="26640" windowHeight="12192"/>
  </bookViews>
  <sheets>
    <sheet name="합계04" sheetId="1" r:id="rId1"/>
    <sheet name="네이버APP04" sheetId="2" r:id="rId2"/>
    <sheet name="네이버PC04" sheetId="3" r:id="rId3"/>
    <sheet name="리디북스04" sheetId="4" r:id="rId4"/>
    <sheet name="미스터블루04" sheetId="5" r:id="rId5"/>
    <sheet name="북큐브04" sheetId="6" r:id="rId6"/>
    <sheet name="원스토어04" sheetId="7" r:id="rId7"/>
    <sheet name="카카오04" sheetId="8" r:id="rId8"/>
    <sheet name="하이북04" sheetId="9" r:id="rId9"/>
  </sheets>
  <definedNames>
    <definedName name="_xlnm.Extract" localSheetId="1">네이버APP04!$A$1:$AW$1</definedName>
    <definedName name="_xlnm.Extract" localSheetId="2">네이버PC04!$A$1:$AW$1</definedName>
    <definedName name="_xlnm.Extract" localSheetId="3">리디북스04!$A$1:$AW$1</definedName>
    <definedName name="_xlnm.Extract" localSheetId="4">미스터블루04!$A$1:$AJ$1</definedName>
    <definedName name="_xlnm.Extract" localSheetId="5">북큐브04!$A$1:$M$1</definedName>
    <definedName name="_xlnm.Extract" localSheetId="6">원스토어04!$A$1:$AD$1</definedName>
    <definedName name="_xlnm.Extract" localSheetId="7">카카오04!$A$1:$AP$1</definedName>
    <definedName name="_xlnm.Extract" localSheetId="8">하이북04!$A$1:$N$1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D13" i="1"/>
  <c r="D12" i="1"/>
  <c r="D11" i="1"/>
  <c r="C11" i="1"/>
  <c r="D4" i="1"/>
  <c r="D5" i="1"/>
  <c r="D6" i="1"/>
  <c r="D7" i="1"/>
  <c r="D8" i="1"/>
  <c r="D9" i="1"/>
  <c r="D10" i="1"/>
  <c r="D3" i="1"/>
  <c r="C6" i="1"/>
  <c r="AJ3" i="5"/>
</calcChain>
</file>

<file path=xl/sharedStrings.xml><?xml version="1.0" encoding="utf-8"?>
<sst xmlns="http://schemas.openxmlformats.org/spreadsheetml/2006/main" count="1173" uniqueCount="462">
  <si>
    <t>작가 정산액</t>
  </si>
  <si>
    <t>구분</t>
    <phoneticPr fontId="3" type="noConversion"/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</si>
  <si>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</si>
  <si>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</si>
  <si>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</si>
  <si>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</si>
  <si>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</si>
  <si>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</si>
  <si>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</si>
  <si>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</si>
  <si>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</si>
  <si>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</si>
  <si>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</si>
  <si>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</si>
  <si>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</si>
  <si>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</si>
  <si>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</si>
  <si>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</si>
  <si>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</si>
  <si>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</si>
  <si>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</si>
  <si>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</si>
  <si>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</si>
  <si>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3" type="noConversion"/>
  </si>
  <si>
    <t>SW 매출</t>
    <phoneticPr fontId="3" type="noConversion"/>
  </si>
  <si>
    <t>시리즈APP</t>
    <phoneticPr fontId="3" type="noConversion"/>
  </si>
  <si>
    <t>소드마스터의 환생 [독점]</t>
  </si>
  <si>
    <t>스토리위즈</t>
  </si>
  <si>
    <t>파란영</t>
  </si>
  <si>
    <t>전체이용가</t>
  </si>
  <si>
    <t>2019.05.22</t>
  </si>
  <si>
    <t>완전판APP</t>
  </si>
  <si>
    <t>시리즈IOS</t>
    <phoneticPr fontId="3" type="noConversion"/>
  </si>
  <si>
    <t>구분</t>
    <phoneticPr fontId="3" type="noConversion"/>
  </si>
  <si>
    <t>SW 매출</t>
    <phoneticPr fontId="3" type="noConversion"/>
  </si>
  <si>
    <t>PC뷰어(PC)</t>
  </si>
  <si>
    <t>네이버PC</t>
  </si>
  <si>
    <t>시리즈 ID</t>
  </si>
  <si>
    <t>도서 ID</t>
  </si>
  <si>
    <t>제목</t>
  </si>
  <si>
    <t>권/화수</t>
  </si>
  <si>
    <t>저자</t>
  </si>
  <si>
    <t>역자</t>
  </si>
  <si>
    <t>그림</t>
  </si>
  <si>
    <t>시리즈명</t>
  </si>
  <si>
    <t>전자책정가</t>
  </si>
  <si>
    <t>단권판매액</t>
  </si>
  <si>
    <t>단권판매권</t>
  </si>
  <si>
    <t>단권무료권</t>
  </si>
  <si>
    <t>대여액</t>
  </si>
  <si>
    <t>대여유료권( ~ 2020-04 대여권)</t>
  </si>
  <si>
    <t>대여무료권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</si>
  <si>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</si>
  <si>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</si>
  <si>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</si>
  <si>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</si>
  <si>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</si>
  <si>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</si>
  <si>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</si>
  <si>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</si>
  <si>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</si>
  <si>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</si>
  <si>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</si>
  <si>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</si>
  <si>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</si>
  <si>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</si>
  <si>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</si>
  <si>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</si>
  <si>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판매액</t>
  </si>
  <si>
    <t>판매권</t>
  </si>
  <si>
    <t>취소액</t>
  </si>
  <si>
    <t>취소권</t>
  </si>
  <si>
    <t>일반 판매액</t>
  </si>
  <si>
    <t>일반 취소액</t>
  </si>
  <si>
    <t>앱마켓 정산대상액</t>
  </si>
  <si>
    <t>앱마켓 수수료</t>
  </si>
  <si>
    <t>앱마켓 취소액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</si>
  <si>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</si>
  <si>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</si>
  <si>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</si>
  <si>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</si>
  <si>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</si>
  <si>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</si>
  <si>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</si>
  <si>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</si>
  <si>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소드마스터의 환생 25화</t>
  </si>
  <si>
    <t>25</t>
  </si>
  <si>
    <t>소드마스터의 환생</t>
  </si>
  <si>
    <t>9791159287527</t>
  </si>
  <si>
    <t>판타지 웹소설 &gt; 정통 판타지</t>
  </si>
  <si>
    <t>소드마스터의 환생 26화</t>
  </si>
  <si>
    <t>26</t>
  </si>
  <si>
    <t>소드마스터의 환생 27화</t>
  </si>
  <si>
    <t>27</t>
  </si>
  <si>
    <t>소드마스터의 환생 28화</t>
  </si>
  <si>
    <t>28</t>
  </si>
  <si>
    <t>소드마스터의 환생 29화</t>
  </si>
  <si>
    <t>29</t>
  </si>
  <si>
    <t>소드마스터의 환생 30화</t>
  </si>
  <si>
    <t>30</t>
  </si>
  <si>
    <t>소드마스터의 환생 31화</t>
  </si>
  <si>
    <t>31</t>
  </si>
  <si>
    <t>소드마스터의 환생 32화</t>
  </si>
  <si>
    <t>32</t>
  </si>
  <si>
    <t>소드마스터의 환생 33화</t>
  </si>
  <si>
    <t>33</t>
  </si>
  <si>
    <t>소드마스터의 환생 34화</t>
  </si>
  <si>
    <t>34</t>
  </si>
  <si>
    <t>소드마스터의 환생 35화</t>
  </si>
  <si>
    <t>35</t>
  </si>
  <si>
    <t>소드마스터의 환생 36화</t>
  </si>
  <si>
    <t>36</t>
  </si>
  <si>
    <t>소드마스터의 환생 37화</t>
  </si>
  <si>
    <t>37</t>
  </si>
  <si>
    <t>소드마스터의 환생 38화</t>
  </si>
  <si>
    <t>38</t>
  </si>
  <si>
    <t>소드마스터의 환생 39화</t>
  </si>
  <si>
    <t>39</t>
  </si>
  <si>
    <t>소드마스터의 환생 40화</t>
  </si>
  <si>
    <t>40</t>
  </si>
  <si>
    <t>소드마스터의 환생 41화</t>
  </si>
  <si>
    <t>41</t>
  </si>
  <si>
    <t>소드마스터의 환생 42화</t>
  </si>
  <si>
    <t>42</t>
  </si>
  <si>
    <t>소드마스터의 환생 43화</t>
  </si>
  <si>
    <t>43</t>
  </si>
  <si>
    <t>소드마스터의 환생 44화</t>
  </si>
  <si>
    <t>44</t>
  </si>
  <si>
    <t>소드마스터의 환생 45화</t>
  </si>
  <si>
    <t>45</t>
  </si>
  <si>
    <t>소드마스터의 환생 46화</t>
  </si>
  <si>
    <t>46</t>
  </si>
  <si>
    <t>소드마스터의 환생 47화</t>
  </si>
  <si>
    <t>47</t>
  </si>
  <si>
    <t>소드마스터의 환생 48화</t>
  </si>
  <si>
    <t>48</t>
  </si>
  <si>
    <t>소드마스터의 환생 49화</t>
  </si>
  <si>
    <t>49</t>
  </si>
  <si>
    <t>소드마스터의 환생 50화</t>
  </si>
  <si>
    <t>50</t>
  </si>
  <si>
    <t>소드마스터의 환생 51화</t>
  </si>
  <si>
    <t>51</t>
  </si>
  <si>
    <t>소드마스터의 환생 52화</t>
  </si>
  <si>
    <t>52</t>
  </si>
  <si>
    <t>소드마스터의 환생 53화</t>
  </si>
  <si>
    <t>53</t>
  </si>
  <si>
    <t>소드마스터의 환생 54화</t>
  </si>
  <si>
    <t>54</t>
  </si>
  <si>
    <t>소드마스터의 환생 55화</t>
  </si>
  <si>
    <t>55</t>
  </si>
  <si>
    <t>소드마스터의 환생 56화</t>
  </si>
  <si>
    <t>56</t>
  </si>
  <si>
    <t>소드마스터의 환생 57화</t>
  </si>
  <si>
    <t>57</t>
  </si>
  <si>
    <t>소드마스터의 환생 58화</t>
  </si>
  <si>
    <t>58</t>
  </si>
  <si>
    <t>소드마스터의 환생 59화</t>
  </si>
  <si>
    <t>59</t>
  </si>
  <si>
    <t>소드마스터의 환생 60화</t>
  </si>
  <si>
    <t>60</t>
  </si>
  <si>
    <t>소드마스터의 환생 61화</t>
  </si>
  <si>
    <t>61</t>
  </si>
  <si>
    <t>소드마스터의 환생 62화</t>
  </si>
  <si>
    <t>62</t>
  </si>
  <si>
    <t>소드마스터의 환생 63화</t>
  </si>
  <si>
    <t>63</t>
  </si>
  <si>
    <t>소드마스터의 환생 64화</t>
  </si>
  <si>
    <t>64</t>
  </si>
  <si>
    <t>소드마스터의 환생 65화</t>
  </si>
  <si>
    <t>65</t>
  </si>
  <si>
    <t>소드마스터의 환생 66화</t>
  </si>
  <si>
    <t>66</t>
  </si>
  <si>
    <t>소드마스터의 환생 67화</t>
  </si>
  <si>
    <t>67</t>
  </si>
  <si>
    <t>소드마스터의 환생 68화</t>
  </si>
  <si>
    <t>68</t>
  </si>
  <si>
    <t>소드마스터의 환생 69화</t>
  </si>
  <si>
    <t>69</t>
  </si>
  <si>
    <t>소드마스터의 환생 70화</t>
  </si>
  <si>
    <t>70</t>
  </si>
  <si>
    <t>소드마스터의 환생 71화</t>
  </si>
  <si>
    <t>71</t>
  </si>
  <si>
    <t>소드마스터의 환생 72화</t>
  </si>
  <si>
    <t>72</t>
  </si>
  <si>
    <t>소드마스터의 환생 73화</t>
  </si>
  <si>
    <t>73</t>
  </si>
  <si>
    <t>소드마스터의 환생 74화</t>
  </si>
  <si>
    <t>74</t>
  </si>
  <si>
    <t>소드마스터의 환생 75화</t>
  </si>
  <si>
    <t>75</t>
  </si>
  <si>
    <t>소드마스터의 환생 76화</t>
  </si>
  <si>
    <t>76</t>
  </si>
  <si>
    <t>소드마스터의 환생 77화</t>
  </si>
  <si>
    <t>77</t>
  </si>
  <si>
    <t>소드마스터의 환생 78화</t>
  </si>
  <si>
    <t>78</t>
  </si>
  <si>
    <t>소드마스터의 환생 79화</t>
  </si>
  <si>
    <t>79</t>
  </si>
  <si>
    <t>소드마스터의 환생 80화</t>
  </si>
  <si>
    <t>80</t>
  </si>
  <si>
    <t>소드마스터의 환생 81화</t>
  </si>
  <si>
    <t>81</t>
  </si>
  <si>
    <t>소드마스터의 환생 82화</t>
  </si>
  <si>
    <t>82</t>
  </si>
  <si>
    <t>소드마스터의 환생 83화</t>
  </si>
  <si>
    <t>83</t>
  </si>
  <si>
    <t>소드마스터의 환생 84화</t>
  </si>
  <si>
    <t>84</t>
  </si>
  <si>
    <t>소드마스터의 환생 85화</t>
  </si>
  <si>
    <t>85</t>
  </si>
  <si>
    <t>소드마스터의 환생 86화</t>
  </si>
  <si>
    <t>86</t>
  </si>
  <si>
    <t>소드마스터의 환생 87화</t>
  </si>
  <si>
    <t>87</t>
  </si>
  <si>
    <t>소드마스터의 환생 88화</t>
  </si>
  <si>
    <t>88</t>
  </si>
  <si>
    <t>소드마스터의 환생 89화</t>
  </si>
  <si>
    <t>89</t>
  </si>
  <si>
    <t>소드마스터의 환생 90화</t>
  </si>
  <si>
    <t>90</t>
  </si>
  <si>
    <t>소드마스터의 환생 91화</t>
  </si>
  <si>
    <t>91</t>
  </si>
  <si>
    <t>소드마스터의 환생 92화</t>
  </si>
  <si>
    <t>92</t>
  </si>
  <si>
    <t>소드마스터의 환생 93화</t>
  </si>
  <si>
    <t>93</t>
  </si>
  <si>
    <t>소드마스터의 환생 94화</t>
  </si>
  <si>
    <t>94</t>
  </si>
  <si>
    <t>소드마스터의 환생 95화</t>
  </si>
  <si>
    <t>95</t>
  </si>
  <si>
    <t>소드마스터의 환생 96화</t>
  </si>
  <si>
    <t>96</t>
  </si>
  <si>
    <t>소드마스터의 환생 97화</t>
  </si>
  <si>
    <t>97</t>
  </si>
  <si>
    <t>소드마스터의 환생 98화</t>
  </si>
  <si>
    <t>98</t>
  </si>
  <si>
    <t>소드마스터의 환생 1화</t>
  </si>
  <si>
    <t>1</t>
  </si>
  <si>
    <t>소드마스터의 환생 2화</t>
  </si>
  <si>
    <t>2</t>
  </si>
  <si>
    <t>소드마스터의 환생 3화</t>
  </si>
  <si>
    <t>3</t>
  </si>
  <si>
    <t>소드마스터의 환생 4화</t>
  </si>
  <si>
    <t>4</t>
  </si>
  <si>
    <t>소드마스터의 환생 5화</t>
  </si>
  <si>
    <t>5</t>
  </si>
  <si>
    <t>소드마스터의 환생 6화</t>
  </si>
  <si>
    <t>6</t>
  </si>
  <si>
    <t>소드마스터의 환생 7화</t>
  </si>
  <si>
    <t>7</t>
  </si>
  <si>
    <t>소드마스터의 환생 8화</t>
  </si>
  <si>
    <t>8</t>
  </si>
  <si>
    <t>소드마스터의 환생 9화</t>
  </si>
  <si>
    <t>9</t>
  </si>
  <si>
    <t>소드마스터의 환생 10화</t>
  </si>
  <si>
    <t>10</t>
  </si>
  <si>
    <t>소드마스터의 환생 11화</t>
  </si>
  <si>
    <t>11</t>
  </si>
  <si>
    <t>소드마스터의 환생 12화</t>
  </si>
  <si>
    <t>12</t>
  </si>
  <si>
    <t>소드마스터의 환생 13화</t>
  </si>
  <si>
    <t>13</t>
  </si>
  <si>
    <t>소드마스터의 환생 14화</t>
  </si>
  <si>
    <t>14</t>
  </si>
  <si>
    <t>소드마스터의 환생 15화</t>
  </si>
  <si>
    <t>15</t>
  </si>
  <si>
    <t>소드마스터의 환생 16화</t>
  </si>
  <si>
    <t>16</t>
  </si>
  <si>
    <t>소드마스터의 환생 17화</t>
  </si>
  <si>
    <t>17</t>
  </si>
  <si>
    <t>소드마스터의 환생 18화</t>
  </si>
  <si>
    <t>18</t>
  </si>
  <si>
    <t>소드마스터의 환생 19화</t>
  </si>
  <si>
    <t>19</t>
  </si>
  <si>
    <t>소드마스터의 환생 20화</t>
  </si>
  <si>
    <t>20</t>
  </si>
  <si>
    <t>소드마스터의 환생 21화</t>
  </si>
  <si>
    <t>21</t>
  </si>
  <si>
    <t>소드마스터의 환생 22화</t>
  </si>
  <si>
    <t>22</t>
  </si>
  <si>
    <t>소드마스터의 환생 23화</t>
  </si>
  <si>
    <t>23</t>
  </si>
  <si>
    <t>소드마스터의 환생 24화</t>
  </si>
  <si>
    <t>24</t>
  </si>
  <si>
    <t>[e북]소드마스터의 환생 1권</t>
  </si>
  <si>
    <t>[e북]소드마스터의 환생</t>
  </si>
  <si>
    <t>9791159289811</t>
  </si>
  <si>
    <t>판타지 e북 &gt; 정통 판타지</t>
  </si>
  <si>
    <t>작품명</t>
  </si>
  <si>
    <t>코드</t>
  </si>
  <si>
    <t>정액_건수</t>
    <phoneticPr fontId="8" type="noConversion"/>
  </si>
  <si>
    <t>정액_매출액</t>
    <phoneticPr fontId="8" type="noConversion"/>
  </si>
  <si>
    <t>정액_정산액</t>
    <phoneticPr fontId="8" type="noConversion"/>
  </si>
  <si>
    <t>블루머니_권별대여_건수</t>
    <phoneticPr fontId="3" type="noConversion"/>
  </si>
  <si>
    <t>블루머니_권별대여_이용권(화) 수</t>
    <phoneticPr fontId="3" type="noConversion"/>
  </si>
  <si>
    <t>블루머니_권별대여_매출액</t>
    <phoneticPr fontId="3" type="noConversion"/>
  </si>
  <si>
    <t>블루머니_권별소장_건수</t>
    <phoneticPr fontId="3" type="noConversion"/>
  </si>
  <si>
    <t>블루머니_권별소장_이용권(화) 수</t>
    <phoneticPr fontId="3" type="noConversion"/>
  </si>
  <si>
    <t>블루머니_권별소장_매출액</t>
    <phoneticPr fontId="3" type="noConversion"/>
  </si>
  <si>
    <t>블루머니_전권대여_건수</t>
    <phoneticPr fontId="3" type="noConversion"/>
  </si>
  <si>
    <t>블루머니_전권대여_이용권(화) 수</t>
    <phoneticPr fontId="3" type="noConversion"/>
  </si>
  <si>
    <t>블루머니_전권대여_매출액</t>
    <phoneticPr fontId="3" type="noConversion"/>
  </si>
  <si>
    <t>블루머니_전권소장_건수</t>
    <phoneticPr fontId="3" type="noConversion"/>
  </si>
  <si>
    <t>블루머니_전권소장_이용권(화) 수</t>
    <phoneticPr fontId="3" type="noConversion"/>
  </si>
  <si>
    <t>블루머니_전권소장_매출액</t>
    <phoneticPr fontId="3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</si>
  <si>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</si>
  <si>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</si>
  <si>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</si>
  <si>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</si>
  <si>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</si>
  <si>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</si>
  <si>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</si>
  <si>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</si>
  <si>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</si>
  <si>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</si>
  <si>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</si>
  <si>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</si>
  <si>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계_건수</t>
    <phoneticPr fontId="3" type="noConversion"/>
  </si>
  <si>
    <t>계_이용권(화)수</t>
    <phoneticPr fontId="3" type="noConversion"/>
  </si>
  <si>
    <t>계_매출액</t>
    <phoneticPr fontId="3" type="noConversion"/>
  </si>
  <si>
    <t>계_정산액</t>
    <phoneticPr fontId="3" type="noConversion"/>
  </si>
  <si>
    <t>매출액</t>
    <phoneticPr fontId="8" type="noConversion"/>
  </si>
  <si>
    <t>정산액</t>
    <phoneticPr fontId="8" type="noConversion"/>
  </si>
  <si>
    <t>ktn0039</t>
  </si>
  <si>
    <t>미스터블루</t>
  </si>
  <si>
    <t>출판권자</t>
  </si>
  <si>
    <t>판매처</t>
  </si>
  <si>
    <t>판매유형</t>
  </si>
  <si>
    <t>부수</t>
  </si>
  <si>
    <t>정가</t>
  </si>
  <si>
    <t>할인</t>
  </si>
  <si>
    <t>수수료</t>
  </si>
  <si>
    <t>정산대상금액</t>
  </si>
  <si>
    <t>소드마스터의 환생 2</t>
  </si>
  <si>
    <t>B2C</t>
  </si>
  <si>
    <t>단권</t>
  </si>
  <si>
    <t>소드마스터의 환생 3</t>
  </si>
  <si>
    <t>소드마스터의 환생 4</t>
  </si>
  <si>
    <t>소드마스터의 환생 5</t>
  </si>
  <si>
    <t>소드마스터의 환생 6</t>
  </si>
  <si>
    <t>북큐브</t>
  </si>
  <si>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</si>
  <si>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</si>
  <si>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</si>
  <si>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</si>
  <si>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</si>
  <si>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</si>
  <si>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</si>
  <si>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</si>
  <si>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</si>
  <si>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</si>
  <si>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글작가</t>
  </si>
  <si>
    <t>그림작가</t>
  </si>
  <si>
    <t>타입</t>
    <phoneticPr fontId="8" type="noConversion"/>
  </si>
  <si>
    <t>판매건수</t>
  </si>
  <si>
    <t>취소건수</t>
  </si>
  <si>
    <t>정액제 정산대상액</t>
  </si>
  <si>
    <t>판매_건수</t>
    <phoneticPr fontId="8" type="noConversion"/>
  </si>
  <si>
    <t>판매_금액</t>
    <phoneticPr fontId="8" type="noConversion"/>
  </si>
  <si>
    <t>취소_건수</t>
    <phoneticPr fontId="8" type="noConversion"/>
  </si>
  <si>
    <t>취소_금액</t>
    <phoneticPr fontId="8" type="noConversion"/>
  </si>
  <si>
    <t>결제수단_고객결제</t>
    <phoneticPr fontId="8" type="noConversion"/>
  </si>
  <si>
    <t>결제수단_고객결제(현금영수증)</t>
    <phoneticPr fontId="8" type="noConversion"/>
  </si>
  <si>
    <t>결제수단_쿠폰/포인트등</t>
    <phoneticPr fontId="8" type="noConversion"/>
  </si>
  <si>
    <t>서비스이용료_고객결제서비스이용료</t>
    <phoneticPr fontId="8" type="noConversion"/>
  </si>
  <si>
    <t>서비스이용료_쿠폰/포인트 등</t>
    <phoneticPr fontId="8" type="noConversion"/>
  </si>
  <si>
    <t>서비스이용료_차감</t>
    <phoneticPr fontId="8" type="noConversion"/>
  </si>
  <si>
    <t>정산지급액</t>
  </si>
  <si>
    <t>정산유형</t>
  </si>
  <si>
    <t>주식회사 스토리위즈</t>
  </si>
  <si>
    <t>storywiz1</t>
  </si>
  <si>
    <t>원스토어㈜</t>
  </si>
  <si>
    <t>H039777457</t>
  </si>
  <si>
    <t>소드마스터의 환생 2권</t>
  </si>
  <si>
    <t>H039777476</t>
  </si>
  <si>
    <t>2차</t>
  </si>
  <si>
    <t>eBook</t>
  </si>
  <si>
    <t/>
  </si>
  <si>
    <t>단행</t>
  </si>
  <si>
    <t>정규</t>
  </si>
  <si>
    <t>소드마스터의 환생 3권</t>
  </si>
  <si>
    <t>H039777475</t>
  </si>
  <si>
    <t>소드마스터의 환생 4권</t>
  </si>
  <si>
    <t>H039777474</t>
  </si>
  <si>
    <t>소드마스터의 환생 5권</t>
  </si>
  <si>
    <t>H039777473</t>
  </si>
  <si>
    <t>원스토어</t>
  </si>
  <si>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</si>
  <si>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</si>
  <si>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</si>
  <si>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</si>
  <si>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</si>
  <si>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</si>
  <si>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</si>
  <si>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</si>
  <si>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시리즈ID</t>
  </si>
  <si>
    <t>발행자가 부여하는 코드</t>
    <phoneticPr fontId="8" type="noConversion"/>
  </si>
  <si>
    <t>레이블</t>
    <phoneticPr fontId="8" type="noConversion"/>
  </si>
  <si>
    <t>ISBN(유/무)</t>
  </si>
  <si>
    <t>CP정산율_안드로이드/이벤트캐시</t>
  </si>
  <si>
    <t>CP정산율_iOS</t>
  </si>
  <si>
    <t>이용권 종류</t>
  </si>
  <si>
    <t>이용권 금액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</si>
  <si>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</si>
  <si>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</si>
  <si>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</si>
  <si>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</si>
  <si>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</si>
  <si>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</si>
  <si>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</si>
  <si>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</si>
  <si>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</si>
  <si>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</si>
  <si>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</si>
  <si>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</si>
  <si>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</si>
  <si>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</si>
  <si>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</si>
  <si>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</si>
  <si>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</si>
  <si>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</si>
  <si>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</si>
  <si>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</si>
  <si>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공급가액</t>
  </si>
  <si>
    <t>부가세</t>
  </si>
  <si>
    <t>공급대가</t>
  </si>
  <si>
    <t>일반계약</t>
  </si>
  <si>
    <t>3828601768</t>
  </si>
  <si>
    <t>면세</t>
  </si>
  <si>
    <t>N</t>
  </si>
  <si>
    <t>소설</t>
  </si>
  <si>
    <t>소드마스터의 환생 [단행본]</t>
  </si>
  <si>
    <t>Y</t>
  </si>
  <si>
    <t>단일 이용권</t>
  </si>
  <si>
    <t>시리즈 이용권 패키지</t>
  </si>
  <si>
    <t>카카오</t>
  </si>
  <si>
    <t>출판사</t>
    <phoneticPr fontId="3" type="noConversion"/>
  </si>
  <si>
    <t>정산일</t>
  </si>
  <si>
    <t>정산주기</t>
  </si>
  <si>
    <t>조회수(구매)</t>
  </si>
  <si>
    <t>판매금액(구매)</t>
  </si>
  <si>
    <t>정산금액(구매)</t>
  </si>
  <si>
    <t>조회수(대여)</t>
  </si>
  <si>
    <t>판매금액(대여)</t>
  </si>
  <si>
    <t>정산금액(대여)</t>
  </si>
  <si>
    <t>조회수</t>
  </si>
  <si>
    <t>판매금액</t>
  </si>
  <si>
    <t>정산금액</t>
  </si>
  <si>
    <t>스토리위즈</t>
    <phoneticPr fontId="3" type="noConversion"/>
  </si>
  <si>
    <t>월정산</t>
  </si>
  <si>
    <t>확인중</t>
  </si>
  <si>
    <t>하이북</t>
  </si>
  <si>
    <t>플랫폼별 매출 내역</t>
    <phoneticPr fontId="3" type="noConversion"/>
  </si>
  <si>
    <t>유통처</t>
    <phoneticPr fontId="3" type="noConversion"/>
  </si>
  <si>
    <t>스토리위즈 매출액</t>
    <phoneticPr fontId="3" type="noConversion"/>
  </si>
  <si>
    <t>4월</t>
    <phoneticPr fontId="3" type="noConversion"/>
  </si>
  <si>
    <t>세액</t>
  </si>
  <si>
    <t>소득세</t>
  </si>
  <si>
    <t>주민세</t>
  </si>
  <si>
    <t xml:space="preserve">작가지급액 </t>
  </si>
  <si>
    <t>리디북스</t>
    <phoneticPr fontId="3" type="noConversion"/>
  </si>
  <si>
    <t>네이버APP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</si>
</sst>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(* #,##0_);_(* \(#,##0\);_(* &quot;-&quot;_);_(@_)"/>
    <numFmt numFmtId="177" formatCode="#,##0.00_ 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1"/>
      <color rgb="FF2F3743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000000"/>
      <name val="맑은 고딕"/>
      <family val="2"/>
      <charset val="129"/>
    </font>
    <font>
      <b/>
      <sz val="10"/>
      <color rgb="FFFF0000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indexed="31"/>
      </patternFill>
    </fill>
    <fill>
      <patternFill patternType="solid">
        <fgColor rgb="FFF3DCD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2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4" fontId="5" fillId="0" borderId="0" xfId="0" applyNumberFormat="1" applyFont="1" applyAlignment="1">
      <alignment vertical="center" wrapText="1"/>
    </xf>
    <xf numFmtId="177" fontId="0" fillId="0" borderId="0" xfId="0" applyNumberFormat="1">
      <alignment vertical="center"/>
    </xf>
    <xf numFmtId="176" fontId="0" fillId="0" borderId="0" xfId="1" applyFont="1" applyFill="1">
      <alignment vertical="center"/>
    </xf>
    <xf numFmtId="4" fontId="4" fillId="0" borderId="0" xfId="0" applyNumberFormat="1" applyFont="1" applyAlignment="1">
      <alignment vertical="center" wrapText="1"/>
    </xf>
    <xf numFmtId="176" fontId="2" fillId="3" borderId="0" xfId="1" applyFont="1" applyFill="1" applyAlignment="1">
      <alignment horizontal="center" vertical="center" wrapText="1"/>
    </xf>
    <xf numFmtId="176" fontId="0" fillId="0" borderId="0" xfId="1" applyFont="1">
      <alignment vertical="center"/>
    </xf>
    <xf numFmtId="0" fontId="0" fillId="3" borderId="0" xfId="0" applyFill="1">
      <alignment vertical="center"/>
    </xf>
    <xf numFmtId="176" fontId="0" fillId="3" borderId="0" xfId="1" applyFont="1" applyFill="1">
      <alignment vertical="center"/>
    </xf>
    <xf numFmtId="0" fontId="7" fillId="4" borderId="1" xfId="2" applyFont="1" applyFill="1" applyBorder="1" applyAlignment="1">
      <alignment vertical="center" wrapText="1"/>
    </xf>
    <xf numFmtId="0" fontId="7" fillId="5" borderId="1" xfId="2" applyFont="1" applyFill="1" applyBorder="1" applyAlignment="1">
      <alignment vertical="center" wrapText="1"/>
    </xf>
    <xf numFmtId="0" fontId="10" fillId="6" borderId="1" xfId="3" applyFont="1" applyFill="1" applyBorder="1" applyAlignment="1">
      <alignment vertical="center" wrapText="1"/>
    </xf>
    <xf numFmtId="0" fontId="10" fillId="7" borderId="1" xfId="3" applyFont="1" applyFill="1" applyBorder="1" applyAlignment="1">
      <alignment vertical="center" wrapText="1"/>
    </xf>
    <xf numFmtId="0" fontId="10" fillId="8" borderId="1" xfId="3" applyFont="1" applyFill="1" applyBorder="1" applyAlignment="1">
      <alignment vertical="center" wrapText="1"/>
    </xf>
    <xf numFmtId="0" fontId="10" fillId="9" borderId="1" xfId="3" applyFont="1" applyFill="1" applyBorder="1" applyAlignment="1">
      <alignment vertical="center" wrapText="1"/>
    </xf>
    <xf numFmtId="176" fontId="10" fillId="9" borderId="1" xfId="4" applyFont="1" applyFill="1" applyBorder="1" applyAlignment="1">
      <alignment vertical="center" wrapText="1"/>
    </xf>
    <xf numFmtId="0" fontId="9" fillId="0" borderId="0" xfId="3">
      <alignment vertical="center"/>
    </xf>
    <xf numFmtId="0" fontId="11" fillId="0" borderId="2" xfId="3" applyFont="1" applyBorder="1" applyAlignment="1">
      <alignment horizontal="left" vertical="center" wrapText="1"/>
    </xf>
    <xf numFmtId="0" fontId="12" fillId="0" borderId="2" xfId="3" applyFont="1" applyBorder="1" applyAlignment="1">
      <alignment horizontal="right" vertical="center" wrapText="1"/>
    </xf>
    <xf numFmtId="4" fontId="12" fillId="0" borderId="2" xfId="3" applyNumberFormat="1" applyFont="1" applyBorder="1" applyAlignment="1">
      <alignment horizontal="right" vertical="center" wrapText="1"/>
    </xf>
    <xf numFmtId="4" fontId="13" fillId="0" borderId="2" xfId="3" applyNumberFormat="1" applyFont="1" applyBorder="1" applyAlignment="1">
      <alignment horizontal="right" vertical="center" wrapText="1"/>
    </xf>
    <xf numFmtId="4" fontId="13" fillId="0" borderId="3" xfId="3" applyNumberFormat="1" applyFont="1" applyBorder="1" applyAlignment="1">
      <alignment horizontal="right" vertical="center" wrapText="1"/>
    </xf>
    <xf numFmtId="0" fontId="14" fillId="10" borderId="1" xfId="0" applyFont="1" applyFill="1" applyBorder="1" applyAlignment="1">
      <alignment horizontal="center" vertical="center"/>
    </xf>
    <xf numFmtId="176" fontId="14" fillId="10" borderId="1" xfId="1" applyFont="1" applyFill="1" applyBorder="1" applyAlignment="1">
      <alignment horizontal="center" vertical="center"/>
    </xf>
    <xf numFmtId="49" fontId="15" fillId="11" borderId="0" xfId="5" applyNumberFormat="1" applyFill="1" applyBorder="1" applyAlignment="1">
      <alignment horizontal="center" vertical="center" wrapText="1"/>
    </xf>
    <xf numFmtId="49" fontId="15" fillId="12" borderId="0" xfId="5" applyNumberFormat="1" applyFill="1" applyBorder="1" applyAlignment="1">
      <alignment horizontal="center" vertical="center" wrapText="1"/>
    </xf>
    <xf numFmtId="49" fontId="15" fillId="11" borderId="0" xfId="5" applyNumberFormat="1" applyFill="1" applyBorder="1" applyAlignment="1">
      <alignment vertical="center" wrapText="1"/>
    </xf>
    <xf numFmtId="49" fontId="15" fillId="13" borderId="0" xfId="5" applyNumberFormat="1" applyFill="1" applyBorder="1" applyAlignment="1">
      <alignment vertical="center" wrapText="1"/>
    </xf>
    <xf numFmtId="0" fontId="15" fillId="0" borderId="0" xfId="5">
      <alignment vertical="center"/>
    </xf>
    <xf numFmtId="49" fontId="15" fillId="0" borderId="1" xfId="5" applyNumberFormat="1" applyFill="1" applyBorder="1" applyAlignment="1">
      <alignment horizontal="left" vertical="center"/>
    </xf>
    <xf numFmtId="3" fontId="15" fillId="0" borderId="1" xfId="5" applyNumberFormat="1" applyFill="1" applyBorder="1" applyAlignment="1">
      <alignment horizontal="right" vertical="center"/>
    </xf>
    <xf numFmtId="0" fontId="15" fillId="14" borderId="4" xfId="5" applyFill="1" applyBorder="1" applyAlignment="1">
      <alignment horizontal="center"/>
    </xf>
    <xf numFmtId="0" fontId="15" fillId="3" borderId="4" xfId="5" applyFill="1" applyBorder="1" applyAlignment="1">
      <alignment horizontal="center"/>
    </xf>
    <xf numFmtId="0" fontId="15" fillId="0" borderId="5" xfId="5" applyBorder="1" applyAlignment="1"/>
    <xf numFmtId="3" fontId="15" fillId="0" borderId="5" xfId="5" applyNumberFormat="1" applyBorder="1" applyAlignment="1"/>
    <xf numFmtId="49" fontId="16" fillId="0" borderId="1" xfId="0" applyNumberFormat="1" applyFont="1" applyBorder="1" applyAlignment="1">
      <alignment vertical="center" wrapText="1"/>
    </xf>
    <xf numFmtId="49" fontId="16" fillId="3" borderId="1" xfId="0" applyNumberFormat="1" applyFont="1" applyFill="1" applyBorder="1" applyAlignment="1">
      <alignment vertical="center" wrapText="1"/>
    </xf>
    <xf numFmtId="0" fontId="16" fillId="0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3" borderId="1" xfId="0" applyFont="1" applyFill="1" applyBorder="1" applyAlignment="1">
      <alignment vertical="center" wrapText="1"/>
    </xf>
    <xf numFmtId="49" fontId="17" fillId="0" borderId="6" xfId="0" applyNumberFormat="1" applyFont="1" applyBorder="1" applyAlignment="1">
      <alignment vertical="center" wrapText="1"/>
    </xf>
    <xf numFmtId="49" fontId="18" fillId="0" borderId="6" xfId="0" applyNumberFormat="1" applyFont="1" applyBorder="1" applyAlignment="1">
      <alignment vertical="center" wrapText="1"/>
    </xf>
    <xf numFmtId="0" fontId="18" fillId="0" borderId="6" xfId="0" applyFont="1" applyBorder="1" applyAlignment="1">
      <alignment vertical="center" wrapText="1"/>
    </xf>
    <xf numFmtId="3" fontId="18" fillId="0" borderId="6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6" fontId="16" fillId="0" borderId="1" xfId="1" applyFont="1" applyBorder="1" applyAlignment="1">
      <alignment horizontal="center" vertical="center"/>
    </xf>
    <xf numFmtId="0" fontId="19" fillId="0" borderId="0" xfId="7" applyFont="1" applyAlignment="1">
      <alignment vertical="top" wrapText="1"/>
    </xf>
    <xf numFmtId="0" fontId="20" fillId="0" borderId="0" xfId="7" applyFont="1" applyAlignment="1">
      <alignment horizontal="right" vertical="top" wrapText="1"/>
    </xf>
    <xf numFmtId="0" fontId="14" fillId="0" borderId="0" xfId="7" applyFont="1" applyAlignment="1">
      <alignment horizontal="right" vertical="center"/>
    </xf>
    <xf numFmtId="0" fontId="21" fillId="0" borderId="0" xfId="7" applyFont="1" applyAlignment="1">
      <alignment horizontal="center" vertical="center"/>
    </xf>
    <xf numFmtId="0" fontId="22" fillId="3" borderId="1" xfId="8" applyNumberFormat="1" applyFont="1" applyFill="1" applyBorder="1" applyAlignment="1">
      <alignment horizontal="center" vertical="center"/>
    </xf>
    <xf numFmtId="4" fontId="9" fillId="0" borderId="0" xfId="3" applyNumberFormat="1">
      <alignment vertical="center"/>
    </xf>
    <xf numFmtId="176" fontId="10" fillId="0" borderId="1" xfId="9" applyFont="1" applyBorder="1">
      <alignment vertical="center"/>
    </xf>
    <xf numFmtId="176" fontId="23" fillId="10" borderId="1" xfId="9" applyNumberFormat="1" applyFont="1" applyFill="1" applyBorder="1" applyAlignment="1">
      <alignment horizontal="center" vertical="center" wrapText="1"/>
    </xf>
    <xf numFmtId="176" fontId="24" fillId="10" borderId="1" xfId="9" applyNumberFormat="1" applyFont="1" applyFill="1" applyBorder="1" applyAlignment="1">
      <alignment horizontal="center" vertical="center" wrapText="1"/>
    </xf>
    <xf numFmtId="176" fontId="25" fillId="0" borderId="1" xfId="9" applyNumberFormat="1" applyFont="1" applyBorder="1" applyAlignment="1">
      <alignment horizontal="center" vertical="center"/>
    </xf>
    <xf numFmtId="176" fontId="25" fillId="0" borderId="1" xfId="9" applyNumberFormat="1" applyFont="1" applyBorder="1" applyAlignment="1">
      <alignment horizontal="center" vertical="center" wrapText="1"/>
    </xf>
    <xf numFmtId="176" fontId="26" fillId="0" borderId="1" xfId="9" applyNumberFormat="1" applyFont="1" applyBorder="1" applyAlignment="1">
      <alignment horizontal="center" vertical="center" wrapText="1"/>
    </xf>
    <xf numFmtId="176" fontId="27" fillId="15" borderId="1" xfId="9" applyNumberFormat="1" applyFont="1" applyFill="1" applyBorder="1" applyAlignment="1">
      <alignment vertical="center"/>
    </xf>
    <xf numFmtId="176" fontId="25" fillId="0" borderId="7" xfId="9" applyNumberFormat="1" applyFont="1" applyBorder="1" applyAlignment="1">
      <alignment horizontal="center" vertical="center"/>
    </xf>
    <xf numFmtId="176" fontId="25" fillId="0" borderId="8" xfId="9" applyNumberFormat="1" applyFont="1" applyBorder="1" applyAlignment="1">
      <alignment horizontal="center" vertical="center"/>
    </xf>
    <xf numFmtId="176" fontId="22" fillId="15" borderId="9" xfId="9" applyNumberFormat="1" applyFont="1" applyFill="1" applyBorder="1" applyAlignment="1">
      <alignment horizontal="center" vertical="center"/>
    </xf>
    <xf numFmtId="176" fontId="22" fillId="15" borderId="10" xfId="9" applyNumberFormat="1" applyFont="1" applyFill="1" applyBorder="1" applyAlignment="1">
      <alignment horizontal="center" vertical="center"/>
    </xf>
    <xf numFmtId="0" fontId="19" fillId="0" borderId="0" xfId="6" applyNumberFormat="1" applyFont="1" applyAlignment="1">
      <alignment horizontal="center" vertical="top" wrapText="1"/>
    </xf>
  </cellXfs>
  <cellStyles count="10">
    <cellStyle name="쉼표 [0]" xfId="1" builtinId="6"/>
    <cellStyle name="쉼표 [0] 2" xfId="4"/>
    <cellStyle name="쉼표 [0] 2 2" xfId="9"/>
    <cellStyle name="표준" xfId="0" builtinId="0"/>
    <cellStyle name="표준 16 2 2 2 2" xfId="2"/>
    <cellStyle name="표준 2" xfId="3"/>
    <cellStyle name="표준 2 2" xfId="8"/>
    <cellStyle name="표준 3" xfId="5"/>
    <cellStyle name="표준 3 2" xfId="7"/>
    <cellStyle name="표준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G6" sqref="G6"/>
    </sheetView>
  </sheetViews>
  <sheetFormatPr defaultRowHeight="17.399999999999999" x14ac:dyDescent="0.4"/>
  <cols>
    <col min="1" max="1" width="6.59765625" style="52" customWidth="1"/>
    <col min="2" max="2" width="20.09765625" style="52" customWidth="1"/>
    <col min="3" max="3" width="16.09765625" style="52" customWidth="1"/>
    <col min="4" max="4" width="17.59765625" style="52" customWidth="1"/>
  </cols>
  <sheetData>
    <row r="1" spans="1:4" ht="19.2" x14ac:dyDescent="0.4">
      <c r="A1" s="72" t="s">
        <v>455</v>
      </c>
      <c r="B1" s="55" t="s">
        <v>452</v>
      </c>
      <c r="C1" s="56"/>
      <c r="D1" s="57"/>
    </row>
    <row r="2" spans="1:4" x14ac:dyDescent="0.4">
      <c r="A2" s="58"/>
      <c r="B2" s="59" t="s">
        <v>453</v>
      </c>
      <c r="C2" s="59" t="s">
        <v>454</v>
      </c>
      <c r="D2" s="59" t="s">
        <v>0</v>
      </c>
    </row>
    <row r="3" spans="1:4" x14ac:dyDescent="0.4">
      <c r="B3" s="53" t="s">
        <v>461</v>
      </c>
      <c r="C3" s="54">
        <v>79954</v>
      </c>
      <c r="D3" s="61">
        <f>C3*60%</f>
        <v>47972.4</v>
      </c>
    </row>
    <row r="4" spans="1:4" x14ac:dyDescent="0.4">
      <c r="B4" s="53" t="s">
        <v>36</v>
      </c>
      <c r="C4" s="54">
        <v>6625</v>
      </c>
      <c r="D4" s="61">
        <f t="shared" ref="D4:D10" si="0">C4*60%</f>
        <v>3975</v>
      </c>
    </row>
    <row r="5" spans="1:4" x14ac:dyDescent="0.4">
      <c r="B5" s="53" t="s">
        <v>460</v>
      </c>
      <c r="C5" s="54">
        <v>5320</v>
      </c>
      <c r="D5" s="61">
        <f t="shared" si="0"/>
        <v>3192</v>
      </c>
    </row>
    <row r="6" spans="1:4" x14ac:dyDescent="0.4">
      <c r="B6" s="53" t="s">
        <v>324</v>
      </c>
      <c r="C6" s="54">
        <f>미스터블루04!AJ3</f>
        <v>29086.2</v>
      </c>
      <c r="D6" s="61">
        <f t="shared" si="0"/>
        <v>17451.72</v>
      </c>
    </row>
    <row r="7" spans="1:4" x14ac:dyDescent="0.4">
      <c r="B7" s="53" t="s">
        <v>340</v>
      </c>
      <c r="C7" s="54">
        <v>11200</v>
      </c>
      <c r="D7" s="61">
        <f t="shared" si="0"/>
        <v>6720</v>
      </c>
    </row>
    <row r="8" spans="1:4" x14ac:dyDescent="0.4">
      <c r="B8" s="53" t="s">
        <v>386</v>
      </c>
      <c r="C8" s="54">
        <v>8960</v>
      </c>
      <c r="D8" s="61">
        <f t="shared" si="0"/>
        <v>5376</v>
      </c>
    </row>
    <row r="9" spans="1:4" x14ac:dyDescent="0.4">
      <c r="B9" s="53" t="s">
        <v>435</v>
      </c>
      <c r="C9" s="54">
        <v>223770</v>
      </c>
      <c r="D9" s="61">
        <f t="shared" si="0"/>
        <v>134262</v>
      </c>
    </row>
    <row r="10" spans="1:4" x14ac:dyDescent="0.4">
      <c r="B10" s="53" t="s">
        <v>451</v>
      </c>
      <c r="C10" s="54">
        <v>11130</v>
      </c>
      <c r="D10" s="61">
        <f t="shared" si="0"/>
        <v>6678</v>
      </c>
    </row>
    <row r="11" spans="1:4" x14ac:dyDescent="0.4">
      <c r="B11" s="62" t="s">
        <v>22</v>
      </c>
      <c r="C11" s="62">
        <f>SUM(C3:C10)</f>
        <v>376045.2</v>
      </c>
      <c r="D11" s="63">
        <f>ROUND(SUM(D3:D10),0)</f>
        <v>225627</v>
      </c>
    </row>
    <row r="12" spans="1:4" x14ac:dyDescent="0.4">
      <c r="B12" s="68" t="s">
        <v>456</v>
      </c>
      <c r="C12" s="64" t="s">
        <v>457</v>
      </c>
      <c r="D12" s="65">
        <f>ROUNDDOWN(+D11*0.03,-1)</f>
        <v>6760</v>
      </c>
    </row>
    <row r="13" spans="1:4" x14ac:dyDescent="0.4">
      <c r="B13" s="69"/>
      <c r="C13" s="64" t="s">
        <v>458</v>
      </c>
      <c r="D13" s="66">
        <f>ROUNDDOWN(+D12*0.1,-1)</f>
        <v>670</v>
      </c>
    </row>
    <row r="14" spans="1:4" x14ac:dyDescent="0.4">
      <c r="B14" s="70" t="s">
        <v>459</v>
      </c>
      <c r="C14" s="71"/>
      <c r="D14" s="67">
        <f>D11-(D12+D13)</f>
        <v>218197</v>
      </c>
    </row>
  </sheetData>
  <mergeCells count="2">
    <mergeCell ref="B12:B13"/>
    <mergeCell ref="B14:C1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"/>
  <sheetViews>
    <sheetView topLeftCell="B1" workbookViewId="0">
      <selection activeCell="B1" sqref="B1"/>
    </sheetView>
  </sheetViews>
  <sheetFormatPr defaultRowHeight="17.399999999999999" x14ac:dyDescent="0.4"/>
  <cols>
    <col min="1" max="1" width="7" bestFit="1" customWidth="1"/>
    <col min="2" max="2" width="8.3984375" bestFit="1" customWidth="1"/>
    <col min="3" max="3" width="6.5" bestFit="1" customWidth="1"/>
    <col min="4" max="5" width="7.19921875" bestFit="1" customWidth="1"/>
    <col min="6" max="6" width="4.69921875" bestFit="1" customWidth="1"/>
    <col min="7" max="8" width="7.19921875" bestFit="1" customWidth="1"/>
    <col min="9" max="9" width="7.3984375" bestFit="1" customWidth="1"/>
    <col min="10" max="10" width="3.59765625" bestFit="1" customWidth="1"/>
    <col min="11" max="11" width="4.69921875" bestFit="1" customWidth="1"/>
    <col min="12" max="12" width="7.19921875" bestFit="1" customWidth="1"/>
    <col min="13" max="14" width="6" bestFit="1" customWidth="1"/>
    <col min="15" max="16" width="6.19921875" bestFit="1" customWidth="1"/>
    <col min="17" max="18" width="8.3984375" bestFit="1" customWidth="1"/>
    <col min="19" max="19" width="3.59765625" bestFit="1" customWidth="1"/>
    <col min="20" max="20" width="4.69921875" bestFit="1" customWidth="1"/>
    <col min="21" max="21" width="7.19921875" bestFit="1" customWidth="1"/>
    <col min="22" max="23" width="6" bestFit="1" customWidth="1"/>
    <col min="24" max="25" width="6.19921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6.69921875" bestFit="1" customWidth="1"/>
    <col min="48" max="48" width="9.69921875" bestFit="1" customWidth="1"/>
    <col min="49" max="49" width="8.19921875" bestFit="1" customWidth="1"/>
  </cols>
  <sheetData>
    <row r="1" spans="1:49" ht="19.2" x14ac:dyDescent="0.4">
      <c r="A1" s="1" t="s">
        <v>1</v>
      </c>
      <c r="B1" s="1" t="s">
        <v>2</v>
      </c>
      <c r="C1" s="1" t="s">
        <v>3</v>
      </c>
      <c r="D1" s="2" t="s">
        <v>4</v>
      </c>
      <c r="E1" s="1" t="s">
        <v>5</v>
      </c>
      <c r="F1" s="3" t="s">
        <v>6</v>
      </c>
      <c r="G1" s="1" t="s">
        <v>7</v>
      </c>
      <c r="H1" s="2" t="s">
        <v>8</v>
      </c>
      <c r="I1" s="2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10</v>
      </c>
      <c r="T1" s="4" t="s">
        <v>11</v>
      </c>
      <c r="U1" s="4" t="s">
        <v>12</v>
      </c>
      <c r="V1" s="4" t="s">
        <v>13</v>
      </c>
      <c r="W1" s="4" t="s">
        <v>14</v>
      </c>
      <c r="X1" s="4" t="s">
        <v>15</v>
      </c>
      <c r="Y1" s="4" t="s">
        <v>16</v>
      </c>
      <c r="Z1" s="4" t="s">
        <v>17</v>
      </c>
      <c r="AA1" s="4" t="s">
        <v>18</v>
      </c>
      <c r="AB1" s="4" t="s">
        <v>10</v>
      </c>
      <c r="AC1" s="4" t="s">
        <v>19</v>
      </c>
      <c r="AD1" s="4" t="s">
        <v>20</v>
      </c>
      <c r="AE1" s="4" t="s">
        <v>10</v>
      </c>
      <c r="AF1" s="4" t="s">
        <v>19</v>
      </c>
      <c r="AG1" s="4" t="s">
        <v>20</v>
      </c>
      <c r="AH1" s="4" t="s">
        <v>10</v>
      </c>
      <c r="AI1" s="4" t="s">
        <v>19</v>
      </c>
      <c r="AJ1" s="4" t="s">
        <v>20</v>
      </c>
      <c r="AK1" s="4" t="s">
        <v>10</v>
      </c>
      <c r="AL1" s="4" t="s">
        <v>19</v>
      </c>
      <c r="AM1" s="4" t="s">
        <v>20</v>
      </c>
      <c r="AN1" s="5" t="s">
        <v>21</v>
      </c>
      <c r="AO1" s="4" t="s">
        <v>10</v>
      </c>
      <c r="AP1" s="4" t="s">
        <v>19</v>
      </c>
      <c r="AQ1" s="4" t="s">
        <v>20</v>
      </c>
      <c r="AR1" s="4" t="s">
        <v>10</v>
      </c>
      <c r="AS1" s="4" t="s">
        <v>19</v>
      </c>
      <c r="AT1" s="4" t="s">
        <v>20</v>
      </c>
      <c r="AU1" s="5" t="s">
        <v>22</v>
      </c>
      <c r="AV1" s="4" t="s">
        <v>23</v>
      </c>
      <c r="AW1" s="4" t="s">
        <v>24</v>
      </c>
    </row>
    <row r="2" spans="1:49" ht="19.2" x14ac:dyDescent="0.4">
      <c r="A2" s="6" t="s">
        <v>25</v>
      </c>
      <c r="B2" s="6" t="s">
        <v>26</v>
      </c>
      <c r="C2" s="6">
        <v>326544</v>
      </c>
      <c r="D2" s="7"/>
      <c r="E2" s="6" t="s">
        <v>27</v>
      </c>
      <c r="F2" s="6" t="s">
        <v>28</v>
      </c>
      <c r="G2" s="6" t="s">
        <v>27</v>
      </c>
      <c r="H2" s="8" t="s">
        <v>29</v>
      </c>
      <c r="I2" s="8" t="s">
        <v>30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9">
        <v>99100</v>
      </c>
      <c r="AV2" s="10">
        <v>99100</v>
      </c>
      <c r="AW2" s="11">
        <v>69370</v>
      </c>
    </row>
    <row r="3" spans="1:49" ht="19.2" x14ac:dyDescent="0.4">
      <c r="A3" s="6" t="s">
        <v>31</v>
      </c>
      <c r="B3" s="6" t="s">
        <v>26</v>
      </c>
      <c r="C3" s="6">
        <v>326544</v>
      </c>
      <c r="D3" s="7"/>
      <c r="E3" s="6" t="s">
        <v>27</v>
      </c>
      <c r="F3" s="6" t="s">
        <v>28</v>
      </c>
      <c r="G3" s="6" t="s">
        <v>27</v>
      </c>
      <c r="H3" s="8" t="s">
        <v>29</v>
      </c>
      <c r="I3" s="8" t="s">
        <v>30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9">
        <v>1200</v>
      </c>
      <c r="AV3" s="10">
        <v>1200</v>
      </c>
      <c r="AW3" s="11">
        <v>840</v>
      </c>
    </row>
    <row r="4" spans="1:49" ht="19.2" x14ac:dyDescent="0.4">
      <c r="A4" s="6" t="s">
        <v>32</v>
      </c>
      <c r="B4" s="6" t="s">
        <v>26</v>
      </c>
      <c r="C4" s="6">
        <v>326544</v>
      </c>
      <c r="D4" s="7"/>
      <c r="E4" s="6" t="s">
        <v>27</v>
      </c>
      <c r="F4" s="6" t="s">
        <v>28</v>
      </c>
      <c r="G4" s="6" t="s">
        <v>27</v>
      </c>
      <c r="H4" s="8" t="s">
        <v>29</v>
      </c>
      <c r="I4" s="8" t="s">
        <v>30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12">
        <v>1080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9">
        <v>15000</v>
      </c>
      <c r="AV4" s="10">
        <v>13920</v>
      </c>
      <c r="AW4" s="11">
        <v>9744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topLeftCell="B1" workbookViewId="0">
      <selection activeCell="B1" sqref="B1"/>
    </sheetView>
  </sheetViews>
  <sheetFormatPr defaultRowHeight="17.399999999999999" x14ac:dyDescent="0.4"/>
  <cols>
    <col min="1" max="1" width="7.3984375" bestFit="1" customWidth="1"/>
    <col min="2" max="2" width="8.3984375" bestFit="1" customWidth="1"/>
    <col min="3" max="3" width="6.5" bestFit="1" customWidth="1"/>
    <col min="4" max="5" width="7.19921875" bestFit="1" customWidth="1"/>
    <col min="6" max="6" width="4.69921875" bestFit="1" customWidth="1"/>
    <col min="7" max="8" width="7.19921875" bestFit="1" customWidth="1"/>
    <col min="9" max="9" width="7.3984375" bestFit="1" customWidth="1"/>
    <col min="10" max="10" width="3.59765625" bestFit="1" customWidth="1"/>
    <col min="11" max="11" width="4.69921875" bestFit="1" customWidth="1"/>
    <col min="12" max="12" width="7.19921875" bestFit="1" customWidth="1"/>
    <col min="13" max="14" width="6" bestFit="1" customWidth="1"/>
    <col min="15" max="16" width="6.19921875" bestFit="1" customWidth="1"/>
    <col min="17" max="18" width="8.3984375" bestFit="1" customWidth="1"/>
    <col min="19" max="19" width="3.59765625" bestFit="1" customWidth="1"/>
    <col min="20" max="20" width="4.69921875" bestFit="1" customWidth="1"/>
    <col min="21" max="21" width="7.19921875" bestFit="1" customWidth="1"/>
    <col min="22" max="23" width="6" bestFit="1" customWidth="1"/>
    <col min="24" max="25" width="6.19921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6.69921875" bestFit="1" customWidth="1"/>
    <col min="49" max="49" width="7.19921875" bestFit="1" customWidth="1"/>
  </cols>
  <sheetData>
    <row r="1" spans="1:49" ht="19.2" x14ac:dyDescent="0.4">
      <c r="A1" s="1" t="s">
        <v>33</v>
      </c>
      <c r="B1" s="1" t="s">
        <v>2</v>
      </c>
      <c r="C1" s="1" t="s">
        <v>3</v>
      </c>
      <c r="D1" s="2" t="s">
        <v>4</v>
      </c>
      <c r="E1" s="1" t="s">
        <v>5</v>
      </c>
      <c r="F1" s="3" t="s">
        <v>6</v>
      </c>
      <c r="G1" s="1" t="s">
        <v>7</v>
      </c>
      <c r="H1" s="2" t="s">
        <v>8</v>
      </c>
      <c r="I1" s="2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10</v>
      </c>
      <c r="T1" s="4" t="s">
        <v>11</v>
      </c>
      <c r="U1" s="4" t="s">
        <v>12</v>
      </c>
      <c r="V1" s="4" t="s">
        <v>13</v>
      </c>
      <c r="W1" s="4" t="s">
        <v>14</v>
      </c>
      <c r="X1" s="4" t="s">
        <v>15</v>
      </c>
      <c r="Y1" s="4" t="s">
        <v>16</v>
      </c>
      <c r="Z1" s="4" t="s">
        <v>17</v>
      </c>
      <c r="AA1" s="4" t="s">
        <v>18</v>
      </c>
      <c r="AB1" s="4" t="s">
        <v>10</v>
      </c>
      <c r="AC1" s="4" t="s">
        <v>19</v>
      </c>
      <c r="AD1" s="4" t="s">
        <v>20</v>
      </c>
      <c r="AE1" s="4" t="s">
        <v>10</v>
      </c>
      <c r="AF1" s="4" t="s">
        <v>19</v>
      </c>
      <c r="AG1" s="4" t="s">
        <v>20</v>
      </c>
      <c r="AH1" s="4" t="s">
        <v>10</v>
      </c>
      <c r="AI1" s="4" t="s">
        <v>19</v>
      </c>
      <c r="AJ1" s="4" t="s">
        <v>20</v>
      </c>
      <c r="AK1" s="4" t="s">
        <v>10</v>
      </c>
      <c r="AL1" s="4" t="s">
        <v>19</v>
      </c>
      <c r="AM1" s="4" t="s">
        <v>20</v>
      </c>
      <c r="AN1" s="5" t="s">
        <v>21</v>
      </c>
      <c r="AO1" s="4" t="s">
        <v>10</v>
      </c>
      <c r="AP1" s="4" t="s">
        <v>19</v>
      </c>
      <c r="AQ1" s="4" t="s">
        <v>20</v>
      </c>
      <c r="AR1" s="4" t="s">
        <v>10</v>
      </c>
      <c r="AS1" s="4" t="s">
        <v>19</v>
      </c>
      <c r="AT1" s="4" t="s">
        <v>20</v>
      </c>
      <c r="AU1" s="5" t="s">
        <v>22</v>
      </c>
      <c r="AV1" s="4" t="s">
        <v>23</v>
      </c>
      <c r="AW1" s="13" t="s">
        <v>34</v>
      </c>
    </row>
    <row r="2" spans="1:49" ht="19.2" x14ac:dyDescent="0.4">
      <c r="A2" s="6" t="s">
        <v>35</v>
      </c>
      <c r="B2" s="6" t="s">
        <v>26</v>
      </c>
      <c r="C2" s="6">
        <v>326544</v>
      </c>
      <c r="D2" s="7"/>
      <c r="E2" s="6" t="s">
        <v>27</v>
      </c>
      <c r="F2" s="6" t="s">
        <v>28</v>
      </c>
      <c r="G2" s="6" t="s">
        <v>27</v>
      </c>
      <c r="H2" s="8" t="s">
        <v>29</v>
      </c>
      <c r="I2" s="8" t="s">
        <v>30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756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9">
        <v>10220</v>
      </c>
      <c r="AV2" s="10">
        <v>9464</v>
      </c>
      <c r="AW2" s="14">
        <v>6624.7999999999993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0"/>
  <sheetViews>
    <sheetView topLeftCell="B2" workbookViewId="0">
      <selection activeCell="G25" sqref="G25"/>
    </sheetView>
  </sheetViews>
  <sheetFormatPr defaultRowHeight="17.399999999999999" x14ac:dyDescent="0.4"/>
  <cols>
    <col min="1" max="2" width="11.5" bestFit="1" customWidth="1"/>
    <col min="3" max="3" width="24.69921875" bestFit="1" customWidth="1"/>
    <col min="4" max="4" width="7.5" bestFit="1" customWidth="1"/>
    <col min="5" max="5" width="6.69921875" bestFit="1" customWidth="1"/>
    <col min="6" max="7" width="5" bestFit="1" customWidth="1"/>
    <col min="8" max="8" width="10.3984375" bestFit="1" customWidth="1"/>
    <col min="9" max="9" width="21.09765625" bestFit="1" customWidth="1"/>
    <col min="10" max="13" width="10.3984375" bestFit="1" customWidth="1"/>
    <col min="14" max="14" width="6.69921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69921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8.19921875" bestFit="1" customWidth="1"/>
    <col min="43" max="45" width="13" bestFit="1" customWidth="1"/>
    <col min="46" max="46" width="14.69921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37</v>
      </c>
      <c r="B1" t="s">
        <v>38</v>
      </c>
      <c r="C1" t="s">
        <v>39</v>
      </c>
      <c r="D1" t="s">
        <v>40</v>
      </c>
      <c r="E1" s="15" t="s">
        <v>41</v>
      </c>
      <c r="F1" t="s">
        <v>42</v>
      </c>
      <c r="G1" t="s">
        <v>43</v>
      </c>
      <c r="H1" s="15" t="s">
        <v>7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s="16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</row>
    <row r="2" spans="1:49" x14ac:dyDescent="0.4">
      <c r="A2">
        <v>1525002864</v>
      </c>
      <c r="B2">
        <v>1525002888</v>
      </c>
      <c r="C2" t="s">
        <v>85</v>
      </c>
      <c r="D2" t="s">
        <v>86</v>
      </c>
      <c r="E2" t="s">
        <v>28</v>
      </c>
      <c r="H2" t="s">
        <v>27</v>
      </c>
      <c r="I2" t="s">
        <v>87</v>
      </c>
      <c r="J2">
        <v>100</v>
      </c>
      <c r="K2">
        <v>100</v>
      </c>
      <c r="L2">
        <v>1</v>
      </c>
      <c r="M2">
        <v>0</v>
      </c>
      <c r="N2">
        <v>100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200</v>
      </c>
      <c r="AH2">
        <v>2</v>
      </c>
      <c r="AI2">
        <v>0</v>
      </c>
      <c r="AJ2">
        <v>0</v>
      </c>
      <c r="AK2">
        <v>200</v>
      </c>
      <c r="AL2">
        <v>0</v>
      </c>
      <c r="AM2">
        <v>0</v>
      </c>
      <c r="AN2">
        <v>0</v>
      </c>
      <c r="AO2">
        <v>0</v>
      </c>
      <c r="AP2">
        <v>140</v>
      </c>
      <c r="AT2" t="s">
        <v>88</v>
      </c>
      <c r="AV2" t="s">
        <v>89</v>
      </c>
    </row>
    <row r="3" spans="1:49" x14ac:dyDescent="0.4">
      <c r="A3">
        <v>1525002864</v>
      </c>
      <c r="B3">
        <v>1525002889</v>
      </c>
      <c r="C3" t="s">
        <v>90</v>
      </c>
      <c r="D3" t="s">
        <v>91</v>
      </c>
      <c r="E3" t="s">
        <v>28</v>
      </c>
      <c r="H3" t="s">
        <v>27</v>
      </c>
      <c r="I3" t="s">
        <v>87</v>
      </c>
      <c r="J3">
        <v>100</v>
      </c>
      <c r="K3">
        <v>100</v>
      </c>
      <c r="L3">
        <v>1</v>
      </c>
      <c r="M3">
        <v>0</v>
      </c>
      <c r="N3">
        <v>100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200</v>
      </c>
      <c r="AH3">
        <v>2</v>
      </c>
      <c r="AI3">
        <v>0</v>
      </c>
      <c r="AJ3">
        <v>0</v>
      </c>
      <c r="AK3">
        <v>200</v>
      </c>
      <c r="AL3">
        <v>0</v>
      </c>
      <c r="AM3">
        <v>0</v>
      </c>
      <c r="AN3">
        <v>0</v>
      </c>
      <c r="AO3">
        <v>0</v>
      </c>
      <c r="AP3">
        <v>140</v>
      </c>
      <c r="AT3" t="s">
        <v>88</v>
      </c>
      <c r="AV3" t="s">
        <v>89</v>
      </c>
    </row>
    <row r="4" spans="1:49" x14ac:dyDescent="0.4">
      <c r="A4">
        <v>1525002864</v>
      </c>
      <c r="B4">
        <v>1525002890</v>
      </c>
      <c r="C4" t="s">
        <v>92</v>
      </c>
      <c r="D4" t="s">
        <v>93</v>
      </c>
      <c r="E4" t="s">
        <v>28</v>
      </c>
      <c r="H4" t="s">
        <v>27</v>
      </c>
      <c r="I4" t="s">
        <v>87</v>
      </c>
      <c r="J4">
        <v>100</v>
      </c>
      <c r="K4">
        <v>100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100</v>
      </c>
      <c r="AH4">
        <v>1</v>
      </c>
      <c r="AI4">
        <v>0</v>
      </c>
      <c r="AJ4">
        <v>0</v>
      </c>
      <c r="AK4">
        <v>100</v>
      </c>
      <c r="AL4">
        <v>0</v>
      </c>
      <c r="AM4">
        <v>0</v>
      </c>
      <c r="AN4">
        <v>0</v>
      </c>
      <c r="AO4">
        <v>0</v>
      </c>
      <c r="AP4">
        <v>70</v>
      </c>
      <c r="AT4" t="s">
        <v>88</v>
      </c>
      <c r="AV4" t="s">
        <v>89</v>
      </c>
    </row>
    <row r="5" spans="1:49" x14ac:dyDescent="0.4">
      <c r="A5">
        <v>1525002864</v>
      </c>
      <c r="B5">
        <v>1525002891</v>
      </c>
      <c r="C5" t="s">
        <v>94</v>
      </c>
      <c r="D5" t="s">
        <v>95</v>
      </c>
      <c r="E5" t="s">
        <v>28</v>
      </c>
      <c r="H5" t="s">
        <v>27</v>
      </c>
      <c r="I5" t="s">
        <v>87</v>
      </c>
      <c r="J5">
        <v>100</v>
      </c>
      <c r="K5">
        <v>100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100</v>
      </c>
      <c r="AH5">
        <v>1</v>
      </c>
      <c r="AI5">
        <v>0</v>
      </c>
      <c r="AJ5">
        <v>0</v>
      </c>
      <c r="AK5">
        <v>100</v>
      </c>
      <c r="AL5">
        <v>0</v>
      </c>
      <c r="AM5">
        <v>0</v>
      </c>
      <c r="AN5">
        <v>0</v>
      </c>
      <c r="AO5">
        <v>0</v>
      </c>
      <c r="AP5">
        <v>70</v>
      </c>
      <c r="AT5" t="s">
        <v>88</v>
      </c>
      <c r="AV5" t="s">
        <v>89</v>
      </c>
    </row>
    <row r="6" spans="1:49" x14ac:dyDescent="0.4">
      <c r="A6">
        <v>1525002864</v>
      </c>
      <c r="B6">
        <v>1525002892</v>
      </c>
      <c r="C6" t="s">
        <v>96</v>
      </c>
      <c r="D6" t="s">
        <v>97</v>
      </c>
      <c r="E6" t="s">
        <v>28</v>
      </c>
      <c r="H6" t="s">
        <v>27</v>
      </c>
      <c r="I6" t="s">
        <v>87</v>
      </c>
      <c r="J6">
        <v>100</v>
      </c>
      <c r="K6">
        <v>100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100</v>
      </c>
      <c r="AH6">
        <v>1</v>
      </c>
      <c r="AI6">
        <v>0</v>
      </c>
      <c r="AJ6">
        <v>0</v>
      </c>
      <c r="AK6">
        <v>100</v>
      </c>
      <c r="AL6">
        <v>0</v>
      </c>
      <c r="AM6">
        <v>0</v>
      </c>
      <c r="AN6">
        <v>0</v>
      </c>
      <c r="AO6">
        <v>0</v>
      </c>
      <c r="AP6">
        <v>70</v>
      </c>
      <c r="AT6" t="s">
        <v>88</v>
      </c>
      <c r="AV6" t="s">
        <v>89</v>
      </c>
    </row>
    <row r="7" spans="1:49" x14ac:dyDescent="0.4">
      <c r="A7">
        <v>1525002864</v>
      </c>
      <c r="B7">
        <v>1525002893</v>
      </c>
      <c r="C7" t="s">
        <v>98</v>
      </c>
      <c r="D7" t="s">
        <v>99</v>
      </c>
      <c r="E7" t="s">
        <v>28</v>
      </c>
      <c r="H7" t="s">
        <v>27</v>
      </c>
      <c r="I7" t="s">
        <v>87</v>
      </c>
      <c r="J7">
        <v>100</v>
      </c>
      <c r="K7">
        <v>100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100</v>
      </c>
      <c r="AH7">
        <v>1</v>
      </c>
      <c r="AI7">
        <v>0</v>
      </c>
      <c r="AJ7">
        <v>0</v>
      </c>
      <c r="AK7">
        <v>100</v>
      </c>
      <c r="AL7">
        <v>0</v>
      </c>
      <c r="AM7">
        <v>0</v>
      </c>
      <c r="AN7">
        <v>0</v>
      </c>
      <c r="AO7">
        <v>0</v>
      </c>
      <c r="AP7">
        <v>70</v>
      </c>
      <c r="AT7" t="s">
        <v>88</v>
      </c>
      <c r="AV7" t="s">
        <v>89</v>
      </c>
    </row>
    <row r="8" spans="1:49" x14ac:dyDescent="0.4">
      <c r="A8">
        <v>1525002864</v>
      </c>
      <c r="B8">
        <v>1525002894</v>
      </c>
      <c r="C8" t="s">
        <v>100</v>
      </c>
      <c r="D8" t="s">
        <v>101</v>
      </c>
      <c r="E8" t="s">
        <v>28</v>
      </c>
      <c r="H8" t="s">
        <v>27</v>
      </c>
      <c r="I8" t="s">
        <v>87</v>
      </c>
      <c r="J8">
        <v>100</v>
      </c>
      <c r="K8">
        <v>100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100</v>
      </c>
      <c r="AH8">
        <v>1</v>
      </c>
      <c r="AI8">
        <v>0</v>
      </c>
      <c r="AJ8">
        <v>0</v>
      </c>
      <c r="AK8">
        <v>100</v>
      </c>
      <c r="AL8">
        <v>0</v>
      </c>
      <c r="AM8">
        <v>0</v>
      </c>
      <c r="AN8">
        <v>0</v>
      </c>
      <c r="AO8">
        <v>0</v>
      </c>
      <c r="AP8">
        <v>70</v>
      </c>
      <c r="AT8" t="s">
        <v>88</v>
      </c>
      <c r="AV8" t="s">
        <v>89</v>
      </c>
    </row>
    <row r="9" spans="1:49" x14ac:dyDescent="0.4">
      <c r="A9">
        <v>1525002864</v>
      </c>
      <c r="B9">
        <v>1525002895</v>
      </c>
      <c r="C9" t="s">
        <v>102</v>
      </c>
      <c r="D9" t="s">
        <v>103</v>
      </c>
      <c r="E9" t="s">
        <v>28</v>
      </c>
      <c r="H9" t="s">
        <v>27</v>
      </c>
      <c r="I9" t="s">
        <v>87</v>
      </c>
      <c r="J9">
        <v>100</v>
      </c>
      <c r="K9">
        <v>100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100</v>
      </c>
      <c r="AH9">
        <v>1</v>
      </c>
      <c r="AI9">
        <v>0</v>
      </c>
      <c r="AJ9">
        <v>0</v>
      </c>
      <c r="AK9">
        <v>100</v>
      </c>
      <c r="AL9">
        <v>0</v>
      </c>
      <c r="AM9">
        <v>0</v>
      </c>
      <c r="AN9">
        <v>0</v>
      </c>
      <c r="AO9">
        <v>0</v>
      </c>
      <c r="AP9">
        <v>70</v>
      </c>
      <c r="AT9" t="s">
        <v>88</v>
      </c>
      <c r="AV9" t="s">
        <v>89</v>
      </c>
    </row>
    <row r="10" spans="1:49" x14ac:dyDescent="0.4">
      <c r="A10">
        <v>1525002864</v>
      </c>
      <c r="B10">
        <v>1525002896</v>
      </c>
      <c r="C10" t="s">
        <v>104</v>
      </c>
      <c r="D10" t="s">
        <v>105</v>
      </c>
      <c r="E10" t="s">
        <v>28</v>
      </c>
      <c r="H10" t="s">
        <v>27</v>
      </c>
      <c r="I10" t="s">
        <v>87</v>
      </c>
      <c r="J10">
        <v>100</v>
      </c>
      <c r="K10">
        <v>100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100</v>
      </c>
      <c r="AH10">
        <v>1</v>
      </c>
      <c r="AI10">
        <v>0</v>
      </c>
      <c r="AJ10">
        <v>0</v>
      </c>
      <c r="AK10">
        <v>100</v>
      </c>
      <c r="AL10">
        <v>0</v>
      </c>
      <c r="AM10">
        <v>0</v>
      </c>
      <c r="AN10">
        <v>0</v>
      </c>
      <c r="AO10">
        <v>0</v>
      </c>
      <c r="AP10">
        <v>70</v>
      </c>
      <c r="AT10" t="s">
        <v>88</v>
      </c>
      <c r="AV10" t="s">
        <v>89</v>
      </c>
    </row>
    <row r="11" spans="1:49" x14ac:dyDescent="0.4">
      <c r="A11">
        <v>1525002864</v>
      </c>
      <c r="B11">
        <v>1525002897</v>
      </c>
      <c r="C11" t="s">
        <v>106</v>
      </c>
      <c r="D11" t="s">
        <v>107</v>
      </c>
      <c r="E11" t="s">
        <v>28</v>
      </c>
      <c r="H11" t="s">
        <v>27</v>
      </c>
      <c r="I11" t="s">
        <v>87</v>
      </c>
      <c r="J11">
        <v>100</v>
      </c>
      <c r="K11">
        <v>100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100</v>
      </c>
      <c r="AH11">
        <v>1</v>
      </c>
      <c r="AI11">
        <v>0</v>
      </c>
      <c r="AJ11">
        <v>0</v>
      </c>
      <c r="AK11">
        <v>100</v>
      </c>
      <c r="AL11">
        <v>0</v>
      </c>
      <c r="AM11">
        <v>0</v>
      </c>
      <c r="AN11">
        <v>0</v>
      </c>
      <c r="AO11">
        <v>0</v>
      </c>
      <c r="AP11">
        <v>70</v>
      </c>
      <c r="AT11" t="s">
        <v>88</v>
      </c>
      <c r="AV11" t="s">
        <v>89</v>
      </c>
    </row>
    <row r="12" spans="1:49" x14ac:dyDescent="0.4">
      <c r="A12">
        <v>1525002864</v>
      </c>
      <c r="B12">
        <v>1525002898</v>
      </c>
      <c r="C12" t="s">
        <v>108</v>
      </c>
      <c r="D12" t="s">
        <v>109</v>
      </c>
      <c r="E12" t="s">
        <v>28</v>
      </c>
      <c r="H12" t="s">
        <v>27</v>
      </c>
      <c r="I12" t="s">
        <v>87</v>
      </c>
      <c r="J12">
        <v>100</v>
      </c>
      <c r="K12">
        <v>100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100</v>
      </c>
      <c r="AH12">
        <v>1</v>
      </c>
      <c r="AI12">
        <v>0</v>
      </c>
      <c r="AJ12">
        <v>0</v>
      </c>
      <c r="AK12">
        <v>100</v>
      </c>
      <c r="AL12">
        <v>0</v>
      </c>
      <c r="AM12">
        <v>0</v>
      </c>
      <c r="AN12">
        <v>0</v>
      </c>
      <c r="AO12">
        <v>0</v>
      </c>
      <c r="AP12">
        <v>70</v>
      </c>
      <c r="AT12" t="s">
        <v>88</v>
      </c>
      <c r="AV12" t="s">
        <v>89</v>
      </c>
    </row>
    <row r="13" spans="1:49" x14ac:dyDescent="0.4">
      <c r="A13">
        <v>1525002864</v>
      </c>
      <c r="B13">
        <v>1525002899</v>
      </c>
      <c r="C13" t="s">
        <v>110</v>
      </c>
      <c r="D13" t="s">
        <v>111</v>
      </c>
      <c r="E13" t="s">
        <v>28</v>
      </c>
      <c r="H13" t="s">
        <v>27</v>
      </c>
      <c r="I13" t="s">
        <v>87</v>
      </c>
      <c r="J13">
        <v>100</v>
      </c>
      <c r="K13">
        <v>100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100</v>
      </c>
      <c r="AH13">
        <v>1</v>
      </c>
      <c r="AI13">
        <v>0</v>
      </c>
      <c r="AJ13">
        <v>0</v>
      </c>
      <c r="AK13">
        <v>100</v>
      </c>
      <c r="AL13">
        <v>0</v>
      </c>
      <c r="AM13">
        <v>0</v>
      </c>
      <c r="AN13">
        <v>0</v>
      </c>
      <c r="AO13">
        <v>0</v>
      </c>
      <c r="AP13">
        <v>70</v>
      </c>
      <c r="AT13" t="s">
        <v>88</v>
      </c>
      <c r="AV13" t="s">
        <v>89</v>
      </c>
    </row>
    <row r="14" spans="1:49" x14ac:dyDescent="0.4">
      <c r="A14">
        <v>1525002864</v>
      </c>
      <c r="B14">
        <v>1525002900</v>
      </c>
      <c r="C14" t="s">
        <v>112</v>
      </c>
      <c r="D14" t="s">
        <v>113</v>
      </c>
      <c r="E14" t="s">
        <v>28</v>
      </c>
      <c r="H14" t="s">
        <v>27</v>
      </c>
      <c r="I14" t="s">
        <v>87</v>
      </c>
      <c r="J14">
        <v>100</v>
      </c>
      <c r="K14">
        <v>100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100</v>
      </c>
      <c r="AH14">
        <v>1</v>
      </c>
      <c r="AI14">
        <v>0</v>
      </c>
      <c r="AJ14">
        <v>0</v>
      </c>
      <c r="AK14">
        <v>100</v>
      </c>
      <c r="AL14">
        <v>0</v>
      </c>
      <c r="AM14">
        <v>0</v>
      </c>
      <c r="AN14">
        <v>0</v>
      </c>
      <c r="AO14">
        <v>0</v>
      </c>
      <c r="AP14">
        <v>70</v>
      </c>
      <c r="AT14" t="s">
        <v>88</v>
      </c>
      <c r="AV14" t="s">
        <v>89</v>
      </c>
    </row>
    <row r="15" spans="1:49" x14ac:dyDescent="0.4">
      <c r="A15">
        <v>1525002864</v>
      </c>
      <c r="B15">
        <v>1525002901</v>
      </c>
      <c r="C15" t="s">
        <v>114</v>
      </c>
      <c r="D15" t="s">
        <v>115</v>
      </c>
      <c r="E15" t="s">
        <v>28</v>
      </c>
      <c r="H15" t="s">
        <v>27</v>
      </c>
      <c r="I15" t="s">
        <v>87</v>
      </c>
      <c r="J15">
        <v>100</v>
      </c>
      <c r="K15">
        <v>100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100</v>
      </c>
      <c r="AH15">
        <v>1</v>
      </c>
      <c r="AI15">
        <v>0</v>
      </c>
      <c r="AJ15">
        <v>0</v>
      </c>
      <c r="AK15">
        <v>100</v>
      </c>
      <c r="AL15">
        <v>0</v>
      </c>
      <c r="AM15">
        <v>0</v>
      </c>
      <c r="AN15">
        <v>0</v>
      </c>
      <c r="AO15">
        <v>0</v>
      </c>
      <c r="AP15">
        <v>70</v>
      </c>
      <c r="AT15" t="s">
        <v>88</v>
      </c>
      <c r="AV15" t="s">
        <v>89</v>
      </c>
    </row>
    <row r="16" spans="1:49" x14ac:dyDescent="0.4">
      <c r="A16">
        <v>1525002864</v>
      </c>
      <c r="B16">
        <v>1525002902</v>
      </c>
      <c r="C16" t="s">
        <v>116</v>
      </c>
      <c r="D16" t="s">
        <v>117</v>
      </c>
      <c r="E16" t="s">
        <v>28</v>
      </c>
      <c r="H16" t="s">
        <v>27</v>
      </c>
      <c r="I16" t="s">
        <v>87</v>
      </c>
      <c r="J16">
        <v>100</v>
      </c>
      <c r="K16">
        <v>100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100</v>
      </c>
      <c r="AH16">
        <v>1</v>
      </c>
      <c r="AI16">
        <v>0</v>
      </c>
      <c r="AJ16">
        <v>0</v>
      </c>
      <c r="AK16">
        <v>100</v>
      </c>
      <c r="AL16">
        <v>0</v>
      </c>
      <c r="AM16">
        <v>0</v>
      </c>
      <c r="AN16">
        <v>0</v>
      </c>
      <c r="AO16">
        <v>0</v>
      </c>
      <c r="AP16">
        <v>70</v>
      </c>
      <c r="AT16" t="s">
        <v>88</v>
      </c>
      <c r="AV16" t="s">
        <v>89</v>
      </c>
    </row>
    <row r="17" spans="1:48" x14ac:dyDescent="0.4">
      <c r="A17">
        <v>1525002864</v>
      </c>
      <c r="B17">
        <v>1525002903</v>
      </c>
      <c r="C17" t="s">
        <v>118</v>
      </c>
      <c r="D17" t="s">
        <v>119</v>
      </c>
      <c r="E17" t="s">
        <v>28</v>
      </c>
      <c r="H17" t="s">
        <v>27</v>
      </c>
      <c r="I17" t="s">
        <v>87</v>
      </c>
      <c r="J17">
        <v>100</v>
      </c>
      <c r="K17">
        <v>100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100</v>
      </c>
      <c r="AH17">
        <v>1</v>
      </c>
      <c r="AI17">
        <v>0</v>
      </c>
      <c r="AJ17">
        <v>0</v>
      </c>
      <c r="AK17">
        <v>100</v>
      </c>
      <c r="AL17">
        <v>0</v>
      </c>
      <c r="AM17">
        <v>0</v>
      </c>
      <c r="AN17">
        <v>0</v>
      </c>
      <c r="AO17">
        <v>0</v>
      </c>
      <c r="AP17">
        <v>70</v>
      </c>
      <c r="AT17" t="s">
        <v>88</v>
      </c>
      <c r="AV17" t="s">
        <v>89</v>
      </c>
    </row>
    <row r="18" spans="1:48" x14ac:dyDescent="0.4">
      <c r="A18">
        <v>1525002864</v>
      </c>
      <c r="B18">
        <v>1525002904</v>
      </c>
      <c r="C18" t="s">
        <v>120</v>
      </c>
      <c r="D18" t="s">
        <v>121</v>
      </c>
      <c r="E18" t="s">
        <v>28</v>
      </c>
      <c r="H18" t="s">
        <v>27</v>
      </c>
      <c r="I18" t="s">
        <v>87</v>
      </c>
      <c r="J18">
        <v>100</v>
      </c>
      <c r="K18">
        <v>100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100</v>
      </c>
      <c r="AH18">
        <v>1</v>
      </c>
      <c r="AI18">
        <v>0</v>
      </c>
      <c r="AJ18">
        <v>0</v>
      </c>
      <c r="AK18">
        <v>100</v>
      </c>
      <c r="AL18">
        <v>0</v>
      </c>
      <c r="AM18">
        <v>0</v>
      </c>
      <c r="AN18">
        <v>0</v>
      </c>
      <c r="AO18">
        <v>0</v>
      </c>
      <c r="AP18">
        <v>70</v>
      </c>
      <c r="AT18" t="s">
        <v>88</v>
      </c>
      <c r="AV18" t="s">
        <v>89</v>
      </c>
    </row>
    <row r="19" spans="1:48" x14ac:dyDescent="0.4">
      <c r="A19">
        <v>1525002864</v>
      </c>
      <c r="B19">
        <v>1525002905</v>
      </c>
      <c r="C19" t="s">
        <v>122</v>
      </c>
      <c r="D19" t="s">
        <v>123</v>
      </c>
      <c r="E19" t="s">
        <v>28</v>
      </c>
      <c r="H19" t="s">
        <v>27</v>
      </c>
      <c r="I19" t="s">
        <v>87</v>
      </c>
      <c r="J19">
        <v>100</v>
      </c>
      <c r="K19">
        <v>100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100</v>
      </c>
      <c r="AH19">
        <v>1</v>
      </c>
      <c r="AI19">
        <v>0</v>
      </c>
      <c r="AJ19">
        <v>0</v>
      </c>
      <c r="AK19">
        <v>100</v>
      </c>
      <c r="AL19">
        <v>0</v>
      </c>
      <c r="AM19">
        <v>0</v>
      </c>
      <c r="AN19">
        <v>0</v>
      </c>
      <c r="AO19">
        <v>0</v>
      </c>
      <c r="AP19">
        <v>70</v>
      </c>
      <c r="AT19" t="s">
        <v>88</v>
      </c>
      <c r="AV19" t="s">
        <v>89</v>
      </c>
    </row>
    <row r="20" spans="1:48" x14ac:dyDescent="0.4">
      <c r="A20">
        <v>1525002864</v>
      </c>
      <c r="B20">
        <v>1525002906</v>
      </c>
      <c r="C20" t="s">
        <v>124</v>
      </c>
      <c r="D20" t="s">
        <v>125</v>
      </c>
      <c r="E20" t="s">
        <v>28</v>
      </c>
      <c r="H20" t="s">
        <v>27</v>
      </c>
      <c r="I20" t="s">
        <v>87</v>
      </c>
      <c r="J20">
        <v>100</v>
      </c>
      <c r="K20">
        <v>100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100</v>
      </c>
      <c r="AH20">
        <v>1</v>
      </c>
      <c r="AI20">
        <v>0</v>
      </c>
      <c r="AJ20">
        <v>0</v>
      </c>
      <c r="AK20">
        <v>100</v>
      </c>
      <c r="AL20">
        <v>0</v>
      </c>
      <c r="AM20">
        <v>0</v>
      </c>
      <c r="AN20">
        <v>0</v>
      </c>
      <c r="AO20">
        <v>0</v>
      </c>
      <c r="AP20">
        <v>70</v>
      </c>
      <c r="AT20" t="s">
        <v>88</v>
      </c>
      <c r="AV20" t="s">
        <v>89</v>
      </c>
    </row>
    <row r="21" spans="1:48" x14ac:dyDescent="0.4">
      <c r="A21">
        <v>1525002864</v>
      </c>
      <c r="B21">
        <v>1525002907</v>
      </c>
      <c r="C21" t="s">
        <v>126</v>
      </c>
      <c r="D21" t="s">
        <v>127</v>
      </c>
      <c r="E21" t="s">
        <v>28</v>
      </c>
      <c r="H21" t="s">
        <v>27</v>
      </c>
      <c r="I21" t="s">
        <v>87</v>
      </c>
      <c r="J21">
        <v>100</v>
      </c>
      <c r="K21">
        <v>100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100</v>
      </c>
      <c r="AH21">
        <v>1</v>
      </c>
      <c r="AI21">
        <v>0</v>
      </c>
      <c r="AJ21">
        <v>0</v>
      </c>
      <c r="AK21">
        <v>100</v>
      </c>
      <c r="AL21">
        <v>0</v>
      </c>
      <c r="AM21">
        <v>0</v>
      </c>
      <c r="AN21">
        <v>0</v>
      </c>
      <c r="AO21">
        <v>0</v>
      </c>
      <c r="AP21">
        <v>70</v>
      </c>
      <c r="AT21" t="s">
        <v>88</v>
      </c>
      <c r="AV21" t="s">
        <v>89</v>
      </c>
    </row>
    <row r="22" spans="1:48" x14ac:dyDescent="0.4">
      <c r="A22">
        <v>1525002864</v>
      </c>
      <c r="B22">
        <v>1525002908</v>
      </c>
      <c r="C22" t="s">
        <v>128</v>
      </c>
      <c r="D22" t="s">
        <v>129</v>
      </c>
      <c r="E22" t="s">
        <v>28</v>
      </c>
      <c r="H22" t="s">
        <v>27</v>
      </c>
      <c r="I22" t="s">
        <v>87</v>
      </c>
      <c r="J22">
        <v>100</v>
      </c>
      <c r="K22">
        <v>100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100</v>
      </c>
      <c r="AH22">
        <v>1</v>
      </c>
      <c r="AI22">
        <v>0</v>
      </c>
      <c r="AJ22">
        <v>0</v>
      </c>
      <c r="AK22">
        <v>100</v>
      </c>
      <c r="AL22">
        <v>0</v>
      </c>
      <c r="AM22">
        <v>0</v>
      </c>
      <c r="AN22">
        <v>0</v>
      </c>
      <c r="AO22">
        <v>0</v>
      </c>
      <c r="AP22">
        <v>70</v>
      </c>
      <c r="AT22" t="s">
        <v>88</v>
      </c>
      <c r="AV22" t="s">
        <v>89</v>
      </c>
    </row>
    <row r="23" spans="1:48" x14ac:dyDescent="0.4">
      <c r="A23">
        <v>1525002864</v>
      </c>
      <c r="B23">
        <v>1525002909</v>
      </c>
      <c r="C23" t="s">
        <v>130</v>
      </c>
      <c r="D23" t="s">
        <v>131</v>
      </c>
      <c r="E23" t="s">
        <v>28</v>
      </c>
      <c r="H23" t="s">
        <v>27</v>
      </c>
      <c r="I23" t="s">
        <v>87</v>
      </c>
      <c r="J23">
        <v>100</v>
      </c>
      <c r="K23">
        <v>100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100</v>
      </c>
      <c r="AH23">
        <v>1</v>
      </c>
      <c r="AI23">
        <v>0</v>
      </c>
      <c r="AJ23">
        <v>0</v>
      </c>
      <c r="AK23">
        <v>100</v>
      </c>
      <c r="AL23">
        <v>0</v>
      </c>
      <c r="AM23">
        <v>0</v>
      </c>
      <c r="AN23">
        <v>0</v>
      </c>
      <c r="AO23">
        <v>0</v>
      </c>
      <c r="AP23">
        <v>70</v>
      </c>
      <c r="AT23" t="s">
        <v>88</v>
      </c>
      <c r="AV23" t="s">
        <v>89</v>
      </c>
    </row>
    <row r="24" spans="1:48" x14ac:dyDescent="0.4">
      <c r="A24">
        <v>1525002864</v>
      </c>
      <c r="B24">
        <v>1525002910</v>
      </c>
      <c r="C24" t="s">
        <v>132</v>
      </c>
      <c r="D24" t="s">
        <v>133</v>
      </c>
      <c r="E24" t="s">
        <v>28</v>
      </c>
      <c r="H24" t="s">
        <v>27</v>
      </c>
      <c r="I24" t="s">
        <v>87</v>
      </c>
      <c r="J24">
        <v>100</v>
      </c>
      <c r="K24">
        <v>100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100</v>
      </c>
      <c r="AH24">
        <v>1</v>
      </c>
      <c r="AI24">
        <v>0</v>
      </c>
      <c r="AJ24">
        <v>0</v>
      </c>
      <c r="AK24">
        <v>100</v>
      </c>
      <c r="AL24">
        <v>0</v>
      </c>
      <c r="AM24">
        <v>0</v>
      </c>
      <c r="AN24">
        <v>0</v>
      </c>
      <c r="AO24">
        <v>0</v>
      </c>
      <c r="AP24">
        <v>70</v>
      </c>
      <c r="AT24" t="s">
        <v>88</v>
      </c>
      <c r="AV24" t="s">
        <v>89</v>
      </c>
    </row>
    <row r="25" spans="1:48" x14ac:dyDescent="0.4">
      <c r="A25">
        <v>1525002864</v>
      </c>
      <c r="B25">
        <v>1525002911</v>
      </c>
      <c r="C25" t="s">
        <v>134</v>
      </c>
      <c r="D25" t="s">
        <v>135</v>
      </c>
      <c r="E25" t="s">
        <v>28</v>
      </c>
      <c r="H25" t="s">
        <v>27</v>
      </c>
      <c r="I25" t="s">
        <v>87</v>
      </c>
      <c r="J25">
        <v>100</v>
      </c>
      <c r="K25">
        <v>100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100</v>
      </c>
      <c r="AH25">
        <v>1</v>
      </c>
      <c r="AI25">
        <v>0</v>
      </c>
      <c r="AJ25">
        <v>0</v>
      </c>
      <c r="AK25">
        <v>100</v>
      </c>
      <c r="AL25">
        <v>0</v>
      </c>
      <c r="AM25">
        <v>0</v>
      </c>
      <c r="AN25">
        <v>0</v>
      </c>
      <c r="AO25">
        <v>0</v>
      </c>
      <c r="AP25">
        <v>70</v>
      </c>
      <c r="AT25" t="s">
        <v>88</v>
      </c>
      <c r="AV25" t="s">
        <v>89</v>
      </c>
    </row>
    <row r="26" spans="1:48" x14ac:dyDescent="0.4">
      <c r="A26">
        <v>1525002864</v>
      </c>
      <c r="B26">
        <v>1525002912</v>
      </c>
      <c r="C26" t="s">
        <v>136</v>
      </c>
      <c r="D26" t="s">
        <v>137</v>
      </c>
      <c r="E26" t="s">
        <v>28</v>
      </c>
      <c r="H26" t="s">
        <v>27</v>
      </c>
      <c r="I26" t="s">
        <v>87</v>
      </c>
      <c r="J26">
        <v>100</v>
      </c>
      <c r="K26">
        <v>100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100</v>
      </c>
      <c r="AH26">
        <v>1</v>
      </c>
      <c r="AI26">
        <v>0</v>
      </c>
      <c r="AJ26">
        <v>0</v>
      </c>
      <c r="AK26">
        <v>100</v>
      </c>
      <c r="AL26">
        <v>0</v>
      </c>
      <c r="AM26">
        <v>0</v>
      </c>
      <c r="AN26">
        <v>0</v>
      </c>
      <c r="AO26">
        <v>0</v>
      </c>
      <c r="AP26">
        <v>70</v>
      </c>
      <c r="AT26" t="s">
        <v>88</v>
      </c>
      <c r="AV26" t="s">
        <v>89</v>
      </c>
    </row>
    <row r="27" spans="1:48" x14ac:dyDescent="0.4">
      <c r="A27">
        <v>1525002864</v>
      </c>
      <c r="B27">
        <v>1525002913</v>
      </c>
      <c r="C27" t="s">
        <v>138</v>
      </c>
      <c r="D27" t="s">
        <v>139</v>
      </c>
      <c r="E27" t="s">
        <v>28</v>
      </c>
      <c r="H27" t="s">
        <v>27</v>
      </c>
      <c r="I27" t="s">
        <v>87</v>
      </c>
      <c r="J27">
        <v>100</v>
      </c>
      <c r="K27">
        <v>100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100</v>
      </c>
      <c r="AH27">
        <v>1</v>
      </c>
      <c r="AI27">
        <v>0</v>
      </c>
      <c r="AJ27">
        <v>0</v>
      </c>
      <c r="AK27">
        <v>100</v>
      </c>
      <c r="AL27">
        <v>0</v>
      </c>
      <c r="AM27">
        <v>0</v>
      </c>
      <c r="AN27">
        <v>0</v>
      </c>
      <c r="AO27">
        <v>0</v>
      </c>
      <c r="AP27">
        <v>70</v>
      </c>
      <c r="AT27" t="s">
        <v>88</v>
      </c>
      <c r="AV27" t="s">
        <v>89</v>
      </c>
    </row>
    <row r="28" spans="1:48" x14ac:dyDescent="0.4">
      <c r="A28">
        <v>1525002864</v>
      </c>
      <c r="B28">
        <v>1525002914</v>
      </c>
      <c r="C28" t="s">
        <v>140</v>
      </c>
      <c r="D28" t="s">
        <v>141</v>
      </c>
      <c r="E28" t="s">
        <v>28</v>
      </c>
      <c r="H28" t="s">
        <v>27</v>
      </c>
      <c r="I28" t="s">
        <v>87</v>
      </c>
      <c r="J28">
        <v>100</v>
      </c>
      <c r="K28">
        <v>100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100</v>
      </c>
      <c r="AH28">
        <v>1</v>
      </c>
      <c r="AI28">
        <v>0</v>
      </c>
      <c r="AJ28">
        <v>0</v>
      </c>
      <c r="AK28">
        <v>100</v>
      </c>
      <c r="AL28">
        <v>0</v>
      </c>
      <c r="AM28">
        <v>0</v>
      </c>
      <c r="AN28">
        <v>0</v>
      </c>
      <c r="AO28">
        <v>0</v>
      </c>
      <c r="AP28">
        <v>70</v>
      </c>
      <c r="AT28" t="s">
        <v>88</v>
      </c>
      <c r="AV28" t="s">
        <v>89</v>
      </c>
    </row>
    <row r="29" spans="1:48" x14ac:dyDescent="0.4">
      <c r="A29">
        <v>1525002864</v>
      </c>
      <c r="B29">
        <v>1525002915</v>
      </c>
      <c r="C29" t="s">
        <v>142</v>
      </c>
      <c r="D29" t="s">
        <v>143</v>
      </c>
      <c r="E29" t="s">
        <v>28</v>
      </c>
      <c r="H29" t="s">
        <v>27</v>
      </c>
      <c r="I29" t="s">
        <v>87</v>
      </c>
      <c r="J29">
        <v>100</v>
      </c>
      <c r="K29">
        <v>100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100</v>
      </c>
      <c r="AH29">
        <v>1</v>
      </c>
      <c r="AI29">
        <v>0</v>
      </c>
      <c r="AJ29">
        <v>0</v>
      </c>
      <c r="AK29">
        <v>100</v>
      </c>
      <c r="AL29">
        <v>0</v>
      </c>
      <c r="AM29">
        <v>0</v>
      </c>
      <c r="AN29">
        <v>0</v>
      </c>
      <c r="AO29">
        <v>0</v>
      </c>
      <c r="AP29">
        <v>70</v>
      </c>
      <c r="AT29" t="s">
        <v>88</v>
      </c>
      <c r="AV29" t="s">
        <v>89</v>
      </c>
    </row>
    <row r="30" spans="1:48" x14ac:dyDescent="0.4">
      <c r="A30">
        <v>1525002864</v>
      </c>
      <c r="B30">
        <v>1525002916</v>
      </c>
      <c r="C30" t="s">
        <v>144</v>
      </c>
      <c r="D30" t="s">
        <v>145</v>
      </c>
      <c r="E30" t="s">
        <v>28</v>
      </c>
      <c r="H30" t="s">
        <v>27</v>
      </c>
      <c r="I30" t="s">
        <v>87</v>
      </c>
      <c r="J30">
        <v>100</v>
      </c>
      <c r="K30">
        <v>100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100</v>
      </c>
      <c r="AH30">
        <v>1</v>
      </c>
      <c r="AI30">
        <v>0</v>
      </c>
      <c r="AJ30">
        <v>0</v>
      </c>
      <c r="AK30">
        <v>100</v>
      </c>
      <c r="AL30">
        <v>0</v>
      </c>
      <c r="AM30">
        <v>0</v>
      </c>
      <c r="AN30">
        <v>0</v>
      </c>
      <c r="AO30">
        <v>0</v>
      </c>
      <c r="AP30">
        <v>70</v>
      </c>
      <c r="AT30" t="s">
        <v>88</v>
      </c>
      <c r="AV30" t="s">
        <v>89</v>
      </c>
    </row>
    <row r="31" spans="1:48" x14ac:dyDescent="0.4">
      <c r="A31">
        <v>1525002864</v>
      </c>
      <c r="B31">
        <v>1525002917</v>
      </c>
      <c r="C31" t="s">
        <v>146</v>
      </c>
      <c r="D31" t="s">
        <v>147</v>
      </c>
      <c r="E31" t="s">
        <v>28</v>
      </c>
      <c r="H31" t="s">
        <v>27</v>
      </c>
      <c r="I31" t="s">
        <v>87</v>
      </c>
      <c r="J31">
        <v>100</v>
      </c>
      <c r="K31">
        <v>100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100</v>
      </c>
      <c r="AH31">
        <v>1</v>
      </c>
      <c r="AI31">
        <v>0</v>
      </c>
      <c r="AJ31">
        <v>0</v>
      </c>
      <c r="AK31">
        <v>100</v>
      </c>
      <c r="AL31">
        <v>0</v>
      </c>
      <c r="AM31">
        <v>0</v>
      </c>
      <c r="AN31">
        <v>0</v>
      </c>
      <c r="AO31">
        <v>0</v>
      </c>
      <c r="AP31">
        <v>70</v>
      </c>
      <c r="AT31" t="s">
        <v>88</v>
      </c>
      <c r="AV31" t="s">
        <v>89</v>
      </c>
    </row>
    <row r="32" spans="1:48" x14ac:dyDescent="0.4">
      <c r="A32">
        <v>1525002864</v>
      </c>
      <c r="B32">
        <v>1525002918</v>
      </c>
      <c r="C32" t="s">
        <v>148</v>
      </c>
      <c r="D32" t="s">
        <v>149</v>
      </c>
      <c r="E32" t="s">
        <v>28</v>
      </c>
      <c r="H32" t="s">
        <v>27</v>
      </c>
      <c r="I32" t="s">
        <v>87</v>
      </c>
      <c r="J32">
        <v>100</v>
      </c>
      <c r="K32">
        <v>100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100</v>
      </c>
      <c r="AH32">
        <v>1</v>
      </c>
      <c r="AI32">
        <v>0</v>
      </c>
      <c r="AJ32">
        <v>0</v>
      </c>
      <c r="AK32">
        <v>100</v>
      </c>
      <c r="AL32">
        <v>0</v>
      </c>
      <c r="AM32">
        <v>0</v>
      </c>
      <c r="AN32">
        <v>0</v>
      </c>
      <c r="AO32">
        <v>0</v>
      </c>
      <c r="AP32">
        <v>70</v>
      </c>
      <c r="AT32" t="s">
        <v>88</v>
      </c>
      <c r="AV32" t="s">
        <v>89</v>
      </c>
    </row>
    <row r="33" spans="1:48" x14ac:dyDescent="0.4">
      <c r="A33">
        <v>1525002864</v>
      </c>
      <c r="B33">
        <v>1525002919</v>
      </c>
      <c r="C33" t="s">
        <v>150</v>
      </c>
      <c r="D33" t="s">
        <v>151</v>
      </c>
      <c r="E33" t="s">
        <v>28</v>
      </c>
      <c r="H33" t="s">
        <v>27</v>
      </c>
      <c r="I33" t="s">
        <v>87</v>
      </c>
      <c r="J33">
        <v>100</v>
      </c>
      <c r="K33">
        <v>100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100</v>
      </c>
      <c r="AH33">
        <v>1</v>
      </c>
      <c r="AI33">
        <v>0</v>
      </c>
      <c r="AJ33">
        <v>0</v>
      </c>
      <c r="AK33">
        <v>100</v>
      </c>
      <c r="AL33">
        <v>0</v>
      </c>
      <c r="AM33">
        <v>0</v>
      </c>
      <c r="AN33">
        <v>0</v>
      </c>
      <c r="AO33">
        <v>0</v>
      </c>
      <c r="AP33">
        <v>70</v>
      </c>
      <c r="AT33" t="s">
        <v>88</v>
      </c>
      <c r="AV33" t="s">
        <v>89</v>
      </c>
    </row>
    <row r="34" spans="1:48" x14ac:dyDescent="0.4">
      <c r="A34">
        <v>1525002864</v>
      </c>
      <c r="B34">
        <v>1525002920</v>
      </c>
      <c r="C34" t="s">
        <v>152</v>
      </c>
      <c r="D34" t="s">
        <v>153</v>
      </c>
      <c r="E34" t="s">
        <v>28</v>
      </c>
      <c r="H34" t="s">
        <v>27</v>
      </c>
      <c r="I34" t="s">
        <v>87</v>
      </c>
      <c r="J34">
        <v>100</v>
      </c>
      <c r="K34">
        <v>100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100</v>
      </c>
      <c r="AH34">
        <v>1</v>
      </c>
      <c r="AI34">
        <v>0</v>
      </c>
      <c r="AJ34">
        <v>0</v>
      </c>
      <c r="AK34">
        <v>100</v>
      </c>
      <c r="AL34">
        <v>0</v>
      </c>
      <c r="AM34">
        <v>0</v>
      </c>
      <c r="AN34">
        <v>0</v>
      </c>
      <c r="AO34">
        <v>0</v>
      </c>
      <c r="AP34">
        <v>70</v>
      </c>
      <c r="AT34" t="s">
        <v>88</v>
      </c>
      <c r="AV34" t="s">
        <v>89</v>
      </c>
    </row>
    <row r="35" spans="1:48" x14ac:dyDescent="0.4">
      <c r="A35">
        <v>1525002864</v>
      </c>
      <c r="B35">
        <v>1525002921</v>
      </c>
      <c r="C35" t="s">
        <v>154</v>
      </c>
      <c r="D35" t="s">
        <v>155</v>
      </c>
      <c r="E35" t="s">
        <v>28</v>
      </c>
      <c r="H35" t="s">
        <v>27</v>
      </c>
      <c r="I35" t="s">
        <v>87</v>
      </c>
      <c r="J35">
        <v>100</v>
      </c>
      <c r="K35">
        <v>100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100</v>
      </c>
      <c r="AH35">
        <v>1</v>
      </c>
      <c r="AI35">
        <v>0</v>
      </c>
      <c r="AJ35">
        <v>0</v>
      </c>
      <c r="AK35">
        <v>100</v>
      </c>
      <c r="AL35">
        <v>0</v>
      </c>
      <c r="AM35">
        <v>0</v>
      </c>
      <c r="AN35">
        <v>0</v>
      </c>
      <c r="AO35">
        <v>0</v>
      </c>
      <c r="AP35">
        <v>70</v>
      </c>
      <c r="AT35" t="s">
        <v>88</v>
      </c>
      <c r="AV35" t="s">
        <v>89</v>
      </c>
    </row>
    <row r="36" spans="1:48" x14ac:dyDescent="0.4">
      <c r="A36">
        <v>1525002864</v>
      </c>
      <c r="B36">
        <v>1525002922</v>
      </c>
      <c r="C36" t="s">
        <v>156</v>
      </c>
      <c r="D36" t="s">
        <v>157</v>
      </c>
      <c r="E36" t="s">
        <v>28</v>
      </c>
      <c r="H36" t="s">
        <v>27</v>
      </c>
      <c r="I36" t="s">
        <v>87</v>
      </c>
      <c r="J36">
        <v>100</v>
      </c>
      <c r="K36">
        <v>100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100</v>
      </c>
      <c r="AH36">
        <v>1</v>
      </c>
      <c r="AI36">
        <v>0</v>
      </c>
      <c r="AJ36">
        <v>0</v>
      </c>
      <c r="AK36">
        <v>100</v>
      </c>
      <c r="AL36">
        <v>0</v>
      </c>
      <c r="AM36">
        <v>0</v>
      </c>
      <c r="AN36">
        <v>0</v>
      </c>
      <c r="AO36">
        <v>0</v>
      </c>
      <c r="AP36">
        <v>70</v>
      </c>
      <c r="AT36" t="s">
        <v>88</v>
      </c>
      <c r="AV36" t="s">
        <v>89</v>
      </c>
    </row>
    <row r="37" spans="1:48" x14ac:dyDescent="0.4">
      <c r="A37">
        <v>1525002864</v>
      </c>
      <c r="B37">
        <v>1525002923</v>
      </c>
      <c r="C37" t="s">
        <v>158</v>
      </c>
      <c r="D37" t="s">
        <v>159</v>
      </c>
      <c r="E37" t="s">
        <v>28</v>
      </c>
      <c r="H37" t="s">
        <v>27</v>
      </c>
      <c r="I37" t="s">
        <v>87</v>
      </c>
      <c r="J37">
        <v>100</v>
      </c>
      <c r="K37">
        <v>100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100</v>
      </c>
      <c r="AH37">
        <v>1</v>
      </c>
      <c r="AI37">
        <v>0</v>
      </c>
      <c r="AJ37">
        <v>0</v>
      </c>
      <c r="AK37">
        <v>100</v>
      </c>
      <c r="AL37">
        <v>0</v>
      </c>
      <c r="AM37">
        <v>0</v>
      </c>
      <c r="AN37">
        <v>0</v>
      </c>
      <c r="AO37">
        <v>0</v>
      </c>
      <c r="AP37">
        <v>70</v>
      </c>
      <c r="AT37" t="s">
        <v>88</v>
      </c>
      <c r="AV37" t="s">
        <v>89</v>
      </c>
    </row>
    <row r="38" spans="1:48" x14ac:dyDescent="0.4">
      <c r="A38">
        <v>1525002864</v>
      </c>
      <c r="B38">
        <v>1525002924</v>
      </c>
      <c r="C38" t="s">
        <v>160</v>
      </c>
      <c r="D38" t="s">
        <v>161</v>
      </c>
      <c r="E38" t="s">
        <v>28</v>
      </c>
      <c r="H38" t="s">
        <v>27</v>
      </c>
      <c r="I38" t="s">
        <v>87</v>
      </c>
      <c r="J38">
        <v>100</v>
      </c>
      <c r="K38">
        <v>100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100</v>
      </c>
      <c r="AH38">
        <v>1</v>
      </c>
      <c r="AI38">
        <v>0</v>
      </c>
      <c r="AJ38">
        <v>0</v>
      </c>
      <c r="AK38">
        <v>100</v>
      </c>
      <c r="AL38">
        <v>0</v>
      </c>
      <c r="AM38">
        <v>0</v>
      </c>
      <c r="AN38">
        <v>0</v>
      </c>
      <c r="AO38">
        <v>0</v>
      </c>
      <c r="AP38">
        <v>70</v>
      </c>
      <c r="AT38" t="s">
        <v>88</v>
      </c>
      <c r="AV38" t="s">
        <v>89</v>
      </c>
    </row>
    <row r="39" spans="1:48" x14ac:dyDescent="0.4">
      <c r="A39">
        <v>1525002864</v>
      </c>
      <c r="B39">
        <v>1525002925</v>
      </c>
      <c r="C39" t="s">
        <v>162</v>
      </c>
      <c r="D39" t="s">
        <v>163</v>
      </c>
      <c r="E39" t="s">
        <v>28</v>
      </c>
      <c r="H39" t="s">
        <v>27</v>
      </c>
      <c r="I39" t="s">
        <v>87</v>
      </c>
      <c r="J39">
        <v>100</v>
      </c>
      <c r="K39">
        <v>100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100</v>
      </c>
      <c r="AH39">
        <v>1</v>
      </c>
      <c r="AI39">
        <v>0</v>
      </c>
      <c r="AJ39">
        <v>0</v>
      </c>
      <c r="AK39">
        <v>100</v>
      </c>
      <c r="AL39">
        <v>0</v>
      </c>
      <c r="AM39">
        <v>0</v>
      </c>
      <c r="AN39">
        <v>0</v>
      </c>
      <c r="AO39">
        <v>0</v>
      </c>
      <c r="AP39">
        <v>70</v>
      </c>
      <c r="AT39" t="s">
        <v>88</v>
      </c>
      <c r="AV39" t="s">
        <v>89</v>
      </c>
    </row>
    <row r="40" spans="1:48" x14ac:dyDescent="0.4">
      <c r="A40">
        <v>1525002864</v>
      </c>
      <c r="B40">
        <v>1525002926</v>
      </c>
      <c r="C40" t="s">
        <v>164</v>
      </c>
      <c r="D40" t="s">
        <v>165</v>
      </c>
      <c r="E40" t="s">
        <v>28</v>
      </c>
      <c r="H40" t="s">
        <v>27</v>
      </c>
      <c r="I40" t="s">
        <v>87</v>
      </c>
      <c r="J40">
        <v>100</v>
      </c>
      <c r="K40">
        <v>100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100</v>
      </c>
      <c r="AH40">
        <v>1</v>
      </c>
      <c r="AI40">
        <v>0</v>
      </c>
      <c r="AJ40">
        <v>0</v>
      </c>
      <c r="AK40">
        <v>100</v>
      </c>
      <c r="AL40">
        <v>0</v>
      </c>
      <c r="AM40">
        <v>0</v>
      </c>
      <c r="AN40">
        <v>0</v>
      </c>
      <c r="AO40">
        <v>0</v>
      </c>
      <c r="AP40">
        <v>70</v>
      </c>
      <c r="AT40" t="s">
        <v>88</v>
      </c>
      <c r="AV40" t="s">
        <v>89</v>
      </c>
    </row>
    <row r="41" spans="1:48" x14ac:dyDescent="0.4">
      <c r="A41">
        <v>1525002864</v>
      </c>
      <c r="B41">
        <v>1525002927</v>
      </c>
      <c r="C41" t="s">
        <v>166</v>
      </c>
      <c r="D41" t="s">
        <v>167</v>
      </c>
      <c r="E41" t="s">
        <v>28</v>
      </c>
      <c r="H41" t="s">
        <v>27</v>
      </c>
      <c r="I41" t="s">
        <v>87</v>
      </c>
      <c r="J41">
        <v>100</v>
      </c>
      <c r="K41">
        <v>100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100</v>
      </c>
      <c r="AH41">
        <v>1</v>
      </c>
      <c r="AI41">
        <v>0</v>
      </c>
      <c r="AJ41">
        <v>0</v>
      </c>
      <c r="AK41">
        <v>100</v>
      </c>
      <c r="AL41">
        <v>0</v>
      </c>
      <c r="AM41">
        <v>0</v>
      </c>
      <c r="AN41">
        <v>0</v>
      </c>
      <c r="AO41">
        <v>0</v>
      </c>
      <c r="AP41">
        <v>70</v>
      </c>
      <c r="AT41" t="s">
        <v>88</v>
      </c>
      <c r="AV41" t="s">
        <v>89</v>
      </c>
    </row>
    <row r="42" spans="1:48" x14ac:dyDescent="0.4">
      <c r="A42">
        <v>1525002864</v>
      </c>
      <c r="B42">
        <v>1525002928</v>
      </c>
      <c r="C42" t="s">
        <v>168</v>
      </c>
      <c r="D42" t="s">
        <v>169</v>
      </c>
      <c r="E42" t="s">
        <v>28</v>
      </c>
      <c r="H42" t="s">
        <v>27</v>
      </c>
      <c r="I42" t="s">
        <v>87</v>
      </c>
      <c r="J42">
        <v>100</v>
      </c>
      <c r="K42">
        <v>100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100</v>
      </c>
      <c r="AH42">
        <v>1</v>
      </c>
      <c r="AI42">
        <v>0</v>
      </c>
      <c r="AJ42">
        <v>0</v>
      </c>
      <c r="AK42">
        <v>100</v>
      </c>
      <c r="AL42">
        <v>0</v>
      </c>
      <c r="AM42">
        <v>0</v>
      </c>
      <c r="AN42">
        <v>0</v>
      </c>
      <c r="AO42">
        <v>0</v>
      </c>
      <c r="AP42">
        <v>70</v>
      </c>
      <c r="AT42" t="s">
        <v>88</v>
      </c>
      <c r="AV42" t="s">
        <v>89</v>
      </c>
    </row>
    <row r="43" spans="1:48" x14ac:dyDescent="0.4">
      <c r="A43">
        <v>1525002864</v>
      </c>
      <c r="B43">
        <v>1525002929</v>
      </c>
      <c r="C43" t="s">
        <v>170</v>
      </c>
      <c r="D43" t="s">
        <v>171</v>
      </c>
      <c r="E43" t="s">
        <v>28</v>
      </c>
      <c r="H43" t="s">
        <v>27</v>
      </c>
      <c r="I43" t="s">
        <v>87</v>
      </c>
      <c r="J43">
        <v>100</v>
      </c>
      <c r="K43">
        <v>100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100</v>
      </c>
      <c r="AH43">
        <v>1</v>
      </c>
      <c r="AI43">
        <v>0</v>
      </c>
      <c r="AJ43">
        <v>0</v>
      </c>
      <c r="AK43">
        <v>100</v>
      </c>
      <c r="AL43">
        <v>0</v>
      </c>
      <c r="AM43">
        <v>0</v>
      </c>
      <c r="AN43">
        <v>0</v>
      </c>
      <c r="AO43">
        <v>0</v>
      </c>
      <c r="AP43">
        <v>70</v>
      </c>
      <c r="AT43" t="s">
        <v>88</v>
      </c>
      <c r="AV43" t="s">
        <v>89</v>
      </c>
    </row>
    <row r="44" spans="1:48" x14ac:dyDescent="0.4">
      <c r="A44">
        <v>1525002864</v>
      </c>
      <c r="B44">
        <v>1525002930</v>
      </c>
      <c r="C44" t="s">
        <v>172</v>
      </c>
      <c r="D44" t="s">
        <v>173</v>
      </c>
      <c r="E44" t="s">
        <v>28</v>
      </c>
      <c r="H44" t="s">
        <v>27</v>
      </c>
      <c r="I44" t="s">
        <v>87</v>
      </c>
      <c r="J44">
        <v>100</v>
      </c>
      <c r="K44">
        <v>100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100</v>
      </c>
      <c r="AH44">
        <v>1</v>
      </c>
      <c r="AI44">
        <v>0</v>
      </c>
      <c r="AJ44">
        <v>0</v>
      </c>
      <c r="AK44">
        <v>100</v>
      </c>
      <c r="AL44">
        <v>0</v>
      </c>
      <c r="AM44">
        <v>0</v>
      </c>
      <c r="AN44">
        <v>0</v>
      </c>
      <c r="AO44">
        <v>0</v>
      </c>
      <c r="AP44">
        <v>70</v>
      </c>
      <c r="AT44" t="s">
        <v>88</v>
      </c>
      <c r="AV44" t="s">
        <v>89</v>
      </c>
    </row>
    <row r="45" spans="1:48" x14ac:dyDescent="0.4">
      <c r="A45">
        <v>1525002864</v>
      </c>
      <c r="B45">
        <v>1525002931</v>
      </c>
      <c r="C45" t="s">
        <v>174</v>
      </c>
      <c r="D45" t="s">
        <v>175</v>
      </c>
      <c r="E45" t="s">
        <v>28</v>
      </c>
      <c r="H45" t="s">
        <v>27</v>
      </c>
      <c r="I45" t="s">
        <v>87</v>
      </c>
      <c r="J45">
        <v>100</v>
      </c>
      <c r="K45">
        <v>100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100</v>
      </c>
      <c r="AH45">
        <v>1</v>
      </c>
      <c r="AI45">
        <v>0</v>
      </c>
      <c r="AJ45">
        <v>0</v>
      </c>
      <c r="AK45">
        <v>100</v>
      </c>
      <c r="AL45">
        <v>0</v>
      </c>
      <c r="AM45">
        <v>0</v>
      </c>
      <c r="AN45">
        <v>0</v>
      </c>
      <c r="AO45">
        <v>0</v>
      </c>
      <c r="AP45">
        <v>70</v>
      </c>
      <c r="AT45" t="s">
        <v>88</v>
      </c>
      <c r="AV45" t="s">
        <v>89</v>
      </c>
    </row>
    <row r="46" spans="1:48" x14ac:dyDescent="0.4">
      <c r="A46">
        <v>1525002864</v>
      </c>
      <c r="B46">
        <v>1525002932</v>
      </c>
      <c r="C46" t="s">
        <v>176</v>
      </c>
      <c r="D46" t="s">
        <v>177</v>
      </c>
      <c r="E46" t="s">
        <v>28</v>
      </c>
      <c r="H46" t="s">
        <v>27</v>
      </c>
      <c r="I46" t="s">
        <v>87</v>
      </c>
      <c r="J46">
        <v>100</v>
      </c>
      <c r="K46">
        <v>100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100</v>
      </c>
      <c r="AH46">
        <v>1</v>
      </c>
      <c r="AI46">
        <v>0</v>
      </c>
      <c r="AJ46">
        <v>0</v>
      </c>
      <c r="AK46">
        <v>100</v>
      </c>
      <c r="AL46">
        <v>0</v>
      </c>
      <c r="AM46">
        <v>0</v>
      </c>
      <c r="AN46">
        <v>0</v>
      </c>
      <c r="AO46">
        <v>0</v>
      </c>
      <c r="AP46">
        <v>70</v>
      </c>
      <c r="AT46" t="s">
        <v>88</v>
      </c>
      <c r="AV46" t="s">
        <v>89</v>
      </c>
    </row>
    <row r="47" spans="1:48" x14ac:dyDescent="0.4">
      <c r="A47">
        <v>1525002864</v>
      </c>
      <c r="B47">
        <v>1525002933</v>
      </c>
      <c r="C47" t="s">
        <v>178</v>
      </c>
      <c r="D47" t="s">
        <v>179</v>
      </c>
      <c r="E47" t="s">
        <v>28</v>
      </c>
      <c r="H47" t="s">
        <v>27</v>
      </c>
      <c r="I47" t="s">
        <v>87</v>
      </c>
      <c r="J47">
        <v>100</v>
      </c>
      <c r="K47">
        <v>100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100</v>
      </c>
      <c r="AH47">
        <v>1</v>
      </c>
      <c r="AI47">
        <v>0</v>
      </c>
      <c r="AJ47">
        <v>0</v>
      </c>
      <c r="AK47">
        <v>100</v>
      </c>
      <c r="AL47">
        <v>0</v>
      </c>
      <c r="AM47">
        <v>0</v>
      </c>
      <c r="AN47">
        <v>0</v>
      </c>
      <c r="AO47">
        <v>0</v>
      </c>
      <c r="AP47">
        <v>70</v>
      </c>
      <c r="AT47" t="s">
        <v>88</v>
      </c>
      <c r="AV47" t="s">
        <v>89</v>
      </c>
    </row>
    <row r="48" spans="1:48" x14ac:dyDescent="0.4">
      <c r="A48">
        <v>1525002864</v>
      </c>
      <c r="B48">
        <v>1525002934</v>
      </c>
      <c r="C48" t="s">
        <v>180</v>
      </c>
      <c r="D48" t="s">
        <v>181</v>
      </c>
      <c r="E48" t="s">
        <v>28</v>
      </c>
      <c r="H48" t="s">
        <v>27</v>
      </c>
      <c r="I48" t="s">
        <v>87</v>
      </c>
      <c r="J48">
        <v>100</v>
      </c>
      <c r="K48">
        <v>100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100</v>
      </c>
      <c r="AH48">
        <v>1</v>
      </c>
      <c r="AI48">
        <v>0</v>
      </c>
      <c r="AJ48">
        <v>0</v>
      </c>
      <c r="AK48">
        <v>100</v>
      </c>
      <c r="AL48">
        <v>0</v>
      </c>
      <c r="AM48">
        <v>0</v>
      </c>
      <c r="AN48">
        <v>0</v>
      </c>
      <c r="AO48">
        <v>0</v>
      </c>
      <c r="AP48">
        <v>70</v>
      </c>
      <c r="AT48" t="s">
        <v>88</v>
      </c>
      <c r="AV48" t="s">
        <v>89</v>
      </c>
    </row>
    <row r="49" spans="1:48" x14ac:dyDescent="0.4">
      <c r="A49">
        <v>1525002864</v>
      </c>
      <c r="B49">
        <v>1525002935</v>
      </c>
      <c r="C49" t="s">
        <v>182</v>
      </c>
      <c r="D49" t="s">
        <v>183</v>
      </c>
      <c r="E49" t="s">
        <v>28</v>
      </c>
      <c r="H49" t="s">
        <v>27</v>
      </c>
      <c r="I49" t="s">
        <v>87</v>
      </c>
      <c r="J49">
        <v>100</v>
      </c>
      <c r="K49">
        <v>100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100</v>
      </c>
      <c r="AH49">
        <v>1</v>
      </c>
      <c r="AI49">
        <v>0</v>
      </c>
      <c r="AJ49">
        <v>0</v>
      </c>
      <c r="AK49">
        <v>100</v>
      </c>
      <c r="AL49">
        <v>0</v>
      </c>
      <c r="AM49">
        <v>0</v>
      </c>
      <c r="AN49">
        <v>0</v>
      </c>
      <c r="AO49">
        <v>0</v>
      </c>
      <c r="AP49">
        <v>70</v>
      </c>
      <c r="AT49" t="s">
        <v>88</v>
      </c>
      <c r="AV49" t="s">
        <v>89</v>
      </c>
    </row>
    <row r="50" spans="1:48" x14ac:dyDescent="0.4">
      <c r="A50">
        <v>1525002864</v>
      </c>
      <c r="B50">
        <v>1525002936</v>
      </c>
      <c r="C50" t="s">
        <v>184</v>
      </c>
      <c r="D50" t="s">
        <v>185</v>
      </c>
      <c r="E50" t="s">
        <v>28</v>
      </c>
      <c r="H50" t="s">
        <v>27</v>
      </c>
      <c r="I50" t="s">
        <v>87</v>
      </c>
      <c r="J50">
        <v>100</v>
      </c>
      <c r="K50">
        <v>100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100</v>
      </c>
      <c r="AH50">
        <v>1</v>
      </c>
      <c r="AI50">
        <v>0</v>
      </c>
      <c r="AJ50">
        <v>0</v>
      </c>
      <c r="AK50">
        <v>100</v>
      </c>
      <c r="AL50">
        <v>0</v>
      </c>
      <c r="AM50">
        <v>0</v>
      </c>
      <c r="AN50">
        <v>0</v>
      </c>
      <c r="AO50">
        <v>0</v>
      </c>
      <c r="AP50">
        <v>70</v>
      </c>
      <c r="AT50" t="s">
        <v>88</v>
      </c>
      <c r="AV50" t="s">
        <v>89</v>
      </c>
    </row>
    <row r="51" spans="1:48" x14ac:dyDescent="0.4">
      <c r="A51">
        <v>1525002864</v>
      </c>
      <c r="B51">
        <v>1525002937</v>
      </c>
      <c r="C51" t="s">
        <v>186</v>
      </c>
      <c r="D51" t="s">
        <v>187</v>
      </c>
      <c r="E51" t="s">
        <v>28</v>
      </c>
      <c r="H51" t="s">
        <v>27</v>
      </c>
      <c r="I51" t="s">
        <v>87</v>
      </c>
      <c r="J51">
        <v>100</v>
      </c>
      <c r="K51">
        <v>100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100</v>
      </c>
      <c r="AH51">
        <v>1</v>
      </c>
      <c r="AI51">
        <v>0</v>
      </c>
      <c r="AJ51">
        <v>0</v>
      </c>
      <c r="AK51">
        <v>100</v>
      </c>
      <c r="AL51">
        <v>0</v>
      </c>
      <c r="AM51">
        <v>0</v>
      </c>
      <c r="AN51">
        <v>0</v>
      </c>
      <c r="AO51">
        <v>0</v>
      </c>
      <c r="AP51">
        <v>70</v>
      </c>
      <c r="AT51" t="s">
        <v>88</v>
      </c>
      <c r="AV51" t="s">
        <v>89</v>
      </c>
    </row>
    <row r="52" spans="1:48" x14ac:dyDescent="0.4">
      <c r="A52">
        <v>1525002864</v>
      </c>
      <c r="B52">
        <v>1525002938</v>
      </c>
      <c r="C52" t="s">
        <v>188</v>
      </c>
      <c r="D52" t="s">
        <v>189</v>
      </c>
      <c r="E52" t="s">
        <v>28</v>
      </c>
      <c r="H52" t="s">
        <v>27</v>
      </c>
      <c r="I52" t="s">
        <v>87</v>
      </c>
      <c r="J52">
        <v>100</v>
      </c>
      <c r="K52">
        <v>100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100</v>
      </c>
      <c r="AH52">
        <v>1</v>
      </c>
      <c r="AI52">
        <v>0</v>
      </c>
      <c r="AJ52">
        <v>0</v>
      </c>
      <c r="AK52">
        <v>100</v>
      </c>
      <c r="AL52">
        <v>0</v>
      </c>
      <c r="AM52">
        <v>0</v>
      </c>
      <c r="AN52">
        <v>0</v>
      </c>
      <c r="AO52">
        <v>0</v>
      </c>
      <c r="AP52">
        <v>70</v>
      </c>
      <c r="AT52" t="s">
        <v>88</v>
      </c>
      <c r="AV52" t="s">
        <v>89</v>
      </c>
    </row>
    <row r="53" spans="1:48" x14ac:dyDescent="0.4">
      <c r="A53">
        <v>1525002864</v>
      </c>
      <c r="B53">
        <v>1525002939</v>
      </c>
      <c r="C53" t="s">
        <v>190</v>
      </c>
      <c r="D53" t="s">
        <v>191</v>
      </c>
      <c r="E53" t="s">
        <v>28</v>
      </c>
      <c r="H53" t="s">
        <v>27</v>
      </c>
      <c r="I53" t="s">
        <v>87</v>
      </c>
      <c r="J53">
        <v>100</v>
      </c>
      <c r="K53">
        <v>100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100</v>
      </c>
      <c r="AH53">
        <v>1</v>
      </c>
      <c r="AI53">
        <v>0</v>
      </c>
      <c r="AJ53">
        <v>0</v>
      </c>
      <c r="AK53">
        <v>100</v>
      </c>
      <c r="AL53">
        <v>0</v>
      </c>
      <c r="AM53">
        <v>0</v>
      </c>
      <c r="AN53">
        <v>0</v>
      </c>
      <c r="AO53">
        <v>0</v>
      </c>
      <c r="AP53">
        <v>70</v>
      </c>
      <c r="AT53" t="s">
        <v>88</v>
      </c>
      <c r="AV53" t="s">
        <v>89</v>
      </c>
    </row>
    <row r="54" spans="1:48" x14ac:dyDescent="0.4">
      <c r="A54">
        <v>1525002864</v>
      </c>
      <c r="B54">
        <v>1525002940</v>
      </c>
      <c r="C54" t="s">
        <v>192</v>
      </c>
      <c r="D54" t="s">
        <v>193</v>
      </c>
      <c r="E54" t="s">
        <v>28</v>
      </c>
      <c r="H54" t="s">
        <v>27</v>
      </c>
      <c r="I54" t="s">
        <v>87</v>
      </c>
      <c r="J54">
        <v>100</v>
      </c>
      <c r="K54">
        <v>100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100</v>
      </c>
      <c r="AH54">
        <v>1</v>
      </c>
      <c r="AI54">
        <v>0</v>
      </c>
      <c r="AJ54">
        <v>0</v>
      </c>
      <c r="AK54">
        <v>100</v>
      </c>
      <c r="AL54">
        <v>0</v>
      </c>
      <c r="AM54">
        <v>0</v>
      </c>
      <c r="AN54">
        <v>0</v>
      </c>
      <c r="AO54">
        <v>0</v>
      </c>
      <c r="AP54">
        <v>70</v>
      </c>
      <c r="AT54" t="s">
        <v>88</v>
      </c>
      <c r="AV54" t="s">
        <v>89</v>
      </c>
    </row>
    <row r="55" spans="1:48" x14ac:dyDescent="0.4">
      <c r="A55">
        <v>1525002864</v>
      </c>
      <c r="B55">
        <v>1525002941</v>
      </c>
      <c r="C55" t="s">
        <v>194</v>
      </c>
      <c r="D55" t="s">
        <v>195</v>
      </c>
      <c r="E55" t="s">
        <v>28</v>
      </c>
      <c r="H55" t="s">
        <v>27</v>
      </c>
      <c r="I55" t="s">
        <v>87</v>
      </c>
      <c r="J55">
        <v>100</v>
      </c>
      <c r="K55">
        <v>100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100</v>
      </c>
      <c r="AH55">
        <v>1</v>
      </c>
      <c r="AI55">
        <v>0</v>
      </c>
      <c r="AJ55">
        <v>0</v>
      </c>
      <c r="AK55">
        <v>100</v>
      </c>
      <c r="AL55">
        <v>0</v>
      </c>
      <c r="AM55">
        <v>0</v>
      </c>
      <c r="AN55">
        <v>0</v>
      </c>
      <c r="AO55">
        <v>0</v>
      </c>
      <c r="AP55">
        <v>70</v>
      </c>
      <c r="AT55" t="s">
        <v>88</v>
      </c>
      <c r="AV55" t="s">
        <v>89</v>
      </c>
    </row>
    <row r="56" spans="1:48" x14ac:dyDescent="0.4">
      <c r="A56">
        <v>1525002864</v>
      </c>
      <c r="B56">
        <v>1525002942</v>
      </c>
      <c r="C56" t="s">
        <v>196</v>
      </c>
      <c r="D56" t="s">
        <v>197</v>
      </c>
      <c r="E56" t="s">
        <v>28</v>
      </c>
      <c r="H56" t="s">
        <v>27</v>
      </c>
      <c r="I56" t="s">
        <v>87</v>
      </c>
      <c r="J56">
        <v>100</v>
      </c>
      <c r="K56">
        <v>100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100</v>
      </c>
      <c r="AH56">
        <v>1</v>
      </c>
      <c r="AI56">
        <v>0</v>
      </c>
      <c r="AJ56">
        <v>0</v>
      </c>
      <c r="AK56">
        <v>100</v>
      </c>
      <c r="AL56">
        <v>0</v>
      </c>
      <c r="AM56">
        <v>0</v>
      </c>
      <c r="AN56">
        <v>0</v>
      </c>
      <c r="AO56">
        <v>0</v>
      </c>
      <c r="AP56">
        <v>70</v>
      </c>
      <c r="AT56" t="s">
        <v>88</v>
      </c>
      <c r="AV56" t="s">
        <v>89</v>
      </c>
    </row>
    <row r="57" spans="1:48" x14ac:dyDescent="0.4">
      <c r="A57">
        <v>1525002864</v>
      </c>
      <c r="B57">
        <v>1525002943</v>
      </c>
      <c r="C57" t="s">
        <v>198</v>
      </c>
      <c r="D57" t="s">
        <v>199</v>
      </c>
      <c r="E57" t="s">
        <v>28</v>
      </c>
      <c r="H57" t="s">
        <v>27</v>
      </c>
      <c r="I57" t="s">
        <v>87</v>
      </c>
      <c r="J57">
        <v>100</v>
      </c>
      <c r="K57">
        <v>100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100</v>
      </c>
      <c r="AH57">
        <v>1</v>
      </c>
      <c r="AI57">
        <v>0</v>
      </c>
      <c r="AJ57">
        <v>0</v>
      </c>
      <c r="AK57">
        <v>100</v>
      </c>
      <c r="AL57">
        <v>0</v>
      </c>
      <c r="AM57">
        <v>0</v>
      </c>
      <c r="AN57">
        <v>0</v>
      </c>
      <c r="AO57">
        <v>0</v>
      </c>
      <c r="AP57">
        <v>70</v>
      </c>
      <c r="AT57" t="s">
        <v>88</v>
      </c>
      <c r="AV57" t="s">
        <v>89</v>
      </c>
    </row>
    <row r="58" spans="1:48" x14ac:dyDescent="0.4">
      <c r="A58">
        <v>1525002864</v>
      </c>
      <c r="B58">
        <v>1525002944</v>
      </c>
      <c r="C58" t="s">
        <v>200</v>
      </c>
      <c r="D58" t="s">
        <v>201</v>
      </c>
      <c r="E58" t="s">
        <v>28</v>
      </c>
      <c r="H58" t="s">
        <v>27</v>
      </c>
      <c r="I58" t="s">
        <v>87</v>
      </c>
      <c r="J58">
        <v>100</v>
      </c>
      <c r="K58">
        <v>100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100</v>
      </c>
      <c r="AH58">
        <v>1</v>
      </c>
      <c r="AI58">
        <v>0</v>
      </c>
      <c r="AJ58">
        <v>0</v>
      </c>
      <c r="AK58">
        <v>100</v>
      </c>
      <c r="AL58">
        <v>0</v>
      </c>
      <c r="AM58">
        <v>0</v>
      </c>
      <c r="AN58">
        <v>0</v>
      </c>
      <c r="AO58">
        <v>0</v>
      </c>
      <c r="AP58">
        <v>70</v>
      </c>
      <c r="AT58" t="s">
        <v>88</v>
      </c>
      <c r="AV58" t="s">
        <v>89</v>
      </c>
    </row>
    <row r="59" spans="1:48" x14ac:dyDescent="0.4">
      <c r="A59">
        <v>1525002864</v>
      </c>
      <c r="B59">
        <v>1525002945</v>
      </c>
      <c r="C59" t="s">
        <v>202</v>
      </c>
      <c r="D59" t="s">
        <v>203</v>
      </c>
      <c r="E59" t="s">
        <v>28</v>
      </c>
      <c r="H59" t="s">
        <v>27</v>
      </c>
      <c r="I59" t="s">
        <v>87</v>
      </c>
      <c r="J59">
        <v>100</v>
      </c>
      <c r="K59">
        <v>100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100</v>
      </c>
      <c r="AH59">
        <v>1</v>
      </c>
      <c r="AI59">
        <v>0</v>
      </c>
      <c r="AJ59">
        <v>0</v>
      </c>
      <c r="AK59">
        <v>100</v>
      </c>
      <c r="AL59">
        <v>0</v>
      </c>
      <c r="AM59">
        <v>0</v>
      </c>
      <c r="AN59">
        <v>0</v>
      </c>
      <c r="AO59">
        <v>0</v>
      </c>
      <c r="AP59">
        <v>70</v>
      </c>
      <c r="AT59" t="s">
        <v>88</v>
      </c>
      <c r="AV59" t="s">
        <v>89</v>
      </c>
    </row>
    <row r="60" spans="1:48" x14ac:dyDescent="0.4">
      <c r="A60">
        <v>1525002864</v>
      </c>
      <c r="B60">
        <v>1525002946</v>
      </c>
      <c r="C60" t="s">
        <v>204</v>
      </c>
      <c r="D60" t="s">
        <v>205</v>
      </c>
      <c r="E60" t="s">
        <v>28</v>
      </c>
      <c r="H60" t="s">
        <v>27</v>
      </c>
      <c r="I60" t="s">
        <v>87</v>
      </c>
      <c r="J60">
        <v>100</v>
      </c>
      <c r="K60">
        <v>100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100</v>
      </c>
      <c r="AH60">
        <v>1</v>
      </c>
      <c r="AI60">
        <v>0</v>
      </c>
      <c r="AJ60">
        <v>0</v>
      </c>
      <c r="AK60">
        <v>100</v>
      </c>
      <c r="AL60">
        <v>0</v>
      </c>
      <c r="AM60">
        <v>0</v>
      </c>
      <c r="AN60">
        <v>0</v>
      </c>
      <c r="AO60">
        <v>0</v>
      </c>
      <c r="AP60">
        <v>70</v>
      </c>
      <c r="AT60" t="s">
        <v>88</v>
      </c>
      <c r="AV60" t="s">
        <v>89</v>
      </c>
    </row>
    <row r="61" spans="1:48" x14ac:dyDescent="0.4">
      <c r="A61">
        <v>1525002864</v>
      </c>
      <c r="B61">
        <v>1525002947</v>
      </c>
      <c r="C61" t="s">
        <v>206</v>
      </c>
      <c r="D61" t="s">
        <v>207</v>
      </c>
      <c r="E61" t="s">
        <v>28</v>
      </c>
      <c r="H61" t="s">
        <v>27</v>
      </c>
      <c r="I61" t="s">
        <v>87</v>
      </c>
      <c r="J61">
        <v>100</v>
      </c>
      <c r="K61">
        <v>100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100</v>
      </c>
      <c r="AH61">
        <v>1</v>
      </c>
      <c r="AI61">
        <v>0</v>
      </c>
      <c r="AJ61">
        <v>0</v>
      </c>
      <c r="AK61">
        <v>100</v>
      </c>
      <c r="AL61">
        <v>0</v>
      </c>
      <c r="AM61">
        <v>0</v>
      </c>
      <c r="AN61">
        <v>0</v>
      </c>
      <c r="AO61">
        <v>0</v>
      </c>
      <c r="AP61">
        <v>70</v>
      </c>
      <c r="AT61" t="s">
        <v>88</v>
      </c>
      <c r="AV61" t="s">
        <v>89</v>
      </c>
    </row>
    <row r="62" spans="1:48" x14ac:dyDescent="0.4">
      <c r="A62">
        <v>1525002864</v>
      </c>
      <c r="B62">
        <v>1525002948</v>
      </c>
      <c r="C62" t="s">
        <v>208</v>
      </c>
      <c r="D62" t="s">
        <v>209</v>
      </c>
      <c r="E62" t="s">
        <v>28</v>
      </c>
      <c r="H62" t="s">
        <v>27</v>
      </c>
      <c r="I62" t="s">
        <v>87</v>
      </c>
      <c r="J62">
        <v>100</v>
      </c>
      <c r="K62">
        <v>100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100</v>
      </c>
      <c r="AH62">
        <v>1</v>
      </c>
      <c r="AI62">
        <v>0</v>
      </c>
      <c r="AJ62">
        <v>0</v>
      </c>
      <c r="AK62">
        <v>100</v>
      </c>
      <c r="AL62">
        <v>0</v>
      </c>
      <c r="AM62">
        <v>0</v>
      </c>
      <c r="AN62">
        <v>0</v>
      </c>
      <c r="AO62">
        <v>0</v>
      </c>
      <c r="AP62">
        <v>70</v>
      </c>
      <c r="AT62" t="s">
        <v>88</v>
      </c>
      <c r="AV62" t="s">
        <v>89</v>
      </c>
    </row>
    <row r="63" spans="1:48" x14ac:dyDescent="0.4">
      <c r="A63">
        <v>1525002864</v>
      </c>
      <c r="B63">
        <v>1525002949</v>
      </c>
      <c r="C63" t="s">
        <v>210</v>
      </c>
      <c r="D63" t="s">
        <v>211</v>
      </c>
      <c r="E63" t="s">
        <v>28</v>
      </c>
      <c r="H63" t="s">
        <v>27</v>
      </c>
      <c r="I63" t="s">
        <v>87</v>
      </c>
      <c r="J63">
        <v>100</v>
      </c>
      <c r="K63">
        <v>100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100</v>
      </c>
      <c r="AH63">
        <v>1</v>
      </c>
      <c r="AI63">
        <v>0</v>
      </c>
      <c r="AJ63">
        <v>0</v>
      </c>
      <c r="AK63">
        <v>100</v>
      </c>
      <c r="AL63">
        <v>0</v>
      </c>
      <c r="AM63">
        <v>0</v>
      </c>
      <c r="AN63">
        <v>0</v>
      </c>
      <c r="AO63">
        <v>0</v>
      </c>
      <c r="AP63">
        <v>70</v>
      </c>
      <c r="AT63" t="s">
        <v>88</v>
      </c>
      <c r="AV63" t="s">
        <v>89</v>
      </c>
    </row>
    <row r="64" spans="1:48" x14ac:dyDescent="0.4">
      <c r="A64">
        <v>1525002864</v>
      </c>
      <c r="B64">
        <v>1525002950</v>
      </c>
      <c r="C64" t="s">
        <v>212</v>
      </c>
      <c r="D64" t="s">
        <v>213</v>
      </c>
      <c r="E64" t="s">
        <v>28</v>
      </c>
      <c r="H64" t="s">
        <v>27</v>
      </c>
      <c r="I64" t="s">
        <v>87</v>
      </c>
      <c r="J64">
        <v>100</v>
      </c>
      <c r="K64">
        <v>100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100</v>
      </c>
      <c r="AH64">
        <v>1</v>
      </c>
      <c r="AI64">
        <v>0</v>
      </c>
      <c r="AJ64">
        <v>0</v>
      </c>
      <c r="AK64">
        <v>100</v>
      </c>
      <c r="AL64">
        <v>0</v>
      </c>
      <c r="AM64">
        <v>0</v>
      </c>
      <c r="AN64">
        <v>0</v>
      </c>
      <c r="AO64">
        <v>0</v>
      </c>
      <c r="AP64">
        <v>70</v>
      </c>
      <c r="AT64" t="s">
        <v>88</v>
      </c>
      <c r="AV64" t="s">
        <v>89</v>
      </c>
    </row>
    <row r="65" spans="1:48" x14ac:dyDescent="0.4">
      <c r="A65">
        <v>1525002864</v>
      </c>
      <c r="B65">
        <v>1525002951</v>
      </c>
      <c r="C65" t="s">
        <v>214</v>
      </c>
      <c r="D65" t="s">
        <v>215</v>
      </c>
      <c r="E65" t="s">
        <v>28</v>
      </c>
      <c r="H65" t="s">
        <v>27</v>
      </c>
      <c r="I65" t="s">
        <v>87</v>
      </c>
      <c r="J65">
        <v>100</v>
      </c>
      <c r="K65">
        <v>100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100</v>
      </c>
      <c r="AH65">
        <v>1</v>
      </c>
      <c r="AI65">
        <v>0</v>
      </c>
      <c r="AJ65">
        <v>0</v>
      </c>
      <c r="AK65">
        <v>100</v>
      </c>
      <c r="AL65">
        <v>0</v>
      </c>
      <c r="AM65">
        <v>0</v>
      </c>
      <c r="AN65">
        <v>0</v>
      </c>
      <c r="AO65">
        <v>0</v>
      </c>
      <c r="AP65">
        <v>70</v>
      </c>
      <c r="AT65" t="s">
        <v>88</v>
      </c>
      <c r="AV65" t="s">
        <v>89</v>
      </c>
    </row>
    <row r="66" spans="1:48" x14ac:dyDescent="0.4">
      <c r="A66">
        <v>1525002864</v>
      </c>
      <c r="B66">
        <v>1525002952</v>
      </c>
      <c r="C66" t="s">
        <v>216</v>
      </c>
      <c r="D66" t="s">
        <v>217</v>
      </c>
      <c r="E66" t="s">
        <v>28</v>
      </c>
      <c r="H66" t="s">
        <v>27</v>
      </c>
      <c r="I66" t="s">
        <v>87</v>
      </c>
      <c r="J66">
        <v>100</v>
      </c>
      <c r="K66">
        <v>100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100</v>
      </c>
      <c r="AH66">
        <v>1</v>
      </c>
      <c r="AI66">
        <v>0</v>
      </c>
      <c r="AJ66">
        <v>0</v>
      </c>
      <c r="AK66">
        <v>100</v>
      </c>
      <c r="AL66">
        <v>0</v>
      </c>
      <c r="AM66">
        <v>0</v>
      </c>
      <c r="AN66">
        <v>0</v>
      </c>
      <c r="AO66">
        <v>0</v>
      </c>
      <c r="AP66">
        <v>70</v>
      </c>
      <c r="AT66" t="s">
        <v>88</v>
      </c>
      <c r="AV66" t="s">
        <v>89</v>
      </c>
    </row>
    <row r="67" spans="1:48" x14ac:dyDescent="0.4">
      <c r="A67">
        <v>1525002864</v>
      </c>
      <c r="B67">
        <v>1525002953</v>
      </c>
      <c r="C67" t="s">
        <v>218</v>
      </c>
      <c r="D67" t="s">
        <v>219</v>
      </c>
      <c r="E67" t="s">
        <v>28</v>
      </c>
      <c r="H67" t="s">
        <v>27</v>
      </c>
      <c r="I67" t="s">
        <v>87</v>
      </c>
      <c r="J67">
        <v>100</v>
      </c>
      <c r="K67">
        <v>100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100</v>
      </c>
      <c r="AH67">
        <v>1</v>
      </c>
      <c r="AI67">
        <v>0</v>
      </c>
      <c r="AJ67">
        <v>0</v>
      </c>
      <c r="AK67">
        <v>100</v>
      </c>
      <c r="AL67">
        <v>0</v>
      </c>
      <c r="AM67">
        <v>0</v>
      </c>
      <c r="AN67">
        <v>0</v>
      </c>
      <c r="AO67">
        <v>0</v>
      </c>
      <c r="AP67">
        <v>70</v>
      </c>
      <c r="AT67" t="s">
        <v>88</v>
      </c>
      <c r="AV67" t="s">
        <v>89</v>
      </c>
    </row>
    <row r="68" spans="1:48" x14ac:dyDescent="0.4">
      <c r="A68">
        <v>1525002864</v>
      </c>
      <c r="B68">
        <v>1525002954</v>
      </c>
      <c r="C68" t="s">
        <v>220</v>
      </c>
      <c r="D68" t="s">
        <v>221</v>
      </c>
      <c r="E68" t="s">
        <v>28</v>
      </c>
      <c r="H68" t="s">
        <v>27</v>
      </c>
      <c r="I68" t="s">
        <v>87</v>
      </c>
      <c r="J68">
        <v>100</v>
      </c>
      <c r="K68">
        <v>100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100</v>
      </c>
      <c r="AH68">
        <v>1</v>
      </c>
      <c r="AI68">
        <v>0</v>
      </c>
      <c r="AJ68">
        <v>0</v>
      </c>
      <c r="AK68">
        <v>100</v>
      </c>
      <c r="AL68">
        <v>0</v>
      </c>
      <c r="AM68">
        <v>0</v>
      </c>
      <c r="AN68">
        <v>0</v>
      </c>
      <c r="AO68">
        <v>0</v>
      </c>
      <c r="AP68">
        <v>70</v>
      </c>
      <c r="AT68" t="s">
        <v>88</v>
      </c>
      <c r="AV68" t="s">
        <v>89</v>
      </c>
    </row>
    <row r="69" spans="1:48" x14ac:dyDescent="0.4">
      <c r="A69">
        <v>1525002864</v>
      </c>
      <c r="B69">
        <v>1525002955</v>
      </c>
      <c r="C69" t="s">
        <v>222</v>
      </c>
      <c r="D69" t="s">
        <v>223</v>
      </c>
      <c r="E69" t="s">
        <v>28</v>
      </c>
      <c r="H69" t="s">
        <v>27</v>
      </c>
      <c r="I69" t="s">
        <v>87</v>
      </c>
      <c r="J69">
        <v>100</v>
      </c>
      <c r="K69">
        <v>100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100</v>
      </c>
      <c r="AH69">
        <v>1</v>
      </c>
      <c r="AI69">
        <v>0</v>
      </c>
      <c r="AJ69">
        <v>0</v>
      </c>
      <c r="AK69">
        <v>100</v>
      </c>
      <c r="AL69">
        <v>0</v>
      </c>
      <c r="AM69">
        <v>0</v>
      </c>
      <c r="AN69">
        <v>0</v>
      </c>
      <c r="AO69">
        <v>0</v>
      </c>
      <c r="AP69">
        <v>70</v>
      </c>
      <c r="AT69" t="s">
        <v>88</v>
      </c>
      <c r="AV69" t="s">
        <v>89</v>
      </c>
    </row>
    <row r="70" spans="1:48" x14ac:dyDescent="0.4">
      <c r="A70">
        <v>1525002864</v>
      </c>
      <c r="B70">
        <v>1525002956</v>
      </c>
      <c r="C70" t="s">
        <v>224</v>
      </c>
      <c r="D70" t="s">
        <v>225</v>
      </c>
      <c r="E70" t="s">
        <v>28</v>
      </c>
      <c r="H70" t="s">
        <v>27</v>
      </c>
      <c r="I70" t="s">
        <v>87</v>
      </c>
      <c r="J70">
        <v>100</v>
      </c>
      <c r="K70">
        <v>100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100</v>
      </c>
      <c r="AH70">
        <v>1</v>
      </c>
      <c r="AI70">
        <v>0</v>
      </c>
      <c r="AJ70">
        <v>0</v>
      </c>
      <c r="AK70">
        <v>100</v>
      </c>
      <c r="AL70">
        <v>0</v>
      </c>
      <c r="AM70">
        <v>0</v>
      </c>
      <c r="AN70">
        <v>0</v>
      </c>
      <c r="AO70">
        <v>0</v>
      </c>
      <c r="AP70">
        <v>70</v>
      </c>
      <c r="AT70" t="s">
        <v>88</v>
      </c>
      <c r="AV70" t="s">
        <v>89</v>
      </c>
    </row>
    <row r="71" spans="1:48" x14ac:dyDescent="0.4">
      <c r="A71">
        <v>1525002864</v>
      </c>
      <c r="B71">
        <v>1525002957</v>
      </c>
      <c r="C71" t="s">
        <v>226</v>
      </c>
      <c r="D71" t="s">
        <v>227</v>
      </c>
      <c r="E71" t="s">
        <v>28</v>
      </c>
      <c r="H71" t="s">
        <v>27</v>
      </c>
      <c r="I71" t="s">
        <v>87</v>
      </c>
      <c r="J71">
        <v>100</v>
      </c>
      <c r="K71">
        <v>100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100</v>
      </c>
      <c r="AH71">
        <v>1</v>
      </c>
      <c r="AI71">
        <v>0</v>
      </c>
      <c r="AJ71">
        <v>0</v>
      </c>
      <c r="AK71">
        <v>100</v>
      </c>
      <c r="AL71">
        <v>0</v>
      </c>
      <c r="AM71">
        <v>0</v>
      </c>
      <c r="AN71">
        <v>0</v>
      </c>
      <c r="AO71">
        <v>0</v>
      </c>
      <c r="AP71">
        <v>70</v>
      </c>
      <c r="AT71" t="s">
        <v>88</v>
      </c>
      <c r="AV71" t="s">
        <v>89</v>
      </c>
    </row>
    <row r="72" spans="1:48" x14ac:dyDescent="0.4">
      <c r="A72">
        <v>1525002864</v>
      </c>
      <c r="B72">
        <v>1525002958</v>
      </c>
      <c r="C72" t="s">
        <v>228</v>
      </c>
      <c r="D72" t="s">
        <v>229</v>
      </c>
      <c r="E72" t="s">
        <v>28</v>
      </c>
      <c r="H72" t="s">
        <v>27</v>
      </c>
      <c r="I72" t="s">
        <v>87</v>
      </c>
      <c r="J72">
        <v>100</v>
      </c>
      <c r="K72">
        <v>100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100</v>
      </c>
      <c r="AH72">
        <v>1</v>
      </c>
      <c r="AI72">
        <v>0</v>
      </c>
      <c r="AJ72">
        <v>0</v>
      </c>
      <c r="AK72">
        <v>100</v>
      </c>
      <c r="AL72">
        <v>0</v>
      </c>
      <c r="AM72">
        <v>0</v>
      </c>
      <c r="AN72">
        <v>0</v>
      </c>
      <c r="AO72">
        <v>0</v>
      </c>
      <c r="AP72">
        <v>70</v>
      </c>
      <c r="AT72" t="s">
        <v>88</v>
      </c>
      <c r="AV72" t="s">
        <v>89</v>
      </c>
    </row>
    <row r="73" spans="1:48" x14ac:dyDescent="0.4">
      <c r="A73">
        <v>1525002864</v>
      </c>
      <c r="B73">
        <v>1525002959</v>
      </c>
      <c r="C73" t="s">
        <v>230</v>
      </c>
      <c r="D73" t="s">
        <v>231</v>
      </c>
      <c r="E73" t="s">
        <v>28</v>
      </c>
      <c r="H73" t="s">
        <v>27</v>
      </c>
      <c r="I73" t="s">
        <v>87</v>
      </c>
      <c r="J73">
        <v>100</v>
      </c>
      <c r="K73">
        <v>100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100</v>
      </c>
      <c r="AH73">
        <v>1</v>
      </c>
      <c r="AI73">
        <v>0</v>
      </c>
      <c r="AJ73">
        <v>0</v>
      </c>
      <c r="AK73">
        <v>100</v>
      </c>
      <c r="AL73">
        <v>0</v>
      </c>
      <c r="AM73">
        <v>0</v>
      </c>
      <c r="AN73">
        <v>0</v>
      </c>
      <c r="AO73">
        <v>0</v>
      </c>
      <c r="AP73">
        <v>70</v>
      </c>
      <c r="AT73" t="s">
        <v>88</v>
      </c>
      <c r="AV73" t="s">
        <v>89</v>
      </c>
    </row>
    <row r="74" spans="1:48" x14ac:dyDescent="0.4">
      <c r="A74">
        <v>1525002864</v>
      </c>
      <c r="B74">
        <v>1525002960</v>
      </c>
      <c r="C74" t="s">
        <v>232</v>
      </c>
      <c r="D74" t="s">
        <v>233</v>
      </c>
      <c r="E74" t="s">
        <v>28</v>
      </c>
      <c r="H74" t="s">
        <v>27</v>
      </c>
      <c r="I74" t="s">
        <v>87</v>
      </c>
      <c r="J74">
        <v>100</v>
      </c>
      <c r="K74">
        <v>100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100</v>
      </c>
      <c r="AH74">
        <v>1</v>
      </c>
      <c r="AI74">
        <v>0</v>
      </c>
      <c r="AJ74">
        <v>0</v>
      </c>
      <c r="AK74">
        <v>100</v>
      </c>
      <c r="AL74">
        <v>0</v>
      </c>
      <c r="AM74">
        <v>0</v>
      </c>
      <c r="AN74">
        <v>0</v>
      </c>
      <c r="AO74">
        <v>0</v>
      </c>
      <c r="AP74">
        <v>70</v>
      </c>
      <c r="AT74" t="s">
        <v>88</v>
      </c>
      <c r="AV74" t="s">
        <v>89</v>
      </c>
    </row>
    <row r="75" spans="1:48" x14ac:dyDescent="0.4">
      <c r="A75">
        <v>1525002864</v>
      </c>
      <c r="B75">
        <v>1525002961</v>
      </c>
      <c r="C75" t="s">
        <v>234</v>
      </c>
      <c r="D75" t="s">
        <v>235</v>
      </c>
      <c r="E75" t="s">
        <v>28</v>
      </c>
      <c r="H75" t="s">
        <v>27</v>
      </c>
      <c r="I75" t="s">
        <v>87</v>
      </c>
      <c r="J75">
        <v>100</v>
      </c>
      <c r="K75">
        <v>100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100</v>
      </c>
      <c r="AH75">
        <v>1</v>
      </c>
      <c r="AI75">
        <v>0</v>
      </c>
      <c r="AJ75">
        <v>0</v>
      </c>
      <c r="AK75">
        <v>100</v>
      </c>
      <c r="AL75">
        <v>0</v>
      </c>
      <c r="AM75">
        <v>0</v>
      </c>
      <c r="AN75">
        <v>0</v>
      </c>
      <c r="AO75">
        <v>0</v>
      </c>
      <c r="AP75">
        <v>70</v>
      </c>
      <c r="AT75" t="s">
        <v>88</v>
      </c>
      <c r="AV75" t="s">
        <v>89</v>
      </c>
    </row>
    <row r="76" spans="1:48" x14ac:dyDescent="0.4">
      <c r="A76">
        <v>1525002864</v>
      </c>
      <c r="B76">
        <v>1525002864</v>
      </c>
      <c r="C76" t="s">
        <v>236</v>
      </c>
      <c r="D76" t="s">
        <v>237</v>
      </c>
      <c r="E76" t="s">
        <v>28</v>
      </c>
      <c r="H76" t="s">
        <v>27</v>
      </c>
      <c r="I76" t="s">
        <v>87</v>
      </c>
      <c r="J76">
        <v>0</v>
      </c>
      <c r="K76">
        <v>0</v>
      </c>
      <c r="L76">
        <v>0</v>
      </c>
      <c r="M76">
        <v>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6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T76" t="s">
        <v>88</v>
      </c>
      <c r="AV76" t="s">
        <v>89</v>
      </c>
    </row>
    <row r="77" spans="1:48" x14ac:dyDescent="0.4">
      <c r="A77">
        <v>1525002864</v>
      </c>
      <c r="B77">
        <v>1525002865</v>
      </c>
      <c r="C77" t="s">
        <v>238</v>
      </c>
      <c r="D77" t="s">
        <v>239</v>
      </c>
      <c r="E77" t="s">
        <v>28</v>
      </c>
      <c r="H77" t="s">
        <v>27</v>
      </c>
      <c r="I77" t="s">
        <v>87</v>
      </c>
      <c r="J77">
        <v>0</v>
      </c>
      <c r="K77">
        <v>0</v>
      </c>
      <c r="L77">
        <v>0</v>
      </c>
      <c r="M77">
        <v>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7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T77" t="s">
        <v>88</v>
      </c>
      <c r="AV77" t="s">
        <v>89</v>
      </c>
    </row>
    <row r="78" spans="1:48" x14ac:dyDescent="0.4">
      <c r="A78">
        <v>1525002864</v>
      </c>
      <c r="B78">
        <v>1525002866</v>
      </c>
      <c r="C78" t="s">
        <v>240</v>
      </c>
      <c r="D78" t="s">
        <v>241</v>
      </c>
      <c r="E78" t="s">
        <v>28</v>
      </c>
      <c r="H78" t="s">
        <v>27</v>
      </c>
      <c r="I78" t="s">
        <v>87</v>
      </c>
      <c r="J78">
        <v>0</v>
      </c>
      <c r="K78">
        <v>0</v>
      </c>
      <c r="L78">
        <v>0</v>
      </c>
      <c r="M78">
        <v>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6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T78" t="s">
        <v>88</v>
      </c>
      <c r="AV78" t="s">
        <v>89</v>
      </c>
    </row>
    <row r="79" spans="1:48" x14ac:dyDescent="0.4">
      <c r="A79">
        <v>1525002864</v>
      </c>
      <c r="B79">
        <v>1525002867</v>
      </c>
      <c r="C79" t="s">
        <v>242</v>
      </c>
      <c r="D79" t="s">
        <v>243</v>
      </c>
      <c r="E79" t="s">
        <v>28</v>
      </c>
      <c r="H79" t="s">
        <v>27</v>
      </c>
      <c r="I79" t="s">
        <v>87</v>
      </c>
      <c r="J79">
        <v>0</v>
      </c>
      <c r="K79">
        <v>0</v>
      </c>
      <c r="L79">
        <v>0</v>
      </c>
      <c r="M79">
        <v>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5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T79" t="s">
        <v>88</v>
      </c>
      <c r="AV79" t="s">
        <v>89</v>
      </c>
    </row>
    <row r="80" spans="1:48" x14ac:dyDescent="0.4">
      <c r="A80">
        <v>1525002864</v>
      </c>
      <c r="B80">
        <v>1525002868</v>
      </c>
      <c r="C80" t="s">
        <v>244</v>
      </c>
      <c r="D80" t="s">
        <v>245</v>
      </c>
      <c r="E80" t="s">
        <v>28</v>
      </c>
      <c r="H80" t="s">
        <v>27</v>
      </c>
      <c r="I80" t="s">
        <v>87</v>
      </c>
      <c r="J80">
        <v>0</v>
      </c>
      <c r="K80">
        <v>0</v>
      </c>
      <c r="L80">
        <v>0</v>
      </c>
      <c r="M80">
        <v>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6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T80" t="s">
        <v>88</v>
      </c>
      <c r="AV80" t="s">
        <v>89</v>
      </c>
    </row>
    <row r="81" spans="1:48" x14ac:dyDescent="0.4">
      <c r="A81">
        <v>1525002864</v>
      </c>
      <c r="B81">
        <v>1525002869</v>
      </c>
      <c r="C81" t="s">
        <v>246</v>
      </c>
      <c r="D81" t="s">
        <v>247</v>
      </c>
      <c r="E81" t="s">
        <v>28</v>
      </c>
      <c r="H81" t="s">
        <v>27</v>
      </c>
      <c r="I81" t="s">
        <v>87</v>
      </c>
      <c r="J81">
        <v>0</v>
      </c>
      <c r="K81">
        <v>0</v>
      </c>
      <c r="L81">
        <v>0</v>
      </c>
      <c r="M81">
        <v>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6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T81" t="s">
        <v>88</v>
      </c>
      <c r="AV81" t="s">
        <v>89</v>
      </c>
    </row>
    <row r="82" spans="1:48" x14ac:dyDescent="0.4">
      <c r="A82">
        <v>1525002864</v>
      </c>
      <c r="B82">
        <v>1525002870</v>
      </c>
      <c r="C82" t="s">
        <v>248</v>
      </c>
      <c r="D82" t="s">
        <v>249</v>
      </c>
      <c r="E82" t="s">
        <v>28</v>
      </c>
      <c r="H82" t="s">
        <v>27</v>
      </c>
      <c r="I82" t="s">
        <v>87</v>
      </c>
      <c r="J82">
        <v>0</v>
      </c>
      <c r="K82">
        <v>0</v>
      </c>
      <c r="L82">
        <v>0</v>
      </c>
      <c r="M82">
        <v>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6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T82" t="s">
        <v>88</v>
      </c>
      <c r="AV82" t="s">
        <v>89</v>
      </c>
    </row>
    <row r="83" spans="1:48" x14ac:dyDescent="0.4">
      <c r="A83">
        <v>1525002864</v>
      </c>
      <c r="B83">
        <v>1525002871</v>
      </c>
      <c r="C83" t="s">
        <v>250</v>
      </c>
      <c r="D83" t="s">
        <v>251</v>
      </c>
      <c r="E83" t="s">
        <v>28</v>
      </c>
      <c r="H83" t="s">
        <v>27</v>
      </c>
      <c r="I83" t="s">
        <v>87</v>
      </c>
      <c r="J83">
        <v>0</v>
      </c>
      <c r="K83">
        <v>0</v>
      </c>
      <c r="L83">
        <v>0</v>
      </c>
      <c r="M83">
        <v>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6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T83" t="s">
        <v>88</v>
      </c>
      <c r="AV83" t="s">
        <v>89</v>
      </c>
    </row>
    <row r="84" spans="1:48" x14ac:dyDescent="0.4">
      <c r="A84">
        <v>1525002864</v>
      </c>
      <c r="B84">
        <v>1525002872</v>
      </c>
      <c r="C84" t="s">
        <v>252</v>
      </c>
      <c r="D84" t="s">
        <v>253</v>
      </c>
      <c r="E84" t="s">
        <v>28</v>
      </c>
      <c r="H84" t="s">
        <v>27</v>
      </c>
      <c r="I84" t="s">
        <v>87</v>
      </c>
      <c r="J84">
        <v>0</v>
      </c>
      <c r="K84">
        <v>0</v>
      </c>
      <c r="L84">
        <v>0</v>
      </c>
      <c r="M84">
        <v>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6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T84" t="s">
        <v>88</v>
      </c>
      <c r="AV84" t="s">
        <v>89</v>
      </c>
    </row>
    <row r="85" spans="1:48" x14ac:dyDescent="0.4">
      <c r="A85">
        <v>1525002864</v>
      </c>
      <c r="B85">
        <v>1525002873</v>
      </c>
      <c r="C85" t="s">
        <v>254</v>
      </c>
      <c r="D85" t="s">
        <v>255</v>
      </c>
      <c r="E85" t="s">
        <v>28</v>
      </c>
      <c r="H85" t="s">
        <v>27</v>
      </c>
      <c r="I85" t="s">
        <v>87</v>
      </c>
      <c r="J85">
        <v>0</v>
      </c>
      <c r="K85">
        <v>0</v>
      </c>
      <c r="L85">
        <v>0</v>
      </c>
      <c r="M85">
        <v>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6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T85" t="s">
        <v>88</v>
      </c>
      <c r="AV85" t="s">
        <v>89</v>
      </c>
    </row>
    <row r="86" spans="1:48" x14ac:dyDescent="0.4">
      <c r="A86">
        <v>1525002864</v>
      </c>
      <c r="B86">
        <v>1525002874</v>
      </c>
      <c r="C86" t="s">
        <v>256</v>
      </c>
      <c r="D86" t="s">
        <v>257</v>
      </c>
      <c r="E86" t="s">
        <v>28</v>
      </c>
      <c r="H86" t="s">
        <v>27</v>
      </c>
      <c r="I86" t="s">
        <v>87</v>
      </c>
      <c r="J86">
        <v>0</v>
      </c>
      <c r="K86">
        <v>0</v>
      </c>
      <c r="L86">
        <v>0</v>
      </c>
      <c r="M86">
        <v>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6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T86" t="s">
        <v>88</v>
      </c>
      <c r="AV86" t="s">
        <v>89</v>
      </c>
    </row>
    <row r="87" spans="1:48" x14ac:dyDescent="0.4">
      <c r="A87">
        <v>1525002864</v>
      </c>
      <c r="B87">
        <v>1525002875</v>
      </c>
      <c r="C87" t="s">
        <v>258</v>
      </c>
      <c r="D87" t="s">
        <v>259</v>
      </c>
      <c r="E87" t="s">
        <v>28</v>
      </c>
      <c r="H87" t="s">
        <v>27</v>
      </c>
      <c r="I87" t="s">
        <v>87</v>
      </c>
      <c r="J87">
        <v>0</v>
      </c>
      <c r="K87">
        <v>0</v>
      </c>
      <c r="L87">
        <v>0</v>
      </c>
      <c r="M87">
        <v>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7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T87" t="s">
        <v>88</v>
      </c>
      <c r="AV87" t="s">
        <v>89</v>
      </c>
    </row>
    <row r="88" spans="1:48" x14ac:dyDescent="0.4">
      <c r="A88">
        <v>1525002864</v>
      </c>
      <c r="B88">
        <v>1525002876</v>
      </c>
      <c r="C88" t="s">
        <v>260</v>
      </c>
      <c r="D88" t="s">
        <v>261</v>
      </c>
      <c r="E88" t="s">
        <v>28</v>
      </c>
      <c r="H88" t="s">
        <v>27</v>
      </c>
      <c r="I88" t="s">
        <v>87</v>
      </c>
      <c r="J88">
        <v>0</v>
      </c>
      <c r="K88">
        <v>0</v>
      </c>
      <c r="L88">
        <v>0</v>
      </c>
      <c r="M88">
        <v>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6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T88" t="s">
        <v>88</v>
      </c>
      <c r="AV88" t="s">
        <v>89</v>
      </c>
    </row>
    <row r="89" spans="1:48" x14ac:dyDescent="0.4">
      <c r="A89">
        <v>1525002864</v>
      </c>
      <c r="B89">
        <v>1525002877</v>
      </c>
      <c r="C89" t="s">
        <v>262</v>
      </c>
      <c r="D89" t="s">
        <v>263</v>
      </c>
      <c r="E89" t="s">
        <v>28</v>
      </c>
      <c r="H89" t="s">
        <v>27</v>
      </c>
      <c r="I89" t="s">
        <v>87</v>
      </c>
      <c r="J89">
        <v>0</v>
      </c>
      <c r="K89">
        <v>0</v>
      </c>
      <c r="L89">
        <v>0</v>
      </c>
      <c r="M89">
        <v>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6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T89" t="s">
        <v>88</v>
      </c>
      <c r="AV89" t="s">
        <v>89</v>
      </c>
    </row>
    <row r="90" spans="1:48" x14ac:dyDescent="0.4">
      <c r="A90">
        <v>1525002864</v>
      </c>
      <c r="B90">
        <v>1525002878</v>
      </c>
      <c r="C90" t="s">
        <v>264</v>
      </c>
      <c r="D90" t="s">
        <v>265</v>
      </c>
      <c r="E90" t="s">
        <v>28</v>
      </c>
      <c r="H90" t="s">
        <v>27</v>
      </c>
      <c r="I90" t="s">
        <v>87</v>
      </c>
      <c r="J90">
        <v>0</v>
      </c>
      <c r="K90">
        <v>0</v>
      </c>
      <c r="L90">
        <v>0</v>
      </c>
      <c r="M90">
        <v>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6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T90" t="s">
        <v>88</v>
      </c>
      <c r="AV90" t="s">
        <v>89</v>
      </c>
    </row>
    <row r="91" spans="1:48" x14ac:dyDescent="0.4">
      <c r="A91">
        <v>1525002864</v>
      </c>
      <c r="B91">
        <v>1525002879</v>
      </c>
      <c r="C91" t="s">
        <v>266</v>
      </c>
      <c r="D91" t="s">
        <v>267</v>
      </c>
      <c r="E91" t="s">
        <v>28</v>
      </c>
      <c r="H91" t="s">
        <v>27</v>
      </c>
      <c r="I91" t="s">
        <v>87</v>
      </c>
      <c r="J91">
        <v>0</v>
      </c>
      <c r="K91">
        <v>0</v>
      </c>
      <c r="L91">
        <v>0</v>
      </c>
      <c r="M91">
        <v>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6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T91" t="s">
        <v>88</v>
      </c>
      <c r="AV91" t="s">
        <v>89</v>
      </c>
    </row>
    <row r="92" spans="1:48" x14ac:dyDescent="0.4">
      <c r="A92">
        <v>1525002864</v>
      </c>
      <c r="B92">
        <v>1525002880</v>
      </c>
      <c r="C92" t="s">
        <v>268</v>
      </c>
      <c r="D92" t="s">
        <v>269</v>
      </c>
      <c r="E92" t="s">
        <v>28</v>
      </c>
      <c r="H92" t="s">
        <v>27</v>
      </c>
      <c r="I92" t="s">
        <v>87</v>
      </c>
      <c r="J92">
        <v>0</v>
      </c>
      <c r="K92">
        <v>0</v>
      </c>
      <c r="L92">
        <v>0</v>
      </c>
      <c r="M92">
        <v>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6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T92" t="s">
        <v>88</v>
      </c>
      <c r="AV92" t="s">
        <v>89</v>
      </c>
    </row>
    <row r="93" spans="1:48" x14ac:dyDescent="0.4">
      <c r="A93">
        <v>1525002864</v>
      </c>
      <c r="B93">
        <v>1525002881</v>
      </c>
      <c r="C93" t="s">
        <v>270</v>
      </c>
      <c r="D93" t="s">
        <v>271</v>
      </c>
      <c r="E93" t="s">
        <v>28</v>
      </c>
      <c r="H93" t="s">
        <v>27</v>
      </c>
      <c r="I93" t="s">
        <v>87</v>
      </c>
      <c r="J93">
        <v>0</v>
      </c>
      <c r="K93">
        <v>0</v>
      </c>
      <c r="L93">
        <v>0</v>
      </c>
      <c r="M93">
        <v>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6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T93" t="s">
        <v>88</v>
      </c>
      <c r="AV93" t="s">
        <v>89</v>
      </c>
    </row>
    <row r="94" spans="1:48" x14ac:dyDescent="0.4">
      <c r="A94">
        <v>1525002864</v>
      </c>
      <c r="B94">
        <v>1525002882</v>
      </c>
      <c r="C94" t="s">
        <v>272</v>
      </c>
      <c r="D94" t="s">
        <v>273</v>
      </c>
      <c r="E94" t="s">
        <v>28</v>
      </c>
      <c r="H94" t="s">
        <v>27</v>
      </c>
      <c r="I94" t="s">
        <v>87</v>
      </c>
      <c r="J94">
        <v>0</v>
      </c>
      <c r="K94">
        <v>0</v>
      </c>
      <c r="L94">
        <v>0</v>
      </c>
      <c r="M94">
        <v>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6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T94" t="s">
        <v>88</v>
      </c>
      <c r="AV94" t="s">
        <v>89</v>
      </c>
    </row>
    <row r="95" spans="1:48" x14ac:dyDescent="0.4">
      <c r="A95">
        <v>1525002864</v>
      </c>
      <c r="B95">
        <v>1525002883</v>
      </c>
      <c r="C95" t="s">
        <v>274</v>
      </c>
      <c r="D95" t="s">
        <v>275</v>
      </c>
      <c r="E95" t="s">
        <v>28</v>
      </c>
      <c r="H95" t="s">
        <v>27</v>
      </c>
      <c r="I95" t="s">
        <v>87</v>
      </c>
      <c r="J95">
        <v>0</v>
      </c>
      <c r="K95">
        <v>0</v>
      </c>
      <c r="L95">
        <v>0</v>
      </c>
      <c r="M95">
        <v>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6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T95" t="s">
        <v>88</v>
      </c>
      <c r="AV95" t="s">
        <v>89</v>
      </c>
    </row>
    <row r="96" spans="1:48" x14ac:dyDescent="0.4">
      <c r="A96">
        <v>1525002864</v>
      </c>
      <c r="B96">
        <v>1525002884</v>
      </c>
      <c r="C96" t="s">
        <v>276</v>
      </c>
      <c r="D96" t="s">
        <v>277</v>
      </c>
      <c r="E96" t="s">
        <v>28</v>
      </c>
      <c r="H96" t="s">
        <v>27</v>
      </c>
      <c r="I96" t="s">
        <v>87</v>
      </c>
      <c r="J96">
        <v>0</v>
      </c>
      <c r="K96">
        <v>0</v>
      </c>
      <c r="L96">
        <v>0</v>
      </c>
      <c r="M96">
        <v>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6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T96" t="s">
        <v>88</v>
      </c>
      <c r="AV96" t="s">
        <v>89</v>
      </c>
    </row>
    <row r="97" spans="1:48" x14ac:dyDescent="0.4">
      <c r="A97">
        <v>1525002864</v>
      </c>
      <c r="B97">
        <v>1525002885</v>
      </c>
      <c r="C97" t="s">
        <v>278</v>
      </c>
      <c r="D97" t="s">
        <v>279</v>
      </c>
      <c r="E97" t="s">
        <v>28</v>
      </c>
      <c r="H97" t="s">
        <v>27</v>
      </c>
      <c r="I97" t="s">
        <v>87</v>
      </c>
      <c r="J97">
        <v>0</v>
      </c>
      <c r="K97">
        <v>0</v>
      </c>
      <c r="L97">
        <v>0</v>
      </c>
      <c r="M97">
        <v>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6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T97" t="s">
        <v>88</v>
      </c>
      <c r="AV97" t="s">
        <v>89</v>
      </c>
    </row>
    <row r="98" spans="1:48" x14ac:dyDescent="0.4">
      <c r="A98">
        <v>1525002864</v>
      </c>
      <c r="B98">
        <v>1525002886</v>
      </c>
      <c r="C98" t="s">
        <v>280</v>
      </c>
      <c r="D98" t="s">
        <v>281</v>
      </c>
      <c r="E98" t="s">
        <v>28</v>
      </c>
      <c r="H98" t="s">
        <v>27</v>
      </c>
      <c r="I98" t="s">
        <v>87</v>
      </c>
      <c r="J98">
        <v>0</v>
      </c>
      <c r="K98">
        <v>0</v>
      </c>
      <c r="L98">
        <v>0</v>
      </c>
      <c r="M98">
        <v>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6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T98" t="s">
        <v>88</v>
      </c>
      <c r="AV98" t="s">
        <v>89</v>
      </c>
    </row>
    <row r="99" spans="1:48" x14ac:dyDescent="0.4">
      <c r="A99">
        <v>1525002864</v>
      </c>
      <c r="B99">
        <v>1525002887</v>
      </c>
      <c r="C99" t="s">
        <v>282</v>
      </c>
      <c r="D99" t="s">
        <v>283</v>
      </c>
      <c r="E99" t="s">
        <v>28</v>
      </c>
      <c r="H99" t="s">
        <v>27</v>
      </c>
      <c r="I99" t="s">
        <v>87</v>
      </c>
      <c r="J99">
        <v>0</v>
      </c>
      <c r="K99">
        <v>0</v>
      </c>
      <c r="L99">
        <v>0</v>
      </c>
      <c r="M99">
        <v>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6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T99" t="s">
        <v>88</v>
      </c>
      <c r="AV99" t="s">
        <v>89</v>
      </c>
    </row>
    <row r="100" spans="1:48" x14ac:dyDescent="0.4">
      <c r="A100">
        <v>1525003495</v>
      </c>
      <c r="B100">
        <v>1525003495</v>
      </c>
      <c r="C100" t="s">
        <v>284</v>
      </c>
      <c r="D100" t="s">
        <v>237</v>
      </c>
      <c r="E100" t="s">
        <v>28</v>
      </c>
      <c r="H100" t="s">
        <v>27</v>
      </c>
      <c r="I100" t="s">
        <v>285</v>
      </c>
      <c r="J100">
        <v>0</v>
      </c>
      <c r="K100">
        <v>0</v>
      </c>
      <c r="L100">
        <v>0</v>
      </c>
      <c r="M100">
        <v>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8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T100" t="s">
        <v>286</v>
      </c>
      <c r="AV100" t="s">
        <v>287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"/>
  <sheetViews>
    <sheetView topLeftCell="O1" workbookViewId="0">
      <selection activeCell="AJ3" sqref="AJ3"/>
    </sheetView>
  </sheetViews>
  <sheetFormatPr defaultColWidth="9" defaultRowHeight="17.399999999999999" x14ac:dyDescent="0.4"/>
  <cols>
    <col min="1" max="1" width="8.3984375" style="24" bestFit="1" customWidth="1"/>
    <col min="2" max="2" width="7.09765625" style="24" bestFit="1" customWidth="1"/>
    <col min="3" max="3" width="5.19921875" style="24" bestFit="1" customWidth="1"/>
    <col min="4" max="6" width="8.09765625" style="24" bestFit="1" customWidth="1"/>
    <col min="7" max="18" width="8.19921875" style="24" bestFit="1" customWidth="1"/>
    <col min="19" max="30" width="8.69921875" style="24" bestFit="1" customWidth="1"/>
    <col min="31" max="31" width="7.19921875" style="24" bestFit="1" customWidth="1"/>
    <col min="32" max="32" width="7.5" style="24" bestFit="1" customWidth="1"/>
    <col min="33" max="34" width="7.19921875" style="24" bestFit="1" customWidth="1"/>
    <col min="35" max="35" width="7.59765625" style="24" bestFit="1" customWidth="1"/>
    <col min="36" max="36" width="9.19921875" style="24" bestFit="1" customWidth="1"/>
    <col min="37" max="16384" width="9" style="24"/>
  </cols>
  <sheetData>
    <row r="1" spans="1:36" ht="63" thickBot="1" x14ac:dyDescent="0.45">
      <c r="A1" s="17" t="s">
        <v>288</v>
      </c>
      <c r="B1" s="17" t="s">
        <v>6</v>
      </c>
      <c r="C1" s="17" t="s">
        <v>289</v>
      </c>
      <c r="D1" s="18" t="s">
        <v>290</v>
      </c>
      <c r="E1" s="18" t="s">
        <v>291</v>
      </c>
      <c r="F1" s="18" t="s">
        <v>292</v>
      </c>
      <c r="G1" s="19" t="s">
        <v>293</v>
      </c>
      <c r="H1" s="19" t="s">
        <v>294</v>
      </c>
      <c r="I1" s="19" t="s">
        <v>295</v>
      </c>
      <c r="J1" s="19" t="s">
        <v>296</v>
      </c>
      <c r="K1" s="19" t="s">
        <v>297</v>
      </c>
      <c r="L1" s="19" t="s">
        <v>298</v>
      </c>
      <c r="M1" s="19" t="s">
        <v>299</v>
      </c>
      <c r="N1" s="19" t="s">
        <v>300</v>
      </c>
      <c r="O1" s="19" t="s">
        <v>301</v>
      </c>
      <c r="P1" s="19" t="s">
        <v>302</v>
      </c>
      <c r="Q1" s="19" t="s">
        <v>303</v>
      </c>
      <c r="R1" s="19" t="s">
        <v>304</v>
      </c>
      <c r="S1" s="20" t="s">
        <v>305</v>
      </c>
      <c r="T1" s="20" t="s">
        <v>306</v>
      </c>
      <c r="U1" s="20" t="s">
        <v>307</v>
      </c>
      <c r="V1" s="20" t="s">
        <v>308</v>
      </c>
      <c r="W1" s="20" t="s">
        <v>309</v>
      </c>
      <c r="X1" s="20" t="s">
        <v>310</v>
      </c>
      <c r="Y1" s="20" t="s">
        <v>311</v>
      </c>
      <c r="Z1" s="20" t="s">
        <v>312</v>
      </c>
      <c r="AA1" s="20" t="s">
        <v>313</v>
      </c>
      <c r="AB1" s="20" t="s">
        <v>314</v>
      </c>
      <c r="AC1" s="20" t="s">
        <v>315</v>
      </c>
      <c r="AD1" s="20" t="s">
        <v>316</v>
      </c>
      <c r="AE1" s="21" t="s">
        <v>317</v>
      </c>
      <c r="AF1" s="21" t="s">
        <v>318</v>
      </c>
      <c r="AG1" s="21" t="s">
        <v>319</v>
      </c>
      <c r="AH1" s="21" t="s">
        <v>320</v>
      </c>
      <c r="AI1" s="22" t="s">
        <v>321</v>
      </c>
      <c r="AJ1" s="23" t="s">
        <v>322</v>
      </c>
    </row>
    <row r="2" spans="1:36" ht="18" x14ac:dyDescent="0.4">
      <c r="A2" s="25" t="s">
        <v>87</v>
      </c>
      <c r="B2" s="25" t="s">
        <v>28</v>
      </c>
      <c r="C2" s="25" t="s">
        <v>323</v>
      </c>
      <c r="D2" s="26">
        <v>0</v>
      </c>
      <c r="E2" s="26">
        <v>0</v>
      </c>
      <c r="F2" s="26">
        <v>0</v>
      </c>
      <c r="G2" s="26">
        <v>13</v>
      </c>
      <c r="H2" s="26">
        <v>13</v>
      </c>
      <c r="I2" s="27">
        <v>11700</v>
      </c>
      <c r="J2" s="26">
        <v>1</v>
      </c>
      <c r="K2" s="26">
        <v>1</v>
      </c>
      <c r="L2" s="27">
        <v>3200</v>
      </c>
      <c r="M2" s="26">
        <v>6</v>
      </c>
      <c r="N2" s="26">
        <v>48</v>
      </c>
      <c r="O2" s="27">
        <v>30240</v>
      </c>
      <c r="P2" s="26">
        <v>0</v>
      </c>
      <c r="Q2" s="26">
        <v>0</v>
      </c>
      <c r="R2" s="26">
        <v>0</v>
      </c>
      <c r="S2" s="26">
        <v>1</v>
      </c>
      <c r="T2" s="26">
        <v>1</v>
      </c>
      <c r="U2" s="27">
        <v>1080</v>
      </c>
      <c r="V2" s="26">
        <v>0</v>
      </c>
      <c r="W2" s="26">
        <v>0</v>
      </c>
      <c r="X2" s="26">
        <v>0</v>
      </c>
      <c r="Y2" s="26">
        <v>0</v>
      </c>
      <c r="Z2" s="26">
        <v>0</v>
      </c>
      <c r="AA2" s="26">
        <v>0</v>
      </c>
      <c r="AB2" s="26">
        <v>0</v>
      </c>
      <c r="AC2" s="26">
        <v>0</v>
      </c>
      <c r="AD2" s="26">
        <v>0</v>
      </c>
      <c r="AE2" s="26">
        <v>21</v>
      </c>
      <c r="AF2" s="26">
        <v>63</v>
      </c>
      <c r="AG2" s="27">
        <v>46220</v>
      </c>
      <c r="AH2" s="27">
        <v>29086.2</v>
      </c>
      <c r="AI2" s="28">
        <v>46220</v>
      </c>
      <c r="AJ2" s="29">
        <v>29086.2</v>
      </c>
    </row>
    <row r="3" spans="1:36" x14ac:dyDescent="0.4">
      <c r="AJ3" s="60">
        <f>SUM(AJ2)</f>
        <v>29086.2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opLeftCell="B1" workbookViewId="0">
      <selection activeCell="B1" sqref="B1"/>
    </sheetView>
  </sheetViews>
  <sheetFormatPr defaultRowHeight="17.399999999999999" x14ac:dyDescent="0.4"/>
  <cols>
    <col min="1" max="1" width="18.69921875" bestFit="1" customWidth="1"/>
    <col min="2" max="2" width="6.69921875" bestFit="1" customWidth="1"/>
    <col min="3" max="3" width="10.3984375" bestFit="1" customWidth="1"/>
    <col min="4" max="4" width="6.69921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</cols>
  <sheetData>
    <row r="1" spans="1:12" x14ac:dyDescent="0.4">
      <c r="A1" s="30" t="s">
        <v>39</v>
      </c>
      <c r="B1" s="30" t="s">
        <v>41</v>
      </c>
      <c r="C1" s="30" t="s">
        <v>325</v>
      </c>
      <c r="D1" s="30" t="s">
        <v>326</v>
      </c>
      <c r="E1" s="30" t="s">
        <v>327</v>
      </c>
      <c r="F1" s="31" t="s">
        <v>328</v>
      </c>
      <c r="G1" s="31" t="s">
        <v>329</v>
      </c>
      <c r="H1" s="31" t="s">
        <v>68</v>
      </c>
      <c r="I1" s="31" t="s">
        <v>330</v>
      </c>
      <c r="J1" s="31" t="s">
        <v>331</v>
      </c>
      <c r="K1" s="31" t="s">
        <v>332</v>
      </c>
      <c r="L1" s="31" t="s">
        <v>77</v>
      </c>
    </row>
    <row r="2" spans="1:12" x14ac:dyDescent="0.4">
      <c r="A2" t="s">
        <v>333</v>
      </c>
      <c r="B2" t="s">
        <v>28</v>
      </c>
      <c r="C2" t="s">
        <v>27</v>
      </c>
      <c r="D2" t="s">
        <v>334</v>
      </c>
      <c r="E2" t="s">
        <v>335</v>
      </c>
      <c r="F2">
        <v>1</v>
      </c>
      <c r="G2">
        <v>3200</v>
      </c>
      <c r="H2">
        <v>3200</v>
      </c>
      <c r="I2">
        <v>0</v>
      </c>
      <c r="J2">
        <v>0</v>
      </c>
      <c r="K2">
        <v>3200</v>
      </c>
      <c r="L2">
        <v>2240</v>
      </c>
    </row>
    <row r="3" spans="1:12" x14ac:dyDescent="0.4">
      <c r="A3" t="s">
        <v>336</v>
      </c>
      <c r="B3" t="s">
        <v>28</v>
      </c>
      <c r="C3" t="s">
        <v>27</v>
      </c>
      <c r="D3" t="s">
        <v>334</v>
      </c>
      <c r="E3" t="s">
        <v>335</v>
      </c>
      <c r="F3">
        <v>1</v>
      </c>
      <c r="G3">
        <v>3200</v>
      </c>
      <c r="H3">
        <v>3200</v>
      </c>
      <c r="I3">
        <v>0</v>
      </c>
      <c r="J3">
        <v>0</v>
      </c>
      <c r="K3">
        <v>3200</v>
      </c>
      <c r="L3">
        <v>2240</v>
      </c>
    </row>
    <row r="4" spans="1:12" x14ac:dyDescent="0.4">
      <c r="A4" t="s">
        <v>337</v>
      </c>
      <c r="B4" t="s">
        <v>28</v>
      </c>
      <c r="C4" t="s">
        <v>27</v>
      </c>
      <c r="D4" t="s">
        <v>334</v>
      </c>
      <c r="E4" t="s">
        <v>335</v>
      </c>
      <c r="F4">
        <v>1</v>
      </c>
      <c r="G4">
        <v>3200</v>
      </c>
      <c r="H4">
        <v>3200</v>
      </c>
      <c r="I4">
        <v>0</v>
      </c>
      <c r="J4">
        <v>0</v>
      </c>
      <c r="K4">
        <v>3200</v>
      </c>
      <c r="L4">
        <v>2240</v>
      </c>
    </row>
    <row r="5" spans="1:12" x14ac:dyDescent="0.4">
      <c r="A5" t="s">
        <v>338</v>
      </c>
      <c r="B5" t="s">
        <v>28</v>
      </c>
      <c r="C5" t="s">
        <v>27</v>
      </c>
      <c r="D5" t="s">
        <v>334</v>
      </c>
      <c r="E5" t="s">
        <v>335</v>
      </c>
      <c r="F5">
        <v>1</v>
      </c>
      <c r="G5">
        <v>3200</v>
      </c>
      <c r="H5">
        <v>3200</v>
      </c>
      <c r="I5">
        <v>0</v>
      </c>
      <c r="J5">
        <v>0</v>
      </c>
      <c r="K5">
        <v>3200</v>
      </c>
      <c r="L5">
        <v>2240</v>
      </c>
    </row>
    <row r="6" spans="1:12" x14ac:dyDescent="0.4">
      <c r="A6" t="s">
        <v>339</v>
      </c>
      <c r="B6" t="s">
        <v>28</v>
      </c>
      <c r="C6" t="s">
        <v>27</v>
      </c>
      <c r="D6" t="s">
        <v>334</v>
      </c>
      <c r="E6" t="s">
        <v>335</v>
      </c>
      <c r="F6">
        <v>1</v>
      </c>
      <c r="G6">
        <v>3200</v>
      </c>
      <c r="H6">
        <v>3200</v>
      </c>
      <c r="I6">
        <v>0</v>
      </c>
      <c r="J6">
        <v>0</v>
      </c>
      <c r="K6">
        <v>3200</v>
      </c>
      <c r="L6">
        <v>2240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opLeftCell="B1" workbookViewId="0">
      <selection activeCell="J9" sqref="J9"/>
    </sheetView>
  </sheetViews>
  <sheetFormatPr defaultColWidth="9" defaultRowHeight="17.399999999999999" x14ac:dyDescent="0.4"/>
  <cols>
    <col min="1" max="1" width="18.8984375" style="36" bestFit="1" customWidth="1"/>
    <col min="2" max="2" width="8.8984375" style="36" bestFit="1" customWidth="1"/>
    <col min="3" max="3" width="10.3984375" style="36" bestFit="1" customWidth="1"/>
    <col min="4" max="4" width="11.8984375" style="36" bestFit="1" customWidth="1"/>
    <col min="5" max="5" width="17" style="36" bestFit="1" customWidth="1"/>
    <col min="6" max="6" width="20.69921875" style="36" bestFit="1" customWidth="1"/>
    <col min="7" max="7" width="5" style="36" bestFit="1" customWidth="1"/>
    <col min="8" max="8" width="11.8984375" style="36" bestFit="1" customWidth="1"/>
    <col min="9" max="9" width="7.69921875" style="36" bestFit="1" customWidth="1"/>
    <col min="10" max="10" width="8.59765625" style="36" bestFit="1" customWidth="1"/>
    <col min="11" max="11" width="10.3984375" style="36" bestFit="1" customWidth="1"/>
    <col min="12" max="12" width="6.69921875" style="36" bestFit="1" customWidth="1"/>
    <col min="13" max="13" width="8.59765625" style="36" bestFit="1" customWidth="1"/>
    <col min="14" max="14" width="5" style="36" bestFit="1" customWidth="1"/>
    <col min="15" max="17" width="8.59765625" style="36" bestFit="1" customWidth="1"/>
    <col min="18" max="21" width="7.59765625" style="36" bestFit="1" customWidth="1"/>
    <col min="22" max="22" width="5.69921875" style="36" bestFit="1" customWidth="1"/>
    <col min="23" max="25" width="8.59765625" style="36" bestFit="1" customWidth="1"/>
    <col min="26" max="26" width="9.3984375" style="36" bestFit="1" customWidth="1"/>
    <col min="27" max="30" width="8.59765625" style="36" bestFit="1" customWidth="1"/>
    <col min="31" max="16384" width="9" style="36"/>
  </cols>
  <sheetData>
    <row r="1" spans="1:30" ht="69.599999999999994" x14ac:dyDescent="0.4">
      <c r="A1" s="32" t="s">
        <v>341</v>
      </c>
      <c r="B1" s="32" t="s">
        <v>342</v>
      </c>
      <c r="C1" s="32" t="s">
        <v>343</v>
      </c>
      <c r="D1" s="32" t="s">
        <v>344</v>
      </c>
      <c r="E1" s="32" t="s">
        <v>345</v>
      </c>
      <c r="F1" s="32" t="s">
        <v>346</v>
      </c>
      <c r="G1" s="32" t="s">
        <v>347</v>
      </c>
      <c r="H1" s="32" t="s">
        <v>348</v>
      </c>
      <c r="I1" s="32" t="s">
        <v>349</v>
      </c>
      <c r="J1" s="32" t="s">
        <v>350</v>
      </c>
      <c r="K1" s="32" t="s">
        <v>7</v>
      </c>
      <c r="L1" s="33" t="s">
        <v>351</v>
      </c>
      <c r="M1" s="32" t="s">
        <v>352</v>
      </c>
      <c r="N1" s="32" t="s">
        <v>353</v>
      </c>
      <c r="O1" s="32" t="s">
        <v>354</v>
      </c>
      <c r="P1" s="32" t="s">
        <v>355</v>
      </c>
      <c r="Q1" s="32" t="s">
        <v>356</v>
      </c>
      <c r="R1" s="34" t="s">
        <v>357</v>
      </c>
      <c r="S1" s="34" t="s">
        <v>358</v>
      </c>
      <c r="T1" s="34" t="s">
        <v>359</v>
      </c>
      <c r="U1" s="34" t="s">
        <v>360</v>
      </c>
      <c r="V1" s="32" t="s">
        <v>22</v>
      </c>
      <c r="W1" s="34" t="s">
        <v>361</v>
      </c>
      <c r="X1" s="34" t="s">
        <v>362</v>
      </c>
      <c r="Y1" s="34" t="s">
        <v>363</v>
      </c>
      <c r="Z1" s="34" t="s">
        <v>364</v>
      </c>
      <c r="AA1" s="34" t="s">
        <v>365</v>
      </c>
      <c r="AB1" s="35" t="s">
        <v>366</v>
      </c>
      <c r="AC1" s="33" t="s">
        <v>367</v>
      </c>
      <c r="AD1" s="32" t="s">
        <v>368</v>
      </c>
    </row>
    <row r="2" spans="1:30" x14ac:dyDescent="0.4">
      <c r="A2" s="37" t="s">
        <v>369</v>
      </c>
      <c r="B2" s="37" t="s">
        <v>370</v>
      </c>
      <c r="C2" s="37" t="s">
        <v>371</v>
      </c>
      <c r="D2" s="37" t="s">
        <v>372</v>
      </c>
      <c r="E2" s="37" t="s">
        <v>87</v>
      </c>
      <c r="F2" s="37" t="s">
        <v>373</v>
      </c>
      <c r="G2" s="37" t="s">
        <v>239</v>
      </c>
      <c r="H2" s="37" t="s">
        <v>374</v>
      </c>
      <c r="I2" s="37" t="s">
        <v>375</v>
      </c>
      <c r="J2" s="37" t="s">
        <v>376</v>
      </c>
      <c r="K2" s="37" t="s">
        <v>27</v>
      </c>
      <c r="L2" s="37" t="s">
        <v>28</v>
      </c>
      <c r="M2" s="37" t="s">
        <v>377</v>
      </c>
      <c r="N2" s="37" t="s">
        <v>378</v>
      </c>
      <c r="O2" s="38">
        <v>1</v>
      </c>
      <c r="P2" s="38">
        <v>0</v>
      </c>
      <c r="Q2" s="38">
        <v>0</v>
      </c>
      <c r="R2" s="38">
        <v>1</v>
      </c>
      <c r="S2" s="38">
        <v>3200</v>
      </c>
      <c r="T2" s="38">
        <v>0</v>
      </c>
      <c r="U2" s="38">
        <v>0</v>
      </c>
      <c r="V2" s="38">
        <v>3200</v>
      </c>
      <c r="W2" s="38">
        <v>3200</v>
      </c>
      <c r="X2" s="38">
        <v>0</v>
      </c>
      <c r="Y2" s="38">
        <v>0</v>
      </c>
      <c r="Z2" s="38">
        <v>960</v>
      </c>
      <c r="AA2" s="38">
        <v>0</v>
      </c>
      <c r="AB2" s="38">
        <v>0</v>
      </c>
      <c r="AC2" s="38">
        <v>2240</v>
      </c>
      <c r="AD2" s="37" t="s">
        <v>379</v>
      </c>
    </row>
    <row r="3" spans="1:30" x14ac:dyDescent="0.4">
      <c r="A3" s="37" t="s">
        <v>369</v>
      </c>
      <c r="B3" s="37" t="s">
        <v>370</v>
      </c>
      <c r="C3" s="37" t="s">
        <v>371</v>
      </c>
      <c r="D3" s="37" t="s">
        <v>372</v>
      </c>
      <c r="E3" s="37" t="s">
        <v>87</v>
      </c>
      <c r="F3" s="37" t="s">
        <v>380</v>
      </c>
      <c r="G3" s="37" t="s">
        <v>241</v>
      </c>
      <c r="H3" s="37" t="s">
        <v>381</v>
      </c>
      <c r="I3" s="37" t="s">
        <v>375</v>
      </c>
      <c r="J3" s="37" t="s">
        <v>376</v>
      </c>
      <c r="K3" s="37" t="s">
        <v>27</v>
      </c>
      <c r="L3" s="37" t="s">
        <v>28</v>
      </c>
      <c r="M3" s="37" t="s">
        <v>377</v>
      </c>
      <c r="N3" s="37" t="s">
        <v>378</v>
      </c>
      <c r="O3" s="38">
        <v>1</v>
      </c>
      <c r="P3" s="38">
        <v>0</v>
      </c>
      <c r="Q3" s="38">
        <v>0</v>
      </c>
      <c r="R3" s="38">
        <v>1</v>
      </c>
      <c r="S3" s="38">
        <v>3200</v>
      </c>
      <c r="T3" s="38">
        <v>0</v>
      </c>
      <c r="U3" s="38">
        <v>0</v>
      </c>
      <c r="V3" s="38">
        <v>3200</v>
      </c>
      <c r="W3" s="38">
        <v>3200</v>
      </c>
      <c r="X3" s="38">
        <v>0</v>
      </c>
      <c r="Y3" s="38">
        <v>0</v>
      </c>
      <c r="Z3" s="38">
        <v>960</v>
      </c>
      <c r="AA3" s="38">
        <v>0</v>
      </c>
      <c r="AB3" s="38">
        <v>0</v>
      </c>
      <c r="AC3" s="38">
        <v>2240</v>
      </c>
      <c r="AD3" s="37" t="s">
        <v>379</v>
      </c>
    </row>
    <row r="4" spans="1:30" x14ac:dyDescent="0.4">
      <c r="A4" s="37" t="s">
        <v>369</v>
      </c>
      <c r="B4" s="37" t="s">
        <v>370</v>
      </c>
      <c r="C4" s="37" t="s">
        <v>371</v>
      </c>
      <c r="D4" s="37" t="s">
        <v>372</v>
      </c>
      <c r="E4" s="37" t="s">
        <v>87</v>
      </c>
      <c r="F4" s="37" t="s">
        <v>382</v>
      </c>
      <c r="G4" s="37" t="s">
        <v>243</v>
      </c>
      <c r="H4" s="37" t="s">
        <v>383</v>
      </c>
      <c r="I4" s="37" t="s">
        <v>375</v>
      </c>
      <c r="J4" s="37" t="s">
        <v>376</v>
      </c>
      <c r="K4" s="37" t="s">
        <v>27</v>
      </c>
      <c r="L4" s="37" t="s">
        <v>28</v>
      </c>
      <c r="M4" s="37" t="s">
        <v>377</v>
      </c>
      <c r="N4" s="37" t="s">
        <v>378</v>
      </c>
      <c r="O4" s="38">
        <v>1</v>
      </c>
      <c r="P4" s="38">
        <v>0</v>
      </c>
      <c r="Q4" s="38">
        <v>0</v>
      </c>
      <c r="R4" s="38">
        <v>1</v>
      </c>
      <c r="S4" s="38">
        <v>3200</v>
      </c>
      <c r="T4" s="38">
        <v>0</v>
      </c>
      <c r="U4" s="38">
        <v>0</v>
      </c>
      <c r="V4" s="38">
        <v>3200</v>
      </c>
      <c r="W4" s="38">
        <v>3200</v>
      </c>
      <c r="X4" s="38">
        <v>0</v>
      </c>
      <c r="Y4" s="38">
        <v>0</v>
      </c>
      <c r="Z4" s="38">
        <v>960</v>
      </c>
      <c r="AA4" s="38">
        <v>0</v>
      </c>
      <c r="AB4" s="38">
        <v>0</v>
      </c>
      <c r="AC4" s="38">
        <v>2240</v>
      </c>
      <c r="AD4" s="37" t="s">
        <v>379</v>
      </c>
    </row>
    <row r="5" spans="1:30" x14ac:dyDescent="0.4">
      <c r="A5" s="37" t="s">
        <v>369</v>
      </c>
      <c r="B5" s="37" t="s">
        <v>370</v>
      </c>
      <c r="C5" s="37" t="s">
        <v>371</v>
      </c>
      <c r="D5" s="37" t="s">
        <v>372</v>
      </c>
      <c r="E5" s="37" t="s">
        <v>87</v>
      </c>
      <c r="F5" s="37" t="s">
        <v>384</v>
      </c>
      <c r="G5" s="37" t="s">
        <v>245</v>
      </c>
      <c r="H5" s="37" t="s">
        <v>385</v>
      </c>
      <c r="I5" s="37" t="s">
        <v>375</v>
      </c>
      <c r="J5" s="37" t="s">
        <v>376</v>
      </c>
      <c r="K5" s="37" t="s">
        <v>27</v>
      </c>
      <c r="L5" s="37" t="s">
        <v>28</v>
      </c>
      <c r="M5" s="37" t="s">
        <v>377</v>
      </c>
      <c r="N5" s="37" t="s">
        <v>378</v>
      </c>
      <c r="O5" s="38">
        <v>1</v>
      </c>
      <c r="P5" s="38">
        <v>0</v>
      </c>
      <c r="Q5" s="38">
        <v>0</v>
      </c>
      <c r="R5" s="38">
        <v>1</v>
      </c>
      <c r="S5" s="38">
        <v>3200</v>
      </c>
      <c r="T5" s="38">
        <v>0</v>
      </c>
      <c r="U5" s="38">
        <v>0</v>
      </c>
      <c r="V5" s="38">
        <v>3200</v>
      </c>
      <c r="W5" s="38">
        <v>3200</v>
      </c>
      <c r="X5" s="38">
        <v>0</v>
      </c>
      <c r="Y5" s="38">
        <v>0</v>
      </c>
      <c r="Z5" s="38">
        <v>960</v>
      </c>
      <c r="AA5" s="38">
        <v>0</v>
      </c>
      <c r="AB5" s="38">
        <v>0</v>
      </c>
      <c r="AC5" s="38">
        <v>2240</v>
      </c>
      <c r="AD5" s="37" t="s">
        <v>379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"/>
  <sheetViews>
    <sheetView topLeftCell="B1" workbookViewId="0">
      <selection activeCell="B1" sqref="B1"/>
    </sheetView>
  </sheetViews>
  <sheetFormatPr defaultColWidth="9" defaultRowHeight="17.399999999999999" x14ac:dyDescent="0.4"/>
  <cols>
    <col min="1" max="1" width="9.19921875" style="36" bestFit="1" customWidth="1"/>
    <col min="2" max="2" width="18.8984375" style="36" bestFit="1" customWidth="1"/>
    <col min="3" max="3" width="11.5" style="36" bestFit="1" customWidth="1"/>
    <col min="4" max="4" width="10.3984375" style="36" bestFit="1" customWidth="1"/>
    <col min="5" max="5" width="8.09765625" style="36" bestFit="1" customWidth="1"/>
    <col min="6" max="6" width="8.59765625" style="36" bestFit="1" customWidth="1"/>
    <col min="7" max="7" width="12.19921875" style="36" bestFit="1" customWidth="1"/>
    <col min="8" max="8" width="16.19921875" style="36" bestFit="1" customWidth="1"/>
    <col min="9" max="9" width="8.59765625" style="36" bestFit="1" customWidth="1"/>
    <col min="10" max="10" width="9.3984375" style="36" bestFit="1" customWidth="1"/>
    <col min="11" max="11" width="24.59765625" style="36" bestFit="1" customWidth="1"/>
    <col min="12" max="12" width="21.5" style="36" bestFit="1" customWidth="1"/>
    <col min="13" max="14" width="6.69921875" style="36" bestFit="1" customWidth="1"/>
    <col min="15" max="15" width="10.69921875" style="36" bestFit="1" customWidth="1"/>
    <col min="16" max="16" width="30" style="36" bestFit="1" customWidth="1"/>
    <col min="17" max="17" width="12.69921875" style="36" bestFit="1" customWidth="1"/>
    <col min="18" max="18" width="19.59765625" style="36" bestFit="1" customWidth="1"/>
    <col min="19" max="19" width="11.09765625" style="36" bestFit="1" customWidth="1"/>
    <col min="20" max="20" width="9.3984375" style="36" bestFit="1" customWidth="1"/>
    <col min="21" max="21" width="8.8984375" style="36" bestFit="1" customWidth="1"/>
    <col min="22" max="22" width="8.3984375" style="36" bestFit="1" customWidth="1"/>
    <col min="23" max="28" width="8.8984375" style="36" bestFit="1" customWidth="1"/>
    <col min="29" max="29" width="15.19921875" style="36" bestFit="1" customWidth="1"/>
    <col min="30" max="30" width="9.3984375" style="36" bestFit="1" customWidth="1"/>
    <col min="31" max="31" width="8.8984375" style="36" bestFit="1" customWidth="1"/>
    <col min="32" max="32" width="8.3984375" style="36" bestFit="1" customWidth="1"/>
    <col min="33" max="38" width="8.8984375" style="36" bestFit="1" customWidth="1"/>
    <col min="39" max="39" width="15.19921875" style="36" bestFit="1" customWidth="1"/>
    <col min="40" max="40" width="8.59765625" style="36" bestFit="1" customWidth="1"/>
    <col min="41" max="41" width="6.69921875" style="36" bestFit="1" customWidth="1"/>
    <col min="42" max="42" width="8.59765625" style="36" bestFit="1" customWidth="1"/>
    <col min="43" max="16384" width="9" style="36"/>
  </cols>
  <sheetData>
    <row r="1" spans="1:42" ht="18" thickBot="1" x14ac:dyDescent="0.45">
      <c r="A1" s="39" t="s">
        <v>387</v>
      </c>
      <c r="B1" s="39" t="s">
        <v>388</v>
      </c>
      <c r="C1" s="39" t="s">
        <v>389</v>
      </c>
      <c r="D1" s="39" t="s">
        <v>390</v>
      </c>
      <c r="E1" s="39" t="s">
        <v>391</v>
      </c>
      <c r="F1" s="39" t="s">
        <v>392</v>
      </c>
      <c r="G1" s="39" t="s">
        <v>393</v>
      </c>
      <c r="H1" s="39" t="s">
        <v>394</v>
      </c>
      <c r="I1" s="39" t="s">
        <v>350</v>
      </c>
      <c r="J1" s="39" t="s">
        <v>395</v>
      </c>
      <c r="K1" s="39" t="s">
        <v>44</v>
      </c>
      <c r="L1" s="39" t="s">
        <v>396</v>
      </c>
      <c r="M1" s="39" t="s">
        <v>397</v>
      </c>
      <c r="N1" s="40" t="s">
        <v>6</v>
      </c>
      <c r="O1" s="39" t="s">
        <v>398</v>
      </c>
      <c r="P1" s="40" t="s">
        <v>399</v>
      </c>
      <c r="Q1" s="39" t="s">
        <v>400</v>
      </c>
      <c r="R1" s="39" t="s">
        <v>401</v>
      </c>
      <c r="S1" s="39" t="s">
        <v>402</v>
      </c>
      <c r="T1" s="39" t="s">
        <v>403</v>
      </c>
      <c r="U1" s="39" t="s">
        <v>404</v>
      </c>
      <c r="V1" s="39" t="s">
        <v>405</v>
      </c>
      <c r="W1" s="39" t="s">
        <v>406</v>
      </c>
      <c r="X1" s="39" t="s">
        <v>407</v>
      </c>
      <c r="Y1" s="39" t="s">
        <v>408</v>
      </c>
      <c r="Z1" s="39" t="s">
        <v>409</v>
      </c>
      <c r="AA1" s="39" t="s">
        <v>410</v>
      </c>
      <c r="AB1" s="39" t="s">
        <v>411</v>
      </c>
      <c r="AC1" s="39" t="s">
        <v>412</v>
      </c>
      <c r="AD1" s="40" t="s">
        <v>413</v>
      </c>
      <c r="AE1" s="39" t="s">
        <v>414</v>
      </c>
      <c r="AF1" s="39" t="s">
        <v>415</v>
      </c>
      <c r="AG1" s="39" t="s">
        <v>416</v>
      </c>
      <c r="AH1" s="39" t="s">
        <v>417</v>
      </c>
      <c r="AI1" s="39" t="s">
        <v>418</v>
      </c>
      <c r="AJ1" s="39" t="s">
        <v>419</v>
      </c>
      <c r="AK1" s="39" t="s">
        <v>420</v>
      </c>
      <c r="AL1" s="39" t="s">
        <v>421</v>
      </c>
      <c r="AM1" s="39" t="s">
        <v>422</v>
      </c>
      <c r="AN1" s="39" t="s">
        <v>423</v>
      </c>
      <c r="AO1" s="39" t="s">
        <v>424</v>
      </c>
      <c r="AP1" s="40" t="s">
        <v>425</v>
      </c>
    </row>
    <row r="2" spans="1:42" ht="18" thickTop="1" x14ac:dyDescent="0.4">
      <c r="A2" s="41" t="s">
        <v>426</v>
      </c>
      <c r="B2" s="41" t="s">
        <v>369</v>
      </c>
      <c r="C2" s="41" t="s">
        <v>427</v>
      </c>
      <c r="D2" s="41" t="s">
        <v>27</v>
      </c>
      <c r="E2" s="41"/>
      <c r="F2" s="41" t="s">
        <v>377</v>
      </c>
      <c r="G2" s="41" t="s">
        <v>428</v>
      </c>
      <c r="H2" s="41" t="s">
        <v>429</v>
      </c>
      <c r="I2" s="41" t="s">
        <v>430</v>
      </c>
      <c r="J2" s="41">
        <v>56704413</v>
      </c>
      <c r="K2" s="41" t="s">
        <v>431</v>
      </c>
      <c r="L2" s="41"/>
      <c r="M2" s="41"/>
      <c r="N2" s="41" t="s">
        <v>28</v>
      </c>
      <c r="O2" s="41" t="s">
        <v>432</v>
      </c>
      <c r="P2" s="41">
        <v>0.7</v>
      </c>
      <c r="Q2" s="41">
        <v>0.6</v>
      </c>
      <c r="R2" s="42" t="s">
        <v>433</v>
      </c>
      <c r="S2" s="42">
        <v>3200</v>
      </c>
      <c r="T2" s="42">
        <v>67200</v>
      </c>
      <c r="U2" s="42">
        <v>55500</v>
      </c>
      <c r="V2" s="42">
        <v>0</v>
      </c>
      <c r="W2" s="42">
        <v>0</v>
      </c>
      <c r="X2" s="42">
        <v>0</v>
      </c>
      <c r="Y2" s="42">
        <v>0</v>
      </c>
      <c r="Z2" s="42">
        <v>6400</v>
      </c>
      <c r="AA2" s="42">
        <v>0</v>
      </c>
      <c r="AB2" s="42">
        <v>0</v>
      </c>
      <c r="AC2" s="42">
        <v>5300</v>
      </c>
      <c r="AD2" s="42">
        <v>67840</v>
      </c>
      <c r="AE2" s="42">
        <v>55500</v>
      </c>
      <c r="AF2" s="42">
        <v>0</v>
      </c>
      <c r="AG2" s="42">
        <v>0</v>
      </c>
      <c r="AH2" s="42">
        <v>0</v>
      </c>
      <c r="AI2" s="42">
        <v>0</v>
      </c>
      <c r="AJ2" s="42">
        <v>7040</v>
      </c>
      <c r="AK2" s="42">
        <v>0</v>
      </c>
      <c r="AL2" s="42">
        <v>0</v>
      </c>
      <c r="AM2" s="42">
        <v>5300</v>
      </c>
      <c r="AN2" s="42">
        <v>46784</v>
      </c>
      <c r="AO2" s="42">
        <v>0</v>
      </c>
      <c r="AP2" s="42">
        <v>46784</v>
      </c>
    </row>
    <row r="3" spans="1:42" x14ac:dyDescent="0.4">
      <c r="A3" s="41" t="s">
        <v>426</v>
      </c>
      <c r="B3" s="41" t="s">
        <v>369</v>
      </c>
      <c r="C3" s="41" t="s">
        <v>427</v>
      </c>
      <c r="D3" s="41" t="s">
        <v>27</v>
      </c>
      <c r="E3" s="41"/>
      <c r="F3" s="41" t="s">
        <v>377</v>
      </c>
      <c r="G3" s="41" t="s">
        <v>428</v>
      </c>
      <c r="H3" s="41" t="s">
        <v>429</v>
      </c>
      <c r="I3" s="41" t="s">
        <v>430</v>
      </c>
      <c r="J3" s="41">
        <v>52578810</v>
      </c>
      <c r="K3" s="41" t="s">
        <v>87</v>
      </c>
      <c r="L3" s="41"/>
      <c r="M3" s="41"/>
      <c r="N3" s="41" t="s">
        <v>28</v>
      </c>
      <c r="O3" s="41" t="s">
        <v>432</v>
      </c>
      <c r="P3" s="41">
        <v>0.7</v>
      </c>
      <c r="Q3" s="41">
        <v>0.6</v>
      </c>
      <c r="R3" s="42" t="s">
        <v>433</v>
      </c>
      <c r="S3" s="42">
        <v>100</v>
      </c>
      <c r="T3" s="42">
        <v>47700</v>
      </c>
      <c r="U3" s="42">
        <v>16000</v>
      </c>
      <c r="V3" s="42">
        <v>0</v>
      </c>
      <c r="W3" s="42">
        <v>0</v>
      </c>
      <c r="X3" s="42">
        <v>0</v>
      </c>
      <c r="Y3" s="42">
        <v>1500</v>
      </c>
      <c r="Z3" s="42">
        <v>900</v>
      </c>
      <c r="AA3" s="42">
        <v>0</v>
      </c>
      <c r="AB3" s="42">
        <v>0</v>
      </c>
      <c r="AC3" s="42">
        <v>29300</v>
      </c>
      <c r="AD3" s="42">
        <v>48090</v>
      </c>
      <c r="AE3" s="42">
        <v>16000</v>
      </c>
      <c r="AF3" s="42">
        <v>0</v>
      </c>
      <c r="AG3" s="42">
        <v>0</v>
      </c>
      <c r="AH3" s="42">
        <v>0</v>
      </c>
      <c r="AI3" s="42">
        <v>1800</v>
      </c>
      <c r="AJ3" s="42">
        <v>990</v>
      </c>
      <c r="AK3" s="42">
        <v>0</v>
      </c>
      <c r="AL3" s="42">
        <v>0</v>
      </c>
      <c r="AM3" s="42">
        <v>29300</v>
      </c>
      <c r="AN3" s="42">
        <v>33384</v>
      </c>
      <c r="AO3" s="42">
        <v>0</v>
      </c>
      <c r="AP3" s="42">
        <v>33384</v>
      </c>
    </row>
    <row r="4" spans="1:42" x14ac:dyDescent="0.4">
      <c r="A4" s="41" t="s">
        <v>426</v>
      </c>
      <c r="B4" s="41" t="s">
        <v>369</v>
      </c>
      <c r="C4" s="41" t="s">
        <v>427</v>
      </c>
      <c r="D4" s="41" t="s">
        <v>27</v>
      </c>
      <c r="E4" s="41"/>
      <c r="F4" s="41" t="s">
        <v>377</v>
      </c>
      <c r="G4" s="41" t="s">
        <v>428</v>
      </c>
      <c r="H4" s="41" t="s">
        <v>429</v>
      </c>
      <c r="I4" s="41" t="s">
        <v>430</v>
      </c>
      <c r="J4" s="41">
        <v>52578810</v>
      </c>
      <c r="K4" s="41" t="s">
        <v>87</v>
      </c>
      <c r="L4" s="41"/>
      <c r="M4" s="41"/>
      <c r="N4" s="41" t="s">
        <v>28</v>
      </c>
      <c r="O4" s="41" t="s">
        <v>432</v>
      </c>
      <c r="P4" s="41">
        <v>0.7</v>
      </c>
      <c r="Q4" s="41">
        <v>0.6</v>
      </c>
      <c r="R4" s="42" t="s">
        <v>434</v>
      </c>
      <c r="S4" s="42">
        <v>2700</v>
      </c>
      <c r="T4" s="42">
        <v>61900</v>
      </c>
      <c r="U4" s="42">
        <v>20350</v>
      </c>
      <c r="V4" s="42">
        <v>0</v>
      </c>
      <c r="W4" s="42">
        <v>0</v>
      </c>
      <c r="X4" s="42">
        <v>0</v>
      </c>
      <c r="Y4" s="42">
        <v>0</v>
      </c>
      <c r="Z4" s="42">
        <v>35100</v>
      </c>
      <c r="AA4" s="42">
        <v>0</v>
      </c>
      <c r="AB4" s="42">
        <v>0</v>
      </c>
      <c r="AC4" s="42">
        <v>6450</v>
      </c>
      <c r="AD4" s="42">
        <v>65410</v>
      </c>
      <c r="AE4" s="42">
        <v>20350</v>
      </c>
      <c r="AF4" s="42">
        <v>0</v>
      </c>
      <c r="AG4" s="42">
        <v>0</v>
      </c>
      <c r="AH4" s="42">
        <v>0</v>
      </c>
      <c r="AI4" s="42">
        <v>0</v>
      </c>
      <c r="AJ4" s="42">
        <v>38610</v>
      </c>
      <c r="AK4" s="42">
        <v>0</v>
      </c>
      <c r="AL4" s="42">
        <v>0</v>
      </c>
      <c r="AM4" s="42">
        <v>6450</v>
      </c>
      <c r="AN4" s="42">
        <v>41926</v>
      </c>
      <c r="AO4" s="42">
        <v>0</v>
      </c>
      <c r="AP4" s="42">
        <v>41926</v>
      </c>
    </row>
    <row r="5" spans="1:42" x14ac:dyDescent="0.4">
      <c r="A5" s="41" t="s">
        <v>426</v>
      </c>
      <c r="B5" s="41" t="s">
        <v>369</v>
      </c>
      <c r="C5" s="41" t="s">
        <v>427</v>
      </c>
      <c r="D5" s="41" t="s">
        <v>27</v>
      </c>
      <c r="E5" s="41"/>
      <c r="F5" s="41" t="s">
        <v>377</v>
      </c>
      <c r="G5" s="41" t="s">
        <v>428</v>
      </c>
      <c r="H5" s="41" t="s">
        <v>429</v>
      </c>
      <c r="I5" s="41" t="s">
        <v>430</v>
      </c>
      <c r="J5" s="41">
        <v>52578810</v>
      </c>
      <c r="K5" s="41" t="s">
        <v>87</v>
      </c>
      <c r="L5" s="41"/>
      <c r="M5" s="41"/>
      <c r="N5" s="41" t="s">
        <v>28</v>
      </c>
      <c r="O5" s="41" t="s">
        <v>432</v>
      </c>
      <c r="P5" s="41">
        <v>0.7</v>
      </c>
      <c r="Q5" s="41">
        <v>0.6</v>
      </c>
      <c r="R5" s="42" t="s">
        <v>434</v>
      </c>
      <c r="S5" s="42">
        <v>4500</v>
      </c>
      <c r="T5" s="42">
        <v>63000</v>
      </c>
      <c r="U5" s="42">
        <v>44600</v>
      </c>
      <c r="V5" s="42">
        <v>0</v>
      </c>
      <c r="W5" s="42">
        <v>0</v>
      </c>
      <c r="X5" s="42">
        <v>0</v>
      </c>
      <c r="Y5" s="42">
        <v>0</v>
      </c>
      <c r="Z5" s="42">
        <v>18000</v>
      </c>
      <c r="AA5" s="42">
        <v>0</v>
      </c>
      <c r="AB5" s="42">
        <v>0</v>
      </c>
      <c r="AC5" s="42">
        <v>400</v>
      </c>
      <c r="AD5" s="42">
        <v>64800</v>
      </c>
      <c r="AE5" s="42">
        <v>44600</v>
      </c>
      <c r="AF5" s="42">
        <v>0</v>
      </c>
      <c r="AG5" s="42">
        <v>0</v>
      </c>
      <c r="AH5" s="42">
        <v>0</v>
      </c>
      <c r="AI5" s="42">
        <v>0</v>
      </c>
      <c r="AJ5" s="42">
        <v>19800</v>
      </c>
      <c r="AK5" s="42">
        <v>0</v>
      </c>
      <c r="AL5" s="42">
        <v>0</v>
      </c>
      <c r="AM5" s="42">
        <v>400</v>
      </c>
      <c r="AN5" s="42">
        <v>43380</v>
      </c>
      <c r="AO5" s="42">
        <v>0</v>
      </c>
      <c r="AP5" s="42">
        <v>43380</v>
      </c>
    </row>
    <row r="6" spans="1:42" x14ac:dyDescent="0.4">
      <c r="A6" s="41" t="s">
        <v>426</v>
      </c>
      <c r="B6" s="41" t="s">
        <v>369</v>
      </c>
      <c r="C6" s="41" t="s">
        <v>427</v>
      </c>
      <c r="D6" s="41" t="s">
        <v>27</v>
      </c>
      <c r="E6" s="41"/>
      <c r="F6" s="41" t="s">
        <v>377</v>
      </c>
      <c r="G6" s="41" t="s">
        <v>428</v>
      </c>
      <c r="H6" s="41" t="s">
        <v>429</v>
      </c>
      <c r="I6" s="41" t="s">
        <v>430</v>
      </c>
      <c r="J6" s="41">
        <v>52578810</v>
      </c>
      <c r="K6" s="41" t="s">
        <v>87</v>
      </c>
      <c r="L6" s="41"/>
      <c r="M6" s="41"/>
      <c r="N6" s="41" t="s">
        <v>28</v>
      </c>
      <c r="O6" s="41" t="s">
        <v>432</v>
      </c>
      <c r="P6" s="41">
        <v>0.7</v>
      </c>
      <c r="Q6" s="41">
        <v>0.6</v>
      </c>
      <c r="R6" s="42" t="s">
        <v>434</v>
      </c>
      <c r="S6" s="42">
        <v>6300</v>
      </c>
      <c r="T6" s="42">
        <v>83100</v>
      </c>
      <c r="U6" s="42">
        <v>69300</v>
      </c>
      <c r="V6" s="42">
        <v>0</v>
      </c>
      <c r="W6" s="42">
        <v>0</v>
      </c>
      <c r="X6" s="42">
        <v>0</v>
      </c>
      <c r="Y6" s="42">
        <v>6300</v>
      </c>
      <c r="Z6" s="42">
        <v>0</v>
      </c>
      <c r="AA6" s="42">
        <v>0</v>
      </c>
      <c r="AB6" s="42">
        <v>0</v>
      </c>
      <c r="AC6" s="42">
        <v>7500</v>
      </c>
      <c r="AD6" s="42">
        <v>84360</v>
      </c>
      <c r="AE6" s="42">
        <v>69300</v>
      </c>
      <c r="AF6" s="42">
        <v>0</v>
      </c>
      <c r="AG6" s="42">
        <v>0</v>
      </c>
      <c r="AH6" s="42">
        <v>0</v>
      </c>
      <c r="AI6" s="42">
        <v>7560</v>
      </c>
      <c r="AJ6" s="42">
        <v>0</v>
      </c>
      <c r="AK6" s="42">
        <v>0</v>
      </c>
      <c r="AL6" s="42">
        <v>0</v>
      </c>
      <c r="AM6" s="42">
        <v>7500</v>
      </c>
      <c r="AN6" s="42">
        <v>58296</v>
      </c>
      <c r="AO6" s="42">
        <v>0</v>
      </c>
      <c r="AP6" s="42">
        <v>58296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opLeftCell="B1" workbookViewId="0">
      <selection activeCell="H15" sqref="H15"/>
    </sheetView>
  </sheetViews>
  <sheetFormatPr defaultRowHeight="17.399999999999999" x14ac:dyDescent="0.4"/>
  <cols>
    <col min="1" max="1" width="7.69921875" bestFit="1" customWidth="1"/>
    <col min="2" max="2" width="6.5" bestFit="1" customWidth="1"/>
    <col min="3" max="3" width="8.69921875" bestFit="1" customWidth="1"/>
    <col min="4" max="4" width="6.5" bestFit="1" customWidth="1"/>
    <col min="5" max="5" width="8.19921875" bestFit="1" customWidth="1"/>
    <col min="6" max="6" width="8.69921875" bestFit="1" customWidth="1"/>
    <col min="7" max="8" width="8.19921875" bestFit="1" customWidth="1"/>
    <col min="9" max="9" width="8.69921875" bestFit="1" customWidth="1"/>
    <col min="10" max="11" width="8.19921875" bestFit="1" customWidth="1"/>
    <col min="12" max="12" width="6.5" bestFit="1" customWidth="1"/>
    <col min="13" max="14" width="8.19921875" bestFit="1" customWidth="1"/>
  </cols>
  <sheetData>
    <row r="1" spans="1:14" ht="31.2" x14ac:dyDescent="0.4">
      <c r="A1" s="43" t="s">
        <v>288</v>
      </c>
      <c r="B1" s="44" t="s">
        <v>6</v>
      </c>
      <c r="C1" s="45" t="s">
        <v>436</v>
      </c>
      <c r="D1" s="46" t="s">
        <v>437</v>
      </c>
      <c r="E1" s="46" t="s">
        <v>438</v>
      </c>
      <c r="F1" s="46" t="s">
        <v>439</v>
      </c>
      <c r="G1" s="46" t="s">
        <v>440</v>
      </c>
      <c r="H1" s="46" t="s">
        <v>441</v>
      </c>
      <c r="I1" s="46" t="s">
        <v>442</v>
      </c>
      <c r="J1" s="46" t="s">
        <v>443</v>
      </c>
      <c r="K1" s="46" t="s">
        <v>444</v>
      </c>
      <c r="L1" s="46" t="s">
        <v>445</v>
      </c>
      <c r="M1" s="46" t="s">
        <v>446</v>
      </c>
      <c r="N1" s="47" t="s">
        <v>447</v>
      </c>
    </row>
    <row r="2" spans="1:14" ht="21.6" x14ac:dyDescent="0.4">
      <c r="A2" s="48" t="s">
        <v>87</v>
      </c>
      <c r="B2" s="49" t="s">
        <v>28</v>
      </c>
      <c r="C2" s="50" t="s">
        <v>448</v>
      </c>
      <c r="D2" s="50" t="s">
        <v>449</v>
      </c>
      <c r="E2" s="50" t="s">
        <v>450</v>
      </c>
      <c r="F2" s="50">
        <v>159</v>
      </c>
      <c r="G2" s="51">
        <v>15900</v>
      </c>
      <c r="H2" s="51">
        <v>11130</v>
      </c>
      <c r="I2" s="50">
        <v>0</v>
      </c>
      <c r="J2" s="50">
        <v>0</v>
      </c>
      <c r="K2" s="50">
        <v>0</v>
      </c>
      <c r="L2" s="50">
        <v>159</v>
      </c>
      <c r="M2" s="51">
        <v>15900</v>
      </c>
      <c r="N2" s="51">
        <v>11130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8</vt:i4>
      </vt:variant>
    </vt:vector>
  </HeadingPairs>
  <TitlesOfParts>
    <vt:vector size="17" baseType="lpstr">
      <vt:lpstr>합계04</vt:lpstr>
      <vt:lpstr>네이버APP04</vt:lpstr>
      <vt:lpstr>네이버PC04</vt:lpstr>
      <vt:lpstr>리디북스04</vt:lpstr>
      <vt:lpstr>미스터블루04</vt:lpstr>
      <vt:lpstr>북큐브04</vt:lpstr>
      <vt:lpstr>원스토어04</vt:lpstr>
      <vt:lpstr>카카오04</vt:lpstr>
      <vt:lpstr>하이북04</vt:lpstr>
      <vt:lpstr>네이버APP04!Extract</vt:lpstr>
      <vt:lpstr>네이버PC04!Extract</vt:lpstr>
      <vt:lpstr>리디북스04!Extract</vt:lpstr>
      <vt:lpstr>미스터블루04!Extract</vt:lpstr>
      <vt:lpstr>북큐브04!Extract</vt:lpstr>
      <vt:lpstr>원스토어04!Extract</vt:lpstr>
      <vt:lpstr>카카오04!Extract</vt:lpstr>
      <vt:lpstr>하이북04!Extract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 Park</dc:creator>
  <cp:lastModifiedBy>storywiz</cp:lastModifiedBy>
  <dcterms:created xsi:type="dcterms:W3CDTF">2022-05-10T07:31:39Z</dcterms:created>
  <dcterms:modified xsi:type="dcterms:W3CDTF">2022-05-12T17:51:30Z</dcterms:modified>
</cp:coreProperties>
</file>