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B2B16332-B125-504A-985E-91C8BDBBD4FB}" xr6:coauthVersionLast="47" xr6:coauthVersionMax="47" xr10:uidLastSave="{00000000-0000-0000-0000-000000000000}"/>
  <bookViews>
    <workbookView xWindow="2740" yWindow="1520" windowWidth="28100" windowHeight="17380" xr2:uid="{F449261E-4B64-AE41-81D8-0CA00996A290}"/>
  </bookViews>
  <sheets>
    <sheet name="알라딘 26년 2월" sheetId="1" r:id="rId1"/>
  </sheets>
  <definedNames>
    <definedName name="_xlnm._FilterDatabase" localSheetId="0" hidden="1">'알라딘 26년 2월'!$A$1:$N$3267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  <c r="L1773" i="1"/>
  <c r="M1773" i="1"/>
  <c r="L1774" i="1"/>
  <c r="M1774" i="1"/>
  <c r="L1775" i="1"/>
  <c r="M1775" i="1"/>
  <c r="L1776" i="1"/>
  <c r="M1776" i="1"/>
  <c r="L1777" i="1"/>
  <c r="M1777" i="1"/>
  <c r="L1778" i="1"/>
  <c r="M1778" i="1"/>
  <c r="L1779" i="1"/>
  <c r="M1779" i="1"/>
  <c r="L1780" i="1"/>
  <c r="M1780" i="1"/>
  <c r="L1781" i="1"/>
  <c r="M1781" i="1"/>
  <c r="L1782" i="1"/>
  <c r="M1782" i="1"/>
  <c r="L1783" i="1"/>
  <c r="M1783" i="1"/>
  <c r="L1784" i="1"/>
  <c r="M1784" i="1"/>
  <c r="L1785" i="1"/>
  <c r="M1785" i="1"/>
  <c r="L1786" i="1"/>
  <c r="M1786" i="1"/>
  <c r="L1787" i="1"/>
  <c r="M1787" i="1"/>
  <c r="L1788" i="1"/>
  <c r="M1788" i="1"/>
  <c r="L1789" i="1"/>
  <c r="M1789" i="1"/>
  <c r="L1790" i="1"/>
  <c r="M1790" i="1"/>
  <c r="L1791" i="1"/>
  <c r="M1791" i="1"/>
  <c r="L1792" i="1"/>
  <c r="M1792" i="1"/>
  <c r="L1793" i="1"/>
  <c r="M1793" i="1"/>
  <c r="L1794" i="1"/>
  <c r="M1794" i="1"/>
  <c r="L1795" i="1"/>
  <c r="M1795" i="1"/>
  <c r="L1796" i="1"/>
  <c r="M1796" i="1"/>
  <c r="L1797" i="1"/>
  <c r="M1797" i="1"/>
  <c r="L1798" i="1"/>
  <c r="M1798" i="1"/>
  <c r="L1799" i="1"/>
  <c r="M1799" i="1"/>
  <c r="L1800" i="1"/>
  <c r="M1800" i="1"/>
  <c r="L1801" i="1"/>
  <c r="M1801" i="1"/>
  <c r="L1802" i="1"/>
  <c r="M1802" i="1"/>
  <c r="L1803" i="1"/>
  <c r="M1803" i="1"/>
  <c r="L1804" i="1"/>
  <c r="M1804" i="1"/>
  <c r="L1805" i="1"/>
  <c r="M1805" i="1"/>
  <c r="L1806" i="1"/>
  <c r="M1806" i="1"/>
  <c r="L1807" i="1"/>
  <c r="M1807" i="1"/>
  <c r="L1808" i="1"/>
  <c r="M1808" i="1"/>
  <c r="L1809" i="1"/>
  <c r="M1809" i="1"/>
  <c r="L1810" i="1"/>
  <c r="M1810" i="1"/>
  <c r="L1811" i="1"/>
  <c r="M1811" i="1"/>
  <c r="L1812" i="1"/>
  <c r="M1812" i="1"/>
  <c r="L1813" i="1"/>
  <c r="M1813" i="1"/>
  <c r="L1814" i="1"/>
  <c r="M1814" i="1"/>
  <c r="L1815" i="1"/>
  <c r="M1815" i="1"/>
  <c r="L1816" i="1"/>
  <c r="M1816" i="1"/>
  <c r="L1817" i="1"/>
  <c r="M1817" i="1"/>
  <c r="L1818" i="1"/>
  <c r="M1818" i="1"/>
  <c r="L1819" i="1"/>
  <c r="M1819" i="1"/>
  <c r="L1820" i="1"/>
  <c r="M1820" i="1"/>
  <c r="L1821" i="1"/>
  <c r="M1821" i="1"/>
  <c r="L1822" i="1"/>
  <c r="M1822" i="1"/>
  <c r="L1823" i="1"/>
  <c r="M1823" i="1"/>
  <c r="L1824" i="1"/>
  <c r="M1824" i="1"/>
  <c r="L1825" i="1"/>
  <c r="M1825" i="1"/>
  <c r="L1826" i="1"/>
  <c r="M1826" i="1"/>
  <c r="L1827" i="1"/>
  <c r="M1827" i="1"/>
  <c r="L1828" i="1"/>
  <c r="M1828" i="1"/>
  <c r="L1829" i="1"/>
  <c r="M1829" i="1"/>
  <c r="L1830" i="1"/>
  <c r="M1830" i="1"/>
  <c r="L1831" i="1"/>
  <c r="M1831" i="1"/>
  <c r="L1832" i="1"/>
  <c r="M1832" i="1"/>
  <c r="L1833" i="1"/>
  <c r="M1833" i="1"/>
  <c r="L1834" i="1"/>
  <c r="M1834" i="1"/>
  <c r="L1835" i="1"/>
  <c r="M1835" i="1"/>
  <c r="L1836" i="1"/>
  <c r="M1836" i="1"/>
  <c r="L1837" i="1"/>
  <c r="M1837" i="1"/>
  <c r="L1838" i="1"/>
  <c r="M1838" i="1"/>
  <c r="L1839" i="1"/>
  <c r="M1839" i="1"/>
  <c r="L1840" i="1"/>
  <c r="M1840" i="1"/>
  <c r="L1841" i="1"/>
  <c r="M1841" i="1"/>
  <c r="L1842" i="1"/>
  <c r="M1842" i="1"/>
  <c r="L1843" i="1"/>
  <c r="M1843" i="1"/>
  <c r="L1844" i="1"/>
  <c r="M1844" i="1"/>
  <c r="L1845" i="1"/>
  <c r="M1845" i="1"/>
  <c r="L1846" i="1"/>
  <c r="M1846" i="1"/>
  <c r="L1847" i="1"/>
  <c r="M1847" i="1"/>
  <c r="L1848" i="1"/>
  <c r="M1848" i="1"/>
  <c r="L1849" i="1"/>
  <c r="M1849" i="1"/>
  <c r="L1850" i="1"/>
  <c r="M1850" i="1"/>
  <c r="L1851" i="1"/>
  <c r="M1851" i="1"/>
  <c r="L1852" i="1"/>
  <c r="M1852" i="1"/>
  <c r="L1853" i="1"/>
  <c r="M1853" i="1"/>
  <c r="L1854" i="1"/>
  <c r="M1854" i="1"/>
  <c r="L1855" i="1"/>
  <c r="M1855" i="1"/>
  <c r="L1856" i="1"/>
  <c r="M1856" i="1"/>
  <c r="L1857" i="1"/>
  <c r="M1857" i="1"/>
  <c r="L1858" i="1"/>
  <c r="M1858" i="1"/>
  <c r="L1859" i="1"/>
  <c r="M1859" i="1"/>
  <c r="L1860" i="1"/>
  <c r="M1860" i="1"/>
  <c r="L1861" i="1"/>
  <c r="M1861" i="1"/>
  <c r="L1862" i="1"/>
  <c r="M1862" i="1"/>
  <c r="L1863" i="1"/>
  <c r="M1863" i="1"/>
  <c r="L1864" i="1"/>
  <c r="M1864" i="1"/>
  <c r="L1865" i="1"/>
  <c r="M1865" i="1"/>
  <c r="L1866" i="1"/>
  <c r="M1866" i="1"/>
  <c r="L1867" i="1"/>
  <c r="M1867" i="1"/>
  <c r="L1868" i="1"/>
  <c r="M1868" i="1"/>
  <c r="L1869" i="1"/>
  <c r="M1869" i="1"/>
  <c r="L1870" i="1"/>
  <c r="M1870" i="1"/>
  <c r="L1871" i="1"/>
  <c r="M1871" i="1"/>
  <c r="L1872" i="1"/>
  <c r="M1872" i="1"/>
  <c r="L1873" i="1"/>
  <c r="M1873" i="1"/>
  <c r="L1874" i="1"/>
  <c r="M1874" i="1"/>
  <c r="L1875" i="1"/>
  <c r="M1875" i="1"/>
  <c r="L1876" i="1"/>
  <c r="M1876" i="1"/>
  <c r="L1877" i="1"/>
  <c r="M1877" i="1"/>
  <c r="L1878" i="1"/>
  <c r="M1878" i="1"/>
  <c r="L1879" i="1"/>
  <c r="M1879" i="1"/>
  <c r="L1880" i="1"/>
  <c r="M1880" i="1"/>
  <c r="L1881" i="1"/>
  <c r="M1881" i="1"/>
  <c r="L1882" i="1"/>
  <c r="M1882" i="1"/>
  <c r="L1883" i="1"/>
  <c r="M1883" i="1"/>
  <c r="L1884" i="1"/>
  <c r="M1884" i="1"/>
  <c r="L1885" i="1"/>
  <c r="M1885" i="1"/>
  <c r="L1886" i="1"/>
  <c r="M1886" i="1"/>
  <c r="L1887" i="1"/>
  <c r="M1887" i="1"/>
  <c r="L1888" i="1"/>
  <c r="M1888" i="1"/>
  <c r="L1889" i="1"/>
  <c r="M1889" i="1"/>
  <c r="L1890" i="1"/>
  <c r="M1890" i="1"/>
  <c r="L1891" i="1"/>
  <c r="M1891" i="1"/>
  <c r="L1892" i="1"/>
  <c r="M1892" i="1"/>
  <c r="L1893" i="1"/>
  <c r="M1893" i="1"/>
  <c r="L1894" i="1"/>
  <c r="M1894" i="1"/>
  <c r="L1895" i="1"/>
  <c r="M1895" i="1"/>
  <c r="L1896" i="1"/>
  <c r="M1896" i="1"/>
  <c r="L1897" i="1"/>
  <c r="M1897" i="1"/>
  <c r="L1898" i="1"/>
  <c r="M1898" i="1"/>
  <c r="L1899" i="1"/>
  <c r="M1899" i="1"/>
  <c r="L1900" i="1"/>
  <c r="M1900" i="1"/>
  <c r="L1901" i="1"/>
  <c r="M1901" i="1"/>
  <c r="L1902" i="1"/>
  <c r="M1902" i="1"/>
  <c r="L1903" i="1"/>
  <c r="M1903" i="1"/>
  <c r="L1904" i="1"/>
  <c r="M1904" i="1"/>
  <c r="L1905" i="1"/>
  <c r="M1905" i="1"/>
  <c r="L1906" i="1"/>
  <c r="M1906" i="1"/>
  <c r="L1907" i="1"/>
  <c r="M1907" i="1"/>
  <c r="L1908" i="1"/>
  <c r="M1908" i="1"/>
  <c r="L1909" i="1"/>
  <c r="M1909" i="1"/>
  <c r="L1910" i="1"/>
  <c r="M1910" i="1"/>
  <c r="L1911" i="1"/>
  <c r="M1911" i="1"/>
  <c r="L1912" i="1"/>
  <c r="M1912" i="1"/>
  <c r="L1913" i="1"/>
  <c r="M1913" i="1"/>
  <c r="L1914" i="1"/>
  <c r="M1914" i="1"/>
  <c r="L1915" i="1"/>
  <c r="M1915" i="1"/>
  <c r="L1916" i="1"/>
  <c r="M1916" i="1"/>
  <c r="L1917" i="1"/>
  <c r="M1917" i="1"/>
  <c r="L1918" i="1"/>
  <c r="M1918" i="1"/>
  <c r="L1919" i="1"/>
  <c r="M1919" i="1"/>
  <c r="L1920" i="1"/>
  <c r="M1920" i="1"/>
  <c r="L1921" i="1"/>
  <c r="M1921" i="1"/>
  <c r="L1922" i="1"/>
  <c r="M1922" i="1"/>
  <c r="L1923" i="1"/>
  <c r="M1923" i="1"/>
  <c r="L1924" i="1"/>
  <c r="M1924" i="1"/>
  <c r="L1925" i="1"/>
  <c r="M1925" i="1"/>
  <c r="L1926" i="1"/>
  <c r="M1926" i="1"/>
  <c r="L1927" i="1"/>
  <c r="M1927" i="1"/>
  <c r="L1928" i="1"/>
  <c r="M1928" i="1"/>
  <c r="L1929" i="1"/>
  <c r="M1929" i="1"/>
  <c r="L1930" i="1"/>
  <c r="M1930" i="1"/>
  <c r="L1931" i="1"/>
  <c r="M1931" i="1"/>
  <c r="L1932" i="1"/>
  <c r="M1932" i="1"/>
  <c r="L1933" i="1"/>
  <c r="M1933" i="1"/>
  <c r="L1934" i="1"/>
  <c r="M1934" i="1"/>
  <c r="L1935" i="1"/>
  <c r="M1935" i="1"/>
  <c r="L1936" i="1"/>
  <c r="M1936" i="1"/>
  <c r="L1937" i="1"/>
  <c r="M1937" i="1"/>
  <c r="L1938" i="1"/>
  <c r="M1938" i="1"/>
  <c r="L1939" i="1"/>
  <c r="M1939" i="1"/>
  <c r="L1940" i="1"/>
  <c r="M1940" i="1"/>
  <c r="L1941" i="1"/>
  <c r="M1941" i="1"/>
  <c r="L1942" i="1"/>
  <c r="M1942" i="1"/>
  <c r="L1943" i="1"/>
  <c r="M1943" i="1"/>
  <c r="L1944" i="1"/>
  <c r="M1944" i="1"/>
  <c r="L1945" i="1"/>
  <c r="M1945" i="1"/>
  <c r="L1946" i="1"/>
  <c r="M1946" i="1"/>
  <c r="L1947" i="1"/>
  <c r="M1947" i="1"/>
  <c r="L1948" i="1"/>
  <c r="M1948" i="1"/>
  <c r="L1949" i="1"/>
  <c r="M1949" i="1"/>
  <c r="L1950" i="1"/>
  <c r="M1950" i="1"/>
  <c r="L1951" i="1"/>
  <c r="M1951" i="1"/>
  <c r="L1952" i="1"/>
  <c r="M1952" i="1"/>
  <c r="L1953" i="1"/>
  <c r="M1953" i="1"/>
  <c r="L1954" i="1"/>
  <c r="M1954" i="1"/>
  <c r="L1955" i="1"/>
  <c r="M1955" i="1"/>
  <c r="L1956" i="1"/>
  <c r="M1956" i="1"/>
  <c r="L1957" i="1"/>
  <c r="M1957" i="1"/>
  <c r="L1958" i="1"/>
  <c r="M1958" i="1"/>
  <c r="L1959" i="1"/>
  <c r="M1959" i="1"/>
  <c r="L1960" i="1"/>
  <c r="M1960" i="1"/>
  <c r="L1961" i="1"/>
  <c r="M1961" i="1"/>
  <c r="L1962" i="1"/>
  <c r="M1962" i="1"/>
  <c r="L1963" i="1"/>
  <c r="M1963" i="1"/>
  <c r="L1964" i="1"/>
  <c r="M1964" i="1"/>
  <c r="L1965" i="1"/>
  <c r="M1965" i="1"/>
  <c r="L1966" i="1"/>
  <c r="M1966" i="1"/>
  <c r="L1967" i="1"/>
  <c r="M1967" i="1"/>
  <c r="L1968" i="1"/>
  <c r="M1968" i="1"/>
  <c r="L1969" i="1"/>
  <c r="M1969" i="1"/>
  <c r="L1970" i="1"/>
  <c r="M1970" i="1"/>
  <c r="L1971" i="1"/>
  <c r="M1971" i="1"/>
  <c r="L1972" i="1"/>
  <c r="M1972" i="1"/>
  <c r="L1973" i="1"/>
  <c r="M1973" i="1"/>
  <c r="L1974" i="1"/>
  <c r="M1974" i="1"/>
  <c r="L1975" i="1"/>
  <c r="M1975" i="1"/>
  <c r="L1976" i="1"/>
  <c r="M1976" i="1"/>
  <c r="L1977" i="1"/>
  <c r="M1977" i="1"/>
  <c r="L1978" i="1"/>
  <c r="M1978" i="1"/>
  <c r="L1979" i="1"/>
  <c r="M1979" i="1"/>
  <c r="L1980" i="1"/>
  <c r="M1980" i="1"/>
  <c r="L1981" i="1"/>
  <c r="M1981" i="1"/>
  <c r="L1982" i="1"/>
  <c r="M1982" i="1"/>
  <c r="L1983" i="1"/>
  <c r="M1983" i="1"/>
  <c r="L1984" i="1"/>
  <c r="M1984" i="1"/>
  <c r="L1985" i="1"/>
  <c r="M1985" i="1"/>
  <c r="L1986" i="1"/>
  <c r="M1986" i="1"/>
  <c r="L1987" i="1"/>
  <c r="M1987" i="1"/>
  <c r="L1988" i="1"/>
  <c r="M1988" i="1"/>
  <c r="L1989" i="1"/>
  <c r="M1989" i="1"/>
  <c r="L1990" i="1"/>
  <c r="M1990" i="1"/>
  <c r="L1991" i="1"/>
  <c r="M1991" i="1"/>
  <c r="L1992" i="1"/>
  <c r="M1992" i="1"/>
  <c r="L1993" i="1"/>
  <c r="M1993" i="1"/>
  <c r="L1994" i="1"/>
  <c r="M1994" i="1"/>
  <c r="L1995" i="1"/>
  <c r="M1995" i="1"/>
  <c r="L1996" i="1"/>
  <c r="M1996" i="1"/>
  <c r="L1997" i="1"/>
  <c r="M1997" i="1"/>
  <c r="L1998" i="1"/>
  <c r="M1998" i="1"/>
  <c r="L1999" i="1"/>
  <c r="M1999" i="1"/>
  <c r="L2000" i="1"/>
  <c r="M2000" i="1"/>
  <c r="L2001" i="1"/>
  <c r="M2001" i="1"/>
  <c r="L2002" i="1"/>
  <c r="M2002" i="1"/>
  <c r="L2003" i="1"/>
  <c r="M2003" i="1"/>
  <c r="L2004" i="1"/>
  <c r="M2004" i="1"/>
  <c r="L2005" i="1"/>
  <c r="M2005" i="1"/>
  <c r="L2006" i="1"/>
  <c r="M2006" i="1"/>
  <c r="L2007" i="1"/>
  <c r="M2007" i="1"/>
  <c r="L2008" i="1"/>
  <c r="M2008" i="1"/>
  <c r="L2009" i="1"/>
  <c r="M2009" i="1"/>
  <c r="L2010" i="1"/>
  <c r="M2010" i="1"/>
  <c r="L2011" i="1"/>
  <c r="M2011" i="1"/>
  <c r="L2012" i="1"/>
  <c r="M2012" i="1"/>
  <c r="L2013" i="1"/>
  <c r="M2013" i="1"/>
  <c r="L2014" i="1"/>
  <c r="M2014" i="1"/>
  <c r="L2015" i="1"/>
  <c r="M2015" i="1"/>
  <c r="L2016" i="1"/>
  <c r="M2016" i="1"/>
  <c r="L2017" i="1"/>
  <c r="M2017" i="1"/>
  <c r="L2018" i="1"/>
  <c r="M2018" i="1"/>
  <c r="L2019" i="1"/>
  <c r="M2019" i="1"/>
  <c r="L2020" i="1"/>
  <c r="M2020" i="1"/>
  <c r="L2021" i="1"/>
  <c r="M2021" i="1"/>
  <c r="L2022" i="1"/>
  <c r="M2022" i="1"/>
  <c r="L2023" i="1"/>
  <c r="M2023" i="1"/>
  <c r="L2024" i="1"/>
  <c r="M2024" i="1"/>
  <c r="L2025" i="1"/>
  <c r="M2025" i="1"/>
  <c r="L2026" i="1"/>
  <c r="M2026" i="1"/>
  <c r="L2027" i="1"/>
  <c r="M2027" i="1"/>
  <c r="L2028" i="1"/>
  <c r="M2028" i="1"/>
  <c r="L2029" i="1"/>
  <c r="M2029" i="1"/>
  <c r="L2030" i="1"/>
  <c r="M2030" i="1"/>
  <c r="L2031" i="1"/>
  <c r="M2031" i="1"/>
  <c r="L2032" i="1"/>
  <c r="M2032" i="1"/>
  <c r="L2033" i="1"/>
  <c r="M2033" i="1"/>
  <c r="L2034" i="1"/>
  <c r="M2034" i="1"/>
  <c r="L2035" i="1"/>
  <c r="M2035" i="1"/>
  <c r="L2036" i="1"/>
  <c r="M2036" i="1"/>
  <c r="L2037" i="1"/>
  <c r="M2037" i="1"/>
  <c r="L2038" i="1"/>
  <c r="M2038" i="1"/>
  <c r="L2039" i="1"/>
  <c r="M2039" i="1"/>
  <c r="L2040" i="1"/>
  <c r="M2040" i="1"/>
  <c r="L2041" i="1"/>
  <c r="M2041" i="1"/>
  <c r="L2042" i="1"/>
  <c r="M2042" i="1"/>
  <c r="L2043" i="1"/>
  <c r="M2043" i="1"/>
  <c r="L2044" i="1"/>
  <c r="M2044" i="1"/>
  <c r="L2045" i="1"/>
  <c r="M2045" i="1"/>
  <c r="L2046" i="1"/>
  <c r="M2046" i="1"/>
  <c r="L2047" i="1"/>
  <c r="M2047" i="1"/>
  <c r="L2048" i="1"/>
  <c r="M2048" i="1"/>
  <c r="L2049" i="1"/>
  <c r="M2049" i="1"/>
  <c r="L2050" i="1"/>
  <c r="M2050" i="1"/>
  <c r="L2051" i="1"/>
  <c r="M2051" i="1"/>
  <c r="L2052" i="1"/>
  <c r="M2052" i="1"/>
  <c r="L2053" i="1"/>
  <c r="M2053" i="1"/>
  <c r="L2054" i="1"/>
  <c r="M2054" i="1"/>
  <c r="L2055" i="1"/>
  <c r="M2055" i="1"/>
  <c r="L2056" i="1"/>
  <c r="M2056" i="1"/>
  <c r="L2057" i="1"/>
  <c r="M2057" i="1"/>
  <c r="L2058" i="1"/>
  <c r="M2058" i="1"/>
  <c r="L2059" i="1"/>
  <c r="M2059" i="1"/>
  <c r="L2060" i="1"/>
  <c r="M2060" i="1"/>
  <c r="L2061" i="1"/>
  <c r="M2061" i="1"/>
  <c r="L2062" i="1"/>
  <c r="M2062" i="1"/>
  <c r="L2063" i="1"/>
  <c r="M2063" i="1"/>
  <c r="L2064" i="1"/>
  <c r="M2064" i="1"/>
  <c r="L2065" i="1"/>
  <c r="M2065" i="1"/>
  <c r="L2066" i="1"/>
  <c r="M2066" i="1"/>
  <c r="L2067" i="1"/>
  <c r="M2067" i="1"/>
  <c r="L2068" i="1"/>
  <c r="M2068" i="1"/>
  <c r="L2069" i="1"/>
  <c r="M2069" i="1"/>
  <c r="L2070" i="1"/>
  <c r="M2070" i="1"/>
  <c r="L2071" i="1"/>
  <c r="M2071" i="1"/>
  <c r="L2072" i="1"/>
  <c r="M2072" i="1"/>
  <c r="L2073" i="1"/>
  <c r="M2073" i="1"/>
  <c r="L2074" i="1"/>
  <c r="M2074" i="1"/>
  <c r="L2075" i="1"/>
  <c r="M2075" i="1"/>
  <c r="L2076" i="1"/>
  <c r="M2076" i="1"/>
  <c r="L2077" i="1"/>
  <c r="M2077" i="1"/>
  <c r="L2078" i="1"/>
  <c r="M2078" i="1"/>
  <c r="L2079" i="1"/>
  <c r="M2079" i="1"/>
  <c r="L2080" i="1"/>
  <c r="M2080" i="1"/>
  <c r="L2081" i="1"/>
  <c r="M2081" i="1"/>
  <c r="L2082" i="1"/>
  <c r="M2082" i="1"/>
  <c r="L2083" i="1"/>
  <c r="M2083" i="1"/>
  <c r="L2084" i="1"/>
  <c r="M2084" i="1"/>
  <c r="L2085" i="1"/>
  <c r="M2085" i="1"/>
  <c r="L2086" i="1"/>
  <c r="M2086" i="1"/>
  <c r="L2087" i="1"/>
  <c r="M2087" i="1"/>
  <c r="L2088" i="1"/>
  <c r="M2088" i="1"/>
  <c r="L2089" i="1"/>
  <c r="M2089" i="1"/>
  <c r="L2090" i="1"/>
  <c r="M2090" i="1"/>
  <c r="L2091" i="1"/>
  <c r="M2091" i="1"/>
  <c r="L2092" i="1"/>
  <c r="M2092" i="1"/>
  <c r="L2093" i="1"/>
  <c r="M2093" i="1"/>
  <c r="L2094" i="1"/>
  <c r="M2094" i="1"/>
  <c r="L2095" i="1"/>
  <c r="M2095" i="1"/>
  <c r="L2096" i="1"/>
  <c r="M2096" i="1"/>
  <c r="L2097" i="1"/>
  <c r="M2097" i="1"/>
  <c r="L2098" i="1"/>
  <c r="M2098" i="1"/>
  <c r="L2099" i="1"/>
  <c r="M2099" i="1"/>
  <c r="L2100" i="1"/>
  <c r="M2100" i="1"/>
  <c r="L2101" i="1"/>
  <c r="M2101" i="1"/>
  <c r="L2102" i="1"/>
  <c r="M2102" i="1"/>
  <c r="L2103" i="1"/>
  <c r="M2103" i="1"/>
  <c r="L2104" i="1"/>
  <c r="M2104" i="1"/>
  <c r="L2105" i="1"/>
  <c r="M2105" i="1"/>
  <c r="L2106" i="1"/>
  <c r="M2106" i="1"/>
  <c r="L2107" i="1"/>
  <c r="M2107" i="1"/>
  <c r="L2108" i="1"/>
  <c r="M2108" i="1"/>
  <c r="L2109" i="1"/>
  <c r="M2109" i="1"/>
  <c r="L2110" i="1"/>
  <c r="M2110" i="1"/>
  <c r="L2111" i="1"/>
  <c r="M2111" i="1"/>
  <c r="L2112" i="1"/>
  <c r="M2112" i="1"/>
  <c r="L2113" i="1"/>
  <c r="M2113" i="1"/>
  <c r="L2114" i="1"/>
  <c r="M2114" i="1"/>
  <c r="L2115" i="1"/>
  <c r="M2115" i="1"/>
  <c r="L2116" i="1"/>
  <c r="M2116" i="1"/>
  <c r="L2117" i="1"/>
  <c r="M2117" i="1"/>
  <c r="L2118" i="1"/>
  <c r="M2118" i="1"/>
  <c r="L2119" i="1"/>
  <c r="M2119" i="1"/>
  <c r="L2120" i="1"/>
  <c r="M2120" i="1"/>
  <c r="L2121" i="1"/>
  <c r="M2121" i="1"/>
  <c r="L2122" i="1"/>
  <c r="M2122" i="1"/>
  <c r="L2123" i="1"/>
  <c r="M2123" i="1"/>
  <c r="L2124" i="1"/>
  <c r="M2124" i="1"/>
  <c r="L2125" i="1"/>
  <c r="M2125" i="1"/>
  <c r="L2126" i="1"/>
  <c r="M2126" i="1"/>
  <c r="L2127" i="1"/>
  <c r="M2127" i="1"/>
  <c r="L2128" i="1"/>
  <c r="M2128" i="1"/>
  <c r="L2129" i="1"/>
  <c r="M2129" i="1"/>
  <c r="L2130" i="1"/>
  <c r="M2130" i="1"/>
  <c r="L2131" i="1"/>
  <c r="M2131" i="1"/>
  <c r="L2132" i="1"/>
  <c r="M2132" i="1"/>
  <c r="L2133" i="1"/>
  <c r="M2133" i="1"/>
  <c r="L2134" i="1"/>
  <c r="M2134" i="1"/>
  <c r="L2135" i="1"/>
  <c r="M2135" i="1"/>
  <c r="L2136" i="1"/>
  <c r="M2136" i="1"/>
  <c r="L2137" i="1"/>
  <c r="M2137" i="1"/>
  <c r="L2138" i="1"/>
  <c r="M2138" i="1"/>
  <c r="L2139" i="1"/>
  <c r="M2139" i="1"/>
  <c r="L2140" i="1"/>
  <c r="M2140" i="1"/>
  <c r="L2141" i="1"/>
  <c r="M2141" i="1"/>
  <c r="L2142" i="1"/>
  <c r="M2142" i="1"/>
  <c r="L2143" i="1"/>
  <c r="M2143" i="1"/>
  <c r="L2144" i="1"/>
  <c r="M2144" i="1"/>
  <c r="L2145" i="1"/>
  <c r="M2145" i="1"/>
  <c r="L2146" i="1"/>
  <c r="M2146" i="1"/>
  <c r="L2147" i="1"/>
  <c r="M2147" i="1"/>
  <c r="L2148" i="1"/>
  <c r="M2148" i="1"/>
  <c r="L2149" i="1"/>
  <c r="M2149" i="1"/>
  <c r="L2150" i="1"/>
  <c r="M2150" i="1"/>
  <c r="L2151" i="1"/>
  <c r="M2151" i="1"/>
  <c r="L2152" i="1"/>
  <c r="M2152" i="1"/>
  <c r="L2153" i="1"/>
  <c r="M2153" i="1"/>
  <c r="L2154" i="1"/>
  <c r="M2154" i="1"/>
  <c r="L2155" i="1"/>
  <c r="M2155" i="1"/>
  <c r="L2156" i="1"/>
  <c r="M2156" i="1"/>
  <c r="L2157" i="1"/>
  <c r="M2157" i="1"/>
  <c r="L2158" i="1"/>
  <c r="M2158" i="1"/>
  <c r="L2159" i="1"/>
  <c r="M2159" i="1"/>
  <c r="L2160" i="1"/>
  <c r="M2160" i="1"/>
  <c r="L2161" i="1"/>
  <c r="M2161" i="1"/>
  <c r="L2162" i="1"/>
  <c r="M2162" i="1"/>
  <c r="L2163" i="1"/>
  <c r="M2163" i="1"/>
  <c r="L2164" i="1"/>
  <c r="M2164" i="1"/>
  <c r="L2165" i="1"/>
  <c r="M2165" i="1"/>
  <c r="L2166" i="1"/>
  <c r="M2166" i="1"/>
  <c r="L2167" i="1"/>
  <c r="M2167" i="1"/>
  <c r="L2168" i="1"/>
  <c r="M2168" i="1"/>
  <c r="L2169" i="1"/>
  <c r="M2169" i="1"/>
  <c r="L2170" i="1"/>
  <c r="M2170" i="1"/>
  <c r="L2171" i="1"/>
  <c r="M2171" i="1"/>
  <c r="L2172" i="1"/>
  <c r="M2172" i="1"/>
  <c r="L2173" i="1"/>
  <c r="M2173" i="1"/>
  <c r="L2174" i="1"/>
  <c r="M2174" i="1"/>
  <c r="L2175" i="1"/>
  <c r="M2175" i="1"/>
  <c r="L2176" i="1"/>
  <c r="M2176" i="1"/>
  <c r="L2177" i="1"/>
  <c r="M2177" i="1"/>
  <c r="L2178" i="1"/>
  <c r="M2178" i="1"/>
  <c r="L2179" i="1"/>
  <c r="M2179" i="1"/>
  <c r="L2180" i="1"/>
  <c r="M2180" i="1"/>
  <c r="L2181" i="1"/>
  <c r="M2181" i="1"/>
  <c r="L2182" i="1"/>
  <c r="M2182" i="1"/>
  <c r="L2183" i="1"/>
  <c r="M2183" i="1"/>
  <c r="L2184" i="1"/>
  <c r="M2184" i="1"/>
  <c r="L2185" i="1"/>
  <c r="M2185" i="1"/>
  <c r="L2186" i="1"/>
  <c r="M2186" i="1"/>
  <c r="L2187" i="1"/>
  <c r="M2187" i="1"/>
  <c r="L2188" i="1"/>
  <c r="M2188" i="1"/>
  <c r="L2189" i="1"/>
  <c r="M2189" i="1"/>
  <c r="L2190" i="1"/>
  <c r="M2190" i="1"/>
  <c r="L2191" i="1"/>
  <c r="M2191" i="1"/>
  <c r="L2192" i="1"/>
  <c r="M2192" i="1"/>
  <c r="L2193" i="1"/>
  <c r="M2193" i="1"/>
  <c r="L2194" i="1"/>
  <c r="M2194" i="1"/>
  <c r="L2195" i="1"/>
  <c r="M2195" i="1"/>
  <c r="L2196" i="1"/>
  <c r="M2196" i="1"/>
  <c r="L2197" i="1"/>
  <c r="M2197" i="1"/>
  <c r="L2198" i="1"/>
  <c r="M2198" i="1"/>
  <c r="L2199" i="1"/>
  <c r="M2199" i="1"/>
  <c r="L2200" i="1"/>
  <c r="M2200" i="1"/>
  <c r="L2201" i="1"/>
  <c r="M2201" i="1"/>
  <c r="L2202" i="1"/>
  <c r="M2202" i="1"/>
  <c r="L2203" i="1"/>
  <c r="M2203" i="1"/>
  <c r="L2204" i="1"/>
  <c r="M2204" i="1"/>
  <c r="L2205" i="1"/>
  <c r="M2205" i="1"/>
  <c r="L2206" i="1"/>
  <c r="M2206" i="1"/>
  <c r="L2207" i="1"/>
  <c r="M2207" i="1"/>
  <c r="L2208" i="1"/>
  <c r="M2208" i="1"/>
  <c r="L2209" i="1"/>
  <c r="M2209" i="1"/>
  <c r="L2210" i="1"/>
  <c r="M2210" i="1"/>
  <c r="L2211" i="1"/>
  <c r="M2211" i="1"/>
  <c r="L2212" i="1"/>
  <c r="M2212" i="1"/>
  <c r="L2213" i="1"/>
  <c r="M2213" i="1"/>
  <c r="L2214" i="1"/>
  <c r="M2214" i="1"/>
  <c r="L2215" i="1"/>
  <c r="M2215" i="1"/>
  <c r="L2216" i="1"/>
  <c r="M2216" i="1"/>
  <c r="L2217" i="1"/>
  <c r="M2217" i="1"/>
  <c r="L2218" i="1"/>
  <c r="M2218" i="1"/>
  <c r="L2219" i="1"/>
  <c r="M2219" i="1"/>
  <c r="L2220" i="1"/>
  <c r="M2220" i="1"/>
  <c r="L2221" i="1"/>
  <c r="M2221" i="1"/>
  <c r="L2222" i="1"/>
  <c r="M2222" i="1"/>
  <c r="L2223" i="1"/>
  <c r="M2223" i="1"/>
  <c r="L2224" i="1"/>
  <c r="M2224" i="1"/>
  <c r="L2225" i="1"/>
  <c r="M2225" i="1"/>
  <c r="L2226" i="1"/>
  <c r="M2226" i="1"/>
  <c r="L2227" i="1"/>
  <c r="M2227" i="1"/>
  <c r="L2228" i="1"/>
  <c r="M2228" i="1"/>
  <c r="L2229" i="1"/>
  <c r="M2229" i="1"/>
  <c r="L2230" i="1"/>
  <c r="M2230" i="1"/>
  <c r="L2231" i="1"/>
  <c r="M2231" i="1"/>
  <c r="L2232" i="1"/>
  <c r="M2232" i="1"/>
  <c r="L2233" i="1"/>
  <c r="M2233" i="1"/>
  <c r="L2234" i="1"/>
  <c r="M2234" i="1"/>
  <c r="L2235" i="1"/>
  <c r="M2235" i="1"/>
  <c r="L2236" i="1"/>
  <c r="M2236" i="1"/>
  <c r="L2237" i="1"/>
  <c r="M2237" i="1"/>
  <c r="L2238" i="1"/>
  <c r="M2238" i="1"/>
  <c r="L2239" i="1"/>
  <c r="M2239" i="1"/>
  <c r="L2240" i="1"/>
  <c r="M2240" i="1"/>
  <c r="L2241" i="1"/>
  <c r="M2241" i="1"/>
  <c r="L2242" i="1"/>
  <c r="M2242" i="1"/>
  <c r="L2243" i="1"/>
  <c r="M2243" i="1"/>
  <c r="L2244" i="1"/>
  <c r="M2244" i="1"/>
  <c r="L2245" i="1"/>
  <c r="M2245" i="1"/>
  <c r="L2246" i="1"/>
  <c r="M2246" i="1"/>
  <c r="L2247" i="1"/>
  <c r="M2247" i="1"/>
  <c r="L2248" i="1"/>
  <c r="M2248" i="1"/>
  <c r="L2249" i="1"/>
  <c r="M2249" i="1"/>
  <c r="L2250" i="1"/>
  <c r="M2250" i="1"/>
  <c r="L2251" i="1"/>
  <c r="M2251" i="1"/>
  <c r="L2252" i="1"/>
  <c r="M2252" i="1"/>
  <c r="L2253" i="1"/>
  <c r="M2253" i="1"/>
  <c r="L2254" i="1"/>
  <c r="M2254" i="1"/>
  <c r="L2255" i="1"/>
  <c r="M2255" i="1"/>
  <c r="L2256" i="1"/>
  <c r="M2256" i="1"/>
  <c r="L2257" i="1"/>
  <c r="M2257" i="1"/>
  <c r="L2258" i="1"/>
  <c r="M2258" i="1"/>
  <c r="L2259" i="1"/>
  <c r="M2259" i="1"/>
  <c r="L2260" i="1"/>
  <c r="M2260" i="1"/>
  <c r="L2261" i="1"/>
  <c r="M2261" i="1"/>
  <c r="L2262" i="1"/>
  <c r="M2262" i="1"/>
  <c r="L2263" i="1"/>
  <c r="M2263" i="1"/>
  <c r="L2264" i="1"/>
  <c r="M2264" i="1"/>
  <c r="L2265" i="1"/>
  <c r="M2265" i="1"/>
  <c r="L2266" i="1"/>
  <c r="M2266" i="1"/>
  <c r="L2267" i="1"/>
  <c r="M2267" i="1"/>
  <c r="L2268" i="1"/>
  <c r="M2268" i="1"/>
  <c r="L2269" i="1"/>
  <c r="M2269" i="1"/>
  <c r="L2270" i="1"/>
  <c r="M2270" i="1"/>
  <c r="L2271" i="1"/>
  <c r="M2271" i="1"/>
  <c r="L2272" i="1"/>
  <c r="M2272" i="1"/>
  <c r="L2273" i="1"/>
  <c r="M2273" i="1"/>
  <c r="L2274" i="1"/>
  <c r="M2274" i="1"/>
  <c r="L2275" i="1"/>
  <c r="M2275" i="1"/>
  <c r="L2276" i="1"/>
  <c r="M2276" i="1"/>
  <c r="L2277" i="1"/>
  <c r="M2277" i="1"/>
  <c r="L2278" i="1"/>
  <c r="M2278" i="1"/>
  <c r="L2279" i="1"/>
  <c r="M2279" i="1"/>
  <c r="L2280" i="1"/>
  <c r="M2280" i="1"/>
  <c r="L2281" i="1"/>
  <c r="M2281" i="1"/>
  <c r="L2282" i="1"/>
  <c r="M2282" i="1"/>
  <c r="L2283" i="1"/>
  <c r="M2283" i="1"/>
  <c r="L2284" i="1"/>
  <c r="M2284" i="1"/>
  <c r="L2285" i="1"/>
  <c r="M2285" i="1"/>
  <c r="L2286" i="1"/>
  <c r="M2286" i="1"/>
  <c r="L2287" i="1"/>
  <c r="M2287" i="1"/>
  <c r="L2288" i="1"/>
  <c r="M2288" i="1"/>
  <c r="L2289" i="1"/>
  <c r="M2289" i="1"/>
  <c r="L2290" i="1"/>
  <c r="M2290" i="1"/>
  <c r="L2291" i="1"/>
  <c r="M2291" i="1"/>
  <c r="L2292" i="1"/>
  <c r="M2292" i="1"/>
  <c r="L2293" i="1"/>
  <c r="M2293" i="1"/>
  <c r="L2294" i="1"/>
  <c r="M2294" i="1"/>
  <c r="L2295" i="1"/>
  <c r="M2295" i="1"/>
  <c r="L2296" i="1"/>
  <c r="M2296" i="1"/>
  <c r="L2297" i="1"/>
  <c r="M2297" i="1"/>
  <c r="L2298" i="1"/>
  <c r="M2298" i="1"/>
  <c r="L2299" i="1"/>
  <c r="M2299" i="1"/>
  <c r="L2300" i="1"/>
  <c r="M2300" i="1"/>
  <c r="L2301" i="1"/>
  <c r="M2301" i="1"/>
  <c r="L2302" i="1"/>
  <c r="M2302" i="1"/>
  <c r="L2303" i="1"/>
  <c r="M2303" i="1"/>
  <c r="L2304" i="1"/>
  <c r="M2304" i="1"/>
  <c r="L2305" i="1"/>
  <c r="M2305" i="1"/>
  <c r="L2306" i="1"/>
  <c r="M2306" i="1"/>
  <c r="L2307" i="1"/>
  <c r="M2307" i="1"/>
  <c r="L2308" i="1"/>
  <c r="M2308" i="1"/>
  <c r="L2309" i="1"/>
  <c r="M2309" i="1"/>
  <c r="L2310" i="1"/>
  <c r="M2310" i="1"/>
  <c r="L2311" i="1"/>
  <c r="M2311" i="1"/>
  <c r="L2312" i="1"/>
  <c r="M2312" i="1"/>
  <c r="L2313" i="1"/>
  <c r="M2313" i="1"/>
  <c r="L2314" i="1"/>
  <c r="M2314" i="1"/>
  <c r="L2315" i="1"/>
  <c r="M2315" i="1"/>
  <c r="L2316" i="1"/>
  <c r="M2316" i="1"/>
  <c r="L2317" i="1"/>
  <c r="M2317" i="1"/>
  <c r="L2318" i="1"/>
  <c r="M2318" i="1"/>
  <c r="L2319" i="1"/>
  <c r="M2319" i="1"/>
  <c r="L2320" i="1"/>
  <c r="M2320" i="1"/>
  <c r="L2321" i="1"/>
  <c r="M2321" i="1"/>
  <c r="L2322" i="1"/>
  <c r="M2322" i="1"/>
  <c r="L2323" i="1"/>
  <c r="M2323" i="1"/>
  <c r="L2324" i="1"/>
  <c r="M2324" i="1"/>
  <c r="L2325" i="1"/>
  <c r="M2325" i="1"/>
  <c r="L2326" i="1"/>
  <c r="M2326" i="1"/>
  <c r="L2327" i="1"/>
  <c r="M2327" i="1"/>
  <c r="L2328" i="1"/>
  <c r="M2328" i="1"/>
  <c r="L2329" i="1"/>
  <c r="M2329" i="1"/>
  <c r="L2330" i="1"/>
  <c r="M2330" i="1"/>
  <c r="L2331" i="1"/>
  <c r="M2331" i="1"/>
  <c r="L2332" i="1"/>
  <c r="M2332" i="1"/>
  <c r="L2333" i="1"/>
  <c r="M2333" i="1"/>
  <c r="L2334" i="1"/>
  <c r="M2334" i="1"/>
  <c r="L2335" i="1"/>
  <c r="M2335" i="1"/>
  <c r="L2336" i="1"/>
  <c r="M2336" i="1"/>
  <c r="L2337" i="1"/>
  <c r="M2337" i="1"/>
  <c r="L2338" i="1"/>
  <c r="M2338" i="1"/>
  <c r="L2339" i="1"/>
  <c r="M2339" i="1"/>
  <c r="L2340" i="1"/>
  <c r="M2340" i="1"/>
  <c r="L2341" i="1"/>
  <c r="M2341" i="1"/>
  <c r="L2342" i="1"/>
  <c r="M2342" i="1"/>
  <c r="L2343" i="1"/>
  <c r="M2343" i="1"/>
  <c r="L2344" i="1"/>
  <c r="M2344" i="1"/>
  <c r="L2345" i="1"/>
  <c r="M2345" i="1"/>
  <c r="L2346" i="1"/>
  <c r="M2346" i="1"/>
  <c r="L2347" i="1"/>
  <c r="M2347" i="1"/>
  <c r="L2348" i="1"/>
  <c r="M2348" i="1"/>
  <c r="L2349" i="1"/>
  <c r="M2349" i="1"/>
  <c r="L2350" i="1"/>
  <c r="M2350" i="1"/>
  <c r="L2351" i="1"/>
  <c r="M2351" i="1"/>
  <c r="L2352" i="1"/>
  <c r="M2352" i="1"/>
  <c r="L2353" i="1"/>
  <c r="M2353" i="1"/>
  <c r="L2354" i="1"/>
  <c r="M2354" i="1"/>
  <c r="L2355" i="1"/>
  <c r="M2355" i="1"/>
  <c r="L2356" i="1"/>
  <c r="M2356" i="1"/>
  <c r="L2357" i="1"/>
  <c r="M2357" i="1"/>
  <c r="L2358" i="1"/>
  <c r="M2358" i="1"/>
  <c r="L2359" i="1"/>
  <c r="M2359" i="1"/>
  <c r="L2360" i="1"/>
  <c r="M2360" i="1"/>
  <c r="L2361" i="1"/>
  <c r="M2361" i="1"/>
  <c r="L2362" i="1"/>
  <c r="M2362" i="1"/>
  <c r="L2363" i="1"/>
  <c r="M2363" i="1"/>
  <c r="L2364" i="1"/>
  <c r="M2364" i="1"/>
  <c r="L2365" i="1"/>
  <c r="M2365" i="1"/>
  <c r="L2366" i="1"/>
  <c r="M2366" i="1"/>
  <c r="L2367" i="1"/>
  <c r="M2367" i="1"/>
  <c r="L2368" i="1"/>
  <c r="M2368" i="1"/>
  <c r="L2369" i="1"/>
  <c r="M2369" i="1"/>
  <c r="L2370" i="1"/>
  <c r="M2370" i="1"/>
  <c r="L2371" i="1"/>
  <c r="M2371" i="1"/>
  <c r="L2372" i="1"/>
  <c r="M2372" i="1"/>
  <c r="L2373" i="1"/>
  <c r="M2373" i="1"/>
  <c r="L2374" i="1"/>
  <c r="M2374" i="1"/>
  <c r="L2375" i="1"/>
  <c r="M2375" i="1"/>
  <c r="L2376" i="1"/>
  <c r="M2376" i="1"/>
  <c r="L2377" i="1"/>
  <c r="M2377" i="1"/>
  <c r="L2378" i="1"/>
  <c r="M2378" i="1"/>
  <c r="L2379" i="1"/>
  <c r="M2379" i="1"/>
  <c r="L2380" i="1"/>
  <c r="M2380" i="1"/>
  <c r="L2381" i="1"/>
  <c r="M2381" i="1"/>
  <c r="L2382" i="1"/>
  <c r="M2382" i="1"/>
  <c r="L2383" i="1"/>
  <c r="M2383" i="1"/>
  <c r="L2384" i="1"/>
  <c r="M2384" i="1"/>
  <c r="L2385" i="1"/>
  <c r="M2385" i="1"/>
  <c r="L2386" i="1"/>
  <c r="M2386" i="1"/>
  <c r="L2387" i="1"/>
  <c r="M2387" i="1"/>
  <c r="L2388" i="1"/>
  <c r="M2388" i="1"/>
  <c r="L2389" i="1"/>
  <c r="M2389" i="1"/>
  <c r="L2390" i="1"/>
  <c r="M2390" i="1"/>
  <c r="L2391" i="1"/>
  <c r="M2391" i="1"/>
  <c r="L2392" i="1"/>
  <c r="M2392" i="1"/>
  <c r="L2393" i="1"/>
  <c r="M2393" i="1"/>
  <c r="L2394" i="1"/>
  <c r="M2394" i="1"/>
  <c r="L2395" i="1"/>
  <c r="M2395" i="1"/>
  <c r="L2396" i="1"/>
  <c r="M2396" i="1"/>
  <c r="L2397" i="1"/>
  <c r="M2397" i="1"/>
  <c r="L2398" i="1"/>
  <c r="M2398" i="1"/>
  <c r="L2399" i="1"/>
  <c r="M2399" i="1"/>
  <c r="L2400" i="1"/>
  <c r="M2400" i="1"/>
  <c r="L2401" i="1"/>
  <c r="M2401" i="1"/>
  <c r="L2402" i="1"/>
  <c r="M2402" i="1"/>
  <c r="L2403" i="1"/>
  <c r="M2403" i="1"/>
  <c r="L2404" i="1"/>
  <c r="M2404" i="1"/>
  <c r="L2405" i="1"/>
  <c r="M2405" i="1"/>
  <c r="L2406" i="1"/>
  <c r="M2406" i="1"/>
  <c r="L2407" i="1"/>
  <c r="M2407" i="1"/>
  <c r="L2408" i="1"/>
  <c r="M2408" i="1"/>
  <c r="L2409" i="1"/>
  <c r="M2409" i="1"/>
  <c r="L2410" i="1"/>
  <c r="M2410" i="1"/>
  <c r="L2411" i="1"/>
  <c r="M2411" i="1"/>
  <c r="L2412" i="1"/>
  <c r="M2412" i="1"/>
  <c r="L2413" i="1"/>
  <c r="M2413" i="1"/>
  <c r="L2414" i="1"/>
  <c r="M2414" i="1"/>
  <c r="L2415" i="1"/>
  <c r="M2415" i="1"/>
  <c r="L2416" i="1"/>
  <c r="M2416" i="1"/>
  <c r="L2417" i="1"/>
  <c r="M2417" i="1"/>
  <c r="L2418" i="1"/>
  <c r="M2418" i="1"/>
  <c r="L2419" i="1"/>
  <c r="M2419" i="1"/>
  <c r="L2420" i="1"/>
  <c r="M2420" i="1"/>
  <c r="L2421" i="1"/>
  <c r="M2421" i="1"/>
  <c r="L2422" i="1"/>
  <c r="M2422" i="1"/>
  <c r="L2423" i="1"/>
  <c r="M2423" i="1"/>
  <c r="L2424" i="1"/>
  <c r="M2424" i="1"/>
  <c r="L2425" i="1"/>
  <c r="M2425" i="1"/>
  <c r="L2426" i="1"/>
  <c r="M2426" i="1"/>
  <c r="L2427" i="1"/>
  <c r="M2427" i="1"/>
  <c r="L2428" i="1"/>
  <c r="M2428" i="1"/>
  <c r="L2429" i="1"/>
  <c r="M2429" i="1"/>
  <c r="L2430" i="1"/>
  <c r="M2430" i="1"/>
  <c r="L2431" i="1"/>
  <c r="M2431" i="1"/>
  <c r="L2432" i="1"/>
  <c r="M2432" i="1"/>
  <c r="L2433" i="1"/>
  <c r="M2433" i="1"/>
  <c r="L2434" i="1"/>
  <c r="M2434" i="1"/>
  <c r="L2435" i="1"/>
  <c r="M2435" i="1"/>
  <c r="L2436" i="1"/>
  <c r="M2436" i="1"/>
  <c r="L2437" i="1"/>
  <c r="M2437" i="1"/>
  <c r="L2438" i="1"/>
  <c r="M2438" i="1"/>
  <c r="L2439" i="1"/>
  <c r="M2439" i="1"/>
  <c r="L2440" i="1"/>
  <c r="M2440" i="1"/>
  <c r="L2441" i="1"/>
  <c r="M2441" i="1"/>
  <c r="L2442" i="1"/>
  <c r="M2442" i="1"/>
  <c r="L2443" i="1"/>
  <c r="M2443" i="1"/>
  <c r="L2444" i="1"/>
  <c r="M2444" i="1"/>
  <c r="L2445" i="1"/>
  <c r="M2445" i="1"/>
  <c r="L2446" i="1"/>
  <c r="M2446" i="1"/>
  <c r="L2447" i="1"/>
  <c r="M2447" i="1"/>
  <c r="L2448" i="1"/>
  <c r="M2448" i="1"/>
  <c r="L2449" i="1"/>
  <c r="M2449" i="1"/>
  <c r="L2450" i="1"/>
  <c r="M2450" i="1"/>
  <c r="L2451" i="1"/>
  <c r="M2451" i="1"/>
  <c r="L2452" i="1"/>
  <c r="M2452" i="1"/>
  <c r="L2453" i="1"/>
  <c r="M2453" i="1"/>
  <c r="L2454" i="1"/>
  <c r="M2454" i="1"/>
  <c r="L2455" i="1"/>
  <c r="M2455" i="1"/>
  <c r="L2456" i="1"/>
  <c r="M2456" i="1"/>
  <c r="L2457" i="1"/>
  <c r="M2457" i="1"/>
  <c r="L2458" i="1"/>
  <c r="M2458" i="1"/>
  <c r="L2459" i="1"/>
  <c r="M2459" i="1"/>
  <c r="L2460" i="1"/>
  <c r="M2460" i="1"/>
  <c r="L2461" i="1"/>
  <c r="M2461" i="1"/>
  <c r="L2462" i="1"/>
  <c r="M2462" i="1"/>
  <c r="L2463" i="1"/>
  <c r="M2463" i="1"/>
  <c r="L2464" i="1"/>
  <c r="M2464" i="1"/>
  <c r="L2465" i="1"/>
  <c r="M2465" i="1"/>
  <c r="L2466" i="1"/>
  <c r="M2466" i="1"/>
  <c r="L2467" i="1"/>
  <c r="M2467" i="1"/>
  <c r="L2468" i="1"/>
  <c r="M2468" i="1"/>
  <c r="L2469" i="1"/>
  <c r="M2469" i="1"/>
  <c r="L2470" i="1"/>
  <c r="M2470" i="1"/>
  <c r="L2471" i="1"/>
  <c r="M2471" i="1"/>
  <c r="L2472" i="1"/>
  <c r="M2472" i="1"/>
  <c r="L2473" i="1"/>
  <c r="M2473" i="1"/>
  <c r="L2474" i="1"/>
  <c r="M2474" i="1"/>
  <c r="L2475" i="1"/>
  <c r="M2475" i="1"/>
  <c r="L2476" i="1"/>
  <c r="M2476" i="1"/>
  <c r="L2477" i="1"/>
  <c r="M2477" i="1"/>
  <c r="L2478" i="1"/>
  <c r="M2478" i="1"/>
  <c r="L2479" i="1"/>
  <c r="M2479" i="1"/>
  <c r="L2480" i="1"/>
  <c r="M2480" i="1"/>
  <c r="L2481" i="1"/>
  <c r="M2481" i="1"/>
  <c r="L2482" i="1"/>
  <c r="M2482" i="1"/>
  <c r="L2483" i="1"/>
  <c r="M2483" i="1"/>
  <c r="L2484" i="1"/>
  <c r="M2484" i="1"/>
  <c r="L2485" i="1"/>
  <c r="M2485" i="1"/>
  <c r="L2486" i="1"/>
  <c r="M2486" i="1"/>
  <c r="L2487" i="1"/>
  <c r="M2487" i="1"/>
  <c r="L2488" i="1"/>
  <c r="M2488" i="1"/>
  <c r="L2489" i="1"/>
  <c r="M2489" i="1"/>
  <c r="L2490" i="1"/>
  <c r="M2490" i="1"/>
  <c r="L2491" i="1"/>
  <c r="M2491" i="1"/>
  <c r="L2492" i="1"/>
  <c r="M2492" i="1"/>
  <c r="L2493" i="1"/>
  <c r="M2493" i="1"/>
  <c r="L2494" i="1"/>
  <c r="M2494" i="1"/>
  <c r="L2495" i="1"/>
  <c r="M2495" i="1"/>
  <c r="L2496" i="1"/>
  <c r="M2496" i="1"/>
  <c r="L2497" i="1"/>
  <c r="M2497" i="1"/>
  <c r="L2498" i="1"/>
  <c r="M2498" i="1"/>
  <c r="L2499" i="1"/>
  <c r="M2499" i="1"/>
  <c r="L2500" i="1"/>
  <c r="M2500" i="1"/>
  <c r="L2501" i="1"/>
  <c r="M2501" i="1"/>
  <c r="L2502" i="1"/>
  <c r="M2502" i="1"/>
  <c r="L2503" i="1"/>
  <c r="M2503" i="1"/>
  <c r="L2504" i="1"/>
  <c r="M2504" i="1"/>
  <c r="L2505" i="1"/>
  <c r="M2505" i="1"/>
  <c r="L2506" i="1"/>
  <c r="M2506" i="1"/>
  <c r="L2507" i="1"/>
  <c r="M2507" i="1"/>
  <c r="L2508" i="1"/>
  <c r="M2508" i="1"/>
  <c r="L2509" i="1"/>
  <c r="M2509" i="1"/>
  <c r="L2510" i="1"/>
  <c r="M2510" i="1"/>
  <c r="L2511" i="1"/>
  <c r="M2511" i="1"/>
  <c r="L2512" i="1"/>
  <c r="M2512" i="1"/>
  <c r="L2513" i="1"/>
  <c r="M2513" i="1"/>
  <c r="L2514" i="1"/>
  <c r="M2514" i="1"/>
  <c r="L2515" i="1"/>
  <c r="M2515" i="1"/>
  <c r="L2516" i="1"/>
  <c r="M2516" i="1"/>
  <c r="L2517" i="1"/>
  <c r="M2517" i="1"/>
  <c r="L2518" i="1"/>
  <c r="M2518" i="1"/>
  <c r="L2519" i="1"/>
  <c r="M2519" i="1"/>
  <c r="L2520" i="1"/>
  <c r="M2520" i="1"/>
  <c r="L2521" i="1"/>
  <c r="M2521" i="1"/>
  <c r="L2522" i="1"/>
  <c r="M2522" i="1"/>
  <c r="L2523" i="1"/>
  <c r="M2523" i="1"/>
  <c r="L2524" i="1"/>
  <c r="M2524" i="1"/>
  <c r="L2525" i="1"/>
  <c r="M2525" i="1"/>
  <c r="L2526" i="1"/>
  <c r="M2526" i="1"/>
  <c r="L2527" i="1"/>
  <c r="M2527" i="1"/>
  <c r="L2528" i="1"/>
  <c r="M2528" i="1"/>
  <c r="L2529" i="1"/>
  <c r="M2529" i="1"/>
  <c r="L2530" i="1"/>
  <c r="M2530" i="1"/>
  <c r="L2531" i="1"/>
  <c r="M2531" i="1"/>
  <c r="L2532" i="1"/>
  <c r="M2532" i="1"/>
  <c r="L2533" i="1"/>
  <c r="M2533" i="1"/>
  <c r="L2534" i="1"/>
  <c r="M2534" i="1"/>
  <c r="L2535" i="1"/>
  <c r="M2535" i="1"/>
  <c r="L2536" i="1"/>
  <c r="M2536" i="1"/>
  <c r="L2537" i="1"/>
  <c r="M2537" i="1"/>
  <c r="L2538" i="1"/>
  <c r="M2538" i="1"/>
  <c r="L2539" i="1"/>
  <c r="M2539" i="1"/>
  <c r="L2540" i="1"/>
  <c r="M2540" i="1"/>
  <c r="L2541" i="1"/>
  <c r="M2541" i="1"/>
  <c r="L2542" i="1"/>
  <c r="M2542" i="1"/>
  <c r="L2543" i="1"/>
  <c r="M2543" i="1"/>
  <c r="L2544" i="1"/>
  <c r="M2544" i="1"/>
  <c r="L2545" i="1"/>
  <c r="M2545" i="1"/>
  <c r="L2546" i="1"/>
  <c r="M2546" i="1"/>
  <c r="L2547" i="1"/>
  <c r="M2547" i="1"/>
  <c r="L2548" i="1"/>
  <c r="M2548" i="1"/>
  <c r="L2549" i="1"/>
  <c r="M2549" i="1"/>
  <c r="L2550" i="1"/>
  <c r="M2550" i="1"/>
  <c r="L2551" i="1"/>
  <c r="M2551" i="1"/>
  <c r="L2552" i="1"/>
  <c r="M2552" i="1"/>
  <c r="L2553" i="1"/>
  <c r="M2553" i="1"/>
  <c r="L2554" i="1"/>
  <c r="M2554" i="1"/>
  <c r="L2555" i="1"/>
  <c r="M2555" i="1"/>
  <c r="L2556" i="1"/>
  <c r="M2556" i="1"/>
  <c r="L2557" i="1"/>
  <c r="M2557" i="1"/>
  <c r="L2558" i="1"/>
  <c r="M2558" i="1"/>
  <c r="L2559" i="1"/>
  <c r="M2559" i="1"/>
  <c r="L2560" i="1"/>
  <c r="M2560" i="1"/>
  <c r="L2561" i="1"/>
  <c r="M2561" i="1"/>
  <c r="L2562" i="1"/>
  <c r="M2562" i="1"/>
  <c r="L2563" i="1"/>
  <c r="M2563" i="1"/>
  <c r="L2564" i="1"/>
  <c r="M2564" i="1"/>
  <c r="L2565" i="1"/>
  <c r="M2565" i="1"/>
  <c r="L2566" i="1"/>
  <c r="M2566" i="1"/>
  <c r="L2567" i="1"/>
  <c r="M2567" i="1"/>
  <c r="L2568" i="1"/>
  <c r="M2568" i="1"/>
  <c r="L2569" i="1"/>
  <c r="M2569" i="1"/>
  <c r="L2570" i="1"/>
  <c r="M2570" i="1"/>
  <c r="L2571" i="1"/>
  <c r="M2571" i="1"/>
  <c r="L2572" i="1"/>
  <c r="M2572" i="1"/>
  <c r="L2573" i="1"/>
  <c r="M2573" i="1"/>
  <c r="L2574" i="1"/>
  <c r="M2574" i="1"/>
  <c r="L2575" i="1"/>
  <c r="M2575" i="1"/>
  <c r="L2576" i="1"/>
  <c r="M2576" i="1"/>
  <c r="L2577" i="1"/>
  <c r="M2577" i="1"/>
  <c r="L2578" i="1"/>
  <c r="M2578" i="1"/>
  <c r="L2579" i="1"/>
  <c r="M2579" i="1"/>
  <c r="L2580" i="1"/>
  <c r="M2580" i="1"/>
  <c r="L2581" i="1"/>
  <c r="M2581" i="1"/>
  <c r="L2582" i="1"/>
  <c r="M2582" i="1"/>
  <c r="L2583" i="1"/>
  <c r="M2583" i="1"/>
  <c r="L2584" i="1"/>
  <c r="M2584" i="1"/>
  <c r="L2585" i="1"/>
  <c r="M2585" i="1"/>
  <c r="L2586" i="1"/>
  <c r="M2586" i="1"/>
  <c r="L2587" i="1"/>
  <c r="M2587" i="1"/>
  <c r="L2588" i="1"/>
  <c r="M2588" i="1"/>
  <c r="L2589" i="1"/>
  <c r="M2589" i="1"/>
  <c r="L2590" i="1"/>
  <c r="M2590" i="1"/>
  <c r="L2591" i="1"/>
  <c r="M2591" i="1"/>
  <c r="L2592" i="1"/>
  <c r="M2592" i="1"/>
  <c r="L2593" i="1"/>
  <c r="M2593" i="1"/>
  <c r="L2594" i="1"/>
  <c r="M2594" i="1"/>
  <c r="L2595" i="1"/>
  <c r="M2595" i="1"/>
  <c r="L2596" i="1"/>
  <c r="M2596" i="1"/>
  <c r="L2597" i="1"/>
  <c r="M2597" i="1"/>
  <c r="L2598" i="1"/>
  <c r="M2598" i="1"/>
  <c r="L2599" i="1"/>
  <c r="M2599" i="1"/>
  <c r="L2600" i="1"/>
  <c r="M2600" i="1"/>
  <c r="L2601" i="1"/>
  <c r="M2601" i="1"/>
  <c r="L2602" i="1"/>
  <c r="M2602" i="1"/>
  <c r="L2603" i="1"/>
  <c r="M2603" i="1"/>
  <c r="L2604" i="1"/>
  <c r="M2604" i="1"/>
  <c r="L2605" i="1"/>
  <c r="M2605" i="1"/>
  <c r="L2606" i="1"/>
  <c r="M2606" i="1"/>
  <c r="L2607" i="1"/>
  <c r="M2607" i="1"/>
  <c r="L2608" i="1"/>
  <c r="M2608" i="1"/>
  <c r="L2609" i="1"/>
  <c r="M2609" i="1"/>
  <c r="L2610" i="1"/>
  <c r="M2610" i="1"/>
  <c r="L2611" i="1"/>
  <c r="M2611" i="1"/>
  <c r="L2612" i="1"/>
  <c r="M2612" i="1"/>
  <c r="L2613" i="1"/>
  <c r="M2613" i="1"/>
  <c r="L2614" i="1"/>
  <c r="M2614" i="1"/>
  <c r="L2615" i="1"/>
  <c r="M2615" i="1"/>
  <c r="L2616" i="1"/>
  <c r="M2616" i="1"/>
  <c r="L2617" i="1"/>
  <c r="M2617" i="1"/>
  <c r="L2618" i="1"/>
  <c r="M2618" i="1"/>
  <c r="L2619" i="1"/>
  <c r="M2619" i="1"/>
  <c r="L2620" i="1"/>
  <c r="M2620" i="1"/>
  <c r="L2621" i="1"/>
  <c r="M2621" i="1"/>
  <c r="L2622" i="1"/>
  <c r="M2622" i="1"/>
  <c r="L2623" i="1"/>
  <c r="M2623" i="1"/>
  <c r="L2624" i="1"/>
  <c r="M2624" i="1"/>
  <c r="L2625" i="1"/>
  <c r="M2625" i="1"/>
  <c r="L2626" i="1"/>
  <c r="M2626" i="1"/>
  <c r="L2627" i="1"/>
  <c r="M2627" i="1"/>
  <c r="L2628" i="1"/>
  <c r="M2628" i="1"/>
  <c r="L2629" i="1"/>
  <c r="M2629" i="1"/>
  <c r="L2630" i="1"/>
  <c r="M2630" i="1"/>
  <c r="L2631" i="1"/>
  <c r="M2631" i="1"/>
  <c r="L2632" i="1"/>
  <c r="M2632" i="1"/>
  <c r="L2633" i="1"/>
  <c r="M2633" i="1"/>
  <c r="L2634" i="1"/>
  <c r="M2634" i="1"/>
  <c r="L2635" i="1"/>
  <c r="M2635" i="1"/>
  <c r="L2636" i="1"/>
  <c r="M2636" i="1"/>
  <c r="L2637" i="1"/>
  <c r="M2637" i="1"/>
  <c r="L2638" i="1"/>
  <c r="M2638" i="1"/>
  <c r="L2639" i="1"/>
  <c r="M2639" i="1"/>
  <c r="L2640" i="1"/>
  <c r="M2640" i="1"/>
  <c r="L2641" i="1"/>
  <c r="M2641" i="1"/>
  <c r="L2642" i="1"/>
  <c r="M2642" i="1"/>
  <c r="L2643" i="1"/>
  <c r="M2643" i="1"/>
  <c r="L2644" i="1"/>
  <c r="M2644" i="1"/>
  <c r="L2645" i="1"/>
  <c r="M2645" i="1"/>
  <c r="L2646" i="1"/>
  <c r="M2646" i="1"/>
  <c r="L2647" i="1"/>
  <c r="M2647" i="1"/>
  <c r="L2648" i="1"/>
  <c r="M2648" i="1"/>
  <c r="L2649" i="1"/>
  <c r="M2649" i="1"/>
  <c r="L2650" i="1"/>
  <c r="M2650" i="1"/>
  <c r="L2651" i="1"/>
  <c r="M2651" i="1"/>
  <c r="L2652" i="1"/>
  <c r="M2652" i="1"/>
  <c r="L2653" i="1"/>
  <c r="M2653" i="1"/>
  <c r="L2654" i="1"/>
  <c r="M2654" i="1"/>
  <c r="L2655" i="1"/>
  <c r="M2655" i="1"/>
  <c r="L2656" i="1"/>
  <c r="M2656" i="1"/>
  <c r="L2657" i="1"/>
  <c r="M2657" i="1"/>
  <c r="L2658" i="1"/>
  <c r="M2658" i="1"/>
  <c r="L2659" i="1"/>
  <c r="M2659" i="1"/>
  <c r="L2660" i="1"/>
  <c r="M2660" i="1"/>
  <c r="L2661" i="1"/>
  <c r="M2661" i="1"/>
  <c r="L2662" i="1"/>
  <c r="M2662" i="1"/>
  <c r="L2663" i="1"/>
  <c r="M2663" i="1"/>
  <c r="L2664" i="1"/>
  <c r="M2664" i="1"/>
  <c r="L2665" i="1"/>
  <c r="M2665" i="1"/>
  <c r="L2666" i="1"/>
  <c r="M2666" i="1"/>
  <c r="L2667" i="1"/>
  <c r="M2667" i="1"/>
  <c r="L2668" i="1"/>
  <c r="M2668" i="1"/>
  <c r="L2669" i="1"/>
  <c r="M2669" i="1"/>
  <c r="L2670" i="1"/>
  <c r="M2670" i="1"/>
  <c r="L2671" i="1"/>
  <c r="M2671" i="1"/>
  <c r="L2672" i="1"/>
  <c r="M2672" i="1"/>
  <c r="L2673" i="1"/>
  <c r="M2673" i="1"/>
  <c r="L2674" i="1"/>
  <c r="M2674" i="1"/>
  <c r="L2675" i="1"/>
  <c r="M2675" i="1"/>
  <c r="L2676" i="1"/>
  <c r="M2676" i="1"/>
  <c r="L2677" i="1"/>
  <c r="M2677" i="1"/>
  <c r="L2678" i="1"/>
  <c r="M2678" i="1"/>
  <c r="L2679" i="1"/>
  <c r="M2679" i="1"/>
  <c r="L2680" i="1"/>
  <c r="M2680" i="1"/>
  <c r="L2681" i="1"/>
  <c r="M2681" i="1"/>
  <c r="L2682" i="1"/>
  <c r="M2682" i="1"/>
  <c r="L2683" i="1"/>
  <c r="M2683" i="1"/>
  <c r="L2684" i="1"/>
  <c r="M2684" i="1"/>
  <c r="L2685" i="1"/>
  <c r="M2685" i="1"/>
  <c r="L2686" i="1"/>
  <c r="M2686" i="1"/>
  <c r="L2687" i="1"/>
  <c r="M2687" i="1"/>
  <c r="L2688" i="1"/>
  <c r="M2688" i="1"/>
  <c r="L2689" i="1"/>
  <c r="M2689" i="1"/>
  <c r="L2690" i="1"/>
  <c r="M2690" i="1"/>
  <c r="L2691" i="1"/>
  <c r="M2691" i="1"/>
  <c r="L2692" i="1"/>
  <c r="M2692" i="1"/>
  <c r="L2693" i="1"/>
  <c r="M2693" i="1"/>
  <c r="L2694" i="1"/>
  <c r="M2694" i="1"/>
  <c r="L2695" i="1"/>
  <c r="M2695" i="1"/>
  <c r="L2696" i="1"/>
  <c r="M2696" i="1"/>
  <c r="L2697" i="1"/>
  <c r="M2697" i="1"/>
  <c r="L2698" i="1"/>
  <c r="M2698" i="1"/>
  <c r="L2699" i="1"/>
  <c r="M2699" i="1"/>
  <c r="L2700" i="1"/>
  <c r="M2700" i="1"/>
  <c r="L2701" i="1"/>
  <c r="M2701" i="1"/>
  <c r="L2702" i="1"/>
  <c r="M2702" i="1"/>
  <c r="L2703" i="1"/>
  <c r="M2703" i="1"/>
  <c r="L2704" i="1"/>
  <c r="M2704" i="1"/>
  <c r="L2705" i="1"/>
  <c r="M2705" i="1"/>
  <c r="L2706" i="1"/>
  <c r="M2706" i="1"/>
  <c r="L2707" i="1"/>
  <c r="M2707" i="1"/>
  <c r="L2708" i="1"/>
  <c r="M2708" i="1"/>
  <c r="L2709" i="1"/>
  <c r="M2709" i="1"/>
  <c r="L2710" i="1"/>
  <c r="M2710" i="1"/>
  <c r="L2711" i="1"/>
  <c r="M2711" i="1"/>
  <c r="L2712" i="1"/>
  <c r="M2712" i="1"/>
  <c r="L2713" i="1"/>
  <c r="M2713" i="1"/>
  <c r="L2714" i="1"/>
  <c r="M2714" i="1"/>
  <c r="L2715" i="1"/>
  <c r="M2715" i="1"/>
  <c r="L2716" i="1"/>
  <c r="M2716" i="1"/>
  <c r="L2717" i="1"/>
  <c r="M2717" i="1"/>
  <c r="L2718" i="1"/>
  <c r="M2718" i="1"/>
  <c r="L2719" i="1"/>
  <c r="M2719" i="1"/>
  <c r="L2720" i="1"/>
  <c r="M2720" i="1"/>
  <c r="L2721" i="1"/>
  <c r="M2721" i="1"/>
  <c r="L2722" i="1"/>
  <c r="M2722" i="1"/>
  <c r="L2723" i="1"/>
  <c r="M2723" i="1"/>
  <c r="L2724" i="1"/>
  <c r="M2724" i="1"/>
  <c r="L2725" i="1"/>
  <c r="M2725" i="1"/>
  <c r="L2726" i="1"/>
  <c r="M2726" i="1"/>
  <c r="L2727" i="1"/>
  <c r="M2727" i="1"/>
  <c r="L2728" i="1"/>
  <c r="M2728" i="1"/>
  <c r="L2729" i="1"/>
  <c r="M2729" i="1"/>
  <c r="L2730" i="1"/>
  <c r="M2730" i="1"/>
  <c r="L2731" i="1"/>
  <c r="M2731" i="1"/>
  <c r="L2732" i="1"/>
  <c r="M2732" i="1"/>
  <c r="L2733" i="1"/>
  <c r="M2733" i="1"/>
  <c r="L2734" i="1"/>
  <c r="M2734" i="1"/>
  <c r="L2735" i="1"/>
  <c r="M2735" i="1"/>
  <c r="L2736" i="1"/>
  <c r="M2736" i="1"/>
  <c r="L2737" i="1"/>
  <c r="M2737" i="1"/>
  <c r="L2738" i="1"/>
  <c r="M2738" i="1"/>
  <c r="L2739" i="1"/>
  <c r="M2739" i="1"/>
  <c r="L2740" i="1"/>
  <c r="M2740" i="1"/>
  <c r="L2741" i="1"/>
  <c r="M2741" i="1"/>
  <c r="L2742" i="1"/>
  <c r="M2742" i="1"/>
  <c r="L2743" i="1"/>
  <c r="M2743" i="1"/>
  <c r="L2744" i="1"/>
  <c r="M2744" i="1"/>
  <c r="L2745" i="1"/>
  <c r="M2745" i="1"/>
  <c r="L2746" i="1"/>
  <c r="M2746" i="1"/>
  <c r="L2747" i="1"/>
  <c r="M2747" i="1"/>
  <c r="L2748" i="1"/>
  <c r="M2748" i="1"/>
  <c r="L2749" i="1"/>
  <c r="M2749" i="1"/>
  <c r="L2750" i="1"/>
  <c r="M2750" i="1"/>
  <c r="L2751" i="1"/>
  <c r="M2751" i="1"/>
  <c r="L2752" i="1"/>
  <c r="M2752" i="1"/>
  <c r="L2753" i="1"/>
  <c r="M2753" i="1"/>
  <c r="L2754" i="1"/>
  <c r="M2754" i="1"/>
  <c r="L2755" i="1"/>
  <c r="M2755" i="1"/>
  <c r="L2756" i="1"/>
  <c r="M2756" i="1"/>
  <c r="L2757" i="1"/>
  <c r="M2757" i="1"/>
  <c r="L2758" i="1"/>
  <c r="M2758" i="1"/>
  <c r="L2759" i="1"/>
  <c r="M2759" i="1"/>
  <c r="L2760" i="1"/>
  <c r="M2760" i="1"/>
  <c r="L2761" i="1"/>
  <c r="M2761" i="1"/>
  <c r="L2762" i="1"/>
  <c r="M2762" i="1"/>
  <c r="L2763" i="1"/>
  <c r="M2763" i="1"/>
  <c r="L2764" i="1"/>
  <c r="M2764" i="1"/>
  <c r="L2765" i="1"/>
  <c r="M2765" i="1"/>
  <c r="L2766" i="1"/>
  <c r="M2766" i="1"/>
  <c r="L2767" i="1"/>
  <c r="M2767" i="1"/>
  <c r="L2768" i="1"/>
  <c r="M2768" i="1"/>
  <c r="L2769" i="1"/>
  <c r="M2769" i="1"/>
  <c r="L2770" i="1"/>
  <c r="M2770" i="1"/>
  <c r="L2771" i="1"/>
  <c r="M2771" i="1"/>
  <c r="L2772" i="1"/>
  <c r="M2772" i="1"/>
  <c r="L2773" i="1"/>
  <c r="M2773" i="1"/>
  <c r="L2774" i="1"/>
  <c r="M2774" i="1"/>
  <c r="L2775" i="1"/>
  <c r="M2775" i="1"/>
  <c r="L2776" i="1"/>
  <c r="M2776" i="1"/>
  <c r="L2777" i="1"/>
  <c r="M2777" i="1"/>
  <c r="L2778" i="1"/>
  <c r="M2778" i="1"/>
  <c r="L2779" i="1"/>
  <c r="M2779" i="1"/>
  <c r="L2780" i="1"/>
  <c r="M2780" i="1"/>
  <c r="L2781" i="1"/>
  <c r="M2781" i="1"/>
  <c r="L2782" i="1"/>
  <c r="M2782" i="1"/>
  <c r="L2783" i="1"/>
  <c r="M2783" i="1"/>
  <c r="L2784" i="1"/>
  <c r="M2784" i="1"/>
  <c r="L2785" i="1"/>
  <c r="M2785" i="1"/>
  <c r="L2786" i="1"/>
  <c r="M2786" i="1"/>
  <c r="L2787" i="1"/>
  <c r="M2787" i="1"/>
  <c r="L2788" i="1"/>
  <c r="M2788" i="1"/>
  <c r="L2789" i="1"/>
  <c r="M2789" i="1"/>
  <c r="L2790" i="1"/>
  <c r="M2790" i="1"/>
  <c r="L2791" i="1"/>
  <c r="M2791" i="1"/>
  <c r="L2792" i="1"/>
  <c r="M2792" i="1"/>
  <c r="L2793" i="1"/>
  <c r="M2793" i="1"/>
  <c r="L2794" i="1"/>
  <c r="M2794" i="1"/>
  <c r="L2795" i="1"/>
  <c r="M2795" i="1"/>
  <c r="L2796" i="1"/>
  <c r="M2796" i="1"/>
  <c r="L2797" i="1"/>
  <c r="M2797" i="1"/>
  <c r="L2798" i="1"/>
  <c r="M2798" i="1"/>
  <c r="L2799" i="1"/>
  <c r="M2799" i="1"/>
  <c r="L2800" i="1"/>
  <c r="M2800" i="1"/>
  <c r="L2801" i="1"/>
  <c r="M2801" i="1"/>
  <c r="L2802" i="1"/>
  <c r="M2802" i="1"/>
  <c r="L2803" i="1"/>
  <c r="M2803" i="1"/>
  <c r="L2804" i="1"/>
  <c r="M2804" i="1"/>
  <c r="L2805" i="1"/>
  <c r="M2805" i="1"/>
  <c r="L2806" i="1"/>
  <c r="M2806" i="1"/>
  <c r="L2807" i="1"/>
  <c r="M2807" i="1"/>
  <c r="L2808" i="1"/>
  <c r="M2808" i="1"/>
  <c r="L2809" i="1"/>
  <c r="M2809" i="1"/>
  <c r="L2810" i="1"/>
  <c r="M2810" i="1"/>
  <c r="L2811" i="1"/>
  <c r="M2811" i="1"/>
  <c r="L2812" i="1"/>
  <c r="M2812" i="1"/>
  <c r="L2813" i="1"/>
  <c r="M2813" i="1"/>
  <c r="L2814" i="1"/>
  <c r="M2814" i="1"/>
  <c r="L2815" i="1"/>
  <c r="M2815" i="1"/>
  <c r="L2816" i="1"/>
  <c r="M2816" i="1"/>
  <c r="L2817" i="1"/>
  <c r="M2817" i="1"/>
  <c r="L2818" i="1"/>
  <c r="M2818" i="1"/>
  <c r="L2819" i="1"/>
  <c r="M2819" i="1"/>
  <c r="L2820" i="1"/>
  <c r="M2820" i="1"/>
  <c r="L2821" i="1"/>
  <c r="M2821" i="1"/>
  <c r="L2822" i="1"/>
  <c r="M2822" i="1"/>
  <c r="L2823" i="1"/>
  <c r="M2823" i="1"/>
  <c r="L2824" i="1"/>
  <c r="M2824" i="1"/>
  <c r="L2825" i="1"/>
  <c r="M2825" i="1"/>
  <c r="L2826" i="1"/>
  <c r="M2826" i="1"/>
  <c r="L2827" i="1"/>
  <c r="M2827" i="1"/>
  <c r="L2828" i="1"/>
  <c r="M2828" i="1"/>
  <c r="L2829" i="1"/>
  <c r="M2829" i="1"/>
  <c r="L2830" i="1"/>
  <c r="M2830" i="1"/>
  <c r="L2831" i="1"/>
  <c r="M2831" i="1"/>
  <c r="L2832" i="1"/>
  <c r="M2832" i="1"/>
  <c r="L2833" i="1"/>
  <c r="M2833" i="1"/>
  <c r="L2834" i="1"/>
  <c r="M2834" i="1"/>
  <c r="L2835" i="1"/>
  <c r="M2835" i="1"/>
  <c r="L2836" i="1"/>
  <c r="M2836" i="1"/>
  <c r="L2837" i="1"/>
  <c r="M2837" i="1"/>
  <c r="L2838" i="1"/>
  <c r="M2838" i="1"/>
  <c r="L2839" i="1"/>
  <c r="M2839" i="1"/>
  <c r="L2840" i="1"/>
  <c r="M2840" i="1"/>
  <c r="L2841" i="1"/>
  <c r="M2841" i="1"/>
  <c r="L2842" i="1"/>
  <c r="M2842" i="1"/>
  <c r="L2843" i="1"/>
  <c r="M2843" i="1"/>
  <c r="L2844" i="1"/>
  <c r="M2844" i="1"/>
  <c r="L2845" i="1"/>
  <c r="M2845" i="1"/>
  <c r="L2846" i="1"/>
  <c r="M2846" i="1"/>
  <c r="L2847" i="1"/>
  <c r="M2847" i="1"/>
  <c r="L2848" i="1"/>
  <c r="M2848" i="1"/>
  <c r="L2849" i="1"/>
  <c r="M2849" i="1"/>
  <c r="L2850" i="1"/>
  <c r="M2850" i="1"/>
  <c r="L2851" i="1"/>
  <c r="M2851" i="1"/>
  <c r="L2852" i="1"/>
  <c r="M2852" i="1"/>
  <c r="L2853" i="1"/>
  <c r="M2853" i="1"/>
  <c r="L2854" i="1"/>
  <c r="M2854" i="1"/>
  <c r="L2855" i="1"/>
  <c r="M2855" i="1"/>
  <c r="L2856" i="1"/>
  <c r="M2856" i="1"/>
  <c r="L2857" i="1"/>
  <c r="M2857" i="1"/>
  <c r="L2858" i="1"/>
  <c r="M2858" i="1"/>
  <c r="L2859" i="1"/>
  <c r="M2859" i="1"/>
  <c r="L2860" i="1"/>
  <c r="M2860" i="1"/>
  <c r="L2861" i="1"/>
  <c r="M2861" i="1"/>
  <c r="L2862" i="1"/>
  <c r="M2862" i="1"/>
  <c r="L2863" i="1"/>
  <c r="M2863" i="1"/>
  <c r="L2864" i="1"/>
  <c r="M2864" i="1"/>
  <c r="L2865" i="1"/>
  <c r="M2865" i="1"/>
  <c r="L2866" i="1"/>
  <c r="M2866" i="1"/>
  <c r="L2867" i="1"/>
  <c r="M2867" i="1"/>
  <c r="L2868" i="1"/>
  <c r="M2868" i="1"/>
  <c r="L2869" i="1"/>
  <c r="M2869" i="1"/>
  <c r="L2870" i="1"/>
  <c r="M2870" i="1"/>
  <c r="L2871" i="1"/>
  <c r="M2871" i="1"/>
  <c r="L2872" i="1"/>
  <c r="M2872" i="1"/>
  <c r="L2873" i="1"/>
  <c r="M2873" i="1"/>
  <c r="L2874" i="1"/>
  <c r="M2874" i="1"/>
  <c r="L2875" i="1"/>
  <c r="M2875" i="1"/>
  <c r="L2876" i="1"/>
  <c r="M2876" i="1"/>
  <c r="L2877" i="1"/>
  <c r="M2877" i="1"/>
  <c r="L2878" i="1"/>
  <c r="M2878" i="1"/>
  <c r="L2879" i="1"/>
  <c r="M2879" i="1"/>
  <c r="L2880" i="1"/>
  <c r="M2880" i="1"/>
  <c r="L2881" i="1"/>
  <c r="M2881" i="1"/>
  <c r="L2882" i="1"/>
  <c r="M2882" i="1"/>
  <c r="L2883" i="1"/>
  <c r="M2883" i="1"/>
  <c r="L2884" i="1"/>
  <c r="M2884" i="1"/>
  <c r="L2885" i="1"/>
  <c r="M2885" i="1"/>
  <c r="L2886" i="1"/>
  <c r="M2886" i="1"/>
  <c r="L2887" i="1"/>
  <c r="M2887" i="1"/>
  <c r="L2888" i="1"/>
  <c r="M2888" i="1"/>
  <c r="L2889" i="1"/>
  <c r="M2889" i="1"/>
  <c r="L2890" i="1"/>
  <c r="M2890" i="1"/>
  <c r="L2891" i="1"/>
  <c r="M2891" i="1"/>
  <c r="L2892" i="1"/>
  <c r="M2892" i="1"/>
  <c r="L2893" i="1"/>
  <c r="M2893" i="1"/>
  <c r="L2894" i="1"/>
  <c r="M2894" i="1"/>
  <c r="L2895" i="1"/>
  <c r="M2895" i="1"/>
  <c r="L2896" i="1"/>
  <c r="M2896" i="1"/>
  <c r="L2897" i="1"/>
  <c r="M2897" i="1"/>
  <c r="L2898" i="1"/>
  <c r="M2898" i="1"/>
  <c r="L2899" i="1"/>
  <c r="M2899" i="1"/>
  <c r="L2900" i="1"/>
  <c r="M2900" i="1"/>
  <c r="L2901" i="1"/>
  <c r="M2901" i="1"/>
  <c r="L2902" i="1"/>
  <c r="M2902" i="1"/>
  <c r="L2903" i="1"/>
  <c r="M2903" i="1"/>
  <c r="L2904" i="1"/>
  <c r="M2904" i="1"/>
  <c r="L2905" i="1"/>
  <c r="M2905" i="1"/>
  <c r="L2906" i="1"/>
  <c r="M2906" i="1"/>
  <c r="L2907" i="1"/>
  <c r="M2907" i="1"/>
  <c r="L2908" i="1"/>
  <c r="M2908" i="1"/>
  <c r="L2909" i="1"/>
  <c r="M2909" i="1"/>
  <c r="L2910" i="1"/>
  <c r="M2910" i="1"/>
  <c r="L2911" i="1"/>
  <c r="M2911" i="1"/>
  <c r="L2912" i="1"/>
  <c r="M2912" i="1"/>
  <c r="L2913" i="1"/>
  <c r="M2913" i="1"/>
  <c r="L2914" i="1"/>
  <c r="M2914" i="1"/>
  <c r="L2915" i="1"/>
  <c r="M2915" i="1"/>
  <c r="L2916" i="1"/>
  <c r="M2916" i="1"/>
  <c r="L2917" i="1"/>
  <c r="M2917" i="1"/>
  <c r="L2918" i="1"/>
  <c r="M2918" i="1"/>
  <c r="L2919" i="1"/>
  <c r="M2919" i="1"/>
  <c r="L2920" i="1"/>
  <c r="M2920" i="1"/>
  <c r="L2921" i="1"/>
  <c r="M2921" i="1"/>
  <c r="L2922" i="1"/>
  <c r="M2922" i="1"/>
  <c r="L2923" i="1"/>
  <c r="M2923" i="1"/>
  <c r="L2924" i="1"/>
  <c r="M2924" i="1"/>
  <c r="L2925" i="1"/>
  <c r="M2925" i="1"/>
  <c r="L2926" i="1"/>
  <c r="M2926" i="1"/>
  <c r="L2927" i="1"/>
  <c r="M2927" i="1"/>
  <c r="L2928" i="1"/>
  <c r="M2928" i="1"/>
  <c r="L2929" i="1"/>
  <c r="M2929" i="1"/>
  <c r="L2930" i="1"/>
  <c r="M2930" i="1"/>
  <c r="L2931" i="1"/>
  <c r="M2931" i="1"/>
  <c r="L2932" i="1"/>
  <c r="M2932" i="1"/>
  <c r="L2933" i="1"/>
  <c r="M2933" i="1"/>
  <c r="L2934" i="1"/>
  <c r="M2934" i="1"/>
  <c r="L2935" i="1"/>
  <c r="M2935" i="1"/>
  <c r="L2936" i="1"/>
  <c r="M2936" i="1"/>
  <c r="L2937" i="1"/>
  <c r="M2937" i="1"/>
  <c r="L2938" i="1"/>
  <c r="M2938" i="1"/>
  <c r="L2939" i="1"/>
  <c r="M2939" i="1"/>
  <c r="L2940" i="1"/>
  <c r="M2940" i="1"/>
  <c r="L2941" i="1"/>
  <c r="M2941" i="1"/>
  <c r="L2942" i="1"/>
  <c r="M2942" i="1"/>
  <c r="L2943" i="1"/>
  <c r="M2943" i="1"/>
  <c r="L2944" i="1"/>
  <c r="M2944" i="1"/>
  <c r="L2945" i="1"/>
  <c r="M2945" i="1"/>
  <c r="L2946" i="1"/>
  <c r="M2946" i="1"/>
  <c r="L2947" i="1"/>
  <c r="M2947" i="1"/>
  <c r="L2948" i="1"/>
  <c r="M2948" i="1"/>
  <c r="L2949" i="1"/>
  <c r="M2949" i="1"/>
  <c r="L2950" i="1"/>
  <c r="M2950" i="1"/>
  <c r="L2951" i="1"/>
  <c r="M2951" i="1"/>
  <c r="L2952" i="1"/>
  <c r="M2952" i="1"/>
  <c r="L2953" i="1"/>
  <c r="M2953" i="1"/>
  <c r="L2954" i="1"/>
  <c r="M2954" i="1"/>
  <c r="L2955" i="1"/>
  <c r="M2955" i="1"/>
  <c r="L2956" i="1"/>
  <c r="M2956" i="1"/>
  <c r="L2957" i="1"/>
  <c r="M2957" i="1"/>
  <c r="L2958" i="1"/>
  <c r="M2958" i="1"/>
  <c r="L2959" i="1"/>
  <c r="M2959" i="1"/>
  <c r="L2960" i="1"/>
  <c r="M2960" i="1"/>
  <c r="L2961" i="1"/>
  <c r="M2961" i="1"/>
  <c r="L2962" i="1"/>
  <c r="M2962" i="1"/>
  <c r="L2963" i="1"/>
  <c r="M2963" i="1"/>
  <c r="L2964" i="1"/>
  <c r="M2964" i="1"/>
  <c r="L2965" i="1"/>
  <c r="M2965" i="1"/>
  <c r="L2966" i="1"/>
  <c r="M2966" i="1"/>
  <c r="L2967" i="1"/>
  <c r="M2967" i="1"/>
  <c r="L2968" i="1"/>
  <c r="M2968" i="1"/>
  <c r="L2969" i="1"/>
  <c r="M2969" i="1"/>
  <c r="L2970" i="1"/>
  <c r="M2970" i="1"/>
  <c r="L2971" i="1"/>
  <c r="M2971" i="1"/>
  <c r="L2972" i="1"/>
  <c r="M2972" i="1"/>
  <c r="L2973" i="1"/>
  <c r="M2973" i="1"/>
  <c r="L2974" i="1"/>
  <c r="M2974" i="1"/>
  <c r="L2975" i="1"/>
  <c r="M2975" i="1"/>
  <c r="L2976" i="1"/>
  <c r="M2976" i="1"/>
  <c r="L2977" i="1"/>
  <c r="M2977" i="1"/>
  <c r="L2978" i="1"/>
  <c r="M2978" i="1"/>
  <c r="L2979" i="1"/>
  <c r="M2979" i="1"/>
  <c r="L2980" i="1"/>
  <c r="M2980" i="1"/>
  <c r="L2981" i="1"/>
  <c r="M2981" i="1"/>
  <c r="L2982" i="1"/>
  <c r="M2982" i="1"/>
  <c r="L2983" i="1"/>
  <c r="M2983" i="1"/>
  <c r="L2984" i="1"/>
  <c r="M2984" i="1"/>
  <c r="L2985" i="1"/>
  <c r="M2985" i="1"/>
  <c r="L2986" i="1"/>
  <c r="M2986" i="1"/>
  <c r="L2987" i="1"/>
  <c r="M2987" i="1"/>
  <c r="L2988" i="1"/>
  <c r="M2988" i="1"/>
  <c r="L2989" i="1"/>
  <c r="M2989" i="1"/>
  <c r="L2990" i="1"/>
  <c r="M2990" i="1"/>
  <c r="L2991" i="1"/>
  <c r="M2991" i="1"/>
  <c r="L2992" i="1"/>
  <c r="M2992" i="1"/>
  <c r="L2993" i="1"/>
  <c r="M2993" i="1"/>
  <c r="L2994" i="1"/>
  <c r="M2994" i="1"/>
  <c r="L2995" i="1"/>
  <c r="M2995" i="1"/>
  <c r="L2996" i="1"/>
  <c r="M2996" i="1"/>
  <c r="L2997" i="1"/>
  <c r="M2997" i="1"/>
  <c r="L2998" i="1"/>
  <c r="M2998" i="1"/>
  <c r="L2999" i="1"/>
  <c r="M2999" i="1"/>
  <c r="L3000" i="1"/>
  <c r="M3000" i="1"/>
  <c r="L3001" i="1"/>
  <c r="M3001" i="1"/>
  <c r="L3002" i="1"/>
  <c r="M3002" i="1"/>
  <c r="L3003" i="1"/>
  <c r="M3003" i="1"/>
  <c r="L3004" i="1"/>
  <c r="M3004" i="1"/>
  <c r="L3005" i="1"/>
  <c r="M3005" i="1"/>
  <c r="L3006" i="1"/>
  <c r="M3006" i="1"/>
  <c r="L3007" i="1"/>
  <c r="M3007" i="1"/>
  <c r="L3008" i="1"/>
  <c r="M3008" i="1"/>
  <c r="L3009" i="1"/>
  <c r="M3009" i="1"/>
  <c r="L3010" i="1"/>
  <c r="M3010" i="1"/>
  <c r="L3011" i="1"/>
  <c r="M3011" i="1"/>
  <c r="L3012" i="1"/>
  <c r="M3012" i="1"/>
  <c r="L3013" i="1"/>
  <c r="M3013" i="1"/>
  <c r="L3014" i="1"/>
  <c r="M3014" i="1"/>
  <c r="L3015" i="1"/>
  <c r="M3015" i="1"/>
  <c r="L3016" i="1"/>
  <c r="M3016" i="1"/>
  <c r="L3017" i="1"/>
  <c r="M3017" i="1"/>
  <c r="L3018" i="1"/>
  <c r="M3018" i="1"/>
  <c r="L3019" i="1"/>
  <c r="M3019" i="1"/>
  <c r="L3020" i="1"/>
  <c r="M3020" i="1"/>
  <c r="L3021" i="1"/>
  <c r="M3021" i="1"/>
  <c r="L3022" i="1"/>
  <c r="M3022" i="1"/>
  <c r="L3023" i="1"/>
  <c r="M3023" i="1"/>
  <c r="L3024" i="1"/>
  <c r="M3024" i="1"/>
  <c r="L3025" i="1"/>
  <c r="M3025" i="1"/>
  <c r="L3026" i="1"/>
  <c r="M3026" i="1"/>
  <c r="L3027" i="1"/>
  <c r="M3027" i="1"/>
  <c r="L3028" i="1"/>
  <c r="M3028" i="1"/>
  <c r="L3029" i="1"/>
  <c r="M3029" i="1"/>
  <c r="L3030" i="1"/>
  <c r="M3030" i="1"/>
  <c r="L3031" i="1"/>
  <c r="M3031" i="1"/>
  <c r="L3032" i="1"/>
  <c r="M3032" i="1"/>
  <c r="L3033" i="1"/>
  <c r="M3033" i="1"/>
  <c r="L3034" i="1"/>
  <c r="M3034" i="1"/>
  <c r="L3035" i="1"/>
  <c r="M3035" i="1"/>
  <c r="L3036" i="1"/>
  <c r="M3036" i="1"/>
  <c r="L3037" i="1"/>
  <c r="M3037" i="1"/>
  <c r="L3038" i="1"/>
  <c r="M3038" i="1"/>
  <c r="L3039" i="1"/>
  <c r="M3039" i="1"/>
  <c r="L3040" i="1"/>
  <c r="M3040" i="1"/>
  <c r="L3041" i="1"/>
  <c r="M3041" i="1"/>
  <c r="L3042" i="1"/>
  <c r="M3042" i="1"/>
  <c r="L3043" i="1"/>
  <c r="M3043" i="1"/>
  <c r="L3044" i="1"/>
  <c r="M3044" i="1"/>
  <c r="L3045" i="1"/>
  <c r="M3045" i="1"/>
  <c r="L3046" i="1"/>
  <c r="M3046" i="1"/>
  <c r="L3047" i="1"/>
  <c r="M3047" i="1"/>
  <c r="L3048" i="1"/>
  <c r="M3048" i="1"/>
  <c r="L3049" i="1"/>
  <c r="M3049" i="1"/>
  <c r="L3050" i="1"/>
  <c r="M3050" i="1"/>
  <c r="L3051" i="1"/>
  <c r="M3051" i="1"/>
  <c r="L3052" i="1"/>
  <c r="M3052" i="1"/>
  <c r="L3053" i="1"/>
  <c r="M3053" i="1"/>
  <c r="L3054" i="1"/>
  <c r="M3054" i="1"/>
  <c r="L3055" i="1"/>
  <c r="M3055" i="1"/>
  <c r="L3056" i="1"/>
  <c r="M3056" i="1"/>
  <c r="L3057" i="1"/>
  <c r="M3057" i="1"/>
  <c r="L3058" i="1"/>
  <c r="M3058" i="1"/>
  <c r="L3059" i="1"/>
  <c r="M3059" i="1"/>
  <c r="L3060" i="1"/>
  <c r="M3060" i="1"/>
  <c r="L3061" i="1"/>
  <c r="M3061" i="1"/>
  <c r="L3062" i="1"/>
  <c r="M3062" i="1"/>
  <c r="L3063" i="1"/>
  <c r="M3063" i="1"/>
  <c r="L3064" i="1"/>
  <c r="M3064" i="1"/>
  <c r="L3065" i="1"/>
  <c r="M3065" i="1"/>
  <c r="L3066" i="1"/>
  <c r="M3066" i="1"/>
  <c r="L3067" i="1"/>
  <c r="M3067" i="1"/>
  <c r="L3068" i="1"/>
  <c r="M3068" i="1"/>
  <c r="L3069" i="1"/>
  <c r="M3069" i="1"/>
  <c r="L3070" i="1"/>
  <c r="M3070" i="1"/>
  <c r="L3071" i="1"/>
  <c r="M3071" i="1"/>
  <c r="L3072" i="1"/>
  <c r="M3072" i="1"/>
  <c r="L3073" i="1"/>
  <c r="M3073" i="1"/>
  <c r="L3074" i="1"/>
  <c r="M3074" i="1"/>
  <c r="L3075" i="1"/>
  <c r="M3075" i="1"/>
  <c r="L3076" i="1"/>
  <c r="M3076" i="1"/>
  <c r="L3077" i="1"/>
  <c r="M3077" i="1"/>
  <c r="L3078" i="1"/>
  <c r="M3078" i="1"/>
  <c r="L3079" i="1"/>
  <c r="M3079" i="1"/>
  <c r="L3080" i="1"/>
  <c r="M3080" i="1"/>
  <c r="L3081" i="1"/>
  <c r="M3081" i="1"/>
  <c r="L3082" i="1"/>
  <c r="M3082" i="1"/>
  <c r="L3083" i="1"/>
  <c r="M3083" i="1"/>
  <c r="L3084" i="1"/>
  <c r="M3084" i="1"/>
  <c r="L3085" i="1"/>
  <c r="M3085" i="1"/>
  <c r="L3086" i="1"/>
  <c r="M3086" i="1"/>
  <c r="L3087" i="1"/>
  <c r="M3087" i="1"/>
  <c r="L3088" i="1"/>
  <c r="M3088" i="1"/>
  <c r="L3089" i="1"/>
  <c r="M3089" i="1"/>
  <c r="L3090" i="1"/>
  <c r="M3090" i="1"/>
  <c r="L3091" i="1"/>
  <c r="M3091" i="1"/>
  <c r="L3092" i="1"/>
  <c r="M3092" i="1"/>
  <c r="L3093" i="1"/>
  <c r="M3093" i="1"/>
  <c r="L3094" i="1"/>
  <c r="M3094" i="1"/>
  <c r="L3095" i="1"/>
  <c r="M3095" i="1"/>
  <c r="L3096" i="1"/>
  <c r="M3096" i="1"/>
  <c r="L3097" i="1"/>
  <c r="M3097" i="1"/>
  <c r="L3098" i="1"/>
  <c r="M3098" i="1"/>
  <c r="L3099" i="1"/>
  <c r="M3099" i="1"/>
  <c r="L3100" i="1"/>
  <c r="M3100" i="1"/>
  <c r="L3101" i="1"/>
  <c r="M3101" i="1"/>
  <c r="L3102" i="1"/>
  <c r="M3102" i="1"/>
  <c r="L3103" i="1"/>
  <c r="M3103" i="1"/>
  <c r="L3104" i="1"/>
  <c r="M3104" i="1"/>
  <c r="L3105" i="1"/>
  <c r="M3105" i="1"/>
  <c r="L3106" i="1"/>
  <c r="M3106" i="1"/>
  <c r="L3107" i="1"/>
  <c r="M3107" i="1"/>
  <c r="L3108" i="1"/>
  <c r="M3108" i="1"/>
  <c r="L3109" i="1"/>
  <c r="M3109" i="1"/>
  <c r="L3110" i="1"/>
  <c r="M3110" i="1"/>
  <c r="L3111" i="1"/>
  <c r="M3111" i="1"/>
  <c r="L3112" i="1"/>
  <c r="M3112" i="1"/>
  <c r="L3113" i="1"/>
  <c r="M3113" i="1"/>
  <c r="L3114" i="1"/>
  <c r="M3114" i="1"/>
  <c r="L3115" i="1"/>
  <c r="M3115" i="1"/>
  <c r="L3116" i="1"/>
  <c r="M3116" i="1"/>
  <c r="L3117" i="1"/>
  <c r="M3117" i="1"/>
  <c r="L3118" i="1"/>
  <c r="M3118" i="1"/>
  <c r="L3119" i="1"/>
  <c r="M3119" i="1"/>
  <c r="L3120" i="1"/>
  <c r="M3120" i="1"/>
  <c r="L3121" i="1"/>
  <c r="M3121" i="1"/>
  <c r="L3122" i="1"/>
  <c r="M3122" i="1"/>
  <c r="L3123" i="1"/>
  <c r="M3123" i="1"/>
  <c r="L3124" i="1"/>
  <c r="M3124" i="1"/>
  <c r="L3125" i="1"/>
  <c r="M3125" i="1"/>
  <c r="L3126" i="1"/>
  <c r="M3126" i="1"/>
  <c r="L3127" i="1"/>
  <c r="M3127" i="1"/>
  <c r="L3128" i="1"/>
  <c r="M3128" i="1"/>
  <c r="L3129" i="1"/>
  <c r="M3129" i="1"/>
  <c r="L3130" i="1"/>
  <c r="M3130" i="1"/>
  <c r="L3131" i="1"/>
  <c r="M3131" i="1"/>
  <c r="L3132" i="1"/>
  <c r="M3132" i="1"/>
  <c r="L3133" i="1"/>
  <c r="M3133" i="1"/>
  <c r="L3134" i="1"/>
  <c r="M3134" i="1"/>
  <c r="L3135" i="1"/>
  <c r="M3135" i="1"/>
  <c r="L3136" i="1"/>
  <c r="M3136" i="1"/>
  <c r="L3137" i="1"/>
  <c r="M3137" i="1"/>
  <c r="L3138" i="1"/>
  <c r="M3138" i="1"/>
  <c r="L3139" i="1"/>
  <c r="M3139" i="1"/>
  <c r="L3140" i="1"/>
  <c r="M3140" i="1"/>
  <c r="L3141" i="1"/>
  <c r="M3141" i="1"/>
  <c r="L3142" i="1"/>
  <c r="M3142" i="1"/>
  <c r="L3143" i="1"/>
  <c r="M3143" i="1"/>
  <c r="L3144" i="1"/>
  <c r="M3144" i="1"/>
  <c r="L3145" i="1"/>
  <c r="M3145" i="1"/>
  <c r="L3146" i="1"/>
  <c r="M3146" i="1"/>
  <c r="L3147" i="1"/>
  <c r="M3147" i="1"/>
  <c r="L3148" i="1"/>
  <c r="M3148" i="1"/>
  <c r="L3149" i="1"/>
  <c r="M3149" i="1"/>
  <c r="L3150" i="1"/>
  <c r="M3150" i="1"/>
  <c r="L3151" i="1"/>
  <c r="M3151" i="1"/>
  <c r="L3152" i="1"/>
  <c r="M3152" i="1"/>
  <c r="L3153" i="1"/>
  <c r="M3153" i="1"/>
  <c r="L3154" i="1"/>
  <c r="M3154" i="1"/>
  <c r="L3155" i="1"/>
  <c r="M3155" i="1"/>
  <c r="L3156" i="1"/>
  <c r="M3156" i="1"/>
  <c r="L3157" i="1"/>
  <c r="M3157" i="1"/>
  <c r="L3158" i="1"/>
  <c r="M3158" i="1"/>
  <c r="L3159" i="1"/>
  <c r="M3159" i="1"/>
  <c r="L3160" i="1"/>
  <c r="M3160" i="1"/>
  <c r="L3161" i="1"/>
  <c r="M3161" i="1"/>
  <c r="L3162" i="1"/>
  <c r="M3162" i="1"/>
  <c r="L3163" i="1"/>
  <c r="M3163" i="1"/>
  <c r="L3164" i="1"/>
  <c r="M3164" i="1"/>
  <c r="L3165" i="1"/>
  <c r="M3165" i="1"/>
  <c r="L3166" i="1"/>
  <c r="M3166" i="1"/>
  <c r="L3167" i="1"/>
  <c r="M3167" i="1"/>
  <c r="L3168" i="1"/>
  <c r="M3168" i="1"/>
  <c r="L3169" i="1"/>
  <c r="M3169" i="1"/>
  <c r="L3170" i="1"/>
  <c r="M3170" i="1"/>
  <c r="L3171" i="1"/>
  <c r="M3171" i="1"/>
  <c r="L3172" i="1"/>
  <c r="M3172" i="1"/>
  <c r="L3173" i="1"/>
  <c r="M3173" i="1"/>
  <c r="L3174" i="1"/>
  <c r="M3174" i="1"/>
  <c r="L3175" i="1"/>
  <c r="M3175" i="1"/>
  <c r="L3176" i="1"/>
  <c r="M3176" i="1"/>
  <c r="L3177" i="1"/>
  <c r="M3177" i="1"/>
  <c r="L3178" i="1"/>
  <c r="M3178" i="1"/>
  <c r="L3179" i="1"/>
  <c r="M3179" i="1"/>
  <c r="L3180" i="1"/>
  <c r="M3180" i="1"/>
  <c r="L3181" i="1"/>
  <c r="M3181" i="1"/>
  <c r="L3182" i="1"/>
  <c r="M3182" i="1"/>
  <c r="L3183" i="1"/>
  <c r="M3183" i="1"/>
  <c r="L3184" i="1"/>
  <c r="M3184" i="1"/>
  <c r="L3185" i="1"/>
  <c r="M3185" i="1"/>
  <c r="L3186" i="1"/>
  <c r="M3186" i="1"/>
  <c r="L3187" i="1"/>
  <c r="M3187" i="1"/>
  <c r="L3188" i="1"/>
  <c r="M3188" i="1"/>
  <c r="L3189" i="1"/>
  <c r="M3189" i="1"/>
  <c r="L3190" i="1"/>
  <c r="M3190" i="1"/>
  <c r="L3191" i="1"/>
  <c r="M3191" i="1"/>
  <c r="L3192" i="1"/>
  <c r="M3192" i="1"/>
  <c r="L3193" i="1"/>
  <c r="M3193" i="1"/>
  <c r="L3194" i="1"/>
  <c r="M3194" i="1"/>
  <c r="L3195" i="1"/>
  <c r="M3195" i="1"/>
  <c r="L3196" i="1"/>
  <c r="M3196" i="1"/>
  <c r="L3197" i="1"/>
  <c r="M3197" i="1"/>
  <c r="L3198" i="1"/>
  <c r="M3198" i="1"/>
  <c r="L3199" i="1"/>
  <c r="M3199" i="1"/>
  <c r="L3200" i="1"/>
  <c r="M3200" i="1"/>
  <c r="L3201" i="1"/>
  <c r="M3201" i="1"/>
  <c r="L3202" i="1"/>
  <c r="M3202" i="1"/>
  <c r="L3203" i="1"/>
  <c r="M3203" i="1"/>
  <c r="L3204" i="1"/>
  <c r="M3204" i="1"/>
  <c r="L3205" i="1"/>
  <c r="M3205" i="1"/>
  <c r="L3206" i="1"/>
  <c r="M3206" i="1"/>
  <c r="L3207" i="1"/>
  <c r="M3207" i="1"/>
  <c r="L3208" i="1"/>
  <c r="M3208" i="1"/>
  <c r="L3209" i="1"/>
  <c r="M3209" i="1"/>
  <c r="L3210" i="1"/>
  <c r="M3210" i="1"/>
  <c r="L3211" i="1"/>
  <c r="M3211" i="1"/>
  <c r="L3212" i="1"/>
  <c r="M3212" i="1"/>
  <c r="L3213" i="1"/>
  <c r="M3213" i="1"/>
  <c r="L3214" i="1"/>
  <c r="M3214" i="1"/>
  <c r="L3215" i="1"/>
  <c r="M3215" i="1"/>
  <c r="L3216" i="1"/>
  <c r="M3216" i="1"/>
  <c r="L3217" i="1"/>
  <c r="M3217" i="1"/>
  <c r="L3218" i="1"/>
  <c r="M3218" i="1"/>
  <c r="L3219" i="1"/>
  <c r="M3219" i="1"/>
  <c r="L3220" i="1"/>
  <c r="M3220" i="1"/>
  <c r="L3221" i="1"/>
  <c r="M3221" i="1"/>
  <c r="L3222" i="1"/>
  <c r="M3222" i="1"/>
  <c r="L3223" i="1"/>
  <c r="M3223" i="1"/>
  <c r="L3224" i="1"/>
  <c r="M3224" i="1"/>
  <c r="L3225" i="1"/>
  <c r="M3225" i="1"/>
  <c r="L3226" i="1"/>
  <c r="M3226" i="1"/>
  <c r="L3227" i="1"/>
  <c r="M3227" i="1"/>
  <c r="L3228" i="1"/>
  <c r="M3228" i="1"/>
  <c r="L3229" i="1"/>
  <c r="M3229" i="1"/>
  <c r="L3230" i="1"/>
  <c r="M3230" i="1"/>
  <c r="L3231" i="1"/>
  <c r="M3231" i="1"/>
  <c r="L3232" i="1"/>
  <c r="M3232" i="1"/>
  <c r="L3233" i="1"/>
  <c r="M3233" i="1"/>
  <c r="L3234" i="1"/>
  <c r="M3234" i="1"/>
  <c r="L3235" i="1"/>
  <c r="M3235" i="1"/>
  <c r="L3236" i="1"/>
  <c r="M3236" i="1"/>
  <c r="L3237" i="1"/>
  <c r="M3237" i="1"/>
  <c r="L3238" i="1"/>
  <c r="M3238" i="1"/>
  <c r="L3239" i="1"/>
  <c r="M3239" i="1"/>
  <c r="L3240" i="1"/>
  <c r="M3240" i="1"/>
  <c r="L3241" i="1"/>
  <c r="M3241" i="1"/>
  <c r="L3242" i="1"/>
  <c r="M3242" i="1"/>
  <c r="L3243" i="1"/>
  <c r="M3243" i="1"/>
  <c r="L3244" i="1"/>
  <c r="M3244" i="1"/>
  <c r="L3245" i="1"/>
  <c r="M3245" i="1"/>
  <c r="L3246" i="1"/>
  <c r="M3246" i="1"/>
  <c r="L3247" i="1"/>
  <c r="M3247" i="1"/>
  <c r="L3248" i="1"/>
  <c r="M3248" i="1"/>
  <c r="L3249" i="1"/>
  <c r="M3249" i="1"/>
  <c r="L3250" i="1"/>
  <c r="M3250" i="1"/>
  <c r="L3251" i="1"/>
  <c r="M3251" i="1"/>
  <c r="L3252" i="1"/>
  <c r="M3252" i="1"/>
  <c r="L3253" i="1"/>
  <c r="M3253" i="1"/>
  <c r="L3254" i="1"/>
  <c r="M3254" i="1"/>
  <c r="L3255" i="1"/>
  <c r="M3255" i="1"/>
  <c r="L3256" i="1"/>
  <c r="M3256" i="1"/>
  <c r="L3257" i="1"/>
  <c r="M3257" i="1"/>
  <c r="L3258" i="1"/>
  <c r="M3258" i="1"/>
  <c r="L3259" i="1"/>
  <c r="M3259" i="1"/>
  <c r="L3260" i="1"/>
  <c r="M3260" i="1"/>
  <c r="L3261" i="1"/>
  <c r="M3261" i="1"/>
  <c r="L3262" i="1"/>
  <c r="M3262" i="1"/>
  <c r="L3263" i="1"/>
  <c r="M3263" i="1"/>
  <c r="L3264" i="1"/>
  <c r="M3264" i="1"/>
  <c r="L3265" i="1"/>
  <c r="M3265" i="1"/>
  <c r="L3266" i="1"/>
  <c r="M3266" i="1"/>
  <c r="L3267" i="1"/>
  <c r="M3267" i="1"/>
</calcChain>
</file>

<file path=xl/sharedStrings.xml><?xml version="1.0" encoding="utf-8"?>
<sst xmlns="http://schemas.openxmlformats.org/spreadsheetml/2006/main" count="18921" uniqueCount="2980">
  <si>
    <t>판매/취소일시</t>
  </si>
  <si>
    <t>ItemId</t>
  </si>
  <si>
    <t>제목</t>
  </si>
  <si>
    <t>판매형태</t>
  </si>
  <si>
    <t>정가</t>
  </si>
  <si>
    <t>판매가</t>
  </si>
  <si>
    <t>정산액</t>
  </si>
  <si>
    <t>원주문일시</t>
  </si>
  <si>
    <t>저자명</t>
  </si>
  <si>
    <t>출판사명</t>
  </si>
  <si>
    <t>정산처명</t>
  </si>
  <si>
    <t>ISBN</t>
  </si>
  <si>
    <t>UCI</t>
  </si>
  <si>
    <t>CID</t>
  </si>
  <si>
    <t>[세트] 힘을 숨겨도 공녀가 제일 강함 (총6권/완결)</t>
  </si>
  <si>
    <t>판매</t>
  </si>
  <si>
    <t>설윤영</t>
  </si>
  <si>
    <t>앨리스</t>
  </si>
  <si>
    <t>스토린랩</t>
  </si>
  <si>
    <t>나를 증오하는 오빠</t>
  </si>
  <si>
    <t>경조사매니아</t>
  </si>
  <si>
    <t>로튼로즈</t>
  </si>
  <si>
    <t>k036595</t>
  </si>
  <si>
    <t>오빠 친구에게 받는 성교육</t>
  </si>
  <si>
    <t>k036605</t>
  </si>
  <si>
    <t>오빠 친구에게 받는 성교육 2</t>
  </si>
  <si>
    <t>B043848</t>
  </si>
  <si>
    <t>자고 있는데 오빠가</t>
  </si>
  <si>
    <t>러브이따</t>
  </si>
  <si>
    <t>D202233</t>
  </si>
  <si>
    <t>능욕 식당 (上)</t>
  </si>
  <si>
    <t>율다</t>
  </si>
  <si>
    <t>상사들이 내 구멍을 공용으로 씀 2 (완결)</t>
  </si>
  <si>
    <t>D196244</t>
  </si>
  <si>
    <t>상사들이 내 구멍을 공용으로 씀 1</t>
  </si>
  <si>
    <t>D196243</t>
  </si>
  <si>
    <t>능욕 식당 (下)</t>
  </si>
  <si>
    <t>하녀는 도련님 앞에서 치마를 올린다</t>
  </si>
  <si>
    <t>펠로아</t>
  </si>
  <si>
    <t>D211207</t>
  </si>
  <si>
    <t>오빠 셋, 백치 여동생 하나 1. 구멍 검사</t>
  </si>
  <si>
    <t>야뮬</t>
  </si>
  <si>
    <t>D196256</t>
  </si>
  <si>
    <t>Dogs in the house 2 (삽화본)</t>
  </si>
  <si>
    <t>봄밤</t>
  </si>
  <si>
    <t>Dogs in the house</t>
  </si>
  <si>
    <t>Dogs in the house (외전: Home party)</t>
  </si>
  <si>
    <t>타이탄 파일럿 1권</t>
  </si>
  <si>
    <t>칼튼</t>
  </si>
  <si>
    <t>케이너스랩</t>
  </si>
  <si>
    <t>일본 여행 갔다가 AV 데뷔</t>
  </si>
  <si>
    <t>배란기베프</t>
  </si>
  <si>
    <t>D196241</t>
  </si>
  <si>
    <t>거울 속 팀장님과</t>
  </si>
  <si>
    <t>월야담</t>
  </si>
  <si>
    <t>클린로즈</t>
  </si>
  <si>
    <t>D066120</t>
  </si>
  <si>
    <t>중전마마도 회초리에 맞아보고 싶다</t>
  </si>
  <si>
    <t>이상한 꼬마</t>
  </si>
  <si>
    <t>D157989</t>
  </si>
  <si>
    <t>지하철에서 열린 아빠 친구 동창회 1</t>
  </si>
  <si>
    <t>용2용2</t>
  </si>
  <si>
    <t>k398071</t>
  </si>
  <si>
    <t>문과라도 안 죄송한 이세계로 감 01</t>
  </si>
  <si>
    <t>정수읠</t>
  </si>
  <si>
    <t>매드햇</t>
  </si>
  <si>
    <t>k307370</t>
  </si>
  <si>
    <t>드래곤 레이디 3</t>
  </si>
  <si>
    <t>대여</t>
  </si>
  <si>
    <t>김철곤</t>
  </si>
  <si>
    <t>넥스트레벨 스튜디오</t>
  </si>
  <si>
    <t>k114073</t>
  </si>
  <si>
    <t>흑마법사 무림에 가다 01</t>
  </si>
  <si>
    <t>박정수</t>
  </si>
  <si>
    <t>넥스트레벨스튜디오</t>
  </si>
  <si>
    <t>D175980</t>
  </si>
  <si>
    <t>아버님의 암컷 교육</t>
  </si>
  <si>
    <t>러브이떡</t>
  </si>
  <si>
    <t>D216015</t>
  </si>
  <si>
    <t>드래곤 레이디 4</t>
  </si>
  <si>
    <t>k114074</t>
  </si>
  <si>
    <t>아저씨의 신부 수업 1</t>
  </si>
  <si>
    <t>k292997</t>
  </si>
  <si>
    <t>아저씨의 신부 수업 2 (완결)</t>
  </si>
  <si>
    <t>k292998</t>
  </si>
  <si>
    <t>조폭아저씨들의 공용 X집</t>
  </si>
  <si>
    <t>익명의 민새벽</t>
  </si>
  <si>
    <t>k295921</t>
  </si>
  <si>
    <t>잠든 사이에 아이가 생겼어요</t>
  </si>
  <si>
    <t>금단</t>
  </si>
  <si>
    <t>흑마법사 무림에 가다 02</t>
  </si>
  <si>
    <t>D175981</t>
  </si>
  <si>
    <t>흑마법사 무림에 가다 07</t>
  </si>
  <si>
    <t>D175986</t>
  </si>
  <si>
    <t>흑마법사 무림에 가다 05</t>
  </si>
  <si>
    <t>D175984</t>
  </si>
  <si>
    <t>흑마법사 무림에 가다 12</t>
  </si>
  <si>
    <t>D175991</t>
  </si>
  <si>
    <t>흑마법사 무림에 가다 10</t>
  </si>
  <si>
    <t>D175989</t>
  </si>
  <si>
    <t>흑마법사 무림에 가다 06</t>
  </si>
  <si>
    <t>D175985</t>
  </si>
  <si>
    <t>흑마법사 무림에 가다 11</t>
  </si>
  <si>
    <t>D175990</t>
  </si>
  <si>
    <t>흑마법사 무림에 가다 03</t>
  </si>
  <si>
    <t>D175982</t>
  </si>
  <si>
    <t>흑마법사 무림에 가다 08</t>
  </si>
  <si>
    <t>D175987</t>
  </si>
  <si>
    <t>흑마법사 무림에 가다 13</t>
  </si>
  <si>
    <t>D175992</t>
  </si>
  <si>
    <t>흑마법사 무림에 가다 04</t>
  </si>
  <si>
    <t>D175983</t>
  </si>
  <si>
    <t>흑마법사 무림에 가다 09</t>
  </si>
  <si>
    <t>D175988</t>
  </si>
  <si>
    <t>흑마법사 무림에 가다 14 (완결)</t>
  </si>
  <si>
    <t>D175993</t>
  </si>
  <si>
    <t>대물 스카우터 8 (완결)</t>
  </si>
  <si>
    <t>휴도</t>
  </si>
  <si>
    <t>대물 스카우터 7</t>
  </si>
  <si>
    <t>대물 스카우터 6</t>
  </si>
  <si>
    <t>대물 스카우터 5</t>
  </si>
  <si>
    <t>대물 스카우터 4</t>
  </si>
  <si>
    <t>대물 스카우터 3</t>
  </si>
  <si>
    <t>대물 스카우터 2</t>
  </si>
  <si>
    <t>[세트] 도도한 그의 사랑법 (총3권/완결)</t>
  </si>
  <si>
    <t>초콜릿악마(차혜진)</t>
  </si>
  <si>
    <t>하트퀸</t>
  </si>
  <si>
    <t>X집 알바</t>
  </si>
  <si>
    <t>김바나</t>
  </si>
  <si>
    <t>D168703</t>
  </si>
  <si>
    <t>옆집 아저씨의 전용 XX</t>
  </si>
  <si>
    <t>k239830</t>
  </si>
  <si>
    <t>문과라도 안 죄송한 이세계로 감 062화</t>
  </si>
  <si>
    <t>E448298</t>
  </si>
  <si>
    <t>망나니 PD 아이돌로 살아남기 17</t>
  </si>
  <si>
    <t>문찐</t>
  </si>
  <si>
    <t>B000130</t>
  </si>
  <si>
    <t>며느리의 대리 효도</t>
  </si>
  <si>
    <t>D187636</t>
  </si>
  <si>
    <t>아빠 친구가 술에 취한 나를</t>
  </si>
  <si>
    <t>D182062</t>
  </si>
  <si>
    <t>쾌감 중독 : 그렇게 때리면 안 된다고요!</t>
  </si>
  <si>
    <t>문토깽</t>
  </si>
  <si>
    <t>D211209</t>
  </si>
  <si>
    <t>마검, 화산 가다 08</t>
  </si>
  <si>
    <t>겨울반디</t>
  </si>
  <si>
    <t>D040770</t>
  </si>
  <si>
    <t>발정난 개들을 위한 난교타운 6</t>
  </si>
  <si>
    <t>강초초</t>
  </si>
  <si>
    <t>D126848</t>
  </si>
  <si>
    <t>발정난 개들을 위한 난교타운 7</t>
  </si>
  <si>
    <t>D179566</t>
  </si>
  <si>
    <t>발정난 개들을 위한 난교타운 8</t>
  </si>
  <si>
    <t>D196247</t>
  </si>
  <si>
    <t>회장님의 공용암캐</t>
  </si>
  <si>
    <t>B007146</t>
  </si>
  <si>
    <t>발정난 개들을 위한 난교타운 5</t>
  </si>
  <si>
    <t>D032370</t>
  </si>
  <si>
    <t>새 오빠와 이러면</t>
  </si>
  <si>
    <t>아카데미에 돈 벌러 왔는데요? 1</t>
  </si>
  <si>
    <t>BBing</t>
  </si>
  <si>
    <t>러프미디어</t>
  </si>
  <si>
    <t>D203948</t>
  </si>
  <si>
    <t>전 남친 아빠를 따먹으려다가</t>
  </si>
  <si>
    <t>D005429</t>
  </si>
  <si>
    <t>오빠, 제발 때리지 마세요 2</t>
  </si>
  <si>
    <t>탐나라</t>
  </si>
  <si>
    <t>B003511</t>
  </si>
  <si>
    <t>해주세요, 대디</t>
  </si>
  <si>
    <t>따끈한호떡</t>
  </si>
  <si>
    <t>k444218</t>
  </si>
  <si>
    <t>아빠가 채워주는 정조대 2</t>
  </si>
  <si>
    <t>D064581</t>
  </si>
  <si>
    <t>문과라도 안 죄송한 이세계로 감 095화</t>
  </si>
  <si>
    <t>E448331</t>
  </si>
  <si>
    <t>섹시 요술 램프</t>
  </si>
  <si>
    <t>스카이트리</t>
  </si>
  <si>
    <t>레드라인(해피북스투유)</t>
  </si>
  <si>
    <t>N129558</t>
  </si>
  <si>
    <t>[BL] 위아래 없는 XX - 교수님편</t>
  </si>
  <si>
    <t>해양생물</t>
  </si>
  <si>
    <t>문을 열어두세요, 형수님</t>
  </si>
  <si>
    <t>[BL] 얀의 마지막 겨울 4</t>
  </si>
  <si>
    <t>가지덮밥</t>
  </si>
  <si>
    <t>해피북스투유</t>
  </si>
  <si>
    <t>D166502</t>
  </si>
  <si>
    <t>[BL] 백송의 꽃말 (외전2)</t>
  </si>
  <si>
    <t>리도반</t>
  </si>
  <si>
    <t>체셔</t>
  </si>
  <si>
    <t>D196240</t>
  </si>
  <si>
    <t>[BL] 아우토반 로맨스 1</t>
  </si>
  <si>
    <t>표고밥</t>
  </si>
  <si>
    <t>k129791</t>
  </si>
  <si>
    <t>은밀한 번식 강습</t>
  </si>
  <si>
    <t>D182063</t>
  </si>
  <si>
    <t>수궁전 (외전)</t>
  </si>
  <si>
    <t>Magoing</t>
  </si>
  <si>
    <t>시계토끼</t>
  </si>
  <si>
    <t>D137172</t>
  </si>
  <si>
    <t>보호자 실격</t>
  </si>
  <si>
    <t>아이즈</t>
  </si>
  <si>
    <t>k209600</t>
  </si>
  <si>
    <t>할아버지께 얼른 보여드려</t>
  </si>
  <si>
    <t>D131876</t>
  </si>
  <si>
    <t>[BL] 내시경 검사 받고 가실래요</t>
  </si>
  <si>
    <t>왜뚤비뚤해</t>
  </si>
  <si>
    <t>k433065</t>
  </si>
  <si>
    <t>젖 빠는 새아빠</t>
  </si>
  <si>
    <t>임금님풀</t>
  </si>
  <si>
    <t>k268407</t>
  </si>
  <si>
    <t>아빠는 보지 마요</t>
  </si>
  <si>
    <t>황금뽀찌</t>
  </si>
  <si>
    <t>영웅쟁패 1</t>
  </si>
  <si>
    <t>태규</t>
  </si>
  <si>
    <t>D203965</t>
  </si>
  <si>
    <t>생사결 1</t>
  </si>
  <si>
    <t>D203956</t>
  </si>
  <si>
    <t>천라신조 01</t>
  </si>
  <si>
    <t>D203971</t>
  </si>
  <si>
    <t>풍사전기 01</t>
  </si>
  <si>
    <t>D204001</t>
  </si>
  <si>
    <t>천마재생 01</t>
  </si>
  <si>
    <t>D203982</t>
  </si>
  <si>
    <t>천의무봉 1</t>
  </si>
  <si>
    <t>D203994</t>
  </si>
  <si>
    <t>빛을 만지다 3 (완결)</t>
  </si>
  <si>
    <t>퓨어곰탱</t>
  </si>
  <si>
    <t>야맨스</t>
  </si>
  <si>
    <t>빛을 만지다 2</t>
  </si>
  <si>
    <t>F급 헌터가 우주전함을 키움 01</t>
  </si>
  <si>
    <t>이나르</t>
  </si>
  <si>
    <t>D203937</t>
  </si>
  <si>
    <t>[GL] 보리의 세계</t>
  </si>
  <si>
    <t>알파벳 A</t>
  </si>
  <si>
    <t>D180738</t>
  </si>
  <si>
    <t>[세트] 세상 가장 어려운, 보통 연애 (외전 포함) (총3권/완결)</t>
  </si>
  <si>
    <t>단꽃비</t>
  </si>
  <si>
    <t>She Is Not (외전)</t>
  </si>
  <si>
    <t>반지영</t>
  </si>
  <si>
    <t>유니브</t>
  </si>
  <si>
    <t>D202820</t>
  </si>
  <si>
    <t>드래곤 레이디 1</t>
  </si>
  <si>
    <t>k114071</t>
  </si>
  <si>
    <t>너의 몸속에 미래가 들어 있어 1</t>
  </si>
  <si>
    <t>협행마</t>
  </si>
  <si>
    <t>에필로그</t>
  </si>
  <si>
    <t>k036362</t>
  </si>
  <si>
    <t>문과라도 안 죄송한 이세계로 감 405화</t>
  </si>
  <si>
    <t>N000887</t>
  </si>
  <si>
    <t>문과라도 안 죄송한 이세계로 감 407화</t>
  </si>
  <si>
    <t>N003923</t>
  </si>
  <si>
    <t>문과라도 안 죄송한 이세계로 감 408화</t>
  </si>
  <si>
    <t>N004896</t>
  </si>
  <si>
    <t>문과라도 안 죄송한 이세계로 감 406화</t>
  </si>
  <si>
    <t>N003922</t>
  </si>
  <si>
    <t>[세트] [BL] 백송의 꽃말 (외전 포함) (총5권/완결)</t>
  </si>
  <si>
    <t>[GL] 죽은 나무에 꽃이 피었다</t>
  </si>
  <si>
    <t>벨라돈나</t>
  </si>
  <si>
    <t>D087420</t>
  </si>
  <si>
    <t>에이스 수영 강사의 일대일 강습</t>
  </si>
  <si>
    <t>나우리</t>
  </si>
  <si>
    <t>D174028</t>
  </si>
  <si>
    <t>외꺼풀이 되고 싶었다</t>
  </si>
  <si>
    <t>외정</t>
  </si>
  <si>
    <t>D108868</t>
  </si>
  <si>
    <t>에피소드 2부 4</t>
  </si>
  <si>
    <t>유이세스</t>
  </si>
  <si>
    <t>N105319</t>
  </si>
  <si>
    <t>발정난 개들을 위한 난교타운 3</t>
  </si>
  <si>
    <t>B044586</t>
  </si>
  <si>
    <t>회임하세요, 부인 (개정증보판)</t>
  </si>
  <si>
    <t>k306539</t>
  </si>
  <si>
    <t>클리어 조건</t>
  </si>
  <si>
    <t>아라믹</t>
  </si>
  <si>
    <t>아버님이 교육하는 첫날밤 2</t>
  </si>
  <si>
    <t>N135772</t>
  </si>
  <si>
    <t>아버님이 교육하는 첫날밤 3</t>
  </si>
  <si>
    <t>N154908</t>
  </si>
  <si>
    <t>아버님이 교육하는 첫날밤</t>
  </si>
  <si>
    <t>N099906</t>
  </si>
  <si>
    <t>백치 누이 3 시셀라우드 왕궁</t>
  </si>
  <si>
    <t>비도윤</t>
  </si>
  <si>
    <t>백치 누이 4 사랑의 결실</t>
  </si>
  <si>
    <t>백치 누이 2 에페루트 본성</t>
  </si>
  <si>
    <t>백치 누이 1 벨 에테르 성</t>
  </si>
  <si>
    <t>[BL] 오크의 번식철</t>
  </si>
  <si>
    <t>불타는새벽</t>
  </si>
  <si>
    <t>D174038</t>
  </si>
  <si>
    <t>이혼했더니 발롱도르를 수상했다 1</t>
  </si>
  <si>
    <t>손대영</t>
  </si>
  <si>
    <t>제녹</t>
  </si>
  <si>
    <t>D219347</t>
  </si>
  <si>
    <t>신입생 율무의 동아리생활 7 (에필로그)</t>
  </si>
  <si>
    <t>지초가 지천</t>
  </si>
  <si>
    <t>D061690</t>
  </si>
  <si>
    <t>식재료는 XX 안으로 1</t>
  </si>
  <si>
    <t>내즐키</t>
  </si>
  <si>
    <t>D211228</t>
  </si>
  <si>
    <t>그 밤을 건너 너에게 갈게 2 (완결)</t>
  </si>
  <si>
    <t>미니멜리사</t>
  </si>
  <si>
    <t>k314743</t>
  </si>
  <si>
    <t>[GL] 새벽녘의 미래</t>
  </si>
  <si>
    <t>키노리온</t>
  </si>
  <si>
    <t>B030904</t>
  </si>
  <si>
    <t>회장님의 공용 암캐 - 회장님 only</t>
  </si>
  <si>
    <t>D216018</t>
  </si>
  <si>
    <t>[BL] 희락의 군주 (외전)</t>
  </si>
  <si>
    <t>햇감자</t>
  </si>
  <si>
    <t>유즈비</t>
  </si>
  <si>
    <t>D219343</t>
  </si>
  <si>
    <t>성 루치아노 아카데미 1 치욕의 면접</t>
  </si>
  <si>
    <t>가족이 되고 싶어요</t>
  </si>
  <si>
    <t>톳나물톳밥</t>
  </si>
  <si>
    <t>D216017</t>
  </si>
  <si>
    <t>성 루치아노 아카데미 2 알몸 수업</t>
  </si>
  <si>
    <t>[세트] 도화서에는 나비가 산다 (총3권/완결)</t>
  </si>
  <si>
    <t>테디콩</t>
  </si>
  <si>
    <t>시댁에서 사랑받고 있어요</t>
  </si>
  <si>
    <t>D064586</t>
  </si>
  <si>
    <t>오빠 세 명과 함께</t>
  </si>
  <si>
    <t>D211205</t>
  </si>
  <si>
    <t>용의 내조를 받고 있습니다 4</t>
  </si>
  <si>
    <t>타긴</t>
  </si>
  <si>
    <t>D186549</t>
  </si>
  <si>
    <t>용의 내조를 받고 있습니다 5</t>
  </si>
  <si>
    <t>D186550</t>
  </si>
  <si>
    <t>용의 내조를 받고 있습니다 6 (완결)</t>
  </si>
  <si>
    <t>D186551</t>
  </si>
  <si>
    <t>문과라도 안 죄송한 이세계로 감 313화</t>
  </si>
  <si>
    <t>E768854</t>
  </si>
  <si>
    <t>문과라도 안 죄송한 이세계로 감 315화</t>
  </si>
  <si>
    <t>E777775</t>
  </si>
  <si>
    <t>문과라도 안 죄송한 이세계로 감 314화</t>
  </si>
  <si>
    <t>E777774</t>
  </si>
  <si>
    <t>화경동 제비꽃 맨숀 1</t>
  </si>
  <si>
    <t>채호정</t>
  </si>
  <si>
    <t>D000004</t>
  </si>
  <si>
    <t>에피소드 3부 4 (완결)</t>
  </si>
  <si>
    <t>N141083</t>
  </si>
  <si>
    <t>[세트] 품위있는 계약부부 (총4권/완결)</t>
  </si>
  <si>
    <t>주황연</t>
  </si>
  <si>
    <t>리체북스앤미디어</t>
  </si>
  <si>
    <t>[BL] 오두막 조교 일지</t>
  </si>
  <si>
    <t>아야곰</t>
  </si>
  <si>
    <t>D061697</t>
  </si>
  <si>
    <t>잡아먹힌 남의 아내</t>
  </si>
  <si>
    <t>쾌감 폭발 레벨업 2</t>
  </si>
  <si>
    <t>다인빌</t>
  </si>
  <si>
    <t>우유를 주세요, 아빠</t>
  </si>
  <si>
    <t>꿀복숭아</t>
  </si>
  <si>
    <t>매버릭(Maverick) (외전)</t>
  </si>
  <si>
    <t>윤산</t>
  </si>
  <si>
    <t>D108871</t>
  </si>
  <si>
    <t>레이나의 은밀한 가정 교육 1</t>
  </si>
  <si>
    <t>숨숨</t>
  </si>
  <si>
    <t>k146934</t>
  </si>
  <si>
    <t>[BL] 백송의 꽃말 (외전)</t>
  </si>
  <si>
    <t>N217971</t>
  </si>
  <si>
    <t>에피소드 2부 2</t>
  </si>
  <si>
    <t>N105317</t>
  </si>
  <si>
    <t>아가씨의 산란 1</t>
  </si>
  <si>
    <t>k036579</t>
  </si>
  <si>
    <t>아가씨의 산란 2 (완결)</t>
  </si>
  <si>
    <t>k036580</t>
  </si>
  <si>
    <t>[BL] 대타</t>
  </si>
  <si>
    <t>쉬운태양</t>
  </si>
  <si>
    <t>D168699</t>
  </si>
  <si>
    <t>[BL] 러시 대시</t>
  </si>
  <si>
    <t>갓노식스</t>
  </si>
  <si>
    <t>D186304</t>
  </si>
  <si>
    <t>화산파엔 변태가 산다 1</t>
  </si>
  <si>
    <t>쿼카선생</t>
  </si>
  <si>
    <t>D219355</t>
  </si>
  <si>
    <t>뱀 굴에 머리를 집어넣었을 때</t>
  </si>
  <si>
    <t>세크메트</t>
  </si>
  <si>
    <t>D216011</t>
  </si>
  <si>
    <t>[BL] 하이 오크의 씨받이</t>
  </si>
  <si>
    <t>D025211</t>
  </si>
  <si>
    <t>고속버스에서 아저씨들한테</t>
  </si>
  <si>
    <t>쿵떡쿵떡</t>
  </si>
  <si>
    <t>B016734</t>
  </si>
  <si>
    <t>스팀펑크 대한 01</t>
  </si>
  <si>
    <t>빅타이거</t>
  </si>
  <si>
    <t>D219373</t>
  </si>
  <si>
    <t>천재 공학자는 투자가 너무 쉽다 01</t>
  </si>
  <si>
    <t>toAny</t>
  </si>
  <si>
    <t>D219363</t>
  </si>
  <si>
    <t>비자금 사냥꾼 01</t>
  </si>
  <si>
    <t>파라모르템</t>
  </si>
  <si>
    <t>D219383</t>
  </si>
  <si>
    <t>야인시대 공무원으로 살아남기 01</t>
  </si>
  <si>
    <t>사키만자루</t>
  </si>
  <si>
    <t>D183536</t>
  </si>
  <si>
    <t>F급 헌터가 우주전함을 키움 02</t>
  </si>
  <si>
    <t>D203938</t>
  </si>
  <si>
    <t>F급 헌터가 우주전함을 키움 07</t>
  </si>
  <si>
    <t>D203943</t>
  </si>
  <si>
    <t>F급 헌터가 우주전함을 키움 10</t>
  </si>
  <si>
    <t>D203946</t>
  </si>
  <si>
    <t>F급 헌터가 우주전함을 키움 05</t>
  </si>
  <si>
    <t>D203941</t>
  </si>
  <si>
    <t>F급 헌터가 우주전함을 키움 08</t>
  </si>
  <si>
    <t>D203944</t>
  </si>
  <si>
    <t>F급 헌터가 우주전함을 키움 03</t>
  </si>
  <si>
    <t>D203939</t>
  </si>
  <si>
    <t>F급 헌터가 우주전함을 키움 06</t>
  </si>
  <si>
    <t>D203942</t>
  </si>
  <si>
    <t>F급 헌터가 우주전함을 키움 11 (완결)</t>
  </si>
  <si>
    <t>D203947</t>
  </si>
  <si>
    <t>F급 헌터가 우주전함을 키움 04</t>
  </si>
  <si>
    <t>D203940</t>
  </si>
  <si>
    <t>F급 헌터가 우주전함을 키움 09</t>
  </si>
  <si>
    <t>D203945</t>
  </si>
  <si>
    <t>빵을 들고 나왔다 02</t>
  </si>
  <si>
    <t>법화</t>
  </si>
  <si>
    <t>오쉬컴퍼니</t>
  </si>
  <si>
    <t>N162870</t>
  </si>
  <si>
    <t>빵을 들고 나왔다 07</t>
  </si>
  <si>
    <t>N162875</t>
  </si>
  <si>
    <t>빵을 들고 나왔다 12</t>
  </si>
  <si>
    <t>N162880</t>
  </si>
  <si>
    <t>빵을 들고 나왔다 03</t>
  </si>
  <si>
    <t>N162871</t>
  </si>
  <si>
    <t>빵을 들고 나왔다 01</t>
  </si>
  <si>
    <t>N162869</t>
  </si>
  <si>
    <t>빵을 들고 나왔다 05</t>
  </si>
  <si>
    <t>N162873</t>
  </si>
  <si>
    <t>빵을 들고 나왔다 04</t>
  </si>
  <si>
    <t>N162872</t>
  </si>
  <si>
    <t>빵을 들고 나왔다 06</t>
  </si>
  <si>
    <t>N162874</t>
  </si>
  <si>
    <t>빵을 들고 나왔다 08</t>
  </si>
  <si>
    <t>N162876</t>
  </si>
  <si>
    <t>빵을 들고 나왔다 10</t>
  </si>
  <si>
    <t>N162878</t>
  </si>
  <si>
    <t>빵을 들고 나왔다 09</t>
  </si>
  <si>
    <t>N162877</t>
  </si>
  <si>
    <t>빵을 들고 나왔다 11</t>
  </si>
  <si>
    <t>N162879</t>
  </si>
  <si>
    <t>빵을 들고 나왔다 13</t>
  </si>
  <si>
    <t>N162881</t>
  </si>
  <si>
    <t>빵을 들고 나왔다 15 (완결)</t>
  </si>
  <si>
    <t>N162883</t>
  </si>
  <si>
    <t>빵을 들고 나왔다 14</t>
  </si>
  <si>
    <t>N162882</t>
  </si>
  <si>
    <t>후작 가문의 음란 별장 1</t>
  </si>
  <si>
    <t>죄니</t>
  </si>
  <si>
    <t>D061819</t>
  </si>
  <si>
    <t>육성 실패? 치트급 딸들이 날 돕는다 1</t>
  </si>
  <si>
    <t>베이징덕</t>
  </si>
  <si>
    <t>D219393</t>
  </si>
  <si>
    <t>더블</t>
  </si>
  <si>
    <t>정해연</t>
  </si>
  <si>
    <t>E105412</t>
  </si>
  <si>
    <t>다른 여자는 없어(19세 개정판) 1</t>
  </si>
  <si>
    <t>이채원</t>
  </si>
  <si>
    <t>밤새던</t>
  </si>
  <si>
    <t>D071801</t>
  </si>
  <si>
    <t>다른 여자는 없어(19세 개정판) 2 (완결)</t>
  </si>
  <si>
    <t>D071802</t>
  </si>
  <si>
    <t>소꿉친구가 내가 임신했다고 오해한다</t>
  </si>
  <si>
    <t>D182644</t>
  </si>
  <si>
    <t>오빠와 나의 배덕한 XX</t>
  </si>
  <si>
    <t>D196248</t>
  </si>
  <si>
    <t>미친 납치범에게 임신당했다</t>
  </si>
  <si>
    <t>탱글탱글</t>
  </si>
  <si>
    <t>비자금 사냥꾼 04</t>
  </si>
  <si>
    <t>D219386</t>
  </si>
  <si>
    <t>비자금 사냥꾼 02</t>
  </si>
  <si>
    <t>D219384</t>
  </si>
  <si>
    <t>비자금 사냥꾼 03</t>
  </si>
  <si>
    <t>D219385</t>
  </si>
  <si>
    <t>비자금 사냥꾼 05</t>
  </si>
  <si>
    <t>D219387</t>
  </si>
  <si>
    <t>이별 강제 종료 1</t>
  </si>
  <si>
    <t>수현</t>
  </si>
  <si>
    <t>도서출판 선</t>
  </si>
  <si>
    <t>D197182</t>
  </si>
  <si>
    <t>문과라도 안 죄송한 이세계로 감 03</t>
  </si>
  <si>
    <t>k307372</t>
  </si>
  <si>
    <t>더 코워커</t>
  </si>
  <si>
    <t>프리다 맥파든</t>
  </si>
  <si>
    <t>E106174</t>
  </si>
  <si>
    <t>동정 변태 공작과 결혼했습니다</t>
  </si>
  <si>
    <t>유채</t>
  </si>
  <si>
    <t>E848802</t>
  </si>
  <si>
    <t>앙칼진 고양이를 길들이는 방법 1</t>
  </si>
  <si>
    <t>데일리</t>
  </si>
  <si>
    <t>D174035</t>
  </si>
  <si>
    <t>기간트 명가의 역대급 막내로 환생했다 1</t>
  </si>
  <si>
    <t>글동냥</t>
  </si>
  <si>
    <t>D219399</t>
  </si>
  <si>
    <t>시한부 아이돌이 살아남는 법 04</t>
  </si>
  <si>
    <t>해날</t>
  </si>
  <si>
    <t>D066081</t>
  </si>
  <si>
    <t>변태들만 골라 먹는 변태</t>
  </si>
  <si>
    <t>한탕</t>
  </si>
  <si>
    <t>k370047</t>
  </si>
  <si>
    <t>천마재생 12 (완결)</t>
  </si>
  <si>
    <t>D203993</t>
  </si>
  <si>
    <t>천마재생 05</t>
  </si>
  <si>
    <t>D203986</t>
  </si>
  <si>
    <t>천마재생 10</t>
  </si>
  <si>
    <t>D203991</t>
  </si>
  <si>
    <t>천마재생 02</t>
  </si>
  <si>
    <t>D203983</t>
  </si>
  <si>
    <t>천마재생 07</t>
  </si>
  <si>
    <t>D203988</t>
  </si>
  <si>
    <t>천마재생 06</t>
  </si>
  <si>
    <t>D203987</t>
  </si>
  <si>
    <t>천마재생 03</t>
  </si>
  <si>
    <t>D203984</t>
  </si>
  <si>
    <t>천마재생 08</t>
  </si>
  <si>
    <t>D203989</t>
  </si>
  <si>
    <t>천마재생 11</t>
  </si>
  <si>
    <t>D203992</t>
  </si>
  <si>
    <t>천마재생 04</t>
  </si>
  <si>
    <t>D203985</t>
  </si>
  <si>
    <t>천마재생 09</t>
  </si>
  <si>
    <t>D203990</t>
  </si>
  <si>
    <t>왕녀님은 교육중 2</t>
  </si>
  <si>
    <t>흔빨</t>
  </si>
  <si>
    <t>k144413</t>
  </si>
  <si>
    <t>왕녀님은 교육중 3</t>
  </si>
  <si>
    <t>k144414</t>
  </si>
  <si>
    <t>수궁전</t>
  </si>
  <si>
    <t>D009196</t>
  </si>
  <si>
    <t>[BL] 귀신의 아이를 가졌는데 산부인과 가도 되나요</t>
  </si>
  <si>
    <t>스크</t>
  </si>
  <si>
    <t>D080220</t>
  </si>
  <si>
    <t>[BL] 농장 힐링 게임인 줄 알았습니다</t>
  </si>
  <si>
    <t>흑미밥</t>
  </si>
  <si>
    <t>D182639</t>
  </si>
  <si>
    <t>[BL] 교미공</t>
  </si>
  <si>
    <t>D078624</t>
  </si>
  <si>
    <t>[BL] 의붓동생 오메가 절정 조교</t>
  </si>
  <si>
    <t>D080216</t>
  </si>
  <si>
    <t>[BL] 촉수의 모체가 되어버렸다</t>
  </si>
  <si>
    <t>D126847</t>
  </si>
  <si>
    <t>네가 M이라니 2 (외전)</t>
  </si>
  <si>
    <t>죄송한취향</t>
  </si>
  <si>
    <t>k103192</t>
  </si>
  <si>
    <t>네가 M이라니 1 (외전)</t>
  </si>
  <si>
    <t>k103191</t>
  </si>
  <si>
    <t>네가 M이라니 (특별 외전)</t>
  </si>
  <si>
    <t>k131445</t>
  </si>
  <si>
    <t>구원자가 도망친 밤 1</t>
  </si>
  <si>
    <t>얼든트</t>
  </si>
  <si>
    <t>k069384</t>
  </si>
  <si>
    <t>오빠 셋, 동생 하나, 아빠</t>
  </si>
  <si>
    <t>D151141</t>
  </si>
  <si>
    <t>[세트] 나의 짐승 같은 교수님 (총2권/완결)</t>
  </si>
  <si>
    <t>신윤희</t>
  </si>
  <si>
    <t>이런 쓰레기가 나라니 1 : 쓰레기의 시작</t>
  </si>
  <si>
    <t>D220723</t>
  </si>
  <si>
    <t>문과라도 안 죄송한 이세계로 감 081화</t>
  </si>
  <si>
    <t>E448317</t>
  </si>
  <si>
    <t>문과라도 안 죄송한 이세계로 감 080화</t>
  </si>
  <si>
    <t>E448316</t>
  </si>
  <si>
    <t>문과라도 안 죄송한 이세계로 감 079화</t>
  </si>
  <si>
    <t>E448315</t>
  </si>
  <si>
    <t>문과라도 안 죄송한 이세계로 감 078화</t>
  </si>
  <si>
    <t>E448314</t>
  </si>
  <si>
    <t>문과라도 안 죄송한 이세계로 감 040화</t>
  </si>
  <si>
    <t>E448276</t>
  </si>
  <si>
    <t>문과라도 안 죄송한 이세계로 감 038화</t>
  </si>
  <si>
    <t>E448274</t>
  </si>
  <si>
    <t>문과라도 안 죄송한 이세계로 감 043화</t>
  </si>
  <si>
    <t>E448279</t>
  </si>
  <si>
    <t>문과라도 안 죄송한 이세계로 감 042화</t>
  </si>
  <si>
    <t>E448278</t>
  </si>
  <si>
    <t>문과라도 안 죄송한 이세계로 감 047화</t>
  </si>
  <si>
    <t>E448283</t>
  </si>
  <si>
    <t>문과라도 안 죄송한 이세계로 감 041화</t>
  </si>
  <si>
    <t>E448277</t>
  </si>
  <si>
    <t>문과라도 안 죄송한 이세계로 감 045화</t>
  </si>
  <si>
    <t>E448281</t>
  </si>
  <si>
    <t>문과라도 안 죄송한 이세계로 감 046화</t>
  </si>
  <si>
    <t>E448282</t>
  </si>
  <si>
    <t>문과라도 안 죄송한 이세계로 감 039화</t>
  </si>
  <si>
    <t>E448275</t>
  </si>
  <si>
    <t>문과라도 안 죄송한 이세계로 감 044화</t>
  </si>
  <si>
    <t>E448280</t>
  </si>
  <si>
    <t>금욕 저택의 하녀 교육</t>
  </si>
  <si>
    <t>유리R</t>
  </si>
  <si>
    <t>k268421</t>
  </si>
  <si>
    <t>젖 짜주는 아버님</t>
  </si>
  <si>
    <t>k256259</t>
  </si>
  <si>
    <t>하녀 만찬</t>
  </si>
  <si>
    <t>B007976</t>
  </si>
  <si>
    <t>[세트] 리턴 투 베이스 (외전 포함) (총3권/완결)</t>
  </si>
  <si>
    <t>반올림</t>
  </si>
  <si>
    <t>살인마가 날 성녀라 부른다 3 (완결)</t>
  </si>
  <si>
    <t>유주신</t>
  </si>
  <si>
    <t>D061683</t>
  </si>
  <si>
    <t>성X문 전담 스파이</t>
  </si>
  <si>
    <t>D182780</t>
  </si>
  <si>
    <t>망나니 PD 아이돌로 살아남기 01</t>
  </si>
  <si>
    <t>k335575</t>
  </si>
  <si>
    <t>문과라도 안 죄송한 이세계로 감 165화</t>
  </si>
  <si>
    <t>E631249</t>
  </si>
  <si>
    <t>문과라도 안 죄송한 이세계로 감 170화</t>
  </si>
  <si>
    <t>E632879</t>
  </si>
  <si>
    <t>문과라도 안 죄송한 이세계로 감 161화</t>
  </si>
  <si>
    <t>E626709</t>
  </si>
  <si>
    <t>문과라도 안 죄송한 이세계로 감 166화</t>
  </si>
  <si>
    <t>E631250</t>
  </si>
  <si>
    <t>문과라도 안 죄송한 이세계로 감 171화</t>
  </si>
  <si>
    <t>E632880</t>
  </si>
  <si>
    <t>문과라도 안 죄송한 이세계로 감 158화</t>
  </si>
  <si>
    <t>E622477</t>
  </si>
  <si>
    <t>문과라도 안 죄송한 이세계로 감 163화</t>
  </si>
  <si>
    <t>E631247</t>
  </si>
  <si>
    <t>문과라도 안 죄송한 이세계로 감 159화</t>
  </si>
  <si>
    <t>E626707</t>
  </si>
  <si>
    <t>문과라도 안 죄송한 이세계로 감 162화</t>
  </si>
  <si>
    <t>E626710</t>
  </si>
  <si>
    <t>문과라도 안 죄송한 이세계로 감 167화</t>
  </si>
  <si>
    <t>E631251</t>
  </si>
  <si>
    <t>문과라도 안 죄송한 이세계로 감 160화</t>
  </si>
  <si>
    <t>E626708</t>
  </si>
  <si>
    <t>문과라도 안 죄송한 이세계로 감 164화</t>
  </si>
  <si>
    <t>E631248</t>
  </si>
  <si>
    <t>문과라도 안 죄송한 이세계로 감 168화</t>
  </si>
  <si>
    <t>E632877</t>
  </si>
  <si>
    <t>문과라도 안 죄송한 이세계로 감 169화</t>
  </si>
  <si>
    <t>E632878</t>
  </si>
  <si>
    <t>사장님의 암캐가 된 사정 1</t>
  </si>
  <si>
    <t>D005430</t>
  </si>
  <si>
    <t>[BL] 소환술사는 맞는데, 이상한 걸 소환합니다 5 (완결)</t>
  </si>
  <si>
    <t>룬명</t>
  </si>
  <si>
    <t>벨숲(스토리숲)</t>
  </si>
  <si>
    <t>[세트] 내가 M이라니 (총6권/완결)</t>
  </si>
  <si>
    <t>망나니 PD 아이돌로 살아남기 19 (완결)</t>
  </si>
  <si>
    <t>B000132</t>
  </si>
  <si>
    <t>아빠 친구 길들이기 4</t>
  </si>
  <si>
    <t>B032841</t>
  </si>
  <si>
    <t>1급수 황자님 (외전)</t>
  </si>
  <si>
    <t>핑캐</t>
  </si>
  <si>
    <t>D023858</t>
  </si>
  <si>
    <t>마왕의 아이로 살아남는 법 3</t>
  </si>
  <si>
    <t>이현성</t>
  </si>
  <si>
    <t>k000385</t>
  </si>
  <si>
    <t>아가씨, 쉬하실 시간입니다 1</t>
  </si>
  <si>
    <t>D097519</t>
  </si>
  <si>
    <t>평양냉면</t>
  </si>
  <si>
    <t>김남천</t>
  </si>
  <si>
    <t>가갸날</t>
  </si>
  <si>
    <t>팀장님 직장이 어디세요?</t>
  </si>
  <si>
    <t>연상공격</t>
  </si>
  <si>
    <t>D004672</t>
  </si>
  <si>
    <t>[BL] 골드레인 : 골든라이트 (외전)</t>
  </si>
  <si>
    <t>새우깡</t>
  </si>
  <si>
    <t>k246100</t>
  </si>
  <si>
    <t>[BL] 백송의 꽃말 2</t>
  </si>
  <si>
    <t>N146593</t>
  </si>
  <si>
    <t>[세트] 분수 쇼 타임 (총2권/완결)</t>
  </si>
  <si>
    <t>애교둥이</t>
  </si>
  <si>
    <t>배덕의 조교 아카데미 2</t>
  </si>
  <si>
    <t>하마쥐5</t>
  </si>
  <si>
    <t>D151163</t>
  </si>
  <si>
    <t>배덕의 조교 아카데미 1</t>
  </si>
  <si>
    <t>D131878</t>
  </si>
  <si>
    <t>배덕의 조교 아카데미 3</t>
  </si>
  <si>
    <t>D168700</t>
  </si>
  <si>
    <t>닫힌 문</t>
  </si>
  <si>
    <t>멩그로브</t>
  </si>
  <si>
    <t>[BL] 백송의 꽃말 1</t>
  </si>
  <si>
    <t>N146592</t>
  </si>
  <si>
    <t>아빠 친구 길들이기 5 (완결)</t>
  </si>
  <si>
    <t>D179567</t>
  </si>
  <si>
    <t>문과라도 안 죄송한 이세계로 감 434화</t>
  </si>
  <si>
    <t>N044657</t>
  </si>
  <si>
    <t>문과라도 안 죄송한 이세계로 감 435화</t>
  </si>
  <si>
    <t>N046129</t>
  </si>
  <si>
    <t>문과라도 안 죄송한 이세계로 감 432화</t>
  </si>
  <si>
    <t>N041334</t>
  </si>
  <si>
    <t>문과라도 안 죄송한 이세계로 감 423화</t>
  </si>
  <si>
    <t>N027077</t>
  </si>
  <si>
    <t>문과라도 안 죄송한 이세계로 감 414화</t>
  </si>
  <si>
    <t>N015649</t>
  </si>
  <si>
    <t>문과라도 안 죄송한 이세계로 감 413화</t>
  </si>
  <si>
    <t>N015629</t>
  </si>
  <si>
    <t>문과라도 안 죄송한 이세계로 감 412화</t>
  </si>
  <si>
    <t>N012176</t>
  </si>
  <si>
    <t>문과라도 안 죄송한 이세계로 감 417화</t>
  </si>
  <si>
    <t>N021804</t>
  </si>
  <si>
    <t>문과라도 안 죄송한 이세계로 감 415화</t>
  </si>
  <si>
    <t>N017629</t>
  </si>
  <si>
    <t>문과라도 안 죄송한 이세계로 감 416화</t>
  </si>
  <si>
    <t>N021741</t>
  </si>
  <si>
    <t>며느리의 유혹 2 (완결)</t>
  </si>
  <si>
    <t>박효중</t>
  </si>
  <si>
    <t>팀씨에스피</t>
  </si>
  <si>
    <t>나의 변태 친구들 2 (완결)</t>
  </si>
  <si>
    <t>D107182</t>
  </si>
  <si>
    <t>개 같은 의붓동생과 절정 스와핑 1</t>
  </si>
  <si>
    <t>D216010</t>
  </si>
  <si>
    <t>살인마가 날 성녀라 부른다 (외전 1 : 미래편)</t>
  </si>
  <si>
    <t>D170329</t>
  </si>
  <si>
    <t>문과라도 안 죄송한 이세계로 감 154화</t>
  </si>
  <si>
    <t>E622473</t>
  </si>
  <si>
    <t>문과라도 안 죄송한 이세계로 감 153화</t>
  </si>
  <si>
    <t>E622472</t>
  </si>
  <si>
    <t>문과라도 안 죄송한 이세계로 감 440화</t>
  </si>
  <si>
    <t>N059062</t>
  </si>
  <si>
    <t>문과라도 안 죄송한 이세계로 감 439화</t>
  </si>
  <si>
    <t>N054197</t>
  </si>
  <si>
    <t>문과라도 안 죄송한 이세계로 감 444화</t>
  </si>
  <si>
    <t>N075363</t>
  </si>
  <si>
    <t>문과라도 안 죄송한 이세계로 감 443화</t>
  </si>
  <si>
    <t>N074676</t>
  </si>
  <si>
    <t>문과라도 안 죄송한 이세계로 감 441화</t>
  </si>
  <si>
    <t>N074674</t>
  </si>
  <si>
    <t>문과라도 안 죄송한 이세계로 감 455화</t>
  </si>
  <si>
    <t>N085606</t>
  </si>
  <si>
    <t>문과라도 안 죄송한 이세계로 감 456화</t>
  </si>
  <si>
    <t>N089778</t>
  </si>
  <si>
    <t>문과라도 안 죄송한 이세계로 감 454화</t>
  </si>
  <si>
    <t>N085605</t>
  </si>
  <si>
    <t>문과라도 안 죄송한 이세계로 감 457화</t>
  </si>
  <si>
    <t>N089779</t>
  </si>
  <si>
    <t>문과라도 안 죄송한 이세계로 감 458화</t>
  </si>
  <si>
    <t>N092431</t>
  </si>
  <si>
    <t>문과라도 안 죄송한 이세계로 감 445화</t>
  </si>
  <si>
    <t>N075364</t>
  </si>
  <si>
    <t>문과라도 안 죄송한 이세계로 감 446화</t>
  </si>
  <si>
    <t>N075365</t>
  </si>
  <si>
    <t>문과라도 안 죄송한 이세계로 감 442화</t>
  </si>
  <si>
    <t>N074675</t>
  </si>
  <si>
    <t>문과라도 안 죄송한 이세계로 감 447화</t>
  </si>
  <si>
    <t>N078635</t>
  </si>
  <si>
    <t>문과라도 안 죄송한 이세계로 감 449화</t>
  </si>
  <si>
    <t>N078665</t>
  </si>
  <si>
    <t>문과라도 안 죄송한 이세계로 감 453화</t>
  </si>
  <si>
    <t>N085604</t>
  </si>
  <si>
    <t>문과라도 안 죄송한 이세계로 감 450화</t>
  </si>
  <si>
    <t>N083215</t>
  </si>
  <si>
    <t>문과라도 안 죄송한 이세계로 감 448화</t>
  </si>
  <si>
    <t>N078664</t>
  </si>
  <si>
    <t>문과라도 안 죄송한 이세계로 감 451화</t>
  </si>
  <si>
    <t>N083231</t>
  </si>
  <si>
    <t>문과라도 안 죄송한 이세계로 감 452화</t>
  </si>
  <si>
    <t>N083232</t>
  </si>
  <si>
    <t>남편에게 불륜했다고 고백했더니</t>
  </si>
  <si>
    <t>아니근데선생님</t>
  </si>
  <si>
    <t>D216014</t>
  </si>
  <si>
    <t>BDSM 플레이어</t>
  </si>
  <si>
    <t>k303930</t>
  </si>
  <si>
    <t>[BL] 육욕의 감옥 (개정판)</t>
  </si>
  <si>
    <t>핑크레몬</t>
  </si>
  <si>
    <t>D211208</t>
  </si>
  <si>
    <t>인생 2회차 철종의 슬기로운 정복생활 1</t>
  </si>
  <si>
    <t>MOOHA</t>
  </si>
  <si>
    <t>사이렌</t>
  </si>
  <si>
    <t>k364042</t>
  </si>
  <si>
    <t>아빠 친구 길들이기 비하인드 외전 : 아빠 편</t>
  </si>
  <si>
    <t>D220724</t>
  </si>
  <si>
    <t>[BL] 백송의 꽃말 3 (완결)</t>
  </si>
  <si>
    <t>N146594</t>
  </si>
  <si>
    <t>왕녀님은 교육중 4</t>
  </si>
  <si>
    <t>k144415</t>
  </si>
  <si>
    <t>튼실한 알파는 그녀의 아래서 운다</t>
  </si>
  <si>
    <t>20년 전통의 조개구이</t>
  </si>
  <si>
    <t>k329908</t>
  </si>
  <si>
    <t>왕녀님은 교육중 5 (완결)</t>
  </si>
  <si>
    <t>k144416</t>
  </si>
  <si>
    <t>내가 M이라니 2</t>
  </si>
  <si>
    <t>E778789</t>
  </si>
  <si>
    <t>[BL] 희락의 군주 1</t>
  </si>
  <si>
    <t>D171324</t>
  </si>
  <si>
    <t>[GL] 오늘도 들이댑니다</t>
  </si>
  <si>
    <t>최이린</t>
  </si>
  <si>
    <t>환상서점 2</t>
  </si>
  <si>
    <t>소서림</t>
  </si>
  <si>
    <t>E106481</t>
  </si>
  <si>
    <t>구원자가 도망친 밤 2</t>
  </si>
  <si>
    <t>k069385</t>
  </si>
  <si>
    <t>구원자가 도망친 밤 3</t>
  </si>
  <si>
    <t>k069386</t>
  </si>
  <si>
    <t>스파이, Sex, 에스퍼 1</t>
  </si>
  <si>
    <t>훈일지대</t>
  </si>
  <si>
    <t>보라북스</t>
  </si>
  <si>
    <t>k326778</t>
  </si>
  <si>
    <t>문과라도 안 죄송한 이세계로 감 175화</t>
  </si>
  <si>
    <t>E634438</t>
  </si>
  <si>
    <t>문과라도 안 죄송한 이세계로 감 172화</t>
  </si>
  <si>
    <t>E634435</t>
  </si>
  <si>
    <t>문과라도 안 죄송한 이세계로 감 173화</t>
  </si>
  <si>
    <t>E634436</t>
  </si>
  <si>
    <t>문과라도 안 죄송한 이세계로 감 174화</t>
  </si>
  <si>
    <t>E634437</t>
  </si>
  <si>
    <t>[GL] 봄날을 마주하다</t>
  </si>
  <si>
    <t>Geewo</t>
  </si>
  <si>
    <t>스파이, Sex, 에스퍼 2</t>
  </si>
  <si>
    <t>k326779</t>
  </si>
  <si>
    <t>스파이, Sex, 에스퍼 3</t>
  </si>
  <si>
    <t>k326780</t>
  </si>
  <si>
    <t>나는 남의 여자만 뺏는다 01</t>
  </si>
  <si>
    <t>레이미샤</t>
  </si>
  <si>
    <t>스파이, Sex, 에스퍼 7 (완결)</t>
  </si>
  <si>
    <t>k326784</t>
  </si>
  <si>
    <t>스파이, Sex, 에스퍼 4</t>
  </si>
  <si>
    <t>k326781</t>
  </si>
  <si>
    <t>스파이, Sex, 에스퍼 6</t>
  </si>
  <si>
    <t>k326783</t>
  </si>
  <si>
    <t>스파이, Sex, 에스퍼 5</t>
  </si>
  <si>
    <t>k326782</t>
  </si>
  <si>
    <t>축구는 돈이다 01</t>
  </si>
  <si>
    <t>차박손</t>
  </si>
  <si>
    <t>N185168</t>
  </si>
  <si>
    <t>신학 아카데미의 성교육 1. 처녀 면접</t>
  </si>
  <si>
    <t>D039620</t>
  </si>
  <si>
    <t>지하철에서 열린 아빠 친구 동창회 2 (완결)</t>
  </si>
  <si>
    <t>k398072</t>
  </si>
  <si>
    <t>드래곤 레이디 9 (완결)</t>
  </si>
  <si>
    <t>k114079</t>
  </si>
  <si>
    <t>드래곤 레이디 8</t>
  </si>
  <si>
    <t>k114078</t>
  </si>
  <si>
    <t>드래곤 레이디 5</t>
  </si>
  <si>
    <t>k114075</t>
  </si>
  <si>
    <t>여동생은 자지 마요 (외전)</t>
  </si>
  <si>
    <t>k316405</t>
  </si>
  <si>
    <t>여동생은 자지 마요</t>
  </si>
  <si>
    <t>[BL] 아우토반 로맨스 (외전)</t>
  </si>
  <si>
    <t>k315106</t>
  </si>
  <si>
    <t>[BL] 아우토반 로맨스 2</t>
  </si>
  <si>
    <t>k129792</t>
  </si>
  <si>
    <t>[BL] 아우토반 로맨스 3</t>
  </si>
  <si>
    <t>k129793</t>
  </si>
  <si>
    <t>[BL] 아우토반 로맨스 4 (완결)</t>
  </si>
  <si>
    <t>k129794</t>
  </si>
  <si>
    <t>[세트] 안 보이는 투명츄 (개정판) (총20권/완결)</t>
  </si>
  <si>
    <t>고하솜</t>
  </si>
  <si>
    <t>AI 가상현실 - 정조 교도소 1</t>
  </si>
  <si>
    <t>쓰레기집합소</t>
  </si>
  <si>
    <t>D151142</t>
  </si>
  <si>
    <t>AI 가상현실 - 정조 교도소 2</t>
  </si>
  <si>
    <t>D179565</t>
  </si>
  <si>
    <t>AI 가상현실 - 정조 교도소 3</t>
  </si>
  <si>
    <t>D216009</t>
  </si>
  <si>
    <t>퇴역용병의 하녀</t>
  </si>
  <si>
    <t>k393267</t>
  </si>
  <si>
    <t>[세트] [BL] 금단 위에 순정 (총5권/완결)</t>
  </si>
  <si>
    <t>로체니콥</t>
  </si>
  <si>
    <t>문과라도 안 죄송한 이세계로 감 404화</t>
  </si>
  <si>
    <t>N000053</t>
  </si>
  <si>
    <t>[세트] [BL] 내 애인이 결혼한다 (총2권/완결)</t>
  </si>
  <si>
    <t>꽃피우는봄</t>
  </si>
  <si>
    <t>엄마의 야설 2 (완결)</t>
  </si>
  <si>
    <t>남진구</t>
  </si>
  <si>
    <t>백치공주</t>
  </si>
  <si>
    <t>마뇽</t>
  </si>
  <si>
    <t>E861945</t>
  </si>
  <si>
    <t>[세트] 시한부 악녀의 저주받은 여동생 (총7권/완결)</t>
  </si>
  <si>
    <t>백햐</t>
  </si>
  <si>
    <t>달리아</t>
  </si>
  <si>
    <t>아저씨 1</t>
  </si>
  <si>
    <t>강태형</t>
  </si>
  <si>
    <t>k248722</t>
  </si>
  <si>
    <t>축구는 돈이다 02</t>
  </si>
  <si>
    <t>N185169</t>
  </si>
  <si>
    <t>다비드의 창 2 (외전증보판) (완결)</t>
  </si>
  <si>
    <t>박연필</t>
  </si>
  <si>
    <t>사슴의풀밭</t>
  </si>
  <si>
    <t>다비드의 창 1 (외전증보판)</t>
  </si>
  <si>
    <t>다비드의 창 (외전) (외전증보판)</t>
  </si>
  <si>
    <t>[세트] 나의 애착 인형 (외전 포함) (총3권/완결)</t>
  </si>
  <si>
    <t>[세트] 테이스트 (개정판) (외전 포함) (총3권/완결)</t>
  </si>
  <si>
    <t>죽기 전에 꼭 불태워야 할 로맨스</t>
  </si>
  <si>
    <t>사슴묘묘</t>
  </si>
  <si>
    <t>D158760</t>
  </si>
  <si>
    <t>함부로 대해지는 취향</t>
  </si>
  <si>
    <t>k321425</t>
  </si>
  <si>
    <t>함부로 대해지는 취향 (외전)</t>
  </si>
  <si>
    <t>k321426</t>
  </si>
  <si>
    <t>[세트] 궁궐엔 낮달이 뜬다 (총3권/완결)</t>
  </si>
  <si>
    <t>금나루</t>
  </si>
  <si>
    <t>배덕한 성기사의 회개</t>
  </si>
  <si>
    <t>에피소드 1부 1</t>
  </si>
  <si>
    <t>N105314</t>
  </si>
  <si>
    <t>문과라도 안 죄송한 이세계로 감 146화</t>
  </si>
  <si>
    <t>E615982</t>
  </si>
  <si>
    <t>포루노관 1</t>
  </si>
  <si>
    <t>k102748</t>
  </si>
  <si>
    <t>포루노관 3 (완결)</t>
  </si>
  <si>
    <t>k102750</t>
  </si>
  <si>
    <t>포루노관 2</t>
  </si>
  <si>
    <t>k102749</t>
  </si>
  <si>
    <t>배란일인데 고위층 간부가 호출했습니다 4 (中)</t>
  </si>
  <si>
    <t>딸기맛사탕</t>
  </si>
  <si>
    <t>D006528</t>
  </si>
  <si>
    <t>아빠 친구 길들이기 3</t>
  </si>
  <si>
    <t>k455841</t>
  </si>
  <si>
    <t>아빠 친구 길들이기 1</t>
  </si>
  <si>
    <t>k420255</t>
  </si>
  <si>
    <t>아빠 친구 길들이기 2</t>
  </si>
  <si>
    <t>k427227</t>
  </si>
  <si>
    <t>아빠 친구 길들이기 비하인드 외전 : 재연 편</t>
  </si>
  <si>
    <t>D220725</t>
  </si>
  <si>
    <t>형사취수제: 동생은 형의 부인을 취한다</t>
  </si>
  <si>
    <t>라테</t>
  </si>
  <si>
    <t>N005027</t>
  </si>
  <si>
    <t>문과라도 안 죄송한 이세계로 감 317화</t>
  </si>
  <si>
    <t>E777777</t>
  </si>
  <si>
    <t>문과라도 안 죄송한 이세계로 감 316화</t>
  </si>
  <si>
    <t>E777776</t>
  </si>
  <si>
    <t>오빠 친구들이랑 원, 투, 쓰리</t>
  </si>
  <si>
    <t>심솜</t>
  </si>
  <si>
    <t>치한 취향 - 지하철</t>
  </si>
  <si>
    <t>나의 변태 친구들 1</t>
  </si>
  <si>
    <t>D064582</t>
  </si>
  <si>
    <t>[BL] 알파인 줄 알았는데</t>
  </si>
  <si>
    <t>팝시클</t>
  </si>
  <si>
    <t>k199532</t>
  </si>
  <si>
    <t>신화의 전장 01</t>
  </si>
  <si>
    <t>D176006</t>
  </si>
  <si>
    <t>절륜한 형사님 길들이기</t>
  </si>
  <si>
    <t>김성게</t>
  </si>
  <si>
    <t>D202232</t>
  </si>
  <si>
    <t>아프더라도 1</t>
  </si>
  <si>
    <t>연우</t>
  </si>
  <si>
    <t>D131347</t>
  </si>
  <si>
    <t>문과라도 안 죄송한 이세계로 감 474화</t>
  </si>
  <si>
    <t>N114000</t>
  </si>
  <si>
    <t>리턴 투 베이스 (외전)</t>
  </si>
  <si>
    <t>D147881</t>
  </si>
  <si>
    <t>계약 남편의 야한 장난감</t>
  </si>
  <si>
    <t>포당도당</t>
  </si>
  <si>
    <t>D182784</t>
  </si>
  <si>
    <t>어떤, 낙원</t>
  </si>
  <si>
    <t>E869565</t>
  </si>
  <si>
    <t>월야환담 01 : 채월야</t>
  </si>
  <si>
    <t>홍정훈</t>
  </si>
  <si>
    <t>광기를 길들이다</t>
  </si>
  <si>
    <t>남편에게 받는 호된 교육</t>
  </si>
  <si>
    <t>D032368</t>
  </si>
  <si>
    <t>위험한 오빠 친구 (외전)</t>
  </si>
  <si>
    <t>타라</t>
  </si>
  <si>
    <t>N121582</t>
  </si>
  <si>
    <t>어서오세요 쾌락 샵</t>
  </si>
  <si>
    <t>여전희</t>
  </si>
  <si>
    <t>B000803</t>
  </si>
  <si>
    <t>레이나의 은밀한 가정 교육 3</t>
  </si>
  <si>
    <t>k146936</t>
  </si>
  <si>
    <t>[세트] 시한부 아이돌이 살아남는 법 (외전 포함) (총14권/완결)</t>
  </si>
  <si>
    <t>삼촌의 최면 요법 (외전2)</t>
  </si>
  <si>
    <t>발정기</t>
  </si>
  <si>
    <t>k422862</t>
  </si>
  <si>
    <t>별의 커비 디스커버리 1 : 새로운 세계를 향해 달려라!</t>
  </si>
  <si>
    <t>다카세 미에</t>
  </si>
  <si>
    <t>E105425</t>
  </si>
  <si>
    <t>별의 커비 디스커버리 2</t>
  </si>
  <si>
    <t>E105441</t>
  </si>
  <si>
    <t>별의 커비 스타 얼라이즈 2 : 우주의 대위기!</t>
  </si>
  <si>
    <t>E105406</t>
  </si>
  <si>
    <t>별의 커비 스타 얼라이즈 1 : 프렌즈 대모험!</t>
  </si>
  <si>
    <t>E105405</t>
  </si>
  <si>
    <t>[세트] 잠만 자는 사이 (총3권/완결)</t>
  </si>
  <si>
    <t>망고우유</t>
  </si>
  <si>
    <t>스토리야</t>
  </si>
  <si>
    <t>새아빠, 왜 이러세요</t>
  </si>
  <si>
    <t>k430298</t>
  </si>
  <si>
    <t>내가 M이라니 4</t>
  </si>
  <si>
    <t>E778791</t>
  </si>
  <si>
    <t>악녀 교육</t>
  </si>
  <si>
    <t>D157417</t>
  </si>
  <si>
    <t>노 모럴 트라이앵글 (외전)</t>
  </si>
  <si>
    <t>k387339</t>
  </si>
  <si>
    <t>남편의 씨는 아니지만 (외전)</t>
  </si>
  <si>
    <t>N217252</t>
  </si>
  <si>
    <t>남편의 씨는 아니지만</t>
  </si>
  <si>
    <t>아포칼립스 속 사이다패스 1</t>
  </si>
  <si>
    <t>글력운동</t>
  </si>
  <si>
    <t>N162899</t>
  </si>
  <si>
    <t>문과라도 안 죄송한 이세계로 감 209화</t>
  </si>
  <si>
    <t>E664960</t>
  </si>
  <si>
    <t>에피소드 (삽화본) (외전 4)</t>
  </si>
  <si>
    <t>k381883</t>
  </si>
  <si>
    <t>루나와 악몽과 마법사님</t>
  </si>
  <si>
    <t>서조</t>
  </si>
  <si>
    <t>[세트] [BL] 아우토반 로맨스 (외전 포함) (총5권/완결)</t>
  </si>
  <si>
    <t>위사무적 1</t>
  </si>
  <si>
    <t>D095991</t>
  </si>
  <si>
    <t>성인용 구독 서비스 2</t>
  </si>
  <si>
    <t>D126853</t>
  </si>
  <si>
    <t>자고 일어났더니 임신했다</t>
  </si>
  <si>
    <t>D196249</t>
  </si>
  <si>
    <t>메스를 든 사냥꾼</t>
  </si>
  <si>
    <t>최이도</t>
  </si>
  <si>
    <t>E105521</t>
  </si>
  <si>
    <t>눈떠보니 선조대왕 01</t>
  </si>
  <si>
    <t>브루마블</t>
  </si>
  <si>
    <t>k317939</t>
  </si>
  <si>
    <t>나의 아빠 7</t>
  </si>
  <si>
    <t>k125277</t>
  </si>
  <si>
    <t>교수님께 A+을 받기 위해서</t>
  </si>
  <si>
    <t>k036610</t>
  </si>
  <si>
    <t>쌍둥이 오빠 사이의 가짜 여동생</t>
  </si>
  <si>
    <t>슈슈</t>
  </si>
  <si>
    <t>아가씨, 금지된 촉수온실에 가지 마세요!</t>
  </si>
  <si>
    <t>라일락곰젤리</t>
  </si>
  <si>
    <t>D004673</t>
  </si>
  <si>
    <t>남작영애는 애완슬라임의 XX가 필요해요</t>
  </si>
  <si>
    <t>D061692</t>
  </si>
  <si>
    <t>개뿔도 없는 무림환생 01</t>
  </si>
  <si>
    <t>키나아빠</t>
  </si>
  <si>
    <t>k312262</t>
  </si>
  <si>
    <t>발정 크림과 옆집 남자</t>
  </si>
  <si>
    <t>체리온탑</t>
  </si>
  <si>
    <t>D157992</t>
  </si>
  <si>
    <t>문과라도 안 죄송한 이세계로 감 188화</t>
  </si>
  <si>
    <t>E644886</t>
  </si>
  <si>
    <t>알바비는 여기에 넣어주세요</t>
  </si>
  <si>
    <t>D030338</t>
  </si>
  <si>
    <t>문과라도 안 죄송한 이세계로 감 410화</t>
  </si>
  <si>
    <t>N006589</t>
  </si>
  <si>
    <t>문과라도 안 죄송한 이세계로 감 409화</t>
  </si>
  <si>
    <t>N005100</t>
  </si>
  <si>
    <t>문과라도 안 죄송한 이세계로 감 411화</t>
  </si>
  <si>
    <t>N009330</t>
  </si>
  <si>
    <t>문과라도 안 죄송한 이세계로 감 489화</t>
  </si>
  <si>
    <t>N135364</t>
  </si>
  <si>
    <t>[세트] 수궁전 (외전 포함) (총2권/완결)</t>
  </si>
  <si>
    <t>낙원의 열매 1권</t>
  </si>
  <si>
    <t>마모</t>
  </si>
  <si>
    <t>도서출판 해울</t>
  </si>
  <si>
    <t>낙원의 열매 2권</t>
  </si>
  <si>
    <t>낙원의 열매 3권 (완결)</t>
  </si>
  <si>
    <t>문과라도 안 죄송한 이세계로 감 122화</t>
  </si>
  <si>
    <t>E469527</t>
  </si>
  <si>
    <t>의술의 신 01</t>
  </si>
  <si>
    <t>태윤</t>
  </si>
  <si>
    <t>N211863</t>
  </si>
  <si>
    <t>챙럼 된 첫사랑을 구매하는 법 1</t>
  </si>
  <si>
    <t>배무청</t>
  </si>
  <si>
    <t>D216012</t>
  </si>
  <si>
    <t>챙럼 된 첫사랑을 구매하는 법 2 (완결)</t>
  </si>
  <si>
    <t>D216013</t>
  </si>
  <si>
    <t>[세트] 즐거운 대학생활 (외전 포함) (총2권/완결)</t>
  </si>
  <si>
    <t>김유일</t>
  </si>
  <si>
    <t>달콤한 며느리 1</t>
  </si>
  <si>
    <t>슈가대디</t>
  </si>
  <si>
    <t>문과라도 안 죄송한 이세계로 감 123화</t>
  </si>
  <si>
    <t>E469528</t>
  </si>
  <si>
    <t>문과라도 안 죄송한 이세계로 감 124화</t>
  </si>
  <si>
    <t>E469529</t>
  </si>
  <si>
    <t>문과라도 안 죄송한 이세계로 감 126화</t>
  </si>
  <si>
    <t>E521968</t>
  </si>
  <si>
    <t>문과라도 안 죄송한 이세계로 감 127화</t>
  </si>
  <si>
    <t>E521969</t>
  </si>
  <si>
    <t>문과라도 안 죄송한 이세계로 감 125화</t>
  </si>
  <si>
    <t>E521967</t>
  </si>
  <si>
    <t>S에너지 수집♥ - 오피스에서 XX</t>
  </si>
  <si>
    <t>k343297</t>
  </si>
  <si>
    <t>위사무적 2</t>
  </si>
  <si>
    <t>D095992</t>
  </si>
  <si>
    <t>병약한 남동생</t>
  </si>
  <si>
    <t>k198931</t>
  </si>
  <si>
    <t>류</t>
  </si>
  <si>
    <t>히가시야마 아키라</t>
  </si>
  <si>
    <t>E105363</t>
  </si>
  <si>
    <t>문과라도 안 죄송한 이세계로 감 155화</t>
  </si>
  <si>
    <t>E622474</t>
  </si>
  <si>
    <t>문과라도 안 죄송한 이세계로 감 231화</t>
  </si>
  <si>
    <t>E701513</t>
  </si>
  <si>
    <t>이번 생은 유명 배우로 살겠습니다 1</t>
  </si>
  <si>
    <t>리히트</t>
  </si>
  <si>
    <t>D208615</t>
  </si>
  <si>
    <t>이번 생은 유명 배우로 살겠습니다 2</t>
  </si>
  <si>
    <t>D208616</t>
  </si>
  <si>
    <t>이번 생은 유명 배우로 살겠습니다 3 (완결)</t>
  </si>
  <si>
    <t>D208617</t>
  </si>
  <si>
    <t>바다의 붉은 보석</t>
  </si>
  <si>
    <t>B030920</t>
  </si>
  <si>
    <t>나는 남의 여자만 뺏는다 18</t>
  </si>
  <si>
    <t>문과라도 안 죄송한 이세계로 감 461화</t>
  </si>
  <si>
    <t>N096839</t>
  </si>
  <si>
    <t>문과라도 안 죄송한 이세계로 감 462화</t>
  </si>
  <si>
    <t>N096997</t>
  </si>
  <si>
    <t>문과라도 안 죄송한 이세계로 감 463화</t>
  </si>
  <si>
    <t>N099605</t>
  </si>
  <si>
    <t>문과라도 안 죄송한 이세계로 감 460화</t>
  </si>
  <si>
    <t>N096838</t>
  </si>
  <si>
    <t>문과라도 안 죄송한 이세계로 감 459화</t>
  </si>
  <si>
    <t>N092432</t>
  </si>
  <si>
    <t>새아빠가 밤마다 내 방에 들어온다</t>
  </si>
  <si>
    <t>네스티니</t>
  </si>
  <si>
    <t>k346472</t>
  </si>
  <si>
    <t>문과라도 안 죄송한 이세계로 감 401화</t>
  </si>
  <si>
    <t>E877506</t>
  </si>
  <si>
    <t>문과라도 안 죄송한 이세계로 감 176화</t>
  </si>
  <si>
    <t>E638144</t>
  </si>
  <si>
    <t>문과라도 안 죄송한 이세계로 감 177화</t>
  </si>
  <si>
    <t>E638145</t>
  </si>
  <si>
    <t>문과라도 안 죄송한 이세계로 감 178화</t>
  </si>
  <si>
    <t>E638146</t>
  </si>
  <si>
    <t>섬광 2 (완결)</t>
  </si>
  <si>
    <t>한태양</t>
  </si>
  <si>
    <t>D093344</t>
  </si>
  <si>
    <t>소문이 날 거면 짝남과</t>
  </si>
  <si>
    <t>D202234</t>
  </si>
  <si>
    <t>마시고 싶어</t>
  </si>
  <si>
    <t>k308687</t>
  </si>
  <si>
    <t>[세트] 기사님과 사서양의 비밀 교제 (외전증보개정판) (외전 포함) (총2권/완결)</t>
  </si>
  <si>
    <t>서루</t>
  </si>
  <si>
    <t>여동생의 구멍 막아주기 2 : 여동생의 젖몸살 도와주기</t>
  </si>
  <si>
    <t>마라맛슈가</t>
  </si>
  <si>
    <t>k243094</t>
  </si>
  <si>
    <t>여동생의 구멍 막아주기 (특별외전)</t>
  </si>
  <si>
    <t>k203207</t>
  </si>
  <si>
    <t>문과라도 안 죄송한 이세계로 감 400화</t>
  </si>
  <si>
    <t>E873051</t>
  </si>
  <si>
    <t>문과라도 안 죄송한 이세계로 감 399화</t>
  </si>
  <si>
    <t>E873050</t>
  </si>
  <si>
    <t>문과라도 안 죄송한 이세계로 감 402화</t>
  </si>
  <si>
    <t>E877507</t>
  </si>
  <si>
    <t>문과라도 안 죄송한 이세계로 감 403화</t>
  </si>
  <si>
    <t>E877534</t>
  </si>
  <si>
    <t>찢어발기다</t>
  </si>
  <si>
    <t>정욕</t>
  </si>
  <si>
    <t>제타</t>
  </si>
  <si>
    <t>D200313</t>
  </si>
  <si>
    <t>남자친구 아빠와 – 1. 비 오는 날</t>
  </si>
  <si>
    <t>음전한</t>
  </si>
  <si>
    <t>B005965</t>
  </si>
  <si>
    <t>미래의 통장으로 재벌되다 1</t>
  </si>
  <si>
    <t>투오</t>
  </si>
  <si>
    <t>D131860</t>
  </si>
  <si>
    <t>베스트 일본관능소설 選 (체험판)</t>
  </si>
  <si>
    <t>신조 다이치</t>
  </si>
  <si>
    <t>퀸스토리</t>
  </si>
  <si>
    <t>남주가 작으면, 역시 곤란한가요?</t>
  </si>
  <si>
    <t>N157111</t>
  </si>
  <si>
    <t>남주가 작으면, 역시 곤란한가요? (외전)</t>
  </si>
  <si>
    <t>k105858</t>
  </si>
  <si>
    <t>심리부검</t>
  </si>
  <si>
    <t>서종한</t>
  </si>
  <si>
    <t>시간여행</t>
  </si>
  <si>
    <t>E104935</t>
  </si>
  <si>
    <t>[BL] 컴플라이언스 매트릭스 1</t>
  </si>
  <si>
    <t>삼공구</t>
  </si>
  <si>
    <t>D065788</t>
  </si>
  <si>
    <t>불친절한 새 오빠</t>
  </si>
  <si>
    <t>김뭉니</t>
  </si>
  <si>
    <t>N232330</t>
  </si>
  <si>
    <t>계략 스캔들</t>
  </si>
  <si>
    <t>서이얀</t>
  </si>
  <si>
    <t>D200314</t>
  </si>
  <si>
    <t>섹스의 이상적인 시간</t>
  </si>
  <si>
    <t>보약낭자</t>
  </si>
  <si>
    <t>위사무적 3</t>
  </si>
  <si>
    <t>D095993</t>
  </si>
  <si>
    <t>달콤한 며느리 2 (완결)</t>
  </si>
  <si>
    <t>문과라도 안 죄송한 이세계로 감 318화</t>
  </si>
  <si>
    <t>E777778</t>
  </si>
  <si>
    <t>시한부 아이돌이 살아남는 법 01</t>
  </si>
  <si>
    <t>D066078</t>
  </si>
  <si>
    <t>금욕 저택의 하녀 교육 2 (완결)</t>
  </si>
  <si>
    <t>k293001</t>
  </si>
  <si>
    <t>에피소드 2부 1</t>
  </si>
  <si>
    <t>N105316</t>
  </si>
  <si>
    <t>도련님의 신부 2 (완결)</t>
  </si>
  <si>
    <t>구란화</t>
  </si>
  <si>
    <t>k433089</t>
  </si>
  <si>
    <t>도련님의 신부 1</t>
  </si>
  <si>
    <t>k433088</t>
  </si>
  <si>
    <t>[BL] 컴플라이언스 매트릭스 (외전)</t>
  </si>
  <si>
    <t>D222145</t>
  </si>
  <si>
    <t>[세트] 아기 털 뭉치들이 나만 따라다님 (총6권/완결)</t>
  </si>
  <si>
    <t>로미유</t>
  </si>
  <si>
    <t>위사무적 4</t>
  </si>
  <si>
    <t>D095994</t>
  </si>
  <si>
    <t>시아버지의 임신 수업</t>
  </si>
  <si>
    <t>D080221</t>
  </si>
  <si>
    <t>우사(雨蛇) 발정</t>
  </si>
  <si>
    <t>물티슈</t>
  </si>
  <si>
    <t>k422860</t>
  </si>
  <si>
    <t>오늘의 번식</t>
  </si>
  <si>
    <t>k295923</t>
  </si>
  <si>
    <t>마녀님의 끈적한 산란 플레이</t>
  </si>
  <si>
    <t>땡초</t>
  </si>
  <si>
    <t>k036609</t>
  </si>
  <si>
    <t>경멸하는 너와 나의 발정기</t>
  </si>
  <si>
    <t>애플시나몬</t>
  </si>
  <si>
    <t>용의 아이를 낳아라</t>
  </si>
  <si>
    <t>망리</t>
  </si>
  <si>
    <t>타오름그믐</t>
  </si>
  <si>
    <t>N211264</t>
  </si>
  <si>
    <t>드래곤 레이디 6</t>
  </si>
  <si>
    <t>k114076</t>
  </si>
  <si>
    <t>좋다고 말해 (외전)</t>
  </si>
  <si>
    <t>채하정</t>
  </si>
  <si>
    <t>E710321</t>
  </si>
  <si>
    <t>소꿉친구를 빨았다</t>
  </si>
  <si>
    <t>야쇼</t>
  </si>
  <si>
    <t>D080223</t>
  </si>
  <si>
    <t>남주들과 작별에 실패했다 2 (완결)</t>
  </si>
  <si>
    <t>이월십구일</t>
  </si>
  <si>
    <t>D225193</t>
  </si>
  <si>
    <t>남주들과 작별에 실패했다 1</t>
  </si>
  <si>
    <t>D225192</t>
  </si>
  <si>
    <t>친애하는 나의 조카 딸</t>
  </si>
  <si>
    <t>애셋</t>
  </si>
  <si>
    <t>D225195</t>
  </si>
  <si>
    <t>황제의 아래, 꽃잎이 젖는다</t>
  </si>
  <si>
    <t>백선로드</t>
  </si>
  <si>
    <t>D186552</t>
  </si>
  <si>
    <t>발정난 개들을 위한 난교타운</t>
  </si>
  <si>
    <t>k444220</t>
  </si>
  <si>
    <t>발정난 개들을 위한 난교타운 2</t>
  </si>
  <si>
    <t>B023838</t>
  </si>
  <si>
    <t>에피소드 2부 3</t>
  </si>
  <si>
    <t>N105318</t>
  </si>
  <si>
    <t>에피소드 2부 5</t>
  </si>
  <si>
    <t>N105320</t>
  </si>
  <si>
    <t>[BL] 희락의 군주 2</t>
  </si>
  <si>
    <t>D171325</t>
  </si>
  <si>
    <t>[BL] 희락의 군주 3 (완결)</t>
  </si>
  <si>
    <t>D171326</t>
  </si>
  <si>
    <t>월야환담 04 : 채월야</t>
  </si>
  <si>
    <t>월야환담 02 : 채월야</t>
  </si>
  <si>
    <t>월야환담 03 : 채월야</t>
  </si>
  <si>
    <t>월야환담 05 : 채월야</t>
  </si>
  <si>
    <t>월야환담 06 : 채월야</t>
  </si>
  <si>
    <t>월야환담 07 : 채월야</t>
  </si>
  <si>
    <t>월야환담 08 : 채월야</t>
  </si>
  <si>
    <t>월야환담 09 : 채월야</t>
  </si>
  <si>
    <t>게임 속 개발자로 각성한 헌터 01</t>
  </si>
  <si>
    <t>랑이</t>
  </si>
  <si>
    <t>D224441</t>
  </si>
  <si>
    <t>착각하지 마세요 1</t>
  </si>
  <si>
    <t>수레국화꽃말</t>
  </si>
  <si>
    <t>오넷</t>
  </si>
  <si>
    <t>D202816</t>
  </si>
  <si>
    <t>너의 배드엔딩을 위하여 1</t>
  </si>
  <si>
    <t>Gazebo</t>
  </si>
  <si>
    <t>D224452</t>
  </si>
  <si>
    <t>절대 동안의 그녀 (체험판)</t>
  </si>
  <si>
    <t>독고향</t>
  </si>
  <si>
    <t>NUDI</t>
  </si>
  <si>
    <t>너에게 파는 나의 밤. (외전)</t>
  </si>
  <si>
    <t>k184091</t>
  </si>
  <si>
    <t>너에게 파는 나의 밤. 2 (완결)</t>
  </si>
  <si>
    <t>k184090</t>
  </si>
  <si>
    <t>너에게 파는 나의 밤. 1</t>
  </si>
  <si>
    <t>k184089</t>
  </si>
  <si>
    <t>젖어들다 1 : 그녀, 채원</t>
  </si>
  <si>
    <t>두나</t>
  </si>
  <si>
    <t>Mrs. 와이프 (체험판)</t>
  </si>
  <si>
    <t>중2엄마</t>
  </si>
  <si>
    <t>그들만의 비밀연애 (체험판)</t>
  </si>
  <si>
    <t>한가한 오후</t>
  </si>
  <si>
    <t>Lace</t>
  </si>
  <si>
    <t>레이나의 은밀한 가정 교육 5 (완결)</t>
  </si>
  <si>
    <t>k146938</t>
  </si>
  <si>
    <t>전직 성녀는 황후가 체질 1</t>
  </si>
  <si>
    <t>로디테</t>
  </si>
  <si>
    <t>D209359</t>
  </si>
  <si>
    <t>조선 여성 첫 세계 일주기</t>
  </si>
  <si>
    <t>나혜석</t>
  </si>
  <si>
    <t>위사무적 5</t>
  </si>
  <si>
    <t>D095995</t>
  </si>
  <si>
    <t>안 보이는 투명츄 (개정판) 03</t>
  </si>
  <si>
    <t>N099793</t>
  </si>
  <si>
    <t>안 보이는 투명츄 (개정판) 04</t>
  </si>
  <si>
    <t>N099794</t>
  </si>
  <si>
    <t>안 보이는 투명츄 (개정판) 05</t>
  </si>
  <si>
    <t>N099795</t>
  </si>
  <si>
    <t>안 보이는 투명츄 (개정판) 02</t>
  </si>
  <si>
    <t>N099792</t>
  </si>
  <si>
    <t>안 보이는 투명츄 (개정판) 01</t>
  </si>
  <si>
    <t>N099791</t>
  </si>
  <si>
    <t>안 보이는 투명츄 (개정판) 10</t>
  </si>
  <si>
    <t>N099800</t>
  </si>
  <si>
    <t>안 보이는 투명츄 (개정판) 08</t>
  </si>
  <si>
    <t>N099798</t>
  </si>
  <si>
    <t>안 보이는 투명츄 (개정판) 09</t>
  </si>
  <si>
    <t>N099799</t>
  </si>
  <si>
    <t>안 보이는 투명츄 (개정판) 06</t>
  </si>
  <si>
    <t>N099796</t>
  </si>
  <si>
    <t>안 보이는 투명츄 (개정판) 07</t>
  </si>
  <si>
    <t>N099797</t>
  </si>
  <si>
    <t>안 보이는 투명츄 (개정판) 15</t>
  </si>
  <si>
    <t>N099805</t>
  </si>
  <si>
    <t>안 보이는 투명츄 (개정판) 13</t>
  </si>
  <si>
    <t>N099803</t>
  </si>
  <si>
    <t>안 보이는 투명츄 (개정판) 11</t>
  </si>
  <si>
    <t>N099801</t>
  </si>
  <si>
    <t>안 보이는 투명츄 (개정판) 20 (완결)</t>
  </si>
  <si>
    <t>N099810</t>
  </si>
  <si>
    <t>안 보이는 투명츄 (개정판) 18</t>
  </si>
  <si>
    <t>N099808</t>
  </si>
  <si>
    <t>안 보이는 투명츄 (개정판) 12</t>
  </si>
  <si>
    <t>N099802</t>
  </si>
  <si>
    <t>안 보이는 투명츄 (개정판) 16</t>
  </si>
  <si>
    <t>N099806</t>
  </si>
  <si>
    <t>안 보이는 투명츄 (개정판) 14</t>
  </si>
  <si>
    <t>N099804</t>
  </si>
  <si>
    <t>안 보이는 투명츄 (개정판) 17</t>
  </si>
  <si>
    <t>N099807</t>
  </si>
  <si>
    <t>안 보이는 투명츄 (개정판) 19</t>
  </si>
  <si>
    <t>N099809</t>
  </si>
  <si>
    <t>치한: 위험한 지하철</t>
  </si>
  <si>
    <t>N206689</t>
  </si>
  <si>
    <t>[세트] 벨그레이브 후작가의 사정 (총2권/완결)</t>
  </si>
  <si>
    <t>님도르신</t>
  </si>
  <si>
    <t>품위있는 계약부부 2</t>
  </si>
  <si>
    <t>D180401</t>
  </si>
  <si>
    <t>품위있는 계약부부 3</t>
  </si>
  <si>
    <t>D180402</t>
  </si>
  <si>
    <t>품위있는 계약부부 1</t>
  </si>
  <si>
    <t>D180400</t>
  </si>
  <si>
    <t>품위있는 계약부부 4 (완결)</t>
  </si>
  <si>
    <t>D180403</t>
  </si>
  <si>
    <t>[BL] 컴플라이언스 매트릭스 5 (완결)</t>
  </si>
  <si>
    <t>D065792</t>
  </si>
  <si>
    <t>[BL] 컴플라이언스 매트릭스 3</t>
  </si>
  <si>
    <t>D065790</t>
  </si>
  <si>
    <t>[BL] 컴플라이언스 매트릭스 4</t>
  </si>
  <si>
    <t>D065791</t>
  </si>
  <si>
    <t>[BL] 컴플라이언스 매트릭스 2</t>
  </si>
  <si>
    <t>D065789</t>
  </si>
  <si>
    <t>광애(狂愛)</t>
  </si>
  <si>
    <t>자앗</t>
  </si>
  <si>
    <t>D157990</t>
  </si>
  <si>
    <t>화씨벽</t>
  </si>
  <si>
    <t>게임 속 개발자로 각성한 헌터 06</t>
  </si>
  <si>
    <t>D224446</t>
  </si>
  <si>
    <t>게임 속 개발자로 각성한 헌터 02</t>
  </si>
  <si>
    <t>D224442</t>
  </si>
  <si>
    <t>게임 속 개발자로 각성한 헌터 11 (완결)</t>
  </si>
  <si>
    <t>D224451</t>
  </si>
  <si>
    <t>게임 속 개발자로 각성한 헌터 07</t>
  </si>
  <si>
    <t>D224447</t>
  </si>
  <si>
    <t>게임 속 개발자로 각성한 헌터 09</t>
  </si>
  <si>
    <t>D224449</t>
  </si>
  <si>
    <t>게임 속 개발자로 각성한 헌터 03</t>
  </si>
  <si>
    <t>D224443</t>
  </si>
  <si>
    <t>게임 속 개발자로 각성한 헌터 05</t>
  </si>
  <si>
    <t>D224445</t>
  </si>
  <si>
    <t>게임 속 개발자로 각성한 헌터 10</t>
  </si>
  <si>
    <t>D224450</t>
  </si>
  <si>
    <t>게임 속 개발자로 각성한 헌터 04</t>
  </si>
  <si>
    <t>D224444</t>
  </si>
  <si>
    <t>게임 속 개발자로 각성한 헌터 08</t>
  </si>
  <si>
    <t>D224448</t>
  </si>
  <si>
    <t>[BL] 마법청년 : 우유식당</t>
  </si>
  <si>
    <t>레콩</t>
  </si>
  <si>
    <t>[BL] 내겐 너무 곤란한 후배님 외전</t>
  </si>
  <si>
    <t>오브Aube</t>
  </si>
  <si>
    <t>나의 변태 오빠들</t>
  </si>
  <si>
    <t>D133652</t>
  </si>
  <si>
    <t>지하철에서는 안 돼!</t>
  </si>
  <si>
    <t>스베리</t>
  </si>
  <si>
    <t>D026033</t>
  </si>
  <si>
    <t>데릴사위의 사정 1 : 효도</t>
  </si>
  <si>
    <t>D196245</t>
  </si>
  <si>
    <t>데릴사위의 사정 2 : 의무</t>
  </si>
  <si>
    <t>D196246</t>
  </si>
  <si>
    <t>친애하는 나의 처녀 딸</t>
  </si>
  <si>
    <t>D203584</t>
  </si>
  <si>
    <t>문과라도 안 죄송한 이세계로 감 471화</t>
  </si>
  <si>
    <t>N111152</t>
  </si>
  <si>
    <t>문과라도 안 죄송한 이세계로 감 472화</t>
  </si>
  <si>
    <t>N111328</t>
  </si>
  <si>
    <t>문과라도 안 죄송한 이세계로 감 470화</t>
  </si>
  <si>
    <t>N108188</t>
  </si>
  <si>
    <t>문과라도 안 죄송한 이세계로 감 467화</t>
  </si>
  <si>
    <t>N105260</t>
  </si>
  <si>
    <t>문과라도 안 죄송한 이세계로 감 468화</t>
  </si>
  <si>
    <t>N105331</t>
  </si>
  <si>
    <t>문과라도 안 죄송한 이세계로 감 469화</t>
  </si>
  <si>
    <t>N105424</t>
  </si>
  <si>
    <t>문과라도 안 죄송한 이세계로 감 466화</t>
  </si>
  <si>
    <t>N101306</t>
  </si>
  <si>
    <t>문과라도 안 죄송한 이세계로 감 465화</t>
  </si>
  <si>
    <t>N100698</t>
  </si>
  <si>
    <t>문과라도 안 죄송한 이세계로 감 464화</t>
  </si>
  <si>
    <t>N100520</t>
  </si>
  <si>
    <t>문과라도 안 죄송한 이세계로 감 473화</t>
  </si>
  <si>
    <t>N111654</t>
  </si>
  <si>
    <t>[세트] 내 손끝엔 너만 살아 (총2권/완결)</t>
  </si>
  <si>
    <t>라넌퀼</t>
  </si>
  <si>
    <t>스와핑당하는 아내</t>
  </si>
  <si>
    <t>k200863</t>
  </si>
  <si>
    <t>검은 밤을 지나서</t>
  </si>
  <si>
    <t>편백</t>
  </si>
  <si>
    <t>의사 메르텔의 성교육 1</t>
  </si>
  <si>
    <t>의사 메르텔의 성교육 2</t>
  </si>
  <si>
    <t>N217278</t>
  </si>
  <si>
    <t>의사 메르텔의 성교육 3</t>
  </si>
  <si>
    <t>k021222</t>
  </si>
  <si>
    <t>문과라도 안 죄송한 이세계로 감 128화</t>
  </si>
  <si>
    <t>E521970</t>
  </si>
  <si>
    <t>문과라도 안 죄송한 이세계로 감 129화</t>
  </si>
  <si>
    <t>E524892</t>
  </si>
  <si>
    <t>도박고양이 수거하기</t>
  </si>
  <si>
    <t>D158937</t>
  </si>
  <si>
    <t>발정난 개들을 위한 난교타운 4</t>
  </si>
  <si>
    <t>D009649</t>
  </si>
  <si>
    <t>문과라도 안 죄송한 이세계로 감 082화</t>
  </si>
  <si>
    <t>E448318</t>
  </si>
  <si>
    <t>문과라도 안 죄송한 이세계로 감 083화</t>
  </si>
  <si>
    <t>E448319</t>
  </si>
  <si>
    <t>문과라도 안 죄송한 이세계로 감 084화</t>
  </si>
  <si>
    <t>E448320</t>
  </si>
  <si>
    <t>[BL] 자기야, 꼬리랑 XX 좀 넣어줄래</t>
  </si>
  <si>
    <t>오뮤악</t>
  </si>
  <si>
    <t>문과라도 안 죄송한 이세계로 감 156화</t>
  </si>
  <si>
    <t>E622475</t>
  </si>
  <si>
    <t>이모의 비밀 1</t>
  </si>
  <si>
    <t>기둥서방</t>
  </si>
  <si>
    <t>이모의 비밀 2 (완결)</t>
  </si>
  <si>
    <t>아카데미에 돈 벌러 왔는데요? 2</t>
  </si>
  <si>
    <t>D203949</t>
  </si>
  <si>
    <t>비자금 사냥꾼 06</t>
  </si>
  <si>
    <t>D219388</t>
  </si>
  <si>
    <t>아카데미에 돈 벌러 왔는데요? 3</t>
  </si>
  <si>
    <t>D203950</t>
  </si>
  <si>
    <t>짝사랑이 지나치면 1</t>
  </si>
  <si>
    <t>루제이스</t>
  </si>
  <si>
    <t>D076767</t>
  </si>
  <si>
    <t>[세트] 혜잔의 향낭 (총2권/완결)</t>
  </si>
  <si>
    <t>한수영</t>
  </si>
  <si>
    <t>신학 아카데미의 성교육 2. 능욕 교실</t>
  </si>
  <si>
    <t>D066121</t>
  </si>
  <si>
    <t>신학 아카데미의 성교육 3. 야외 수업 (완결)</t>
  </si>
  <si>
    <t>D097520</t>
  </si>
  <si>
    <t>유두 피어싱♡</t>
  </si>
  <si>
    <t>D225201</t>
  </si>
  <si>
    <t>아카데미에 돈 벌러 왔는데요? 4</t>
  </si>
  <si>
    <t>D203951</t>
  </si>
  <si>
    <t>신입생 율무의 동아리생활</t>
  </si>
  <si>
    <t>N217282</t>
  </si>
  <si>
    <t>신입생 율무의 동아리생활 2</t>
  </si>
  <si>
    <t>N232267</t>
  </si>
  <si>
    <t>문과라도 안 죄송한 이세계로 감 179화</t>
  </si>
  <si>
    <t>E638147</t>
  </si>
  <si>
    <t>문과라도 안 죄송한 이세계로 감 180화</t>
  </si>
  <si>
    <t>E639259</t>
  </si>
  <si>
    <t>문과라도 안 죄송한 이세계로 감 181화</t>
  </si>
  <si>
    <t>E639260</t>
  </si>
  <si>
    <t>문과라도 안 죄송한 이세계로 감 182화</t>
  </si>
  <si>
    <t>E639261</t>
  </si>
  <si>
    <t>모래신부</t>
  </si>
  <si>
    <t>[GL] 재앙 곁의 버베나 3</t>
  </si>
  <si>
    <t>한윤호</t>
  </si>
  <si>
    <t>k102296</t>
  </si>
  <si>
    <t>[GL] 재앙 곁의 버베나 2</t>
  </si>
  <si>
    <t>k102295</t>
  </si>
  <si>
    <t>[GL] 재앙 곁의 버베나 4 (완결)</t>
  </si>
  <si>
    <t>k102297</t>
  </si>
  <si>
    <t>그는 우리 집 개새끼였습니다 2</t>
  </si>
  <si>
    <t>헤샤</t>
  </si>
  <si>
    <t>D209503</t>
  </si>
  <si>
    <t>그는 우리 집 개새끼였습니다 3 (완결)</t>
  </si>
  <si>
    <t>D209504</t>
  </si>
  <si>
    <t>그는 우리 집 개새끼였습니다 1</t>
  </si>
  <si>
    <t>D209502</t>
  </si>
  <si>
    <t>월야환담 10 : 창월야</t>
  </si>
  <si>
    <t>월야환담 19 : 창월야</t>
  </si>
  <si>
    <t>월야환담 20 : 창월야</t>
  </si>
  <si>
    <t>월야환담 21 : 창월야</t>
  </si>
  <si>
    <t>월야환담 22 : 창월야</t>
  </si>
  <si>
    <t>월야환담 11 : 창월야</t>
  </si>
  <si>
    <t>월야환담 12 : 창월야</t>
  </si>
  <si>
    <t>월야환담 13 : 창월야</t>
  </si>
  <si>
    <t>월야환담 14 : 창월야</t>
  </si>
  <si>
    <t>월야환담 15 : 창월야</t>
  </si>
  <si>
    <t>월야환담 16 : 창월야</t>
  </si>
  <si>
    <t>월야환담 17 : 창월야</t>
  </si>
  <si>
    <t>월야환담 18 : 창월야</t>
  </si>
  <si>
    <t>월야환담 25 : 광월야</t>
  </si>
  <si>
    <t>월야환담 30 : 광월야</t>
  </si>
  <si>
    <t>월야환담 29 : 광월야</t>
  </si>
  <si>
    <t>월야환담 34 : 광월야 (완결)</t>
  </si>
  <si>
    <t>월야환담 23 : 광월야</t>
  </si>
  <si>
    <t>월야환담 28 : 광월야</t>
  </si>
  <si>
    <t>월야환담 33 : 광월야</t>
  </si>
  <si>
    <t>월야환담 24 : 광월야</t>
  </si>
  <si>
    <t>월야환담 26 : 광월야</t>
  </si>
  <si>
    <t>월야환담 31 : 광월야</t>
  </si>
  <si>
    <t>월야환담 27 : 광월야</t>
  </si>
  <si>
    <t>월야환담 32 : 광월야</t>
  </si>
  <si>
    <t>월야환담 외전 4 (완결)</t>
  </si>
  <si>
    <t>N025253</t>
  </si>
  <si>
    <t>월야환담 외전 3</t>
  </si>
  <si>
    <t>N025252</t>
  </si>
  <si>
    <t>월야환담 외전 2</t>
  </si>
  <si>
    <t>N025251</t>
  </si>
  <si>
    <t>월야환담 외전 1</t>
  </si>
  <si>
    <t>N025250</t>
  </si>
  <si>
    <t>착각하지 마세요 2 (완결)</t>
  </si>
  <si>
    <t>D202817</t>
  </si>
  <si>
    <t>문과라도 안 죄송한 이세계로 감 130화</t>
  </si>
  <si>
    <t>E524893</t>
  </si>
  <si>
    <t>문과라도 안 죄송한 이세계로 감 131화</t>
  </si>
  <si>
    <t>E524894</t>
  </si>
  <si>
    <t>문과라도 안 죄송한 이세계로 감 132화</t>
  </si>
  <si>
    <t>E524895</t>
  </si>
  <si>
    <t>문과라도 안 죄송한 이세계로 감 376화</t>
  </si>
  <si>
    <t>E844352</t>
  </si>
  <si>
    <t>문과라도 안 죄송한 이세계로 감 375화</t>
  </si>
  <si>
    <t>E844250</t>
  </si>
  <si>
    <t>[BL] 러시 대시 (외전)</t>
  </si>
  <si>
    <t>D186305</t>
  </si>
  <si>
    <t>너를 노예로 삼은 것을 후회한다 2</t>
  </si>
  <si>
    <t>뮤사203</t>
  </si>
  <si>
    <t>N135350</t>
  </si>
  <si>
    <t>드래곤 레이디 2</t>
  </si>
  <si>
    <t>k114072</t>
  </si>
  <si>
    <t>문과라도 안 죄송한 이세계로 감 135화</t>
  </si>
  <si>
    <t>E527838</t>
  </si>
  <si>
    <t>문과라도 안 죄송한 이세계로 감 140화</t>
  </si>
  <si>
    <t>E607523</t>
  </si>
  <si>
    <t>문과라도 안 죄송한 이세계로 감 137화</t>
  </si>
  <si>
    <t>E599526</t>
  </si>
  <si>
    <t>문과라도 안 죄송한 이세계로 감 142화</t>
  </si>
  <si>
    <t>E615978</t>
  </si>
  <si>
    <t>문과라도 안 죄송한 이세계로 감 136화</t>
  </si>
  <si>
    <t>E527839</t>
  </si>
  <si>
    <t>문과라도 안 죄송한 이세계로 감 141화</t>
  </si>
  <si>
    <t>E607524</t>
  </si>
  <si>
    <t>문과라도 안 죄송한 이세계로 감 133화</t>
  </si>
  <si>
    <t>E527836</t>
  </si>
  <si>
    <t>문과라도 안 죄송한 이세계로 감 138화</t>
  </si>
  <si>
    <t>E599527</t>
  </si>
  <si>
    <t>문과라도 안 죄송한 이세계로 감 134화</t>
  </si>
  <si>
    <t>E527837</t>
  </si>
  <si>
    <t>문과라도 안 죄송한 이세계로 감 139화</t>
  </si>
  <si>
    <t>E599528</t>
  </si>
  <si>
    <t>위사무적 6</t>
  </si>
  <si>
    <t>D095996</t>
  </si>
  <si>
    <t>[세트] 일야신낭 (총11권/완결)</t>
  </si>
  <si>
    <t>월사영청</t>
  </si>
  <si>
    <t>휴브릿지</t>
  </si>
  <si>
    <t>[세트] 백정 (외전 포함) (총2권/완결)</t>
  </si>
  <si>
    <t>에피소드 3부 2</t>
  </si>
  <si>
    <t>N141081</t>
  </si>
  <si>
    <t>문과라도 안 죄송한 이세계로 감 261화</t>
  </si>
  <si>
    <t>E726879</t>
  </si>
  <si>
    <t>문과라도 안 죄송한 이세계로 감 264화</t>
  </si>
  <si>
    <t>E728936</t>
  </si>
  <si>
    <t>문과라도 안 죄송한 이세계로 감 263화</t>
  </si>
  <si>
    <t>E728935</t>
  </si>
  <si>
    <t>문과라도 안 죄송한 이세계로 감 260화</t>
  </si>
  <si>
    <t>E726878</t>
  </si>
  <si>
    <t>문과라도 안 죄송한 이세계로 감 262화</t>
  </si>
  <si>
    <t>E728934</t>
  </si>
  <si>
    <t>[BL] 금단 위에 순정 4</t>
  </si>
  <si>
    <t>k445827</t>
  </si>
  <si>
    <t>자고 있는데 아빠가</t>
  </si>
  <si>
    <t>k300959</t>
  </si>
  <si>
    <t>문과라도 안 죄송한 이세계로 감 064화</t>
  </si>
  <si>
    <t>E448300</t>
  </si>
  <si>
    <t>문과라도 안 죄송한 이세계로 감 069화</t>
  </si>
  <si>
    <t>E448305</t>
  </si>
  <si>
    <t>문과라도 안 죄송한 이세계로 감 068화</t>
  </si>
  <si>
    <t>E448304</t>
  </si>
  <si>
    <t>문과라도 안 죄송한 이세계로 감 063화</t>
  </si>
  <si>
    <t>E448299</t>
  </si>
  <si>
    <t>문과라도 안 죄송한 이세계로 감 025화</t>
  </si>
  <si>
    <t>E448261</t>
  </si>
  <si>
    <t>문과라도 안 죄송한 이세계로 감 023화</t>
  </si>
  <si>
    <t>E448259</t>
  </si>
  <si>
    <t>문과라도 안 죄송한 이세계로 감 067화</t>
  </si>
  <si>
    <t>E448303</t>
  </si>
  <si>
    <t>문과라도 안 죄송한 이세계로 감 072화</t>
  </si>
  <si>
    <t>E448308</t>
  </si>
  <si>
    <t>문과라도 안 죄송한 이세계로 감 070화</t>
  </si>
  <si>
    <t>E448306</t>
  </si>
  <si>
    <t>문과라도 안 죄송한 이세계로 감 066화</t>
  </si>
  <si>
    <t>E448302</t>
  </si>
  <si>
    <t>문과라도 안 죄송한 이세계로 감 065화</t>
  </si>
  <si>
    <t>E448301</t>
  </si>
  <si>
    <t>문과라도 안 죄송한 이세계로 감 071화</t>
  </si>
  <si>
    <t>E448307</t>
  </si>
  <si>
    <t>문과라도 안 죄송한 이세계로 감 024화</t>
  </si>
  <si>
    <t>E448260</t>
  </si>
  <si>
    <t>새아빠는 원나잇 남이었다 2</t>
  </si>
  <si>
    <t>서여림</t>
  </si>
  <si>
    <t>k198937</t>
  </si>
  <si>
    <t>새아빠는 원나잇 남이었다 1</t>
  </si>
  <si>
    <t>k198936</t>
  </si>
  <si>
    <t>새아빠는 원나잇 남이었다 3 (완결)</t>
  </si>
  <si>
    <t>k268418</t>
  </si>
  <si>
    <t>새아빠는 원나잇 남이었다 (외전 2)</t>
  </si>
  <si>
    <t>k268431</t>
  </si>
  <si>
    <t>새아빠는 원나잇 남이었다 (외전)</t>
  </si>
  <si>
    <t>k268419</t>
  </si>
  <si>
    <t>사채업자의 암캐교육</t>
  </si>
  <si>
    <t>자연산새송이</t>
  </si>
  <si>
    <t>k410694</t>
  </si>
  <si>
    <t>위사무적 7</t>
  </si>
  <si>
    <t>D095997</t>
  </si>
  <si>
    <t>두 얼굴의 남편</t>
  </si>
  <si>
    <t>D078620</t>
  </si>
  <si>
    <t>[세트] 세이렌 (총2권/완결)</t>
  </si>
  <si>
    <t>강윤결</t>
  </si>
  <si>
    <t>문과라도 안 죄송한 이세계로 감 478화</t>
  </si>
  <si>
    <t>N117540</t>
  </si>
  <si>
    <t>문과라도 안 죄송한 이세계로 감 475화</t>
  </si>
  <si>
    <t>N114597</t>
  </si>
  <si>
    <t>문과라도 안 죄송한 이세계로 감 476화</t>
  </si>
  <si>
    <t>N117337</t>
  </si>
  <si>
    <t>문과라도 안 죄송한 이세계로 감 477화</t>
  </si>
  <si>
    <t>N117539</t>
  </si>
  <si>
    <t>[세트] [BL] 얀의 마지막 겨울 (총5권/완결)</t>
  </si>
  <si>
    <t>[세트] 복숭아꽃 지는 곳의 노래 (총4권/완결)</t>
  </si>
  <si>
    <t>처처칭한</t>
  </si>
  <si>
    <t>문과라도 안 죄송한 이세계로 감 266화</t>
  </si>
  <si>
    <t>E741929</t>
  </si>
  <si>
    <t>문과라도 안 죄송한 이세계로 감 269화</t>
  </si>
  <si>
    <t>E741932</t>
  </si>
  <si>
    <t>문과라도 안 죄송한 이세계로 감 268화</t>
  </si>
  <si>
    <t>E741931</t>
  </si>
  <si>
    <t>문과라도 안 죄송한 이세계로 감 267화</t>
  </si>
  <si>
    <t>E741930</t>
  </si>
  <si>
    <t>문과라도 안 죄송한 이세계로 감 270화</t>
  </si>
  <si>
    <t>E744074</t>
  </si>
  <si>
    <t>문과라도 안 죄송한 이세계로 감 097화</t>
  </si>
  <si>
    <t>E448333</t>
  </si>
  <si>
    <t>문과라도 안 죄송한 이세계로 감 429화</t>
  </si>
  <si>
    <t>N037079</t>
  </si>
  <si>
    <t>아가씨, 쉬하실 시간입니다 2</t>
  </si>
  <si>
    <t>D225196</t>
  </si>
  <si>
    <t>문과라도 안 죄송한 이세계로 감 033화</t>
  </si>
  <si>
    <t>E448269</t>
  </si>
  <si>
    <t>문과라도 안 죄송한 이세계로 감 028화</t>
  </si>
  <si>
    <t>E448264</t>
  </si>
  <si>
    <t>문과라도 안 죄송한 이세계로 감 030화</t>
  </si>
  <si>
    <t>E448266</t>
  </si>
  <si>
    <t>문과라도 안 죄송한 이세계로 감 035화</t>
  </si>
  <si>
    <t>E448271</t>
  </si>
  <si>
    <t>문과라도 안 죄송한 이세계로 감 031화</t>
  </si>
  <si>
    <t>E448267</t>
  </si>
  <si>
    <t>문과라도 안 죄송한 이세계로 감 037화</t>
  </si>
  <si>
    <t>E448273</t>
  </si>
  <si>
    <t>문과라도 안 죄송한 이세계로 감 032화</t>
  </si>
  <si>
    <t>E448268</t>
  </si>
  <si>
    <t>문과라도 안 죄송한 이세계로 감 036화</t>
  </si>
  <si>
    <t>E448272</t>
  </si>
  <si>
    <t>문과라도 안 죄송한 이세계로 감 029화</t>
  </si>
  <si>
    <t>E448265</t>
  </si>
  <si>
    <t>문과라도 안 죄송한 이세계로 감 034화</t>
  </si>
  <si>
    <t>E448270</t>
  </si>
  <si>
    <t>[세트] 올가의 배덕한 밀회 (외전 포함) (총2권/완결)</t>
  </si>
  <si>
    <t>필밤</t>
  </si>
  <si>
    <t>눈먼 악당의 사냥법 (외전 2)</t>
  </si>
  <si>
    <t>리자은</t>
  </si>
  <si>
    <t>D174009</t>
  </si>
  <si>
    <t>불면증 여대생은 옆집 아재가 XX해줍니다 (상)</t>
  </si>
  <si>
    <t>D203582</t>
  </si>
  <si>
    <t>불면증 여대생은 옆집 아재가 XX해줍니다 (하)</t>
  </si>
  <si>
    <t>D203583</t>
  </si>
  <si>
    <t>아빠가 채워주는 정조대 4 (완결)</t>
  </si>
  <si>
    <t>D196242</t>
  </si>
  <si>
    <t>아빠가 채워주는 정조대 1</t>
  </si>
  <si>
    <t>D064580</t>
  </si>
  <si>
    <t>아빠가 채워주는 정조대 3</t>
  </si>
  <si>
    <t>D085971</t>
  </si>
  <si>
    <t>사내 공용 XX 구멍 1</t>
  </si>
  <si>
    <t>XX자금</t>
  </si>
  <si>
    <t>D097525</t>
  </si>
  <si>
    <t>[세트] 모래신부 (외전 포함) (총3권/완결)</t>
  </si>
  <si>
    <t>[BL] XX 개발 : 선생님의 개발</t>
  </si>
  <si>
    <t>포기는배추셀때나</t>
  </si>
  <si>
    <t>D225200</t>
  </si>
  <si>
    <t>비어</t>
  </si>
  <si>
    <t>N087260</t>
  </si>
  <si>
    <t>[BL] 안녕하세요, 아저씨 (외전)</t>
  </si>
  <si>
    <t>햄은좋맛</t>
  </si>
  <si>
    <t>미니꼬제</t>
  </si>
  <si>
    <t>D174937</t>
  </si>
  <si>
    <t>문과라도 안 죄송한 이세계로 감 110화</t>
  </si>
  <si>
    <t>E458051</t>
  </si>
  <si>
    <t>위사무적 8 (완결)</t>
  </si>
  <si>
    <t>D095998</t>
  </si>
  <si>
    <t>성녀님이 너무해</t>
  </si>
  <si>
    <t>k288223</t>
  </si>
  <si>
    <t>[세트] 량세환(两世欢) (총7권/완결)</t>
  </si>
  <si>
    <t>적월교교 (寂月皎皎)</t>
  </si>
  <si>
    <t>은밀한 주사위 게임 3 : 새 멤버</t>
  </si>
  <si>
    <t>B005964</t>
  </si>
  <si>
    <t>야외 노출 중에 전남친의 형을 만나면</t>
  </si>
  <si>
    <t>k327785</t>
  </si>
  <si>
    <t>문과라도 안 죄송한 이세계로 감 374화</t>
  </si>
  <si>
    <t>E843390</t>
  </si>
  <si>
    <t>문과라도 안 죄송한 이세계로 감 157화</t>
  </si>
  <si>
    <t>E622476</t>
  </si>
  <si>
    <t>문과라도 안 죄송한 이세계로 감 147화</t>
  </si>
  <si>
    <t>E615983</t>
  </si>
  <si>
    <t>문과라도 안 죄송한 이세계로 감 145화</t>
  </si>
  <si>
    <t>E615981</t>
  </si>
  <si>
    <t>문과라도 안 죄송한 이세계로 감 144화</t>
  </si>
  <si>
    <t>E615980</t>
  </si>
  <si>
    <t>문과라도 안 죄송한 이세계로 감 143화</t>
  </si>
  <si>
    <t>E615979</t>
  </si>
  <si>
    <t>에피소드 3부 3</t>
  </si>
  <si>
    <t>N141082</t>
  </si>
  <si>
    <t>[BL] 어쩌면 그것은 연정이었음에도</t>
  </si>
  <si>
    <t>건실한시민</t>
  </si>
  <si>
    <t>D158947</t>
  </si>
  <si>
    <t>문과라도 안 죄송한 이세계로 감 398화</t>
  </si>
  <si>
    <t>E869552</t>
  </si>
  <si>
    <t>문과라도 안 죄송한 이세계로 감 396화</t>
  </si>
  <si>
    <t>E869543</t>
  </si>
  <si>
    <t>문과라도 안 죄송한 이세계로 감 397화</t>
  </si>
  <si>
    <t>E869551</t>
  </si>
  <si>
    <t>문과라도 안 죄송한 이세계로 감 394화</t>
  </si>
  <si>
    <t>E865986</t>
  </si>
  <si>
    <t>문과라도 안 죄송한 이세계로 감 395화</t>
  </si>
  <si>
    <t>E868762</t>
  </si>
  <si>
    <t>운동의 종류</t>
  </si>
  <si>
    <t>흑고구마</t>
  </si>
  <si>
    <t>k188910</t>
  </si>
  <si>
    <t>시한부 아이돌이 살아남는 법 05</t>
  </si>
  <si>
    <t>D066082</t>
  </si>
  <si>
    <t>시한부 아이돌이 살아남는 법 03</t>
  </si>
  <si>
    <t>D066080</t>
  </si>
  <si>
    <t>시한부 아이돌이 살아남는 법 02</t>
  </si>
  <si>
    <t>D066079</t>
  </si>
  <si>
    <t>마사지샵 직원이 친구 오빠였다</t>
  </si>
  <si>
    <t>k295922</t>
  </si>
  <si>
    <t>주인님이 시키는 대로 (외전)</t>
  </si>
  <si>
    <t>k395940</t>
  </si>
  <si>
    <t>여직원 길들이기 3 (완결)</t>
  </si>
  <si>
    <t>렉렉</t>
  </si>
  <si>
    <t>D225199</t>
  </si>
  <si>
    <t>[BL] 알파에서 오메가로</t>
  </si>
  <si>
    <t>호겐</t>
  </si>
  <si>
    <t>D182641</t>
  </si>
  <si>
    <t>[세트] 차시천하 (총7권/완결)</t>
  </si>
  <si>
    <t>경령월(倾泠月)</t>
  </si>
  <si>
    <t>일야신낭 01</t>
  </si>
  <si>
    <t>k075173</t>
  </si>
  <si>
    <t>[세트] 짐승의 입술을 깨물 때 (총6권/완결)</t>
  </si>
  <si>
    <t>루나루</t>
  </si>
  <si>
    <t>[세트] 청담동 블루스 (총3권/완결)</t>
  </si>
  <si>
    <t>탄탄희</t>
  </si>
  <si>
    <t>구원자가 도망친 밤 4</t>
  </si>
  <si>
    <t>k069387</t>
  </si>
  <si>
    <t>구원자가 도망친 밤 5</t>
  </si>
  <si>
    <t>k069388</t>
  </si>
  <si>
    <t>샘물 클리닉 5 (완결)</t>
  </si>
  <si>
    <t>엘리제인</t>
  </si>
  <si>
    <t>k332650</t>
  </si>
  <si>
    <t>삼국지 소환전쟁 01</t>
  </si>
  <si>
    <t>독수리3호</t>
  </si>
  <si>
    <t>N206706</t>
  </si>
  <si>
    <t>문과라도 안 죄송한 이세계로 감 274화</t>
  </si>
  <si>
    <t>E744078</t>
  </si>
  <si>
    <t>문과라도 안 죄송한 이세계로 감 279화</t>
  </si>
  <si>
    <t>E746059</t>
  </si>
  <si>
    <t>문과라도 안 죄송한 이세계로 감 273화</t>
  </si>
  <si>
    <t>E744077</t>
  </si>
  <si>
    <t>문과라도 안 죄송한 이세계로 감 278화</t>
  </si>
  <si>
    <t>E746058</t>
  </si>
  <si>
    <t>문과라도 안 죄송한 이세계로 감 271화</t>
  </si>
  <si>
    <t>E744075</t>
  </si>
  <si>
    <t>문과라도 안 죄송한 이세계로 감 276화</t>
  </si>
  <si>
    <t>E744080</t>
  </si>
  <si>
    <t>문과라도 안 죄송한 이세계로 감 280화</t>
  </si>
  <si>
    <t>E746060</t>
  </si>
  <si>
    <t>문과라도 안 죄송한 이세계로 감 275화</t>
  </si>
  <si>
    <t>E744079</t>
  </si>
  <si>
    <t>문과라도 안 죄송한 이세계로 감 277화</t>
  </si>
  <si>
    <t>E744081</t>
  </si>
  <si>
    <t>문과라도 안 죄송한 이세계로 감 272화</t>
  </si>
  <si>
    <t>E744076</t>
  </si>
  <si>
    <t>세원록 1</t>
  </si>
  <si>
    <t>첸뤼(浅绿)</t>
  </si>
  <si>
    <t>E710444</t>
  </si>
  <si>
    <t>후궁의운 1</t>
  </si>
  <si>
    <t>E710458</t>
  </si>
  <si>
    <t>[세트] 매버릭(Maverick) (외전 포함) (총3권/완결)</t>
  </si>
  <si>
    <t>[세트] 닥터 지킬 앤 하이드 (총2권/완결)</t>
  </si>
  <si>
    <t>이희경</t>
  </si>
  <si>
    <t>아빠의 아내가 된 딸</t>
  </si>
  <si>
    <t>배란템조달꾼</t>
  </si>
  <si>
    <t>E855883</t>
  </si>
  <si>
    <t>시한부 아이돌이 살아남는 법 09</t>
  </si>
  <si>
    <t>D066086</t>
  </si>
  <si>
    <t>시한부 아이돌이 살아남는 법 06</t>
  </si>
  <si>
    <t>D066083</t>
  </si>
  <si>
    <t>시한부 아이돌이 살아남는 법 08</t>
  </si>
  <si>
    <t>D066085</t>
  </si>
  <si>
    <t>시한부 아이돌이 살아남는 법 07</t>
  </si>
  <si>
    <t>D066084</t>
  </si>
  <si>
    <t>문과라도 안 죄송한 이세계로 감 073화</t>
  </si>
  <si>
    <t>E448309</t>
  </si>
  <si>
    <t>형부의 전용x집</t>
  </si>
  <si>
    <t>최겨울</t>
  </si>
  <si>
    <t>B013715</t>
  </si>
  <si>
    <t>사냥꾼에게서 도망쳤다 4</t>
  </si>
  <si>
    <t>N085586</t>
  </si>
  <si>
    <t>[세트] 내가 M이라니 (외전 포함) (총9권/완결)</t>
  </si>
  <si>
    <t>량세환(两世欢) 1</t>
  </si>
  <si>
    <t>N197611</t>
  </si>
  <si>
    <t>[세트] 죄의 수요일 (외전 포함) (총2권/완결)</t>
  </si>
  <si>
    <t>홍유라</t>
  </si>
  <si>
    <t>여신님을 XX시키는 방법 1 : 임신편</t>
  </si>
  <si>
    <t>D158939</t>
  </si>
  <si>
    <t>여신님을 XX시키는 방법 2 : 출산편</t>
  </si>
  <si>
    <t>D168706</t>
  </si>
  <si>
    <t>[세트] 세원록 (총5권/완결)</t>
  </si>
  <si>
    <t>시한부 아이돌이 살아남는 법 11</t>
  </si>
  <si>
    <t>D066088</t>
  </si>
  <si>
    <t>시한부 아이돌이 살아남는 법 (외전 2)</t>
  </si>
  <si>
    <t>D066091</t>
  </si>
  <si>
    <t>시한부 아이돌이 살아남는 법 (외전 1)</t>
  </si>
  <si>
    <t>D066090</t>
  </si>
  <si>
    <t>시한부 아이돌이 살아남는 법 10</t>
  </si>
  <si>
    <t>D066087</t>
  </si>
  <si>
    <t>시한부 아이돌이 살아남는 법 12 (완결)</t>
  </si>
  <si>
    <t>D066089</t>
  </si>
  <si>
    <t>자기 위로 대체제가 사람이 된 건에 대하여 1</t>
  </si>
  <si>
    <t>혀니브레드</t>
  </si>
  <si>
    <t>D174941</t>
  </si>
  <si>
    <t>오얏: 밤을 피우는 꽃 (외전)</t>
  </si>
  <si>
    <t>설연</t>
  </si>
  <si>
    <t>D065834</t>
  </si>
  <si>
    <t>내게 양기를 바치렴 1</t>
  </si>
  <si>
    <t>이자나</t>
  </si>
  <si>
    <t>N105493</t>
  </si>
  <si>
    <t>아프더라도 2 (완결)</t>
  </si>
  <si>
    <t>D131348</t>
  </si>
  <si>
    <t>짐승의 입술을 깨물 때 1</t>
  </si>
  <si>
    <t>B007162</t>
  </si>
  <si>
    <t>문과라도 안 죄송한 이세계로 감 319화</t>
  </si>
  <si>
    <t>E777779</t>
  </si>
  <si>
    <t>[세트] [BL] 찬란하고 우아한 (외전 포함) (총3권/완결)</t>
  </si>
  <si>
    <t>귀여운 악마</t>
  </si>
  <si>
    <t>문과라도 안 죄송한 이세계로 감 385화</t>
  </si>
  <si>
    <t>E855838</t>
  </si>
  <si>
    <t>문과라도 안 죄송한 이세계로 감 386화</t>
  </si>
  <si>
    <t>E856094</t>
  </si>
  <si>
    <t>문과라도 안 죄송한 이세계로 감 387화</t>
  </si>
  <si>
    <t>E858309</t>
  </si>
  <si>
    <t>문과라도 안 죄송한 이세계로 감 390화</t>
  </si>
  <si>
    <t>E862589</t>
  </si>
  <si>
    <t>문과라도 안 죄송한 이세계로 감 391화</t>
  </si>
  <si>
    <t>E862594</t>
  </si>
  <si>
    <t>문과라도 안 죄송한 이세계로 감 389화</t>
  </si>
  <si>
    <t>E861928</t>
  </si>
  <si>
    <t>문과라도 안 죄송한 이세계로 감 388화</t>
  </si>
  <si>
    <t>E861927</t>
  </si>
  <si>
    <t>문과라도 안 죄송한 이세계로 감 392화</t>
  </si>
  <si>
    <t>E862595</t>
  </si>
  <si>
    <t>문과라도 안 죄송한 이세계로 감 393화</t>
  </si>
  <si>
    <t>E865985</t>
  </si>
  <si>
    <t>짐승의 입술을 깨물 때 2</t>
  </si>
  <si>
    <t>B007163</t>
  </si>
  <si>
    <t>[세트] 섬광 (총2권/완결)</t>
  </si>
  <si>
    <t>웨딩데이</t>
  </si>
  <si>
    <t>k146929</t>
  </si>
  <si>
    <t>[GL] 둘만의 방</t>
  </si>
  <si>
    <t>골방의 초핀</t>
  </si>
  <si>
    <t>몸 서리</t>
  </si>
  <si>
    <t>문과라도 안 죄송한 이세계로 감 027화</t>
  </si>
  <si>
    <t>E448263</t>
  </si>
  <si>
    <t>물이 너무 많아</t>
  </si>
  <si>
    <t>k399446</t>
  </si>
  <si>
    <t>복숭아꽃 지는 곳의 노래 1</t>
  </si>
  <si>
    <t>E829088</t>
  </si>
  <si>
    <t>낙하</t>
  </si>
  <si>
    <t>허도윤</t>
  </si>
  <si>
    <t>k314578</t>
  </si>
  <si>
    <t>[BL] 금단 위에 순정 5 (완결)</t>
  </si>
  <si>
    <t>k445828</t>
  </si>
  <si>
    <t>문과라도 안 죄송한 이세계로 감 247화</t>
  </si>
  <si>
    <t>E712249</t>
  </si>
  <si>
    <t>문과라도 안 죄송한 이세계로 감 250화</t>
  </si>
  <si>
    <t>E713973</t>
  </si>
  <si>
    <t>문과라도 안 죄송한 이세계로 감 249화</t>
  </si>
  <si>
    <t>E713972</t>
  </si>
  <si>
    <t>문과라도 안 죄송한 이세계로 감 248화</t>
  </si>
  <si>
    <t>E713971</t>
  </si>
  <si>
    <t>문과라도 안 죄송한 이세계로 감 251화</t>
  </si>
  <si>
    <t>E713974</t>
  </si>
  <si>
    <t>나는 남의 여자만 뺏는다 19</t>
  </si>
  <si>
    <t>나는 남의 여자만 뺏는다 04</t>
  </si>
  <si>
    <t>나는 남의 여자만 뺏는다 05</t>
  </si>
  <si>
    <t>약혼자의 대리인에게 집착하게 되었다 1</t>
  </si>
  <si>
    <t>릴리아</t>
  </si>
  <si>
    <t>D229922</t>
  </si>
  <si>
    <t>전생자 01</t>
  </si>
  <si>
    <t>나민채</t>
  </si>
  <si>
    <t>B025659</t>
  </si>
  <si>
    <t>사야지존 1</t>
  </si>
  <si>
    <t>B025703</t>
  </si>
  <si>
    <t>마검왕 01</t>
  </si>
  <si>
    <t>B025625</t>
  </si>
  <si>
    <t>천지를 먹다 1</t>
  </si>
  <si>
    <t>B025691</t>
  </si>
  <si>
    <t>몬스터 헌터 1</t>
  </si>
  <si>
    <t>B025714</t>
  </si>
  <si>
    <t>죽지 않는 무림지존 01</t>
  </si>
  <si>
    <t>B025681</t>
  </si>
  <si>
    <t>하크 1</t>
  </si>
  <si>
    <t>B025711</t>
  </si>
  <si>
    <t>반로환동 1</t>
  </si>
  <si>
    <t>B025698</t>
  </si>
  <si>
    <t>대장장이 1</t>
  </si>
  <si>
    <t>B025719</t>
  </si>
  <si>
    <t>문과라도 안 죄송한 이세계로 감 312화</t>
  </si>
  <si>
    <t>E768853</t>
  </si>
  <si>
    <t>경제신문이 말하지 않는 경제 이야기</t>
  </si>
  <si>
    <t>임주영</t>
  </si>
  <si>
    <t>민들레북</t>
  </si>
  <si>
    <t>E105533</t>
  </si>
  <si>
    <t>옆집 변태 아저씨 2</t>
  </si>
  <si>
    <t>B035452</t>
  </si>
  <si>
    <t>옆집 변태 아저씨 3</t>
  </si>
  <si>
    <t>B044587</t>
  </si>
  <si>
    <t>월급 루팡, 다인플의 미학 1</t>
  </si>
  <si>
    <t>D006540</t>
  </si>
  <si>
    <t>월급 루팡, 다인플의 미학 2 (완결)</t>
  </si>
  <si>
    <t>D006541</t>
  </si>
  <si>
    <t>남이 보는 게 좋아</t>
  </si>
  <si>
    <t>D088986</t>
  </si>
  <si>
    <t>문과라도 안 죄송한 이세계로 감 265화</t>
  </si>
  <si>
    <t>E728937</t>
  </si>
  <si>
    <t>[세트] 위험한 오빠 친구 (외전 포함) (총2권/완결)</t>
  </si>
  <si>
    <t>문과라도 안 죄송한 이세계로 감 488화</t>
  </si>
  <si>
    <t>N135363</t>
  </si>
  <si>
    <t>문과라도 안 죄송한 이세계로 감 487화</t>
  </si>
  <si>
    <t>N135362</t>
  </si>
  <si>
    <t>문과라도 안 죄송한 이세계로 감 486화</t>
  </si>
  <si>
    <t>N129466</t>
  </si>
  <si>
    <t>문과라도 안 죄송한 이세계로 감 479화</t>
  </si>
  <si>
    <t>N120441</t>
  </si>
  <si>
    <t>문과라도 안 죄송한 이세계로 감 480화</t>
  </si>
  <si>
    <t>N121211</t>
  </si>
  <si>
    <t>문과라도 안 죄송한 이세계로 감 482화</t>
  </si>
  <si>
    <t>N124115</t>
  </si>
  <si>
    <t>문과라도 안 죄송한 이세계로 감 483화</t>
  </si>
  <si>
    <t>N124116</t>
  </si>
  <si>
    <t>문과라도 안 죄송한 이세계로 감 481화</t>
  </si>
  <si>
    <t>N124114</t>
  </si>
  <si>
    <t>문과라도 안 죄송한 이세계로 감 485화</t>
  </si>
  <si>
    <t>N129465</t>
  </si>
  <si>
    <t>문과라도 안 죄송한 이세계로 감 484화</t>
  </si>
  <si>
    <t>N124243</t>
  </si>
  <si>
    <t>문과라도 안 죄송한 이세계로 감 190화</t>
  </si>
  <si>
    <t>E644888</t>
  </si>
  <si>
    <t>문과라도 안 죄송한 이세계로 감 282화</t>
  </si>
  <si>
    <t>E747495</t>
  </si>
  <si>
    <t>문과라도 안 죄송한 이세계로 감 285화</t>
  </si>
  <si>
    <t>E747498</t>
  </si>
  <si>
    <t>문과라도 안 죄송한 이세계로 감 284화</t>
  </si>
  <si>
    <t>E747497</t>
  </si>
  <si>
    <t>문과라도 안 죄송한 이세계로 감 283화</t>
  </si>
  <si>
    <t>E747496</t>
  </si>
  <si>
    <t>문과라도 안 죄송한 이세계로 감 281화</t>
  </si>
  <si>
    <t>E746061</t>
  </si>
  <si>
    <t>걸레가 순정을 지키다가</t>
  </si>
  <si>
    <t>킷씨</t>
  </si>
  <si>
    <t>D179564</t>
  </si>
  <si>
    <t>에피소드 (외전 1)</t>
  </si>
  <si>
    <t>N159521</t>
  </si>
  <si>
    <t>환상기담 : 크라켄의 바다로 초대되었다</t>
  </si>
  <si>
    <t>유르아</t>
  </si>
  <si>
    <t>k085212</t>
  </si>
  <si>
    <t>문과라도 안 죄송한 이세계로 감 252화</t>
  </si>
  <si>
    <t>E716169</t>
  </si>
  <si>
    <t>문과라도 안 죄송한 이세계로 감 257화</t>
  </si>
  <si>
    <t>E720119</t>
  </si>
  <si>
    <t>문과라도 안 죄송한 이세계로 감 255화</t>
  </si>
  <si>
    <t>E720117</t>
  </si>
  <si>
    <t>문과라도 안 죄송한 이세계로 감 253화</t>
  </si>
  <si>
    <t>E716170</t>
  </si>
  <si>
    <t>문과라도 안 죄송한 이세계로 감 256화</t>
  </si>
  <si>
    <t>E720118</t>
  </si>
  <si>
    <t>[BL] 메소드 1</t>
  </si>
  <si>
    <t>한윤</t>
  </si>
  <si>
    <t>B036652</t>
  </si>
  <si>
    <t>후작 가문의 음란 별장 3</t>
  </si>
  <si>
    <t>D151165</t>
  </si>
  <si>
    <t>자기 위로 대체제가 사람이 된 건에 대하여 2 (완결)</t>
  </si>
  <si>
    <t>D174942</t>
  </si>
  <si>
    <t>섬광 1</t>
  </si>
  <si>
    <t>D093343</t>
  </si>
  <si>
    <t>[세트] 화경동 제비꽃 맨숀 (외전 포함) (총3권/완결)</t>
  </si>
  <si>
    <t>지옥으로 가는 막차</t>
  </si>
  <si>
    <t>선량한 시민</t>
  </si>
  <si>
    <t>문과라도 안 죄송한 이세계로 감 320화</t>
  </si>
  <si>
    <t>E777780</t>
  </si>
  <si>
    <t>형부의 전용x집 2</t>
  </si>
  <si>
    <t>D013079</t>
  </si>
  <si>
    <t>기사님과 사서양의 비밀 교제 (외전증보개정판) (외전)</t>
  </si>
  <si>
    <t>D147599</t>
  </si>
  <si>
    <t>불온한 계약 결혼 (개정판) 1</t>
  </si>
  <si>
    <t>강하</t>
  </si>
  <si>
    <t>N100669</t>
  </si>
  <si>
    <t>불온한 계약 결혼 (개정판) 3 (완결)</t>
  </si>
  <si>
    <t>N100671</t>
  </si>
  <si>
    <t>불온한 계약 결혼 (개정판) 2</t>
  </si>
  <si>
    <t>N100670</t>
  </si>
  <si>
    <t>문과라도 안 죄송한 이세계로 감 152화</t>
  </si>
  <si>
    <t>E622471</t>
  </si>
  <si>
    <t>문과라도 안 죄송한 이세계로 감 150화</t>
  </si>
  <si>
    <t>E615986</t>
  </si>
  <si>
    <t>문과라도 안 죄송한 이세계로 감 151화</t>
  </si>
  <si>
    <t>E615987</t>
  </si>
  <si>
    <t>문과라도 안 죄송한 이세계로 감 149화</t>
  </si>
  <si>
    <t>E615985</t>
  </si>
  <si>
    <t>문과라도 안 죄송한 이세계로 감 148화</t>
  </si>
  <si>
    <t>E615984</t>
  </si>
  <si>
    <t>힘을 숨겨도 공녀가 제일 강함 1</t>
  </si>
  <si>
    <t>D031316</t>
  </si>
  <si>
    <t>힘을 숨겨도 공녀가 제일 강함 2</t>
  </si>
  <si>
    <t>D031317</t>
  </si>
  <si>
    <t>[세트] 뱀사제에게 바쳐졌습니다 (총2권/완결)</t>
  </si>
  <si>
    <t>진수성찬</t>
  </si>
  <si>
    <t>재벌남의 여동생</t>
  </si>
  <si>
    <t>글수저</t>
  </si>
  <si>
    <t>B023837</t>
  </si>
  <si>
    <t>문과라도 안 죄송한 이세계로 감 191화</t>
  </si>
  <si>
    <t>E644889</t>
  </si>
  <si>
    <t>문과라도 안 죄송한 이세계로 감 186화</t>
  </si>
  <si>
    <t>E641496</t>
  </si>
  <si>
    <t>문과라도 안 죄송한 이세계로 감 185화</t>
  </si>
  <si>
    <t>E641495</t>
  </si>
  <si>
    <t>문과라도 안 죄송한 이세계로 감 187화</t>
  </si>
  <si>
    <t>E641497</t>
  </si>
  <si>
    <t>문과라도 안 죄송한 이세계로 감 192화</t>
  </si>
  <si>
    <t>E651302</t>
  </si>
  <si>
    <t>문과라도 안 죄송한 이세계로 감 189화</t>
  </si>
  <si>
    <t>E644887</t>
  </si>
  <si>
    <t>문과라도 안 죄송한 이세계로 감 183화</t>
  </si>
  <si>
    <t>E639262</t>
  </si>
  <si>
    <t>문과라도 안 죄송한 이세계로 감 184화</t>
  </si>
  <si>
    <t>E641494</t>
  </si>
  <si>
    <t>문과라도 안 죄송한 이세계로 감 085화</t>
  </si>
  <si>
    <t>E448321</t>
  </si>
  <si>
    <t>[BL] 후작가의 오메가가 다시 사는 법 1</t>
  </si>
  <si>
    <t>알카제냐</t>
  </si>
  <si>
    <t>블로우</t>
  </si>
  <si>
    <t>k444221</t>
  </si>
  <si>
    <t>삼국지 소환전쟁 02</t>
  </si>
  <si>
    <t>N206707</t>
  </si>
  <si>
    <t>공녀님의 앙큼한 다이어트 살롱 1</t>
  </si>
  <si>
    <t>민유아</t>
  </si>
  <si>
    <t>어쩌다 이지경 1</t>
  </si>
  <si>
    <t>김승주</t>
  </si>
  <si>
    <t>문과라도 안 죄송한 이세계로 감 311화</t>
  </si>
  <si>
    <t>E768852</t>
  </si>
  <si>
    <t>[세트] 춘일야담(春日夜談) (총2권/완결)</t>
  </si>
  <si>
    <t>식재료는 XX 안으로 2 : 연애(上)</t>
  </si>
  <si>
    <t>D225194</t>
  </si>
  <si>
    <t>문과라도 안 죄송한 이세계로 감 230화</t>
  </si>
  <si>
    <t>E701512</t>
  </si>
  <si>
    <t>문과라도 안 죄송한 이세계로 감 490화 (삽화) (완결)</t>
  </si>
  <si>
    <t>N135365</t>
  </si>
  <si>
    <t>여직원 길들이기 2</t>
  </si>
  <si>
    <t>D225198</t>
  </si>
  <si>
    <t>여직원 길들이기 1</t>
  </si>
  <si>
    <t>D225197</t>
  </si>
  <si>
    <t>[BL] 후작가의 오메가가 다시 사는 법 2</t>
  </si>
  <si>
    <t>k444222</t>
  </si>
  <si>
    <t>마사지샵 오빠들 (외전)</t>
  </si>
  <si>
    <t>k316403</t>
  </si>
  <si>
    <t>마사지샵 오빠들 1</t>
  </si>
  <si>
    <t>k201836</t>
  </si>
  <si>
    <t>마사지샵 오빠들 2 (완결)</t>
  </si>
  <si>
    <t>k201837</t>
  </si>
  <si>
    <t>환상기담 : 꿈속 세계에 갇혀버렸다</t>
  </si>
  <si>
    <t>D084464</t>
  </si>
  <si>
    <t>육아물인 줄 알았는데 3 : 둘째 오빠</t>
  </si>
  <si>
    <t>류아</t>
  </si>
  <si>
    <t>k317183</t>
  </si>
  <si>
    <t>문과라도 안 죄송한 이세계로 감 286화</t>
  </si>
  <si>
    <t>E749030</t>
  </si>
  <si>
    <t>축구팀 매니저는 공용 XX 1</t>
  </si>
  <si>
    <t>독고레기</t>
  </si>
  <si>
    <t>k417083</t>
  </si>
  <si>
    <t>육아물인 줄 알았는데 4 : 탈출 실패 (완결)</t>
  </si>
  <si>
    <t>k418056</t>
  </si>
  <si>
    <t>수란</t>
  </si>
  <si>
    <t>네번째달</t>
  </si>
  <si>
    <t>어서오세요 쾌락 샵 2</t>
  </si>
  <si>
    <t>D006542</t>
  </si>
  <si>
    <t>옆집 XX 소음 복수하기</t>
  </si>
  <si>
    <t>B016565</t>
  </si>
  <si>
    <t>[LIVE]긴급! 촉수 습격!</t>
  </si>
  <si>
    <t>k421481</t>
  </si>
  <si>
    <t>에피소드 (외전 3) (삽화본)</t>
  </si>
  <si>
    <t>k196841</t>
  </si>
  <si>
    <t>너의 배드엔딩을 위하여 4</t>
  </si>
  <si>
    <t>D224455</t>
  </si>
  <si>
    <t>너의 배드엔딩을 위하여 5</t>
  </si>
  <si>
    <t>D224456</t>
  </si>
  <si>
    <t>너의 배드엔딩을 위하여 6 (완결)</t>
  </si>
  <si>
    <t>D224457</t>
  </si>
  <si>
    <t>너의 배드엔딩을 위하여 3</t>
  </si>
  <si>
    <t>D224454</t>
  </si>
  <si>
    <t>너의 배드엔딩을 위하여 2</t>
  </si>
  <si>
    <t>D224453</t>
  </si>
  <si>
    <t>불친절한 새 오빠 2</t>
  </si>
  <si>
    <t>k129938</t>
  </si>
  <si>
    <t>남사친이 너무 커</t>
  </si>
  <si>
    <t>D076406</t>
  </si>
  <si>
    <t>누님은 박고 싶다</t>
  </si>
  <si>
    <t>D025209</t>
  </si>
  <si>
    <t>오만한 왕녀와 숲의 괴물들</t>
  </si>
  <si>
    <t>k203938</t>
  </si>
  <si>
    <t>화경동 제비꽃 맨숀 (외전)</t>
  </si>
  <si>
    <t>D009634</t>
  </si>
  <si>
    <t>문과라도 안 죄송한 이세계로 감 321화</t>
  </si>
  <si>
    <t>E777781</t>
  </si>
  <si>
    <t>문과라도 안 죄송한 이세계로 감 322화</t>
  </si>
  <si>
    <t>E781666</t>
  </si>
  <si>
    <t>[BL] 기어와요, 아버지</t>
  </si>
  <si>
    <t>아이오나</t>
  </si>
  <si>
    <t>k208551</t>
  </si>
  <si>
    <t>조선에서 재벌되기! 01</t>
  </si>
  <si>
    <t>한만수™</t>
  </si>
  <si>
    <t>B004654</t>
  </si>
  <si>
    <t>문과라도 안 죄송한 이세계로 감 087화</t>
  </si>
  <si>
    <t>E448323</t>
  </si>
  <si>
    <t>문과라도 안 죄송한 이세계로 감 088화</t>
  </si>
  <si>
    <t>E448324</t>
  </si>
  <si>
    <t>문과라도 안 죄송한 이세계로 감 089화</t>
  </si>
  <si>
    <t>E448325</t>
  </si>
  <si>
    <t>문과라도 안 죄송한 이세계로 감 086화</t>
  </si>
  <si>
    <t>E448322</t>
  </si>
  <si>
    <t>모노드라마 (체험판)</t>
  </si>
  <si>
    <t>윤해조</t>
  </si>
  <si>
    <t>성 루치아노 아카데미 3 성교육 실습</t>
  </si>
  <si>
    <t>성 루치아노 아카데미 4 수치의 끝</t>
  </si>
  <si>
    <t>성 루치아노 아카데미 외전 : 공개 XX 1부</t>
  </si>
  <si>
    <t>성 루치아노 아카데미 외전 : 공개 XX 2부</t>
  </si>
  <si>
    <t>[BL] 내 애인이 결혼한다 1</t>
  </si>
  <si>
    <t>D165093</t>
  </si>
  <si>
    <t>끝내주는 방XX:교수인형</t>
  </si>
  <si>
    <t>D025208</t>
  </si>
  <si>
    <t>[세트] 잘못 키웠다 (총3권/완결)</t>
  </si>
  <si>
    <t>위금배</t>
  </si>
  <si>
    <t>[세트] 애착 유형 (총3권/완결)</t>
  </si>
  <si>
    <t>남편 몰래 남편 비서와</t>
  </si>
  <si>
    <t>N217307</t>
  </si>
  <si>
    <t>[세트] [BL] 취수혼 (외전 포함) (총2권/완결)</t>
  </si>
  <si>
    <t>유우니</t>
  </si>
  <si>
    <t>[세트] [BL] 나린의 바다 (총2권/완결)</t>
  </si>
  <si>
    <t>아아메</t>
  </si>
  <si>
    <t>[BL] 내 애인이 결혼한다 2 (완결)</t>
  </si>
  <si>
    <t>D165094</t>
  </si>
  <si>
    <t>내가 M이라니 6 (완결)</t>
  </si>
  <si>
    <t>E778793</t>
  </si>
  <si>
    <t>내가 M이라니 5</t>
  </si>
  <si>
    <t>E778792</t>
  </si>
  <si>
    <t>여자친구 면접</t>
  </si>
  <si>
    <t>B035455</t>
  </si>
  <si>
    <t>창세종결자 발틴사가 01</t>
  </si>
  <si>
    <t>나체 초밥 1</t>
  </si>
  <si>
    <t>k134512</t>
  </si>
  <si>
    <t>나체 초밥 3</t>
  </si>
  <si>
    <t>k134514</t>
  </si>
  <si>
    <t>에피소드 (외전 2)</t>
  </si>
  <si>
    <t>N206343</t>
  </si>
  <si>
    <t>문과라도 안 죄송한 이세계로 감 380화</t>
  </si>
  <si>
    <t>E848664</t>
  </si>
  <si>
    <t>문과라도 안 죄송한 이세계로 감 384화</t>
  </si>
  <si>
    <t>E855837</t>
  </si>
  <si>
    <t>문과라도 안 죄송한 이세계로 감 382화</t>
  </si>
  <si>
    <t>E848666</t>
  </si>
  <si>
    <t>문과라도 안 죄송한 이세계로 감 383화</t>
  </si>
  <si>
    <t>E849762</t>
  </si>
  <si>
    <t>문과라도 안 죄송한 이세계로 감 381화</t>
  </si>
  <si>
    <t>E848665</t>
  </si>
  <si>
    <t>XX가 나르샤</t>
  </si>
  <si>
    <t>E843100</t>
  </si>
  <si>
    <t>인어왕자의 음란한 손길</t>
  </si>
  <si>
    <t>미토 케이</t>
  </si>
  <si>
    <t>愛Romance</t>
  </si>
  <si>
    <t>노가다 함바집 서비스 XX</t>
  </si>
  <si>
    <t>D151140</t>
  </si>
  <si>
    <t>문과라도 안 죄송한 이세계로 감 098화</t>
  </si>
  <si>
    <t>E448334</t>
  </si>
  <si>
    <t>도망친 길의 종착점 1</t>
  </si>
  <si>
    <t>젠킨</t>
  </si>
  <si>
    <t>k364684</t>
  </si>
  <si>
    <t>[세트] 후궁의운 (총7권/완결)</t>
  </si>
  <si>
    <t>문과라도 안 죄송한 이세계로 감 246화</t>
  </si>
  <si>
    <t>E712248</t>
  </si>
  <si>
    <t>전부 솔직한 남자</t>
  </si>
  <si>
    <t>김유란</t>
  </si>
  <si>
    <t>슈미즈</t>
  </si>
  <si>
    <t>D222990</t>
  </si>
  <si>
    <t>젖은 구멍</t>
  </si>
  <si>
    <t>N232333</t>
  </si>
  <si>
    <t>약혼자의 대리인에게 집착하게 되었다 4</t>
  </si>
  <si>
    <t>D229925</t>
  </si>
  <si>
    <t>약혼자의 대리인에게 집착하게 되었다 2</t>
  </si>
  <si>
    <t>D229923</t>
  </si>
  <si>
    <t>약혼자의 대리인에게 집착하게 되었다 3</t>
  </si>
  <si>
    <t>D229924</t>
  </si>
  <si>
    <t>약혼자의 대리인에게 집착하게 되었다 5 (완결)</t>
  </si>
  <si>
    <t>D229926</t>
  </si>
  <si>
    <t>[BL] 스토커를 피하려다가</t>
  </si>
  <si>
    <t>곤군</t>
  </si>
  <si>
    <t>D182065</t>
  </si>
  <si>
    <t>완결 후, 서브남주와</t>
  </si>
  <si>
    <t>탄식빵</t>
  </si>
  <si>
    <t>k300960</t>
  </si>
  <si>
    <t>[BL] 얀의 마지막 겨울 5 (완결)</t>
  </si>
  <si>
    <t>D166503</t>
  </si>
  <si>
    <t>아벨로니아 왕녀의 초야</t>
  </si>
  <si>
    <t>D085972</t>
  </si>
  <si>
    <t>산골 무당 서방님</t>
  </si>
  <si>
    <t>D031335</t>
  </si>
  <si>
    <t>문과라도 안 죄송한 이세계로 감 075화</t>
  </si>
  <si>
    <t>E448311</t>
  </si>
  <si>
    <t>문과라도 안 죄송한 이세계로 감 074화</t>
  </si>
  <si>
    <t>E448310</t>
  </si>
  <si>
    <t>안광은 재앙을 쫓는다 (외전증보개정판) (외전)</t>
  </si>
  <si>
    <t>D144714</t>
  </si>
  <si>
    <t>추녀로 환생했다 1</t>
  </si>
  <si>
    <t>철부지마니아</t>
  </si>
  <si>
    <t>E877200</t>
  </si>
  <si>
    <t>XX 털 제모</t>
  </si>
  <si>
    <t>D202231</t>
  </si>
  <si>
    <t>나체 초밥 4</t>
  </si>
  <si>
    <t>k134515</t>
  </si>
  <si>
    <t>문과라도 안 죄송한 이세계로 감 371화</t>
  </si>
  <si>
    <t>E840513</t>
  </si>
  <si>
    <t>문과라도 안 죄송한 이세계로 감 379화</t>
  </si>
  <si>
    <t>E847082</t>
  </si>
  <si>
    <t>문과라도 안 죄송한 이세계로 감 377화</t>
  </si>
  <si>
    <t>E844353</t>
  </si>
  <si>
    <t>문과라도 안 죄송한 이세계로 감 378화</t>
  </si>
  <si>
    <t>E846438</t>
  </si>
  <si>
    <t>문과라도 안 죄송한 이세계로 감 372화</t>
  </si>
  <si>
    <t>E843008</t>
  </si>
  <si>
    <t>문과라도 안 죄송한 이세계로 감 370화</t>
  </si>
  <si>
    <t>E840512</t>
  </si>
  <si>
    <t>문과라도 안 죄송한 이세계로 감 373화</t>
  </si>
  <si>
    <t>E843009</t>
  </si>
  <si>
    <t>추녀로 환생했다 2</t>
  </si>
  <si>
    <t>E877201</t>
  </si>
  <si>
    <t>추녀로 환생했다 3 (완결)</t>
  </si>
  <si>
    <t>E877202</t>
  </si>
  <si>
    <t>전 남친과 녹음실에서, 단둘이</t>
  </si>
  <si>
    <t>N232332</t>
  </si>
  <si>
    <t>추녀로 환생했다 (외전)</t>
  </si>
  <si>
    <t>N099908</t>
  </si>
  <si>
    <t>문과라도 안 죄송한 이세계로 감 310화</t>
  </si>
  <si>
    <t>E768851</t>
  </si>
  <si>
    <t>1일 10번 아빠주사 놓기 1</t>
  </si>
  <si>
    <t>병따개</t>
  </si>
  <si>
    <t>k433086</t>
  </si>
  <si>
    <t>문과라도 안 죄송한 이세계로 감 197화</t>
  </si>
  <si>
    <t>E654183</t>
  </si>
  <si>
    <t>문과라도 안 죄송한 이세계로 감 196화</t>
  </si>
  <si>
    <t>E654182</t>
  </si>
  <si>
    <t>문과라도 안 죄송한 이세계로 감 195화</t>
  </si>
  <si>
    <t>E651305</t>
  </si>
  <si>
    <t>문과라도 안 죄송한 이세계로 감 194화</t>
  </si>
  <si>
    <t>E651304</t>
  </si>
  <si>
    <t>문과라도 안 죄송한 이세계로 감 193화</t>
  </si>
  <si>
    <t>E651303</t>
  </si>
  <si>
    <t>문과라도 안 죄송한 이세계로 감 323화</t>
  </si>
  <si>
    <t>E781667</t>
  </si>
  <si>
    <t>동티</t>
  </si>
  <si>
    <t>k317812</t>
  </si>
  <si>
    <t>일대군사 1</t>
  </si>
  <si>
    <t>E710450</t>
  </si>
  <si>
    <t>친구가 없는 집에서 친구아빠랑</t>
  </si>
  <si>
    <t>바닥젤리</t>
  </si>
  <si>
    <t>D126855</t>
  </si>
  <si>
    <t>최면 마사지샵에서 생긴 일</t>
  </si>
  <si>
    <t>늘하나</t>
  </si>
  <si>
    <t>k150570</t>
  </si>
  <si>
    <t>[세트] 처음 뵙겠습니다, 남편입니다 (총3권/완결)</t>
  </si>
  <si>
    <t>꽃잠</t>
  </si>
  <si>
    <t>살인마가 날 성녀라 부른다 (외전 2 : 과거편)</t>
  </si>
  <si>
    <t>D170330</t>
  </si>
  <si>
    <t>죄의 끝</t>
  </si>
  <si>
    <t>E105915</t>
  </si>
  <si>
    <t>형부, 들어와요</t>
  </si>
  <si>
    <t>N232336</t>
  </si>
  <si>
    <t>이 사랑, 테이크아웃으로</t>
  </si>
  <si>
    <t>아이카와 세리카</t>
  </si>
  <si>
    <t>문과라도 안 죄송한 이세계로 감 245화</t>
  </si>
  <si>
    <t>E712247</t>
  </si>
  <si>
    <t>문과라도 안 죄송한 이세계로 감 242화</t>
  </si>
  <si>
    <t>E710509</t>
  </si>
  <si>
    <t>문과라도 안 죄송한 이세계로 감 241화</t>
  </si>
  <si>
    <t>E710508</t>
  </si>
  <si>
    <t>문과라도 안 죄송한 이세계로 감 243화</t>
  </si>
  <si>
    <t>E710510</t>
  </si>
  <si>
    <t>문과라도 안 죄송한 이세계로 감 244화</t>
  </si>
  <si>
    <t>E712246</t>
  </si>
  <si>
    <t>구멍 침입자 1</t>
  </si>
  <si>
    <t>김철중</t>
  </si>
  <si>
    <t>청우</t>
  </si>
  <si>
    <t>하루가(한은경)</t>
  </si>
  <si>
    <t>여학교의 체벌실</t>
  </si>
  <si>
    <t>D076399</t>
  </si>
  <si>
    <t>삼국지 소환전쟁 03</t>
  </si>
  <si>
    <t>N206708</t>
  </si>
  <si>
    <t>[세트] 일대군사 (총7권/완결)</t>
  </si>
  <si>
    <t>문과라도 안 죄송한 이세계로 감 229화</t>
  </si>
  <si>
    <t>E701511</t>
  </si>
  <si>
    <t>여동생의 구멍 막아주기</t>
  </si>
  <si>
    <t>k021225</t>
  </si>
  <si>
    <t>문과라도 안 죄송한 이세계로 감 291화</t>
  </si>
  <si>
    <t>E750462</t>
  </si>
  <si>
    <t>문과라도 안 죄송한 이세계로 감 296화</t>
  </si>
  <si>
    <t>E758223</t>
  </si>
  <si>
    <t>문과라도 안 죄송한 이세계로 감 294화</t>
  </si>
  <si>
    <t>E758221</t>
  </si>
  <si>
    <t>문과라도 안 죄송한 이세계로 감 288화</t>
  </si>
  <si>
    <t>E749032</t>
  </si>
  <si>
    <t>문과라도 안 죄송한 이세계로 감 289화</t>
  </si>
  <si>
    <t>E749033</t>
  </si>
  <si>
    <t>문과라도 안 죄송한 이세계로 감 290화</t>
  </si>
  <si>
    <t>E750461</t>
  </si>
  <si>
    <t>문과라도 안 죄송한 이세계로 감 295화</t>
  </si>
  <si>
    <t>E758222</t>
  </si>
  <si>
    <t>문과라도 안 죄송한 이세계로 감 293화</t>
  </si>
  <si>
    <t>E750464</t>
  </si>
  <si>
    <t>문과라도 안 죄송한 이세계로 감 292화</t>
  </si>
  <si>
    <t>E750463</t>
  </si>
  <si>
    <t>문과라도 안 죄송한 이세계로 감 287화</t>
  </si>
  <si>
    <t>E749031</t>
  </si>
  <si>
    <t>신입생 율무의 동아리생활 5</t>
  </si>
  <si>
    <t>k193974</t>
  </si>
  <si>
    <t>신입생 율무의 동아리생활 4</t>
  </si>
  <si>
    <t>k199527</t>
  </si>
  <si>
    <t>신입생 율무의 동아리생활 6 (완결)</t>
  </si>
  <si>
    <t>D011745</t>
  </si>
  <si>
    <t>삼부자의 애완 오메가 2 (완결)</t>
  </si>
  <si>
    <t>k239832</t>
  </si>
  <si>
    <t>더티 파트너 1</t>
  </si>
  <si>
    <t>감언이설</t>
  </si>
  <si>
    <t>D208618</t>
  </si>
  <si>
    <t>더티 파트너 2</t>
  </si>
  <si>
    <t>D208619</t>
  </si>
  <si>
    <t>[BL] 도련님을 밴 오메가 형수님</t>
  </si>
  <si>
    <t>철푸덕</t>
  </si>
  <si>
    <t>k021210</t>
  </si>
  <si>
    <t>뱀과 토끼의 발정기</t>
  </si>
  <si>
    <t>남편이 있는데</t>
  </si>
  <si>
    <t>문과라도 안 죄송한 이세계로 감 077화</t>
  </si>
  <si>
    <t>E448313</t>
  </si>
  <si>
    <t>문과라도 안 죄송한 이세계로 감 076화</t>
  </si>
  <si>
    <t>E448312</t>
  </si>
  <si>
    <t>[세트] 아프더라도 (총2권/완결)</t>
  </si>
  <si>
    <t>사냥꾼에게서 도망쳤다 5</t>
  </si>
  <si>
    <t>N085587</t>
  </si>
  <si>
    <t>사냥꾼에게서 도망쳤다 6 (완결)</t>
  </si>
  <si>
    <t>N085588</t>
  </si>
  <si>
    <t>문과라도 안 죄송한 이세계로 감 366화</t>
  </si>
  <si>
    <t>E836436</t>
  </si>
  <si>
    <t>문과라도 안 죄송한 이세계로 감 369화</t>
  </si>
  <si>
    <t>E839832</t>
  </si>
  <si>
    <t>문과라도 안 죄송한 이세계로 감 368화</t>
  </si>
  <si>
    <t>E837655</t>
  </si>
  <si>
    <t>문과라도 안 죄송한 이세계로 감 367화</t>
  </si>
  <si>
    <t>E836490</t>
  </si>
  <si>
    <t>문과라도 안 죄송한 이세계로 감 365화</t>
  </si>
  <si>
    <t>E836369</t>
  </si>
  <si>
    <t>[세트] [BL] 후작가의 오메가가 다시 사는 법 (외전 포함) (총5권/완결)</t>
  </si>
  <si>
    <t>문과라도 안 죄송한 이세계로 감 309화</t>
  </si>
  <si>
    <t>E768850</t>
  </si>
  <si>
    <t>[BL] 종이꽃 (외전)</t>
  </si>
  <si>
    <t>VanG</t>
  </si>
  <si>
    <t>차시천하 1</t>
  </si>
  <si>
    <t>유부, 썰 푼다 2</t>
  </si>
  <si>
    <t>D107181</t>
  </si>
  <si>
    <t>유부, 썰 푼다 3</t>
  </si>
  <si>
    <t>D151166</t>
  </si>
  <si>
    <t>유부, 썰 푼다</t>
  </si>
  <si>
    <t>D087838</t>
  </si>
  <si>
    <t>길들인 나만의 것</t>
  </si>
  <si>
    <t>삼국지 소환전쟁 04</t>
  </si>
  <si>
    <t>N206709</t>
  </si>
  <si>
    <t>문과라도 안 죄송한 이세계로 감 091화</t>
  </si>
  <si>
    <t>E448327</t>
  </si>
  <si>
    <t>문과라도 안 죄송한 이세계로 감 090화</t>
  </si>
  <si>
    <t>E448326</t>
  </si>
  <si>
    <t>문과라도 안 죄송한 이세계로 감 093화</t>
  </si>
  <si>
    <t>E448329</t>
  </si>
  <si>
    <t>문과라도 안 죄송한 이세계로 감 092화</t>
  </si>
  <si>
    <t>E448328</t>
  </si>
  <si>
    <t>모두에게 사랑받는 며느리 1</t>
  </si>
  <si>
    <t>꿈결</t>
  </si>
  <si>
    <t>D174029</t>
  </si>
  <si>
    <t>모두에게 사랑받는 며느리 2 (완결)</t>
  </si>
  <si>
    <t>D174036</t>
  </si>
  <si>
    <t>공작 부인은 기어서 집사에게로 1</t>
  </si>
  <si>
    <t>N217576</t>
  </si>
  <si>
    <t>공작 부인은 기어서 집사에게로 3 (완결)</t>
  </si>
  <si>
    <t>k017803</t>
  </si>
  <si>
    <t>공작 부인은 기어서 집사에게로 2</t>
  </si>
  <si>
    <t>N232162</t>
  </si>
  <si>
    <t>문과라도 안 죄송한 이세계로 감 324화</t>
  </si>
  <si>
    <t>E781668</t>
  </si>
  <si>
    <t>문과라도 안 죄송한 이세계로 감 325화</t>
  </si>
  <si>
    <t>E781669</t>
  </si>
  <si>
    <t>레이나의 은밀한 가정 교육 2</t>
  </si>
  <si>
    <t>k146935</t>
  </si>
  <si>
    <t>레이나의 은밀한 가정 교육 4</t>
  </si>
  <si>
    <t>k146937</t>
  </si>
  <si>
    <t>의붓아들의 씨물</t>
  </si>
  <si>
    <t>N232331</t>
  </si>
  <si>
    <t>대장장이 지그 01</t>
  </si>
  <si>
    <t>강찬</t>
  </si>
  <si>
    <t>N211777</t>
  </si>
  <si>
    <t>노 모럴 트라이앵글</t>
  </si>
  <si>
    <t>k318027</t>
  </si>
  <si>
    <t>나체 초밥 2</t>
  </si>
  <si>
    <t>k134513</t>
  </si>
  <si>
    <t>암캐가 된 여배우 2 (완결)</t>
  </si>
  <si>
    <t>항시흥분중</t>
  </si>
  <si>
    <t>D158944</t>
  </si>
  <si>
    <t>문과라도 안 죄송한 이세계로 감 198화</t>
  </si>
  <si>
    <t>E654184</t>
  </si>
  <si>
    <t>문과라도 안 죄송한 이세계로 감 199화</t>
  </si>
  <si>
    <t>E654185</t>
  </si>
  <si>
    <t>문과라도 안 죄송한 이세계로 감 202화</t>
  </si>
  <si>
    <t>E663164</t>
  </si>
  <si>
    <t>문과라도 안 죄송한 이세계로 감 200화</t>
  </si>
  <si>
    <t>E663162</t>
  </si>
  <si>
    <t>문과라도 안 죄송한 이세계로 감 201화</t>
  </si>
  <si>
    <t>E663163</t>
  </si>
  <si>
    <t>최면 마사지샵에서 생긴 일 : 스페셜 코스 (완결)</t>
  </si>
  <si>
    <t>k150571</t>
  </si>
  <si>
    <t>안 보이는 무림티비!</t>
  </si>
  <si>
    <t>k249967</t>
  </si>
  <si>
    <t>잘 보이는 무림티비! (개정판) 8</t>
  </si>
  <si>
    <t>k249965</t>
  </si>
  <si>
    <t>잘 보이는 무림티비! (개정판) 9 (완결)</t>
  </si>
  <si>
    <t>k249966</t>
  </si>
  <si>
    <t>잘 보이는 무림티비! (개정판) 6</t>
  </si>
  <si>
    <t>k249963</t>
  </si>
  <si>
    <t>잘 보이는 무림티비! (개정판) 3</t>
  </si>
  <si>
    <t>k249960</t>
  </si>
  <si>
    <t>잘 보이는 무림티비! (개정판) 7</t>
  </si>
  <si>
    <t>k249964</t>
  </si>
  <si>
    <t>잘 보이는 무림티비! (개정판) 5</t>
  </si>
  <si>
    <t>k249962</t>
  </si>
  <si>
    <t>잘 보이는 무림티비! (개정판) 4</t>
  </si>
  <si>
    <t>k249961</t>
  </si>
  <si>
    <t>잘 보이는 무림티비! (개정판) 1</t>
  </si>
  <si>
    <t>k249958</t>
  </si>
  <si>
    <t>잘 보이는 무림티비! (개정판) 2</t>
  </si>
  <si>
    <t>k249959</t>
  </si>
  <si>
    <t>[세트] 도련님의 아이 (총3권/완결)</t>
  </si>
  <si>
    <t>N.fic</t>
  </si>
  <si>
    <t>문과라도 안 죄송한 이세계로 감 436화</t>
  </si>
  <si>
    <t>N046165</t>
  </si>
  <si>
    <t>문과라도 안 죄송한 이세계로 감 437화</t>
  </si>
  <si>
    <t>N049020</t>
  </si>
  <si>
    <t>문과라도 안 죄송한 이세계로 감 438화</t>
  </si>
  <si>
    <t>N050949</t>
  </si>
  <si>
    <t>시골 힐링 예능에서 시간이 멈추면</t>
  </si>
  <si>
    <t>D157415</t>
  </si>
  <si>
    <t>쾌감 폭발 레벨업 3 (완결)</t>
  </si>
  <si>
    <t>천재가문 02</t>
  </si>
  <si>
    <t>청산</t>
  </si>
  <si>
    <t>[BL] 집착 알파 친구놈에게 당했습니다</t>
  </si>
  <si>
    <t>윤녘</t>
  </si>
  <si>
    <t>k144346</t>
  </si>
  <si>
    <t>맞고 끝낼게요</t>
  </si>
  <si>
    <t>k427229</t>
  </si>
  <si>
    <t>오피스 체벌</t>
  </si>
  <si>
    <t>D061815</t>
  </si>
  <si>
    <t>[BL] 하드코어 단편선</t>
  </si>
  <si>
    <t>백설향</t>
  </si>
  <si>
    <t>k444397</t>
  </si>
  <si>
    <t>문과라도 안 죄송한 이세계로 감 096화</t>
  </si>
  <si>
    <t>E448332</t>
  </si>
  <si>
    <t>문과라도 안 죄송한 이세계로 감 094화</t>
  </si>
  <si>
    <t>E448330</t>
  </si>
  <si>
    <t>망나니 PD 아이돌로 살아남기 04</t>
  </si>
  <si>
    <t>k335578</t>
  </si>
  <si>
    <t>망나니 PD 아이돌로 살아남기 06</t>
  </si>
  <si>
    <t>k335580</t>
  </si>
  <si>
    <t>망나니 PD 아이돌로 살아남기 05</t>
  </si>
  <si>
    <t>k335579</t>
  </si>
  <si>
    <t>망나니 PD 아이돌로 살아남기 07</t>
  </si>
  <si>
    <t>k335581</t>
  </si>
  <si>
    <t>망나니 PD 아이돌로 살아남기 03</t>
  </si>
  <si>
    <t>k335577</t>
  </si>
  <si>
    <t>주인님이 시키는 대로</t>
  </si>
  <si>
    <t>망나니 PD 아이돌로 살아남기 02</t>
  </si>
  <si>
    <t>k335576</t>
  </si>
  <si>
    <t>[BL] XX 개발 : 소꿉친구의 개발</t>
  </si>
  <si>
    <t>D126850</t>
  </si>
  <si>
    <t>[BL] XX 개발 : 아빠의 개발</t>
  </si>
  <si>
    <t>D202237</t>
  </si>
  <si>
    <t>유부녀 주애의 일상 3 : 옆집 아저씨</t>
  </si>
  <si>
    <t>D182782</t>
  </si>
  <si>
    <t>남편친구들이랑 노래방에서</t>
  </si>
  <si>
    <t>고추탕후루</t>
  </si>
  <si>
    <t>k410699</t>
  </si>
  <si>
    <t>유부녀 주애의 일상 1 : 새 아들</t>
  </si>
  <si>
    <t>B013720</t>
  </si>
  <si>
    <t>새아빠와 난교캠핑</t>
  </si>
  <si>
    <t>D013089</t>
  </si>
  <si>
    <t>유부녀 주애의 일상 2 : 아들 친구</t>
  </si>
  <si>
    <t>B044584</t>
  </si>
  <si>
    <t>세이렌 (외전)</t>
  </si>
  <si>
    <t>[BL] 마물신부</t>
  </si>
  <si>
    <t>D174938</t>
  </si>
  <si>
    <t>뒷동정인 몽마도 괜찮나요</t>
  </si>
  <si>
    <t>별담꽃차</t>
  </si>
  <si>
    <t>k318031</t>
  </si>
  <si>
    <t>삼국지 소환전쟁 05</t>
  </si>
  <si>
    <t>N206710</t>
  </si>
  <si>
    <t>나는 알파였다 1</t>
  </si>
  <si>
    <t>툼</t>
  </si>
  <si>
    <t>k330930</t>
  </si>
  <si>
    <t>망나니 PD 아이돌로 살아남기 08</t>
  </si>
  <si>
    <t>k408825</t>
  </si>
  <si>
    <t>망나니 PD 아이돌로 살아남기 09</t>
  </si>
  <si>
    <t>k408826</t>
  </si>
  <si>
    <t>망나니 PD 아이돌로 살아남기 10</t>
  </si>
  <si>
    <t>k408827</t>
  </si>
  <si>
    <t>망나니 PD 아이돌로 살아남기 11</t>
  </si>
  <si>
    <t>k408828</t>
  </si>
  <si>
    <t>미나는 엔딩을 꿈꾼다</t>
  </si>
  <si>
    <t>k008951</t>
  </si>
  <si>
    <t>교관님은 채찍을 잘 다룬다지?</t>
  </si>
  <si>
    <t>D151137</t>
  </si>
  <si>
    <t>천재가문 03</t>
  </si>
  <si>
    <t>천재가문 04</t>
  </si>
  <si>
    <t>삼국지 소환전쟁 06</t>
  </si>
  <si>
    <t>N206711</t>
  </si>
  <si>
    <t>삼국지 소환전쟁 07</t>
  </si>
  <si>
    <t>N206712</t>
  </si>
  <si>
    <t>백사의 연인 1</t>
  </si>
  <si>
    <t>한소요</t>
  </si>
  <si>
    <t>D198896</t>
  </si>
  <si>
    <t>코리아이</t>
  </si>
  <si>
    <t>김건규</t>
  </si>
  <si>
    <t>E105577</t>
  </si>
  <si>
    <t>천재가문 06</t>
  </si>
  <si>
    <t>시해: 4사단 수색대대 (체험판)</t>
  </si>
  <si>
    <t>먼지별</t>
  </si>
  <si>
    <t>D211229</t>
  </si>
  <si>
    <t>[세트] HEART-1 프로젝트 (총2권/완결)</t>
  </si>
  <si>
    <t>글쓰는아프로디테</t>
  </si>
  <si>
    <t>삼국지 소환전쟁 08</t>
  </si>
  <si>
    <t>N206713</t>
  </si>
  <si>
    <t>삼국지 소환전쟁 09</t>
  </si>
  <si>
    <t>N206714</t>
  </si>
  <si>
    <t>결박의 노예</t>
  </si>
  <si>
    <t>카멜리아</t>
  </si>
  <si>
    <t>왕녀님은 교육중 (외전)</t>
  </si>
  <si>
    <t>k144417</t>
  </si>
  <si>
    <t>[세트] 백사의 연인 (총2권/완결)</t>
  </si>
  <si>
    <t>[세트] 동박새의 비명 (총3권/완결)</t>
  </si>
  <si>
    <t>천재가문 07</t>
  </si>
  <si>
    <t>망나니 PD 아이돌로 살아남기 14</t>
  </si>
  <si>
    <t>B000127</t>
  </si>
  <si>
    <t>망나니 PD 아이돌로 살아남기 13</t>
  </si>
  <si>
    <t>B000126</t>
  </si>
  <si>
    <t>망나니 PD 아이돌로 살아남기 15</t>
  </si>
  <si>
    <t>B000128</t>
  </si>
  <si>
    <t>망나니 PD 아이돌로 살아남기 18</t>
  </si>
  <si>
    <t>B000131</t>
  </si>
  <si>
    <t>망나니 PD 아이돌로 살아남기 12</t>
  </si>
  <si>
    <t>k408829</t>
  </si>
  <si>
    <t>망나니 PD 아이돌로 살아남기 16</t>
  </si>
  <si>
    <t>B000129</t>
  </si>
  <si>
    <t>천재가문 08</t>
  </si>
  <si>
    <t>연하의 신부에게 1</t>
  </si>
  <si>
    <t>진저리</t>
  </si>
  <si>
    <t>D084465</t>
  </si>
  <si>
    <t>천재가문 09</t>
  </si>
  <si>
    <t>[BL] 마교의 폐급 제자가 되었다 7 (완결)</t>
  </si>
  <si>
    <t>카로디</t>
  </si>
  <si>
    <t>벨숲</t>
  </si>
  <si>
    <t>k445857</t>
  </si>
  <si>
    <t>재벌 잡는 말단 검사 1</t>
  </si>
  <si>
    <t>서재현</t>
  </si>
  <si>
    <t>D022733</t>
  </si>
  <si>
    <t>아가씨의 나쁜 입장난</t>
  </si>
  <si>
    <t>재벌 잡는 말단 검사 4</t>
  </si>
  <si>
    <t>D022736</t>
  </si>
  <si>
    <t>재벌 잡는 말단 검사 3</t>
  </si>
  <si>
    <t>D022735</t>
  </si>
  <si>
    <t>재벌 잡는 말단 검사 2</t>
  </si>
  <si>
    <t>D022734</t>
  </si>
  <si>
    <t>재벌 잡는 말단 검사 5 (완결)</t>
  </si>
  <si>
    <t>D022737</t>
  </si>
  <si>
    <t>[세트] [GL] 재앙 곁의 버베나 (총4권/완결)</t>
  </si>
  <si>
    <t>선수의 여자</t>
  </si>
  <si>
    <t>류재현</t>
  </si>
  <si>
    <t>D112588</t>
  </si>
  <si>
    <t>사승잔랑 (체험판)</t>
  </si>
  <si>
    <t>시해: 4사단 수색대대 1</t>
  </si>
  <si>
    <t>D210068</t>
  </si>
  <si>
    <t>아이돌, 오빠 친구들의 맛</t>
  </si>
  <si>
    <t>D061695</t>
  </si>
  <si>
    <t>아빠 친구가 시켜주는 몸 과외</t>
  </si>
  <si>
    <t>k346477</t>
  </si>
  <si>
    <t>탕녀 셀리나</t>
  </si>
  <si>
    <t>페니 D.</t>
  </si>
  <si>
    <t>k021187</t>
  </si>
  <si>
    <t>[세트] 폭군 황제에게 복수를 해볼까 합니다 (외전 포함) (총4권/완결)</t>
  </si>
  <si>
    <t>문낙</t>
  </si>
  <si>
    <t>모래신부 (체험판)</t>
  </si>
  <si>
    <t>시해: 4사단 수색대대 2 (완결)</t>
  </si>
  <si>
    <t>D210069</t>
  </si>
  <si>
    <t>나의 아빠</t>
  </si>
  <si>
    <t>나의 아빠 2</t>
  </si>
  <si>
    <t>N211257</t>
  </si>
  <si>
    <t>나의 아빠 4</t>
  </si>
  <si>
    <t>N232268</t>
  </si>
  <si>
    <t>삼국지 소환전쟁 11 (완결)</t>
  </si>
  <si>
    <t>N206716</t>
  </si>
  <si>
    <t>삼국지 소환전쟁 10</t>
  </si>
  <si>
    <t>N206715</t>
  </si>
  <si>
    <t>[BL] 그 포르노 배우의 사정</t>
  </si>
  <si>
    <t>레네이제</t>
  </si>
  <si>
    <t>[세트] [BL] 난장 (외전 포함) (총3권/완결)</t>
  </si>
  <si>
    <t>그녀를 함락시키는 방법 2</t>
  </si>
  <si>
    <t>우젤랑</t>
  </si>
  <si>
    <t>그녀를 함락시키는 방법 3</t>
  </si>
  <si>
    <t>천재가문 10 (완결)</t>
  </si>
  <si>
    <t>[세트] 도황 (총9권/완결)</t>
  </si>
  <si>
    <t>[BL] 사위 사랑은 장인</t>
  </si>
  <si>
    <t>생맥주</t>
  </si>
  <si>
    <t>D107177</t>
  </si>
  <si>
    <t>아저씨가 좋아요 2 (완결)</t>
  </si>
  <si>
    <t>D202236</t>
  </si>
  <si>
    <t>아저씨가 좋아요 1</t>
  </si>
  <si>
    <t>D202235</t>
  </si>
  <si>
    <t>우리는 한 가족</t>
  </si>
  <si>
    <t>B035458</t>
  </si>
  <si>
    <t>내가 M이라니 1</t>
  </si>
  <si>
    <t>E778788</t>
  </si>
  <si>
    <t>내가 M이라니 3</t>
  </si>
  <si>
    <t>E778790</t>
  </si>
  <si>
    <t>[GL] 수직 낙하 1</t>
  </si>
  <si>
    <t>트니심</t>
  </si>
  <si>
    <t>k187277</t>
  </si>
  <si>
    <t>[GL] 수직 낙하 2</t>
  </si>
  <si>
    <t>k187278</t>
  </si>
  <si>
    <t>[GL] 수직 낙하 3 (완결)</t>
  </si>
  <si>
    <t>k187279</t>
  </si>
  <si>
    <t>백사의 연인 2 (완결)</t>
  </si>
  <si>
    <t>D198897</t>
  </si>
  <si>
    <t>국가권력급 심부름센터 01</t>
  </si>
  <si>
    <t>한빌</t>
  </si>
  <si>
    <t>D225221</t>
  </si>
  <si>
    <t>[GL] 수직 낙하 (외전)</t>
  </si>
  <si>
    <t>k187280</t>
  </si>
  <si>
    <t>이웃 아저씨들과 은밀한 집들이</t>
  </si>
  <si>
    <t>절륜세자</t>
  </si>
  <si>
    <t>D182647</t>
  </si>
  <si>
    <t>불친절한 새 오빠 3</t>
  </si>
  <si>
    <t>k299022</t>
  </si>
  <si>
    <t>시작은 결혼 (개정판)</t>
  </si>
  <si>
    <t>검은머리 미 FBI 특수요원 01</t>
  </si>
  <si>
    <t>김민수</t>
  </si>
  <si>
    <t>D225234</t>
  </si>
  <si>
    <t>아랫집 팀장님</t>
  </si>
  <si>
    <t>은시안</t>
  </si>
  <si>
    <t>D182638</t>
  </si>
  <si>
    <t>그녀를 함락시키는 방법 4</t>
  </si>
  <si>
    <t>문과라도 안 죄송한 이세계로 감 341화</t>
  </si>
  <si>
    <t>E816982</t>
  </si>
  <si>
    <t>문과라도 안 죄송한 이세계로 감 340화</t>
  </si>
  <si>
    <t>E816981</t>
  </si>
  <si>
    <t>문과라도 안 죄송한 이세계로 감 342화</t>
  </si>
  <si>
    <t>E817007</t>
  </si>
  <si>
    <t>변태들만 골라 먹는 변태 2</t>
  </si>
  <si>
    <t>D158940</t>
  </si>
  <si>
    <t>빚을 갚지 못해서 1</t>
  </si>
  <si>
    <t>k397941</t>
  </si>
  <si>
    <t>집착 오빠의 XX한 생각이 들려온다</t>
  </si>
  <si>
    <t>D182646</t>
  </si>
  <si>
    <t>한 장 보고서 끝장내기</t>
  </si>
  <si>
    <t>윤홍준</t>
  </si>
  <si>
    <t>리더북스</t>
  </si>
  <si>
    <t>E105304</t>
  </si>
  <si>
    <t>문과라도 안 죄송한 이세계로 감 330화</t>
  </si>
  <si>
    <t>E784561</t>
  </si>
  <si>
    <t>문과라도 안 죄송한 이세계로 감 328화</t>
  </si>
  <si>
    <t>E784559</t>
  </si>
  <si>
    <t>문과라도 안 죄송한 이세계로 감 327화</t>
  </si>
  <si>
    <t>E784558</t>
  </si>
  <si>
    <t>문과라도 안 죄송한 이세계로 감 332화</t>
  </si>
  <si>
    <t>E788228</t>
  </si>
  <si>
    <t>문과라도 안 죄송한 이세계로 감 329화</t>
  </si>
  <si>
    <t>E784560</t>
  </si>
  <si>
    <t>문과라도 안 죄송한 이세계로 감 326화</t>
  </si>
  <si>
    <t>E784557</t>
  </si>
  <si>
    <t>문과라도 안 죄송한 이세계로 감 331화</t>
  </si>
  <si>
    <t>E784562</t>
  </si>
  <si>
    <t>오, 나의 공주님! 1</t>
  </si>
  <si>
    <t>[세트] 사제님의 비밀스런 교육 (Dark) (외전 포함) (총4권/완결)</t>
  </si>
  <si>
    <t>김연서</t>
  </si>
  <si>
    <t>흐르는 것을 주체하지 못해서</t>
  </si>
  <si>
    <t>사슴의 풀밭</t>
  </si>
  <si>
    <t>N211254</t>
  </si>
  <si>
    <t>가질 수 없는 1</t>
  </si>
  <si>
    <t>당신이 원하는 나의 여자 1</t>
  </si>
  <si>
    <t>악마의 스포츠카 1</t>
  </si>
  <si>
    <t>성인비디오 1</t>
  </si>
  <si>
    <t>독거미sp</t>
  </si>
  <si>
    <t>후작 가문의 음란 별장 4</t>
  </si>
  <si>
    <t>D157416</t>
  </si>
  <si>
    <t>환상서점</t>
  </si>
  <si>
    <t>E105440</t>
  </si>
  <si>
    <t>저주를 내려드립니다 (체험판)</t>
  </si>
  <si>
    <t>호랑이손</t>
  </si>
  <si>
    <t>이거 오줌 아니에요</t>
  </si>
  <si>
    <t>k036582</t>
  </si>
  <si>
    <t>화장실에서 이러면 안돼! (외전)</t>
  </si>
  <si>
    <t>N217251</t>
  </si>
  <si>
    <t>악마의 스포츠카 2</t>
  </si>
  <si>
    <t>악마의 스포츠카 3 (완결)</t>
  </si>
  <si>
    <t>구원자가 도망친 밤 (외전)</t>
  </si>
  <si>
    <t>k069390</t>
  </si>
  <si>
    <t>구원자가 도망친 밤 6 (완결)</t>
  </si>
  <si>
    <t>k069389</t>
  </si>
  <si>
    <t>1시간을 못 견디는 여자</t>
  </si>
  <si>
    <t>N232270</t>
  </si>
  <si>
    <t>[세트] 더럽혀진 성녀의 밤 (외전 포함) (총2권/완결)</t>
  </si>
  <si>
    <t>한체라</t>
  </si>
  <si>
    <t>[BL] 모유카페 : 젖몸살의 경우 (외전)</t>
  </si>
  <si>
    <t>미미99</t>
  </si>
  <si>
    <t>B036486</t>
  </si>
  <si>
    <t>치한에게서 구해준 남자가 사실은</t>
  </si>
  <si>
    <t>k397944</t>
  </si>
  <si>
    <t>치한 취향 - 지하철 (외전)</t>
  </si>
  <si>
    <t>N207045</t>
  </si>
  <si>
    <t>반강제 조교 회사</t>
  </si>
  <si>
    <t>박초대</t>
  </si>
  <si>
    <t>D133653</t>
  </si>
  <si>
    <t>이런 가이드는 싫어요 1</t>
  </si>
  <si>
    <t>N111664</t>
  </si>
  <si>
    <t>원숭이의 섬</t>
  </si>
  <si>
    <t>D009645</t>
  </si>
  <si>
    <t>[BL] 금단 위에 순정 2</t>
  </si>
  <si>
    <t>k445825</t>
  </si>
  <si>
    <t>[BL] 금단 위에 순정 (외전)</t>
  </si>
  <si>
    <t>D000006</t>
  </si>
  <si>
    <t>아빠한테 최면을 걸었어요</t>
  </si>
  <si>
    <t>와사비</t>
  </si>
  <si>
    <t>k188909</t>
  </si>
  <si>
    <t>문과라도 안 죄송한 이세계로 감 363화</t>
  </si>
  <si>
    <t>E834856</t>
  </si>
  <si>
    <t>[세트] 나를 조종하는 트롤이여 (총3권/완결)</t>
  </si>
  <si>
    <t>르릅</t>
  </si>
  <si>
    <t>장난감을 즐기는 열 가지 방법</t>
  </si>
  <si>
    <t>N206684</t>
  </si>
  <si>
    <t>왕녀님은 교육중 1</t>
  </si>
  <si>
    <t>k144412</t>
  </si>
  <si>
    <t>상사의 페티시</t>
  </si>
  <si>
    <t>니플</t>
  </si>
  <si>
    <t>D026034</t>
  </si>
  <si>
    <t>[세트] 청매화의 귀환 (총4권/완결)</t>
  </si>
  <si>
    <t>세원록 5 (완결)</t>
  </si>
  <si>
    <t>E710448</t>
  </si>
  <si>
    <t>검은머리 미 FBI 특수요원 05</t>
  </si>
  <si>
    <t>D225238</t>
  </si>
  <si>
    <t>검은머리 미 FBI 특수요원 11 (완결)</t>
  </si>
  <si>
    <t>D225244</t>
  </si>
  <si>
    <t>검은머리 미 FBI 특수요원 03</t>
  </si>
  <si>
    <t>D225236</t>
  </si>
  <si>
    <t>검은머리 미 FBI 특수요원 07</t>
  </si>
  <si>
    <t>D225240</t>
  </si>
  <si>
    <t>검은머리 미 FBI 특수요원 08</t>
  </si>
  <si>
    <t>D225241</t>
  </si>
  <si>
    <t>검은머리 미 FBI 특수요원 10</t>
  </si>
  <si>
    <t>D225243</t>
  </si>
  <si>
    <t>검은머리 미 FBI 특수요원 04</t>
  </si>
  <si>
    <t>D225237</t>
  </si>
  <si>
    <t>검은머리 미 FBI 특수요원 09</t>
  </si>
  <si>
    <t>D225242</t>
  </si>
  <si>
    <t>검은머리 미 FBI 특수요원 02</t>
  </si>
  <si>
    <t>D225235</t>
  </si>
  <si>
    <t>검은머리 미 FBI 특수요원 06</t>
  </si>
  <si>
    <t>D225239</t>
  </si>
  <si>
    <t>이런 가이드는 싫어요 2</t>
  </si>
  <si>
    <t>N111665</t>
  </si>
  <si>
    <t>이런 가이드는 싫어요 3 (완결)</t>
  </si>
  <si>
    <t>N111666</t>
  </si>
  <si>
    <t>스팀펑크 대한 03</t>
  </si>
  <si>
    <t>D219375</t>
  </si>
  <si>
    <t>스팀펑크 대한 05</t>
  </si>
  <si>
    <t>D219377</t>
  </si>
  <si>
    <t>스팀펑크 대한 09</t>
  </si>
  <si>
    <t>D219381</t>
  </si>
  <si>
    <t>스팀펑크 대한 08</t>
  </si>
  <si>
    <t>D219380</t>
  </si>
  <si>
    <t>스팀펑크 대한 10 (완결)</t>
  </si>
  <si>
    <t>D219382</t>
  </si>
  <si>
    <t>스팀펑크 대한 06</t>
  </si>
  <si>
    <t>D219378</t>
  </si>
  <si>
    <t>스팀펑크 대한 04</t>
  </si>
  <si>
    <t>D219376</t>
  </si>
  <si>
    <t>스팀펑크 대한 02</t>
  </si>
  <si>
    <t>D219374</t>
  </si>
  <si>
    <t>스팀펑크 대한 07</t>
  </si>
  <si>
    <t>D219379</t>
  </si>
  <si>
    <t>무사 1</t>
  </si>
  <si>
    <t>보헤미아</t>
  </si>
  <si>
    <t>친구 아빠 병문안을 갔다가</t>
  </si>
  <si>
    <t>k300958</t>
  </si>
  <si>
    <t>[세트] 벽에 뚫린 러시안 룰렛 (총2권/완결)</t>
  </si>
  <si>
    <t>유리원</t>
  </si>
  <si>
    <t>[BL] 친구가 다르게 보일 때</t>
  </si>
  <si>
    <t>지로ZIRO</t>
  </si>
  <si>
    <t>브랜디</t>
  </si>
  <si>
    <t>k298211</t>
  </si>
  <si>
    <t>소야곡</t>
  </si>
  <si>
    <t>E762727</t>
  </si>
  <si>
    <t>사랑받는 대공비 1 기사들에게</t>
  </si>
  <si>
    <t>하몽</t>
  </si>
  <si>
    <t>N217286</t>
  </si>
  <si>
    <t>사랑받는 대공비 2 : 사용인들에게</t>
  </si>
  <si>
    <t>D013084</t>
  </si>
  <si>
    <t>동박새의 비명 1</t>
  </si>
  <si>
    <t>비아부화 1</t>
  </si>
  <si>
    <t>최후식</t>
  </si>
  <si>
    <t>천왕무 1</t>
  </si>
  <si>
    <t>나한</t>
  </si>
  <si>
    <t>새아빠의 신체검사</t>
  </si>
  <si>
    <t>앙도라지</t>
  </si>
  <si>
    <t>k364754</t>
  </si>
  <si>
    <t>새아빠의 신체검사 2</t>
  </si>
  <si>
    <t>k399159</t>
  </si>
  <si>
    <t>새아빠의 신체검사 3 (완결)</t>
  </si>
  <si>
    <t>k418053</t>
  </si>
  <si>
    <t>시골 똥개 맛보기</t>
  </si>
  <si>
    <t>마구간</t>
  </si>
  <si>
    <t>k036594</t>
  </si>
  <si>
    <t>오빠들과 하고 싶어</t>
  </si>
  <si>
    <t>k201494</t>
  </si>
  <si>
    <t>연지의 구멍 - 카모마일티</t>
  </si>
  <si>
    <t>N211262</t>
  </si>
  <si>
    <t>[BL] 밤마다 형은</t>
  </si>
  <si>
    <t>좋은건다같이</t>
  </si>
  <si>
    <t>k193549</t>
  </si>
  <si>
    <t>[BL] Sweet Papa♥ (특별 외전)</t>
  </si>
  <si>
    <t>코튼candy</t>
  </si>
  <si>
    <t>k208516</t>
  </si>
  <si>
    <t>아저씨와 그 조카 (외전)</t>
  </si>
  <si>
    <t>k249846</t>
  </si>
  <si>
    <t>아저씨와 그 조카</t>
  </si>
  <si>
    <t>k183955</t>
  </si>
  <si>
    <t>풍사전기 02</t>
  </si>
  <si>
    <t>D204002</t>
  </si>
  <si>
    <t>야만의 조소 1</t>
  </si>
  <si>
    <t>황실 어린이집 선생님이 되었습니다 1</t>
  </si>
  <si>
    <t>조일구</t>
  </si>
  <si>
    <t>D006500</t>
  </si>
  <si>
    <t>문과라도 안 죄송한 이세계로 감 346화</t>
  </si>
  <si>
    <t>E820006</t>
  </si>
  <si>
    <t>문과라도 안 죄송한 이세계로 감 347화</t>
  </si>
  <si>
    <t>E820007</t>
  </si>
  <si>
    <t>문과라도 안 죄송한 이세계로 감 343화</t>
  </si>
  <si>
    <t>E817008</t>
  </si>
  <si>
    <t>문과라도 안 죄송한 이세계로 감 348화</t>
  </si>
  <si>
    <t>E820989</t>
  </si>
  <si>
    <t>문과라도 안 죄송한 이세계로 감 345화</t>
  </si>
  <si>
    <t>E820005</t>
  </si>
  <si>
    <t>문과라도 안 죄송한 이세계로 감 350화</t>
  </si>
  <si>
    <t>E820991</t>
  </si>
  <si>
    <t>문과라도 안 죄송한 이세계로 감 344화</t>
  </si>
  <si>
    <t>E817009</t>
  </si>
  <si>
    <t>문과라도 안 죄송한 이세계로 감 349화</t>
  </si>
  <si>
    <t>E820990</t>
  </si>
  <si>
    <t>[세트] [BL] 근딜을 포기하지 못하는 이유 (외전 포함) (총4권/완결)</t>
  </si>
  <si>
    <t>라에르</t>
  </si>
  <si>
    <t>천왕무 2권</t>
  </si>
  <si>
    <t>천왕무 3권</t>
  </si>
  <si>
    <t>동박새의 비명 2</t>
  </si>
  <si>
    <t>관능의 남편</t>
  </si>
  <si>
    <t>약혼자의 집으로 인사가요</t>
  </si>
  <si>
    <t>떡나무</t>
  </si>
  <si>
    <t>N211269</t>
  </si>
  <si>
    <t>[세트] 도원향 (외전 포함) (총3권/완결)</t>
  </si>
  <si>
    <t>[GL] 소매치기 감금 조교</t>
  </si>
  <si>
    <t>k307367</t>
  </si>
  <si>
    <t>문과라도 안 죄송한 이세계로 감 203화</t>
  </si>
  <si>
    <t>E663165</t>
  </si>
  <si>
    <t>문과라도 안 죄송한 이세계로 감 204화</t>
  </si>
  <si>
    <t>E663166</t>
  </si>
  <si>
    <t>페르젠트 백작가의 개들 1</t>
  </si>
  <si>
    <t>N217269</t>
  </si>
  <si>
    <t>부녀 사정 (외전)</t>
  </si>
  <si>
    <t>고기</t>
  </si>
  <si>
    <t>부녀 사정</t>
  </si>
  <si>
    <t>부녀 사정 (특별 외전: 쌍둥이의 비밀)</t>
  </si>
  <si>
    <t>D182637</t>
  </si>
  <si>
    <t>[BL] 넣었다, 자는 중에, 아빠가</t>
  </si>
  <si>
    <t>골든퍽</t>
  </si>
  <si>
    <t>k149668</t>
  </si>
  <si>
    <t>[BL] 넣었다, 자는 중에, 아빠가 (외전)</t>
  </si>
  <si>
    <t>k149669</t>
  </si>
  <si>
    <t>그녀를 함락시키는 방법 5 (완결)</t>
  </si>
  <si>
    <t>[BL] 선임들의 입사선물</t>
  </si>
  <si>
    <t>k150560</t>
  </si>
  <si>
    <t>[BL] 선임들의 입사선물 (외전)</t>
  </si>
  <si>
    <t>B035448</t>
  </si>
  <si>
    <t>[BL] 채터박스 Vol 4. 원나잇 편</t>
  </si>
  <si>
    <t>윤녁</t>
  </si>
  <si>
    <t>k098719</t>
  </si>
  <si>
    <t>문과라도 안 죄송한 이세계로 감 048화</t>
  </si>
  <si>
    <t>E448284</t>
  </si>
  <si>
    <t>문과라도 안 죄송한 이세계로 감 051화</t>
  </si>
  <si>
    <t>E448287</t>
  </si>
  <si>
    <t>문과라도 안 죄송한 이세계로 감 050화</t>
  </si>
  <si>
    <t>E448286</t>
  </si>
  <si>
    <t>[BL] 달랑 선녀와 대물 나무꾼</t>
  </si>
  <si>
    <t>월간 유다</t>
  </si>
  <si>
    <t>k381554</t>
  </si>
  <si>
    <t>난폭한 마왕님 길들이기</t>
  </si>
  <si>
    <t>구르는 머위</t>
  </si>
  <si>
    <t>D151139</t>
  </si>
  <si>
    <t>범죄와 징벌의 균형 (체험판)</t>
  </si>
  <si>
    <t>LovelyKGB</t>
  </si>
  <si>
    <t>문과라도 안 죄송한 이세계로 감 049화</t>
  </si>
  <si>
    <t>E448285</t>
  </si>
  <si>
    <t>문과라도 안 죄송한 이세계로 감 356화</t>
  </si>
  <si>
    <t>E827279</t>
  </si>
  <si>
    <t>문과라도 안 죄송한 이세계로 감 361화</t>
  </si>
  <si>
    <t>E830496</t>
  </si>
  <si>
    <t>문과라도 안 죄송한 이세계로 감 354화</t>
  </si>
  <si>
    <t>E825879</t>
  </si>
  <si>
    <t>문과라도 안 죄송한 이세계로 감 364화</t>
  </si>
  <si>
    <t>E835173</t>
  </si>
  <si>
    <t>문과라도 안 죄송한 이세계로 감 359화</t>
  </si>
  <si>
    <t>E830255</t>
  </si>
  <si>
    <t>문과라도 안 죄송한 이세계로 감 355화</t>
  </si>
  <si>
    <t>E825880</t>
  </si>
  <si>
    <t>문과라도 안 죄송한 이세계로 감 360화</t>
  </si>
  <si>
    <t>E830495</t>
  </si>
  <si>
    <t>문과라도 안 죄송한 이세계로 감 358화</t>
  </si>
  <si>
    <t>E830254</t>
  </si>
  <si>
    <t>문과라도 안 죄송한 이세계로 감 357화</t>
  </si>
  <si>
    <t>E830253</t>
  </si>
  <si>
    <t>문과라도 안 죄송한 이세계로 감 362화</t>
  </si>
  <si>
    <t>E830497</t>
  </si>
  <si>
    <t>청매화의 귀환 1</t>
  </si>
  <si>
    <t>D010593</t>
  </si>
  <si>
    <t>하녀 체험기</t>
  </si>
  <si>
    <t>k381553</t>
  </si>
  <si>
    <t>음란 백설</t>
  </si>
  <si>
    <t>적월</t>
  </si>
  <si>
    <t>문과라도 안 죄송한 이세계로 감 207화</t>
  </si>
  <si>
    <t>E663169</t>
  </si>
  <si>
    <t>문과라도 안 죄송한 이세계로 감 206화</t>
  </si>
  <si>
    <t>E663168</t>
  </si>
  <si>
    <t>문과라도 안 죄송한 이세계로 감 210화</t>
  </si>
  <si>
    <t>E664961</t>
  </si>
  <si>
    <t>문과라도 안 죄송한 이세계로 감 205화</t>
  </si>
  <si>
    <t>E663167</t>
  </si>
  <si>
    <t>문과라도 안 죄송한 이세계로 감 208화</t>
  </si>
  <si>
    <t>E664959</t>
  </si>
  <si>
    <t>[BL] 금단 위에 순정 3</t>
  </si>
  <si>
    <t>k445826</t>
  </si>
  <si>
    <t>[BL] 퍼킹 홀리데이</t>
  </si>
  <si>
    <t>모갱</t>
  </si>
  <si>
    <t>문과라도 안 죄송한 이세계로 감 211화</t>
  </si>
  <si>
    <t>E664962</t>
  </si>
  <si>
    <t>청매화의 귀환 2</t>
  </si>
  <si>
    <t>D010594</t>
  </si>
  <si>
    <t>언니가 순정만화 여주인공이다 1</t>
  </si>
  <si>
    <t>소르베</t>
  </si>
  <si>
    <t>D144088</t>
  </si>
  <si>
    <t>보스의 어린 아내</t>
  </si>
  <si>
    <t>문과라도 안 죄송한 이세계로 감 228화</t>
  </si>
  <si>
    <t>E701510</t>
  </si>
  <si>
    <t>첫 경험, 기억불능 : 소꿉친구 편</t>
  </si>
  <si>
    <t>달뜨</t>
  </si>
  <si>
    <t>k150568</t>
  </si>
  <si>
    <t>배덕한 소꿉놀이</t>
  </si>
  <si>
    <t>D088984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</si>
</sst>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773A-56EF-0340-A87F-C195C8626DF9}">
  <dimension ref="A1:N3267"/>
  <sheetViews>
    <sheetView tabSelected="1" workbookViewId="0">
      <selection activeCell="I19" sqref="I19"/>
    </sheetView>
  </sheetViews>
  <sheetFormatPr baseColWidth="10" defaultRowHeight="18"/>
  <cols>
    <col min="3" max="3" width="34.42578125" style="2" customWidth="1"/>
    <col min="5" max="5" width="10.7109375" style="4"/>
    <col min="6" max="7" width="10.7109375" style="2"/>
    <col min="9" max="10" width="10.7109375" style="2"/>
  </cols>
  <sheetData>
    <row r="1" spans="1:14">
      <c r="A1" t="s">
        <v>0</v>
      </c>
      <c r="B1" t="s">
        <v>1</v>
      </c>
      <c r="C1" s="2" t="s">
        <v>2</v>
      </c>
      <c r="D1" t="s">
        <v>3</v>
      </c>
      <c r="E1" s="4" t="s">
        <v>4</v>
      </c>
      <c r="F1" s="2" t="s">
        <v>5</v>
      </c>
      <c r="G1" s="2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46054.005393518521</v>
      </c>
      <c r="B2">
        <v>374949668</v>
      </c>
      <c r="C2" s="2" t="s">
        <v>14</v>
      </c>
      <c r="D2" t="s">
        <v>15</v>
      </c>
      <c r="E2" s="5">
        <v>19200</v>
      </c>
      <c r="F2" s="3">
        <v>19200</v>
      </c>
      <c r="G2" s="3">
        <v>13440</v>
      </c>
      <c r="I2" s="2" t="s">
        <v>16</v>
      </c>
      <c r="J2" s="2" t="s">
        <v>17</v>
      </c>
      <c r="K2" t="s">
        <v>18</v>
      </c>
      <c r="L2" t="str">
        <f>T("9791189360627")</f>
        <v>9791189360627</v>
      </c>
      <c r="M2" t="str">
        <f t="shared" ref="M2:M33" si="0">T("")</f>
        <v/>
      </c>
    </row>
    <row r="3" spans="1:14">
      <c r="A3" s="1">
        <v>46054.009791666664</v>
      </c>
      <c r="B3">
        <v>312914609</v>
      </c>
      <c r="C3" s="2" t="s">
        <v>19</v>
      </c>
      <c r="D3" t="s">
        <v>15</v>
      </c>
      <c r="E3" s="5">
        <v>1000</v>
      </c>
      <c r="F3" s="3">
        <v>1000</v>
      </c>
      <c r="G3" s="2">
        <v>700</v>
      </c>
      <c r="I3" s="2" t="s">
        <v>20</v>
      </c>
      <c r="J3" s="2" t="s">
        <v>21</v>
      </c>
      <c r="K3" t="s">
        <v>18</v>
      </c>
      <c r="L3" t="str">
        <f>T("9791167837202")</f>
        <v>9791167837202</v>
      </c>
      <c r="M3" t="str">
        <f t="shared" si="0"/>
        <v/>
      </c>
      <c r="N3" t="s">
        <v>22</v>
      </c>
    </row>
    <row r="4" spans="1:14">
      <c r="A4" s="1">
        <v>46054.009791666664</v>
      </c>
      <c r="B4">
        <v>313167171</v>
      </c>
      <c r="C4" s="2" t="s">
        <v>23</v>
      </c>
      <c r="D4" t="s">
        <v>15</v>
      </c>
      <c r="E4" s="5">
        <v>1000</v>
      </c>
      <c r="F4" s="3">
        <v>1000</v>
      </c>
      <c r="G4" s="2">
        <v>700</v>
      </c>
      <c r="I4" s="2" t="s">
        <v>20</v>
      </c>
      <c r="J4" s="2" t="s">
        <v>21</v>
      </c>
      <c r="K4" t="s">
        <v>18</v>
      </c>
      <c r="L4" t="str">
        <f>T("9791167837516")</f>
        <v>9791167837516</v>
      </c>
      <c r="M4" t="str">
        <f t="shared" si="0"/>
        <v/>
      </c>
      <c r="N4" t="s">
        <v>24</v>
      </c>
    </row>
    <row r="5" spans="1:14">
      <c r="A5" s="1">
        <v>46054.009791666664</v>
      </c>
      <c r="B5">
        <v>362493048</v>
      </c>
      <c r="C5" s="2" t="s">
        <v>25</v>
      </c>
      <c r="D5" t="s">
        <v>15</v>
      </c>
      <c r="E5" s="5">
        <v>1000</v>
      </c>
      <c r="F5" s="3">
        <v>1000</v>
      </c>
      <c r="G5" s="2">
        <v>700</v>
      </c>
      <c r="I5" s="2" t="s">
        <v>20</v>
      </c>
      <c r="J5" s="2" t="s">
        <v>21</v>
      </c>
      <c r="K5" t="s">
        <v>18</v>
      </c>
      <c r="L5" t="str">
        <f>T("9791173013706")</f>
        <v>9791173013706</v>
      </c>
      <c r="M5" t="str">
        <f t="shared" si="0"/>
        <v/>
      </c>
      <c r="N5" t="s">
        <v>26</v>
      </c>
    </row>
    <row r="6" spans="1:14">
      <c r="A6" s="1">
        <v>46054.061041666668</v>
      </c>
      <c r="B6">
        <v>383435421</v>
      </c>
      <c r="C6" s="2" t="s">
        <v>27</v>
      </c>
      <c r="D6" t="s">
        <v>15</v>
      </c>
      <c r="E6" s="5">
        <v>1000</v>
      </c>
      <c r="F6" s="3">
        <v>1000</v>
      </c>
      <c r="G6" s="2">
        <v>700</v>
      </c>
      <c r="I6" s="2" t="s">
        <v>28</v>
      </c>
      <c r="J6" s="2" t="s">
        <v>21</v>
      </c>
      <c r="K6" t="s">
        <v>18</v>
      </c>
      <c r="L6" t="str">
        <f>T("9791175582361")</f>
        <v>9791175582361</v>
      </c>
      <c r="M6" t="str">
        <f t="shared" si="0"/>
        <v/>
      </c>
      <c r="N6" t="s">
        <v>29</v>
      </c>
    </row>
    <row r="7" spans="1:14">
      <c r="A7" s="1">
        <v>46054.063784722224</v>
      </c>
      <c r="B7">
        <v>285682542</v>
      </c>
      <c r="C7" s="2" t="s">
        <v>30</v>
      </c>
      <c r="D7" t="s">
        <v>15</v>
      </c>
      <c r="E7" s="5">
        <v>1000</v>
      </c>
      <c r="F7" s="3">
        <v>1000</v>
      </c>
      <c r="G7" s="2">
        <v>700</v>
      </c>
      <c r="I7" s="2" t="s">
        <v>31</v>
      </c>
      <c r="J7" s="2" t="s">
        <v>21</v>
      </c>
      <c r="K7" t="s">
        <v>18</v>
      </c>
      <c r="L7" t="str">
        <f>T("9791167830753")</f>
        <v>9791167830753</v>
      </c>
      <c r="M7" t="str">
        <f t="shared" si="0"/>
        <v/>
      </c>
    </row>
    <row r="8" spans="1:14">
      <c r="A8" s="1">
        <v>46054.11755787037</v>
      </c>
      <c r="B8">
        <v>382628198</v>
      </c>
      <c r="C8" s="2" t="s">
        <v>32</v>
      </c>
      <c r="D8" t="s">
        <v>15</v>
      </c>
      <c r="E8" s="5">
        <v>1000</v>
      </c>
      <c r="F8" s="3">
        <v>1000</v>
      </c>
      <c r="G8" s="2">
        <v>700</v>
      </c>
      <c r="I8" s="2" t="s">
        <v>28</v>
      </c>
      <c r="J8" s="2" t="s">
        <v>21</v>
      </c>
      <c r="K8" t="s">
        <v>18</v>
      </c>
      <c r="L8" t="str">
        <f>T("9791175581470")</f>
        <v>9791175581470</v>
      </c>
      <c r="M8" t="str">
        <f t="shared" si="0"/>
        <v/>
      </c>
      <c r="N8" t="s">
        <v>33</v>
      </c>
    </row>
    <row r="9" spans="1:14">
      <c r="A9" s="1">
        <v>46054.11755787037</v>
      </c>
      <c r="B9">
        <v>382626185</v>
      </c>
      <c r="C9" s="2" t="s">
        <v>34</v>
      </c>
      <c r="D9" t="s">
        <v>15</v>
      </c>
      <c r="E9" s="5">
        <v>1000</v>
      </c>
      <c r="F9" s="3">
        <v>1000</v>
      </c>
      <c r="G9" s="2">
        <v>700</v>
      </c>
      <c r="I9" s="2" t="s">
        <v>28</v>
      </c>
      <c r="J9" s="2" t="s">
        <v>21</v>
      </c>
      <c r="K9" t="s">
        <v>18</v>
      </c>
      <c r="L9" t="str">
        <f>T("9791175581463")</f>
        <v>9791175581463</v>
      </c>
      <c r="M9" t="str">
        <f t="shared" si="0"/>
        <v/>
      </c>
      <c r="N9" t="s">
        <v>35</v>
      </c>
    </row>
    <row r="10" spans="1:14">
      <c r="A10" s="1">
        <v>46054.118252314816</v>
      </c>
      <c r="B10">
        <v>285682530</v>
      </c>
      <c r="C10" s="2" t="s">
        <v>36</v>
      </c>
      <c r="D10" t="s">
        <v>15</v>
      </c>
      <c r="E10" s="5">
        <v>1000</v>
      </c>
      <c r="F10" s="3">
        <v>1000</v>
      </c>
      <c r="G10" s="2">
        <v>700</v>
      </c>
      <c r="I10" s="2" t="s">
        <v>31</v>
      </c>
      <c r="J10" s="2" t="s">
        <v>21</v>
      </c>
      <c r="K10" t="s">
        <v>18</v>
      </c>
      <c r="L10" t="str">
        <f>T("9791167830760")</f>
        <v>9791167830760</v>
      </c>
      <c r="M10" t="str">
        <f t="shared" si="0"/>
        <v/>
      </c>
    </row>
    <row r="11" spans="1:14">
      <c r="A11" s="1">
        <v>46054.127569444441</v>
      </c>
      <c r="B11">
        <v>384623947</v>
      </c>
      <c r="C11" s="2" t="s">
        <v>37</v>
      </c>
      <c r="D11" t="s">
        <v>15</v>
      </c>
      <c r="E11" s="5">
        <v>1000</v>
      </c>
      <c r="F11" s="3">
        <v>1000</v>
      </c>
      <c r="G11" s="2">
        <v>700</v>
      </c>
      <c r="I11" s="2" t="s">
        <v>38</v>
      </c>
      <c r="J11" s="2" t="s">
        <v>21</v>
      </c>
      <c r="K11" t="s">
        <v>18</v>
      </c>
      <c r="L11" t="str">
        <f>T("9791175582187")</f>
        <v>9791175582187</v>
      </c>
      <c r="M11" t="str">
        <f t="shared" si="0"/>
        <v/>
      </c>
      <c r="N11" t="s">
        <v>39</v>
      </c>
    </row>
    <row r="12" spans="1:14">
      <c r="A12" s="1">
        <v>46054.166967592595</v>
      </c>
      <c r="B12">
        <v>383283000</v>
      </c>
      <c r="C12" s="2" t="s">
        <v>40</v>
      </c>
      <c r="D12" t="s">
        <v>15</v>
      </c>
      <c r="E12" s="5">
        <v>1000</v>
      </c>
      <c r="F12" s="3">
        <v>1000</v>
      </c>
      <c r="G12" s="2">
        <v>700</v>
      </c>
      <c r="I12" s="2" t="s">
        <v>41</v>
      </c>
      <c r="J12" s="2" t="s">
        <v>21</v>
      </c>
      <c r="K12" t="s">
        <v>18</v>
      </c>
      <c r="L12" t="str">
        <f>T("9791175582132")</f>
        <v>9791175582132</v>
      </c>
      <c r="M12" t="str">
        <f t="shared" si="0"/>
        <v/>
      </c>
      <c r="N12" t="s">
        <v>42</v>
      </c>
    </row>
    <row r="13" spans="1:14">
      <c r="A13" s="1">
        <v>46054.232488425929</v>
      </c>
      <c r="B13">
        <v>294556384</v>
      </c>
      <c r="C13" s="2" t="s">
        <v>43</v>
      </c>
      <c r="D13" t="s">
        <v>15</v>
      </c>
      <c r="E13" s="5">
        <v>1800</v>
      </c>
      <c r="F13" s="3">
        <v>1800</v>
      </c>
      <c r="G13" s="3">
        <v>1260</v>
      </c>
      <c r="I13" s="2" t="s">
        <v>44</v>
      </c>
      <c r="J13" s="2" t="s">
        <v>21</v>
      </c>
      <c r="K13" t="s">
        <v>18</v>
      </c>
      <c r="L13" t="str">
        <f>T("9791167832344")</f>
        <v>9791167832344</v>
      </c>
      <c r="M13" t="str">
        <f t="shared" si="0"/>
        <v/>
      </c>
    </row>
    <row r="14" spans="1:14">
      <c r="A14" s="1">
        <v>46054.232488425929</v>
      </c>
      <c r="B14">
        <v>271933174</v>
      </c>
      <c r="C14" s="2" t="s">
        <v>45</v>
      </c>
      <c r="D14" t="s">
        <v>15</v>
      </c>
      <c r="E14" s="5">
        <v>3000</v>
      </c>
      <c r="F14" s="3">
        <v>3000</v>
      </c>
      <c r="G14" s="3">
        <v>2100</v>
      </c>
      <c r="I14" s="2" t="s">
        <v>44</v>
      </c>
      <c r="J14" s="2" t="s">
        <v>21</v>
      </c>
      <c r="K14" t="s">
        <v>18</v>
      </c>
      <c r="L14" t="str">
        <f>T("9791191337068")</f>
        <v>9791191337068</v>
      </c>
      <c r="M14" t="str">
        <f t="shared" si="0"/>
        <v/>
      </c>
    </row>
    <row r="15" spans="1:14">
      <c r="A15" s="1">
        <v>46054.232488425929</v>
      </c>
      <c r="B15">
        <v>277168529</v>
      </c>
      <c r="C15" s="2" t="s">
        <v>46</v>
      </c>
      <c r="D15" t="s">
        <v>15</v>
      </c>
      <c r="E15" s="5">
        <v>1000</v>
      </c>
      <c r="F15" s="3">
        <v>1000</v>
      </c>
      <c r="G15" s="2">
        <v>700</v>
      </c>
      <c r="I15" s="2" t="s">
        <v>44</v>
      </c>
      <c r="J15" s="2" t="s">
        <v>21</v>
      </c>
      <c r="K15" t="s">
        <v>18</v>
      </c>
      <c r="L15" t="str">
        <f>T("9791191337853")</f>
        <v>9791191337853</v>
      </c>
      <c r="M15" t="str">
        <f t="shared" si="0"/>
        <v/>
      </c>
    </row>
    <row r="16" spans="1:14">
      <c r="A16" s="1">
        <v>46054.349895833337</v>
      </c>
      <c r="B16">
        <v>99672647</v>
      </c>
      <c r="C16" s="2" t="s">
        <v>47</v>
      </c>
      <c r="D16" t="s">
        <v>15</v>
      </c>
      <c r="E16" s="4">
        <v>0</v>
      </c>
      <c r="F16" s="2">
        <v>0</v>
      </c>
      <c r="G16" s="2">
        <v>0</v>
      </c>
      <c r="I16" s="2" t="s">
        <v>48</v>
      </c>
      <c r="J16" s="2" t="s">
        <v>49</v>
      </c>
      <c r="K16" t="s">
        <v>18</v>
      </c>
      <c r="L16" t="str">
        <f>T("9791160390537")</f>
        <v>9791160390537</v>
      </c>
      <c r="M16" t="str">
        <f t="shared" si="0"/>
        <v/>
      </c>
    </row>
    <row r="17" spans="1:14">
      <c r="A17" s="1">
        <v>46054.395011574074</v>
      </c>
      <c r="B17">
        <v>382626182</v>
      </c>
      <c r="C17" s="2" t="s">
        <v>50</v>
      </c>
      <c r="D17" t="s">
        <v>15</v>
      </c>
      <c r="E17" s="5">
        <v>1000</v>
      </c>
      <c r="F17" s="3">
        <v>1000</v>
      </c>
      <c r="G17" s="2">
        <v>700</v>
      </c>
      <c r="I17" s="2" t="s">
        <v>51</v>
      </c>
      <c r="J17" s="2" t="s">
        <v>21</v>
      </c>
      <c r="K17" t="s">
        <v>18</v>
      </c>
      <c r="L17" t="str">
        <f>T("9791175581647")</f>
        <v>9791175581647</v>
      </c>
      <c r="M17" t="str">
        <f t="shared" si="0"/>
        <v/>
      </c>
      <c r="N17" t="s">
        <v>52</v>
      </c>
    </row>
    <row r="18" spans="1:14">
      <c r="A18" s="1">
        <v>46054.42454861111</v>
      </c>
      <c r="B18">
        <v>368002838</v>
      </c>
      <c r="C18" s="2" t="s">
        <v>53</v>
      </c>
      <c r="D18" t="s">
        <v>15</v>
      </c>
      <c r="E18" s="5">
        <v>1000</v>
      </c>
      <c r="F18" s="3">
        <v>1000</v>
      </c>
      <c r="G18" s="2">
        <v>700</v>
      </c>
      <c r="I18" s="2" t="s">
        <v>54</v>
      </c>
      <c r="J18" s="2" t="s">
        <v>55</v>
      </c>
      <c r="K18" t="s">
        <v>18</v>
      </c>
      <c r="L18" t="str">
        <f>T("9791173015830")</f>
        <v>9791173015830</v>
      </c>
      <c r="M18" t="str">
        <f t="shared" si="0"/>
        <v/>
      </c>
      <c r="N18" t="s">
        <v>56</v>
      </c>
    </row>
    <row r="19" spans="1:14">
      <c r="A19" s="1">
        <v>46054.540046296293</v>
      </c>
      <c r="B19">
        <v>383435421</v>
      </c>
      <c r="C19" s="2" t="s">
        <v>27</v>
      </c>
      <c r="D19" t="s">
        <v>15</v>
      </c>
      <c r="E19" s="5">
        <v>1000</v>
      </c>
      <c r="F19" s="3">
        <v>1000</v>
      </c>
      <c r="G19" s="2">
        <v>700</v>
      </c>
      <c r="I19" s="2" t="s">
        <v>28</v>
      </c>
      <c r="J19" s="2" t="s">
        <v>21</v>
      </c>
      <c r="K19" t="s">
        <v>18</v>
      </c>
      <c r="L19" t="str">
        <f>T("9791175582361")</f>
        <v>9791175582361</v>
      </c>
      <c r="M19" t="str">
        <f t="shared" si="0"/>
        <v/>
      </c>
      <c r="N19" t="s">
        <v>29</v>
      </c>
    </row>
    <row r="20" spans="1:14">
      <c r="A20" s="1">
        <v>46054.617592592593</v>
      </c>
      <c r="B20">
        <v>375355831</v>
      </c>
      <c r="C20" s="2" t="s">
        <v>57</v>
      </c>
      <c r="D20" t="s">
        <v>15</v>
      </c>
      <c r="E20" s="5">
        <v>1000</v>
      </c>
      <c r="F20" s="3">
        <v>1000</v>
      </c>
      <c r="G20" s="2">
        <v>700</v>
      </c>
      <c r="I20" s="2" t="s">
        <v>58</v>
      </c>
      <c r="J20" s="2" t="s">
        <v>21</v>
      </c>
      <c r="K20" t="s">
        <v>18</v>
      </c>
      <c r="L20" t="str">
        <f>T("9791173018763")</f>
        <v>9791173018763</v>
      </c>
      <c r="M20" t="str">
        <f t="shared" si="0"/>
        <v/>
      </c>
      <c r="N20" t="s">
        <v>59</v>
      </c>
    </row>
    <row r="21" spans="1:14">
      <c r="A21" s="1">
        <v>46054.654849537037</v>
      </c>
      <c r="B21">
        <v>277168529</v>
      </c>
      <c r="C21" s="2" t="s">
        <v>46</v>
      </c>
      <c r="D21" t="s">
        <v>15</v>
      </c>
      <c r="E21" s="5">
        <v>1000</v>
      </c>
      <c r="F21" s="3">
        <v>1000</v>
      </c>
      <c r="G21" s="2">
        <v>700</v>
      </c>
      <c r="I21" s="2" t="s">
        <v>44</v>
      </c>
      <c r="J21" s="2" t="s">
        <v>21</v>
      </c>
      <c r="K21" t="s">
        <v>18</v>
      </c>
      <c r="L21" t="str">
        <f>T("9791191337853")</f>
        <v>9791191337853</v>
      </c>
      <c r="M21" t="str">
        <f t="shared" si="0"/>
        <v/>
      </c>
    </row>
    <row r="22" spans="1:14">
      <c r="A22" s="1">
        <v>46054.730219907404</v>
      </c>
      <c r="B22">
        <v>348749184</v>
      </c>
      <c r="C22" s="2" t="s">
        <v>60</v>
      </c>
      <c r="D22" t="s">
        <v>15</v>
      </c>
      <c r="E22" s="5">
        <v>1000</v>
      </c>
      <c r="F22" s="3">
        <v>1000</v>
      </c>
      <c r="G22" s="2">
        <v>700</v>
      </c>
      <c r="I22" s="2" t="s">
        <v>61</v>
      </c>
      <c r="J22" s="2" t="s">
        <v>21</v>
      </c>
      <c r="K22" t="s">
        <v>18</v>
      </c>
      <c r="L22" t="str">
        <f>T("9791170899679")</f>
        <v>9791170899679</v>
      </c>
      <c r="M22" t="str">
        <f t="shared" si="0"/>
        <v/>
      </c>
      <c r="N22" t="s">
        <v>62</v>
      </c>
    </row>
    <row r="23" spans="1:14">
      <c r="A23" s="1">
        <v>46054.731064814812</v>
      </c>
      <c r="B23">
        <v>343712248</v>
      </c>
      <c r="C23" s="2" t="s">
        <v>63</v>
      </c>
      <c r="D23" t="s">
        <v>15</v>
      </c>
      <c r="E23" s="4">
        <v>0</v>
      </c>
      <c r="F23" s="2">
        <v>0</v>
      </c>
      <c r="G23" s="2">
        <v>0</v>
      </c>
      <c r="I23" s="2" t="s">
        <v>64</v>
      </c>
      <c r="J23" s="2" t="s">
        <v>65</v>
      </c>
      <c r="K23" t="s">
        <v>18</v>
      </c>
      <c r="L23" t="str">
        <f>T("9791137009837")</f>
        <v>9791137009837</v>
      </c>
      <c r="M23" t="str">
        <f t="shared" si="0"/>
        <v/>
      </c>
      <c r="N23" t="s">
        <v>66</v>
      </c>
    </row>
    <row r="24" spans="1:14">
      <c r="A24" s="1">
        <v>46054.731631944444</v>
      </c>
      <c r="B24">
        <v>384623947</v>
      </c>
      <c r="C24" s="2" t="s">
        <v>37</v>
      </c>
      <c r="D24" t="s">
        <v>15</v>
      </c>
      <c r="E24" s="5">
        <v>1000</v>
      </c>
      <c r="F24" s="3">
        <v>1000</v>
      </c>
      <c r="G24" s="2">
        <v>700</v>
      </c>
      <c r="I24" s="2" t="s">
        <v>38</v>
      </c>
      <c r="J24" s="2" t="s">
        <v>21</v>
      </c>
      <c r="K24" t="s">
        <v>18</v>
      </c>
      <c r="L24" t="str">
        <f>T("9791175582187")</f>
        <v>9791175582187</v>
      </c>
      <c r="M24" t="str">
        <f t="shared" si="0"/>
        <v/>
      </c>
      <c r="N24" t="s">
        <v>39</v>
      </c>
    </row>
    <row r="25" spans="1:14">
      <c r="A25" s="1">
        <v>46054.760787037034</v>
      </c>
      <c r="B25">
        <v>319978591</v>
      </c>
      <c r="C25" s="2" t="s">
        <v>67</v>
      </c>
      <c r="D25" t="s">
        <v>68</v>
      </c>
      <c r="E25" s="4">
        <v>900</v>
      </c>
      <c r="F25" s="2">
        <v>900</v>
      </c>
      <c r="G25" s="2">
        <v>630</v>
      </c>
      <c r="I25" s="2" t="s">
        <v>69</v>
      </c>
      <c r="J25" s="2" t="s">
        <v>70</v>
      </c>
      <c r="K25" t="s">
        <v>18</v>
      </c>
      <c r="L25" t="str">
        <f>T("9791192729503")</f>
        <v>9791192729503</v>
      </c>
      <c r="M25" t="str">
        <f t="shared" si="0"/>
        <v/>
      </c>
      <c r="N25" t="s">
        <v>71</v>
      </c>
    </row>
    <row r="26" spans="1:14">
      <c r="A26" s="1">
        <v>46054.806979166664</v>
      </c>
      <c r="B26">
        <v>379189752</v>
      </c>
      <c r="C26" s="2" t="s">
        <v>72</v>
      </c>
      <c r="D26" t="s">
        <v>15</v>
      </c>
      <c r="E26" s="4">
        <v>0</v>
      </c>
      <c r="F26" s="2">
        <v>0</v>
      </c>
      <c r="G26" s="2">
        <v>0</v>
      </c>
      <c r="I26" s="2" t="s">
        <v>73</v>
      </c>
      <c r="J26" s="2" t="s">
        <v>74</v>
      </c>
      <c r="K26" t="s">
        <v>18</v>
      </c>
      <c r="L26" t="str">
        <f>T("9791194978404")</f>
        <v>9791194978404</v>
      </c>
      <c r="M26" t="str">
        <f t="shared" si="0"/>
        <v/>
      </c>
      <c r="N26" t="s">
        <v>75</v>
      </c>
    </row>
    <row r="27" spans="1:14">
      <c r="A27" s="1">
        <v>46054.809305555558</v>
      </c>
      <c r="B27">
        <v>384954618</v>
      </c>
      <c r="C27" s="2" t="s">
        <v>76</v>
      </c>
      <c r="D27" t="s">
        <v>15</v>
      </c>
      <c r="E27" s="5">
        <v>1000</v>
      </c>
      <c r="F27" s="3">
        <v>1000</v>
      </c>
      <c r="G27" s="2">
        <v>700</v>
      </c>
      <c r="I27" s="2" t="s">
        <v>77</v>
      </c>
      <c r="J27" s="2" t="s">
        <v>21</v>
      </c>
      <c r="K27" t="s">
        <v>18</v>
      </c>
      <c r="L27" t="str">
        <f>T("9791175582477")</f>
        <v>9791175582477</v>
      </c>
      <c r="M27" t="str">
        <f t="shared" si="0"/>
        <v/>
      </c>
      <c r="N27" t="s">
        <v>78</v>
      </c>
    </row>
    <row r="28" spans="1:14">
      <c r="A28" s="1">
        <v>46054.81113425926</v>
      </c>
      <c r="B28">
        <v>319978610</v>
      </c>
      <c r="C28" s="2" t="s">
        <v>79</v>
      </c>
      <c r="D28" t="s">
        <v>68</v>
      </c>
      <c r="E28" s="4">
        <v>900</v>
      </c>
      <c r="F28" s="2">
        <v>900</v>
      </c>
      <c r="G28" s="2">
        <v>630</v>
      </c>
      <c r="I28" s="2" t="s">
        <v>69</v>
      </c>
      <c r="J28" s="2" t="s">
        <v>70</v>
      </c>
      <c r="K28" t="s">
        <v>18</v>
      </c>
      <c r="L28" t="str">
        <f>T("9791192729510")</f>
        <v>9791192729510</v>
      </c>
      <c r="M28" t="str">
        <f t="shared" si="0"/>
        <v/>
      </c>
      <c r="N28" t="s">
        <v>80</v>
      </c>
    </row>
    <row r="29" spans="1:14">
      <c r="A29" s="1">
        <v>46054.83152777778</v>
      </c>
      <c r="B29">
        <v>338184002</v>
      </c>
      <c r="C29" s="2" t="s">
        <v>81</v>
      </c>
      <c r="D29" t="s">
        <v>15</v>
      </c>
      <c r="E29" s="5">
        <v>1000</v>
      </c>
      <c r="F29" s="3">
        <v>1000</v>
      </c>
      <c r="G29" s="2">
        <v>700</v>
      </c>
      <c r="I29" s="2">
        <v>5353</v>
      </c>
      <c r="J29" s="2" t="s">
        <v>21</v>
      </c>
      <c r="K29" t="s">
        <v>18</v>
      </c>
      <c r="L29" t="str">
        <f>T("9791170896302")</f>
        <v>9791170896302</v>
      </c>
      <c r="M29" t="str">
        <f t="shared" si="0"/>
        <v/>
      </c>
      <c r="N29" t="s">
        <v>82</v>
      </c>
    </row>
    <row r="30" spans="1:14">
      <c r="A30" s="1">
        <v>46054.844710648147</v>
      </c>
      <c r="B30">
        <v>338183962</v>
      </c>
      <c r="C30" s="2" t="s">
        <v>83</v>
      </c>
      <c r="D30" t="s">
        <v>15</v>
      </c>
      <c r="E30" s="5">
        <v>1000</v>
      </c>
      <c r="F30" s="3">
        <v>1000</v>
      </c>
      <c r="G30" s="2">
        <v>700</v>
      </c>
      <c r="I30" s="2">
        <v>5353</v>
      </c>
      <c r="J30" s="2" t="s">
        <v>21</v>
      </c>
      <c r="K30" t="s">
        <v>18</v>
      </c>
      <c r="L30" t="str">
        <f>T("9791170896319")</f>
        <v>9791170896319</v>
      </c>
      <c r="M30" t="str">
        <f t="shared" si="0"/>
        <v/>
      </c>
      <c r="N30" t="s">
        <v>84</v>
      </c>
    </row>
    <row r="31" spans="1:14">
      <c r="A31" s="1">
        <v>46054.863715277781</v>
      </c>
      <c r="B31">
        <v>338596590</v>
      </c>
      <c r="C31" s="2" t="s">
        <v>85</v>
      </c>
      <c r="D31" t="s">
        <v>15</v>
      </c>
      <c r="E31" s="5">
        <v>1000</v>
      </c>
      <c r="F31" s="3">
        <v>1000</v>
      </c>
      <c r="G31" s="2">
        <v>700</v>
      </c>
      <c r="I31" s="2" t="s">
        <v>86</v>
      </c>
      <c r="J31" s="2" t="s">
        <v>21</v>
      </c>
      <c r="K31" t="s">
        <v>18</v>
      </c>
      <c r="L31" t="str">
        <f>T("9791170896494")</f>
        <v>9791170896494</v>
      </c>
      <c r="M31" t="str">
        <f t="shared" si="0"/>
        <v/>
      </c>
      <c r="N31" t="s">
        <v>87</v>
      </c>
    </row>
    <row r="32" spans="1:14">
      <c r="A32" s="1">
        <v>46054.903182870374</v>
      </c>
      <c r="B32">
        <v>294959404</v>
      </c>
      <c r="C32" s="2" t="s">
        <v>88</v>
      </c>
      <c r="D32" t="s">
        <v>15</v>
      </c>
      <c r="E32" s="5">
        <v>1000</v>
      </c>
      <c r="F32" s="3">
        <v>1000</v>
      </c>
      <c r="G32" s="2">
        <v>700</v>
      </c>
      <c r="I32" s="2" t="s">
        <v>89</v>
      </c>
      <c r="J32" s="2" t="s">
        <v>21</v>
      </c>
      <c r="K32" t="s">
        <v>18</v>
      </c>
      <c r="L32" t="str">
        <f>T("9791167832382")</f>
        <v>9791167832382</v>
      </c>
      <c r="M32" t="str">
        <f t="shared" si="0"/>
        <v/>
      </c>
    </row>
    <row r="33" spans="1:14">
      <c r="A33" s="1">
        <v>46054.92633101852</v>
      </c>
      <c r="B33">
        <v>379189671</v>
      </c>
      <c r="C33" s="2" t="s">
        <v>90</v>
      </c>
      <c r="D33" t="s">
        <v>15</v>
      </c>
      <c r="E33" s="5">
        <v>3200</v>
      </c>
      <c r="F33" s="3">
        <v>3200</v>
      </c>
      <c r="G33" s="3">
        <v>2240</v>
      </c>
      <c r="I33" s="2" t="s">
        <v>73</v>
      </c>
      <c r="J33" s="2" t="s">
        <v>74</v>
      </c>
      <c r="K33" t="s">
        <v>18</v>
      </c>
      <c r="L33" t="str">
        <f>T("9791194978411")</f>
        <v>9791194978411</v>
      </c>
      <c r="M33" t="str">
        <f t="shared" si="0"/>
        <v/>
      </c>
      <c r="N33" t="s">
        <v>91</v>
      </c>
    </row>
    <row r="34" spans="1:14">
      <c r="A34" s="1">
        <v>46054.92633101852</v>
      </c>
      <c r="B34">
        <v>379189675</v>
      </c>
      <c r="C34" s="2" t="s">
        <v>92</v>
      </c>
      <c r="D34" t="s">
        <v>15</v>
      </c>
      <c r="E34" s="5">
        <v>3200</v>
      </c>
      <c r="F34" s="3">
        <v>3200</v>
      </c>
      <c r="G34" s="3">
        <v>2240</v>
      </c>
      <c r="I34" s="2" t="s">
        <v>73</v>
      </c>
      <c r="J34" s="2" t="s">
        <v>74</v>
      </c>
      <c r="K34" t="s">
        <v>18</v>
      </c>
      <c r="L34" t="str">
        <f>T("9791194978466")</f>
        <v>9791194978466</v>
      </c>
      <c r="M34" t="str">
        <f t="shared" ref="M34:M65" si="1">T("")</f>
        <v/>
      </c>
      <c r="N34" t="s">
        <v>93</v>
      </c>
    </row>
    <row r="35" spans="1:14">
      <c r="A35" s="1">
        <v>46054.92633101852</v>
      </c>
      <c r="B35">
        <v>379189682</v>
      </c>
      <c r="C35" s="2" t="s">
        <v>94</v>
      </c>
      <c r="D35" t="s">
        <v>15</v>
      </c>
      <c r="E35" s="5">
        <v>3200</v>
      </c>
      <c r="F35" s="3">
        <v>3200</v>
      </c>
      <c r="G35" s="3">
        <v>2240</v>
      </c>
      <c r="I35" s="2" t="s">
        <v>73</v>
      </c>
      <c r="J35" s="2" t="s">
        <v>74</v>
      </c>
      <c r="K35" t="s">
        <v>18</v>
      </c>
      <c r="L35" t="str">
        <f>T("9791194978442")</f>
        <v>9791194978442</v>
      </c>
      <c r="M35" t="str">
        <f t="shared" si="1"/>
        <v/>
      </c>
      <c r="N35" t="s">
        <v>95</v>
      </c>
    </row>
    <row r="36" spans="1:14">
      <c r="A36" s="1">
        <v>46054.92633101852</v>
      </c>
      <c r="B36">
        <v>379189683</v>
      </c>
      <c r="C36" s="2" t="s">
        <v>96</v>
      </c>
      <c r="D36" t="s">
        <v>15</v>
      </c>
      <c r="E36" s="5">
        <v>3200</v>
      </c>
      <c r="F36" s="3">
        <v>3200</v>
      </c>
      <c r="G36" s="3">
        <v>2240</v>
      </c>
      <c r="I36" s="2" t="s">
        <v>73</v>
      </c>
      <c r="J36" s="2" t="s">
        <v>74</v>
      </c>
      <c r="K36" t="s">
        <v>18</v>
      </c>
      <c r="L36" t="str">
        <f>T("9791194978510")</f>
        <v>9791194978510</v>
      </c>
      <c r="M36" t="str">
        <f t="shared" si="1"/>
        <v/>
      </c>
      <c r="N36" t="s">
        <v>97</v>
      </c>
    </row>
    <row r="37" spans="1:14">
      <c r="A37" s="1">
        <v>46054.92633101852</v>
      </c>
      <c r="B37">
        <v>379189687</v>
      </c>
      <c r="C37" s="2" t="s">
        <v>98</v>
      </c>
      <c r="D37" t="s">
        <v>15</v>
      </c>
      <c r="E37" s="5">
        <v>3200</v>
      </c>
      <c r="F37" s="3">
        <v>3200</v>
      </c>
      <c r="G37" s="3">
        <v>2240</v>
      </c>
      <c r="I37" s="2" t="s">
        <v>73</v>
      </c>
      <c r="J37" s="2" t="s">
        <v>74</v>
      </c>
      <c r="K37" t="s">
        <v>18</v>
      </c>
      <c r="L37" t="str">
        <f>T("9791194978497")</f>
        <v>9791194978497</v>
      </c>
      <c r="M37" t="str">
        <f t="shared" si="1"/>
        <v/>
      </c>
      <c r="N37" t="s">
        <v>99</v>
      </c>
    </row>
    <row r="38" spans="1:14">
      <c r="A38" s="1">
        <v>46054.92633101852</v>
      </c>
      <c r="B38">
        <v>379189756</v>
      </c>
      <c r="C38" s="2" t="s">
        <v>100</v>
      </c>
      <c r="D38" t="s">
        <v>15</v>
      </c>
      <c r="E38" s="5">
        <v>3200</v>
      </c>
      <c r="F38" s="3">
        <v>3200</v>
      </c>
      <c r="G38" s="3">
        <v>2240</v>
      </c>
      <c r="I38" s="2" t="s">
        <v>73</v>
      </c>
      <c r="J38" s="2" t="s">
        <v>74</v>
      </c>
      <c r="K38" t="s">
        <v>18</v>
      </c>
      <c r="L38" t="str">
        <f>T("9791194978459")</f>
        <v>9791194978459</v>
      </c>
      <c r="M38" t="str">
        <f t="shared" si="1"/>
        <v/>
      </c>
      <c r="N38" t="s">
        <v>101</v>
      </c>
    </row>
    <row r="39" spans="1:14">
      <c r="A39" s="1">
        <v>46054.92633101852</v>
      </c>
      <c r="B39">
        <v>379189760</v>
      </c>
      <c r="C39" s="2" t="s">
        <v>102</v>
      </c>
      <c r="D39" t="s">
        <v>15</v>
      </c>
      <c r="E39" s="5">
        <v>3200</v>
      </c>
      <c r="F39" s="3">
        <v>3200</v>
      </c>
      <c r="G39" s="3">
        <v>2240</v>
      </c>
      <c r="I39" s="2" t="s">
        <v>73</v>
      </c>
      <c r="J39" s="2" t="s">
        <v>74</v>
      </c>
      <c r="K39" t="s">
        <v>18</v>
      </c>
      <c r="L39" t="str">
        <f>T("9791194978503")</f>
        <v>9791194978503</v>
      </c>
      <c r="M39" t="str">
        <f t="shared" si="1"/>
        <v/>
      </c>
      <c r="N39" t="s">
        <v>103</v>
      </c>
    </row>
    <row r="40" spans="1:14">
      <c r="A40" s="1">
        <v>46054.92633101852</v>
      </c>
      <c r="B40">
        <v>379189781</v>
      </c>
      <c r="C40" s="2" t="s">
        <v>104</v>
      </c>
      <c r="D40" t="s">
        <v>15</v>
      </c>
      <c r="E40" s="5">
        <v>3200</v>
      </c>
      <c r="F40" s="3">
        <v>3200</v>
      </c>
      <c r="G40" s="3">
        <v>2240</v>
      </c>
      <c r="I40" s="2" t="s">
        <v>73</v>
      </c>
      <c r="J40" s="2" t="s">
        <v>74</v>
      </c>
      <c r="K40" t="s">
        <v>18</v>
      </c>
      <c r="L40" t="str">
        <f>T("9791194978428")</f>
        <v>9791194978428</v>
      </c>
      <c r="M40" t="str">
        <f t="shared" si="1"/>
        <v/>
      </c>
      <c r="N40" t="s">
        <v>105</v>
      </c>
    </row>
    <row r="41" spans="1:14">
      <c r="A41" s="1">
        <v>46054.92633101852</v>
      </c>
      <c r="B41">
        <v>379189789</v>
      </c>
      <c r="C41" s="2" t="s">
        <v>106</v>
      </c>
      <c r="D41" t="s">
        <v>15</v>
      </c>
      <c r="E41" s="5">
        <v>3200</v>
      </c>
      <c r="F41" s="3">
        <v>3200</v>
      </c>
      <c r="G41" s="3">
        <v>2240</v>
      </c>
      <c r="I41" s="2" t="s">
        <v>73</v>
      </c>
      <c r="J41" s="2" t="s">
        <v>74</v>
      </c>
      <c r="K41" t="s">
        <v>18</v>
      </c>
      <c r="L41" t="str">
        <f>T("9791194978473")</f>
        <v>9791194978473</v>
      </c>
      <c r="M41" t="str">
        <f t="shared" si="1"/>
        <v/>
      </c>
      <c r="N41" t="s">
        <v>107</v>
      </c>
    </row>
    <row r="42" spans="1:14">
      <c r="A42" s="1">
        <v>46054.92633101852</v>
      </c>
      <c r="B42">
        <v>379189793</v>
      </c>
      <c r="C42" s="2" t="s">
        <v>108</v>
      </c>
      <c r="D42" t="s">
        <v>15</v>
      </c>
      <c r="E42" s="5">
        <v>3200</v>
      </c>
      <c r="F42" s="3">
        <v>3200</v>
      </c>
      <c r="G42" s="3">
        <v>2240</v>
      </c>
      <c r="I42" s="2" t="s">
        <v>73</v>
      </c>
      <c r="J42" s="2" t="s">
        <v>74</v>
      </c>
      <c r="K42" t="s">
        <v>18</v>
      </c>
      <c r="L42" t="str">
        <f>T("9791194978527")</f>
        <v>9791194978527</v>
      </c>
      <c r="M42" t="str">
        <f t="shared" si="1"/>
        <v/>
      </c>
      <c r="N42" t="s">
        <v>109</v>
      </c>
    </row>
    <row r="43" spans="1:14">
      <c r="A43" s="1">
        <v>46054.92633101852</v>
      </c>
      <c r="B43">
        <v>379189808</v>
      </c>
      <c r="C43" s="2" t="s">
        <v>110</v>
      </c>
      <c r="D43" t="s">
        <v>15</v>
      </c>
      <c r="E43" s="5">
        <v>3200</v>
      </c>
      <c r="F43" s="3">
        <v>3200</v>
      </c>
      <c r="G43" s="3">
        <v>2240</v>
      </c>
      <c r="I43" s="2" t="s">
        <v>73</v>
      </c>
      <c r="J43" s="2" t="s">
        <v>74</v>
      </c>
      <c r="K43" t="s">
        <v>18</v>
      </c>
      <c r="L43" t="str">
        <f>T("9791194978435")</f>
        <v>9791194978435</v>
      </c>
      <c r="M43" t="str">
        <f t="shared" si="1"/>
        <v/>
      </c>
      <c r="N43" t="s">
        <v>111</v>
      </c>
    </row>
    <row r="44" spans="1:14">
      <c r="A44" s="1">
        <v>46054.92633101852</v>
      </c>
      <c r="B44">
        <v>379189813</v>
      </c>
      <c r="C44" s="2" t="s">
        <v>112</v>
      </c>
      <c r="D44" t="s">
        <v>15</v>
      </c>
      <c r="E44" s="5">
        <v>3200</v>
      </c>
      <c r="F44" s="3">
        <v>3200</v>
      </c>
      <c r="G44" s="3">
        <v>2240</v>
      </c>
      <c r="I44" s="2" t="s">
        <v>73</v>
      </c>
      <c r="J44" s="2" t="s">
        <v>74</v>
      </c>
      <c r="K44" t="s">
        <v>18</v>
      </c>
      <c r="L44" t="str">
        <f>T("9791194978480")</f>
        <v>9791194978480</v>
      </c>
      <c r="M44" t="str">
        <f t="shared" si="1"/>
        <v/>
      </c>
      <c r="N44" t="s">
        <v>113</v>
      </c>
    </row>
    <row r="45" spans="1:14">
      <c r="A45" s="1">
        <v>46054.92633101852</v>
      </c>
      <c r="B45">
        <v>379189819</v>
      </c>
      <c r="C45" s="2" t="s">
        <v>114</v>
      </c>
      <c r="D45" t="s">
        <v>15</v>
      </c>
      <c r="E45" s="5">
        <v>3200</v>
      </c>
      <c r="F45" s="3">
        <v>3200</v>
      </c>
      <c r="G45" s="3">
        <v>2240</v>
      </c>
      <c r="I45" s="2" t="s">
        <v>73</v>
      </c>
      <c r="J45" s="2" t="s">
        <v>74</v>
      </c>
      <c r="K45" t="s">
        <v>18</v>
      </c>
      <c r="L45" t="str">
        <f>T("9791194978534")</f>
        <v>9791194978534</v>
      </c>
      <c r="M45" t="str">
        <f t="shared" si="1"/>
        <v/>
      </c>
      <c r="N45" t="s">
        <v>115</v>
      </c>
    </row>
    <row r="46" spans="1:14">
      <c r="A46" s="1">
        <v>46054.939826388887</v>
      </c>
      <c r="B46">
        <v>194787278</v>
      </c>
      <c r="C46" s="2" t="s">
        <v>116</v>
      </c>
      <c r="D46" t="s">
        <v>15</v>
      </c>
      <c r="E46" s="5">
        <v>3000</v>
      </c>
      <c r="F46" s="3">
        <v>2700</v>
      </c>
      <c r="G46" s="3">
        <v>1890</v>
      </c>
      <c r="I46" s="2" t="s">
        <v>117</v>
      </c>
      <c r="J46" s="2" t="s">
        <v>65</v>
      </c>
      <c r="K46" t="s">
        <v>18</v>
      </c>
      <c r="L46" t="str">
        <f>T("9791162587768")</f>
        <v>9791162587768</v>
      </c>
      <c r="M46" t="str">
        <f t="shared" si="1"/>
        <v/>
      </c>
    </row>
    <row r="47" spans="1:14">
      <c r="A47" s="1">
        <v>46054.939826388887</v>
      </c>
      <c r="B47">
        <v>194787279</v>
      </c>
      <c r="C47" s="2" t="s">
        <v>118</v>
      </c>
      <c r="D47" t="s">
        <v>15</v>
      </c>
      <c r="E47" s="5">
        <v>3000</v>
      </c>
      <c r="F47" s="3">
        <v>2700</v>
      </c>
      <c r="G47" s="3">
        <v>1890</v>
      </c>
      <c r="I47" s="2" t="s">
        <v>117</v>
      </c>
      <c r="J47" s="2" t="s">
        <v>65</v>
      </c>
      <c r="K47" t="s">
        <v>18</v>
      </c>
      <c r="L47" t="str">
        <f>T("9791162587751")</f>
        <v>9791162587751</v>
      </c>
      <c r="M47" t="str">
        <f t="shared" si="1"/>
        <v/>
      </c>
    </row>
    <row r="48" spans="1:14">
      <c r="A48" s="1">
        <v>46054.939826388887</v>
      </c>
      <c r="B48">
        <v>194787281</v>
      </c>
      <c r="C48" s="2" t="s">
        <v>119</v>
      </c>
      <c r="D48" t="s">
        <v>15</v>
      </c>
      <c r="E48" s="5">
        <v>3000</v>
      </c>
      <c r="F48" s="3">
        <v>2700</v>
      </c>
      <c r="G48" s="3">
        <v>1890</v>
      </c>
      <c r="I48" s="2" t="s">
        <v>117</v>
      </c>
      <c r="J48" s="2" t="s">
        <v>65</v>
      </c>
      <c r="K48" t="s">
        <v>18</v>
      </c>
      <c r="L48" t="str">
        <f>T("9791162587744")</f>
        <v>9791162587744</v>
      </c>
      <c r="M48" t="str">
        <f t="shared" si="1"/>
        <v/>
      </c>
    </row>
    <row r="49" spans="1:14">
      <c r="A49" s="1">
        <v>46054.939826388887</v>
      </c>
      <c r="B49">
        <v>194787282</v>
      </c>
      <c r="C49" s="2" t="s">
        <v>120</v>
      </c>
      <c r="D49" t="s">
        <v>15</v>
      </c>
      <c r="E49" s="5">
        <v>3000</v>
      </c>
      <c r="F49" s="3">
        <v>2700</v>
      </c>
      <c r="G49" s="3">
        <v>1890</v>
      </c>
      <c r="I49" s="2" t="s">
        <v>117</v>
      </c>
      <c r="J49" s="2" t="s">
        <v>65</v>
      </c>
      <c r="K49" t="s">
        <v>18</v>
      </c>
      <c r="L49" t="str">
        <f>T("9791162587737")</f>
        <v>9791162587737</v>
      </c>
      <c r="M49" t="str">
        <f t="shared" si="1"/>
        <v/>
      </c>
    </row>
    <row r="50" spans="1:14">
      <c r="A50" s="1">
        <v>46054.939826388887</v>
      </c>
      <c r="B50">
        <v>194787283</v>
      </c>
      <c r="C50" s="2" t="s">
        <v>121</v>
      </c>
      <c r="D50" t="s">
        <v>15</v>
      </c>
      <c r="E50" s="5">
        <v>3000</v>
      </c>
      <c r="F50" s="3">
        <v>2700</v>
      </c>
      <c r="G50" s="3">
        <v>1890</v>
      </c>
      <c r="I50" s="2" t="s">
        <v>117</v>
      </c>
      <c r="J50" s="2" t="s">
        <v>65</v>
      </c>
      <c r="K50" t="s">
        <v>18</v>
      </c>
      <c r="L50" t="str">
        <f>T("9791162587720")</f>
        <v>9791162587720</v>
      </c>
      <c r="M50" t="str">
        <f t="shared" si="1"/>
        <v/>
      </c>
    </row>
    <row r="51" spans="1:14">
      <c r="A51" s="1">
        <v>46054.939826388887</v>
      </c>
      <c r="B51">
        <v>194787284</v>
      </c>
      <c r="C51" s="2" t="s">
        <v>122</v>
      </c>
      <c r="D51" t="s">
        <v>15</v>
      </c>
      <c r="E51" s="5">
        <v>3000</v>
      </c>
      <c r="F51" s="3">
        <v>2700</v>
      </c>
      <c r="G51" s="3">
        <v>1890</v>
      </c>
      <c r="I51" s="2" t="s">
        <v>117</v>
      </c>
      <c r="J51" s="2" t="s">
        <v>65</v>
      </c>
      <c r="K51" t="s">
        <v>18</v>
      </c>
      <c r="L51" t="str">
        <f>T("9791162587713")</f>
        <v>9791162587713</v>
      </c>
      <c r="M51" t="str">
        <f t="shared" si="1"/>
        <v/>
      </c>
    </row>
    <row r="52" spans="1:14">
      <c r="A52" s="1">
        <v>46054.939826388887</v>
      </c>
      <c r="B52">
        <v>194787285</v>
      </c>
      <c r="C52" s="2" t="s">
        <v>123</v>
      </c>
      <c r="D52" t="s">
        <v>15</v>
      </c>
      <c r="E52" s="5">
        <v>3000</v>
      </c>
      <c r="F52" s="3">
        <v>2700</v>
      </c>
      <c r="G52" s="3">
        <v>1890</v>
      </c>
      <c r="I52" s="2" t="s">
        <v>117</v>
      </c>
      <c r="J52" s="2" t="s">
        <v>65</v>
      </c>
      <c r="K52" t="s">
        <v>18</v>
      </c>
      <c r="L52" t="str">
        <f>T("9791162587706")</f>
        <v>9791162587706</v>
      </c>
      <c r="M52" t="str">
        <f t="shared" si="1"/>
        <v/>
      </c>
    </row>
    <row r="53" spans="1:14">
      <c r="A53" s="1">
        <v>46054.942916666667</v>
      </c>
      <c r="B53">
        <v>383429169</v>
      </c>
      <c r="C53" s="2" t="s">
        <v>124</v>
      </c>
      <c r="D53" t="s">
        <v>15</v>
      </c>
      <c r="E53" s="5">
        <v>9900</v>
      </c>
      <c r="F53" s="3">
        <v>9900</v>
      </c>
      <c r="G53" s="3">
        <v>6930</v>
      </c>
      <c r="I53" s="2" t="s">
        <v>125</v>
      </c>
      <c r="J53" s="2" t="s">
        <v>126</v>
      </c>
      <c r="K53" t="s">
        <v>18</v>
      </c>
      <c r="L53" t="str">
        <f>T("9791164976898")</f>
        <v>9791164976898</v>
      </c>
      <c r="M53" t="str">
        <f t="shared" si="1"/>
        <v/>
      </c>
    </row>
    <row r="54" spans="1:14">
      <c r="A54" s="1">
        <v>46054.944004629629</v>
      </c>
      <c r="B54">
        <v>377161843</v>
      </c>
      <c r="C54" s="2" t="s">
        <v>127</v>
      </c>
      <c r="D54" t="s">
        <v>15</v>
      </c>
      <c r="E54" s="5">
        <v>1000</v>
      </c>
      <c r="F54" s="3">
        <v>1000</v>
      </c>
      <c r="G54" s="2">
        <v>700</v>
      </c>
      <c r="I54" s="2" t="s">
        <v>128</v>
      </c>
      <c r="J54" s="2" t="s">
        <v>21</v>
      </c>
      <c r="K54" t="s">
        <v>18</v>
      </c>
      <c r="L54" t="str">
        <f>T("9791173019340")</f>
        <v>9791173019340</v>
      </c>
      <c r="M54" t="str">
        <f t="shared" si="1"/>
        <v/>
      </c>
      <c r="N54" t="s">
        <v>129</v>
      </c>
    </row>
    <row r="55" spans="1:14">
      <c r="A55" s="1">
        <v>46054.944004629629</v>
      </c>
      <c r="B55">
        <v>332557216</v>
      </c>
      <c r="C55" s="2" t="s">
        <v>130</v>
      </c>
      <c r="D55" t="s">
        <v>15</v>
      </c>
      <c r="E55" s="5">
        <v>1000</v>
      </c>
      <c r="F55" s="3">
        <v>1000</v>
      </c>
      <c r="G55" s="2">
        <v>700</v>
      </c>
      <c r="I55" s="2" t="s">
        <v>28</v>
      </c>
      <c r="J55" s="2" t="s">
        <v>21</v>
      </c>
      <c r="K55" t="s">
        <v>18</v>
      </c>
      <c r="L55" t="str">
        <f>T("9791170894193")</f>
        <v>9791170894193</v>
      </c>
      <c r="M55" t="str">
        <f t="shared" si="1"/>
        <v/>
      </c>
      <c r="N55" t="s">
        <v>131</v>
      </c>
    </row>
    <row r="56" spans="1:14">
      <c r="A56" s="1">
        <v>46054.947696759256</v>
      </c>
      <c r="B56">
        <v>277935539</v>
      </c>
      <c r="C56" s="2" t="s">
        <v>132</v>
      </c>
      <c r="D56" t="s">
        <v>15</v>
      </c>
      <c r="E56" s="4">
        <v>100</v>
      </c>
      <c r="F56" s="2">
        <v>100</v>
      </c>
      <c r="G56" s="2">
        <v>70</v>
      </c>
      <c r="I56" s="2" t="s">
        <v>64</v>
      </c>
      <c r="J56" s="2" t="s">
        <v>65</v>
      </c>
      <c r="K56" t="s">
        <v>18</v>
      </c>
      <c r="L56" t="str">
        <f>T("9791162589724")</f>
        <v>9791162589724</v>
      </c>
      <c r="M56" t="str">
        <f t="shared" si="1"/>
        <v/>
      </c>
      <c r="N56" t="s">
        <v>133</v>
      </c>
    </row>
    <row r="57" spans="1:14">
      <c r="A57" s="1">
        <v>46054.948009259257</v>
      </c>
      <c r="B57">
        <v>277935539</v>
      </c>
      <c r="C57" s="2" t="s">
        <v>132</v>
      </c>
      <c r="D57" t="s">
        <v>15</v>
      </c>
      <c r="E57" s="4">
        <v>-100</v>
      </c>
      <c r="F57" s="2">
        <v>-100</v>
      </c>
      <c r="G57" s="2">
        <v>-70</v>
      </c>
      <c r="H57" s="1">
        <v>46054.947696759256</v>
      </c>
      <c r="I57" s="2" t="s">
        <v>64</v>
      </c>
      <c r="J57" s="2" t="s">
        <v>65</v>
      </c>
      <c r="K57" t="s">
        <v>18</v>
      </c>
      <c r="L57" t="str">
        <f>T("9791162589724")</f>
        <v>9791162589724</v>
      </c>
      <c r="M57" t="str">
        <f t="shared" si="1"/>
        <v/>
      </c>
      <c r="N57" t="s">
        <v>133</v>
      </c>
    </row>
    <row r="58" spans="1:14">
      <c r="A58" s="1">
        <v>46054.948819444442</v>
      </c>
      <c r="B58">
        <v>277935539</v>
      </c>
      <c r="C58" s="2" t="s">
        <v>132</v>
      </c>
      <c r="D58" t="s">
        <v>15</v>
      </c>
      <c r="E58" s="4">
        <v>100</v>
      </c>
      <c r="F58" s="2">
        <v>100</v>
      </c>
      <c r="G58" s="2">
        <v>70</v>
      </c>
      <c r="I58" s="2" t="s">
        <v>64</v>
      </c>
      <c r="J58" s="2" t="s">
        <v>65</v>
      </c>
      <c r="K58" t="s">
        <v>18</v>
      </c>
      <c r="L58" t="str">
        <f>T("9791162589724")</f>
        <v>9791162589724</v>
      </c>
      <c r="M58" t="str">
        <f t="shared" si="1"/>
        <v/>
      </c>
      <c r="N58" t="s">
        <v>133</v>
      </c>
    </row>
    <row r="59" spans="1:14">
      <c r="A59" s="1">
        <v>46054.965532407405</v>
      </c>
      <c r="B59">
        <v>370130022</v>
      </c>
      <c r="C59" s="2" t="s">
        <v>134</v>
      </c>
      <c r="D59" t="s">
        <v>15</v>
      </c>
      <c r="E59" s="5">
        <v>3600</v>
      </c>
      <c r="F59" s="3">
        <v>3600</v>
      </c>
      <c r="G59" s="3">
        <v>2520</v>
      </c>
      <c r="I59" s="2" t="s">
        <v>135</v>
      </c>
      <c r="J59" s="2" t="s">
        <v>65</v>
      </c>
      <c r="K59" t="s">
        <v>18</v>
      </c>
      <c r="L59" t="str">
        <f>T("9791137010239")</f>
        <v>9791137010239</v>
      </c>
      <c r="M59" t="str">
        <f t="shared" si="1"/>
        <v/>
      </c>
      <c r="N59" t="s">
        <v>136</v>
      </c>
    </row>
    <row r="60" spans="1:14">
      <c r="A60" s="1">
        <v>46054.97079861111</v>
      </c>
      <c r="B60">
        <v>382626246</v>
      </c>
      <c r="C60" s="2" t="s">
        <v>137</v>
      </c>
      <c r="D60" t="s">
        <v>15</v>
      </c>
      <c r="E60" s="5">
        <v>1000</v>
      </c>
      <c r="F60" s="3">
        <v>1000</v>
      </c>
      <c r="G60" s="2">
        <v>700</v>
      </c>
      <c r="I60" s="2" t="s">
        <v>28</v>
      </c>
      <c r="J60" s="2" t="s">
        <v>21</v>
      </c>
      <c r="K60" t="s">
        <v>18</v>
      </c>
      <c r="L60" t="str">
        <f>T("9791175581753")</f>
        <v>9791175581753</v>
      </c>
      <c r="M60" t="str">
        <f t="shared" si="1"/>
        <v/>
      </c>
      <c r="N60" t="s">
        <v>138</v>
      </c>
    </row>
    <row r="61" spans="1:14">
      <c r="A61" s="1">
        <v>46054.971041666664</v>
      </c>
      <c r="B61">
        <v>382626246</v>
      </c>
      <c r="C61" s="2" t="s">
        <v>137</v>
      </c>
      <c r="D61" t="s">
        <v>15</v>
      </c>
      <c r="E61" s="5">
        <v>-1000</v>
      </c>
      <c r="F61" s="3">
        <v>-1000</v>
      </c>
      <c r="G61" s="2">
        <v>-700</v>
      </c>
      <c r="H61" s="1">
        <v>46054.97079861111</v>
      </c>
      <c r="I61" s="2" t="s">
        <v>28</v>
      </c>
      <c r="J61" s="2" t="s">
        <v>21</v>
      </c>
      <c r="K61" t="s">
        <v>18</v>
      </c>
      <c r="L61" t="str">
        <f>T("9791175581753")</f>
        <v>9791175581753</v>
      </c>
      <c r="M61" t="str">
        <f t="shared" si="1"/>
        <v/>
      </c>
      <c r="N61" t="s">
        <v>138</v>
      </c>
    </row>
    <row r="62" spans="1:14">
      <c r="A62" s="1">
        <v>46054.97446759259</v>
      </c>
      <c r="B62">
        <v>383435421</v>
      </c>
      <c r="C62" s="2" t="s">
        <v>27</v>
      </c>
      <c r="D62" t="s">
        <v>15</v>
      </c>
      <c r="E62" s="5">
        <v>1000</v>
      </c>
      <c r="F62" s="3">
        <v>1000</v>
      </c>
      <c r="G62" s="2">
        <v>700</v>
      </c>
      <c r="I62" s="2" t="s">
        <v>28</v>
      </c>
      <c r="J62" s="2" t="s">
        <v>21</v>
      </c>
      <c r="K62" t="s">
        <v>18</v>
      </c>
      <c r="L62" t="str">
        <f>T("9791175582361")</f>
        <v>9791175582361</v>
      </c>
      <c r="M62" t="str">
        <f t="shared" si="1"/>
        <v/>
      </c>
      <c r="N62" t="s">
        <v>29</v>
      </c>
    </row>
    <row r="63" spans="1:14">
      <c r="A63" s="1">
        <v>46054.97446759259</v>
      </c>
      <c r="B63">
        <v>379527571</v>
      </c>
      <c r="C63" s="2" t="s">
        <v>139</v>
      </c>
      <c r="D63" t="s">
        <v>15</v>
      </c>
      <c r="E63" s="5">
        <v>1000</v>
      </c>
      <c r="F63" s="3">
        <v>1000</v>
      </c>
      <c r="G63" s="2">
        <v>700</v>
      </c>
      <c r="I63" s="2" t="s">
        <v>28</v>
      </c>
      <c r="J63" s="2" t="s">
        <v>21</v>
      </c>
      <c r="K63" t="s">
        <v>18</v>
      </c>
      <c r="L63" t="str">
        <f>T("9791175580626")</f>
        <v>9791175580626</v>
      </c>
      <c r="M63" t="str">
        <f t="shared" si="1"/>
        <v/>
      </c>
      <c r="N63" t="s">
        <v>140</v>
      </c>
    </row>
    <row r="64" spans="1:14">
      <c r="A64" s="1">
        <v>46054.97446759259</v>
      </c>
      <c r="B64">
        <v>384623949</v>
      </c>
      <c r="C64" s="2" t="s">
        <v>141</v>
      </c>
      <c r="D64" t="s">
        <v>15</v>
      </c>
      <c r="E64" s="5">
        <v>1000</v>
      </c>
      <c r="F64" s="3">
        <v>1000</v>
      </c>
      <c r="G64" s="2">
        <v>700</v>
      </c>
      <c r="I64" s="2" t="s">
        <v>142</v>
      </c>
      <c r="J64" s="2" t="s">
        <v>21</v>
      </c>
      <c r="K64" t="s">
        <v>18</v>
      </c>
      <c r="L64" t="str">
        <f>T("9791175582347")</f>
        <v>9791175582347</v>
      </c>
      <c r="M64" t="str">
        <f t="shared" si="1"/>
        <v/>
      </c>
      <c r="N64" t="s">
        <v>143</v>
      </c>
    </row>
    <row r="65" spans="1:14">
      <c r="A65" s="1">
        <v>46054.981006944443</v>
      </c>
      <c r="B65">
        <v>370614445</v>
      </c>
      <c r="C65" s="2" t="s">
        <v>144</v>
      </c>
      <c r="D65" t="s">
        <v>15</v>
      </c>
      <c r="E65" s="5">
        <v>3000</v>
      </c>
      <c r="F65" s="3">
        <v>3000</v>
      </c>
      <c r="G65" s="3">
        <v>2100</v>
      </c>
      <c r="I65" s="2" t="s">
        <v>145</v>
      </c>
      <c r="J65" s="2" t="s">
        <v>65</v>
      </c>
      <c r="K65" t="s">
        <v>18</v>
      </c>
      <c r="L65" t="str">
        <f>T("9791137023567")</f>
        <v>9791137023567</v>
      </c>
      <c r="M65" t="str">
        <f t="shared" si="1"/>
        <v/>
      </c>
      <c r="N65" t="s">
        <v>146</v>
      </c>
    </row>
    <row r="66" spans="1:14">
      <c r="A66" s="1">
        <v>46055.004386574074</v>
      </c>
      <c r="B66">
        <v>372487137</v>
      </c>
      <c r="C66" s="2" t="s">
        <v>147</v>
      </c>
      <c r="D66" t="s">
        <v>15</v>
      </c>
      <c r="E66" s="5">
        <v>1000</v>
      </c>
      <c r="F66" s="3">
        <v>1000</v>
      </c>
      <c r="G66" s="2">
        <v>700</v>
      </c>
      <c r="I66" s="2" t="s">
        <v>148</v>
      </c>
      <c r="J66" s="2" t="s">
        <v>21</v>
      </c>
      <c r="K66" t="s">
        <v>18</v>
      </c>
      <c r="L66" t="str">
        <f>T("9791173017797")</f>
        <v>9791173017797</v>
      </c>
      <c r="M66" t="str">
        <f t="shared" ref="M66:M97" si="2">T("")</f>
        <v/>
      </c>
      <c r="N66" t="s">
        <v>149</v>
      </c>
    </row>
    <row r="67" spans="1:14">
      <c r="A67" s="1">
        <v>46055.004386574074</v>
      </c>
      <c r="B67">
        <v>379527576</v>
      </c>
      <c r="C67" s="2" t="s">
        <v>150</v>
      </c>
      <c r="D67" t="s">
        <v>15</v>
      </c>
      <c r="E67" s="5">
        <v>1000</v>
      </c>
      <c r="F67" s="3">
        <v>1000</v>
      </c>
      <c r="G67" s="2">
        <v>700</v>
      </c>
      <c r="I67" s="2" t="s">
        <v>148</v>
      </c>
      <c r="J67" s="2" t="s">
        <v>21</v>
      </c>
      <c r="K67" t="s">
        <v>18</v>
      </c>
      <c r="L67" t="str">
        <f>T("9791175580541")</f>
        <v>9791175580541</v>
      </c>
      <c r="M67" t="str">
        <f t="shared" si="2"/>
        <v/>
      </c>
      <c r="N67" t="s">
        <v>151</v>
      </c>
    </row>
    <row r="68" spans="1:14">
      <c r="A68" s="1">
        <v>46055.004386574074</v>
      </c>
      <c r="B68">
        <v>382626257</v>
      </c>
      <c r="C68" s="2" t="s">
        <v>152</v>
      </c>
      <c r="D68" t="s">
        <v>15</v>
      </c>
      <c r="E68" s="5">
        <v>1000</v>
      </c>
      <c r="F68" s="3">
        <v>1000</v>
      </c>
      <c r="G68" s="2">
        <v>700</v>
      </c>
      <c r="I68" s="2" t="s">
        <v>148</v>
      </c>
      <c r="J68" s="2" t="s">
        <v>21</v>
      </c>
      <c r="K68" t="s">
        <v>18</v>
      </c>
      <c r="L68" t="str">
        <f>T("9791175581906")</f>
        <v>9791175581906</v>
      </c>
      <c r="M68" t="str">
        <f t="shared" si="2"/>
        <v/>
      </c>
      <c r="N68" t="s">
        <v>153</v>
      </c>
    </row>
    <row r="69" spans="1:14">
      <c r="A69" s="1">
        <v>46055.004386574074</v>
      </c>
      <c r="B69">
        <v>357992780</v>
      </c>
      <c r="C69" s="2" t="s">
        <v>154</v>
      </c>
      <c r="D69" t="s">
        <v>15</v>
      </c>
      <c r="E69" s="5">
        <v>1200</v>
      </c>
      <c r="F69" s="3">
        <v>1200</v>
      </c>
      <c r="G69" s="2">
        <v>840</v>
      </c>
      <c r="I69" s="2" t="s">
        <v>148</v>
      </c>
      <c r="J69" s="2" t="s">
        <v>21</v>
      </c>
      <c r="K69" t="s">
        <v>18</v>
      </c>
      <c r="L69" t="str">
        <f>T("9791173012716")</f>
        <v>9791173012716</v>
      </c>
      <c r="M69" t="str">
        <f t="shared" si="2"/>
        <v/>
      </c>
      <c r="N69" t="s">
        <v>155</v>
      </c>
    </row>
    <row r="70" spans="1:14">
      <c r="A70" s="1">
        <v>46055.004386574074</v>
      </c>
      <c r="B70">
        <v>366699561</v>
      </c>
      <c r="C70" s="2" t="s">
        <v>156</v>
      </c>
      <c r="D70" t="s">
        <v>15</v>
      </c>
      <c r="E70" s="5">
        <v>1100</v>
      </c>
      <c r="F70" s="3">
        <v>1100</v>
      </c>
      <c r="G70" s="2">
        <v>770</v>
      </c>
      <c r="I70" s="2" t="s">
        <v>148</v>
      </c>
      <c r="J70" s="2" t="s">
        <v>21</v>
      </c>
      <c r="K70" t="s">
        <v>18</v>
      </c>
      <c r="L70" t="str">
        <f>T("9791173015137")</f>
        <v>9791173015137</v>
      </c>
      <c r="M70" t="str">
        <f t="shared" si="2"/>
        <v/>
      </c>
      <c r="N70" t="s">
        <v>157</v>
      </c>
    </row>
    <row r="71" spans="1:14">
      <c r="A71" s="1">
        <v>46055.052499999998</v>
      </c>
      <c r="B71">
        <v>295075559</v>
      </c>
      <c r="C71" s="2" t="s">
        <v>158</v>
      </c>
      <c r="D71" t="s">
        <v>15</v>
      </c>
      <c r="E71" s="5">
        <v>1000</v>
      </c>
      <c r="F71" s="3">
        <v>1000</v>
      </c>
      <c r="G71" s="2">
        <v>700</v>
      </c>
      <c r="I71" s="2" t="s">
        <v>89</v>
      </c>
      <c r="J71" s="2" t="s">
        <v>21</v>
      </c>
      <c r="K71" t="s">
        <v>18</v>
      </c>
      <c r="L71" t="str">
        <f>T("9791167833143")</f>
        <v>9791167833143</v>
      </c>
      <c r="M71" t="str">
        <f t="shared" si="2"/>
        <v/>
      </c>
    </row>
    <row r="72" spans="1:14">
      <c r="A72" s="1">
        <v>46055.402800925927</v>
      </c>
      <c r="B72">
        <v>385347919</v>
      </c>
      <c r="C72" s="2" t="s">
        <v>159</v>
      </c>
      <c r="D72" t="s">
        <v>15</v>
      </c>
      <c r="E72" s="4">
        <v>0</v>
      </c>
      <c r="F72" s="2">
        <v>0</v>
      </c>
      <c r="G72" s="2">
        <v>0</v>
      </c>
      <c r="I72" s="2" t="s">
        <v>160</v>
      </c>
      <c r="J72" s="2" t="s">
        <v>161</v>
      </c>
      <c r="K72" t="s">
        <v>18</v>
      </c>
      <c r="L72" t="str">
        <f>T("9791173260254")</f>
        <v>9791173260254</v>
      </c>
      <c r="M72" t="str">
        <f t="shared" si="2"/>
        <v/>
      </c>
      <c r="N72" t="s">
        <v>162</v>
      </c>
    </row>
    <row r="73" spans="1:14">
      <c r="A73" s="1">
        <v>46055.424571759257</v>
      </c>
      <c r="B73">
        <v>385347919</v>
      </c>
      <c r="C73" s="2" t="s">
        <v>159</v>
      </c>
      <c r="D73" t="s">
        <v>15</v>
      </c>
      <c r="E73" s="4">
        <v>0</v>
      </c>
      <c r="F73" s="2">
        <v>0</v>
      </c>
      <c r="G73" s="2">
        <v>0</v>
      </c>
      <c r="I73" s="2" t="s">
        <v>160</v>
      </c>
      <c r="J73" s="2" t="s">
        <v>161</v>
      </c>
      <c r="K73" t="s">
        <v>18</v>
      </c>
      <c r="L73" t="str">
        <f>T("9791173260254")</f>
        <v>9791173260254</v>
      </c>
      <c r="M73" t="str">
        <f t="shared" si="2"/>
        <v/>
      </c>
      <c r="N73" t="s">
        <v>162</v>
      </c>
    </row>
    <row r="74" spans="1:14">
      <c r="A74" s="1">
        <v>46055.434236111112</v>
      </c>
      <c r="B74">
        <v>365291517</v>
      </c>
      <c r="C74" s="2" t="s">
        <v>163</v>
      </c>
      <c r="D74" t="s">
        <v>15</v>
      </c>
      <c r="E74" s="5">
        <v>1000</v>
      </c>
      <c r="F74" s="3">
        <v>1000</v>
      </c>
      <c r="G74" s="2">
        <v>700</v>
      </c>
      <c r="I74" s="2" t="s">
        <v>148</v>
      </c>
      <c r="J74" s="2" t="s">
        <v>21</v>
      </c>
      <c r="K74" t="s">
        <v>18</v>
      </c>
      <c r="L74" t="str">
        <f>T("9791173014130")</f>
        <v>9791173014130</v>
      </c>
      <c r="M74" t="str">
        <f t="shared" si="2"/>
        <v/>
      </c>
      <c r="N74" t="s">
        <v>164</v>
      </c>
    </row>
    <row r="75" spans="1:14">
      <c r="A75" s="1">
        <v>46055.437708333331</v>
      </c>
      <c r="B75">
        <v>385347919</v>
      </c>
      <c r="C75" s="2" t="s">
        <v>159</v>
      </c>
      <c r="D75" t="s">
        <v>15</v>
      </c>
      <c r="E75" s="4">
        <v>0</v>
      </c>
      <c r="F75" s="2">
        <v>0</v>
      </c>
      <c r="G75" s="2">
        <v>0</v>
      </c>
      <c r="I75" s="2" t="s">
        <v>160</v>
      </c>
      <c r="J75" s="2" t="s">
        <v>161</v>
      </c>
      <c r="K75" t="s">
        <v>18</v>
      </c>
      <c r="L75" t="str">
        <f>T("9791173260254")</f>
        <v>9791173260254</v>
      </c>
      <c r="M75" t="str">
        <f t="shared" si="2"/>
        <v/>
      </c>
      <c r="N75" t="s">
        <v>162</v>
      </c>
    </row>
    <row r="76" spans="1:14">
      <c r="A76" s="1">
        <v>46055.447523148148</v>
      </c>
      <c r="B76">
        <v>384954618</v>
      </c>
      <c r="C76" s="2" t="s">
        <v>76</v>
      </c>
      <c r="D76" t="s">
        <v>15</v>
      </c>
      <c r="E76" s="5">
        <v>1000</v>
      </c>
      <c r="F76" s="3">
        <v>1000</v>
      </c>
      <c r="G76" s="2">
        <v>700</v>
      </c>
      <c r="I76" s="2" t="s">
        <v>77</v>
      </c>
      <c r="J76" s="2" t="s">
        <v>21</v>
      </c>
      <c r="K76" t="s">
        <v>18</v>
      </c>
      <c r="L76" t="str">
        <f>T("9791175582477")</f>
        <v>9791175582477</v>
      </c>
      <c r="M76" t="str">
        <f t="shared" si="2"/>
        <v/>
      </c>
      <c r="N76" t="s">
        <v>78</v>
      </c>
    </row>
    <row r="77" spans="1:14">
      <c r="A77" s="1">
        <v>46055.447523148148</v>
      </c>
      <c r="B77">
        <v>356698733</v>
      </c>
      <c r="C77" s="2" t="s">
        <v>165</v>
      </c>
      <c r="D77" t="s">
        <v>15</v>
      </c>
      <c r="E77" s="5">
        <v>1000</v>
      </c>
      <c r="F77" s="3">
        <v>1000</v>
      </c>
      <c r="G77" s="2">
        <v>700</v>
      </c>
      <c r="I77" s="2" t="s">
        <v>166</v>
      </c>
      <c r="J77" s="2" t="s">
        <v>21</v>
      </c>
      <c r="K77" t="s">
        <v>18</v>
      </c>
      <c r="L77" t="str">
        <f>T("9791173013003")</f>
        <v>9791173013003</v>
      </c>
      <c r="M77" t="str">
        <f t="shared" si="2"/>
        <v/>
      </c>
      <c r="N77" t="s">
        <v>167</v>
      </c>
    </row>
    <row r="78" spans="1:14">
      <c r="A78" s="1">
        <v>46055.447523148148</v>
      </c>
      <c r="B78">
        <v>355155051</v>
      </c>
      <c r="C78" s="2" t="s">
        <v>168</v>
      </c>
      <c r="D78" t="s">
        <v>15</v>
      </c>
      <c r="E78" s="5">
        <v>1200</v>
      </c>
      <c r="F78" s="3">
        <v>1200</v>
      </c>
      <c r="G78" s="2">
        <v>840</v>
      </c>
      <c r="I78" s="2" t="s">
        <v>169</v>
      </c>
      <c r="J78" s="2" t="s">
        <v>21</v>
      </c>
      <c r="K78" t="s">
        <v>18</v>
      </c>
      <c r="L78" t="str">
        <f>T("9791173011139")</f>
        <v>9791173011139</v>
      </c>
      <c r="M78" t="str">
        <f t="shared" si="2"/>
        <v/>
      </c>
      <c r="N78" t="s">
        <v>170</v>
      </c>
    </row>
    <row r="79" spans="1:14">
      <c r="A79" s="1">
        <v>46055.447523148148</v>
      </c>
      <c r="B79">
        <v>368002805</v>
      </c>
      <c r="C79" s="2" t="s">
        <v>171</v>
      </c>
      <c r="D79" t="s">
        <v>15</v>
      </c>
      <c r="E79" s="5">
        <v>1000</v>
      </c>
      <c r="F79" s="3">
        <v>1000</v>
      </c>
      <c r="G79" s="2">
        <v>700</v>
      </c>
      <c r="I79" s="2" t="s">
        <v>166</v>
      </c>
      <c r="J79" s="2" t="s">
        <v>21</v>
      </c>
      <c r="K79" t="s">
        <v>18</v>
      </c>
      <c r="L79" t="str">
        <f>T("9791173015885")</f>
        <v>9791173015885</v>
      </c>
      <c r="M79" t="str">
        <f t="shared" si="2"/>
        <v/>
      </c>
      <c r="N79" t="s">
        <v>172</v>
      </c>
    </row>
    <row r="80" spans="1:14">
      <c r="A80" s="1">
        <v>46055.45412037037</v>
      </c>
      <c r="B80">
        <v>277935672</v>
      </c>
      <c r="C80" s="2" t="s">
        <v>173</v>
      </c>
      <c r="D80" t="s">
        <v>15</v>
      </c>
      <c r="E80" s="4">
        <v>100</v>
      </c>
      <c r="F80" s="2">
        <v>100</v>
      </c>
      <c r="G80" s="2">
        <v>70</v>
      </c>
      <c r="I80" s="2" t="s">
        <v>64</v>
      </c>
      <c r="J80" s="2" t="s">
        <v>65</v>
      </c>
      <c r="K80" t="s">
        <v>18</v>
      </c>
      <c r="L80" t="str">
        <f>T("9791162589724")</f>
        <v>9791162589724</v>
      </c>
      <c r="M80" t="str">
        <f t="shared" si="2"/>
        <v/>
      </c>
      <c r="N80" t="s">
        <v>174</v>
      </c>
    </row>
    <row r="81" spans="1:14">
      <c r="A81" s="1">
        <v>46055.464097222219</v>
      </c>
      <c r="B81">
        <v>298065899</v>
      </c>
      <c r="C81" s="2" t="s">
        <v>175</v>
      </c>
      <c r="D81" t="s">
        <v>15</v>
      </c>
      <c r="E81" s="5">
        <v>1000</v>
      </c>
      <c r="F81" s="3">
        <v>1000</v>
      </c>
      <c r="G81" s="2">
        <v>700</v>
      </c>
      <c r="I81" s="2" t="s">
        <v>176</v>
      </c>
      <c r="J81" s="2" t="s">
        <v>177</v>
      </c>
      <c r="K81" t="s">
        <v>18</v>
      </c>
      <c r="L81" t="str">
        <f>T("9791164796915")</f>
        <v>9791164796915</v>
      </c>
      <c r="M81" t="str">
        <f t="shared" si="2"/>
        <v/>
      </c>
      <c r="N81" t="s">
        <v>178</v>
      </c>
    </row>
    <row r="82" spans="1:14">
      <c r="A82" s="1">
        <v>46055.471493055556</v>
      </c>
      <c r="B82">
        <v>302552577</v>
      </c>
      <c r="C82" s="2" t="s">
        <v>179</v>
      </c>
      <c r="D82" t="s">
        <v>15</v>
      </c>
      <c r="E82" s="5">
        <v>1000</v>
      </c>
      <c r="F82" s="3">
        <v>1000</v>
      </c>
      <c r="G82" s="2">
        <v>700</v>
      </c>
      <c r="I82" s="2" t="s">
        <v>180</v>
      </c>
      <c r="J82" s="2" t="s">
        <v>21</v>
      </c>
      <c r="K82" t="s">
        <v>18</v>
      </c>
      <c r="L82" t="str">
        <f>T("9791167834454")</f>
        <v>9791167834454</v>
      </c>
      <c r="M82" t="str">
        <f t="shared" si="2"/>
        <v/>
      </c>
    </row>
    <row r="83" spans="1:14">
      <c r="A83" s="1">
        <v>46055.475462962961</v>
      </c>
      <c r="B83">
        <v>293957107</v>
      </c>
      <c r="C83" s="2" t="s">
        <v>181</v>
      </c>
      <c r="D83" t="s">
        <v>15</v>
      </c>
      <c r="E83" s="5">
        <v>1000</v>
      </c>
      <c r="F83" s="3">
        <v>1000</v>
      </c>
      <c r="G83" s="2">
        <v>700</v>
      </c>
      <c r="I83" s="2" t="s">
        <v>89</v>
      </c>
      <c r="J83" s="2" t="s">
        <v>21</v>
      </c>
      <c r="K83" t="s">
        <v>18</v>
      </c>
      <c r="L83" t="str">
        <f>T("9791167832092")</f>
        <v>9791167832092</v>
      </c>
      <c r="M83" t="str">
        <f t="shared" si="2"/>
        <v/>
      </c>
    </row>
    <row r="84" spans="1:14">
      <c r="A84" s="1">
        <v>46055.501805555556</v>
      </c>
      <c r="B84">
        <v>377093387</v>
      </c>
      <c r="C84" s="2" t="s">
        <v>182</v>
      </c>
      <c r="D84" t="s">
        <v>15</v>
      </c>
      <c r="E84" s="5">
        <v>3400</v>
      </c>
      <c r="F84" s="3">
        <v>3400</v>
      </c>
      <c r="G84" s="3">
        <v>2380</v>
      </c>
      <c r="I84" s="2" t="s">
        <v>183</v>
      </c>
      <c r="J84" s="2" t="s">
        <v>184</v>
      </c>
      <c r="K84" t="s">
        <v>18</v>
      </c>
      <c r="L84" t="str">
        <f>T("9791170965282")</f>
        <v>9791170965282</v>
      </c>
      <c r="M84" t="str">
        <f t="shared" si="2"/>
        <v/>
      </c>
      <c r="N84" t="s">
        <v>185</v>
      </c>
    </row>
    <row r="85" spans="1:14">
      <c r="A85" s="1">
        <v>46055.51085648148</v>
      </c>
      <c r="B85">
        <v>382626257</v>
      </c>
      <c r="C85" s="2" t="s">
        <v>152</v>
      </c>
      <c r="D85" t="s">
        <v>15</v>
      </c>
      <c r="E85" s="5">
        <v>1000</v>
      </c>
      <c r="F85" s="3">
        <v>1000</v>
      </c>
      <c r="G85" s="2">
        <v>700</v>
      </c>
      <c r="I85" s="2" t="s">
        <v>148</v>
      </c>
      <c r="J85" s="2" t="s">
        <v>21</v>
      </c>
      <c r="K85" t="s">
        <v>18</v>
      </c>
      <c r="L85" t="str">
        <f>T("9791175581906")</f>
        <v>9791175581906</v>
      </c>
      <c r="M85" t="str">
        <f t="shared" si="2"/>
        <v/>
      </c>
      <c r="N85" t="s">
        <v>153</v>
      </c>
    </row>
    <row r="86" spans="1:14">
      <c r="A86" s="1">
        <v>46055.513645833336</v>
      </c>
      <c r="B86">
        <v>385347715</v>
      </c>
      <c r="C86" s="2" t="s">
        <v>186</v>
      </c>
      <c r="D86" t="s">
        <v>15</v>
      </c>
      <c r="E86" s="5">
        <v>2000</v>
      </c>
      <c r="F86" s="3">
        <v>1800</v>
      </c>
      <c r="G86" s="3">
        <v>1260</v>
      </c>
      <c r="I86" s="2" t="s">
        <v>187</v>
      </c>
      <c r="J86" s="2" t="s">
        <v>188</v>
      </c>
      <c r="K86" t="s">
        <v>18</v>
      </c>
      <c r="L86" t="str">
        <f>T("9791164835362")</f>
        <v>9791164835362</v>
      </c>
      <c r="M86" t="str">
        <f t="shared" si="2"/>
        <v/>
      </c>
      <c r="N86" t="s">
        <v>189</v>
      </c>
    </row>
    <row r="87" spans="1:14">
      <c r="A87" s="1">
        <v>46055.518993055557</v>
      </c>
      <c r="B87">
        <v>333593016</v>
      </c>
      <c r="C87" s="2" t="s">
        <v>190</v>
      </c>
      <c r="D87" t="s">
        <v>15</v>
      </c>
      <c r="E87" s="5">
        <v>3300</v>
      </c>
      <c r="F87" s="3">
        <v>3300</v>
      </c>
      <c r="G87" s="3">
        <v>2310</v>
      </c>
      <c r="I87" s="2" t="s">
        <v>191</v>
      </c>
      <c r="J87" s="2" t="s">
        <v>188</v>
      </c>
      <c r="K87" t="s">
        <v>18</v>
      </c>
      <c r="L87" t="str">
        <f>T("9791164834129")</f>
        <v>9791164834129</v>
      </c>
      <c r="M87" t="str">
        <f t="shared" si="2"/>
        <v/>
      </c>
      <c r="N87" t="s">
        <v>192</v>
      </c>
    </row>
    <row r="88" spans="1:14">
      <c r="A88" s="1">
        <v>46055.519201388888</v>
      </c>
      <c r="B88">
        <v>379527587</v>
      </c>
      <c r="C88" s="2" t="s">
        <v>193</v>
      </c>
      <c r="D88" t="s">
        <v>15</v>
      </c>
      <c r="E88" s="5">
        <v>1000</v>
      </c>
      <c r="F88" s="3">
        <v>1000</v>
      </c>
      <c r="G88" s="2">
        <v>700</v>
      </c>
      <c r="I88" s="2" t="s">
        <v>148</v>
      </c>
      <c r="J88" s="2" t="s">
        <v>21</v>
      </c>
      <c r="K88" t="s">
        <v>18</v>
      </c>
      <c r="L88" t="str">
        <f>T("9791175580763")</f>
        <v>9791175580763</v>
      </c>
      <c r="M88" t="str">
        <f t="shared" si="2"/>
        <v/>
      </c>
      <c r="N88" t="s">
        <v>194</v>
      </c>
    </row>
    <row r="89" spans="1:14">
      <c r="A89" s="1">
        <v>46055.519583333335</v>
      </c>
      <c r="B89">
        <v>385347797</v>
      </c>
      <c r="C89" s="2" t="s">
        <v>195</v>
      </c>
      <c r="D89" t="s">
        <v>15</v>
      </c>
      <c r="E89" s="4">
        <v>700</v>
      </c>
      <c r="F89" s="2">
        <v>630</v>
      </c>
      <c r="G89" s="2">
        <v>441</v>
      </c>
      <c r="I89" s="2" t="s">
        <v>196</v>
      </c>
      <c r="J89" s="2" t="s">
        <v>197</v>
      </c>
      <c r="K89" t="s">
        <v>18</v>
      </c>
      <c r="L89" t="str">
        <f>T("9791172821937")</f>
        <v>9791172821937</v>
      </c>
      <c r="M89" t="str">
        <f t="shared" si="2"/>
        <v/>
      </c>
      <c r="N89" t="s">
        <v>198</v>
      </c>
    </row>
    <row r="90" spans="1:14">
      <c r="A90" s="1">
        <v>46055.524108796293</v>
      </c>
      <c r="B90">
        <v>385347715</v>
      </c>
      <c r="C90" s="2" t="s">
        <v>186</v>
      </c>
      <c r="D90" t="s">
        <v>15</v>
      </c>
      <c r="E90" s="5">
        <v>2000</v>
      </c>
      <c r="F90" s="3">
        <v>1800</v>
      </c>
      <c r="G90" s="3">
        <v>1260</v>
      </c>
      <c r="I90" s="2" t="s">
        <v>187</v>
      </c>
      <c r="J90" s="2" t="s">
        <v>188</v>
      </c>
      <c r="K90" t="s">
        <v>18</v>
      </c>
      <c r="L90" t="str">
        <f>T("9791164835362")</f>
        <v>9791164835362</v>
      </c>
      <c r="M90" t="str">
        <f t="shared" si="2"/>
        <v/>
      </c>
      <c r="N90" t="s">
        <v>189</v>
      </c>
    </row>
    <row r="91" spans="1:14">
      <c r="A91" s="1">
        <v>46055.524178240739</v>
      </c>
      <c r="B91">
        <v>385347715</v>
      </c>
      <c r="C91" s="2" t="s">
        <v>186</v>
      </c>
      <c r="D91" t="s">
        <v>15</v>
      </c>
      <c r="E91" s="5">
        <v>2000</v>
      </c>
      <c r="F91" s="3">
        <v>1800</v>
      </c>
      <c r="G91" s="3">
        <v>1260</v>
      </c>
      <c r="I91" s="2" t="s">
        <v>187</v>
      </c>
      <c r="J91" s="2" t="s">
        <v>188</v>
      </c>
      <c r="K91" t="s">
        <v>18</v>
      </c>
      <c r="L91" t="str">
        <f>T("9791164835362")</f>
        <v>9791164835362</v>
      </c>
      <c r="M91" t="str">
        <f t="shared" si="2"/>
        <v/>
      </c>
      <c r="N91" t="s">
        <v>189</v>
      </c>
    </row>
    <row r="92" spans="1:14">
      <c r="A92" s="1">
        <v>46055.540405092594</v>
      </c>
      <c r="B92">
        <v>332860180</v>
      </c>
      <c r="C92" s="2" t="s">
        <v>199</v>
      </c>
      <c r="D92" t="s">
        <v>15</v>
      </c>
      <c r="E92" s="5">
        <v>3100</v>
      </c>
      <c r="F92" s="3">
        <v>3100</v>
      </c>
      <c r="G92" s="3">
        <v>2170</v>
      </c>
      <c r="I92" s="2" t="s">
        <v>89</v>
      </c>
      <c r="J92" s="2" t="s">
        <v>200</v>
      </c>
      <c r="K92" t="s">
        <v>18</v>
      </c>
      <c r="L92" t="str">
        <f>T("9791170892113")</f>
        <v>9791170892113</v>
      </c>
      <c r="M92" t="str">
        <f t="shared" si="2"/>
        <v/>
      </c>
      <c r="N92" t="s">
        <v>201</v>
      </c>
    </row>
    <row r="93" spans="1:14">
      <c r="A93" s="1">
        <v>46055.540405092594</v>
      </c>
      <c r="B93">
        <v>294959404</v>
      </c>
      <c r="C93" s="2" t="s">
        <v>88</v>
      </c>
      <c r="D93" t="s">
        <v>15</v>
      </c>
      <c r="E93" s="5">
        <v>1000</v>
      </c>
      <c r="F93" s="3">
        <v>1000</v>
      </c>
      <c r="G93" s="2">
        <v>700</v>
      </c>
      <c r="I93" s="2" t="s">
        <v>89</v>
      </c>
      <c r="J93" s="2" t="s">
        <v>21</v>
      </c>
      <c r="K93" t="s">
        <v>18</v>
      </c>
      <c r="L93" t="str">
        <f>T("9791167832382")</f>
        <v>9791167832382</v>
      </c>
      <c r="M93" t="str">
        <f t="shared" si="2"/>
        <v/>
      </c>
    </row>
    <row r="94" spans="1:14">
      <c r="A94" s="1">
        <v>46055.543530092589</v>
      </c>
      <c r="B94">
        <v>372706794</v>
      </c>
      <c r="C94" s="2" t="s">
        <v>202</v>
      </c>
      <c r="D94" t="s">
        <v>15</v>
      </c>
      <c r="E94" s="5">
        <v>1000</v>
      </c>
      <c r="F94" s="3">
        <v>1000</v>
      </c>
      <c r="G94" s="2">
        <v>700</v>
      </c>
      <c r="I94" s="2" t="s">
        <v>41</v>
      </c>
      <c r="J94" s="2" t="s">
        <v>21</v>
      </c>
      <c r="K94" t="s">
        <v>18</v>
      </c>
      <c r="L94" t="str">
        <f>T("9791173018787")</f>
        <v>9791173018787</v>
      </c>
      <c r="M94" t="str">
        <f t="shared" si="2"/>
        <v/>
      </c>
      <c r="N94" t="s">
        <v>203</v>
      </c>
    </row>
    <row r="95" spans="1:14">
      <c r="A95" s="1">
        <v>46055.556168981479</v>
      </c>
      <c r="B95">
        <v>353613763</v>
      </c>
      <c r="C95" s="2" t="s">
        <v>204</v>
      </c>
      <c r="D95" t="s">
        <v>15</v>
      </c>
      <c r="E95" s="5">
        <v>1000</v>
      </c>
      <c r="F95" s="3">
        <v>1000</v>
      </c>
      <c r="G95" s="2">
        <v>700</v>
      </c>
      <c r="I95" s="2" t="s">
        <v>205</v>
      </c>
      <c r="J95" s="2" t="s">
        <v>21</v>
      </c>
      <c r="K95" t="s">
        <v>18</v>
      </c>
      <c r="L95" t="str">
        <f>T("9791173010996")</f>
        <v>9791173010996</v>
      </c>
      <c r="M95" t="str">
        <f t="shared" si="2"/>
        <v/>
      </c>
      <c r="N95" t="s">
        <v>206</v>
      </c>
    </row>
    <row r="96" spans="1:14">
      <c r="A96" s="1">
        <v>46055.560902777775</v>
      </c>
      <c r="B96">
        <v>385347797</v>
      </c>
      <c r="C96" s="2" t="s">
        <v>195</v>
      </c>
      <c r="D96" t="s">
        <v>15</v>
      </c>
      <c r="E96" s="4">
        <v>700</v>
      </c>
      <c r="F96" s="2">
        <v>630</v>
      </c>
      <c r="G96" s="2">
        <v>441</v>
      </c>
      <c r="I96" s="2" t="s">
        <v>196</v>
      </c>
      <c r="J96" s="2" t="s">
        <v>197</v>
      </c>
      <c r="K96" t="s">
        <v>18</v>
      </c>
      <c r="L96" t="str">
        <f>T("9791172821937")</f>
        <v>9791172821937</v>
      </c>
      <c r="M96" t="str">
        <f t="shared" si="2"/>
        <v/>
      </c>
      <c r="N96" t="s">
        <v>198</v>
      </c>
    </row>
    <row r="97" spans="1:14">
      <c r="A97" s="1">
        <v>46055.57912037037</v>
      </c>
      <c r="B97">
        <v>335881154</v>
      </c>
      <c r="C97" s="2" t="s">
        <v>207</v>
      </c>
      <c r="D97" t="s">
        <v>15</v>
      </c>
      <c r="E97" s="5">
        <v>1000</v>
      </c>
      <c r="F97" s="3">
        <v>1000</v>
      </c>
      <c r="G97" s="2">
        <v>700</v>
      </c>
      <c r="I97" s="2" t="s">
        <v>208</v>
      </c>
      <c r="J97" s="2" t="s">
        <v>21</v>
      </c>
      <c r="K97" t="s">
        <v>18</v>
      </c>
      <c r="L97" t="str">
        <f>T("9791170895725")</f>
        <v>9791170895725</v>
      </c>
      <c r="M97" t="str">
        <f t="shared" si="2"/>
        <v/>
      </c>
      <c r="N97" t="s">
        <v>209</v>
      </c>
    </row>
    <row r="98" spans="1:14">
      <c r="A98" s="1">
        <v>46055.57912037037</v>
      </c>
      <c r="B98">
        <v>379527571</v>
      </c>
      <c r="C98" s="2" t="s">
        <v>139</v>
      </c>
      <c r="D98" t="s">
        <v>15</v>
      </c>
      <c r="E98" s="5">
        <v>1000</v>
      </c>
      <c r="F98" s="3">
        <v>1000</v>
      </c>
      <c r="G98" s="2">
        <v>700</v>
      </c>
      <c r="I98" s="2" t="s">
        <v>28</v>
      </c>
      <c r="J98" s="2" t="s">
        <v>21</v>
      </c>
      <c r="K98" t="s">
        <v>18</v>
      </c>
      <c r="L98" t="str">
        <f>T("9791175580626")</f>
        <v>9791175580626</v>
      </c>
      <c r="M98" t="str">
        <f t="shared" ref="M98:M129" si="3">T("")</f>
        <v/>
      </c>
      <c r="N98" t="s">
        <v>140</v>
      </c>
    </row>
    <row r="99" spans="1:14">
      <c r="A99" s="1">
        <v>46055.57912037037</v>
      </c>
      <c r="B99">
        <v>301691602</v>
      </c>
      <c r="C99" s="2" t="s">
        <v>210</v>
      </c>
      <c r="D99" t="s">
        <v>15</v>
      </c>
      <c r="E99" s="5">
        <v>1300</v>
      </c>
      <c r="F99" s="3">
        <v>1300</v>
      </c>
      <c r="G99" s="2">
        <v>910</v>
      </c>
      <c r="I99" s="2" t="s">
        <v>211</v>
      </c>
      <c r="J99" s="2" t="s">
        <v>21</v>
      </c>
      <c r="K99" t="s">
        <v>18</v>
      </c>
      <c r="L99" t="str">
        <f>T("9791167834294")</f>
        <v>9791167834294</v>
      </c>
      <c r="M99" t="str">
        <f t="shared" si="3"/>
        <v/>
      </c>
    </row>
    <row r="100" spans="1:14">
      <c r="A100" s="1">
        <v>46055.579699074071</v>
      </c>
      <c r="B100">
        <v>385347749</v>
      </c>
      <c r="C100" s="2" t="s">
        <v>212</v>
      </c>
      <c r="D100" t="s">
        <v>15</v>
      </c>
      <c r="E100" s="4">
        <v>0</v>
      </c>
      <c r="F100" s="2">
        <v>0</v>
      </c>
      <c r="G100" s="2">
        <v>0</v>
      </c>
      <c r="I100" s="2" t="s">
        <v>213</v>
      </c>
      <c r="J100" s="2" t="s">
        <v>161</v>
      </c>
      <c r="K100" t="s">
        <v>18</v>
      </c>
      <c r="L100" t="str">
        <f>T("9791173261763")</f>
        <v>9791173261763</v>
      </c>
      <c r="M100" t="str">
        <f t="shared" si="3"/>
        <v/>
      </c>
      <c r="N100" t="s">
        <v>214</v>
      </c>
    </row>
    <row r="101" spans="1:14">
      <c r="A101" s="1">
        <v>46055.579699074071</v>
      </c>
      <c r="B101">
        <v>385347969</v>
      </c>
      <c r="C101" s="2" t="s">
        <v>215</v>
      </c>
      <c r="D101" t="s">
        <v>15</v>
      </c>
      <c r="E101" s="4">
        <v>0</v>
      </c>
      <c r="F101" s="2">
        <v>0</v>
      </c>
      <c r="G101" s="2">
        <v>0</v>
      </c>
      <c r="I101" s="2" t="s">
        <v>213</v>
      </c>
      <c r="J101" s="2" t="s">
        <v>161</v>
      </c>
      <c r="K101" t="s">
        <v>18</v>
      </c>
      <c r="L101" t="str">
        <f>T("9791173261831")</f>
        <v>9791173261831</v>
      </c>
      <c r="M101" t="str">
        <f t="shared" si="3"/>
        <v/>
      </c>
      <c r="N101" t="s">
        <v>216</v>
      </c>
    </row>
    <row r="102" spans="1:14">
      <c r="A102" s="1">
        <v>46055.579699074071</v>
      </c>
      <c r="B102">
        <v>385347983</v>
      </c>
      <c r="C102" s="2" t="s">
        <v>217</v>
      </c>
      <c r="D102" t="s">
        <v>15</v>
      </c>
      <c r="E102" s="4">
        <v>0</v>
      </c>
      <c r="F102" s="2">
        <v>0</v>
      </c>
      <c r="G102" s="2">
        <v>0</v>
      </c>
      <c r="I102" s="2" t="s">
        <v>213</v>
      </c>
      <c r="J102" s="2" t="s">
        <v>161</v>
      </c>
      <c r="K102" t="s">
        <v>18</v>
      </c>
      <c r="L102" t="str">
        <f>T("9791173262067")</f>
        <v>9791173262067</v>
      </c>
      <c r="M102" t="str">
        <f t="shared" si="3"/>
        <v/>
      </c>
      <c r="N102" t="s">
        <v>218</v>
      </c>
    </row>
    <row r="103" spans="1:14">
      <c r="A103" s="1">
        <v>46055.579699074071</v>
      </c>
      <c r="B103">
        <v>385348008</v>
      </c>
      <c r="C103" s="2" t="s">
        <v>219</v>
      </c>
      <c r="D103" t="s">
        <v>15</v>
      </c>
      <c r="E103" s="4">
        <v>0</v>
      </c>
      <c r="F103" s="2">
        <v>0</v>
      </c>
      <c r="G103" s="2">
        <v>0</v>
      </c>
      <c r="I103" s="2" t="s">
        <v>213</v>
      </c>
      <c r="J103" s="2" t="s">
        <v>161</v>
      </c>
      <c r="K103" t="s">
        <v>18</v>
      </c>
      <c r="L103" t="str">
        <f>T("9791173261572")</f>
        <v>9791173261572</v>
      </c>
      <c r="M103" t="str">
        <f t="shared" si="3"/>
        <v/>
      </c>
      <c r="N103" t="s">
        <v>220</v>
      </c>
    </row>
    <row r="104" spans="1:14">
      <c r="A104" s="1">
        <v>46055.579699074071</v>
      </c>
      <c r="B104">
        <v>385347806</v>
      </c>
      <c r="C104" s="2" t="s">
        <v>221</v>
      </c>
      <c r="D104" t="s">
        <v>15</v>
      </c>
      <c r="E104" s="4">
        <v>0</v>
      </c>
      <c r="F104" s="2">
        <v>0</v>
      </c>
      <c r="G104" s="2">
        <v>0</v>
      </c>
      <c r="I104" s="2" t="s">
        <v>213</v>
      </c>
      <c r="J104" s="2" t="s">
        <v>161</v>
      </c>
      <c r="K104" t="s">
        <v>18</v>
      </c>
      <c r="L104" t="str">
        <f>T("9791173261930")</f>
        <v>9791173261930</v>
      </c>
      <c r="M104" t="str">
        <f t="shared" si="3"/>
        <v/>
      </c>
      <c r="N104" t="s">
        <v>222</v>
      </c>
    </row>
    <row r="105" spans="1:14">
      <c r="A105" s="1">
        <v>46055.579699074071</v>
      </c>
      <c r="B105">
        <v>385347855</v>
      </c>
      <c r="C105" s="2" t="s">
        <v>223</v>
      </c>
      <c r="D105" t="s">
        <v>15</v>
      </c>
      <c r="E105" s="4">
        <v>0</v>
      </c>
      <c r="F105" s="2">
        <v>0</v>
      </c>
      <c r="G105" s="2">
        <v>0</v>
      </c>
      <c r="I105" s="2" t="s">
        <v>213</v>
      </c>
      <c r="J105" s="2" t="s">
        <v>161</v>
      </c>
      <c r="K105" t="s">
        <v>18</v>
      </c>
      <c r="L105" t="str">
        <f>T("9791173261688")</f>
        <v>9791173261688</v>
      </c>
      <c r="M105" t="str">
        <f t="shared" si="3"/>
        <v/>
      </c>
      <c r="N105" t="s">
        <v>224</v>
      </c>
    </row>
    <row r="106" spans="1:14">
      <c r="A106" s="1">
        <v>46055.582800925928</v>
      </c>
      <c r="B106">
        <v>102462083</v>
      </c>
      <c r="C106" s="2" t="s">
        <v>225</v>
      </c>
      <c r="D106" t="s">
        <v>15</v>
      </c>
      <c r="E106" s="5">
        <v>1000</v>
      </c>
      <c r="F106" s="3">
        <v>1000</v>
      </c>
      <c r="G106" s="2">
        <v>700</v>
      </c>
      <c r="I106" s="2" t="s">
        <v>226</v>
      </c>
      <c r="J106" s="2" t="s">
        <v>227</v>
      </c>
      <c r="K106" t="s">
        <v>18</v>
      </c>
      <c r="L106" t="str">
        <f>T("9791160391213")</f>
        <v>9791160391213</v>
      </c>
      <c r="M106" t="str">
        <f t="shared" si="3"/>
        <v/>
      </c>
    </row>
    <row r="107" spans="1:14">
      <c r="A107" s="1">
        <v>46055.582800925928</v>
      </c>
      <c r="B107">
        <v>102462084</v>
      </c>
      <c r="C107" s="2" t="s">
        <v>228</v>
      </c>
      <c r="D107" t="s">
        <v>15</v>
      </c>
      <c r="E107" s="5">
        <v>1000</v>
      </c>
      <c r="F107" s="3">
        <v>1000</v>
      </c>
      <c r="G107" s="2">
        <v>700</v>
      </c>
      <c r="I107" s="2" t="s">
        <v>226</v>
      </c>
      <c r="J107" s="2" t="s">
        <v>227</v>
      </c>
      <c r="K107" t="s">
        <v>18</v>
      </c>
      <c r="L107" t="str">
        <f>T("9791160391206")</f>
        <v>9791160391206</v>
      </c>
      <c r="M107" t="str">
        <f t="shared" si="3"/>
        <v/>
      </c>
    </row>
    <row r="108" spans="1:14">
      <c r="A108" s="1">
        <v>46055.586238425924</v>
      </c>
      <c r="B108">
        <v>385347919</v>
      </c>
      <c r="C108" s="2" t="s">
        <v>159</v>
      </c>
      <c r="D108" t="s">
        <v>15</v>
      </c>
      <c r="E108" s="4">
        <v>0</v>
      </c>
      <c r="F108" s="2">
        <v>0</v>
      </c>
      <c r="G108" s="2">
        <v>0</v>
      </c>
      <c r="I108" s="2" t="s">
        <v>160</v>
      </c>
      <c r="J108" s="2" t="s">
        <v>161</v>
      </c>
      <c r="K108" t="s">
        <v>18</v>
      </c>
      <c r="L108" t="str">
        <f>T("9791173260254")</f>
        <v>9791173260254</v>
      </c>
      <c r="M108" t="str">
        <f t="shared" si="3"/>
        <v/>
      </c>
      <c r="N108" t="s">
        <v>162</v>
      </c>
    </row>
    <row r="109" spans="1:14">
      <c r="A109" s="1">
        <v>46055.586238425924</v>
      </c>
      <c r="B109">
        <v>385347773</v>
      </c>
      <c r="C109" s="2" t="s">
        <v>229</v>
      </c>
      <c r="D109" t="s">
        <v>15</v>
      </c>
      <c r="E109" s="4">
        <v>0</v>
      </c>
      <c r="F109" s="2">
        <v>0</v>
      </c>
      <c r="G109" s="2">
        <v>0</v>
      </c>
      <c r="I109" s="2" t="s">
        <v>230</v>
      </c>
      <c r="J109" s="2" t="s">
        <v>161</v>
      </c>
      <c r="K109" t="s">
        <v>18</v>
      </c>
      <c r="L109" t="str">
        <f>T("9791173261091")</f>
        <v>9791173261091</v>
      </c>
      <c r="M109" t="str">
        <f t="shared" si="3"/>
        <v/>
      </c>
      <c r="N109" t="s">
        <v>231</v>
      </c>
    </row>
    <row r="110" spans="1:14">
      <c r="A110" s="1">
        <v>46055.589062500003</v>
      </c>
      <c r="B110">
        <v>379258534</v>
      </c>
      <c r="C110" s="2" t="s">
        <v>232</v>
      </c>
      <c r="D110" t="s">
        <v>15</v>
      </c>
      <c r="E110" s="5">
        <v>2000</v>
      </c>
      <c r="F110" s="3">
        <v>2000</v>
      </c>
      <c r="G110" s="3">
        <v>1400</v>
      </c>
      <c r="I110" s="2" t="s">
        <v>233</v>
      </c>
      <c r="J110" s="2" t="s">
        <v>55</v>
      </c>
      <c r="K110" t="s">
        <v>18</v>
      </c>
      <c r="L110" t="str">
        <f>T("9791175582590")</f>
        <v>9791175582590</v>
      </c>
      <c r="M110" t="str">
        <f t="shared" si="3"/>
        <v/>
      </c>
      <c r="N110" t="s">
        <v>234</v>
      </c>
    </row>
    <row r="111" spans="1:14">
      <c r="A111" s="1">
        <v>46055.601817129631</v>
      </c>
      <c r="B111">
        <v>148275667</v>
      </c>
      <c r="C111" s="2" t="s">
        <v>235</v>
      </c>
      <c r="D111" t="s">
        <v>15</v>
      </c>
      <c r="E111" s="5">
        <v>7500</v>
      </c>
      <c r="F111" s="3">
        <v>7500</v>
      </c>
      <c r="G111" s="3">
        <v>5250</v>
      </c>
      <c r="I111" s="2" t="s">
        <v>236</v>
      </c>
      <c r="J111" s="2" t="s">
        <v>126</v>
      </c>
      <c r="K111" t="s">
        <v>18</v>
      </c>
      <c r="L111" t="str">
        <f>T("9791188697069")</f>
        <v>9791188697069</v>
      </c>
      <c r="M111" t="str">
        <f t="shared" si="3"/>
        <v/>
      </c>
    </row>
    <row r="112" spans="1:14">
      <c r="A112" s="1">
        <v>46055.601944444446</v>
      </c>
      <c r="B112">
        <v>383609104</v>
      </c>
      <c r="C112" s="2" t="s">
        <v>237</v>
      </c>
      <c r="D112" t="s">
        <v>15</v>
      </c>
      <c r="E112" s="4">
        <v>700</v>
      </c>
      <c r="F112" s="2">
        <v>700</v>
      </c>
      <c r="G112" s="2">
        <v>490</v>
      </c>
      <c r="I112" s="2" t="s">
        <v>238</v>
      </c>
      <c r="J112" s="2" t="s">
        <v>239</v>
      </c>
      <c r="K112" t="s">
        <v>18</v>
      </c>
      <c r="L112" t="str">
        <f>T("9791124141397")</f>
        <v>9791124141397</v>
      </c>
      <c r="M112" t="str">
        <f t="shared" si="3"/>
        <v/>
      </c>
      <c r="N112" t="s">
        <v>240</v>
      </c>
    </row>
    <row r="113" spans="1:14">
      <c r="A113" s="1">
        <v>46055.605868055558</v>
      </c>
      <c r="B113">
        <v>319978625</v>
      </c>
      <c r="C113" s="2" t="s">
        <v>241</v>
      </c>
      <c r="D113" t="s">
        <v>15</v>
      </c>
      <c r="E113" s="4">
        <v>0</v>
      </c>
      <c r="F113" s="2">
        <v>0</v>
      </c>
      <c r="G113" s="2">
        <v>0</v>
      </c>
      <c r="I113" s="2" t="s">
        <v>69</v>
      </c>
      <c r="J113" s="2" t="s">
        <v>70</v>
      </c>
      <c r="K113" t="s">
        <v>18</v>
      </c>
      <c r="L113" t="str">
        <f>T("9791192729473")</f>
        <v>9791192729473</v>
      </c>
      <c r="M113" t="str">
        <f t="shared" si="3"/>
        <v/>
      </c>
      <c r="N113" t="s">
        <v>242</v>
      </c>
    </row>
    <row r="114" spans="1:14">
      <c r="A114" s="1">
        <v>46055.606562499997</v>
      </c>
      <c r="B114">
        <v>316561947</v>
      </c>
      <c r="C114" s="2" t="s">
        <v>243</v>
      </c>
      <c r="D114" t="s">
        <v>68</v>
      </c>
      <c r="E114" s="4">
        <v>0</v>
      </c>
      <c r="F114" s="2">
        <v>0</v>
      </c>
      <c r="G114" s="2">
        <v>0</v>
      </c>
      <c r="I114" s="2" t="s">
        <v>244</v>
      </c>
      <c r="J114" s="2" t="s">
        <v>245</v>
      </c>
      <c r="K114" t="s">
        <v>18</v>
      </c>
      <c r="L114" t="str">
        <f>T("9791166000935")</f>
        <v>9791166000935</v>
      </c>
      <c r="M114" t="str">
        <f t="shared" si="3"/>
        <v/>
      </c>
      <c r="N114" t="s">
        <v>246</v>
      </c>
    </row>
    <row r="115" spans="1:14">
      <c r="A115" s="1">
        <v>46055.611261574071</v>
      </c>
      <c r="B115">
        <v>385347983</v>
      </c>
      <c r="C115" s="2" t="s">
        <v>217</v>
      </c>
      <c r="D115" t="s">
        <v>15</v>
      </c>
      <c r="E115" s="4">
        <v>0</v>
      </c>
      <c r="F115" s="2">
        <v>0</v>
      </c>
      <c r="G115" s="2">
        <v>0</v>
      </c>
      <c r="I115" s="2" t="s">
        <v>213</v>
      </c>
      <c r="J115" s="2" t="s">
        <v>161</v>
      </c>
      <c r="K115" t="s">
        <v>18</v>
      </c>
      <c r="L115" t="str">
        <f>T("9791173262067")</f>
        <v>9791173262067</v>
      </c>
      <c r="M115" t="str">
        <f t="shared" si="3"/>
        <v/>
      </c>
      <c r="N115" t="s">
        <v>218</v>
      </c>
    </row>
    <row r="116" spans="1:14">
      <c r="A116" s="1">
        <v>46055.613622685189</v>
      </c>
      <c r="B116">
        <v>281745111</v>
      </c>
      <c r="C116" s="2" t="s">
        <v>247</v>
      </c>
      <c r="D116" t="s">
        <v>15</v>
      </c>
      <c r="E116" s="4">
        <v>100</v>
      </c>
      <c r="F116" s="2">
        <v>100</v>
      </c>
      <c r="G116" s="2">
        <v>70</v>
      </c>
      <c r="I116" s="2" t="s">
        <v>64</v>
      </c>
      <c r="J116" s="2" t="s">
        <v>65</v>
      </c>
      <c r="K116" t="s">
        <v>18</v>
      </c>
      <c r="L116" t="str">
        <f>T("9791162589724")</f>
        <v>9791162589724</v>
      </c>
      <c r="M116" t="str">
        <f t="shared" si="3"/>
        <v/>
      </c>
      <c r="N116" t="s">
        <v>248</v>
      </c>
    </row>
    <row r="117" spans="1:14">
      <c r="A117" s="1">
        <v>46055.613622685189</v>
      </c>
      <c r="B117">
        <v>282183122</v>
      </c>
      <c r="C117" s="2" t="s">
        <v>249</v>
      </c>
      <c r="D117" t="s">
        <v>15</v>
      </c>
      <c r="E117" s="4">
        <v>100</v>
      </c>
      <c r="F117" s="2">
        <v>100</v>
      </c>
      <c r="G117" s="2">
        <v>70</v>
      </c>
      <c r="I117" s="2" t="s">
        <v>64</v>
      </c>
      <c r="J117" s="2" t="s">
        <v>65</v>
      </c>
      <c r="K117" t="s">
        <v>18</v>
      </c>
      <c r="L117" t="str">
        <f>T("9791162589724")</f>
        <v>9791162589724</v>
      </c>
      <c r="M117" t="str">
        <f t="shared" si="3"/>
        <v/>
      </c>
      <c r="N117" t="s">
        <v>250</v>
      </c>
    </row>
    <row r="118" spans="1:14">
      <c r="A118" s="1">
        <v>46055.613622685189</v>
      </c>
      <c r="B118">
        <v>282183123</v>
      </c>
      <c r="C118" s="2" t="s">
        <v>251</v>
      </c>
      <c r="D118" t="s">
        <v>15</v>
      </c>
      <c r="E118" s="4">
        <v>100</v>
      </c>
      <c r="F118" s="2">
        <v>100</v>
      </c>
      <c r="G118" s="2">
        <v>70</v>
      </c>
      <c r="I118" s="2" t="s">
        <v>64</v>
      </c>
      <c r="J118" s="2" t="s">
        <v>65</v>
      </c>
      <c r="K118" t="s">
        <v>18</v>
      </c>
      <c r="L118" t="str">
        <f>T("9791162589724")</f>
        <v>9791162589724</v>
      </c>
      <c r="M118" t="str">
        <f t="shared" si="3"/>
        <v/>
      </c>
      <c r="N118" t="s">
        <v>252</v>
      </c>
    </row>
    <row r="119" spans="1:14">
      <c r="A119" s="1">
        <v>46055.613622685189</v>
      </c>
      <c r="B119">
        <v>282183124</v>
      </c>
      <c r="C119" s="2" t="s">
        <v>253</v>
      </c>
      <c r="D119" t="s">
        <v>15</v>
      </c>
      <c r="E119" s="4">
        <v>100</v>
      </c>
      <c r="F119" s="2">
        <v>100</v>
      </c>
      <c r="G119" s="2">
        <v>70</v>
      </c>
      <c r="I119" s="2" t="s">
        <v>64</v>
      </c>
      <c r="J119" s="2" t="s">
        <v>65</v>
      </c>
      <c r="K119" t="s">
        <v>18</v>
      </c>
      <c r="L119" t="str">
        <f>T("9791162589724")</f>
        <v>9791162589724</v>
      </c>
      <c r="M119" t="str">
        <f t="shared" si="3"/>
        <v/>
      </c>
      <c r="N119" t="s">
        <v>254</v>
      </c>
    </row>
    <row r="120" spans="1:14">
      <c r="A120" s="1">
        <v>46055.614918981482</v>
      </c>
      <c r="B120">
        <v>385348455</v>
      </c>
      <c r="C120" s="2" t="s">
        <v>255</v>
      </c>
      <c r="D120" t="s">
        <v>68</v>
      </c>
      <c r="E120" s="5">
        <v>12600</v>
      </c>
      <c r="F120" s="3">
        <v>12600</v>
      </c>
      <c r="G120" s="3">
        <v>8820</v>
      </c>
      <c r="I120" s="2" t="s">
        <v>187</v>
      </c>
      <c r="J120" s="2" t="s">
        <v>188</v>
      </c>
      <c r="K120" t="s">
        <v>18</v>
      </c>
      <c r="L120" t="str">
        <f>T("9791164835379")</f>
        <v>9791164835379</v>
      </c>
      <c r="M120" t="str">
        <f t="shared" si="3"/>
        <v/>
      </c>
    </row>
    <row r="121" spans="1:14">
      <c r="A121" s="1">
        <v>46055.622025462966</v>
      </c>
      <c r="B121">
        <v>385347797</v>
      </c>
      <c r="C121" s="2" t="s">
        <v>195</v>
      </c>
      <c r="D121" t="s">
        <v>15</v>
      </c>
      <c r="E121" s="4">
        <v>700</v>
      </c>
      <c r="F121" s="2">
        <v>630</v>
      </c>
      <c r="G121" s="2">
        <v>441</v>
      </c>
      <c r="I121" s="2" t="s">
        <v>196</v>
      </c>
      <c r="J121" s="2" t="s">
        <v>197</v>
      </c>
      <c r="K121" t="s">
        <v>18</v>
      </c>
      <c r="L121" t="str">
        <f>T("9791172821937")</f>
        <v>9791172821937</v>
      </c>
      <c r="M121" t="str">
        <f t="shared" si="3"/>
        <v/>
      </c>
      <c r="N121" t="s">
        <v>198</v>
      </c>
    </row>
    <row r="122" spans="1:14">
      <c r="A122" s="1">
        <v>46055.626076388886</v>
      </c>
      <c r="B122">
        <v>369492204</v>
      </c>
      <c r="C122" s="2" t="s">
        <v>256</v>
      </c>
      <c r="D122" t="s">
        <v>15</v>
      </c>
      <c r="E122" s="5">
        <v>2000</v>
      </c>
      <c r="F122" s="3">
        <v>2000</v>
      </c>
      <c r="G122" s="3">
        <v>1400</v>
      </c>
      <c r="I122" s="2" t="s">
        <v>257</v>
      </c>
      <c r="J122" s="2" t="s">
        <v>55</v>
      </c>
      <c r="K122" t="s">
        <v>18</v>
      </c>
      <c r="L122" t="str">
        <f>T("9791173018183")</f>
        <v>9791173018183</v>
      </c>
      <c r="M122" t="str">
        <f t="shared" si="3"/>
        <v/>
      </c>
      <c r="N122" t="s">
        <v>258</v>
      </c>
    </row>
    <row r="123" spans="1:14">
      <c r="A123" s="1">
        <v>46055.627303240741</v>
      </c>
      <c r="B123">
        <v>378390337</v>
      </c>
      <c r="C123" s="2" t="s">
        <v>259</v>
      </c>
      <c r="D123" t="s">
        <v>15</v>
      </c>
      <c r="E123" s="5">
        <v>1000</v>
      </c>
      <c r="F123" s="3">
        <v>1000</v>
      </c>
      <c r="G123" s="2">
        <v>700</v>
      </c>
      <c r="I123" s="2" t="s">
        <v>260</v>
      </c>
      <c r="J123" s="2" t="s">
        <v>21</v>
      </c>
      <c r="K123" t="s">
        <v>18</v>
      </c>
      <c r="L123" t="str">
        <f>T("9791175580374")</f>
        <v>9791175580374</v>
      </c>
      <c r="M123" t="str">
        <f t="shared" si="3"/>
        <v/>
      </c>
      <c r="N123" t="s">
        <v>261</v>
      </c>
    </row>
    <row r="124" spans="1:14">
      <c r="A124" s="1">
        <v>46055.632314814815</v>
      </c>
      <c r="B124">
        <v>379511327</v>
      </c>
      <c r="C124" s="2" t="s">
        <v>262</v>
      </c>
      <c r="D124" t="s">
        <v>15</v>
      </c>
      <c r="E124" s="5">
        <v>3300</v>
      </c>
      <c r="F124" s="3">
        <v>3300</v>
      </c>
      <c r="G124" s="3">
        <v>2310</v>
      </c>
      <c r="I124" s="2" t="s">
        <v>263</v>
      </c>
      <c r="J124" s="2" t="s">
        <v>126</v>
      </c>
      <c r="K124" t="s">
        <v>18</v>
      </c>
      <c r="L124" t="str">
        <f>T("9791171502875")</f>
        <v>9791171502875</v>
      </c>
      <c r="M124" t="str">
        <f t="shared" si="3"/>
        <v/>
      </c>
      <c r="N124" t="s">
        <v>264</v>
      </c>
    </row>
    <row r="125" spans="1:14">
      <c r="A125" s="1">
        <v>46055.632627314815</v>
      </c>
      <c r="B125">
        <v>385347715</v>
      </c>
      <c r="C125" s="2" t="s">
        <v>186</v>
      </c>
      <c r="D125" t="s">
        <v>15</v>
      </c>
      <c r="E125" s="5">
        <v>2000</v>
      </c>
      <c r="F125" s="3">
        <v>1800</v>
      </c>
      <c r="G125" s="3">
        <v>1260</v>
      </c>
      <c r="I125" s="2" t="s">
        <v>187</v>
      </c>
      <c r="J125" s="2" t="s">
        <v>188</v>
      </c>
      <c r="K125" t="s">
        <v>18</v>
      </c>
      <c r="L125" t="str">
        <f>T("9791164835362")</f>
        <v>9791164835362</v>
      </c>
      <c r="M125" t="str">
        <f t="shared" si="3"/>
        <v/>
      </c>
      <c r="N125" t="s">
        <v>189</v>
      </c>
    </row>
    <row r="126" spans="1:14">
      <c r="A126" s="1">
        <v>46055.63553240741</v>
      </c>
      <c r="B126">
        <v>385348455</v>
      </c>
      <c r="C126" s="2" t="s">
        <v>255</v>
      </c>
      <c r="D126" t="s">
        <v>15</v>
      </c>
      <c r="E126" s="5">
        <v>14000</v>
      </c>
      <c r="F126" s="3">
        <v>12600</v>
      </c>
      <c r="G126" s="3">
        <v>8820</v>
      </c>
      <c r="I126" s="2" t="s">
        <v>187</v>
      </c>
      <c r="J126" s="2" t="s">
        <v>188</v>
      </c>
      <c r="K126" t="s">
        <v>18</v>
      </c>
      <c r="L126" t="str">
        <f>T("9791164835379")</f>
        <v>9791164835379</v>
      </c>
      <c r="M126" t="str">
        <f t="shared" si="3"/>
        <v/>
      </c>
    </row>
    <row r="127" spans="1:14">
      <c r="A127" s="1">
        <v>46055.647314814814</v>
      </c>
      <c r="B127">
        <v>385347715</v>
      </c>
      <c r="C127" s="2" t="s">
        <v>186</v>
      </c>
      <c r="D127" t="s">
        <v>15</v>
      </c>
      <c r="E127" s="5">
        <v>2000</v>
      </c>
      <c r="F127" s="3">
        <v>1800</v>
      </c>
      <c r="G127" s="3">
        <v>1260</v>
      </c>
      <c r="I127" s="2" t="s">
        <v>187</v>
      </c>
      <c r="J127" s="2" t="s">
        <v>188</v>
      </c>
      <c r="K127" t="s">
        <v>18</v>
      </c>
      <c r="L127" t="str">
        <f>T("9791164835362")</f>
        <v>9791164835362</v>
      </c>
      <c r="M127" t="str">
        <f t="shared" si="3"/>
        <v/>
      </c>
      <c r="N127" t="s">
        <v>189</v>
      </c>
    </row>
    <row r="128" spans="1:14">
      <c r="A128" s="1">
        <v>46055.705277777779</v>
      </c>
      <c r="B128">
        <v>385347715</v>
      </c>
      <c r="C128" s="2" t="s">
        <v>186</v>
      </c>
      <c r="D128" t="s">
        <v>15</v>
      </c>
      <c r="E128" s="5">
        <v>-2000</v>
      </c>
      <c r="F128" s="3">
        <v>-1800</v>
      </c>
      <c r="G128" s="3">
        <v>-1260</v>
      </c>
      <c r="H128" s="1">
        <v>46055.647314814814</v>
      </c>
      <c r="I128" s="2" t="s">
        <v>187</v>
      </c>
      <c r="J128" s="2" t="s">
        <v>188</v>
      </c>
      <c r="K128" t="s">
        <v>18</v>
      </c>
      <c r="L128" t="str">
        <f>T("9791164835362")</f>
        <v>9791164835362</v>
      </c>
      <c r="M128" t="str">
        <f t="shared" si="3"/>
        <v/>
      </c>
      <c r="N128" t="s">
        <v>189</v>
      </c>
    </row>
    <row r="129" spans="1:14">
      <c r="A129" s="1">
        <v>46055.655057870368</v>
      </c>
      <c r="B129">
        <v>385347797</v>
      </c>
      <c r="C129" s="2" t="s">
        <v>195</v>
      </c>
      <c r="D129" t="s">
        <v>15</v>
      </c>
      <c r="E129" s="4">
        <v>700</v>
      </c>
      <c r="F129" s="2">
        <v>630</v>
      </c>
      <c r="G129" s="2">
        <v>441</v>
      </c>
      <c r="I129" s="2" t="s">
        <v>196</v>
      </c>
      <c r="J129" s="2" t="s">
        <v>197</v>
      </c>
      <c r="K129" t="s">
        <v>18</v>
      </c>
      <c r="L129" t="str">
        <f>T("9791172821937")</f>
        <v>9791172821937</v>
      </c>
      <c r="M129" t="str">
        <f t="shared" si="3"/>
        <v/>
      </c>
      <c r="N129" t="s">
        <v>198</v>
      </c>
    </row>
    <row r="130" spans="1:14">
      <c r="A130" s="1">
        <v>46055.656793981485</v>
      </c>
      <c r="B130">
        <v>385348455</v>
      </c>
      <c r="C130" s="2" t="s">
        <v>255</v>
      </c>
      <c r="D130" t="s">
        <v>68</v>
      </c>
      <c r="E130" s="5">
        <v>12600</v>
      </c>
      <c r="F130" s="3">
        <v>12600</v>
      </c>
      <c r="G130" s="3">
        <v>8820</v>
      </c>
      <c r="I130" s="2" t="s">
        <v>187</v>
      </c>
      <c r="J130" s="2" t="s">
        <v>188</v>
      </c>
      <c r="K130" t="s">
        <v>18</v>
      </c>
      <c r="L130" t="str">
        <f>T("9791164835379")</f>
        <v>9791164835379</v>
      </c>
      <c r="M130" t="str">
        <f t="shared" ref="M130:M161" si="4">T("")</f>
        <v/>
      </c>
    </row>
    <row r="131" spans="1:14">
      <c r="A131" s="1">
        <v>46055.689699074072</v>
      </c>
      <c r="B131">
        <v>297670495</v>
      </c>
      <c r="C131" s="2" t="s">
        <v>265</v>
      </c>
      <c r="D131" t="s">
        <v>15</v>
      </c>
      <c r="E131" s="5">
        <v>4000</v>
      </c>
      <c r="F131" s="3">
        <v>4000</v>
      </c>
      <c r="G131" s="3">
        <v>2800</v>
      </c>
      <c r="I131" s="2" t="s">
        <v>266</v>
      </c>
      <c r="J131" s="2" t="s">
        <v>126</v>
      </c>
      <c r="K131" t="s">
        <v>18</v>
      </c>
      <c r="L131" t="str">
        <f>T("9791164977215")</f>
        <v>9791164977215</v>
      </c>
      <c r="M131" t="str">
        <f t="shared" si="4"/>
        <v/>
      </c>
      <c r="N131" t="s">
        <v>267</v>
      </c>
    </row>
    <row r="132" spans="1:14">
      <c r="A132" s="1">
        <v>46055.691006944442</v>
      </c>
      <c r="B132">
        <v>362753625</v>
      </c>
      <c r="C132" s="2" t="s">
        <v>268</v>
      </c>
      <c r="D132" t="s">
        <v>15</v>
      </c>
      <c r="E132" s="5">
        <v>1000</v>
      </c>
      <c r="F132" s="3">
        <v>1000</v>
      </c>
      <c r="G132" s="2">
        <v>700</v>
      </c>
      <c r="I132" s="2" t="s">
        <v>148</v>
      </c>
      <c r="J132" s="2" t="s">
        <v>21</v>
      </c>
      <c r="K132" t="s">
        <v>18</v>
      </c>
      <c r="L132" t="str">
        <f>T("9791173014116")</f>
        <v>9791173014116</v>
      </c>
      <c r="M132" t="str">
        <f t="shared" si="4"/>
        <v/>
      </c>
      <c r="N132" t="s">
        <v>269</v>
      </c>
    </row>
    <row r="133" spans="1:14">
      <c r="A133" s="1">
        <v>46055.710925925923</v>
      </c>
      <c r="B133">
        <v>385348455</v>
      </c>
      <c r="C133" s="2" t="s">
        <v>255</v>
      </c>
      <c r="D133" t="s">
        <v>68</v>
      </c>
      <c r="E133" s="5">
        <v>12600</v>
      </c>
      <c r="F133" s="3">
        <v>12600</v>
      </c>
      <c r="G133" s="3">
        <v>8820</v>
      </c>
      <c r="I133" s="2" t="s">
        <v>187</v>
      </c>
      <c r="J133" s="2" t="s">
        <v>188</v>
      </c>
      <c r="K133" t="s">
        <v>18</v>
      </c>
      <c r="L133" t="str">
        <f>T("9791164835379")</f>
        <v>9791164835379</v>
      </c>
      <c r="M133" t="str">
        <f t="shared" si="4"/>
        <v/>
      </c>
    </row>
    <row r="134" spans="1:14">
      <c r="A134" s="1">
        <v>46055.714305555557</v>
      </c>
      <c r="B134">
        <v>341723882</v>
      </c>
      <c r="C134" s="2" t="s">
        <v>270</v>
      </c>
      <c r="D134" t="s">
        <v>15</v>
      </c>
      <c r="E134" s="5">
        <v>2500</v>
      </c>
      <c r="F134" s="3">
        <v>2500</v>
      </c>
      <c r="G134" s="3">
        <v>1750</v>
      </c>
      <c r="I134" s="2" t="s">
        <v>89</v>
      </c>
      <c r="J134" s="2" t="s">
        <v>200</v>
      </c>
      <c r="K134" t="s">
        <v>18</v>
      </c>
      <c r="L134" t="str">
        <f>T("9791170896630")</f>
        <v>9791170896630</v>
      </c>
      <c r="M134" t="str">
        <f t="shared" si="4"/>
        <v/>
      </c>
      <c r="N134" t="s">
        <v>271</v>
      </c>
    </row>
    <row r="135" spans="1:14">
      <c r="A135" s="1">
        <v>46055.717847222222</v>
      </c>
      <c r="B135">
        <v>302939569</v>
      </c>
      <c r="C135" s="2" t="s">
        <v>272</v>
      </c>
      <c r="D135" t="s">
        <v>15</v>
      </c>
      <c r="E135" s="5">
        <v>3000</v>
      </c>
      <c r="F135" s="3">
        <v>3000</v>
      </c>
      <c r="G135" s="3">
        <v>2100</v>
      </c>
      <c r="I135" s="2" t="s">
        <v>273</v>
      </c>
      <c r="J135" s="2" t="s">
        <v>21</v>
      </c>
      <c r="K135" t="s">
        <v>18</v>
      </c>
      <c r="L135" t="str">
        <f>T("9791167834577")</f>
        <v>9791167834577</v>
      </c>
      <c r="M135" t="str">
        <f t="shared" si="4"/>
        <v/>
      </c>
    </row>
    <row r="136" spans="1:14">
      <c r="A136" s="1">
        <v>46055.728576388887</v>
      </c>
      <c r="B136">
        <v>298202767</v>
      </c>
      <c r="C136" s="2" t="s">
        <v>274</v>
      </c>
      <c r="D136" t="s">
        <v>15</v>
      </c>
      <c r="E136" s="5">
        <v>1000</v>
      </c>
      <c r="F136" s="3">
        <v>1000</v>
      </c>
      <c r="G136" s="2">
        <v>700</v>
      </c>
      <c r="I136" s="2" t="s">
        <v>20</v>
      </c>
      <c r="J136" s="2" t="s">
        <v>177</v>
      </c>
      <c r="K136" t="s">
        <v>18</v>
      </c>
      <c r="L136" t="str">
        <f>T("9791164797073")</f>
        <v>9791164797073</v>
      </c>
      <c r="M136" t="str">
        <f t="shared" si="4"/>
        <v/>
      </c>
      <c r="N136" t="s">
        <v>275</v>
      </c>
    </row>
    <row r="137" spans="1:14">
      <c r="A137" s="1">
        <v>46055.728576388887</v>
      </c>
      <c r="B137">
        <v>300204380</v>
      </c>
      <c r="C137" s="2" t="s">
        <v>276</v>
      </c>
      <c r="D137" t="s">
        <v>15</v>
      </c>
      <c r="E137" s="5">
        <v>1000</v>
      </c>
      <c r="F137" s="3">
        <v>1000</v>
      </c>
      <c r="G137" s="2">
        <v>700</v>
      </c>
      <c r="I137" s="2" t="s">
        <v>20</v>
      </c>
      <c r="J137" s="2" t="s">
        <v>177</v>
      </c>
      <c r="K137" t="s">
        <v>18</v>
      </c>
      <c r="L137" t="str">
        <f>T("9791164797240")</f>
        <v>9791164797240</v>
      </c>
      <c r="M137" t="str">
        <f t="shared" si="4"/>
        <v/>
      </c>
      <c r="N137" t="s">
        <v>277</v>
      </c>
    </row>
    <row r="138" spans="1:14">
      <c r="A138" s="1">
        <v>46055.728576388887</v>
      </c>
      <c r="B138">
        <v>294228973</v>
      </c>
      <c r="C138" s="2" t="s">
        <v>278</v>
      </c>
      <c r="D138" t="s">
        <v>15</v>
      </c>
      <c r="E138" s="5">
        <v>1000</v>
      </c>
      <c r="F138" s="3">
        <v>1000</v>
      </c>
      <c r="G138" s="2">
        <v>700</v>
      </c>
      <c r="I138" s="2" t="s">
        <v>20</v>
      </c>
      <c r="J138" s="2" t="s">
        <v>177</v>
      </c>
      <c r="K138" t="s">
        <v>18</v>
      </c>
      <c r="L138" t="str">
        <f>T("9791164796458")</f>
        <v>9791164796458</v>
      </c>
      <c r="M138" t="str">
        <f t="shared" si="4"/>
        <v/>
      </c>
      <c r="N138" t="s">
        <v>279</v>
      </c>
    </row>
    <row r="139" spans="1:14">
      <c r="A139" s="1">
        <v>46055.728576388887</v>
      </c>
      <c r="B139">
        <v>295216023</v>
      </c>
      <c r="C139" s="2" t="s">
        <v>280</v>
      </c>
      <c r="D139" t="s">
        <v>15</v>
      </c>
      <c r="E139" s="5">
        <v>1000</v>
      </c>
      <c r="F139" s="3">
        <v>1000</v>
      </c>
      <c r="G139" s="2">
        <v>700</v>
      </c>
      <c r="I139" s="2" t="s">
        <v>281</v>
      </c>
      <c r="J139" s="2" t="s">
        <v>21</v>
      </c>
      <c r="K139" t="s">
        <v>18</v>
      </c>
      <c r="L139" t="str">
        <f>T("9791167832467")</f>
        <v>9791167832467</v>
      </c>
      <c r="M139" t="str">
        <f t="shared" si="4"/>
        <v/>
      </c>
    </row>
    <row r="140" spans="1:14">
      <c r="A140" s="1">
        <v>46055.728576388887</v>
      </c>
      <c r="B140">
        <v>297270719</v>
      </c>
      <c r="C140" s="2" t="s">
        <v>282</v>
      </c>
      <c r="D140" t="s">
        <v>15</v>
      </c>
      <c r="E140" s="5">
        <v>1000</v>
      </c>
      <c r="F140" s="3">
        <v>1000</v>
      </c>
      <c r="G140" s="2">
        <v>700</v>
      </c>
      <c r="I140" s="2" t="s">
        <v>281</v>
      </c>
      <c r="J140" s="2" t="s">
        <v>21</v>
      </c>
      <c r="K140" t="s">
        <v>18</v>
      </c>
      <c r="L140" t="str">
        <f>T("9791167833440")</f>
        <v>9791167833440</v>
      </c>
      <c r="M140" t="str">
        <f t="shared" si="4"/>
        <v/>
      </c>
    </row>
    <row r="141" spans="1:14">
      <c r="A141" s="1">
        <v>46055.728576388887</v>
      </c>
      <c r="B141">
        <v>288180446</v>
      </c>
      <c r="C141" s="2" t="s">
        <v>283</v>
      </c>
      <c r="D141" t="s">
        <v>15</v>
      </c>
      <c r="E141" s="5">
        <v>1000</v>
      </c>
      <c r="F141" s="3">
        <v>1000</v>
      </c>
      <c r="G141" s="2">
        <v>700</v>
      </c>
      <c r="I141" s="2" t="s">
        <v>281</v>
      </c>
      <c r="J141" s="2" t="s">
        <v>21</v>
      </c>
      <c r="K141" t="s">
        <v>18</v>
      </c>
      <c r="L141" t="str">
        <f>T("9791167831521")</f>
        <v>9791167831521</v>
      </c>
      <c r="M141" t="str">
        <f t="shared" si="4"/>
        <v/>
      </c>
    </row>
    <row r="142" spans="1:14">
      <c r="A142" s="1">
        <v>46055.728576388887</v>
      </c>
      <c r="B142">
        <v>288856920</v>
      </c>
      <c r="C142" s="2" t="s">
        <v>284</v>
      </c>
      <c r="D142" t="s">
        <v>15</v>
      </c>
      <c r="E142" s="5">
        <v>1000</v>
      </c>
      <c r="F142" s="3">
        <v>1000</v>
      </c>
      <c r="G142" s="2">
        <v>700</v>
      </c>
      <c r="I142" s="2" t="s">
        <v>281</v>
      </c>
      <c r="J142" s="2" t="s">
        <v>21</v>
      </c>
      <c r="K142" t="s">
        <v>18</v>
      </c>
      <c r="L142" t="str">
        <f>T("9791167830685")</f>
        <v>9791167830685</v>
      </c>
      <c r="M142" t="str">
        <f t="shared" si="4"/>
        <v/>
      </c>
    </row>
    <row r="143" spans="1:14">
      <c r="A143" s="1">
        <v>46055.735949074071</v>
      </c>
      <c r="B143">
        <v>385347715</v>
      </c>
      <c r="C143" s="2" t="s">
        <v>186</v>
      </c>
      <c r="D143" t="s">
        <v>15</v>
      </c>
      <c r="E143" s="5">
        <v>2000</v>
      </c>
      <c r="F143" s="3">
        <v>1800</v>
      </c>
      <c r="G143" s="3">
        <v>1260</v>
      </c>
      <c r="I143" s="2" t="s">
        <v>187</v>
      </c>
      <c r="J143" s="2" t="s">
        <v>188</v>
      </c>
      <c r="K143" t="s">
        <v>18</v>
      </c>
      <c r="L143" t="str">
        <f>T("9791164835362")</f>
        <v>9791164835362</v>
      </c>
      <c r="M143" t="str">
        <f t="shared" si="4"/>
        <v/>
      </c>
      <c r="N143" t="s">
        <v>189</v>
      </c>
    </row>
    <row r="144" spans="1:14">
      <c r="A144" s="1">
        <v>46055.744027777779</v>
      </c>
      <c r="B144">
        <v>385347715</v>
      </c>
      <c r="C144" s="2" t="s">
        <v>186</v>
      </c>
      <c r="D144" t="s">
        <v>15</v>
      </c>
      <c r="E144" s="5">
        <v>2000</v>
      </c>
      <c r="F144" s="3">
        <v>1800</v>
      </c>
      <c r="G144" s="3">
        <v>1260</v>
      </c>
      <c r="I144" s="2" t="s">
        <v>187</v>
      </c>
      <c r="J144" s="2" t="s">
        <v>188</v>
      </c>
      <c r="K144" t="s">
        <v>18</v>
      </c>
      <c r="L144" t="str">
        <f>T("9791164835362")</f>
        <v>9791164835362</v>
      </c>
      <c r="M144" t="str">
        <f t="shared" si="4"/>
        <v/>
      </c>
      <c r="N144" t="s">
        <v>189</v>
      </c>
    </row>
    <row r="145" spans="1:14">
      <c r="A145" s="1">
        <v>46055.772002314814</v>
      </c>
      <c r="B145">
        <v>378390230</v>
      </c>
      <c r="C145" s="2" t="s">
        <v>285</v>
      </c>
      <c r="D145" t="s">
        <v>15</v>
      </c>
      <c r="E145" s="5">
        <v>1000</v>
      </c>
      <c r="F145" s="3">
        <v>1000</v>
      </c>
      <c r="G145" s="2">
        <v>700</v>
      </c>
      <c r="I145" s="2" t="s">
        <v>286</v>
      </c>
      <c r="J145" s="2" t="s">
        <v>21</v>
      </c>
      <c r="K145" t="s">
        <v>18</v>
      </c>
      <c r="L145" t="str">
        <f>T("9791175580459")</f>
        <v>9791175580459</v>
      </c>
      <c r="M145" t="str">
        <f t="shared" si="4"/>
        <v/>
      </c>
      <c r="N145" t="s">
        <v>287</v>
      </c>
    </row>
    <row r="146" spans="1:14">
      <c r="A146" s="1">
        <v>46055.772962962961</v>
      </c>
      <c r="B146">
        <v>385347715</v>
      </c>
      <c r="C146" s="2" t="s">
        <v>186</v>
      </c>
      <c r="D146" t="s">
        <v>15</v>
      </c>
      <c r="E146" s="5">
        <v>2000</v>
      </c>
      <c r="F146" s="3">
        <v>1800</v>
      </c>
      <c r="G146" s="3">
        <v>1260</v>
      </c>
      <c r="I146" s="2" t="s">
        <v>187</v>
      </c>
      <c r="J146" s="2" t="s">
        <v>188</v>
      </c>
      <c r="K146" t="s">
        <v>18</v>
      </c>
      <c r="L146" t="str">
        <f>T("9791164835362")</f>
        <v>9791164835362</v>
      </c>
      <c r="M146" t="str">
        <f t="shared" si="4"/>
        <v/>
      </c>
      <c r="N146" t="s">
        <v>189</v>
      </c>
    </row>
    <row r="147" spans="1:14">
      <c r="A147" s="1">
        <v>46055.783576388887</v>
      </c>
      <c r="B147">
        <v>385348455</v>
      </c>
      <c r="C147" s="2" t="s">
        <v>255</v>
      </c>
      <c r="D147" t="s">
        <v>68</v>
      </c>
      <c r="E147" s="5">
        <v>12600</v>
      </c>
      <c r="F147" s="3">
        <v>12600</v>
      </c>
      <c r="G147" s="3">
        <v>8820</v>
      </c>
      <c r="I147" s="2" t="s">
        <v>187</v>
      </c>
      <c r="J147" s="2" t="s">
        <v>188</v>
      </c>
      <c r="K147" t="s">
        <v>18</v>
      </c>
      <c r="L147" t="str">
        <f>T("9791164835379")</f>
        <v>9791164835379</v>
      </c>
      <c r="M147" t="str">
        <f t="shared" si="4"/>
        <v/>
      </c>
    </row>
    <row r="148" spans="1:14">
      <c r="A148" s="1">
        <v>46055.784467592595</v>
      </c>
      <c r="B148">
        <v>385373253</v>
      </c>
      <c r="C148" s="2" t="s">
        <v>288</v>
      </c>
      <c r="D148" t="s">
        <v>15</v>
      </c>
      <c r="E148" s="4">
        <v>0</v>
      </c>
      <c r="F148" s="2">
        <v>0</v>
      </c>
      <c r="G148" s="2">
        <v>0</v>
      </c>
      <c r="I148" s="2" t="s">
        <v>289</v>
      </c>
      <c r="J148" s="2" t="s">
        <v>290</v>
      </c>
      <c r="K148" t="s">
        <v>18</v>
      </c>
      <c r="L148" t="str">
        <f>T("9791194726784")</f>
        <v>9791194726784</v>
      </c>
      <c r="M148" t="str">
        <f t="shared" si="4"/>
        <v/>
      </c>
      <c r="N148" t="s">
        <v>291</v>
      </c>
    </row>
    <row r="149" spans="1:14">
      <c r="A149" s="1">
        <v>46055.788865740738</v>
      </c>
      <c r="B149">
        <v>385348455</v>
      </c>
      <c r="C149" s="2" t="s">
        <v>255</v>
      </c>
      <c r="D149" t="s">
        <v>68</v>
      </c>
      <c r="E149" s="5">
        <v>12600</v>
      </c>
      <c r="F149" s="3">
        <v>12600</v>
      </c>
      <c r="G149" s="3">
        <v>8820</v>
      </c>
      <c r="I149" s="2" t="s">
        <v>187</v>
      </c>
      <c r="J149" s="2" t="s">
        <v>188</v>
      </c>
      <c r="K149" t="s">
        <v>18</v>
      </c>
      <c r="L149" t="str">
        <f>T("9791164835379")</f>
        <v>9791164835379</v>
      </c>
      <c r="M149" t="str">
        <f t="shared" si="4"/>
        <v/>
      </c>
    </row>
    <row r="150" spans="1:14">
      <c r="A150" s="1">
        <v>46055.792314814818</v>
      </c>
      <c r="B150">
        <v>385348455</v>
      </c>
      <c r="C150" s="2" t="s">
        <v>255</v>
      </c>
      <c r="D150" t="s">
        <v>68</v>
      </c>
      <c r="E150" s="5">
        <v>12600</v>
      </c>
      <c r="F150" s="3">
        <v>12600</v>
      </c>
      <c r="G150" s="3">
        <v>8820</v>
      </c>
      <c r="I150" s="2" t="s">
        <v>187</v>
      </c>
      <c r="J150" s="2" t="s">
        <v>188</v>
      </c>
      <c r="K150" t="s">
        <v>18</v>
      </c>
      <c r="L150" t="str">
        <f>T("9791164835379")</f>
        <v>9791164835379</v>
      </c>
      <c r="M150" t="str">
        <f t="shared" si="4"/>
        <v/>
      </c>
    </row>
    <row r="151" spans="1:14">
      <c r="A151" s="1">
        <v>46055.795567129629</v>
      </c>
      <c r="B151">
        <v>367570934</v>
      </c>
      <c r="C151" s="2" t="s">
        <v>292</v>
      </c>
      <c r="D151" t="s">
        <v>15</v>
      </c>
      <c r="E151" s="5">
        <v>1000</v>
      </c>
      <c r="F151" s="3">
        <v>1000</v>
      </c>
      <c r="G151" s="2">
        <v>700</v>
      </c>
      <c r="I151" s="2" t="s">
        <v>293</v>
      </c>
      <c r="J151" s="2" t="s">
        <v>21</v>
      </c>
      <c r="K151" t="s">
        <v>18</v>
      </c>
      <c r="L151" t="str">
        <f>T("9791173015779")</f>
        <v>9791173015779</v>
      </c>
      <c r="M151" t="str">
        <f t="shared" si="4"/>
        <v/>
      </c>
      <c r="N151" t="s">
        <v>294</v>
      </c>
    </row>
    <row r="152" spans="1:14">
      <c r="A152" s="1">
        <v>46055.798067129632</v>
      </c>
      <c r="B152">
        <v>385347715</v>
      </c>
      <c r="C152" s="2" t="s">
        <v>186</v>
      </c>
      <c r="D152" t="s">
        <v>15</v>
      </c>
      <c r="E152" s="5">
        <v>2000</v>
      </c>
      <c r="F152" s="3">
        <v>1800</v>
      </c>
      <c r="G152" s="3">
        <v>1260</v>
      </c>
      <c r="I152" s="2" t="s">
        <v>187</v>
      </c>
      <c r="J152" s="2" t="s">
        <v>188</v>
      </c>
      <c r="K152" t="s">
        <v>18</v>
      </c>
      <c r="L152" t="str">
        <f>T("9791164835362")</f>
        <v>9791164835362</v>
      </c>
      <c r="M152" t="str">
        <f t="shared" si="4"/>
        <v/>
      </c>
      <c r="N152" t="s">
        <v>189</v>
      </c>
    </row>
    <row r="153" spans="1:14">
      <c r="A153" s="1">
        <v>46055.812835648147</v>
      </c>
      <c r="B153">
        <v>385347797</v>
      </c>
      <c r="C153" s="2" t="s">
        <v>195</v>
      </c>
      <c r="D153" t="s">
        <v>15</v>
      </c>
      <c r="E153" s="4">
        <v>700</v>
      </c>
      <c r="F153" s="2">
        <v>630</v>
      </c>
      <c r="G153" s="2">
        <v>441</v>
      </c>
      <c r="I153" s="2" t="s">
        <v>196</v>
      </c>
      <c r="J153" s="2" t="s">
        <v>197</v>
      </c>
      <c r="K153" t="s">
        <v>18</v>
      </c>
      <c r="L153" t="str">
        <f>T("9791172821937")</f>
        <v>9791172821937</v>
      </c>
      <c r="M153" t="str">
        <f t="shared" si="4"/>
        <v/>
      </c>
      <c r="N153" t="s">
        <v>198</v>
      </c>
    </row>
    <row r="154" spans="1:14">
      <c r="A154" s="1">
        <v>46055.815069444441</v>
      </c>
      <c r="B154">
        <v>384623947</v>
      </c>
      <c r="C154" s="2" t="s">
        <v>37</v>
      </c>
      <c r="D154" t="s">
        <v>15</v>
      </c>
      <c r="E154" s="5">
        <v>1000</v>
      </c>
      <c r="F154" s="3">
        <v>1000</v>
      </c>
      <c r="G154" s="2">
        <v>700</v>
      </c>
      <c r="I154" s="2" t="s">
        <v>38</v>
      </c>
      <c r="J154" s="2" t="s">
        <v>21</v>
      </c>
      <c r="K154" t="s">
        <v>18</v>
      </c>
      <c r="L154" t="str">
        <f>T("9791175582187")</f>
        <v>9791175582187</v>
      </c>
      <c r="M154" t="str">
        <f t="shared" si="4"/>
        <v/>
      </c>
      <c r="N154" t="s">
        <v>39</v>
      </c>
    </row>
    <row r="155" spans="1:14">
      <c r="A155" s="1">
        <v>46055.816458333335</v>
      </c>
      <c r="B155">
        <v>384623951</v>
      </c>
      <c r="C155" s="2" t="s">
        <v>295</v>
      </c>
      <c r="D155" t="s">
        <v>15</v>
      </c>
      <c r="E155" s="5">
        <v>1000</v>
      </c>
      <c r="F155" s="3">
        <v>1000</v>
      </c>
      <c r="G155" s="2">
        <v>700</v>
      </c>
      <c r="I155" s="2" t="s">
        <v>296</v>
      </c>
      <c r="J155" s="2" t="s">
        <v>21</v>
      </c>
      <c r="K155" t="s">
        <v>18</v>
      </c>
      <c r="L155" t="str">
        <f>T("9791175582323")</f>
        <v>9791175582323</v>
      </c>
      <c r="M155" t="str">
        <f t="shared" si="4"/>
        <v/>
      </c>
      <c r="N155" t="s">
        <v>297</v>
      </c>
    </row>
    <row r="156" spans="1:14">
      <c r="A156" s="1">
        <v>46055.816458333335</v>
      </c>
      <c r="B156">
        <v>372706794</v>
      </c>
      <c r="C156" s="2" t="s">
        <v>202</v>
      </c>
      <c r="D156" t="s">
        <v>15</v>
      </c>
      <c r="E156" s="5">
        <v>1000</v>
      </c>
      <c r="F156" s="3">
        <v>1000</v>
      </c>
      <c r="G156" s="2">
        <v>700</v>
      </c>
      <c r="I156" s="2" t="s">
        <v>41</v>
      </c>
      <c r="J156" s="2" t="s">
        <v>21</v>
      </c>
      <c r="K156" t="s">
        <v>18</v>
      </c>
      <c r="L156" t="str">
        <f>T("9791173018787")</f>
        <v>9791173018787</v>
      </c>
      <c r="M156" t="str">
        <f t="shared" si="4"/>
        <v/>
      </c>
      <c r="N156" t="s">
        <v>203</v>
      </c>
    </row>
    <row r="157" spans="1:14">
      <c r="A157" s="1">
        <v>46055.82708333333</v>
      </c>
      <c r="B157">
        <v>385348455</v>
      </c>
      <c r="C157" s="2" t="s">
        <v>255</v>
      </c>
      <c r="D157" t="s">
        <v>68</v>
      </c>
      <c r="E157" s="5">
        <v>12600</v>
      </c>
      <c r="F157" s="3">
        <v>12600</v>
      </c>
      <c r="G157" s="3">
        <v>8820</v>
      </c>
      <c r="I157" s="2" t="s">
        <v>187</v>
      </c>
      <c r="J157" s="2" t="s">
        <v>188</v>
      </c>
      <c r="K157" t="s">
        <v>18</v>
      </c>
      <c r="L157" t="str">
        <f>T("9791164835379")</f>
        <v>9791164835379</v>
      </c>
      <c r="M157" t="str">
        <f t="shared" si="4"/>
        <v/>
      </c>
    </row>
    <row r="158" spans="1:14">
      <c r="A158" s="1">
        <v>46055.83184027778</v>
      </c>
      <c r="B158">
        <v>385347715</v>
      </c>
      <c r="C158" s="2" t="s">
        <v>186</v>
      </c>
      <c r="D158" t="s">
        <v>15</v>
      </c>
      <c r="E158" s="5">
        <v>2000</v>
      </c>
      <c r="F158" s="3">
        <v>1800</v>
      </c>
      <c r="G158" s="3">
        <v>1260</v>
      </c>
      <c r="I158" s="2" t="s">
        <v>187</v>
      </c>
      <c r="J158" s="2" t="s">
        <v>188</v>
      </c>
      <c r="K158" t="s">
        <v>18</v>
      </c>
      <c r="L158" t="str">
        <f>T("9791164835362")</f>
        <v>9791164835362</v>
      </c>
      <c r="M158" t="str">
        <f t="shared" si="4"/>
        <v/>
      </c>
      <c r="N158" t="s">
        <v>189</v>
      </c>
    </row>
    <row r="159" spans="1:14">
      <c r="A159" s="1">
        <v>46055.835636574076</v>
      </c>
      <c r="B159">
        <v>343660153</v>
      </c>
      <c r="C159" s="2" t="s">
        <v>298</v>
      </c>
      <c r="D159" t="s">
        <v>15</v>
      </c>
      <c r="E159" s="5">
        <v>3300</v>
      </c>
      <c r="F159" s="3">
        <v>3300</v>
      </c>
      <c r="G159" s="3">
        <v>2310</v>
      </c>
      <c r="I159" s="2" t="s">
        <v>299</v>
      </c>
      <c r="J159" s="2" t="s">
        <v>184</v>
      </c>
      <c r="K159" t="s">
        <v>18</v>
      </c>
      <c r="L159" t="str">
        <f>T("9791170961741")</f>
        <v>9791170961741</v>
      </c>
      <c r="M159" t="str">
        <f t="shared" si="4"/>
        <v/>
      </c>
      <c r="N159" t="s">
        <v>300</v>
      </c>
    </row>
    <row r="160" spans="1:14">
      <c r="A160" s="1">
        <v>46055.842731481483</v>
      </c>
      <c r="B160">
        <v>385347715</v>
      </c>
      <c r="C160" s="2" t="s">
        <v>186</v>
      </c>
      <c r="D160" t="s">
        <v>15</v>
      </c>
      <c r="E160" s="5">
        <v>2000</v>
      </c>
      <c r="F160" s="3">
        <v>1800</v>
      </c>
      <c r="G160" s="3">
        <v>1260</v>
      </c>
      <c r="I160" s="2" t="s">
        <v>187</v>
      </c>
      <c r="J160" s="2" t="s">
        <v>188</v>
      </c>
      <c r="K160" t="s">
        <v>18</v>
      </c>
      <c r="L160" t="str">
        <f>T("9791164835362")</f>
        <v>9791164835362</v>
      </c>
      <c r="M160" t="str">
        <f t="shared" si="4"/>
        <v/>
      </c>
      <c r="N160" t="s">
        <v>189</v>
      </c>
    </row>
    <row r="161" spans="1:14">
      <c r="A161" s="1">
        <v>46055.845671296294</v>
      </c>
      <c r="B161">
        <v>360872719</v>
      </c>
      <c r="C161" s="2" t="s">
        <v>301</v>
      </c>
      <c r="D161" t="s">
        <v>15</v>
      </c>
      <c r="E161" s="5">
        <v>3000</v>
      </c>
      <c r="F161" s="3">
        <v>3000</v>
      </c>
      <c r="G161" s="3">
        <v>2100</v>
      </c>
      <c r="I161" s="2" t="s">
        <v>302</v>
      </c>
      <c r="J161" s="2" t="s">
        <v>200</v>
      </c>
      <c r="K161" t="s">
        <v>18</v>
      </c>
      <c r="L161" t="str">
        <f>T("9791173014550")</f>
        <v>9791173014550</v>
      </c>
      <c r="M161" t="str">
        <f t="shared" si="4"/>
        <v/>
      </c>
      <c r="N161" t="s">
        <v>303</v>
      </c>
    </row>
    <row r="162" spans="1:14">
      <c r="A162" s="1">
        <v>46055.847256944442</v>
      </c>
      <c r="B162">
        <v>385373253</v>
      </c>
      <c r="C162" s="2" t="s">
        <v>288</v>
      </c>
      <c r="D162" t="s">
        <v>15</v>
      </c>
      <c r="E162" s="4">
        <v>0</v>
      </c>
      <c r="F162" s="2">
        <v>0</v>
      </c>
      <c r="G162" s="2">
        <v>0</v>
      </c>
      <c r="I162" s="2" t="s">
        <v>289</v>
      </c>
      <c r="J162" s="2" t="s">
        <v>290</v>
      </c>
      <c r="K162" t="s">
        <v>18</v>
      </c>
      <c r="L162" t="str">
        <f>T("9791194726784")</f>
        <v>9791194726784</v>
      </c>
      <c r="M162" t="str">
        <f t="shared" ref="M162:M169" si="5">T("")</f>
        <v/>
      </c>
      <c r="N162" t="s">
        <v>291</v>
      </c>
    </row>
    <row r="163" spans="1:14">
      <c r="A163" s="1">
        <v>46055.849120370367</v>
      </c>
      <c r="B163">
        <v>385347515</v>
      </c>
      <c r="C163" s="2" t="s">
        <v>304</v>
      </c>
      <c r="D163" t="s">
        <v>15</v>
      </c>
      <c r="E163" s="5">
        <v>1300</v>
      </c>
      <c r="F163" s="3">
        <v>1300</v>
      </c>
      <c r="G163" s="2">
        <v>910</v>
      </c>
      <c r="I163" s="2" t="s">
        <v>148</v>
      </c>
      <c r="J163" s="2" t="s">
        <v>21</v>
      </c>
      <c r="K163" t="s">
        <v>18</v>
      </c>
      <c r="L163" t="str">
        <f>T("9791175582521")</f>
        <v>9791175582521</v>
      </c>
      <c r="M163" t="str">
        <f t="shared" si="5"/>
        <v/>
      </c>
      <c r="N163" t="s">
        <v>305</v>
      </c>
    </row>
    <row r="164" spans="1:14">
      <c r="A164" s="1">
        <v>46055.8596875</v>
      </c>
      <c r="B164">
        <v>385348455</v>
      </c>
      <c r="C164" s="2" t="s">
        <v>255</v>
      </c>
      <c r="D164" t="s">
        <v>68</v>
      </c>
      <c r="E164" s="5">
        <v>12600</v>
      </c>
      <c r="F164" s="3">
        <v>12600</v>
      </c>
      <c r="G164" s="3">
        <v>8820</v>
      </c>
      <c r="I164" s="2" t="s">
        <v>187</v>
      </c>
      <c r="J164" s="2" t="s">
        <v>188</v>
      </c>
      <c r="K164" t="s">
        <v>18</v>
      </c>
      <c r="L164" t="str">
        <f>T("9791164835379")</f>
        <v>9791164835379</v>
      </c>
      <c r="M164" t="str">
        <f t="shared" si="5"/>
        <v/>
      </c>
    </row>
    <row r="165" spans="1:14">
      <c r="A165" s="1">
        <v>46055.860138888886</v>
      </c>
      <c r="B165">
        <v>385347792</v>
      </c>
      <c r="C165" s="2" t="s">
        <v>306</v>
      </c>
      <c r="D165" t="s">
        <v>15</v>
      </c>
      <c r="E165" s="5">
        <v>1000</v>
      </c>
      <c r="F165" s="2">
        <v>900</v>
      </c>
      <c r="G165" s="2">
        <v>630</v>
      </c>
      <c r="I165" s="2" t="s">
        <v>307</v>
      </c>
      <c r="J165" s="2" t="s">
        <v>308</v>
      </c>
      <c r="K165" t="s">
        <v>18</v>
      </c>
      <c r="L165" t="str">
        <f>T("9791194982753")</f>
        <v>9791194982753</v>
      </c>
      <c r="M165" t="str">
        <f t="shared" si="5"/>
        <v/>
      </c>
      <c r="N165" t="s">
        <v>309</v>
      </c>
    </row>
    <row r="166" spans="1:14">
      <c r="A166" s="1">
        <v>46055.867349537039</v>
      </c>
      <c r="B166">
        <v>275076000</v>
      </c>
      <c r="C166" s="2" t="s">
        <v>310</v>
      </c>
      <c r="D166" t="s">
        <v>15</v>
      </c>
      <c r="E166" s="5">
        <v>1000</v>
      </c>
      <c r="F166" s="3">
        <v>1000</v>
      </c>
      <c r="G166" s="2">
        <v>700</v>
      </c>
      <c r="I166" s="2" t="s">
        <v>31</v>
      </c>
      <c r="J166" s="2" t="s">
        <v>21</v>
      </c>
      <c r="K166" t="s">
        <v>18</v>
      </c>
      <c r="L166" t="str">
        <f>T("9791191337655")</f>
        <v>9791191337655</v>
      </c>
      <c r="M166" t="str">
        <f t="shared" si="5"/>
        <v/>
      </c>
    </row>
    <row r="167" spans="1:14">
      <c r="A167" s="1">
        <v>46055.868831018517</v>
      </c>
      <c r="B167">
        <v>385193750</v>
      </c>
      <c r="C167" s="2" t="s">
        <v>311</v>
      </c>
      <c r="D167" t="s">
        <v>15</v>
      </c>
      <c r="E167" s="5">
        <v>1000</v>
      </c>
      <c r="F167" s="3">
        <v>1000</v>
      </c>
      <c r="G167" s="2">
        <v>700</v>
      </c>
      <c r="I167" s="2" t="s">
        <v>312</v>
      </c>
      <c r="J167" s="2" t="s">
        <v>21</v>
      </c>
      <c r="K167" t="s">
        <v>18</v>
      </c>
      <c r="L167" t="str">
        <f>T("9791175582484")</f>
        <v>9791175582484</v>
      </c>
      <c r="M167" t="str">
        <f t="shared" si="5"/>
        <v/>
      </c>
      <c r="N167" t="s">
        <v>313</v>
      </c>
    </row>
    <row r="168" spans="1:14">
      <c r="A168" s="1">
        <v>46055.871562499997</v>
      </c>
      <c r="B168">
        <v>385347715</v>
      </c>
      <c r="C168" s="2" t="s">
        <v>186</v>
      </c>
      <c r="D168" t="s">
        <v>15</v>
      </c>
      <c r="E168" s="5">
        <v>2000</v>
      </c>
      <c r="F168" s="3">
        <v>1800</v>
      </c>
      <c r="G168" s="3">
        <v>1260</v>
      </c>
      <c r="I168" s="2" t="s">
        <v>187</v>
      </c>
      <c r="J168" s="2" t="s">
        <v>188</v>
      </c>
      <c r="K168" t="s">
        <v>18</v>
      </c>
      <c r="L168" t="str">
        <f>T("9791164835362")</f>
        <v>9791164835362</v>
      </c>
      <c r="M168" t="str">
        <f t="shared" si="5"/>
        <v/>
      </c>
      <c r="N168" t="s">
        <v>189</v>
      </c>
    </row>
    <row r="169" spans="1:14">
      <c r="A169" s="1">
        <v>46055.876736111109</v>
      </c>
      <c r="B169">
        <v>277097599</v>
      </c>
      <c r="C169" s="2" t="s">
        <v>314</v>
      </c>
      <c r="D169" t="s">
        <v>15</v>
      </c>
      <c r="E169" s="5">
        <v>1000</v>
      </c>
      <c r="F169" s="3">
        <v>1000</v>
      </c>
      <c r="G169" s="2">
        <v>700</v>
      </c>
      <c r="I169" s="2" t="s">
        <v>31</v>
      </c>
      <c r="J169" s="2" t="s">
        <v>21</v>
      </c>
      <c r="K169" t="s">
        <v>18</v>
      </c>
      <c r="L169" t="str">
        <f>T("9791191337846")</f>
        <v>9791191337846</v>
      </c>
      <c r="M169" t="str">
        <f t="shared" si="5"/>
        <v/>
      </c>
    </row>
    <row r="170" spans="1:14">
      <c r="A170" s="1">
        <v>46055.877164351848</v>
      </c>
      <c r="B170">
        <v>385348458</v>
      </c>
      <c r="C170" s="2" t="s">
        <v>315</v>
      </c>
      <c r="D170" t="s">
        <v>15</v>
      </c>
      <c r="E170" s="5">
        <v>8700</v>
      </c>
      <c r="F170" s="3">
        <v>7830</v>
      </c>
      <c r="G170" s="3">
        <v>5481</v>
      </c>
      <c r="I170" s="2" t="s">
        <v>316</v>
      </c>
      <c r="J170" s="2" t="s">
        <v>184</v>
      </c>
      <c r="K170" t="s">
        <v>18</v>
      </c>
      <c r="L170" t="str">
        <f>T("")</f>
        <v/>
      </c>
      <c r="M170" t="str">
        <f>T("G720:N+A229-20251209020")</f>
        <v>G720:N+A229-20251209020</v>
      </c>
    </row>
    <row r="171" spans="1:14">
      <c r="A171" s="1">
        <v>46055.879432870373</v>
      </c>
      <c r="B171">
        <v>372706794</v>
      </c>
      <c r="C171" s="2" t="s">
        <v>202</v>
      </c>
      <c r="D171" t="s">
        <v>15</v>
      </c>
      <c r="E171" s="5">
        <v>1000</v>
      </c>
      <c r="F171" s="3">
        <v>1000</v>
      </c>
      <c r="G171" s="2">
        <v>700</v>
      </c>
      <c r="I171" s="2" t="s">
        <v>41</v>
      </c>
      <c r="J171" s="2" t="s">
        <v>21</v>
      </c>
      <c r="K171" t="s">
        <v>18</v>
      </c>
      <c r="L171" t="str">
        <f>T("9791173018787")</f>
        <v>9791173018787</v>
      </c>
      <c r="M171" t="str">
        <f t="shared" ref="M171:M202" si="6">T("")</f>
        <v/>
      </c>
      <c r="N171" t="s">
        <v>203</v>
      </c>
    </row>
    <row r="172" spans="1:14">
      <c r="A172" s="1">
        <v>46055.879432870373</v>
      </c>
      <c r="B172">
        <v>367861964</v>
      </c>
      <c r="C172" s="2" t="s">
        <v>317</v>
      </c>
      <c r="D172" t="s">
        <v>15</v>
      </c>
      <c r="E172" s="5">
        <v>1000</v>
      </c>
      <c r="F172" s="3">
        <v>1000</v>
      </c>
      <c r="G172" s="2">
        <v>700</v>
      </c>
      <c r="I172" s="2" t="s">
        <v>312</v>
      </c>
      <c r="J172" s="2" t="s">
        <v>21</v>
      </c>
      <c r="K172" t="s">
        <v>18</v>
      </c>
      <c r="L172" t="str">
        <f>T("9791173017070")</f>
        <v>9791173017070</v>
      </c>
      <c r="M172" t="str">
        <f t="shared" si="6"/>
        <v/>
      </c>
      <c r="N172" t="s">
        <v>318</v>
      </c>
    </row>
    <row r="173" spans="1:14">
      <c r="A173" s="1">
        <v>46055.880300925928</v>
      </c>
      <c r="B173">
        <v>385348455</v>
      </c>
      <c r="C173" s="2" t="s">
        <v>255</v>
      </c>
      <c r="D173" t="s">
        <v>68</v>
      </c>
      <c r="E173" s="5">
        <v>12600</v>
      </c>
      <c r="F173" s="3">
        <v>12600</v>
      </c>
      <c r="G173" s="3">
        <v>8820</v>
      </c>
      <c r="I173" s="2" t="s">
        <v>187</v>
      </c>
      <c r="J173" s="2" t="s">
        <v>188</v>
      </c>
      <c r="K173" t="s">
        <v>18</v>
      </c>
      <c r="L173" t="str">
        <f>T("9791164835379")</f>
        <v>9791164835379</v>
      </c>
      <c r="M173" t="str">
        <f t="shared" si="6"/>
        <v/>
      </c>
    </row>
    <row r="174" spans="1:14">
      <c r="A174" s="1">
        <v>46055.884687500002</v>
      </c>
      <c r="B174">
        <v>384623944</v>
      </c>
      <c r="C174" s="2" t="s">
        <v>319</v>
      </c>
      <c r="D174" t="s">
        <v>15</v>
      </c>
      <c r="E174" s="5">
        <v>1000</v>
      </c>
      <c r="F174" s="3">
        <v>1000</v>
      </c>
      <c r="G174" s="2">
        <v>700</v>
      </c>
      <c r="I174" s="2" t="s">
        <v>312</v>
      </c>
      <c r="J174" s="2" t="s">
        <v>21</v>
      </c>
      <c r="K174" t="s">
        <v>18</v>
      </c>
      <c r="L174" t="str">
        <f>T("9791175582330")</f>
        <v>9791175582330</v>
      </c>
      <c r="M174" t="str">
        <f t="shared" si="6"/>
        <v/>
      </c>
      <c r="N174" t="s">
        <v>320</v>
      </c>
    </row>
    <row r="175" spans="1:14">
      <c r="A175" s="1">
        <v>46055.88490740741</v>
      </c>
      <c r="B175">
        <v>384623947</v>
      </c>
      <c r="C175" s="2" t="s">
        <v>37</v>
      </c>
      <c r="D175" t="s">
        <v>15</v>
      </c>
      <c r="E175" s="5">
        <v>1000</v>
      </c>
      <c r="F175" s="3">
        <v>1000</v>
      </c>
      <c r="G175" s="2">
        <v>700</v>
      </c>
      <c r="I175" s="2" t="s">
        <v>38</v>
      </c>
      <c r="J175" s="2" t="s">
        <v>21</v>
      </c>
      <c r="K175" t="s">
        <v>18</v>
      </c>
      <c r="L175" t="str">
        <f>T("9791175582187")</f>
        <v>9791175582187</v>
      </c>
      <c r="M175" t="str">
        <f t="shared" si="6"/>
        <v/>
      </c>
      <c r="N175" t="s">
        <v>39</v>
      </c>
    </row>
    <row r="176" spans="1:14">
      <c r="A176" s="1">
        <v>46055.894444444442</v>
      </c>
      <c r="B176">
        <v>385347715</v>
      </c>
      <c r="C176" s="2" t="s">
        <v>186</v>
      </c>
      <c r="D176" t="s">
        <v>15</v>
      </c>
      <c r="E176" s="5">
        <v>2000</v>
      </c>
      <c r="F176" s="3">
        <v>1800</v>
      </c>
      <c r="G176" s="3">
        <v>1260</v>
      </c>
      <c r="I176" s="2" t="s">
        <v>187</v>
      </c>
      <c r="J176" s="2" t="s">
        <v>188</v>
      </c>
      <c r="K176" t="s">
        <v>18</v>
      </c>
      <c r="L176" t="str">
        <f>T("9791164835362")</f>
        <v>9791164835362</v>
      </c>
      <c r="M176" t="str">
        <f t="shared" si="6"/>
        <v/>
      </c>
      <c r="N176" t="s">
        <v>189</v>
      </c>
    </row>
    <row r="177" spans="1:14">
      <c r="A177" s="1">
        <v>46055.896608796298</v>
      </c>
      <c r="B177">
        <v>385347715</v>
      </c>
      <c r="C177" s="2" t="s">
        <v>186</v>
      </c>
      <c r="D177" t="s">
        <v>15</v>
      </c>
      <c r="E177" s="5">
        <v>2000</v>
      </c>
      <c r="F177" s="3">
        <v>1800</v>
      </c>
      <c r="G177" s="3">
        <v>1260</v>
      </c>
      <c r="I177" s="2" t="s">
        <v>187</v>
      </c>
      <c r="J177" s="2" t="s">
        <v>188</v>
      </c>
      <c r="K177" t="s">
        <v>18</v>
      </c>
      <c r="L177" t="str">
        <f>T("9791164835362")</f>
        <v>9791164835362</v>
      </c>
      <c r="M177" t="str">
        <f t="shared" si="6"/>
        <v/>
      </c>
      <c r="N177" t="s">
        <v>189</v>
      </c>
    </row>
    <row r="178" spans="1:14">
      <c r="A178" s="1">
        <v>46055.900104166663</v>
      </c>
      <c r="B178">
        <v>385347715</v>
      </c>
      <c r="C178" s="2" t="s">
        <v>186</v>
      </c>
      <c r="D178" t="s">
        <v>15</v>
      </c>
      <c r="E178" s="5">
        <v>2000</v>
      </c>
      <c r="F178" s="3">
        <v>1800</v>
      </c>
      <c r="G178" s="3">
        <v>1260</v>
      </c>
      <c r="I178" s="2" t="s">
        <v>187</v>
      </c>
      <c r="J178" s="2" t="s">
        <v>188</v>
      </c>
      <c r="K178" t="s">
        <v>18</v>
      </c>
      <c r="L178" t="str">
        <f>T("9791164835362")</f>
        <v>9791164835362</v>
      </c>
      <c r="M178" t="str">
        <f t="shared" si="6"/>
        <v/>
      </c>
      <c r="N178" t="s">
        <v>189</v>
      </c>
    </row>
    <row r="179" spans="1:14">
      <c r="A179" s="1">
        <v>46055.908668981479</v>
      </c>
      <c r="B179">
        <v>385347797</v>
      </c>
      <c r="C179" s="2" t="s">
        <v>195</v>
      </c>
      <c r="D179" t="s">
        <v>15</v>
      </c>
      <c r="E179" s="4">
        <v>700</v>
      </c>
      <c r="F179" s="2">
        <v>630</v>
      </c>
      <c r="G179" s="2">
        <v>441</v>
      </c>
      <c r="I179" s="2" t="s">
        <v>196</v>
      </c>
      <c r="J179" s="2" t="s">
        <v>197</v>
      </c>
      <c r="K179" t="s">
        <v>18</v>
      </c>
      <c r="L179" t="str">
        <f>T("9791172821937")</f>
        <v>9791172821937</v>
      </c>
      <c r="M179" t="str">
        <f t="shared" si="6"/>
        <v/>
      </c>
      <c r="N179" t="s">
        <v>198</v>
      </c>
    </row>
    <row r="180" spans="1:14">
      <c r="A180" s="1">
        <v>46055.910740740743</v>
      </c>
      <c r="B180">
        <v>383003769</v>
      </c>
      <c r="C180" s="2" t="s">
        <v>321</v>
      </c>
      <c r="D180" t="s">
        <v>15</v>
      </c>
      <c r="E180" s="5">
        <v>3500</v>
      </c>
      <c r="F180" s="3">
        <v>3500</v>
      </c>
      <c r="G180" s="3">
        <v>2450</v>
      </c>
      <c r="I180" s="2" t="s">
        <v>322</v>
      </c>
      <c r="J180" s="2" t="s">
        <v>184</v>
      </c>
      <c r="K180" t="s">
        <v>18</v>
      </c>
      <c r="L180" t="str">
        <f>T("9791170964964")</f>
        <v>9791170964964</v>
      </c>
      <c r="M180" t="str">
        <f t="shared" si="6"/>
        <v/>
      </c>
      <c r="N180" t="s">
        <v>323</v>
      </c>
    </row>
    <row r="181" spans="1:14">
      <c r="A181" s="1">
        <v>46055.910740740743</v>
      </c>
      <c r="B181">
        <v>383003816</v>
      </c>
      <c r="C181" s="2" t="s">
        <v>324</v>
      </c>
      <c r="D181" t="s">
        <v>15</v>
      </c>
      <c r="E181" s="5">
        <v>3500</v>
      </c>
      <c r="F181" s="3">
        <v>3500</v>
      </c>
      <c r="G181" s="3">
        <v>2450</v>
      </c>
      <c r="I181" s="2" t="s">
        <v>322</v>
      </c>
      <c r="J181" s="2" t="s">
        <v>184</v>
      </c>
      <c r="K181" t="s">
        <v>18</v>
      </c>
      <c r="L181" t="str">
        <f>T("9791170964971")</f>
        <v>9791170964971</v>
      </c>
      <c r="M181" t="str">
        <f t="shared" si="6"/>
        <v/>
      </c>
      <c r="N181" t="s">
        <v>325</v>
      </c>
    </row>
    <row r="182" spans="1:14">
      <c r="A182" s="1">
        <v>46055.910740740743</v>
      </c>
      <c r="B182">
        <v>383003825</v>
      </c>
      <c r="C182" s="2" t="s">
        <v>326</v>
      </c>
      <c r="D182" t="s">
        <v>15</v>
      </c>
      <c r="E182" s="5">
        <v>3500</v>
      </c>
      <c r="F182" s="3">
        <v>3500</v>
      </c>
      <c r="G182" s="3">
        <v>2450</v>
      </c>
      <c r="I182" s="2" t="s">
        <v>322</v>
      </c>
      <c r="J182" s="2" t="s">
        <v>184</v>
      </c>
      <c r="K182" t="s">
        <v>18</v>
      </c>
      <c r="L182" t="str">
        <f>T("9791170964988")</f>
        <v>9791170964988</v>
      </c>
      <c r="M182" t="str">
        <f t="shared" si="6"/>
        <v/>
      </c>
      <c r="N182" t="s">
        <v>327</v>
      </c>
    </row>
    <row r="183" spans="1:14">
      <c r="A183" s="1">
        <v>46055.91914351852</v>
      </c>
      <c r="B183">
        <v>277935831</v>
      </c>
      <c r="C183" s="2" t="s">
        <v>328</v>
      </c>
      <c r="D183" t="s">
        <v>15</v>
      </c>
      <c r="E183" s="4">
        <v>100</v>
      </c>
      <c r="F183" s="2">
        <v>100</v>
      </c>
      <c r="G183" s="2">
        <v>70</v>
      </c>
      <c r="I183" s="2" t="s">
        <v>64</v>
      </c>
      <c r="J183" s="2" t="s">
        <v>65</v>
      </c>
      <c r="K183" t="s">
        <v>18</v>
      </c>
      <c r="L183" t="str">
        <f>T("9791162589724")</f>
        <v>9791162589724</v>
      </c>
      <c r="M183" t="str">
        <f t="shared" si="6"/>
        <v/>
      </c>
      <c r="N183" t="s">
        <v>329</v>
      </c>
    </row>
    <row r="184" spans="1:14">
      <c r="A184" s="1">
        <v>46055.91914351852</v>
      </c>
      <c r="B184">
        <v>277935855</v>
      </c>
      <c r="C184" s="2" t="s">
        <v>330</v>
      </c>
      <c r="D184" t="s">
        <v>15</v>
      </c>
      <c r="E184" s="4">
        <v>100</v>
      </c>
      <c r="F184" s="2">
        <v>100</v>
      </c>
      <c r="G184" s="2">
        <v>70</v>
      </c>
      <c r="I184" s="2" t="s">
        <v>64</v>
      </c>
      <c r="J184" s="2" t="s">
        <v>65</v>
      </c>
      <c r="K184" t="s">
        <v>18</v>
      </c>
      <c r="L184" t="str">
        <f>T("9791162589724")</f>
        <v>9791162589724</v>
      </c>
      <c r="M184" t="str">
        <f t="shared" si="6"/>
        <v/>
      </c>
      <c r="N184" t="s">
        <v>331</v>
      </c>
    </row>
    <row r="185" spans="1:14">
      <c r="A185" s="1">
        <v>46055.91914351852</v>
      </c>
      <c r="B185">
        <v>277935765</v>
      </c>
      <c r="C185" s="2" t="s">
        <v>332</v>
      </c>
      <c r="D185" t="s">
        <v>15</v>
      </c>
      <c r="E185" s="4">
        <v>100</v>
      </c>
      <c r="F185" s="2">
        <v>100</v>
      </c>
      <c r="G185" s="2">
        <v>70</v>
      </c>
      <c r="I185" s="2" t="s">
        <v>64</v>
      </c>
      <c r="J185" s="2" t="s">
        <v>65</v>
      </c>
      <c r="K185" t="s">
        <v>18</v>
      </c>
      <c r="L185" t="str">
        <f>T("9791162589724")</f>
        <v>9791162589724</v>
      </c>
      <c r="M185" t="str">
        <f t="shared" si="6"/>
        <v/>
      </c>
      <c r="N185" t="s">
        <v>333</v>
      </c>
    </row>
    <row r="186" spans="1:14">
      <c r="A186" s="1">
        <v>46055.921319444446</v>
      </c>
      <c r="B186">
        <v>362054037</v>
      </c>
      <c r="C186" s="2" t="s">
        <v>334</v>
      </c>
      <c r="D186" t="s">
        <v>15</v>
      </c>
      <c r="E186" s="5">
        <v>2500</v>
      </c>
      <c r="F186" s="3">
        <v>2500</v>
      </c>
      <c r="G186" s="3">
        <v>1750</v>
      </c>
      <c r="I186" s="2" t="s">
        <v>335</v>
      </c>
      <c r="J186" s="2" t="s">
        <v>239</v>
      </c>
      <c r="K186" t="s">
        <v>18</v>
      </c>
      <c r="L186" t="str">
        <f>T("9791194174448")</f>
        <v>9791194174448</v>
      </c>
      <c r="M186" t="str">
        <f t="shared" si="6"/>
        <v/>
      </c>
      <c r="N186" t="s">
        <v>336</v>
      </c>
    </row>
    <row r="187" spans="1:14">
      <c r="A187" s="1">
        <v>46055.925520833334</v>
      </c>
      <c r="B187">
        <v>385347715</v>
      </c>
      <c r="C187" s="2" t="s">
        <v>186</v>
      </c>
      <c r="D187" t="s">
        <v>15</v>
      </c>
      <c r="E187" s="5">
        <v>2000</v>
      </c>
      <c r="F187" s="3">
        <v>1800</v>
      </c>
      <c r="G187" s="3">
        <v>1260</v>
      </c>
      <c r="I187" s="2" t="s">
        <v>187</v>
      </c>
      <c r="J187" s="2" t="s">
        <v>188</v>
      </c>
      <c r="K187" t="s">
        <v>18</v>
      </c>
      <c r="L187" t="str">
        <f>T("9791164835362")</f>
        <v>9791164835362</v>
      </c>
      <c r="M187" t="str">
        <f t="shared" si="6"/>
        <v/>
      </c>
      <c r="N187" t="s">
        <v>189</v>
      </c>
    </row>
    <row r="188" spans="1:14">
      <c r="A188" s="1">
        <v>46055.92597222222</v>
      </c>
      <c r="B188">
        <v>385347797</v>
      </c>
      <c r="C188" s="2" t="s">
        <v>195</v>
      </c>
      <c r="D188" t="s">
        <v>15</v>
      </c>
      <c r="E188" s="4">
        <v>700</v>
      </c>
      <c r="F188" s="2">
        <v>630</v>
      </c>
      <c r="G188" s="2">
        <v>441</v>
      </c>
      <c r="I188" s="2" t="s">
        <v>196</v>
      </c>
      <c r="J188" s="2" t="s">
        <v>197</v>
      </c>
      <c r="K188" t="s">
        <v>18</v>
      </c>
      <c r="L188" t="str">
        <f>T("9791172821937")</f>
        <v>9791172821937</v>
      </c>
      <c r="M188" t="str">
        <f t="shared" si="6"/>
        <v/>
      </c>
      <c r="N188" t="s">
        <v>198</v>
      </c>
    </row>
    <row r="189" spans="1:14">
      <c r="A189" s="1">
        <v>46055.928078703706</v>
      </c>
      <c r="B189">
        <v>385347792</v>
      </c>
      <c r="C189" s="2" t="s">
        <v>306</v>
      </c>
      <c r="D189" t="s">
        <v>15</v>
      </c>
      <c r="E189" s="5">
        <v>1000</v>
      </c>
      <c r="F189" s="2">
        <v>900</v>
      </c>
      <c r="G189" s="2">
        <v>630</v>
      </c>
      <c r="I189" s="2" t="s">
        <v>307</v>
      </c>
      <c r="J189" s="2" t="s">
        <v>308</v>
      </c>
      <c r="K189" t="s">
        <v>18</v>
      </c>
      <c r="L189" t="str">
        <f>T("9791194982753")</f>
        <v>9791194982753</v>
      </c>
      <c r="M189" t="str">
        <f t="shared" si="6"/>
        <v/>
      </c>
      <c r="N189" t="s">
        <v>309</v>
      </c>
    </row>
    <row r="190" spans="1:14">
      <c r="A190" s="1">
        <v>46055.928090277775</v>
      </c>
      <c r="B190">
        <v>385347715</v>
      </c>
      <c r="C190" s="2" t="s">
        <v>186</v>
      </c>
      <c r="D190" t="s">
        <v>15</v>
      </c>
      <c r="E190" s="5">
        <v>2000</v>
      </c>
      <c r="F190" s="3">
        <v>1800</v>
      </c>
      <c r="G190" s="3">
        <v>1260</v>
      </c>
      <c r="I190" s="2" t="s">
        <v>187</v>
      </c>
      <c r="J190" s="2" t="s">
        <v>188</v>
      </c>
      <c r="K190" t="s">
        <v>18</v>
      </c>
      <c r="L190" t="str">
        <f>T("9791164835362")</f>
        <v>9791164835362</v>
      </c>
      <c r="M190" t="str">
        <f t="shared" si="6"/>
        <v/>
      </c>
      <c r="N190" t="s">
        <v>189</v>
      </c>
    </row>
    <row r="191" spans="1:14">
      <c r="A191" s="1">
        <v>46055.92832175926</v>
      </c>
      <c r="B191">
        <v>385347715</v>
      </c>
      <c r="C191" s="2" t="s">
        <v>186</v>
      </c>
      <c r="D191" t="s">
        <v>15</v>
      </c>
      <c r="E191" s="5">
        <v>2000</v>
      </c>
      <c r="F191" s="3">
        <v>1800</v>
      </c>
      <c r="G191" s="3">
        <v>1260</v>
      </c>
      <c r="I191" s="2" t="s">
        <v>187</v>
      </c>
      <c r="J191" s="2" t="s">
        <v>188</v>
      </c>
      <c r="K191" t="s">
        <v>18</v>
      </c>
      <c r="L191" t="str">
        <f>T("9791164835362")</f>
        <v>9791164835362</v>
      </c>
      <c r="M191" t="str">
        <f t="shared" si="6"/>
        <v/>
      </c>
      <c r="N191" t="s">
        <v>189</v>
      </c>
    </row>
    <row r="192" spans="1:14">
      <c r="A192" s="1">
        <v>46055.929513888892</v>
      </c>
      <c r="B192">
        <v>300774075</v>
      </c>
      <c r="C192" s="2" t="s">
        <v>337</v>
      </c>
      <c r="D192" t="s">
        <v>15</v>
      </c>
      <c r="E192" s="5">
        <v>4500</v>
      </c>
      <c r="F192" s="3">
        <v>4500</v>
      </c>
      <c r="G192" s="3">
        <v>3150</v>
      </c>
      <c r="I192" s="2" t="s">
        <v>266</v>
      </c>
      <c r="J192" s="2" t="s">
        <v>126</v>
      </c>
      <c r="K192" t="s">
        <v>18</v>
      </c>
      <c r="L192" t="str">
        <f>T("9791164977550")</f>
        <v>9791164977550</v>
      </c>
      <c r="M192" t="str">
        <f t="shared" si="6"/>
        <v/>
      </c>
      <c r="N192" t="s">
        <v>338</v>
      </c>
    </row>
    <row r="193" spans="1:14">
      <c r="A193" s="1">
        <v>46055.933703703704</v>
      </c>
      <c r="B193">
        <v>385348455</v>
      </c>
      <c r="C193" s="2" t="s">
        <v>255</v>
      </c>
      <c r="D193" t="s">
        <v>68</v>
      </c>
      <c r="E193" s="5">
        <v>12600</v>
      </c>
      <c r="F193" s="3">
        <v>12600</v>
      </c>
      <c r="G193" s="3">
        <v>8820</v>
      </c>
      <c r="I193" s="2" t="s">
        <v>187</v>
      </c>
      <c r="J193" s="2" t="s">
        <v>188</v>
      </c>
      <c r="K193" t="s">
        <v>18</v>
      </c>
      <c r="L193" t="str">
        <f>T("9791164835379")</f>
        <v>9791164835379</v>
      </c>
      <c r="M193" t="str">
        <f t="shared" si="6"/>
        <v/>
      </c>
    </row>
    <row r="194" spans="1:14">
      <c r="A194" s="1">
        <v>46055.939930555556</v>
      </c>
      <c r="B194">
        <v>385347715</v>
      </c>
      <c r="C194" s="2" t="s">
        <v>186</v>
      </c>
      <c r="D194" t="s">
        <v>15</v>
      </c>
      <c r="E194" s="5">
        <v>2000</v>
      </c>
      <c r="F194" s="3">
        <v>1800</v>
      </c>
      <c r="G194" s="3">
        <v>1260</v>
      </c>
      <c r="I194" s="2" t="s">
        <v>187</v>
      </c>
      <c r="J194" s="2" t="s">
        <v>188</v>
      </c>
      <c r="K194" t="s">
        <v>18</v>
      </c>
      <c r="L194" t="str">
        <f>T("9791164835362")</f>
        <v>9791164835362</v>
      </c>
      <c r="M194" t="str">
        <f t="shared" si="6"/>
        <v/>
      </c>
      <c r="N194" t="s">
        <v>189</v>
      </c>
    </row>
    <row r="195" spans="1:14">
      <c r="A195" s="1">
        <v>46055.940613425926</v>
      </c>
      <c r="B195">
        <v>383309290</v>
      </c>
      <c r="C195" s="2" t="s">
        <v>339</v>
      </c>
      <c r="D195" t="s">
        <v>15</v>
      </c>
      <c r="E195" s="5">
        <v>12800</v>
      </c>
      <c r="F195" s="3">
        <v>11520</v>
      </c>
      <c r="G195" s="3">
        <v>8064</v>
      </c>
      <c r="I195" s="2" t="s">
        <v>340</v>
      </c>
      <c r="J195" s="2" t="s">
        <v>341</v>
      </c>
      <c r="K195" t="s">
        <v>18</v>
      </c>
      <c r="L195" t="str">
        <f>T("9791193583074")</f>
        <v>9791193583074</v>
      </c>
      <c r="M195" t="str">
        <f t="shared" si="6"/>
        <v/>
      </c>
    </row>
    <row r="196" spans="1:14">
      <c r="A196" s="1">
        <v>46055.946250000001</v>
      </c>
      <c r="B196">
        <v>367671027</v>
      </c>
      <c r="C196" s="2" t="s">
        <v>342</v>
      </c>
      <c r="D196" t="s">
        <v>15</v>
      </c>
      <c r="E196" s="5">
        <v>1000</v>
      </c>
      <c r="F196" s="3">
        <v>1000</v>
      </c>
      <c r="G196" s="2">
        <v>700</v>
      </c>
      <c r="I196" s="2" t="s">
        <v>343</v>
      </c>
      <c r="J196" s="2" t="s">
        <v>21</v>
      </c>
      <c r="K196" t="s">
        <v>18</v>
      </c>
      <c r="L196" t="str">
        <f>T("9791173015564")</f>
        <v>9791173015564</v>
      </c>
      <c r="M196" t="str">
        <f t="shared" si="6"/>
        <v/>
      </c>
      <c r="N196" t="s">
        <v>344</v>
      </c>
    </row>
    <row r="197" spans="1:14">
      <c r="A197" s="1">
        <v>46055.947627314818</v>
      </c>
      <c r="B197">
        <v>385348455</v>
      </c>
      <c r="C197" s="2" t="s">
        <v>255</v>
      </c>
      <c r="D197" t="s">
        <v>68</v>
      </c>
      <c r="E197" s="5">
        <v>12600</v>
      </c>
      <c r="F197" s="3">
        <v>12600</v>
      </c>
      <c r="G197" s="3">
        <v>8820</v>
      </c>
      <c r="I197" s="2" t="s">
        <v>187</v>
      </c>
      <c r="J197" s="2" t="s">
        <v>188</v>
      </c>
      <c r="K197" t="s">
        <v>18</v>
      </c>
      <c r="L197" t="str">
        <f>T("9791164835379")</f>
        <v>9791164835379</v>
      </c>
      <c r="M197" t="str">
        <f t="shared" si="6"/>
        <v/>
      </c>
    </row>
    <row r="198" spans="1:14">
      <c r="A198" s="1">
        <v>46055.948344907411</v>
      </c>
      <c r="B198">
        <v>385347715</v>
      </c>
      <c r="C198" s="2" t="s">
        <v>186</v>
      </c>
      <c r="D198" t="s">
        <v>15</v>
      </c>
      <c r="E198" s="5">
        <v>2000</v>
      </c>
      <c r="F198" s="3">
        <v>1800</v>
      </c>
      <c r="G198" s="3">
        <v>1260</v>
      </c>
      <c r="I198" s="2" t="s">
        <v>187</v>
      </c>
      <c r="J198" s="2" t="s">
        <v>188</v>
      </c>
      <c r="K198" t="s">
        <v>18</v>
      </c>
      <c r="L198" t="str">
        <f>T("9791164835362")</f>
        <v>9791164835362</v>
      </c>
      <c r="M198" t="str">
        <f t="shared" si="6"/>
        <v/>
      </c>
      <c r="N198" t="s">
        <v>189</v>
      </c>
    </row>
    <row r="199" spans="1:14">
      <c r="A199" s="1">
        <v>46055.950127314813</v>
      </c>
      <c r="B199">
        <v>379511327</v>
      </c>
      <c r="C199" s="2" t="s">
        <v>262</v>
      </c>
      <c r="D199" t="s">
        <v>15</v>
      </c>
      <c r="E199" s="5">
        <v>3300</v>
      </c>
      <c r="F199" s="3">
        <v>3300</v>
      </c>
      <c r="G199" s="3">
        <v>2310</v>
      </c>
      <c r="I199" s="2" t="s">
        <v>263</v>
      </c>
      <c r="J199" s="2" t="s">
        <v>126</v>
      </c>
      <c r="K199" t="s">
        <v>18</v>
      </c>
      <c r="L199" t="str">
        <f>T("9791171502875")</f>
        <v>9791171502875</v>
      </c>
      <c r="M199" t="str">
        <f t="shared" si="6"/>
        <v/>
      </c>
      <c r="N199" t="s">
        <v>264</v>
      </c>
    </row>
    <row r="200" spans="1:14">
      <c r="A200" s="1">
        <v>46055.950706018521</v>
      </c>
      <c r="B200">
        <v>293180354</v>
      </c>
      <c r="C200" s="2" t="s">
        <v>345</v>
      </c>
      <c r="D200" t="s">
        <v>15</v>
      </c>
      <c r="E200" s="5">
        <v>1300</v>
      </c>
      <c r="F200" s="3">
        <v>1300</v>
      </c>
      <c r="G200" s="2">
        <v>910</v>
      </c>
      <c r="I200" s="2" t="s">
        <v>211</v>
      </c>
      <c r="J200" s="2" t="s">
        <v>21</v>
      </c>
      <c r="K200" t="s">
        <v>18</v>
      </c>
      <c r="L200" t="str">
        <f>T("9791167831972")</f>
        <v>9791167831972</v>
      </c>
      <c r="M200" t="str">
        <f t="shared" si="6"/>
        <v/>
      </c>
    </row>
    <row r="201" spans="1:14">
      <c r="A201" s="1">
        <v>46055.952094907407</v>
      </c>
      <c r="B201">
        <v>189532331</v>
      </c>
      <c r="C201" s="2" t="s">
        <v>346</v>
      </c>
      <c r="D201" t="s">
        <v>15</v>
      </c>
      <c r="E201" s="5">
        <v>1000</v>
      </c>
      <c r="F201" s="3">
        <v>1000</v>
      </c>
      <c r="G201" s="2">
        <v>700</v>
      </c>
      <c r="I201" s="2" t="s">
        <v>347</v>
      </c>
      <c r="J201" s="2" t="s">
        <v>227</v>
      </c>
      <c r="K201" t="s">
        <v>18</v>
      </c>
      <c r="L201" t="str">
        <f>T("9791160398175")</f>
        <v>9791160398175</v>
      </c>
      <c r="M201" t="str">
        <f t="shared" si="6"/>
        <v/>
      </c>
    </row>
    <row r="202" spans="1:14">
      <c r="A202" s="1">
        <v>46055.952106481483</v>
      </c>
      <c r="B202">
        <v>385347715</v>
      </c>
      <c r="C202" s="2" t="s">
        <v>186</v>
      </c>
      <c r="D202" t="s">
        <v>15</v>
      </c>
      <c r="E202" s="5">
        <v>2000</v>
      </c>
      <c r="F202" s="3">
        <v>1800</v>
      </c>
      <c r="G202" s="3">
        <v>1260</v>
      </c>
      <c r="I202" s="2" t="s">
        <v>187</v>
      </c>
      <c r="J202" s="2" t="s">
        <v>188</v>
      </c>
      <c r="K202" t="s">
        <v>18</v>
      </c>
      <c r="L202" t="str">
        <f>T("9791164835362")</f>
        <v>9791164835362</v>
      </c>
      <c r="M202" t="str">
        <f t="shared" si="6"/>
        <v/>
      </c>
      <c r="N202" t="s">
        <v>189</v>
      </c>
    </row>
    <row r="203" spans="1:14">
      <c r="A203" s="1">
        <v>46055.957511574074</v>
      </c>
      <c r="B203">
        <v>385347715</v>
      </c>
      <c r="C203" s="2" t="s">
        <v>186</v>
      </c>
      <c r="D203" t="s">
        <v>15</v>
      </c>
      <c r="E203" s="5">
        <v>2000</v>
      </c>
      <c r="F203" s="3">
        <v>1800</v>
      </c>
      <c r="G203" s="3">
        <v>1260</v>
      </c>
      <c r="I203" s="2" t="s">
        <v>187</v>
      </c>
      <c r="J203" s="2" t="s">
        <v>188</v>
      </c>
      <c r="K203" t="s">
        <v>18</v>
      </c>
      <c r="L203" t="str">
        <f>T("9791164835362")</f>
        <v>9791164835362</v>
      </c>
      <c r="M203" t="str">
        <f t="shared" ref="M203:M237" si="7">T("")</f>
        <v/>
      </c>
      <c r="N203" t="s">
        <v>189</v>
      </c>
    </row>
    <row r="204" spans="1:14">
      <c r="A204" s="1">
        <v>46055.958437499998</v>
      </c>
      <c r="B204">
        <v>385193750</v>
      </c>
      <c r="C204" s="2" t="s">
        <v>311</v>
      </c>
      <c r="D204" t="s">
        <v>15</v>
      </c>
      <c r="E204" s="5">
        <v>1000</v>
      </c>
      <c r="F204" s="3">
        <v>1000</v>
      </c>
      <c r="G204" s="2">
        <v>700</v>
      </c>
      <c r="I204" s="2" t="s">
        <v>312</v>
      </c>
      <c r="J204" s="2" t="s">
        <v>21</v>
      </c>
      <c r="K204" t="s">
        <v>18</v>
      </c>
      <c r="L204" t="str">
        <f>T("9791175582484")</f>
        <v>9791175582484</v>
      </c>
      <c r="M204" t="str">
        <f t="shared" si="7"/>
        <v/>
      </c>
      <c r="N204" t="s">
        <v>313</v>
      </c>
    </row>
    <row r="205" spans="1:14">
      <c r="A205" s="1">
        <v>46055.959560185183</v>
      </c>
      <c r="B205">
        <v>299807344</v>
      </c>
      <c r="C205" s="2" t="s">
        <v>348</v>
      </c>
      <c r="D205" t="s">
        <v>15</v>
      </c>
      <c r="E205" s="5">
        <v>1300</v>
      </c>
      <c r="F205" s="3">
        <v>1300</v>
      </c>
      <c r="G205" s="2">
        <v>910</v>
      </c>
      <c r="I205" s="2" t="s">
        <v>349</v>
      </c>
      <c r="J205" s="2" t="s">
        <v>21</v>
      </c>
      <c r="K205" t="s">
        <v>18</v>
      </c>
      <c r="L205" t="str">
        <f>T("9791167833846")</f>
        <v>9791167833846</v>
      </c>
      <c r="M205" t="str">
        <f t="shared" si="7"/>
        <v/>
      </c>
    </row>
    <row r="206" spans="1:14">
      <c r="A206" s="1">
        <v>46055.959675925929</v>
      </c>
      <c r="B206">
        <v>383003764</v>
      </c>
      <c r="C206" s="2" t="s">
        <v>350</v>
      </c>
      <c r="D206" t="s">
        <v>15</v>
      </c>
      <c r="E206" s="5">
        <v>1000</v>
      </c>
      <c r="F206" s="3">
        <v>1000</v>
      </c>
      <c r="G206" s="2">
        <v>700</v>
      </c>
      <c r="I206" s="2" t="s">
        <v>351</v>
      </c>
      <c r="J206" s="2" t="s">
        <v>126</v>
      </c>
      <c r="K206" t="s">
        <v>18</v>
      </c>
      <c r="L206" t="str">
        <f>T("9791171502783")</f>
        <v>9791171502783</v>
      </c>
      <c r="M206" t="str">
        <f t="shared" si="7"/>
        <v/>
      </c>
      <c r="N206" t="s">
        <v>352</v>
      </c>
    </row>
    <row r="207" spans="1:14">
      <c r="A207" s="1">
        <v>46055.962256944447</v>
      </c>
      <c r="B207">
        <v>385347715</v>
      </c>
      <c r="C207" s="2" t="s">
        <v>186</v>
      </c>
      <c r="D207" t="s">
        <v>15</v>
      </c>
      <c r="E207" s="5">
        <v>2000</v>
      </c>
      <c r="F207" s="3">
        <v>1800</v>
      </c>
      <c r="G207" s="3">
        <v>1260</v>
      </c>
      <c r="I207" s="2" t="s">
        <v>187</v>
      </c>
      <c r="J207" s="2" t="s">
        <v>188</v>
      </c>
      <c r="K207" t="s">
        <v>18</v>
      </c>
      <c r="L207" t="str">
        <f>T("9791164835362")</f>
        <v>9791164835362</v>
      </c>
      <c r="M207" t="str">
        <f t="shared" si="7"/>
        <v/>
      </c>
      <c r="N207" t="s">
        <v>189</v>
      </c>
    </row>
    <row r="208" spans="1:14">
      <c r="A208" s="1">
        <v>46055.966307870367</v>
      </c>
      <c r="B208">
        <v>385347797</v>
      </c>
      <c r="C208" s="2" t="s">
        <v>195</v>
      </c>
      <c r="D208" t="s">
        <v>15</v>
      </c>
      <c r="E208" s="4">
        <v>700</v>
      </c>
      <c r="F208" s="2">
        <v>630</v>
      </c>
      <c r="G208" s="2">
        <v>441</v>
      </c>
      <c r="I208" s="2" t="s">
        <v>196</v>
      </c>
      <c r="J208" s="2" t="s">
        <v>197</v>
      </c>
      <c r="K208" t="s">
        <v>18</v>
      </c>
      <c r="L208" t="str">
        <f>T("9791172821937")</f>
        <v>9791172821937</v>
      </c>
      <c r="M208" t="str">
        <f t="shared" si="7"/>
        <v/>
      </c>
      <c r="N208" t="s">
        <v>198</v>
      </c>
    </row>
    <row r="209" spans="1:14">
      <c r="A209" s="1">
        <v>46055.968229166669</v>
      </c>
      <c r="B209">
        <v>325784470</v>
      </c>
      <c r="C209" s="2" t="s">
        <v>353</v>
      </c>
      <c r="D209" t="s">
        <v>15</v>
      </c>
      <c r="E209" s="5">
        <v>1000</v>
      </c>
      <c r="F209" s="3">
        <v>1000</v>
      </c>
      <c r="G209" s="2">
        <v>700</v>
      </c>
      <c r="I209" s="2" t="s">
        <v>354</v>
      </c>
      <c r="J209" s="2" t="s">
        <v>21</v>
      </c>
      <c r="K209" t="s">
        <v>18</v>
      </c>
      <c r="L209" t="str">
        <f>T("9791167837752")</f>
        <v>9791167837752</v>
      </c>
      <c r="M209" t="str">
        <f t="shared" si="7"/>
        <v/>
      </c>
      <c r="N209" t="s">
        <v>355</v>
      </c>
    </row>
    <row r="210" spans="1:14">
      <c r="A210" s="1">
        <v>46055.970578703702</v>
      </c>
      <c r="B210">
        <v>385347797</v>
      </c>
      <c r="C210" s="2" t="s">
        <v>195</v>
      </c>
      <c r="D210" t="s">
        <v>15</v>
      </c>
      <c r="E210" s="4">
        <v>700</v>
      </c>
      <c r="F210" s="2">
        <v>630</v>
      </c>
      <c r="G210" s="2">
        <v>441</v>
      </c>
      <c r="I210" s="2" t="s">
        <v>196</v>
      </c>
      <c r="J210" s="2" t="s">
        <v>197</v>
      </c>
      <c r="K210" t="s">
        <v>18</v>
      </c>
      <c r="L210" t="str">
        <f>T("9791172821937")</f>
        <v>9791172821937</v>
      </c>
      <c r="M210" t="str">
        <f t="shared" si="7"/>
        <v/>
      </c>
      <c r="N210" t="s">
        <v>198</v>
      </c>
    </row>
    <row r="211" spans="1:14">
      <c r="A211" s="1">
        <v>46055.971493055556</v>
      </c>
      <c r="B211">
        <v>385347715</v>
      </c>
      <c r="C211" s="2" t="s">
        <v>186</v>
      </c>
      <c r="D211" t="s">
        <v>15</v>
      </c>
      <c r="E211" s="5">
        <v>2000</v>
      </c>
      <c r="F211" s="3">
        <v>1800</v>
      </c>
      <c r="G211" s="3">
        <v>1260</v>
      </c>
      <c r="I211" s="2" t="s">
        <v>187</v>
      </c>
      <c r="J211" s="2" t="s">
        <v>188</v>
      </c>
      <c r="K211" t="s">
        <v>18</v>
      </c>
      <c r="L211" t="str">
        <f>T("9791164835362")</f>
        <v>9791164835362</v>
      </c>
      <c r="M211" t="str">
        <f t="shared" si="7"/>
        <v/>
      </c>
      <c r="N211" t="s">
        <v>189</v>
      </c>
    </row>
    <row r="212" spans="1:14">
      <c r="A212" s="1">
        <v>46055.977581018517</v>
      </c>
      <c r="B212">
        <v>385348455</v>
      </c>
      <c r="C212" s="2" t="s">
        <v>255</v>
      </c>
      <c r="D212" t="s">
        <v>68</v>
      </c>
      <c r="E212" s="5">
        <v>12600</v>
      </c>
      <c r="F212" s="3">
        <v>12600</v>
      </c>
      <c r="G212" s="3">
        <v>8820</v>
      </c>
      <c r="I212" s="2" t="s">
        <v>187</v>
      </c>
      <c r="J212" s="2" t="s">
        <v>188</v>
      </c>
      <c r="K212" t="s">
        <v>18</v>
      </c>
      <c r="L212" t="str">
        <f>T("9791164835379")</f>
        <v>9791164835379</v>
      </c>
      <c r="M212" t="str">
        <f t="shared" si="7"/>
        <v/>
      </c>
    </row>
    <row r="213" spans="1:14">
      <c r="A213" s="1">
        <v>46055.979421296295</v>
      </c>
      <c r="B213">
        <v>385348455</v>
      </c>
      <c r="C213" s="2" t="s">
        <v>255</v>
      </c>
      <c r="D213" t="s">
        <v>68</v>
      </c>
      <c r="E213" s="5">
        <v>12600</v>
      </c>
      <c r="F213" s="3">
        <v>12600</v>
      </c>
      <c r="G213" s="3">
        <v>8820</v>
      </c>
      <c r="I213" s="2" t="s">
        <v>187</v>
      </c>
      <c r="J213" s="2" t="s">
        <v>188</v>
      </c>
      <c r="K213" t="s">
        <v>18</v>
      </c>
      <c r="L213" t="str">
        <f>T("9791164835379")</f>
        <v>9791164835379</v>
      </c>
      <c r="M213" t="str">
        <f t="shared" si="7"/>
        <v/>
      </c>
    </row>
    <row r="214" spans="1:14">
      <c r="A214" s="1">
        <v>46055.980740740742</v>
      </c>
      <c r="B214">
        <v>313110979</v>
      </c>
      <c r="C214" s="2" t="s">
        <v>356</v>
      </c>
      <c r="D214" t="s">
        <v>15</v>
      </c>
      <c r="E214" s="5">
        <v>3000</v>
      </c>
      <c r="F214" s="3">
        <v>2700</v>
      </c>
      <c r="G214" s="3">
        <v>1890</v>
      </c>
      <c r="I214" s="2" t="s">
        <v>187</v>
      </c>
      <c r="J214" s="2" t="s">
        <v>188</v>
      </c>
      <c r="K214" t="s">
        <v>18</v>
      </c>
      <c r="L214" t="str">
        <f>T("9791164833856")</f>
        <v>9791164833856</v>
      </c>
      <c r="M214" t="str">
        <f t="shared" si="7"/>
        <v/>
      </c>
      <c r="N214" t="s">
        <v>357</v>
      </c>
    </row>
    <row r="215" spans="1:14">
      <c r="A215" s="1">
        <v>46055.98196759259</v>
      </c>
      <c r="B215">
        <v>385347715</v>
      </c>
      <c r="C215" s="2" t="s">
        <v>186</v>
      </c>
      <c r="D215" t="s">
        <v>15</v>
      </c>
      <c r="E215" s="5">
        <v>2000</v>
      </c>
      <c r="F215" s="3">
        <v>1800</v>
      </c>
      <c r="G215" s="3">
        <v>1260</v>
      </c>
      <c r="I215" s="2" t="s">
        <v>187</v>
      </c>
      <c r="J215" s="2" t="s">
        <v>188</v>
      </c>
      <c r="K215" t="s">
        <v>18</v>
      </c>
      <c r="L215" t="str">
        <f>T("9791164835362")</f>
        <v>9791164835362</v>
      </c>
      <c r="M215" t="str">
        <f t="shared" si="7"/>
        <v/>
      </c>
      <c r="N215" t="s">
        <v>189</v>
      </c>
    </row>
    <row r="216" spans="1:14">
      <c r="A216" s="1">
        <v>46055.982025462959</v>
      </c>
      <c r="B216">
        <v>385347515</v>
      </c>
      <c r="C216" s="2" t="s">
        <v>304</v>
      </c>
      <c r="D216" t="s">
        <v>15</v>
      </c>
      <c r="E216" s="5">
        <v>1300</v>
      </c>
      <c r="F216" s="3">
        <v>1300</v>
      </c>
      <c r="G216" s="2">
        <v>910</v>
      </c>
      <c r="I216" s="2" t="s">
        <v>148</v>
      </c>
      <c r="J216" s="2" t="s">
        <v>21</v>
      </c>
      <c r="K216" t="s">
        <v>18</v>
      </c>
      <c r="L216" t="str">
        <f>T("9791175582521")</f>
        <v>9791175582521</v>
      </c>
      <c r="M216" t="str">
        <f t="shared" si="7"/>
        <v/>
      </c>
      <c r="N216" t="s">
        <v>305</v>
      </c>
    </row>
    <row r="217" spans="1:14">
      <c r="A217" s="1">
        <v>46055.985335648147</v>
      </c>
      <c r="B217">
        <v>385348455</v>
      </c>
      <c r="C217" s="2" t="s">
        <v>255</v>
      </c>
      <c r="D217" t="s">
        <v>68</v>
      </c>
      <c r="E217" s="5">
        <v>12600</v>
      </c>
      <c r="F217" s="3">
        <v>12600</v>
      </c>
      <c r="G217" s="3">
        <v>8820</v>
      </c>
      <c r="I217" s="2" t="s">
        <v>187</v>
      </c>
      <c r="J217" s="2" t="s">
        <v>188</v>
      </c>
      <c r="K217" t="s">
        <v>18</v>
      </c>
      <c r="L217" t="str">
        <f>T("9791164835379")</f>
        <v>9791164835379</v>
      </c>
      <c r="M217" t="str">
        <f t="shared" si="7"/>
        <v/>
      </c>
    </row>
    <row r="218" spans="1:14">
      <c r="A218" s="1">
        <v>46055.985625000001</v>
      </c>
      <c r="B218">
        <v>385347792</v>
      </c>
      <c r="C218" s="2" t="s">
        <v>306</v>
      </c>
      <c r="D218" t="s">
        <v>15</v>
      </c>
      <c r="E218" s="5">
        <v>1000</v>
      </c>
      <c r="F218" s="2">
        <v>900</v>
      </c>
      <c r="G218" s="2">
        <v>630</v>
      </c>
      <c r="I218" s="2" t="s">
        <v>307</v>
      </c>
      <c r="J218" s="2" t="s">
        <v>308</v>
      </c>
      <c r="K218" t="s">
        <v>18</v>
      </c>
      <c r="L218" t="str">
        <f>T("9791194982753")</f>
        <v>9791194982753</v>
      </c>
      <c r="M218" t="str">
        <f t="shared" si="7"/>
        <v/>
      </c>
      <c r="N218" t="s">
        <v>309</v>
      </c>
    </row>
    <row r="219" spans="1:14">
      <c r="A219" s="1">
        <v>46055.985914351855</v>
      </c>
      <c r="B219">
        <v>385347715</v>
      </c>
      <c r="C219" s="2" t="s">
        <v>186</v>
      </c>
      <c r="D219" t="s">
        <v>15</v>
      </c>
      <c r="E219" s="5">
        <v>2000</v>
      </c>
      <c r="F219" s="3">
        <v>1800</v>
      </c>
      <c r="G219" s="3">
        <v>1260</v>
      </c>
      <c r="I219" s="2" t="s">
        <v>187</v>
      </c>
      <c r="J219" s="2" t="s">
        <v>188</v>
      </c>
      <c r="K219" t="s">
        <v>18</v>
      </c>
      <c r="L219" t="str">
        <f>T("9791164835362")</f>
        <v>9791164835362</v>
      </c>
      <c r="M219" t="str">
        <f t="shared" si="7"/>
        <v/>
      </c>
      <c r="N219" t="s">
        <v>189</v>
      </c>
    </row>
    <row r="220" spans="1:14">
      <c r="A220" s="1">
        <v>46055.987210648149</v>
      </c>
      <c r="B220">
        <v>379527571</v>
      </c>
      <c r="C220" s="2" t="s">
        <v>139</v>
      </c>
      <c r="D220" t="s">
        <v>15</v>
      </c>
      <c r="E220" s="5">
        <v>1000</v>
      </c>
      <c r="F220" s="3">
        <v>1000</v>
      </c>
      <c r="G220" s="2">
        <v>700</v>
      </c>
      <c r="I220" s="2" t="s">
        <v>28</v>
      </c>
      <c r="J220" s="2" t="s">
        <v>21</v>
      </c>
      <c r="K220" t="s">
        <v>18</v>
      </c>
      <c r="L220" t="str">
        <f>T("9791175580626")</f>
        <v>9791175580626</v>
      </c>
      <c r="M220" t="str">
        <f t="shared" si="7"/>
        <v/>
      </c>
      <c r="N220" t="s">
        <v>140</v>
      </c>
    </row>
    <row r="221" spans="1:14">
      <c r="A221" s="1">
        <v>46055.990034722221</v>
      </c>
      <c r="B221">
        <v>297670554</v>
      </c>
      <c r="C221" s="2" t="s">
        <v>358</v>
      </c>
      <c r="D221" t="s">
        <v>15</v>
      </c>
      <c r="E221" s="5">
        <v>4500</v>
      </c>
      <c r="F221" s="3">
        <v>4500</v>
      </c>
      <c r="G221" s="3">
        <v>3150</v>
      </c>
      <c r="I221" s="2" t="s">
        <v>266</v>
      </c>
      <c r="J221" s="2" t="s">
        <v>126</v>
      </c>
      <c r="K221" t="s">
        <v>18</v>
      </c>
      <c r="L221" t="str">
        <f>T("9791164977192")</f>
        <v>9791164977192</v>
      </c>
      <c r="M221" t="str">
        <f t="shared" si="7"/>
        <v/>
      </c>
      <c r="N221" t="s">
        <v>359</v>
      </c>
    </row>
    <row r="222" spans="1:14">
      <c r="A222" s="1">
        <v>46055.990868055553</v>
      </c>
      <c r="B222">
        <v>312914589</v>
      </c>
      <c r="C222" s="2" t="s">
        <v>360</v>
      </c>
      <c r="D222" t="s">
        <v>15</v>
      </c>
      <c r="E222" s="5">
        <v>1000</v>
      </c>
      <c r="F222" s="3">
        <v>1000</v>
      </c>
      <c r="G222" s="2">
        <v>700</v>
      </c>
      <c r="I222" s="2" t="s">
        <v>31</v>
      </c>
      <c r="J222" s="2" t="s">
        <v>21</v>
      </c>
      <c r="K222" t="s">
        <v>18</v>
      </c>
      <c r="L222" t="str">
        <f>T("9791167837387")</f>
        <v>9791167837387</v>
      </c>
      <c r="M222" t="str">
        <f t="shared" si="7"/>
        <v/>
      </c>
      <c r="N222" t="s">
        <v>361</v>
      </c>
    </row>
    <row r="223" spans="1:14">
      <c r="A223" s="1">
        <v>46055.990868055553</v>
      </c>
      <c r="B223">
        <v>312914597</v>
      </c>
      <c r="C223" s="2" t="s">
        <v>362</v>
      </c>
      <c r="D223" t="s">
        <v>15</v>
      </c>
      <c r="E223" s="5">
        <v>1000</v>
      </c>
      <c r="F223" s="3">
        <v>1000</v>
      </c>
      <c r="G223" s="2">
        <v>700</v>
      </c>
      <c r="I223" s="2" t="s">
        <v>31</v>
      </c>
      <c r="J223" s="2" t="s">
        <v>21</v>
      </c>
      <c r="K223" t="s">
        <v>18</v>
      </c>
      <c r="L223" t="str">
        <f>T("9791167837394")</f>
        <v>9791167837394</v>
      </c>
      <c r="M223" t="str">
        <f t="shared" si="7"/>
        <v/>
      </c>
      <c r="N223" t="s">
        <v>363</v>
      </c>
    </row>
    <row r="224" spans="1:14">
      <c r="A224" s="1">
        <v>46055.994398148148</v>
      </c>
      <c r="B224">
        <v>385348455</v>
      </c>
      <c r="C224" s="2" t="s">
        <v>255</v>
      </c>
      <c r="D224" t="s">
        <v>68</v>
      </c>
      <c r="E224" s="5">
        <v>12600</v>
      </c>
      <c r="F224" s="3">
        <v>12600</v>
      </c>
      <c r="G224" s="3">
        <v>8820</v>
      </c>
      <c r="I224" s="2" t="s">
        <v>187</v>
      </c>
      <c r="J224" s="2" t="s">
        <v>188</v>
      </c>
      <c r="K224" t="s">
        <v>18</v>
      </c>
      <c r="L224" t="str">
        <f>T("9791164835379")</f>
        <v>9791164835379</v>
      </c>
      <c r="M224" t="str">
        <f t="shared" si="7"/>
        <v/>
      </c>
    </row>
    <row r="225" spans="1:14">
      <c r="A225" s="1">
        <v>46055.995023148149</v>
      </c>
      <c r="B225">
        <v>377162018</v>
      </c>
      <c r="C225" s="2" t="s">
        <v>364</v>
      </c>
      <c r="D225" t="s">
        <v>15</v>
      </c>
      <c r="E225" s="5">
        <v>1500</v>
      </c>
      <c r="F225" s="3">
        <v>1500</v>
      </c>
      <c r="G225" s="3">
        <v>1050</v>
      </c>
      <c r="I225" s="2" t="s">
        <v>365</v>
      </c>
      <c r="J225" s="2" t="s">
        <v>55</v>
      </c>
      <c r="K225" t="s">
        <v>18</v>
      </c>
      <c r="L225" t="str">
        <f>T("9791173019661")</f>
        <v>9791173019661</v>
      </c>
      <c r="M225" t="str">
        <f t="shared" si="7"/>
        <v/>
      </c>
      <c r="N225" t="s">
        <v>366</v>
      </c>
    </row>
    <row r="226" spans="1:14">
      <c r="A226" s="1">
        <v>46055.995891203704</v>
      </c>
      <c r="B226">
        <v>385347797</v>
      </c>
      <c r="C226" s="2" t="s">
        <v>195</v>
      </c>
      <c r="D226" t="s">
        <v>15</v>
      </c>
      <c r="E226" s="4">
        <v>700</v>
      </c>
      <c r="F226" s="2">
        <v>630</v>
      </c>
      <c r="G226" s="2">
        <v>441</v>
      </c>
      <c r="I226" s="2" t="s">
        <v>196</v>
      </c>
      <c r="J226" s="2" t="s">
        <v>197</v>
      </c>
      <c r="K226" t="s">
        <v>18</v>
      </c>
      <c r="L226" t="str">
        <f>T("9791172821937")</f>
        <v>9791172821937</v>
      </c>
      <c r="M226" t="str">
        <f t="shared" si="7"/>
        <v/>
      </c>
      <c r="N226" t="s">
        <v>198</v>
      </c>
    </row>
    <row r="227" spans="1:14">
      <c r="A227" s="1">
        <v>46055.998344907406</v>
      </c>
      <c r="B227">
        <v>385347797</v>
      </c>
      <c r="C227" s="2" t="s">
        <v>195</v>
      </c>
      <c r="D227" t="s">
        <v>15</v>
      </c>
      <c r="E227" s="4">
        <v>-700</v>
      </c>
      <c r="F227" s="2">
        <v>-630</v>
      </c>
      <c r="G227" s="2">
        <v>-441</v>
      </c>
      <c r="H227" s="1">
        <v>46055.995891203704</v>
      </c>
      <c r="I227" s="2" t="s">
        <v>196</v>
      </c>
      <c r="J227" s="2" t="s">
        <v>197</v>
      </c>
      <c r="K227" t="s">
        <v>18</v>
      </c>
      <c r="L227" t="str">
        <f>T("9791172821937")</f>
        <v>9791172821937</v>
      </c>
      <c r="M227" t="str">
        <f t="shared" si="7"/>
        <v/>
      </c>
      <c r="N227" t="s">
        <v>198</v>
      </c>
    </row>
    <row r="228" spans="1:14">
      <c r="A228" s="1">
        <v>46055.996504629627</v>
      </c>
      <c r="B228">
        <v>381924113</v>
      </c>
      <c r="C228" s="2" t="s">
        <v>367</v>
      </c>
      <c r="D228" t="s">
        <v>15</v>
      </c>
      <c r="E228" s="5">
        <v>2800</v>
      </c>
      <c r="F228" s="3">
        <v>2800</v>
      </c>
      <c r="G228" s="3">
        <v>1960</v>
      </c>
      <c r="I228" s="2" t="s">
        <v>368</v>
      </c>
      <c r="J228" s="2" t="s">
        <v>308</v>
      </c>
      <c r="K228" t="s">
        <v>18</v>
      </c>
      <c r="L228" t="str">
        <f>T("9791194982739")</f>
        <v>9791194982739</v>
      </c>
      <c r="M228" t="str">
        <f t="shared" si="7"/>
        <v/>
      </c>
      <c r="N228" t="s">
        <v>369</v>
      </c>
    </row>
    <row r="229" spans="1:14">
      <c r="A229" s="1">
        <v>46056.011724537035</v>
      </c>
      <c r="B229">
        <v>385347797</v>
      </c>
      <c r="C229" s="2" t="s">
        <v>195</v>
      </c>
      <c r="D229" t="s">
        <v>15</v>
      </c>
      <c r="E229" s="4">
        <v>700</v>
      </c>
      <c r="F229" s="2">
        <v>630</v>
      </c>
      <c r="G229" s="2">
        <v>441</v>
      </c>
      <c r="I229" s="2" t="s">
        <v>196</v>
      </c>
      <c r="J229" s="2" t="s">
        <v>197</v>
      </c>
      <c r="K229" t="s">
        <v>18</v>
      </c>
      <c r="L229" t="str">
        <f>T("9791172821937")</f>
        <v>9791172821937</v>
      </c>
      <c r="M229" t="str">
        <f t="shared" si="7"/>
        <v/>
      </c>
      <c r="N229" t="s">
        <v>198</v>
      </c>
    </row>
    <row r="230" spans="1:14">
      <c r="A230" s="1">
        <v>46056.055752314816</v>
      </c>
      <c r="B230">
        <v>385373261</v>
      </c>
      <c r="C230" s="2" t="s">
        <v>370</v>
      </c>
      <c r="D230" t="s">
        <v>15</v>
      </c>
      <c r="E230" s="4">
        <v>0</v>
      </c>
      <c r="F230" s="2">
        <v>0</v>
      </c>
      <c r="G230" s="2">
        <v>0</v>
      </c>
      <c r="I230" s="2" t="s">
        <v>371</v>
      </c>
      <c r="J230" s="2" t="s">
        <v>290</v>
      </c>
      <c r="K230" t="s">
        <v>18</v>
      </c>
      <c r="L230" t="str">
        <f>T("9791194982418")</f>
        <v>9791194982418</v>
      </c>
      <c r="M230" t="str">
        <f t="shared" si="7"/>
        <v/>
      </c>
      <c r="N230" t="s">
        <v>372</v>
      </c>
    </row>
    <row r="231" spans="1:14">
      <c r="A231" s="1">
        <v>46056.126932870371</v>
      </c>
      <c r="B231">
        <v>384664782</v>
      </c>
      <c r="C231" s="2" t="s">
        <v>373</v>
      </c>
      <c r="D231" t="s">
        <v>15</v>
      </c>
      <c r="E231" s="5">
        <v>1000</v>
      </c>
      <c r="F231" s="3">
        <v>1000</v>
      </c>
      <c r="G231" s="2">
        <v>700</v>
      </c>
      <c r="I231" s="2" t="s">
        <v>374</v>
      </c>
      <c r="J231" s="2" t="s">
        <v>21</v>
      </c>
      <c r="K231" t="s">
        <v>18</v>
      </c>
      <c r="L231" t="str">
        <f>T("9791175582392")</f>
        <v>9791175582392</v>
      </c>
      <c r="M231" t="str">
        <f t="shared" si="7"/>
        <v/>
      </c>
      <c r="N231" t="s">
        <v>375</v>
      </c>
    </row>
    <row r="232" spans="1:14">
      <c r="A232" s="1">
        <v>46056.168634259258</v>
      </c>
      <c r="B232">
        <v>365886391</v>
      </c>
      <c r="C232" s="2" t="s">
        <v>376</v>
      </c>
      <c r="D232" t="s">
        <v>15</v>
      </c>
      <c r="E232" s="5">
        <v>1000</v>
      </c>
      <c r="F232" s="3">
        <v>1000</v>
      </c>
      <c r="G232" s="2">
        <v>700</v>
      </c>
      <c r="I232" s="2" t="s">
        <v>286</v>
      </c>
      <c r="J232" s="2" t="s">
        <v>21</v>
      </c>
      <c r="K232" t="s">
        <v>18</v>
      </c>
      <c r="L232" t="str">
        <f>T("9791173014765")</f>
        <v>9791173014765</v>
      </c>
      <c r="M232" t="str">
        <f t="shared" si="7"/>
        <v/>
      </c>
      <c r="N232" t="s">
        <v>377</v>
      </c>
    </row>
    <row r="233" spans="1:14">
      <c r="A233" s="1">
        <v>46056.168634259258</v>
      </c>
      <c r="B233">
        <v>360321650</v>
      </c>
      <c r="C233" s="2" t="s">
        <v>378</v>
      </c>
      <c r="D233" t="s">
        <v>15</v>
      </c>
      <c r="E233" s="5">
        <v>1000</v>
      </c>
      <c r="F233" s="3">
        <v>1000</v>
      </c>
      <c r="G233" s="2">
        <v>700</v>
      </c>
      <c r="I233" s="2" t="s">
        <v>379</v>
      </c>
      <c r="J233" s="2" t="s">
        <v>21</v>
      </c>
      <c r="K233" t="s">
        <v>18</v>
      </c>
      <c r="L233" t="str">
        <f>T("9791173013515")</f>
        <v>9791173013515</v>
      </c>
      <c r="M233" t="str">
        <f t="shared" si="7"/>
        <v/>
      </c>
      <c r="N233" t="s">
        <v>380</v>
      </c>
    </row>
    <row r="234" spans="1:14">
      <c r="A234" s="1">
        <v>46056.279895833337</v>
      </c>
      <c r="B234">
        <v>385373317</v>
      </c>
      <c r="C234" s="2" t="s">
        <v>381</v>
      </c>
      <c r="D234" t="s">
        <v>15</v>
      </c>
      <c r="E234" s="4">
        <v>0</v>
      </c>
      <c r="F234" s="2">
        <v>0</v>
      </c>
      <c r="G234" s="2">
        <v>0</v>
      </c>
      <c r="I234" s="2" t="s">
        <v>382</v>
      </c>
      <c r="J234" s="2" t="s">
        <v>290</v>
      </c>
      <c r="K234" t="s">
        <v>18</v>
      </c>
      <c r="L234" t="str">
        <f>T("9791194982159")</f>
        <v>9791194982159</v>
      </c>
      <c r="M234" t="str">
        <f t="shared" si="7"/>
        <v/>
      </c>
      <c r="N234" t="s">
        <v>383</v>
      </c>
    </row>
    <row r="235" spans="1:14">
      <c r="A235" s="1">
        <v>46056.302534722221</v>
      </c>
      <c r="B235">
        <v>385373317</v>
      </c>
      <c r="C235" s="2" t="s">
        <v>381</v>
      </c>
      <c r="D235" t="s">
        <v>15</v>
      </c>
      <c r="E235" s="4">
        <v>0</v>
      </c>
      <c r="F235" s="2">
        <v>0</v>
      </c>
      <c r="G235" s="2">
        <v>0</v>
      </c>
      <c r="I235" s="2" t="s">
        <v>382</v>
      </c>
      <c r="J235" s="2" t="s">
        <v>290</v>
      </c>
      <c r="K235" t="s">
        <v>18</v>
      </c>
      <c r="L235" t="str">
        <f>T("9791194982159")</f>
        <v>9791194982159</v>
      </c>
      <c r="M235" t="str">
        <f t="shared" si="7"/>
        <v/>
      </c>
      <c r="N235" t="s">
        <v>383</v>
      </c>
    </row>
    <row r="236" spans="1:14">
      <c r="A236" s="1">
        <v>46056.302534722221</v>
      </c>
      <c r="B236">
        <v>385373286</v>
      </c>
      <c r="C236" s="2" t="s">
        <v>384</v>
      </c>
      <c r="D236" t="s">
        <v>15</v>
      </c>
      <c r="E236" s="4">
        <v>0</v>
      </c>
      <c r="F236" s="2">
        <v>0</v>
      </c>
      <c r="G236" s="2">
        <v>0</v>
      </c>
      <c r="I236" s="2" t="s">
        <v>385</v>
      </c>
      <c r="J236" s="2" t="s">
        <v>290</v>
      </c>
      <c r="K236" t="s">
        <v>18</v>
      </c>
      <c r="L236" t="str">
        <f>T("9791194982302")</f>
        <v>9791194982302</v>
      </c>
      <c r="M236" t="str">
        <f t="shared" si="7"/>
        <v/>
      </c>
      <c r="N236" t="s">
        <v>386</v>
      </c>
    </row>
    <row r="237" spans="1:14">
      <c r="A237" s="1">
        <v>46056.302534722221</v>
      </c>
      <c r="B237">
        <v>385373316</v>
      </c>
      <c r="C237" s="2" t="s">
        <v>387</v>
      </c>
      <c r="D237" t="s">
        <v>15</v>
      </c>
      <c r="E237" s="4">
        <v>0</v>
      </c>
      <c r="F237" s="2">
        <v>0</v>
      </c>
      <c r="G237" s="2">
        <v>0</v>
      </c>
      <c r="I237" s="2" t="s">
        <v>388</v>
      </c>
      <c r="J237" s="2" t="s">
        <v>290</v>
      </c>
      <c r="K237" t="s">
        <v>18</v>
      </c>
      <c r="L237" t="str">
        <f>T("9791194982036")</f>
        <v>9791194982036</v>
      </c>
      <c r="M237" t="str">
        <f t="shared" si="7"/>
        <v/>
      </c>
      <c r="N237" t="s">
        <v>389</v>
      </c>
    </row>
    <row r="238" spans="1:14">
      <c r="A238" s="1">
        <v>46056.302534722221</v>
      </c>
      <c r="B238">
        <v>385373222</v>
      </c>
      <c r="C238" s="2" t="s">
        <v>390</v>
      </c>
      <c r="D238" t="s">
        <v>15</v>
      </c>
      <c r="E238" s="4">
        <v>0</v>
      </c>
      <c r="F238" s="2">
        <v>0</v>
      </c>
      <c r="G238" s="2">
        <v>0</v>
      </c>
      <c r="I238" s="2" t="s">
        <v>391</v>
      </c>
      <c r="J238" s="2" t="s">
        <v>65</v>
      </c>
      <c r="K238" t="s">
        <v>18</v>
      </c>
      <c r="L238" t="str">
        <f>T("")</f>
        <v/>
      </c>
      <c r="M238" t="str">
        <f>T("G720:N+A319-20251203027.M001")</f>
        <v>G720:N+A319-20251203027.M001</v>
      </c>
      <c r="N238" t="s">
        <v>392</v>
      </c>
    </row>
    <row r="239" spans="1:14">
      <c r="A239" s="1">
        <v>46056.308449074073</v>
      </c>
      <c r="B239">
        <v>385347919</v>
      </c>
      <c r="C239" s="2" t="s">
        <v>159</v>
      </c>
      <c r="D239" t="s">
        <v>15</v>
      </c>
      <c r="E239" s="4">
        <v>0</v>
      </c>
      <c r="F239" s="2">
        <v>0</v>
      </c>
      <c r="G239" s="2">
        <v>0</v>
      </c>
      <c r="I239" s="2" t="s">
        <v>160</v>
      </c>
      <c r="J239" s="2" t="s">
        <v>161</v>
      </c>
      <c r="K239" t="s">
        <v>18</v>
      </c>
      <c r="L239" t="str">
        <f>T("9791173260254")</f>
        <v>9791173260254</v>
      </c>
      <c r="M239" t="str">
        <f t="shared" ref="M239:M269" si="8">T("")</f>
        <v/>
      </c>
      <c r="N239" t="s">
        <v>162</v>
      </c>
    </row>
    <row r="240" spans="1:14">
      <c r="A240" s="1">
        <v>46056.317407407405</v>
      </c>
      <c r="B240">
        <v>385347908</v>
      </c>
      <c r="C240" s="2" t="s">
        <v>393</v>
      </c>
      <c r="D240" t="s">
        <v>15</v>
      </c>
      <c r="E240" s="5">
        <v>3200</v>
      </c>
      <c r="F240" s="3">
        <v>3200</v>
      </c>
      <c r="G240" s="3">
        <v>2240</v>
      </c>
      <c r="I240" s="2" t="s">
        <v>230</v>
      </c>
      <c r="J240" s="2" t="s">
        <v>161</v>
      </c>
      <c r="K240" t="s">
        <v>18</v>
      </c>
      <c r="L240" t="str">
        <f>T("9791173261107")</f>
        <v>9791173261107</v>
      </c>
      <c r="M240" t="str">
        <f t="shared" si="8"/>
        <v/>
      </c>
      <c r="N240" t="s">
        <v>394</v>
      </c>
    </row>
    <row r="241" spans="1:14">
      <c r="A241" s="1">
        <v>46056.317407407405</v>
      </c>
      <c r="B241">
        <v>385347915</v>
      </c>
      <c r="C241" s="2" t="s">
        <v>395</v>
      </c>
      <c r="D241" t="s">
        <v>15</v>
      </c>
      <c r="E241" s="5">
        <v>3200</v>
      </c>
      <c r="F241" s="3">
        <v>3200</v>
      </c>
      <c r="G241" s="3">
        <v>2240</v>
      </c>
      <c r="I241" s="2" t="s">
        <v>230</v>
      </c>
      <c r="J241" s="2" t="s">
        <v>161</v>
      </c>
      <c r="K241" t="s">
        <v>18</v>
      </c>
      <c r="L241" t="str">
        <f>T("9791173261152")</f>
        <v>9791173261152</v>
      </c>
      <c r="M241" t="str">
        <f t="shared" si="8"/>
        <v/>
      </c>
      <c r="N241" t="s">
        <v>396</v>
      </c>
    </row>
    <row r="242" spans="1:14">
      <c r="A242" s="1">
        <v>46056.317407407405</v>
      </c>
      <c r="B242">
        <v>385347958</v>
      </c>
      <c r="C242" s="2" t="s">
        <v>397</v>
      </c>
      <c r="D242" t="s">
        <v>15</v>
      </c>
      <c r="E242" s="5">
        <v>3200</v>
      </c>
      <c r="F242" s="3">
        <v>3200</v>
      </c>
      <c r="G242" s="3">
        <v>2240</v>
      </c>
      <c r="I242" s="2" t="s">
        <v>230</v>
      </c>
      <c r="J242" s="2" t="s">
        <v>161</v>
      </c>
      <c r="K242" t="s">
        <v>18</v>
      </c>
      <c r="L242" t="str">
        <f>T("9791173261183")</f>
        <v>9791173261183</v>
      </c>
      <c r="M242" t="str">
        <f t="shared" si="8"/>
        <v/>
      </c>
      <c r="N242" t="s">
        <v>398</v>
      </c>
    </row>
    <row r="243" spans="1:14">
      <c r="A243" s="1">
        <v>46056.317407407405</v>
      </c>
      <c r="B243">
        <v>385347952</v>
      </c>
      <c r="C243" s="2" t="s">
        <v>399</v>
      </c>
      <c r="D243" t="s">
        <v>15</v>
      </c>
      <c r="E243" s="5">
        <v>3200</v>
      </c>
      <c r="F243" s="3">
        <v>3200</v>
      </c>
      <c r="G243" s="3">
        <v>2240</v>
      </c>
      <c r="I243" s="2" t="s">
        <v>230</v>
      </c>
      <c r="J243" s="2" t="s">
        <v>161</v>
      </c>
      <c r="K243" t="s">
        <v>18</v>
      </c>
      <c r="L243" t="str">
        <f>T("9791173261138")</f>
        <v>9791173261138</v>
      </c>
      <c r="M243" t="str">
        <f t="shared" si="8"/>
        <v/>
      </c>
      <c r="N243" t="s">
        <v>400</v>
      </c>
    </row>
    <row r="244" spans="1:14">
      <c r="A244" s="1">
        <v>46056.317407407405</v>
      </c>
      <c r="B244">
        <v>385347817</v>
      </c>
      <c r="C244" s="2" t="s">
        <v>401</v>
      </c>
      <c r="D244" t="s">
        <v>15</v>
      </c>
      <c r="E244" s="5">
        <v>3200</v>
      </c>
      <c r="F244" s="3">
        <v>3200</v>
      </c>
      <c r="G244" s="3">
        <v>2240</v>
      </c>
      <c r="I244" s="2" t="s">
        <v>230</v>
      </c>
      <c r="J244" s="2" t="s">
        <v>161</v>
      </c>
      <c r="K244" t="s">
        <v>18</v>
      </c>
      <c r="L244" t="str">
        <f>T("9791173261169")</f>
        <v>9791173261169</v>
      </c>
      <c r="M244" t="str">
        <f t="shared" si="8"/>
        <v/>
      </c>
      <c r="N244" t="s">
        <v>402</v>
      </c>
    </row>
    <row r="245" spans="1:14">
      <c r="A245" s="1">
        <v>46056.317407407405</v>
      </c>
      <c r="B245">
        <v>385347812</v>
      </c>
      <c r="C245" s="2" t="s">
        <v>403</v>
      </c>
      <c r="D245" t="s">
        <v>15</v>
      </c>
      <c r="E245" s="5">
        <v>3200</v>
      </c>
      <c r="F245" s="3">
        <v>3200</v>
      </c>
      <c r="G245" s="3">
        <v>2240</v>
      </c>
      <c r="I245" s="2" t="s">
        <v>230</v>
      </c>
      <c r="J245" s="2" t="s">
        <v>161</v>
      </c>
      <c r="K245" t="s">
        <v>18</v>
      </c>
      <c r="L245" t="str">
        <f>T("9791173261114")</f>
        <v>9791173261114</v>
      </c>
      <c r="M245" t="str">
        <f t="shared" si="8"/>
        <v/>
      </c>
      <c r="N245" t="s">
        <v>404</v>
      </c>
    </row>
    <row r="246" spans="1:14">
      <c r="A246" s="1">
        <v>46056.317407407405</v>
      </c>
      <c r="B246">
        <v>385347775</v>
      </c>
      <c r="C246" s="2" t="s">
        <v>405</v>
      </c>
      <c r="D246" t="s">
        <v>15</v>
      </c>
      <c r="E246" s="5">
        <v>3200</v>
      </c>
      <c r="F246" s="3">
        <v>3200</v>
      </c>
      <c r="G246" s="3">
        <v>2240</v>
      </c>
      <c r="I246" s="2" t="s">
        <v>230</v>
      </c>
      <c r="J246" s="2" t="s">
        <v>161</v>
      </c>
      <c r="K246" t="s">
        <v>18</v>
      </c>
      <c r="L246" t="str">
        <f>T("9791173261145")</f>
        <v>9791173261145</v>
      </c>
      <c r="M246" t="str">
        <f t="shared" si="8"/>
        <v/>
      </c>
      <c r="N246" t="s">
        <v>406</v>
      </c>
    </row>
    <row r="247" spans="1:14">
      <c r="A247" s="1">
        <v>46056.317407407405</v>
      </c>
      <c r="B247">
        <v>385347778</v>
      </c>
      <c r="C247" s="2" t="s">
        <v>407</v>
      </c>
      <c r="D247" t="s">
        <v>15</v>
      </c>
      <c r="E247" s="5">
        <v>3200</v>
      </c>
      <c r="F247" s="3">
        <v>3200</v>
      </c>
      <c r="G247" s="3">
        <v>2240</v>
      </c>
      <c r="I247" s="2" t="s">
        <v>230</v>
      </c>
      <c r="J247" s="2" t="s">
        <v>161</v>
      </c>
      <c r="K247" t="s">
        <v>18</v>
      </c>
      <c r="L247" t="str">
        <f>T("9791173261190")</f>
        <v>9791173261190</v>
      </c>
      <c r="M247" t="str">
        <f t="shared" si="8"/>
        <v/>
      </c>
      <c r="N247" t="s">
        <v>408</v>
      </c>
    </row>
    <row r="248" spans="1:14">
      <c r="A248" s="1">
        <v>46056.317407407405</v>
      </c>
      <c r="B248">
        <v>385347773</v>
      </c>
      <c r="C248" s="2" t="s">
        <v>229</v>
      </c>
      <c r="D248" t="s">
        <v>15</v>
      </c>
      <c r="E248" s="4">
        <v>0</v>
      </c>
      <c r="F248" s="2">
        <v>0</v>
      </c>
      <c r="G248" s="2">
        <v>0</v>
      </c>
      <c r="I248" s="2" t="s">
        <v>230</v>
      </c>
      <c r="J248" s="2" t="s">
        <v>161</v>
      </c>
      <c r="K248" t="s">
        <v>18</v>
      </c>
      <c r="L248" t="str">
        <f>T("9791173261091")</f>
        <v>9791173261091</v>
      </c>
      <c r="M248" t="str">
        <f t="shared" si="8"/>
        <v/>
      </c>
      <c r="N248" t="s">
        <v>231</v>
      </c>
    </row>
    <row r="249" spans="1:14">
      <c r="A249" s="1">
        <v>46056.317407407405</v>
      </c>
      <c r="B249">
        <v>385347729</v>
      </c>
      <c r="C249" s="2" t="s">
        <v>409</v>
      </c>
      <c r="D249" t="s">
        <v>15</v>
      </c>
      <c r="E249" s="5">
        <v>3200</v>
      </c>
      <c r="F249" s="3">
        <v>3200</v>
      </c>
      <c r="G249" s="3">
        <v>2240</v>
      </c>
      <c r="I249" s="2" t="s">
        <v>230</v>
      </c>
      <c r="J249" s="2" t="s">
        <v>161</v>
      </c>
      <c r="K249" t="s">
        <v>18</v>
      </c>
      <c r="L249" t="str">
        <f>T("9791173261121")</f>
        <v>9791173261121</v>
      </c>
      <c r="M249" t="str">
        <f t="shared" si="8"/>
        <v/>
      </c>
      <c r="N249" t="s">
        <v>410</v>
      </c>
    </row>
    <row r="250" spans="1:14">
      <c r="A250" s="1">
        <v>46056.317407407405</v>
      </c>
      <c r="B250">
        <v>385347733</v>
      </c>
      <c r="C250" s="2" t="s">
        <v>411</v>
      </c>
      <c r="D250" t="s">
        <v>15</v>
      </c>
      <c r="E250" s="5">
        <v>3200</v>
      </c>
      <c r="F250" s="3">
        <v>3200</v>
      </c>
      <c r="G250" s="3">
        <v>2240</v>
      </c>
      <c r="I250" s="2" t="s">
        <v>230</v>
      </c>
      <c r="J250" s="2" t="s">
        <v>161</v>
      </c>
      <c r="K250" t="s">
        <v>18</v>
      </c>
      <c r="L250" t="str">
        <f>T("9791173261176")</f>
        <v>9791173261176</v>
      </c>
      <c r="M250" t="str">
        <f t="shared" si="8"/>
        <v/>
      </c>
      <c r="N250" t="s">
        <v>412</v>
      </c>
    </row>
    <row r="251" spans="1:14">
      <c r="A251" s="1">
        <v>46056.317407407405</v>
      </c>
      <c r="B251">
        <v>312914447</v>
      </c>
      <c r="C251" s="2" t="s">
        <v>413</v>
      </c>
      <c r="D251" t="s">
        <v>15</v>
      </c>
      <c r="E251" s="5">
        <v>2500</v>
      </c>
      <c r="F251" s="3">
        <v>2500</v>
      </c>
      <c r="G251" s="3">
        <v>1750</v>
      </c>
      <c r="I251" s="2" t="s">
        <v>414</v>
      </c>
      <c r="J251" s="2" t="s">
        <v>415</v>
      </c>
      <c r="K251" t="s">
        <v>18</v>
      </c>
      <c r="L251" t="str">
        <f>T("9791168280380")</f>
        <v>9791168280380</v>
      </c>
      <c r="M251" t="str">
        <f t="shared" si="8"/>
        <v/>
      </c>
      <c r="N251" t="s">
        <v>416</v>
      </c>
    </row>
    <row r="252" spans="1:14">
      <c r="A252" s="1">
        <v>46056.317407407405</v>
      </c>
      <c r="B252">
        <v>312914465</v>
      </c>
      <c r="C252" s="2" t="s">
        <v>417</v>
      </c>
      <c r="D252" t="s">
        <v>15</v>
      </c>
      <c r="E252" s="5">
        <v>2500</v>
      </c>
      <c r="F252" s="3">
        <v>2500</v>
      </c>
      <c r="G252" s="3">
        <v>1750</v>
      </c>
      <c r="I252" s="2" t="s">
        <v>414</v>
      </c>
      <c r="J252" s="2" t="s">
        <v>415</v>
      </c>
      <c r="K252" t="s">
        <v>18</v>
      </c>
      <c r="L252" t="str">
        <f>T("9791168280472")</f>
        <v>9791168280472</v>
      </c>
      <c r="M252" t="str">
        <f t="shared" si="8"/>
        <v/>
      </c>
      <c r="N252" t="s">
        <v>418</v>
      </c>
    </row>
    <row r="253" spans="1:14">
      <c r="A253" s="1">
        <v>46056.317407407405</v>
      </c>
      <c r="B253">
        <v>312914469</v>
      </c>
      <c r="C253" s="2" t="s">
        <v>419</v>
      </c>
      <c r="D253" t="s">
        <v>15</v>
      </c>
      <c r="E253" s="5">
        <v>2500</v>
      </c>
      <c r="F253" s="3">
        <v>2500</v>
      </c>
      <c r="G253" s="3">
        <v>1750</v>
      </c>
      <c r="I253" s="2" t="s">
        <v>414</v>
      </c>
      <c r="J253" s="2" t="s">
        <v>415</v>
      </c>
      <c r="K253" t="s">
        <v>18</v>
      </c>
      <c r="L253" t="str">
        <f>T("9791168280625")</f>
        <v>9791168280625</v>
      </c>
      <c r="M253" t="str">
        <f t="shared" si="8"/>
        <v/>
      </c>
      <c r="N253" t="s">
        <v>420</v>
      </c>
    </row>
    <row r="254" spans="1:14">
      <c r="A254" s="1">
        <v>46056.317407407405</v>
      </c>
      <c r="B254">
        <v>312914530</v>
      </c>
      <c r="C254" s="2" t="s">
        <v>421</v>
      </c>
      <c r="D254" t="s">
        <v>15</v>
      </c>
      <c r="E254" s="5">
        <v>2500</v>
      </c>
      <c r="F254" s="3">
        <v>2500</v>
      </c>
      <c r="G254" s="3">
        <v>1750</v>
      </c>
      <c r="I254" s="2" t="s">
        <v>414</v>
      </c>
      <c r="J254" s="2" t="s">
        <v>415</v>
      </c>
      <c r="K254" t="s">
        <v>18</v>
      </c>
      <c r="L254" t="str">
        <f>T("9791168280397")</f>
        <v>9791168280397</v>
      </c>
      <c r="M254" t="str">
        <f t="shared" si="8"/>
        <v/>
      </c>
      <c r="N254" t="s">
        <v>422</v>
      </c>
    </row>
    <row r="255" spans="1:14">
      <c r="A255" s="1">
        <v>46056.317407407405</v>
      </c>
      <c r="B255">
        <v>312914531</v>
      </c>
      <c r="C255" s="2" t="s">
        <v>423</v>
      </c>
      <c r="D255" t="s">
        <v>15</v>
      </c>
      <c r="E255" s="5">
        <v>2500</v>
      </c>
      <c r="F255" s="3">
        <v>2500</v>
      </c>
      <c r="G255" s="3">
        <v>1750</v>
      </c>
      <c r="I255" s="2" t="s">
        <v>414</v>
      </c>
      <c r="J255" s="2" t="s">
        <v>415</v>
      </c>
      <c r="K255" t="s">
        <v>18</v>
      </c>
      <c r="L255" t="str">
        <f>T("9791168280373")</f>
        <v>9791168280373</v>
      </c>
      <c r="M255" t="str">
        <f t="shared" si="8"/>
        <v/>
      </c>
      <c r="N255" t="s">
        <v>424</v>
      </c>
    </row>
    <row r="256" spans="1:14">
      <c r="A256" s="1">
        <v>46056.317407407405</v>
      </c>
      <c r="B256">
        <v>312914533</v>
      </c>
      <c r="C256" s="2" t="s">
        <v>425</v>
      </c>
      <c r="D256" t="s">
        <v>15</v>
      </c>
      <c r="E256" s="5">
        <v>2500</v>
      </c>
      <c r="F256" s="3">
        <v>2500</v>
      </c>
      <c r="G256" s="3">
        <v>1750</v>
      </c>
      <c r="I256" s="2" t="s">
        <v>414</v>
      </c>
      <c r="J256" s="2" t="s">
        <v>415</v>
      </c>
      <c r="K256" t="s">
        <v>18</v>
      </c>
      <c r="L256" t="str">
        <f>T("9791168280410")</f>
        <v>9791168280410</v>
      </c>
      <c r="M256" t="str">
        <f t="shared" si="8"/>
        <v/>
      </c>
      <c r="N256" t="s">
        <v>426</v>
      </c>
    </row>
    <row r="257" spans="1:14">
      <c r="A257" s="1">
        <v>46056.317407407405</v>
      </c>
      <c r="B257">
        <v>312914535</v>
      </c>
      <c r="C257" s="2" t="s">
        <v>427</v>
      </c>
      <c r="D257" t="s">
        <v>15</v>
      </c>
      <c r="E257" s="5">
        <v>2500</v>
      </c>
      <c r="F257" s="3">
        <v>2500</v>
      </c>
      <c r="G257" s="3">
        <v>1750</v>
      </c>
      <c r="I257" s="2" t="s">
        <v>414</v>
      </c>
      <c r="J257" s="2" t="s">
        <v>415</v>
      </c>
      <c r="K257" t="s">
        <v>18</v>
      </c>
      <c r="L257" t="str">
        <f>T("9791168280403")</f>
        <v>9791168280403</v>
      </c>
      <c r="M257" t="str">
        <f t="shared" si="8"/>
        <v/>
      </c>
      <c r="N257" t="s">
        <v>428</v>
      </c>
    </row>
    <row r="258" spans="1:14">
      <c r="A258" s="1">
        <v>46056.317407407405</v>
      </c>
      <c r="B258">
        <v>312914537</v>
      </c>
      <c r="C258" s="2" t="s">
        <v>429</v>
      </c>
      <c r="D258" t="s">
        <v>15</v>
      </c>
      <c r="E258" s="5">
        <v>2500</v>
      </c>
      <c r="F258" s="3">
        <v>2500</v>
      </c>
      <c r="G258" s="3">
        <v>1750</v>
      </c>
      <c r="I258" s="2" t="s">
        <v>414</v>
      </c>
      <c r="J258" s="2" t="s">
        <v>415</v>
      </c>
      <c r="K258" t="s">
        <v>18</v>
      </c>
      <c r="L258" t="str">
        <f>T("9791168280465")</f>
        <v>9791168280465</v>
      </c>
      <c r="M258" t="str">
        <f t="shared" si="8"/>
        <v/>
      </c>
      <c r="N258" t="s">
        <v>430</v>
      </c>
    </row>
    <row r="259" spans="1:14">
      <c r="A259" s="1">
        <v>46056.317407407405</v>
      </c>
      <c r="B259">
        <v>312914538</v>
      </c>
      <c r="C259" s="2" t="s">
        <v>431</v>
      </c>
      <c r="D259" t="s">
        <v>15</v>
      </c>
      <c r="E259" s="5">
        <v>2500</v>
      </c>
      <c r="F259" s="3">
        <v>2500</v>
      </c>
      <c r="G259" s="3">
        <v>1750</v>
      </c>
      <c r="I259" s="2" t="s">
        <v>414</v>
      </c>
      <c r="J259" s="2" t="s">
        <v>415</v>
      </c>
      <c r="K259" t="s">
        <v>18</v>
      </c>
      <c r="L259" t="str">
        <f>T("9791168280502")</f>
        <v>9791168280502</v>
      </c>
      <c r="M259" t="str">
        <f t="shared" si="8"/>
        <v/>
      </c>
      <c r="N259" t="s">
        <v>432</v>
      </c>
    </row>
    <row r="260" spans="1:14">
      <c r="A260" s="1">
        <v>46056.317407407405</v>
      </c>
      <c r="B260">
        <v>312914539</v>
      </c>
      <c r="C260" s="2" t="s">
        <v>433</v>
      </c>
      <c r="D260" t="s">
        <v>15</v>
      </c>
      <c r="E260" s="5">
        <v>2500</v>
      </c>
      <c r="F260" s="3">
        <v>2500</v>
      </c>
      <c r="G260" s="3">
        <v>1750</v>
      </c>
      <c r="I260" s="2" t="s">
        <v>414</v>
      </c>
      <c r="J260" s="2" t="s">
        <v>415</v>
      </c>
      <c r="K260" t="s">
        <v>18</v>
      </c>
      <c r="L260" t="str">
        <f>T("9791168280526")</f>
        <v>9791168280526</v>
      </c>
      <c r="M260" t="str">
        <f t="shared" si="8"/>
        <v/>
      </c>
      <c r="N260" t="s">
        <v>434</v>
      </c>
    </row>
    <row r="261" spans="1:14">
      <c r="A261" s="1">
        <v>46056.317407407405</v>
      </c>
      <c r="B261">
        <v>312914544</v>
      </c>
      <c r="C261" s="2" t="s">
        <v>435</v>
      </c>
      <c r="D261" t="s">
        <v>15</v>
      </c>
      <c r="E261" s="5">
        <v>2500</v>
      </c>
      <c r="F261" s="3">
        <v>2500</v>
      </c>
      <c r="G261" s="3">
        <v>1750</v>
      </c>
      <c r="I261" s="2" t="s">
        <v>414</v>
      </c>
      <c r="J261" s="2" t="s">
        <v>415</v>
      </c>
      <c r="K261" t="s">
        <v>18</v>
      </c>
      <c r="L261" t="str">
        <f>T("9791168280519")</f>
        <v>9791168280519</v>
      </c>
      <c r="M261" t="str">
        <f t="shared" si="8"/>
        <v/>
      </c>
      <c r="N261" t="s">
        <v>436</v>
      </c>
    </row>
    <row r="262" spans="1:14">
      <c r="A262" s="1">
        <v>46056.317407407405</v>
      </c>
      <c r="B262">
        <v>312914545</v>
      </c>
      <c r="C262" s="2" t="s">
        <v>437</v>
      </c>
      <c r="D262" t="s">
        <v>15</v>
      </c>
      <c r="E262" s="5">
        <v>2500</v>
      </c>
      <c r="F262" s="3">
        <v>2500</v>
      </c>
      <c r="G262" s="3">
        <v>1750</v>
      </c>
      <c r="I262" s="2" t="s">
        <v>414</v>
      </c>
      <c r="J262" s="2" t="s">
        <v>415</v>
      </c>
      <c r="K262" t="s">
        <v>18</v>
      </c>
      <c r="L262" t="str">
        <f>T("9791168280618")</f>
        <v>9791168280618</v>
      </c>
      <c r="M262" t="str">
        <f t="shared" si="8"/>
        <v/>
      </c>
      <c r="N262" t="s">
        <v>438</v>
      </c>
    </row>
    <row r="263" spans="1:14">
      <c r="A263" s="1">
        <v>46056.317407407405</v>
      </c>
      <c r="B263">
        <v>312914546</v>
      </c>
      <c r="C263" s="2" t="s">
        <v>439</v>
      </c>
      <c r="D263" t="s">
        <v>15</v>
      </c>
      <c r="E263" s="5">
        <v>2500</v>
      </c>
      <c r="F263" s="3">
        <v>2500</v>
      </c>
      <c r="G263" s="3">
        <v>1750</v>
      </c>
      <c r="I263" s="2" t="s">
        <v>414</v>
      </c>
      <c r="J263" s="2" t="s">
        <v>415</v>
      </c>
      <c r="K263" t="s">
        <v>18</v>
      </c>
      <c r="L263" t="str">
        <f>T("9791168280632")</f>
        <v>9791168280632</v>
      </c>
      <c r="M263" t="str">
        <f t="shared" si="8"/>
        <v/>
      </c>
      <c r="N263" t="s">
        <v>440</v>
      </c>
    </row>
    <row r="264" spans="1:14">
      <c r="A264" s="1">
        <v>46056.317407407405</v>
      </c>
      <c r="B264">
        <v>312914547</v>
      </c>
      <c r="C264" s="2" t="s">
        <v>441</v>
      </c>
      <c r="D264" t="s">
        <v>15</v>
      </c>
      <c r="E264" s="5">
        <v>2500</v>
      </c>
      <c r="F264" s="3">
        <v>2500</v>
      </c>
      <c r="G264" s="3">
        <v>1750</v>
      </c>
      <c r="I264" s="2" t="s">
        <v>414</v>
      </c>
      <c r="J264" s="2" t="s">
        <v>415</v>
      </c>
      <c r="K264" t="s">
        <v>18</v>
      </c>
      <c r="L264" t="str">
        <f>T("9791168289956")</f>
        <v>9791168289956</v>
      </c>
      <c r="M264" t="str">
        <f t="shared" si="8"/>
        <v/>
      </c>
      <c r="N264" t="s">
        <v>442</v>
      </c>
    </row>
    <row r="265" spans="1:14">
      <c r="A265" s="1">
        <v>46056.317407407405</v>
      </c>
      <c r="B265">
        <v>312914548</v>
      </c>
      <c r="C265" s="2" t="s">
        <v>443</v>
      </c>
      <c r="D265" t="s">
        <v>15</v>
      </c>
      <c r="E265" s="5">
        <v>2500</v>
      </c>
      <c r="F265" s="3">
        <v>2500</v>
      </c>
      <c r="G265" s="3">
        <v>1750</v>
      </c>
      <c r="I265" s="2" t="s">
        <v>414</v>
      </c>
      <c r="J265" s="2" t="s">
        <v>415</v>
      </c>
      <c r="K265" t="s">
        <v>18</v>
      </c>
      <c r="L265" t="str">
        <f>T("9791168280649")</f>
        <v>9791168280649</v>
      </c>
      <c r="M265" t="str">
        <f t="shared" si="8"/>
        <v/>
      </c>
      <c r="N265" t="s">
        <v>444</v>
      </c>
    </row>
    <row r="266" spans="1:14">
      <c r="A266" s="1">
        <v>46056.321886574071</v>
      </c>
      <c r="B266">
        <v>385373261</v>
      </c>
      <c r="C266" s="2" t="s">
        <v>370</v>
      </c>
      <c r="D266" t="s">
        <v>15</v>
      </c>
      <c r="E266" s="4">
        <v>0</v>
      </c>
      <c r="F266" s="2">
        <v>0</v>
      </c>
      <c r="G266" s="2">
        <v>0</v>
      </c>
      <c r="I266" s="2" t="s">
        <v>371</v>
      </c>
      <c r="J266" s="2" t="s">
        <v>290</v>
      </c>
      <c r="K266" t="s">
        <v>18</v>
      </c>
      <c r="L266" t="str">
        <f>T("9791194982418")</f>
        <v>9791194982418</v>
      </c>
      <c r="M266" t="str">
        <f t="shared" si="8"/>
        <v/>
      </c>
      <c r="N266" t="s">
        <v>372</v>
      </c>
    </row>
    <row r="267" spans="1:14">
      <c r="A267" s="1">
        <v>46056.411516203705</v>
      </c>
      <c r="B267">
        <v>367688531</v>
      </c>
      <c r="C267" s="2" t="s">
        <v>445</v>
      </c>
      <c r="D267" t="s">
        <v>15</v>
      </c>
      <c r="E267" s="5">
        <v>1000</v>
      </c>
      <c r="F267" s="3">
        <v>1000</v>
      </c>
      <c r="G267" s="2">
        <v>700</v>
      </c>
      <c r="I267" s="2" t="s">
        <v>446</v>
      </c>
      <c r="J267" s="2" t="s">
        <v>21</v>
      </c>
      <c r="K267" t="s">
        <v>18</v>
      </c>
      <c r="L267" t="str">
        <f>T("9791173017056")</f>
        <v>9791173017056</v>
      </c>
      <c r="M267" t="str">
        <f t="shared" si="8"/>
        <v/>
      </c>
      <c r="N267" t="s">
        <v>447</v>
      </c>
    </row>
    <row r="268" spans="1:14">
      <c r="A268" s="1">
        <v>46056.417303240742</v>
      </c>
      <c r="B268">
        <v>385373261</v>
      </c>
      <c r="C268" s="2" t="s">
        <v>370</v>
      </c>
      <c r="D268" t="s">
        <v>15</v>
      </c>
      <c r="E268" s="4">
        <v>0</v>
      </c>
      <c r="F268" s="2">
        <v>0</v>
      </c>
      <c r="G268" s="2">
        <v>0</v>
      </c>
      <c r="I268" s="2" t="s">
        <v>371</v>
      </c>
      <c r="J268" s="2" t="s">
        <v>290</v>
      </c>
      <c r="K268" t="s">
        <v>18</v>
      </c>
      <c r="L268" t="str">
        <f>T("9791194982418")</f>
        <v>9791194982418</v>
      </c>
      <c r="M268" t="str">
        <f t="shared" si="8"/>
        <v/>
      </c>
      <c r="N268" t="s">
        <v>372</v>
      </c>
    </row>
    <row r="269" spans="1:14">
      <c r="A269" s="1">
        <v>46056.417303240742</v>
      </c>
      <c r="B269">
        <v>385373286</v>
      </c>
      <c r="C269" s="2" t="s">
        <v>384</v>
      </c>
      <c r="D269" t="s">
        <v>15</v>
      </c>
      <c r="E269" s="4">
        <v>0</v>
      </c>
      <c r="F269" s="2">
        <v>0</v>
      </c>
      <c r="G269" s="2">
        <v>0</v>
      </c>
      <c r="I269" s="2" t="s">
        <v>385</v>
      </c>
      <c r="J269" s="2" t="s">
        <v>290</v>
      </c>
      <c r="K269" t="s">
        <v>18</v>
      </c>
      <c r="L269" t="str">
        <f>T("9791194982302")</f>
        <v>9791194982302</v>
      </c>
      <c r="M269" t="str">
        <f t="shared" si="8"/>
        <v/>
      </c>
      <c r="N269" t="s">
        <v>386</v>
      </c>
    </row>
    <row r="270" spans="1:14">
      <c r="A270" s="1">
        <v>46056.417303240742</v>
      </c>
      <c r="B270">
        <v>385373222</v>
      </c>
      <c r="C270" s="2" t="s">
        <v>390</v>
      </c>
      <c r="D270" t="s">
        <v>15</v>
      </c>
      <c r="E270" s="4">
        <v>0</v>
      </c>
      <c r="F270" s="2">
        <v>0</v>
      </c>
      <c r="G270" s="2">
        <v>0</v>
      </c>
      <c r="I270" s="2" t="s">
        <v>391</v>
      </c>
      <c r="J270" s="2" t="s">
        <v>65</v>
      </c>
      <c r="K270" t="s">
        <v>18</v>
      </c>
      <c r="L270" t="str">
        <f>T("")</f>
        <v/>
      </c>
      <c r="M270" t="str">
        <f>T("G720:N+A319-20251203027.M001")</f>
        <v>G720:N+A319-20251203027.M001</v>
      </c>
      <c r="N270" t="s">
        <v>392</v>
      </c>
    </row>
    <row r="271" spans="1:14">
      <c r="A271" s="1">
        <v>46056.417303240742</v>
      </c>
      <c r="B271">
        <v>385373317</v>
      </c>
      <c r="C271" s="2" t="s">
        <v>381</v>
      </c>
      <c r="D271" t="s">
        <v>15</v>
      </c>
      <c r="E271" s="4">
        <v>0</v>
      </c>
      <c r="F271" s="2">
        <v>0</v>
      </c>
      <c r="G271" s="2">
        <v>0</v>
      </c>
      <c r="I271" s="2" t="s">
        <v>382</v>
      </c>
      <c r="J271" s="2" t="s">
        <v>290</v>
      </c>
      <c r="K271" t="s">
        <v>18</v>
      </c>
      <c r="L271" t="str">
        <f>T("9791194982159")</f>
        <v>9791194982159</v>
      </c>
      <c r="M271" t="str">
        <f t="shared" ref="M271:M302" si="9">T("")</f>
        <v/>
      </c>
      <c r="N271" t="s">
        <v>383</v>
      </c>
    </row>
    <row r="272" spans="1:14">
      <c r="A272" s="1">
        <v>46056.417303240742</v>
      </c>
      <c r="B272">
        <v>385373391</v>
      </c>
      <c r="C272" s="2" t="s">
        <v>448</v>
      </c>
      <c r="D272" t="s">
        <v>15</v>
      </c>
      <c r="E272" s="4">
        <v>0</v>
      </c>
      <c r="F272" s="2">
        <v>0</v>
      </c>
      <c r="G272" s="2">
        <v>0</v>
      </c>
      <c r="I272" s="2" t="s">
        <v>449</v>
      </c>
      <c r="J272" s="2" t="s">
        <v>290</v>
      </c>
      <c r="K272" t="s">
        <v>18</v>
      </c>
      <c r="L272" t="str">
        <f>T("9791194982920")</f>
        <v>9791194982920</v>
      </c>
      <c r="M272" t="str">
        <f t="shared" si="9"/>
        <v/>
      </c>
      <c r="N272" t="s">
        <v>450</v>
      </c>
    </row>
    <row r="273" spans="1:14">
      <c r="A273" s="1">
        <v>46056.438576388886</v>
      </c>
      <c r="B273">
        <v>311047220</v>
      </c>
      <c r="C273" s="2" t="s">
        <v>451</v>
      </c>
      <c r="D273" t="s">
        <v>15</v>
      </c>
      <c r="E273" s="5">
        <v>11200</v>
      </c>
      <c r="F273" s="3">
        <v>11200</v>
      </c>
      <c r="G273" s="3">
        <v>7840</v>
      </c>
      <c r="I273" s="2" t="s">
        <v>452</v>
      </c>
      <c r="J273" s="2" t="s">
        <v>184</v>
      </c>
      <c r="K273" t="s">
        <v>18</v>
      </c>
      <c r="L273" t="str">
        <f>T("9791164798919")</f>
        <v>9791164798919</v>
      </c>
      <c r="M273" t="str">
        <f t="shared" si="9"/>
        <v/>
      </c>
      <c r="N273" t="s">
        <v>453</v>
      </c>
    </row>
    <row r="274" spans="1:14">
      <c r="A274" s="1">
        <v>46056.460069444445</v>
      </c>
      <c r="B274">
        <v>385347933</v>
      </c>
      <c r="C274" s="2" t="s">
        <v>454</v>
      </c>
      <c r="D274" t="s">
        <v>15</v>
      </c>
      <c r="E274" s="5">
        <v>3700</v>
      </c>
      <c r="F274" s="3">
        <v>3700</v>
      </c>
      <c r="G274" s="3">
        <v>2590</v>
      </c>
      <c r="I274" s="2" t="s">
        <v>455</v>
      </c>
      <c r="J274" s="2" t="s">
        <v>456</v>
      </c>
      <c r="K274" t="s">
        <v>18</v>
      </c>
      <c r="L274" t="str">
        <f>T("9791199270442")</f>
        <v>9791199270442</v>
      </c>
      <c r="M274" t="str">
        <f t="shared" si="9"/>
        <v/>
      </c>
      <c r="N274" t="s">
        <v>457</v>
      </c>
    </row>
    <row r="275" spans="1:14">
      <c r="A275" s="1">
        <v>46056.460069444445</v>
      </c>
      <c r="B275">
        <v>385347762</v>
      </c>
      <c r="C275" s="2" t="s">
        <v>458</v>
      </c>
      <c r="D275" t="s">
        <v>15</v>
      </c>
      <c r="E275" s="5">
        <v>3700</v>
      </c>
      <c r="F275" s="3">
        <v>3700</v>
      </c>
      <c r="G275" s="3">
        <v>2590</v>
      </c>
      <c r="I275" s="2" t="s">
        <v>455</v>
      </c>
      <c r="J275" s="2" t="s">
        <v>456</v>
      </c>
      <c r="K275" t="s">
        <v>18</v>
      </c>
      <c r="L275" t="str">
        <f>T("9791199270459")</f>
        <v>9791199270459</v>
      </c>
      <c r="M275" t="str">
        <f t="shared" si="9"/>
        <v/>
      </c>
      <c r="N275" t="s">
        <v>459</v>
      </c>
    </row>
    <row r="276" spans="1:14">
      <c r="A276" s="1">
        <v>46056.469768518517</v>
      </c>
      <c r="B276">
        <v>379527594</v>
      </c>
      <c r="C276" s="2" t="s">
        <v>460</v>
      </c>
      <c r="D276" t="s">
        <v>15</v>
      </c>
      <c r="E276" s="5">
        <v>1000</v>
      </c>
      <c r="F276" s="3">
        <v>1000</v>
      </c>
      <c r="G276" s="2">
        <v>700</v>
      </c>
      <c r="I276" s="2" t="s">
        <v>296</v>
      </c>
      <c r="J276" s="2" t="s">
        <v>21</v>
      </c>
      <c r="K276" t="s">
        <v>18</v>
      </c>
      <c r="L276" t="str">
        <f>T("9791175581258")</f>
        <v>9791175581258</v>
      </c>
      <c r="M276" t="str">
        <f t="shared" si="9"/>
        <v/>
      </c>
      <c r="N276" t="s">
        <v>461</v>
      </c>
    </row>
    <row r="277" spans="1:14">
      <c r="A277" s="1">
        <v>46056.469768518517</v>
      </c>
      <c r="B277">
        <v>382628157</v>
      </c>
      <c r="C277" s="2" t="s">
        <v>462</v>
      </c>
      <c r="D277" t="s">
        <v>15</v>
      </c>
      <c r="E277" s="5">
        <v>1000</v>
      </c>
      <c r="F277" s="3">
        <v>1000</v>
      </c>
      <c r="G277" s="2">
        <v>700</v>
      </c>
      <c r="I277" s="2" t="s">
        <v>28</v>
      </c>
      <c r="J277" s="2" t="s">
        <v>21</v>
      </c>
      <c r="K277" t="s">
        <v>18</v>
      </c>
      <c r="L277" t="str">
        <f>T("9791175581739")</f>
        <v>9791175581739</v>
      </c>
      <c r="M277" t="str">
        <f t="shared" si="9"/>
        <v/>
      </c>
      <c r="N277" t="s">
        <v>463</v>
      </c>
    </row>
    <row r="278" spans="1:14">
      <c r="A278" s="1">
        <v>46056.469768518517</v>
      </c>
      <c r="B278">
        <v>384623947</v>
      </c>
      <c r="C278" s="2" t="s">
        <v>37</v>
      </c>
      <c r="D278" t="s">
        <v>15</v>
      </c>
      <c r="E278" s="5">
        <v>1000</v>
      </c>
      <c r="F278" s="3">
        <v>1000</v>
      </c>
      <c r="G278" s="2">
        <v>700</v>
      </c>
      <c r="I278" s="2" t="s">
        <v>38</v>
      </c>
      <c r="J278" s="2" t="s">
        <v>21</v>
      </c>
      <c r="K278" t="s">
        <v>18</v>
      </c>
      <c r="L278" t="str">
        <f>T("9791175582187")</f>
        <v>9791175582187</v>
      </c>
      <c r="M278" t="str">
        <f t="shared" si="9"/>
        <v/>
      </c>
      <c r="N278" t="s">
        <v>39</v>
      </c>
    </row>
    <row r="279" spans="1:14">
      <c r="A279" s="1">
        <v>46056.469768518517</v>
      </c>
      <c r="B279">
        <v>383435421</v>
      </c>
      <c r="C279" s="2" t="s">
        <v>27</v>
      </c>
      <c r="D279" t="s">
        <v>15</v>
      </c>
      <c r="E279" s="5">
        <v>1000</v>
      </c>
      <c r="F279" s="3">
        <v>1000</v>
      </c>
      <c r="G279" s="2">
        <v>700</v>
      </c>
      <c r="I279" s="2" t="s">
        <v>28</v>
      </c>
      <c r="J279" s="2" t="s">
        <v>21</v>
      </c>
      <c r="K279" t="s">
        <v>18</v>
      </c>
      <c r="L279" t="str">
        <f>T("9791175582361")</f>
        <v>9791175582361</v>
      </c>
      <c r="M279" t="str">
        <f t="shared" si="9"/>
        <v/>
      </c>
      <c r="N279" t="s">
        <v>29</v>
      </c>
    </row>
    <row r="280" spans="1:14">
      <c r="A280" s="1">
        <v>46056.469768518517</v>
      </c>
      <c r="B280">
        <v>295075559</v>
      </c>
      <c r="C280" s="2" t="s">
        <v>158</v>
      </c>
      <c r="D280" t="s">
        <v>15</v>
      </c>
      <c r="E280" s="5">
        <v>1000</v>
      </c>
      <c r="F280" s="3">
        <v>1000</v>
      </c>
      <c r="G280" s="2">
        <v>700</v>
      </c>
      <c r="I280" s="2" t="s">
        <v>89</v>
      </c>
      <c r="J280" s="2" t="s">
        <v>21</v>
      </c>
      <c r="K280" t="s">
        <v>18</v>
      </c>
      <c r="L280" t="str">
        <f>T("9791167833143")</f>
        <v>9791167833143</v>
      </c>
      <c r="M280" t="str">
        <f t="shared" si="9"/>
        <v/>
      </c>
    </row>
    <row r="281" spans="1:14">
      <c r="A281" s="1">
        <v>46056.478020833332</v>
      </c>
      <c r="B281">
        <v>385373261</v>
      </c>
      <c r="C281" s="2" t="s">
        <v>370</v>
      </c>
      <c r="D281" t="s">
        <v>15</v>
      </c>
      <c r="E281" s="4">
        <v>0</v>
      </c>
      <c r="F281" s="2">
        <v>0</v>
      </c>
      <c r="G281" s="2">
        <v>0</v>
      </c>
      <c r="I281" s="2" t="s">
        <v>371</v>
      </c>
      <c r="J281" s="2" t="s">
        <v>290</v>
      </c>
      <c r="K281" t="s">
        <v>18</v>
      </c>
      <c r="L281" t="str">
        <f>T("9791194982418")</f>
        <v>9791194982418</v>
      </c>
      <c r="M281" t="str">
        <f t="shared" si="9"/>
        <v/>
      </c>
      <c r="N281" t="s">
        <v>372</v>
      </c>
    </row>
    <row r="282" spans="1:14">
      <c r="A282" s="1">
        <v>46056.47996527778</v>
      </c>
      <c r="B282">
        <v>385373286</v>
      </c>
      <c r="C282" s="2" t="s">
        <v>384</v>
      </c>
      <c r="D282" t="s">
        <v>15</v>
      </c>
      <c r="E282" s="4">
        <v>0</v>
      </c>
      <c r="F282" s="2">
        <v>0</v>
      </c>
      <c r="G282" s="2">
        <v>0</v>
      </c>
      <c r="I282" s="2" t="s">
        <v>385</v>
      </c>
      <c r="J282" s="2" t="s">
        <v>290</v>
      </c>
      <c r="K282" t="s">
        <v>18</v>
      </c>
      <c r="L282" t="str">
        <f>T("9791194982302")</f>
        <v>9791194982302</v>
      </c>
      <c r="M282" t="str">
        <f t="shared" si="9"/>
        <v/>
      </c>
      <c r="N282" t="s">
        <v>386</v>
      </c>
    </row>
    <row r="283" spans="1:14">
      <c r="A283" s="1">
        <v>46056.47996527778</v>
      </c>
      <c r="B283">
        <v>385373316</v>
      </c>
      <c r="C283" s="2" t="s">
        <v>387</v>
      </c>
      <c r="D283" t="s">
        <v>15</v>
      </c>
      <c r="E283" s="4">
        <v>0</v>
      </c>
      <c r="F283" s="2">
        <v>0</v>
      </c>
      <c r="G283" s="2">
        <v>0</v>
      </c>
      <c r="I283" s="2" t="s">
        <v>388</v>
      </c>
      <c r="J283" s="2" t="s">
        <v>290</v>
      </c>
      <c r="K283" t="s">
        <v>18</v>
      </c>
      <c r="L283" t="str">
        <f>T("9791194982036")</f>
        <v>9791194982036</v>
      </c>
      <c r="M283" t="str">
        <f t="shared" si="9"/>
        <v/>
      </c>
      <c r="N283" t="s">
        <v>389</v>
      </c>
    </row>
    <row r="284" spans="1:14">
      <c r="A284" s="1">
        <v>46056.507141203707</v>
      </c>
      <c r="B284">
        <v>383003764</v>
      </c>
      <c r="C284" s="2" t="s">
        <v>350</v>
      </c>
      <c r="D284" t="s">
        <v>15</v>
      </c>
      <c r="E284" s="5">
        <v>1000</v>
      </c>
      <c r="F284" s="3">
        <v>1000</v>
      </c>
      <c r="G284" s="2">
        <v>700</v>
      </c>
      <c r="I284" s="2" t="s">
        <v>351</v>
      </c>
      <c r="J284" s="2" t="s">
        <v>126</v>
      </c>
      <c r="K284" t="s">
        <v>18</v>
      </c>
      <c r="L284" t="str">
        <f>T("9791171502783")</f>
        <v>9791171502783</v>
      </c>
      <c r="M284" t="str">
        <f t="shared" si="9"/>
        <v/>
      </c>
      <c r="N284" t="s">
        <v>352</v>
      </c>
    </row>
    <row r="285" spans="1:14">
      <c r="A285" s="1">
        <v>46056.564432870371</v>
      </c>
      <c r="B285">
        <v>296035619</v>
      </c>
      <c r="C285" s="2" t="s">
        <v>464</v>
      </c>
      <c r="D285" t="s">
        <v>15</v>
      </c>
      <c r="E285" s="5">
        <v>1200</v>
      </c>
      <c r="F285" s="3">
        <v>1200</v>
      </c>
      <c r="G285" s="2">
        <v>840</v>
      </c>
      <c r="I285" s="2" t="s">
        <v>465</v>
      </c>
      <c r="J285" s="2" t="s">
        <v>21</v>
      </c>
      <c r="K285" t="s">
        <v>18</v>
      </c>
      <c r="L285" t="str">
        <f>T("9791167832863")</f>
        <v>9791167832863</v>
      </c>
      <c r="M285" t="str">
        <f t="shared" si="9"/>
        <v/>
      </c>
    </row>
    <row r="286" spans="1:14">
      <c r="A286" s="1">
        <v>46056.577696759261</v>
      </c>
      <c r="B286">
        <v>385347806</v>
      </c>
      <c r="C286" s="2" t="s">
        <v>221</v>
      </c>
      <c r="D286" t="s">
        <v>68</v>
      </c>
      <c r="E286" s="4">
        <v>0</v>
      </c>
      <c r="F286" s="2">
        <v>0</v>
      </c>
      <c r="G286" s="2">
        <v>0</v>
      </c>
      <c r="I286" s="2" t="s">
        <v>213</v>
      </c>
      <c r="J286" s="2" t="s">
        <v>161</v>
      </c>
      <c r="K286" t="s">
        <v>18</v>
      </c>
      <c r="L286" t="str">
        <f>T("9791173261930")</f>
        <v>9791173261930</v>
      </c>
      <c r="M286" t="str">
        <f t="shared" si="9"/>
        <v/>
      </c>
      <c r="N286" t="s">
        <v>222</v>
      </c>
    </row>
    <row r="287" spans="1:14">
      <c r="A287" s="1">
        <v>46056.58121527778</v>
      </c>
      <c r="B287">
        <v>385373365</v>
      </c>
      <c r="C287" s="2" t="s">
        <v>466</v>
      </c>
      <c r="D287" t="s">
        <v>15</v>
      </c>
      <c r="E287" s="5">
        <v>3200</v>
      </c>
      <c r="F287" s="3">
        <v>3200</v>
      </c>
      <c r="G287" s="3">
        <v>2240</v>
      </c>
      <c r="I287" s="2" t="s">
        <v>388</v>
      </c>
      <c r="J287" s="2" t="s">
        <v>290</v>
      </c>
      <c r="K287" t="s">
        <v>18</v>
      </c>
      <c r="L287" t="str">
        <f>T("9791194982067")</f>
        <v>9791194982067</v>
      </c>
      <c r="M287" t="str">
        <f t="shared" si="9"/>
        <v/>
      </c>
      <c r="N287" t="s">
        <v>467</v>
      </c>
    </row>
    <row r="288" spans="1:14">
      <c r="A288" s="1">
        <v>46056.58121527778</v>
      </c>
      <c r="B288">
        <v>385373369</v>
      </c>
      <c r="C288" s="2" t="s">
        <v>468</v>
      </c>
      <c r="D288" t="s">
        <v>15</v>
      </c>
      <c r="E288" s="5">
        <v>3200</v>
      </c>
      <c r="F288" s="3">
        <v>3200</v>
      </c>
      <c r="G288" s="3">
        <v>2240</v>
      </c>
      <c r="I288" s="2" t="s">
        <v>388</v>
      </c>
      <c r="J288" s="2" t="s">
        <v>290</v>
      </c>
      <c r="K288" t="s">
        <v>18</v>
      </c>
      <c r="L288" t="str">
        <f>T("9791194982043")</f>
        <v>9791194982043</v>
      </c>
      <c r="M288" t="str">
        <f t="shared" si="9"/>
        <v/>
      </c>
      <c r="N288" t="s">
        <v>469</v>
      </c>
    </row>
    <row r="289" spans="1:14">
      <c r="A289" s="1">
        <v>46056.58121527778</v>
      </c>
      <c r="B289">
        <v>385373355</v>
      </c>
      <c r="C289" s="2" t="s">
        <v>470</v>
      </c>
      <c r="D289" t="s">
        <v>15</v>
      </c>
      <c r="E289" s="5">
        <v>3200</v>
      </c>
      <c r="F289" s="3">
        <v>3200</v>
      </c>
      <c r="G289" s="3">
        <v>2240</v>
      </c>
      <c r="I289" s="2" t="s">
        <v>388</v>
      </c>
      <c r="J289" s="2" t="s">
        <v>290</v>
      </c>
      <c r="K289" t="s">
        <v>18</v>
      </c>
      <c r="L289" t="str">
        <f>T("9791194982050")</f>
        <v>9791194982050</v>
      </c>
      <c r="M289" t="str">
        <f t="shared" si="9"/>
        <v/>
      </c>
      <c r="N289" t="s">
        <v>471</v>
      </c>
    </row>
    <row r="290" spans="1:14">
      <c r="A290" s="1">
        <v>46056.58121527778</v>
      </c>
      <c r="B290">
        <v>385373342</v>
      </c>
      <c r="C290" s="2" t="s">
        <v>472</v>
      </c>
      <c r="D290" t="s">
        <v>15</v>
      </c>
      <c r="E290" s="5">
        <v>3200</v>
      </c>
      <c r="F290" s="3">
        <v>3200</v>
      </c>
      <c r="G290" s="3">
        <v>2240</v>
      </c>
      <c r="I290" s="2" t="s">
        <v>388</v>
      </c>
      <c r="J290" s="2" t="s">
        <v>290</v>
      </c>
      <c r="K290" t="s">
        <v>18</v>
      </c>
      <c r="L290" t="str">
        <f>T("9791194982074")</f>
        <v>9791194982074</v>
      </c>
      <c r="M290" t="str">
        <f t="shared" si="9"/>
        <v/>
      </c>
      <c r="N290" t="s">
        <v>473</v>
      </c>
    </row>
    <row r="291" spans="1:14">
      <c r="A291" s="1">
        <v>46056.631909722222</v>
      </c>
      <c r="B291">
        <v>382627455</v>
      </c>
      <c r="C291" s="2" t="s">
        <v>474</v>
      </c>
      <c r="D291" t="s">
        <v>15</v>
      </c>
      <c r="E291" s="5">
        <v>3000</v>
      </c>
      <c r="F291" s="3">
        <v>3000</v>
      </c>
      <c r="G291" s="3">
        <v>2100</v>
      </c>
      <c r="I291" s="2" t="s">
        <v>475</v>
      </c>
      <c r="J291" s="2" t="s">
        <v>476</v>
      </c>
      <c r="K291" t="s">
        <v>18</v>
      </c>
      <c r="L291" t="str">
        <f>T("9791175090927")</f>
        <v>9791175090927</v>
      </c>
      <c r="M291" t="str">
        <f t="shared" si="9"/>
        <v/>
      </c>
      <c r="N291" t="s">
        <v>477</v>
      </c>
    </row>
    <row r="292" spans="1:14">
      <c r="A292" s="1">
        <v>46056.64303240741</v>
      </c>
      <c r="B292">
        <v>385373317</v>
      </c>
      <c r="C292" s="2" t="s">
        <v>381</v>
      </c>
      <c r="D292" t="s">
        <v>15</v>
      </c>
      <c r="E292" s="4">
        <v>0</v>
      </c>
      <c r="F292" s="2">
        <v>0</v>
      </c>
      <c r="G292" s="2">
        <v>0</v>
      </c>
      <c r="I292" s="2" t="s">
        <v>382</v>
      </c>
      <c r="J292" s="2" t="s">
        <v>290</v>
      </c>
      <c r="K292" t="s">
        <v>18</v>
      </c>
      <c r="L292" t="str">
        <f>T("9791194982159")</f>
        <v>9791194982159</v>
      </c>
      <c r="M292" t="str">
        <f t="shared" si="9"/>
        <v/>
      </c>
      <c r="N292" t="s">
        <v>383</v>
      </c>
    </row>
    <row r="293" spans="1:14">
      <c r="A293" s="1">
        <v>46056.643576388888</v>
      </c>
      <c r="B293">
        <v>385373286</v>
      </c>
      <c r="C293" s="2" t="s">
        <v>384</v>
      </c>
      <c r="D293" t="s">
        <v>15</v>
      </c>
      <c r="E293" s="4">
        <v>0</v>
      </c>
      <c r="F293" s="2">
        <v>0</v>
      </c>
      <c r="G293" s="2">
        <v>0</v>
      </c>
      <c r="I293" s="2" t="s">
        <v>385</v>
      </c>
      <c r="J293" s="2" t="s">
        <v>290</v>
      </c>
      <c r="K293" t="s">
        <v>18</v>
      </c>
      <c r="L293" t="str">
        <f>T("9791194982302")</f>
        <v>9791194982302</v>
      </c>
      <c r="M293" t="str">
        <f t="shared" si="9"/>
        <v/>
      </c>
      <c r="N293" t="s">
        <v>386</v>
      </c>
    </row>
    <row r="294" spans="1:14">
      <c r="A294" s="1">
        <v>46056.64398148148</v>
      </c>
      <c r="B294">
        <v>385373253</v>
      </c>
      <c r="C294" s="2" t="s">
        <v>288</v>
      </c>
      <c r="D294" t="s">
        <v>15</v>
      </c>
      <c r="E294" s="4">
        <v>0</v>
      </c>
      <c r="F294" s="2">
        <v>0</v>
      </c>
      <c r="G294" s="2">
        <v>0</v>
      </c>
      <c r="I294" s="2" t="s">
        <v>289</v>
      </c>
      <c r="J294" s="2" t="s">
        <v>290</v>
      </c>
      <c r="K294" t="s">
        <v>18</v>
      </c>
      <c r="L294" t="str">
        <f>T("9791194726784")</f>
        <v>9791194726784</v>
      </c>
      <c r="M294" t="str">
        <f t="shared" si="9"/>
        <v/>
      </c>
      <c r="N294" t="s">
        <v>291</v>
      </c>
    </row>
    <row r="295" spans="1:14">
      <c r="A295" s="1">
        <v>46056.683252314811</v>
      </c>
      <c r="B295">
        <v>385347715</v>
      </c>
      <c r="C295" s="2" t="s">
        <v>186</v>
      </c>
      <c r="D295" t="s">
        <v>15</v>
      </c>
      <c r="E295" s="5">
        <v>2000</v>
      </c>
      <c r="F295" s="3">
        <v>1800</v>
      </c>
      <c r="G295" s="3">
        <v>1260</v>
      </c>
      <c r="I295" s="2" t="s">
        <v>187</v>
      </c>
      <c r="J295" s="2" t="s">
        <v>188</v>
      </c>
      <c r="K295" t="s">
        <v>18</v>
      </c>
      <c r="L295" t="str">
        <f>T("9791164835362")</f>
        <v>9791164835362</v>
      </c>
      <c r="M295" t="str">
        <f t="shared" si="9"/>
        <v/>
      </c>
      <c r="N295" t="s">
        <v>189</v>
      </c>
    </row>
    <row r="296" spans="1:14">
      <c r="A296" s="1">
        <v>46056.68372685185</v>
      </c>
      <c r="B296">
        <v>343712337</v>
      </c>
      <c r="C296" s="2" t="s">
        <v>478</v>
      </c>
      <c r="D296" t="s">
        <v>15</v>
      </c>
      <c r="E296" s="5">
        <v>3500</v>
      </c>
      <c r="F296" s="3">
        <v>3500</v>
      </c>
      <c r="G296" s="3">
        <v>2450</v>
      </c>
      <c r="I296" s="2" t="s">
        <v>64</v>
      </c>
      <c r="J296" s="2" t="s">
        <v>65</v>
      </c>
      <c r="K296" t="s">
        <v>18</v>
      </c>
      <c r="L296" t="str">
        <f>T("9791137009721")</f>
        <v>9791137009721</v>
      </c>
      <c r="M296" t="str">
        <f t="shared" si="9"/>
        <v/>
      </c>
      <c r="N296" t="s">
        <v>479</v>
      </c>
    </row>
    <row r="297" spans="1:14">
      <c r="A297" s="1">
        <v>46056.697916666664</v>
      </c>
      <c r="B297">
        <v>368640530</v>
      </c>
      <c r="C297" s="2" t="s">
        <v>480</v>
      </c>
      <c r="D297" t="s">
        <v>15</v>
      </c>
      <c r="E297" s="5">
        <v>12950</v>
      </c>
      <c r="F297" s="3">
        <v>12950</v>
      </c>
      <c r="G297" s="3">
        <v>9065</v>
      </c>
      <c r="I297" s="2" t="s">
        <v>481</v>
      </c>
      <c r="J297" s="2" t="s">
        <v>184</v>
      </c>
      <c r="K297" t="s">
        <v>18</v>
      </c>
      <c r="L297" t="str">
        <f>T("9791170964636")</f>
        <v>9791170964636</v>
      </c>
      <c r="M297" t="str">
        <f t="shared" si="9"/>
        <v/>
      </c>
      <c r="N297" t="s">
        <v>482</v>
      </c>
    </row>
    <row r="298" spans="1:14">
      <c r="A298" s="1">
        <v>46056.699525462966</v>
      </c>
      <c r="B298">
        <v>281223543</v>
      </c>
      <c r="C298" s="2" t="s">
        <v>483</v>
      </c>
      <c r="D298" t="s">
        <v>15</v>
      </c>
      <c r="E298" s="5">
        <v>3400</v>
      </c>
      <c r="F298" s="3">
        <v>3400</v>
      </c>
      <c r="G298" s="3">
        <v>2380</v>
      </c>
      <c r="I298" s="2" t="s">
        <v>484</v>
      </c>
      <c r="J298" s="2" t="s">
        <v>197</v>
      </c>
      <c r="K298" t="s">
        <v>18</v>
      </c>
      <c r="L298" t="str">
        <f>T("9791164095629")</f>
        <v>9791164095629</v>
      </c>
      <c r="M298" t="str">
        <f t="shared" si="9"/>
        <v/>
      </c>
      <c r="N298" t="s">
        <v>485</v>
      </c>
    </row>
    <row r="299" spans="1:14">
      <c r="A299" s="1">
        <v>46056.712129629632</v>
      </c>
      <c r="B299">
        <v>378390691</v>
      </c>
      <c r="C299" s="2" t="s">
        <v>486</v>
      </c>
      <c r="D299" t="s">
        <v>15</v>
      </c>
      <c r="E299" s="5">
        <v>1000</v>
      </c>
      <c r="F299" s="3">
        <v>1000</v>
      </c>
      <c r="G299" s="2">
        <v>700</v>
      </c>
      <c r="I299" s="2" t="s">
        <v>487</v>
      </c>
      <c r="J299" s="2" t="s">
        <v>21</v>
      </c>
      <c r="K299" t="s">
        <v>18</v>
      </c>
      <c r="L299" t="str">
        <f>T("9791175580619")</f>
        <v>9791175580619</v>
      </c>
      <c r="M299" t="str">
        <f t="shared" si="9"/>
        <v/>
      </c>
      <c r="N299" t="s">
        <v>488</v>
      </c>
    </row>
    <row r="300" spans="1:14">
      <c r="A300" s="1">
        <v>46056.717118055552</v>
      </c>
      <c r="B300">
        <v>385373253</v>
      </c>
      <c r="C300" s="2" t="s">
        <v>288</v>
      </c>
      <c r="D300" t="s">
        <v>15</v>
      </c>
      <c r="E300" s="4">
        <v>0</v>
      </c>
      <c r="F300" s="2">
        <v>0</v>
      </c>
      <c r="G300" s="2">
        <v>0</v>
      </c>
      <c r="I300" s="2" t="s">
        <v>289</v>
      </c>
      <c r="J300" s="2" t="s">
        <v>290</v>
      </c>
      <c r="K300" t="s">
        <v>18</v>
      </c>
      <c r="L300" t="str">
        <f>T("9791194726784")</f>
        <v>9791194726784</v>
      </c>
      <c r="M300" t="str">
        <f t="shared" si="9"/>
        <v/>
      </c>
      <c r="N300" t="s">
        <v>291</v>
      </c>
    </row>
    <row r="301" spans="1:14">
      <c r="A301" s="1">
        <v>46056.717118055552</v>
      </c>
      <c r="B301">
        <v>385373316</v>
      </c>
      <c r="C301" s="2" t="s">
        <v>387</v>
      </c>
      <c r="D301" t="s">
        <v>15</v>
      </c>
      <c r="E301" s="4">
        <v>0</v>
      </c>
      <c r="F301" s="2">
        <v>0</v>
      </c>
      <c r="G301" s="2">
        <v>0</v>
      </c>
      <c r="I301" s="2" t="s">
        <v>388</v>
      </c>
      <c r="J301" s="2" t="s">
        <v>290</v>
      </c>
      <c r="K301" t="s">
        <v>18</v>
      </c>
      <c r="L301" t="str">
        <f>T("9791194982036")</f>
        <v>9791194982036</v>
      </c>
      <c r="M301" t="str">
        <f t="shared" si="9"/>
        <v/>
      </c>
      <c r="N301" t="s">
        <v>389</v>
      </c>
    </row>
    <row r="302" spans="1:14">
      <c r="A302" s="1">
        <v>46056.717118055552</v>
      </c>
      <c r="B302">
        <v>385373286</v>
      </c>
      <c r="C302" s="2" t="s">
        <v>384</v>
      </c>
      <c r="D302" t="s">
        <v>15</v>
      </c>
      <c r="E302" s="4">
        <v>0</v>
      </c>
      <c r="F302" s="2">
        <v>0</v>
      </c>
      <c r="G302" s="2">
        <v>0</v>
      </c>
      <c r="I302" s="2" t="s">
        <v>385</v>
      </c>
      <c r="J302" s="2" t="s">
        <v>290</v>
      </c>
      <c r="K302" t="s">
        <v>18</v>
      </c>
      <c r="L302" t="str">
        <f>T("9791194982302")</f>
        <v>9791194982302</v>
      </c>
      <c r="M302" t="str">
        <f t="shared" si="9"/>
        <v/>
      </c>
      <c r="N302" t="s">
        <v>386</v>
      </c>
    </row>
    <row r="303" spans="1:14">
      <c r="A303" s="1">
        <v>46056.717118055552</v>
      </c>
      <c r="B303">
        <v>385373222</v>
      </c>
      <c r="C303" s="2" t="s">
        <v>390</v>
      </c>
      <c r="D303" t="s">
        <v>15</v>
      </c>
      <c r="E303" s="4">
        <v>0</v>
      </c>
      <c r="F303" s="2">
        <v>0</v>
      </c>
      <c r="G303" s="2">
        <v>0</v>
      </c>
      <c r="I303" s="2" t="s">
        <v>391</v>
      </c>
      <c r="J303" s="2" t="s">
        <v>65</v>
      </c>
      <c r="K303" t="s">
        <v>18</v>
      </c>
      <c r="L303" t="str">
        <f>T("")</f>
        <v/>
      </c>
      <c r="M303" t="str">
        <f>T("G720:N+A319-20251203027.M001")</f>
        <v>G720:N+A319-20251203027.M001</v>
      </c>
      <c r="N303" t="s">
        <v>392</v>
      </c>
    </row>
    <row r="304" spans="1:14">
      <c r="A304" s="1">
        <v>46056.717118055552</v>
      </c>
      <c r="B304">
        <v>385373394</v>
      </c>
      <c r="C304" s="2" t="s">
        <v>489</v>
      </c>
      <c r="D304" t="s">
        <v>15</v>
      </c>
      <c r="E304" s="4">
        <v>0</v>
      </c>
      <c r="F304" s="2">
        <v>0</v>
      </c>
      <c r="G304" s="2">
        <v>0</v>
      </c>
      <c r="I304" s="2" t="s">
        <v>490</v>
      </c>
      <c r="J304" s="2" t="s">
        <v>290</v>
      </c>
      <c r="K304" t="s">
        <v>18</v>
      </c>
      <c r="L304" t="str">
        <f>T("9791124141175")</f>
        <v>9791124141175</v>
      </c>
      <c r="M304" t="str">
        <f t="shared" ref="M304:M310" si="10">T("")</f>
        <v/>
      </c>
      <c r="N304" t="s">
        <v>491</v>
      </c>
    </row>
    <row r="305" spans="1:14">
      <c r="A305" s="1">
        <v>46056.717118055552</v>
      </c>
      <c r="B305">
        <v>385373317</v>
      </c>
      <c r="C305" s="2" t="s">
        <v>381</v>
      </c>
      <c r="D305" t="s">
        <v>15</v>
      </c>
      <c r="E305" s="4">
        <v>0</v>
      </c>
      <c r="F305" s="2">
        <v>0</v>
      </c>
      <c r="G305" s="2">
        <v>0</v>
      </c>
      <c r="I305" s="2" t="s">
        <v>382</v>
      </c>
      <c r="J305" s="2" t="s">
        <v>290</v>
      </c>
      <c r="K305" t="s">
        <v>18</v>
      </c>
      <c r="L305" t="str">
        <f>T("9791194982159")</f>
        <v>9791194982159</v>
      </c>
      <c r="M305" t="str">
        <f t="shared" si="10"/>
        <v/>
      </c>
      <c r="N305" t="s">
        <v>383</v>
      </c>
    </row>
    <row r="306" spans="1:14">
      <c r="A306" s="1">
        <v>46056.762349537035</v>
      </c>
      <c r="B306">
        <v>385347715</v>
      </c>
      <c r="C306" s="2" t="s">
        <v>186</v>
      </c>
      <c r="D306" t="s">
        <v>15</v>
      </c>
      <c r="E306" s="5">
        <v>2000</v>
      </c>
      <c r="F306" s="3">
        <v>1800</v>
      </c>
      <c r="G306" s="3">
        <v>1260</v>
      </c>
      <c r="I306" s="2" t="s">
        <v>187</v>
      </c>
      <c r="J306" s="2" t="s">
        <v>188</v>
      </c>
      <c r="K306" t="s">
        <v>18</v>
      </c>
      <c r="L306" t="str">
        <f>T("9791164835362")</f>
        <v>9791164835362</v>
      </c>
      <c r="M306" t="str">
        <f t="shared" si="10"/>
        <v/>
      </c>
      <c r="N306" t="s">
        <v>189</v>
      </c>
    </row>
    <row r="307" spans="1:14">
      <c r="A307" s="1">
        <v>46056.797511574077</v>
      </c>
      <c r="B307">
        <v>385347797</v>
      </c>
      <c r="C307" s="2" t="s">
        <v>195</v>
      </c>
      <c r="D307" t="s">
        <v>15</v>
      </c>
      <c r="E307" s="4">
        <v>700</v>
      </c>
      <c r="F307" s="2">
        <v>630</v>
      </c>
      <c r="G307" s="2">
        <v>441</v>
      </c>
      <c r="I307" s="2" t="s">
        <v>196</v>
      </c>
      <c r="J307" s="2" t="s">
        <v>197</v>
      </c>
      <c r="K307" t="s">
        <v>18</v>
      </c>
      <c r="L307" t="str">
        <f>T("9791172821937")</f>
        <v>9791172821937</v>
      </c>
      <c r="M307" t="str">
        <f t="shared" si="10"/>
        <v/>
      </c>
      <c r="N307" t="s">
        <v>198</v>
      </c>
    </row>
    <row r="308" spans="1:14">
      <c r="A308" s="1">
        <v>46056.813472222224</v>
      </c>
      <c r="B308">
        <v>385348008</v>
      </c>
      <c r="C308" s="2" t="s">
        <v>219</v>
      </c>
      <c r="D308" t="s">
        <v>68</v>
      </c>
      <c r="E308" s="4">
        <v>0</v>
      </c>
      <c r="F308" s="2">
        <v>0</v>
      </c>
      <c r="G308" s="2">
        <v>0</v>
      </c>
      <c r="I308" s="2" t="s">
        <v>213</v>
      </c>
      <c r="J308" s="2" t="s">
        <v>161</v>
      </c>
      <c r="K308" t="s">
        <v>18</v>
      </c>
      <c r="L308" t="str">
        <f>T("9791173261572")</f>
        <v>9791173261572</v>
      </c>
      <c r="M308" t="str">
        <f t="shared" si="10"/>
        <v/>
      </c>
      <c r="N308" t="s">
        <v>220</v>
      </c>
    </row>
    <row r="309" spans="1:14">
      <c r="A309" s="1">
        <v>46056.826655092591</v>
      </c>
      <c r="B309">
        <v>385347806</v>
      </c>
      <c r="C309" s="2" t="s">
        <v>221</v>
      </c>
      <c r="D309" t="s">
        <v>15</v>
      </c>
      <c r="E309" s="4">
        <v>0</v>
      </c>
      <c r="F309" s="2">
        <v>0</v>
      </c>
      <c r="G309" s="2">
        <v>0</v>
      </c>
      <c r="I309" s="2" t="s">
        <v>213</v>
      </c>
      <c r="J309" s="2" t="s">
        <v>161</v>
      </c>
      <c r="K309" t="s">
        <v>18</v>
      </c>
      <c r="L309" t="str">
        <f>T("9791173261930")</f>
        <v>9791173261930</v>
      </c>
      <c r="M309" t="str">
        <f t="shared" si="10"/>
        <v/>
      </c>
      <c r="N309" t="s">
        <v>222</v>
      </c>
    </row>
    <row r="310" spans="1:14">
      <c r="A310" s="1">
        <v>46056.826655092591</v>
      </c>
      <c r="B310">
        <v>385373317</v>
      </c>
      <c r="C310" s="2" t="s">
        <v>381</v>
      </c>
      <c r="D310" t="s">
        <v>15</v>
      </c>
      <c r="E310" s="4">
        <v>0</v>
      </c>
      <c r="F310" s="2">
        <v>0</v>
      </c>
      <c r="G310" s="2">
        <v>0</v>
      </c>
      <c r="I310" s="2" t="s">
        <v>382</v>
      </c>
      <c r="J310" s="2" t="s">
        <v>290</v>
      </c>
      <c r="K310" t="s">
        <v>18</v>
      </c>
      <c r="L310" t="str">
        <f>T("9791194982159")</f>
        <v>9791194982159</v>
      </c>
      <c r="M310" t="str">
        <f t="shared" si="10"/>
        <v/>
      </c>
      <c r="N310" t="s">
        <v>383</v>
      </c>
    </row>
    <row r="311" spans="1:14">
      <c r="A311" s="1">
        <v>46056.826655092591</v>
      </c>
      <c r="B311">
        <v>385373222</v>
      </c>
      <c r="C311" s="2" t="s">
        <v>390</v>
      </c>
      <c r="D311" t="s">
        <v>15</v>
      </c>
      <c r="E311" s="4">
        <v>0</v>
      </c>
      <c r="F311" s="2">
        <v>0</v>
      </c>
      <c r="G311" s="2">
        <v>0</v>
      </c>
      <c r="I311" s="2" t="s">
        <v>391</v>
      </c>
      <c r="J311" s="2" t="s">
        <v>65</v>
      </c>
      <c r="K311" t="s">
        <v>18</v>
      </c>
      <c r="L311" t="str">
        <f>T("")</f>
        <v/>
      </c>
      <c r="M311" t="str">
        <f>T("G720:N+A319-20251203027.M001")</f>
        <v>G720:N+A319-20251203027.M001</v>
      </c>
      <c r="N311" t="s">
        <v>392</v>
      </c>
    </row>
    <row r="312" spans="1:14">
      <c r="A312" s="1">
        <v>46056.826655092591</v>
      </c>
      <c r="B312">
        <v>385373316</v>
      </c>
      <c r="C312" s="2" t="s">
        <v>387</v>
      </c>
      <c r="D312" t="s">
        <v>15</v>
      </c>
      <c r="E312" s="4">
        <v>0</v>
      </c>
      <c r="F312" s="2">
        <v>0</v>
      </c>
      <c r="G312" s="2">
        <v>0</v>
      </c>
      <c r="I312" s="2" t="s">
        <v>388</v>
      </c>
      <c r="J312" s="2" t="s">
        <v>290</v>
      </c>
      <c r="K312" t="s">
        <v>18</v>
      </c>
      <c r="L312" t="str">
        <f>T("9791194982036")</f>
        <v>9791194982036</v>
      </c>
      <c r="M312" t="str">
        <f t="shared" ref="M312:M353" si="11">T("")</f>
        <v/>
      </c>
      <c r="N312" t="s">
        <v>389</v>
      </c>
    </row>
    <row r="313" spans="1:14">
      <c r="A313" s="1">
        <v>46056.826655092591</v>
      </c>
      <c r="B313">
        <v>385373286</v>
      </c>
      <c r="C313" s="2" t="s">
        <v>384</v>
      </c>
      <c r="D313" t="s">
        <v>15</v>
      </c>
      <c r="E313" s="4">
        <v>0</v>
      </c>
      <c r="F313" s="2">
        <v>0</v>
      </c>
      <c r="G313" s="2">
        <v>0</v>
      </c>
      <c r="I313" s="2" t="s">
        <v>385</v>
      </c>
      <c r="J313" s="2" t="s">
        <v>290</v>
      </c>
      <c r="K313" t="s">
        <v>18</v>
      </c>
      <c r="L313" t="str">
        <f>T("9791194982302")</f>
        <v>9791194982302</v>
      </c>
      <c r="M313" t="str">
        <f t="shared" si="11"/>
        <v/>
      </c>
      <c r="N313" t="s">
        <v>386</v>
      </c>
    </row>
    <row r="314" spans="1:14">
      <c r="A314" s="1">
        <v>46056.839074074072</v>
      </c>
      <c r="B314">
        <v>370129973</v>
      </c>
      <c r="C314" s="2" t="s">
        <v>492</v>
      </c>
      <c r="D314" t="s">
        <v>15</v>
      </c>
      <c r="E314" s="5">
        <v>3000</v>
      </c>
      <c r="F314" s="3">
        <v>3000</v>
      </c>
      <c r="G314" s="3">
        <v>2100</v>
      </c>
      <c r="I314" s="2" t="s">
        <v>493</v>
      </c>
      <c r="J314" s="2" t="s">
        <v>65</v>
      </c>
      <c r="K314" t="s">
        <v>18</v>
      </c>
      <c r="L314" t="str">
        <f>T("9791137010727")</f>
        <v>9791137010727</v>
      </c>
      <c r="M314" t="str">
        <f t="shared" si="11"/>
        <v/>
      </c>
      <c r="N314" t="s">
        <v>494</v>
      </c>
    </row>
    <row r="315" spans="1:14">
      <c r="A315" s="1">
        <v>46056.864236111112</v>
      </c>
      <c r="B315">
        <v>345524640</v>
      </c>
      <c r="C315" s="2" t="s">
        <v>495</v>
      </c>
      <c r="D315" t="s">
        <v>15</v>
      </c>
      <c r="E315" s="5">
        <v>1200</v>
      </c>
      <c r="F315" s="3">
        <v>1200</v>
      </c>
      <c r="G315" s="2">
        <v>840</v>
      </c>
      <c r="I315" s="2" t="s">
        <v>496</v>
      </c>
      <c r="J315" s="2" t="s">
        <v>21</v>
      </c>
      <c r="K315" t="s">
        <v>18</v>
      </c>
      <c r="L315" t="str">
        <f>T("9791170897804")</f>
        <v>9791170897804</v>
      </c>
      <c r="M315" t="str">
        <f t="shared" si="11"/>
        <v/>
      </c>
      <c r="N315" t="s">
        <v>497</v>
      </c>
    </row>
    <row r="316" spans="1:14">
      <c r="A316" s="1">
        <v>46056.874189814815</v>
      </c>
      <c r="B316">
        <v>385347715</v>
      </c>
      <c r="C316" s="2" t="s">
        <v>186</v>
      </c>
      <c r="D316" t="s">
        <v>15</v>
      </c>
      <c r="E316" s="5">
        <v>2000</v>
      </c>
      <c r="F316" s="3">
        <v>1800</v>
      </c>
      <c r="G316" s="3">
        <v>1260</v>
      </c>
      <c r="I316" s="2" t="s">
        <v>187</v>
      </c>
      <c r="J316" s="2" t="s">
        <v>188</v>
      </c>
      <c r="K316" t="s">
        <v>18</v>
      </c>
      <c r="L316" t="str">
        <f>T("9791164835362")</f>
        <v>9791164835362</v>
      </c>
      <c r="M316" t="str">
        <f t="shared" si="11"/>
        <v/>
      </c>
      <c r="N316" t="s">
        <v>189</v>
      </c>
    </row>
    <row r="317" spans="1:14">
      <c r="A317" s="1">
        <v>46056.880428240744</v>
      </c>
      <c r="B317">
        <v>385347515</v>
      </c>
      <c r="C317" s="2" t="s">
        <v>304</v>
      </c>
      <c r="D317" t="s">
        <v>15</v>
      </c>
      <c r="E317" s="5">
        <v>1300</v>
      </c>
      <c r="F317" s="3">
        <v>1300</v>
      </c>
      <c r="G317" s="2">
        <v>910</v>
      </c>
      <c r="I317" s="2" t="s">
        <v>148</v>
      </c>
      <c r="J317" s="2" t="s">
        <v>21</v>
      </c>
      <c r="K317" t="s">
        <v>18</v>
      </c>
      <c r="L317" t="str">
        <f>T("9791175582521")</f>
        <v>9791175582521</v>
      </c>
      <c r="M317" t="str">
        <f t="shared" si="11"/>
        <v/>
      </c>
      <c r="N317" t="s">
        <v>305</v>
      </c>
    </row>
    <row r="318" spans="1:14">
      <c r="A318" s="1">
        <v>46056.892199074071</v>
      </c>
      <c r="B318">
        <v>385348455</v>
      </c>
      <c r="C318" s="2" t="s">
        <v>255</v>
      </c>
      <c r="D318" t="s">
        <v>68</v>
      </c>
      <c r="E318" s="5">
        <v>12600</v>
      </c>
      <c r="F318" s="3">
        <v>12600</v>
      </c>
      <c r="G318" s="3">
        <v>8820</v>
      </c>
      <c r="I318" s="2" t="s">
        <v>187</v>
      </c>
      <c r="J318" s="2" t="s">
        <v>188</v>
      </c>
      <c r="K318" t="s">
        <v>18</v>
      </c>
      <c r="L318" t="str">
        <f>T("9791164835379")</f>
        <v>9791164835379</v>
      </c>
      <c r="M318" t="str">
        <f t="shared" si="11"/>
        <v/>
      </c>
    </row>
    <row r="319" spans="1:14">
      <c r="A319" s="1">
        <v>46056.895648148151</v>
      </c>
      <c r="B319">
        <v>385347966</v>
      </c>
      <c r="C319" s="2" t="s">
        <v>498</v>
      </c>
      <c r="D319" t="s">
        <v>15</v>
      </c>
      <c r="E319" s="5">
        <v>3200</v>
      </c>
      <c r="F319" s="3">
        <v>3200</v>
      </c>
      <c r="G319" s="3">
        <v>2240</v>
      </c>
      <c r="I319" s="2" t="s">
        <v>213</v>
      </c>
      <c r="J319" s="2" t="s">
        <v>161</v>
      </c>
      <c r="K319" t="s">
        <v>18</v>
      </c>
      <c r="L319" t="str">
        <f>T("9791173262043")</f>
        <v>9791173262043</v>
      </c>
      <c r="M319" t="str">
        <f t="shared" si="11"/>
        <v/>
      </c>
      <c r="N319" t="s">
        <v>499</v>
      </c>
    </row>
    <row r="320" spans="1:14">
      <c r="A320" s="1">
        <v>46056.895648148151</v>
      </c>
      <c r="B320">
        <v>385347997</v>
      </c>
      <c r="C320" s="2" t="s">
        <v>500</v>
      </c>
      <c r="D320" t="s">
        <v>15</v>
      </c>
      <c r="E320" s="5">
        <v>3200</v>
      </c>
      <c r="F320" s="3">
        <v>3200</v>
      </c>
      <c r="G320" s="3">
        <v>2240</v>
      </c>
      <c r="I320" s="2" t="s">
        <v>213</v>
      </c>
      <c r="J320" s="2" t="s">
        <v>161</v>
      </c>
      <c r="K320" t="s">
        <v>18</v>
      </c>
      <c r="L320" t="str">
        <f>T("9791173261978")</f>
        <v>9791173261978</v>
      </c>
      <c r="M320" t="str">
        <f t="shared" si="11"/>
        <v/>
      </c>
      <c r="N320" t="s">
        <v>501</v>
      </c>
    </row>
    <row r="321" spans="1:14">
      <c r="A321" s="1">
        <v>46056.895648148151</v>
      </c>
      <c r="B321">
        <v>385348001</v>
      </c>
      <c r="C321" s="2" t="s">
        <v>502</v>
      </c>
      <c r="D321" t="s">
        <v>15</v>
      </c>
      <c r="E321" s="5">
        <v>3200</v>
      </c>
      <c r="F321" s="3">
        <v>3200</v>
      </c>
      <c r="G321" s="3">
        <v>2240</v>
      </c>
      <c r="I321" s="2" t="s">
        <v>213</v>
      </c>
      <c r="J321" s="2" t="s">
        <v>161</v>
      </c>
      <c r="K321" t="s">
        <v>18</v>
      </c>
      <c r="L321" t="str">
        <f>T("9791173262029")</f>
        <v>9791173262029</v>
      </c>
      <c r="M321" t="str">
        <f t="shared" si="11"/>
        <v/>
      </c>
      <c r="N321" t="s">
        <v>503</v>
      </c>
    </row>
    <row r="322" spans="1:14">
      <c r="A322" s="1">
        <v>46056.895648148151</v>
      </c>
      <c r="B322">
        <v>385347955</v>
      </c>
      <c r="C322" s="2" t="s">
        <v>504</v>
      </c>
      <c r="D322" t="s">
        <v>15</v>
      </c>
      <c r="E322" s="5">
        <v>3200</v>
      </c>
      <c r="F322" s="3">
        <v>3200</v>
      </c>
      <c r="G322" s="3">
        <v>2240</v>
      </c>
      <c r="I322" s="2" t="s">
        <v>213</v>
      </c>
      <c r="J322" s="2" t="s">
        <v>161</v>
      </c>
      <c r="K322" t="s">
        <v>18</v>
      </c>
      <c r="L322" t="str">
        <f>T("9791173261947")</f>
        <v>9791173261947</v>
      </c>
      <c r="M322" t="str">
        <f t="shared" si="11"/>
        <v/>
      </c>
      <c r="N322" t="s">
        <v>505</v>
      </c>
    </row>
    <row r="323" spans="1:14">
      <c r="A323" s="1">
        <v>46056.895648148151</v>
      </c>
      <c r="B323">
        <v>385347962</v>
      </c>
      <c r="C323" s="2" t="s">
        <v>506</v>
      </c>
      <c r="D323" t="s">
        <v>15</v>
      </c>
      <c r="E323" s="5">
        <v>3200</v>
      </c>
      <c r="F323" s="3">
        <v>3200</v>
      </c>
      <c r="G323" s="3">
        <v>2240</v>
      </c>
      <c r="I323" s="2" t="s">
        <v>213</v>
      </c>
      <c r="J323" s="2" t="s">
        <v>161</v>
      </c>
      <c r="K323" t="s">
        <v>18</v>
      </c>
      <c r="L323" t="str">
        <f>T("9791173261992")</f>
        <v>9791173261992</v>
      </c>
      <c r="M323" t="str">
        <f t="shared" si="11"/>
        <v/>
      </c>
      <c r="N323" t="s">
        <v>507</v>
      </c>
    </row>
    <row r="324" spans="1:14">
      <c r="A324" s="1">
        <v>46056.895648148151</v>
      </c>
      <c r="B324">
        <v>385347806</v>
      </c>
      <c r="C324" s="2" t="s">
        <v>221</v>
      </c>
      <c r="D324" t="s">
        <v>15</v>
      </c>
      <c r="E324" s="4">
        <v>0</v>
      </c>
      <c r="F324" s="2">
        <v>0</v>
      </c>
      <c r="G324" s="2">
        <v>0</v>
      </c>
      <c r="I324" s="2" t="s">
        <v>213</v>
      </c>
      <c r="J324" s="2" t="s">
        <v>161</v>
      </c>
      <c r="K324" t="s">
        <v>18</v>
      </c>
      <c r="L324" t="str">
        <f>T("9791173261930")</f>
        <v>9791173261930</v>
      </c>
      <c r="M324" t="str">
        <f t="shared" si="11"/>
        <v/>
      </c>
      <c r="N324" t="s">
        <v>222</v>
      </c>
    </row>
    <row r="325" spans="1:14">
      <c r="A325" s="1">
        <v>46056.895648148151</v>
      </c>
      <c r="B325">
        <v>385347810</v>
      </c>
      <c r="C325" s="2" t="s">
        <v>508</v>
      </c>
      <c r="D325" t="s">
        <v>15</v>
      </c>
      <c r="E325" s="5">
        <v>3200</v>
      </c>
      <c r="F325" s="3">
        <v>3200</v>
      </c>
      <c r="G325" s="3">
        <v>2240</v>
      </c>
      <c r="I325" s="2" t="s">
        <v>213</v>
      </c>
      <c r="J325" s="2" t="s">
        <v>161</v>
      </c>
      <c r="K325" t="s">
        <v>18</v>
      </c>
      <c r="L325" t="str">
        <f>T("9791173261985")</f>
        <v>9791173261985</v>
      </c>
      <c r="M325" t="str">
        <f t="shared" si="11"/>
        <v/>
      </c>
      <c r="N325" t="s">
        <v>509</v>
      </c>
    </row>
    <row r="326" spans="1:14">
      <c r="A326" s="1">
        <v>46056.895648148151</v>
      </c>
      <c r="B326">
        <v>385347846</v>
      </c>
      <c r="C326" s="2" t="s">
        <v>510</v>
      </c>
      <c r="D326" t="s">
        <v>15</v>
      </c>
      <c r="E326" s="5">
        <v>3200</v>
      </c>
      <c r="F326" s="3">
        <v>3200</v>
      </c>
      <c r="G326" s="3">
        <v>2240</v>
      </c>
      <c r="I326" s="2" t="s">
        <v>213</v>
      </c>
      <c r="J326" s="2" t="s">
        <v>161</v>
      </c>
      <c r="K326" t="s">
        <v>18</v>
      </c>
      <c r="L326" t="str">
        <f>T("9791173261954")</f>
        <v>9791173261954</v>
      </c>
      <c r="M326" t="str">
        <f t="shared" si="11"/>
        <v/>
      </c>
      <c r="N326" t="s">
        <v>511</v>
      </c>
    </row>
    <row r="327" spans="1:14">
      <c r="A327" s="1">
        <v>46056.895648148151</v>
      </c>
      <c r="B327">
        <v>385347852</v>
      </c>
      <c r="C327" s="2" t="s">
        <v>512</v>
      </c>
      <c r="D327" t="s">
        <v>15</v>
      </c>
      <c r="E327" s="5">
        <v>3200</v>
      </c>
      <c r="F327" s="3">
        <v>3200</v>
      </c>
      <c r="G327" s="3">
        <v>2240</v>
      </c>
      <c r="I327" s="2" t="s">
        <v>213</v>
      </c>
      <c r="J327" s="2" t="s">
        <v>161</v>
      </c>
      <c r="K327" t="s">
        <v>18</v>
      </c>
      <c r="L327" t="str">
        <f>T("9791173262005")</f>
        <v>9791173262005</v>
      </c>
      <c r="M327" t="str">
        <f t="shared" si="11"/>
        <v/>
      </c>
      <c r="N327" t="s">
        <v>513</v>
      </c>
    </row>
    <row r="328" spans="1:14">
      <c r="A328" s="1">
        <v>46056.895648148151</v>
      </c>
      <c r="B328">
        <v>385347814</v>
      </c>
      <c r="C328" s="2" t="s">
        <v>514</v>
      </c>
      <c r="D328" t="s">
        <v>15</v>
      </c>
      <c r="E328" s="5">
        <v>3200</v>
      </c>
      <c r="F328" s="3">
        <v>3200</v>
      </c>
      <c r="G328" s="3">
        <v>2240</v>
      </c>
      <c r="I328" s="2" t="s">
        <v>213</v>
      </c>
      <c r="J328" s="2" t="s">
        <v>161</v>
      </c>
      <c r="K328" t="s">
        <v>18</v>
      </c>
      <c r="L328" t="str">
        <f>T("9791173262036")</f>
        <v>9791173262036</v>
      </c>
      <c r="M328" t="str">
        <f t="shared" si="11"/>
        <v/>
      </c>
      <c r="N328" t="s">
        <v>515</v>
      </c>
    </row>
    <row r="329" spans="1:14">
      <c r="A329" s="1">
        <v>46056.895648148151</v>
      </c>
      <c r="B329">
        <v>385347767</v>
      </c>
      <c r="C329" s="2" t="s">
        <v>516</v>
      </c>
      <c r="D329" t="s">
        <v>15</v>
      </c>
      <c r="E329" s="5">
        <v>3200</v>
      </c>
      <c r="F329" s="3">
        <v>3200</v>
      </c>
      <c r="G329" s="3">
        <v>2240</v>
      </c>
      <c r="I329" s="2" t="s">
        <v>213</v>
      </c>
      <c r="J329" s="2" t="s">
        <v>161</v>
      </c>
      <c r="K329" t="s">
        <v>18</v>
      </c>
      <c r="L329" t="str">
        <f>T("9791173261961")</f>
        <v>9791173261961</v>
      </c>
      <c r="M329" t="str">
        <f t="shared" si="11"/>
        <v/>
      </c>
      <c r="N329" t="s">
        <v>517</v>
      </c>
    </row>
    <row r="330" spans="1:14">
      <c r="A330" s="1">
        <v>46056.895648148151</v>
      </c>
      <c r="B330">
        <v>385347771</v>
      </c>
      <c r="C330" s="2" t="s">
        <v>518</v>
      </c>
      <c r="D330" t="s">
        <v>15</v>
      </c>
      <c r="E330" s="5">
        <v>3200</v>
      </c>
      <c r="F330" s="3">
        <v>3200</v>
      </c>
      <c r="G330" s="3">
        <v>2240</v>
      </c>
      <c r="I330" s="2" t="s">
        <v>213</v>
      </c>
      <c r="J330" s="2" t="s">
        <v>161</v>
      </c>
      <c r="K330" t="s">
        <v>18</v>
      </c>
      <c r="L330" t="str">
        <f>T("9791173262012")</f>
        <v>9791173262012</v>
      </c>
      <c r="M330" t="str">
        <f t="shared" si="11"/>
        <v/>
      </c>
      <c r="N330" t="s">
        <v>519</v>
      </c>
    </row>
    <row r="331" spans="1:14">
      <c r="A331" s="1">
        <v>46056.905150462961</v>
      </c>
      <c r="B331">
        <v>323836746</v>
      </c>
      <c r="C331" s="2" t="s">
        <v>520</v>
      </c>
      <c r="D331" t="s">
        <v>15</v>
      </c>
      <c r="E331" s="5">
        <v>3000</v>
      </c>
      <c r="F331" s="3">
        <v>3000</v>
      </c>
      <c r="G331" s="3">
        <v>2100</v>
      </c>
      <c r="I331" s="2" t="s">
        <v>521</v>
      </c>
      <c r="J331" s="2" t="s">
        <v>21</v>
      </c>
      <c r="K331" t="s">
        <v>18</v>
      </c>
      <c r="L331" t="str">
        <f>T("9791170890195")</f>
        <v>9791170890195</v>
      </c>
      <c r="M331" t="str">
        <f t="shared" si="11"/>
        <v/>
      </c>
      <c r="N331" t="s">
        <v>522</v>
      </c>
    </row>
    <row r="332" spans="1:14">
      <c r="A332" s="1">
        <v>46056.965289351851</v>
      </c>
      <c r="B332">
        <v>385347797</v>
      </c>
      <c r="C332" s="2" t="s">
        <v>195</v>
      </c>
      <c r="D332" t="s">
        <v>15</v>
      </c>
      <c r="E332" s="4">
        <v>700</v>
      </c>
      <c r="F332" s="2">
        <v>630</v>
      </c>
      <c r="G332" s="2">
        <v>441</v>
      </c>
      <c r="I332" s="2" t="s">
        <v>196</v>
      </c>
      <c r="J332" s="2" t="s">
        <v>197</v>
      </c>
      <c r="K332" t="s">
        <v>18</v>
      </c>
      <c r="L332" t="str">
        <f>T("9791172821937")</f>
        <v>9791172821937</v>
      </c>
      <c r="M332" t="str">
        <f t="shared" si="11"/>
        <v/>
      </c>
      <c r="N332" t="s">
        <v>198</v>
      </c>
    </row>
    <row r="333" spans="1:14">
      <c r="A333" s="1">
        <v>46056.969351851854</v>
      </c>
      <c r="B333">
        <v>323836852</v>
      </c>
      <c r="C333" s="2" t="s">
        <v>523</v>
      </c>
      <c r="D333" t="s">
        <v>15</v>
      </c>
      <c r="E333" s="5">
        <v>3000</v>
      </c>
      <c r="F333" s="3">
        <v>3000</v>
      </c>
      <c r="G333" s="3">
        <v>2100</v>
      </c>
      <c r="I333" s="2" t="s">
        <v>521</v>
      </c>
      <c r="J333" s="2" t="s">
        <v>21</v>
      </c>
      <c r="K333" t="s">
        <v>18</v>
      </c>
      <c r="L333" t="str">
        <f>T("9791170890218")</f>
        <v>9791170890218</v>
      </c>
      <c r="M333" t="str">
        <f t="shared" si="11"/>
        <v/>
      </c>
      <c r="N333" t="s">
        <v>524</v>
      </c>
    </row>
    <row r="334" spans="1:14">
      <c r="A334" s="1">
        <v>46056.990833333337</v>
      </c>
      <c r="B334">
        <v>385347515</v>
      </c>
      <c r="C334" s="2" t="s">
        <v>304</v>
      </c>
      <c r="D334" t="s">
        <v>15</v>
      </c>
      <c r="E334" s="5">
        <v>1300</v>
      </c>
      <c r="F334" s="3">
        <v>1300</v>
      </c>
      <c r="G334" s="2">
        <v>910</v>
      </c>
      <c r="I334" s="2" t="s">
        <v>148</v>
      </c>
      <c r="J334" s="2" t="s">
        <v>21</v>
      </c>
      <c r="K334" t="s">
        <v>18</v>
      </c>
      <c r="L334" t="str">
        <f>T("9791175582521")</f>
        <v>9791175582521</v>
      </c>
      <c r="M334" t="str">
        <f t="shared" si="11"/>
        <v/>
      </c>
      <c r="N334" t="s">
        <v>305</v>
      </c>
    </row>
    <row r="335" spans="1:14">
      <c r="A335" s="1">
        <v>46056.994097222225</v>
      </c>
      <c r="B335">
        <v>371345723</v>
      </c>
      <c r="C335" s="2" t="s">
        <v>525</v>
      </c>
      <c r="D335" t="s">
        <v>15</v>
      </c>
      <c r="E335" s="5">
        <v>3300</v>
      </c>
      <c r="F335" s="3">
        <v>2970</v>
      </c>
      <c r="G335" s="3">
        <v>2079</v>
      </c>
      <c r="I335" s="2" t="s">
        <v>196</v>
      </c>
      <c r="J335" s="2" t="s">
        <v>197</v>
      </c>
      <c r="K335" t="s">
        <v>18</v>
      </c>
      <c r="L335" t="str">
        <f>T("9791172821692")</f>
        <v>9791172821692</v>
      </c>
      <c r="M335" t="str">
        <f t="shared" si="11"/>
        <v/>
      </c>
      <c r="N335" t="s">
        <v>526</v>
      </c>
    </row>
    <row r="336" spans="1:14">
      <c r="A336" s="1">
        <v>46057.016203703701</v>
      </c>
      <c r="B336">
        <v>372706794</v>
      </c>
      <c r="C336" s="2" t="s">
        <v>202</v>
      </c>
      <c r="D336" t="s">
        <v>15</v>
      </c>
      <c r="E336" s="5">
        <v>1000</v>
      </c>
      <c r="F336" s="3">
        <v>1000</v>
      </c>
      <c r="G336" s="2">
        <v>700</v>
      </c>
      <c r="I336" s="2" t="s">
        <v>41</v>
      </c>
      <c r="J336" s="2" t="s">
        <v>21</v>
      </c>
      <c r="K336" t="s">
        <v>18</v>
      </c>
      <c r="L336" t="str">
        <f>T("9791173018787")</f>
        <v>9791173018787</v>
      </c>
      <c r="M336" t="str">
        <f t="shared" si="11"/>
        <v/>
      </c>
      <c r="N336" t="s">
        <v>203</v>
      </c>
    </row>
    <row r="337" spans="1:14">
      <c r="A337" s="1">
        <v>46057.019201388888</v>
      </c>
      <c r="B337">
        <v>384623947</v>
      </c>
      <c r="C337" s="2" t="s">
        <v>37</v>
      </c>
      <c r="D337" t="s">
        <v>15</v>
      </c>
      <c r="E337" s="5">
        <v>1000</v>
      </c>
      <c r="F337" s="3">
        <v>1000</v>
      </c>
      <c r="G337" s="2">
        <v>700</v>
      </c>
      <c r="I337" s="2" t="s">
        <v>38</v>
      </c>
      <c r="J337" s="2" t="s">
        <v>21</v>
      </c>
      <c r="K337" t="s">
        <v>18</v>
      </c>
      <c r="L337" t="str">
        <f>T("9791175582187")</f>
        <v>9791175582187</v>
      </c>
      <c r="M337" t="str">
        <f t="shared" si="11"/>
        <v/>
      </c>
      <c r="N337" t="s">
        <v>39</v>
      </c>
    </row>
    <row r="338" spans="1:14">
      <c r="A338" s="1">
        <v>46057.03974537037</v>
      </c>
      <c r="B338">
        <v>370129736</v>
      </c>
      <c r="C338" s="2" t="s">
        <v>527</v>
      </c>
      <c r="D338" t="s">
        <v>15</v>
      </c>
      <c r="E338" s="5">
        <v>1000</v>
      </c>
      <c r="F338" s="3">
        <v>1000</v>
      </c>
      <c r="G338" s="2">
        <v>700</v>
      </c>
      <c r="I338" s="2" t="s">
        <v>528</v>
      </c>
      <c r="J338" s="2" t="s">
        <v>21</v>
      </c>
      <c r="K338" t="s">
        <v>18</v>
      </c>
      <c r="L338" t="str">
        <f>T("9791173017131")</f>
        <v>9791173017131</v>
      </c>
      <c r="M338" t="str">
        <f t="shared" si="11"/>
        <v/>
      </c>
      <c r="N338" t="s">
        <v>529</v>
      </c>
    </row>
    <row r="339" spans="1:14">
      <c r="A339" s="1">
        <v>46057.044861111113</v>
      </c>
      <c r="B339">
        <v>379527586</v>
      </c>
      <c r="C339" s="2" t="s">
        <v>530</v>
      </c>
      <c r="D339" t="s">
        <v>15</v>
      </c>
      <c r="E339" s="5">
        <v>1000</v>
      </c>
      <c r="F339" s="3">
        <v>1000</v>
      </c>
      <c r="G339" s="2">
        <v>700</v>
      </c>
      <c r="I339" s="2" t="s">
        <v>531</v>
      </c>
      <c r="J339" s="2" t="s">
        <v>21</v>
      </c>
      <c r="K339" t="s">
        <v>18</v>
      </c>
      <c r="L339" t="str">
        <f>T("9791175581142")</f>
        <v>9791175581142</v>
      </c>
      <c r="M339" t="str">
        <f t="shared" si="11"/>
        <v/>
      </c>
      <c r="N339" t="s">
        <v>532</v>
      </c>
    </row>
    <row r="340" spans="1:14">
      <c r="A340" s="1">
        <v>46057.051678240743</v>
      </c>
      <c r="B340">
        <v>369491692</v>
      </c>
      <c r="C340" s="2" t="s">
        <v>533</v>
      </c>
      <c r="D340" t="s">
        <v>15</v>
      </c>
      <c r="E340" s="5">
        <v>1000</v>
      </c>
      <c r="F340" s="3">
        <v>1000</v>
      </c>
      <c r="G340" s="2">
        <v>700</v>
      </c>
      <c r="I340" s="2" t="s">
        <v>528</v>
      </c>
      <c r="J340" s="2" t="s">
        <v>21</v>
      </c>
      <c r="K340" t="s">
        <v>18</v>
      </c>
      <c r="L340" t="str">
        <f>T("9791173016264")</f>
        <v>9791173016264</v>
      </c>
      <c r="M340" t="str">
        <f t="shared" si="11"/>
        <v/>
      </c>
      <c r="N340" t="s">
        <v>534</v>
      </c>
    </row>
    <row r="341" spans="1:14">
      <c r="A341" s="1">
        <v>46057.051678240743</v>
      </c>
      <c r="B341">
        <v>369727546</v>
      </c>
      <c r="C341" s="2" t="s">
        <v>535</v>
      </c>
      <c r="D341" t="s">
        <v>15</v>
      </c>
      <c r="E341" s="5">
        <v>1000</v>
      </c>
      <c r="F341" s="3">
        <v>1000</v>
      </c>
      <c r="G341" s="2">
        <v>700</v>
      </c>
      <c r="I341" s="2" t="s">
        <v>528</v>
      </c>
      <c r="J341" s="2" t="s">
        <v>21</v>
      </c>
      <c r="K341" t="s">
        <v>18</v>
      </c>
      <c r="L341" t="str">
        <f>T("9791173016332")</f>
        <v>9791173016332</v>
      </c>
      <c r="M341" t="str">
        <f t="shared" si="11"/>
        <v/>
      </c>
      <c r="N341" t="s">
        <v>536</v>
      </c>
    </row>
    <row r="342" spans="1:14">
      <c r="A342" s="1">
        <v>46057.051678240743</v>
      </c>
      <c r="B342">
        <v>371989752</v>
      </c>
      <c r="C342" s="2" t="s">
        <v>537</v>
      </c>
      <c r="D342" t="s">
        <v>15</v>
      </c>
      <c r="E342" s="5">
        <v>1200</v>
      </c>
      <c r="F342" s="3">
        <v>1200</v>
      </c>
      <c r="G342" s="2">
        <v>840</v>
      </c>
      <c r="I342" s="2" t="s">
        <v>528</v>
      </c>
      <c r="J342" s="2" t="s">
        <v>21</v>
      </c>
      <c r="K342" t="s">
        <v>18</v>
      </c>
      <c r="L342" t="str">
        <f>T("9791173017735")</f>
        <v>9791173017735</v>
      </c>
      <c r="M342" t="str">
        <f t="shared" si="11"/>
        <v/>
      </c>
      <c r="N342" t="s">
        <v>538</v>
      </c>
    </row>
    <row r="343" spans="1:14">
      <c r="A343" s="1">
        <v>46057.062708333331</v>
      </c>
      <c r="B343">
        <v>385348455</v>
      </c>
      <c r="C343" s="2" t="s">
        <v>255</v>
      </c>
      <c r="D343" t="s">
        <v>68</v>
      </c>
      <c r="E343" s="5">
        <v>12600</v>
      </c>
      <c r="F343" s="3">
        <v>12600</v>
      </c>
      <c r="G343" s="3">
        <v>8820</v>
      </c>
      <c r="I343" s="2" t="s">
        <v>187</v>
      </c>
      <c r="J343" s="2" t="s">
        <v>188</v>
      </c>
      <c r="K343" t="s">
        <v>18</v>
      </c>
      <c r="L343" t="str">
        <f>T("9791164835379")</f>
        <v>9791164835379</v>
      </c>
      <c r="M343" t="str">
        <f t="shared" si="11"/>
        <v/>
      </c>
    </row>
    <row r="344" spans="1:14">
      <c r="A344" s="1">
        <v>46057.085451388892</v>
      </c>
      <c r="B344">
        <v>385348455</v>
      </c>
      <c r="C344" s="2" t="s">
        <v>255</v>
      </c>
      <c r="D344" t="s">
        <v>68</v>
      </c>
      <c r="E344" s="5">
        <v>12600</v>
      </c>
      <c r="F344" s="3">
        <v>12600</v>
      </c>
      <c r="G344" s="3">
        <v>8820</v>
      </c>
      <c r="I344" s="2" t="s">
        <v>187</v>
      </c>
      <c r="J344" s="2" t="s">
        <v>188</v>
      </c>
      <c r="K344" t="s">
        <v>18</v>
      </c>
      <c r="L344" t="str">
        <f>T("9791164835379")</f>
        <v>9791164835379</v>
      </c>
      <c r="M344" t="str">
        <f t="shared" si="11"/>
        <v/>
      </c>
    </row>
    <row r="345" spans="1:14">
      <c r="A345" s="1">
        <v>46057.092175925929</v>
      </c>
      <c r="B345">
        <v>325730673</v>
      </c>
      <c r="C345" s="2" t="s">
        <v>539</v>
      </c>
      <c r="D345" t="s">
        <v>15</v>
      </c>
      <c r="E345" s="5">
        <v>3000</v>
      </c>
      <c r="F345" s="3">
        <v>3000</v>
      </c>
      <c r="G345" s="3">
        <v>2100</v>
      </c>
      <c r="I345" s="2" t="s">
        <v>540</v>
      </c>
      <c r="J345" s="2" t="s">
        <v>197</v>
      </c>
      <c r="K345" t="s">
        <v>18</v>
      </c>
      <c r="L345" t="str">
        <f>T("9791164098538")</f>
        <v>9791164098538</v>
      </c>
      <c r="M345" t="str">
        <f t="shared" si="11"/>
        <v/>
      </c>
      <c r="N345" t="s">
        <v>541</v>
      </c>
    </row>
    <row r="346" spans="1:14">
      <c r="A346" s="1">
        <v>46057.092175925929</v>
      </c>
      <c r="B346">
        <v>325730710</v>
      </c>
      <c r="C346" s="2" t="s">
        <v>542</v>
      </c>
      <c r="D346" t="s">
        <v>15</v>
      </c>
      <c r="E346" s="5">
        <v>3000</v>
      </c>
      <c r="F346" s="3">
        <v>3000</v>
      </c>
      <c r="G346" s="3">
        <v>2100</v>
      </c>
      <c r="I346" s="2" t="s">
        <v>540</v>
      </c>
      <c r="J346" s="2" t="s">
        <v>197</v>
      </c>
      <c r="K346" t="s">
        <v>18</v>
      </c>
      <c r="L346" t="str">
        <f>T("9791164098521")</f>
        <v>9791164098521</v>
      </c>
      <c r="M346" t="str">
        <f t="shared" si="11"/>
        <v/>
      </c>
      <c r="N346" t="s">
        <v>543</v>
      </c>
    </row>
    <row r="347" spans="1:14">
      <c r="A347" s="1">
        <v>46057.092175925929</v>
      </c>
      <c r="B347">
        <v>336198022</v>
      </c>
      <c r="C347" s="2" t="s">
        <v>544</v>
      </c>
      <c r="D347" t="s">
        <v>15</v>
      </c>
      <c r="E347" s="4">
        <v>0</v>
      </c>
      <c r="F347" s="2">
        <v>0</v>
      </c>
      <c r="G347" s="2">
        <v>0</v>
      </c>
      <c r="I347" s="2" t="s">
        <v>540</v>
      </c>
      <c r="J347" s="2" t="s">
        <v>197</v>
      </c>
      <c r="K347" t="s">
        <v>18</v>
      </c>
      <c r="L347" t="str">
        <f>T("9791164098859")</f>
        <v>9791164098859</v>
      </c>
      <c r="M347" t="str">
        <f t="shared" si="11"/>
        <v/>
      </c>
      <c r="N347" t="s">
        <v>545</v>
      </c>
    </row>
    <row r="348" spans="1:14">
      <c r="A348" s="1">
        <v>46057.099456018521</v>
      </c>
      <c r="B348">
        <v>384623947</v>
      </c>
      <c r="C348" s="2" t="s">
        <v>37</v>
      </c>
      <c r="D348" t="s">
        <v>15</v>
      </c>
      <c r="E348" s="5">
        <v>1000</v>
      </c>
      <c r="F348" s="3">
        <v>1000</v>
      </c>
      <c r="G348" s="2">
        <v>700</v>
      </c>
      <c r="I348" s="2" t="s">
        <v>38</v>
      </c>
      <c r="J348" s="2" t="s">
        <v>21</v>
      </c>
      <c r="K348" t="s">
        <v>18</v>
      </c>
      <c r="L348" t="str">
        <f>T("9791175582187")</f>
        <v>9791175582187</v>
      </c>
      <c r="M348" t="str">
        <f t="shared" si="11"/>
        <v/>
      </c>
      <c r="N348" t="s">
        <v>39</v>
      </c>
    </row>
    <row r="349" spans="1:14">
      <c r="A349" s="1">
        <v>46057.156817129631</v>
      </c>
      <c r="B349">
        <v>323547330</v>
      </c>
      <c r="C349" s="2" t="s">
        <v>546</v>
      </c>
      <c r="D349" t="s">
        <v>15</v>
      </c>
      <c r="E349" s="5">
        <v>3400</v>
      </c>
      <c r="F349" s="3">
        <v>3400</v>
      </c>
      <c r="G349" s="3">
        <v>2380</v>
      </c>
      <c r="I349" s="2" t="s">
        <v>547</v>
      </c>
      <c r="J349" s="2" t="s">
        <v>197</v>
      </c>
      <c r="K349" t="s">
        <v>18</v>
      </c>
      <c r="L349" t="str">
        <f>T("9791164098316")</f>
        <v>9791164098316</v>
      </c>
      <c r="M349" t="str">
        <f t="shared" si="11"/>
        <v/>
      </c>
      <c r="N349" t="s">
        <v>548</v>
      </c>
    </row>
    <row r="350" spans="1:14">
      <c r="A350" s="1">
        <v>46057.16070601852</v>
      </c>
      <c r="B350">
        <v>374549945</v>
      </c>
      <c r="C350" s="2" t="s">
        <v>549</v>
      </c>
      <c r="D350" t="s">
        <v>15</v>
      </c>
      <c r="E350" s="5">
        <v>1000</v>
      </c>
      <c r="F350" s="3">
        <v>1000</v>
      </c>
      <c r="G350" s="2">
        <v>700</v>
      </c>
      <c r="I350" s="2" t="s">
        <v>312</v>
      </c>
      <c r="J350" s="2" t="s">
        <v>21</v>
      </c>
      <c r="K350" t="s">
        <v>18</v>
      </c>
      <c r="L350" t="str">
        <f>T("9791173018855")</f>
        <v>9791173018855</v>
      </c>
      <c r="M350" t="str">
        <f t="shared" si="11"/>
        <v/>
      </c>
      <c r="N350" t="s">
        <v>550</v>
      </c>
    </row>
    <row r="351" spans="1:14">
      <c r="A351" s="1">
        <v>46057.16070601852</v>
      </c>
      <c r="B351">
        <v>378390691</v>
      </c>
      <c r="C351" s="2" t="s">
        <v>486</v>
      </c>
      <c r="D351" t="s">
        <v>15</v>
      </c>
      <c r="E351" s="5">
        <v>1000</v>
      </c>
      <c r="F351" s="3">
        <v>1000</v>
      </c>
      <c r="G351" s="2">
        <v>700</v>
      </c>
      <c r="I351" s="2" t="s">
        <v>487</v>
      </c>
      <c r="J351" s="2" t="s">
        <v>21</v>
      </c>
      <c r="K351" t="s">
        <v>18</v>
      </c>
      <c r="L351" t="str">
        <f>T("9791175580619")</f>
        <v>9791175580619</v>
      </c>
      <c r="M351" t="str">
        <f t="shared" si="11"/>
        <v/>
      </c>
      <c r="N351" t="s">
        <v>488</v>
      </c>
    </row>
    <row r="352" spans="1:14">
      <c r="A352" s="1">
        <v>46057.335636574076</v>
      </c>
      <c r="B352">
        <v>235546436</v>
      </c>
      <c r="C352" s="2" t="s">
        <v>551</v>
      </c>
      <c r="D352" t="s">
        <v>15</v>
      </c>
      <c r="E352" s="5">
        <v>8000</v>
      </c>
      <c r="F352" s="3">
        <v>8000</v>
      </c>
      <c r="G352" s="3">
        <v>5600</v>
      </c>
      <c r="I352" s="2" t="s">
        <v>552</v>
      </c>
      <c r="J352" s="2" t="s">
        <v>126</v>
      </c>
      <c r="K352" t="s">
        <v>18</v>
      </c>
      <c r="L352" t="str">
        <f>T("9791164972586")</f>
        <v>9791164972586</v>
      </c>
      <c r="M352" t="str">
        <f t="shared" si="11"/>
        <v/>
      </c>
    </row>
    <row r="353" spans="1:14">
      <c r="A353" s="1">
        <v>46057.355509259258</v>
      </c>
      <c r="B353">
        <v>385347715</v>
      </c>
      <c r="C353" s="2" t="s">
        <v>186</v>
      </c>
      <c r="D353" t="s">
        <v>15</v>
      </c>
      <c r="E353" s="5">
        <v>2000</v>
      </c>
      <c r="F353" s="3">
        <v>1800</v>
      </c>
      <c r="G353" s="3">
        <v>1260</v>
      </c>
      <c r="I353" s="2" t="s">
        <v>187</v>
      </c>
      <c r="J353" s="2" t="s">
        <v>188</v>
      </c>
      <c r="K353" t="s">
        <v>18</v>
      </c>
      <c r="L353" t="str">
        <f>T("9791164835362")</f>
        <v>9791164835362</v>
      </c>
      <c r="M353" t="str">
        <f t="shared" si="11"/>
        <v/>
      </c>
      <c r="N353" t="s">
        <v>189</v>
      </c>
    </row>
    <row r="354" spans="1:14">
      <c r="A354" s="1">
        <v>46057.394421296296</v>
      </c>
      <c r="B354">
        <v>385373248</v>
      </c>
      <c r="C354" s="2" t="s">
        <v>553</v>
      </c>
      <c r="D354" t="s">
        <v>15</v>
      </c>
      <c r="E354" s="5">
        <v>1100</v>
      </c>
      <c r="F354" s="3">
        <v>1100</v>
      </c>
      <c r="G354" s="2">
        <v>770</v>
      </c>
      <c r="I354" s="2" t="s">
        <v>211</v>
      </c>
      <c r="J354" s="2" t="s">
        <v>21</v>
      </c>
      <c r="K354" t="s">
        <v>18</v>
      </c>
      <c r="L354" t="str">
        <f>T("")</f>
        <v/>
      </c>
      <c r="M354" t="str">
        <f>T("G720:N+A311-20251210011.M001")</f>
        <v>G720:N+A311-20251210011.M001</v>
      </c>
      <c r="N354" t="s">
        <v>554</v>
      </c>
    </row>
    <row r="355" spans="1:14">
      <c r="A355" s="1">
        <v>46057.471574074072</v>
      </c>
      <c r="B355">
        <v>277935665</v>
      </c>
      <c r="C355" s="2" t="s">
        <v>555</v>
      </c>
      <c r="D355" t="s">
        <v>15</v>
      </c>
      <c r="E355" s="4">
        <v>100</v>
      </c>
      <c r="F355" s="2">
        <v>100</v>
      </c>
      <c r="G355" s="2">
        <v>70</v>
      </c>
      <c r="I355" s="2" t="s">
        <v>64</v>
      </c>
      <c r="J355" s="2" t="s">
        <v>65</v>
      </c>
      <c r="K355" t="s">
        <v>18</v>
      </c>
      <c r="L355" t="str">
        <f t="shared" ref="L355:L368" si="12">T("9791162589724")</f>
        <v>9791162589724</v>
      </c>
      <c r="M355" t="str">
        <f t="shared" ref="M355:M386" si="13">T("")</f>
        <v/>
      </c>
      <c r="N355" t="s">
        <v>556</v>
      </c>
    </row>
    <row r="356" spans="1:14">
      <c r="A356" s="1">
        <v>46057.471574074072</v>
      </c>
      <c r="B356">
        <v>277935660</v>
      </c>
      <c r="C356" s="2" t="s">
        <v>557</v>
      </c>
      <c r="D356" t="s">
        <v>15</v>
      </c>
      <c r="E356" s="4">
        <v>100</v>
      </c>
      <c r="F356" s="2">
        <v>100</v>
      </c>
      <c r="G356" s="2">
        <v>70</v>
      </c>
      <c r="I356" s="2" t="s">
        <v>64</v>
      </c>
      <c r="J356" s="2" t="s">
        <v>65</v>
      </c>
      <c r="K356" t="s">
        <v>18</v>
      </c>
      <c r="L356" t="str">
        <f t="shared" si="12"/>
        <v>9791162589724</v>
      </c>
      <c r="M356" t="str">
        <f t="shared" si="13"/>
        <v/>
      </c>
      <c r="N356" t="s">
        <v>558</v>
      </c>
    </row>
    <row r="357" spans="1:14">
      <c r="A357" s="1">
        <v>46057.471574074072</v>
      </c>
      <c r="B357">
        <v>277935423</v>
      </c>
      <c r="C357" s="2" t="s">
        <v>559</v>
      </c>
      <c r="D357" t="s">
        <v>15</v>
      </c>
      <c r="E357" s="4">
        <v>100</v>
      </c>
      <c r="F357" s="2">
        <v>100</v>
      </c>
      <c r="G357" s="2">
        <v>70</v>
      </c>
      <c r="I357" s="2" t="s">
        <v>64</v>
      </c>
      <c r="J357" s="2" t="s">
        <v>65</v>
      </c>
      <c r="K357" t="s">
        <v>18</v>
      </c>
      <c r="L357" t="str">
        <f t="shared" si="12"/>
        <v>9791162589724</v>
      </c>
      <c r="M357" t="str">
        <f t="shared" si="13"/>
        <v/>
      </c>
      <c r="N357" t="s">
        <v>560</v>
      </c>
    </row>
    <row r="358" spans="1:14">
      <c r="A358" s="1">
        <v>46057.471574074072</v>
      </c>
      <c r="B358">
        <v>277935600</v>
      </c>
      <c r="C358" s="2" t="s">
        <v>561</v>
      </c>
      <c r="D358" t="s">
        <v>15</v>
      </c>
      <c r="E358" s="4">
        <v>100</v>
      </c>
      <c r="F358" s="2">
        <v>100</v>
      </c>
      <c r="G358" s="2">
        <v>70</v>
      </c>
      <c r="I358" s="2" t="s">
        <v>64</v>
      </c>
      <c r="J358" s="2" t="s">
        <v>65</v>
      </c>
      <c r="K358" t="s">
        <v>18</v>
      </c>
      <c r="L358" t="str">
        <f t="shared" si="12"/>
        <v>9791162589724</v>
      </c>
      <c r="M358" t="str">
        <f t="shared" si="13"/>
        <v/>
      </c>
      <c r="N358" t="s">
        <v>562</v>
      </c>
    </row>
    <row r="359" spans="1:14">
      <c r="A359" s="1">
        <v>46057.486712962964</v>
      </c>
      <c r="B359">
        <v>277935623</v>
      </c>
      <c r="C359" s="2" t="s">
        <v>563</v>
      </c>
      <c r="D359" t="s">
        <v>15</v>
      </c>
      <c r="E359" s="4">
        <v>100</v>
      </c>
      <c r="F359" s="2">
        <v>100</v>
      </c>
      <c r="G359" s="2">
        <v>70</v>
      </c>
      <c r="I359" s="2" t="s">
        <v>64</v>
      </c>
      <c r="J359" s="2" t="s">
        <v>65</v>
      </c>
      <c r="K359" t="s">
        <v>18</v>
      </c>
      <c r="L359" t="str">
        <f t="shared" si="12"/>
        <v>9791162589724</v>
      </c>
      <c r="M359" t="str">
        <f t="shared" si="13"/>
        <v/>
      </c>
      <c r="N359" t="s">
        <v>564</v>
      </c>
    </row>
    <row r="360" spans="1:14">
      <c r="A360" s="1">
        <v>46057.486712962964</v>
      </c>
      <c r="B360">
        <v>277935565</v>
      </c>
      <c r="C360" s="2" t="s">
        <v>565</v>
      </c>
      <c r="D360" t="s">
        <v>15</v>
      </c>
      <c r="E360" s="4">
        <v>100</v>
      </c>
      <c r="F360" s="2">
        <v>100</v>
      </c>
      <c r="G360" s="2">
        <v>70</v>
      </c>
      <c r="I360" s="2" t="s">
        <v>64</v>
      </c>
      <c r="J360" s="2" t="s">
        <v>65</v>
      </c>
      <c r="K360" t="s">
        <v>18</v>
      </c>
      <c r="L360" t="str">
        <f t="shared" si="12"/>
        <v>9791162589724</v>
      </c>
      <c r="M360" t="str">
        <f t="shared" si="13"/>
        <v/>
      </c>
      <c r="N360" t="s">
        <v>566</v>
      </c>
    </row>
    <row r="361" spans="1:14">
      <c r="A361" s="1">
        <v>46057.486712962964</v>
      </c>
      <c r="B361">
        <v>277935569</v>
      </c>
      <c r="C361" s="2" t="s">
        <v>567</v>
      </c>
      <c r="D361" t="s">
        <v>15</v>
      </c>
      <c r="E361" s="4">
        <v>100</v>
      </c>
      <c r="F361" s="2">
        <v>100</v>
      </c>
      <c r="G361" s="2">
        <v>70</v>
      </c>
      <c r="I361" s="2" t="s">
        <v>64</v>
      </c>
      <c r="J361" s="2" t="s">
        <v>65</v>
      </c>
      <c r="K361" t="s">
        <v>18</v>
      </c>
      <c r="L361" t="str">
        <f t="shared" si="12"/>
        <v>9791162589724</v>
      </c>
      <c r="M361" t="str">
        <f t="shared" si="13"/>
        <v/>
      </c>
      <c r="N361" t="s">
        <v>568</v>
      </c>
    </row>
    <row r="362" spans="1:14">
      <c r="A362" s="1">
        <v>46057.486712962964</v>
      </c>
      <c r="B362">
        <v>277935526</v>
      </c>
      <c r="C362" s="2" t="s">
        <v>569</v>
      </c>
      <c r="D362" t="s">
        <v>15</v>
      </c>
      <c r="E362" s="4">
        <v>100</v>
      </c>
      <c r="F362" s="2">
        <v>100</v>
      </c>
      <c r="G362" s="2">
        <v>70</v>
      </c>
      <c r="I362" s="2" t="s">
        <v>64</v>
      </c>
      <c r="J362" s="2" t="s">
        <v>65</v>
      </c>
      <c r="K362" t="s">
        <v>18</v>
      </c>
      <c r="L362" t="str">
        <f t="shared" si="12"/>
        <v>9791162589724</v>
      </c>
      <c r="M362" t="str">
        <f t="shared" si="13"/>
        <v/>
      </c>
      <c r="N362" t="s">
        <v>570</v>
      </c>
    </row>
    <row r="363" spans="1:14">
      <c r="A363" s="1">
        <v>46057.486712962964</v>
      </c>
      <c r="B363">
        <v>277935528</v>
      </c>
      <c r="C363" s="2" t="s">
        <v>571</v>
      </c>
      <c r="D363" t="s">
        <v>15</v>
      </c>
      <c r="E363" s="4">
        <v>100</v>
      </c>
      <c r="F363" s="2">
        <v>100</v>
      </c>
      <c r="G363" s="2">
        <v>70</v>
      </c>
      <c r="I363" s="2" t="s">
        <v>64</v>
      </c>
      <c r="J363" s="2" t="s">
        <v>65</v>
      </c>
      <c r="K363" t="s">
        <v>18</v>
      </c>
      <c r="L363" t="str">
        <f t="shared" si="12"/>
        <v>9791162589724</v>
      </c>
      <c r="M363" t="str">
        <f t="shared" si="13"/>
        <v/>
      </c>
      <c r="N363" t="s">
        <v>572</v>
      </c>
    </row>
    <row r="364" spans="1:14">
      <c r="A364" s="1">
        <v>46057.486712962964</v>
      </c>
      <c r="B364">
        <v>277935629</v>
      </c>
      <c r="C364" s="2" t="s">
        <v>573</v>
      </c>
      <c r="D364" t="s">
        <v>15</v>
      </c>
      <c r="E364" s="4">
        <v>100</v>
      </c>
      <c r="F364" s="2">
        <v>100</v>
      </c>
      <c r="G364" s="2">
        <v>70</v>
      </c>
      <c r="I364" s="2" t="s">
        <v>64</v>
      </c>
      <c r="J364" s="2" t="s">
        <v>65</v>
      </c>
      <c r="K364" t="s">
        <v>18</v>
      </c>
      <c r="L364" t="str">
        <f t="shared" si="12"/>
        <v>9791162589724</v>
      </c>
      <c r="M364" t="str">
        <f t="shared" si="13"/>
        <v/>
      </c>
      <c r="N364" t="s">
        <v>574</v>
      </c>
    </row>
    <row r="365" spans="1:14">
      <c r="A365" s="1">
        <v>46057.486712962964</v>
      </c>
      <c r="B365">
        <v>277935630</v>
      </c>
      <c r="C365" s="2" t="s">
        <v>575</v>
      </c>
      <c r="D365" t="s">
        <v>15</v>
      </c>
      <c r="E365" s="4">
        <v>100</v>
      </c>
      <c r="F365" s="2">
        <v>100</v>
      </c>
      <c r="G365" s="2">
        <v>70</v>
      </c>
      <c r="I365" s="2" t="s">
        <v>64</v>
      </c>
      <c r="J365" s="2" t="s">
        <v>65</v>
      </c>
      <c r="K365" t="s">
        <v>18</v>
      </c>
      <c r="L365" t="str">
        <f t="shared" si="12"/>
        <v>9791162589724</v>
      </c>
      <c r="M365" t="str">
        <f t="shared" si="13"/>
        <v/>
      </c>
      <c r="N365" t="s">
        <v>576</v>
      </c>
    </row>
    <row r="366" spans="1:14">
      <c r="A366" s="1">
        <v>46057.486712962964</v>
      </c>
      <c r="B366">
        <v>277935632</v>
      </c>
      <c r="C366" s="2" t="s">
        <v>577</v>
      </c>
      <c r="D366" t="s">
        <v>15</v>
      </c>
      <c r="E366" s="4">
        <v>100</v>
      </c>
      <c r="F366" s="2">
        <v>100</v>
      </c>
      <c r="G366" s="2">
        <v>70</v>
      </c>
      <c r="I366" s="2" t="s">
        <v>64</v>
      </c>
      <c r="J366" s="2" t="s">
        <v>65</v>
      </c>
      <c r="K366" t="s">
        <v>18</v>
      </c>
      <c r="L366" t="str">
        <f t="shared" si="12"/>
        <v>9791162589724</v>
      </c>
      <c r="M366" t="str">
        <f t="shared" si="13"/>
        <v/>
      </c>
      <c r="N366" t="s">
        <v>578</v>
      </c>
    </row>
    <row r="367" spans="1:14">
      <c r="A367" s="1">
        <v>46057.486712962964</v>
      </c>
      <c r="B367">
        <v>277935407</v>
      </c>
      <c r="C367" s="2" t="s">
        <v>579</v>
      </c>
      <c r="D367" t="s">
        <v>15</v>
      </c>
      <c r="E367" s="4">
        <v>100</v>
      </c>
      <c r="F367" s="2">
        <v>100</v>
      </c>
      <c r="G367" s="2">
        <v>70</v>
      </c>
      <c r="I367" s="2" t="s">
        <v>64</v>
      </c>
      <c r="J367" s="2" t="s">
        <v>65</v>
      </c>
      <c r="K367" t="s">
        <v>18</v>
      </c>
      <c r="L367" t="str">
        <f t="shared" si="12"/>
        <v>9791162589724</v>
      </c>
      <c r="M367" t="str">
        <f t="shared" si="13"/>
        <v/>
      </c>
      <c r="N367" t="s">
        <v>580</v>
      </c>
    </row>
    <row r="368" spans="1:14">
      <c r="A368" s="1">
        <v>46057.486712962964</v>
      </c>
      <c r="B368">
        <v>277935408</v>
      </c>
      <c r="C368" s="2" t="s">
        <v>581</v>
      </c>
      <c r="D368" t="s">
        <v>15</v>
      </c>
      <c r="E368" s="4">
        <v>100</v>
      </c>
      <c r="F368" s="2">
        <v>100</v>
      </c>
      <c r="G368" s="2">
        <v>70</v>
      </c>
      <c r="I368" s="2" t="s">
        <v>64</v>
      </c>
      <c r="J368" s="2" t="s">
        <v>65</v>
      </c>
      <c r="K368" t="s">
        <v>18</v>
      </c>
      <c r="L368" t="str">
        <f t="shared" si="12"/>
        <v>9791162589724</v>
      </c>
      <c r="M368" t="str">
        <f t="shared" si="13"/>
        <v/>
      </c>
      <c r="N368" t="s">
        <v>582</v>
      </c>
    </row>
    <row r="369" spans="1:14">
      <c r="A369" s="1">
        <v>46057.515104166669</v>
      </c>
      <c r="B369">
        <v>385347797</v>
      </c>
      <c r="C369" s="2" t="s">
        <v>195</v>
      </c>
      <c r="D369" t="s">
        <v>15</v>
      </c>
      <c r="E369" s="4">
        <v>700</v>
      </c>
      <c r="F369" s="2">
        <v>630</v>
      </c>
      <c r="G369" s="2">
        <v>441</v>
      </c>
      <c r="I369" s="2" t="s">
        <v>196</v>
      </c>
      <c r="J369" s="2" t="s">
        <v>197</v>
      </c>
      <c r="K369" t="s">
        <v>18</v>
      </c>
      <c r="L369" t="str">
        <f>T("9791172821937")</f>
        <v>9791172821937</v>
      </c>
      <c r="M369" t="str">
        <f t="shared" si="13"/>
        <v/>
      </c>
      <c r="N369" t="s">
        <v>198</v>
      </c>
    </row>
    <row r="370" spans="1:14">
      <c r="A370" s="1">
        <v>46057.52449074074</v>
      </c>
      <c r="B370">
        <v>385347792</v>
      </c>
      <c r="C370" s="2" t="s">
        <v>306</v>
      </c>
      <c r="D370" t="s">
        <v>15</v>
      </c>
      <c r="E370" s="5">
        <v>1000</v>
      </c>
      <c r="F370" s="2">
        <v>900</v>
      </c>
      <c r="G370" s="2">
        <v>630</v>
      </c>
      <c r="I370" s="2" t="s">
        <v>307</v>
      </c>
      <c r="J370" s="2" t="s">
        <v>308</v>
      </c>
      <c r="K370" t="s">
        <v>18</v>
      </c>
      <c r="L370" t="str">
        <f>T("9791194982753")</f>
        <v>9791194982753</v>
      </c>
      <c r="M370" t="str">
        <f t="shared" si="13"/>
        <v/>
      </c>
      <c r="N370" t="s">
        <v>309</v>
      </c>
    </row>
    <row r="371" spans="1:14">
      <c r="A371" s="1">
        <v>46057.529930555553</v>
      </c>
      <c r="B371">
        <v>335881144</v>
      </c>
      <c r="C371" s="2" t="s">
        <v>583</v>
      </c>
      <c r="D371" t="s">
        <v>15</v>
      </c>
      <c r="E371" s="5">
        <v>1000</v>
      </c>
      <c r="F371" s="3">
        <v>1000</v>
      </c>
      <c r="G371" s="2">
        <v>700</v>
      </c>
      <c r="I371" s="2" t="s">
        <v>584</v>
      </c>
      <c r="J371" s="2" t="s">
        <v>21</v>
      </c>
      <c r="K371" t="s">
        <v>18</v>
      </c>
      <c r="L371" t="str">
        <f>T("9791170895718")</f>
        <v>9791170895718</v>
      </c>
      <c r="M371" t="str">
        <f t="shared" si="13"/>
        <v/>
      </c>
      <c r="N371" t="s">
        <v>585</v>
      </c>
    </row>
    <row r="372" spans="1:14">
      <c r="A372" s="1">
        <v>46057.530740740738</v>
      </c>
      <c r="B372">
        <v>385347715</v>
      </c>
      <c r="C372" s="2" t="s">
        <v>186</v>
      </c>
      <c r="D372" t="s">
        <v>15</v>
      </c>
      <c r="E372" s="5">
        <v>2000</v>
      </c>
      <c r="F372" s="3">
        <v>1800</v>
      </c>
      <c r="G372" s="3">
        <v>1260</v>
      </c>
      <c r="I372" s="2" t="s">
        <v>187</v>
      </c>
      <c r="J372" s="2" t="s">
        <v>188</v>
      </c>
      <c r="K372" t="s">
        <v>18</v>
      </c>
      <c r="L372" t="str">
        <f>T("9791164835362")</f>
        <v>9791164835362</v>
      </c>
      <c r="M372" t="str">
        <f t="shared" si="13"/>
        <v/>
      </c>
      <c r="N372" t="s">
        <v>189</v>
      </c>
    </row>
    <row r="373" spans="1:14">
      <c r="A373" s="1">
        <v>46057.533460648148</v>
      </c>
      <c r="B373">
        <v>384664782</v>
      </c>
      <c r="C373" s="2" t="s">
        <v>373</v>
      </c>
      <c r="D373" t="s">
        <v>15</v>
      </c>
      <c r="E373" s="5">
        <v>1000</v>
      </c>
      <c r="F373" s="3">
        <v>1000</v>
      </c>
      <c r="G373" s="2">
        <v>700</v>
      </c>
      <c r="I373" s="2" t="s">
        <v>374</v>
      </c>
      <c r="J373" s="2" t="s">
        <v>21</v>
      </c>
      <c r="K373" t="s">
        <v>18</v>
      </c>
      <c r="L373" t="str">
        <f>T("9791175582392")</f>
        <v>9791175582392</v>
      </c>
      <c r="M373" t="str">
        <f t="shared" si="13"/>
        <v/>
      </c>
      <c r="N373" t="s">
        <v>375</v>
      </c>
    </row>
    <row r="374" spans="1:14">
      <c r="A374" s="1">
        <v>46057.566423611112</v>
      </c>
      <c r="B374">
        <v>277935632</v>
      </c>
      <c r="C374" s="2" t="s">
        <v>577</v>
      </c>
      <c r="D374" t="s">
        <v>15</v>
      </c>
      <c r="E374" s="4">
        <v>100</v>
      </c>
      <c r="F374" s="2">
        <v>100</v>
      </c>
      <c r="G374" s="2">
        <v>70</v>
      </c>
      <c r="I374" s="2" t="s">
        <v>64</v>
      </c>
      <c r="J374" s="2" t="s">
        <v>65</v>
      </c>
      <c r="K374" t="s">
        <v>18</v>
      </c>
      <c r="L374" t="str">
        <f>T("9791162589724")</f>
        <v>9791162589724</v>
      </c>
      <c r="M374" t="str">
        <f t="shared" si="13"/>
        <v/>
      </c>
      <c r="N374" t="s">
        <v>578</v>
      </c>
    </row>
    <row r="375" spans="1:14">
      <c r="A375" s="1">
        <v>46057.568055555559</v>
      </c>
      <c r="B375">
        <v>337247378</v>
      </c>
      <c r="C375" s="2" t="s">
        <v>586</v>
      </c>
      <c r="D375" t="s">
        <v>15</v>
      </c>
      <c r="E375" s="5">
        <v>1000</v>
      </c>
      <c r="F375" s="3">
        <v>1000</v>
      </c>
      <c r="G375" s="2">
        <v>700</v>
      </c>
      <c r="I375" s="2" t="s">
        <v>28</v>
      </c>
      <c r="J375" s="2" t="s">
        <v>21</v>
      </c>
      <c r="K375" t="s">
        <v>18</v>
      </c>
      <c r="L375" t="str">
        <f>T("9791170895305")</f>
        <v>9791170895305</v>
      </c>
      <c r="M375" t="str">
        <f t="shared" si="13"/>
        <v/>
      </c>
      <c r="N375" t="s">
        <v>587</v>
      </c>
    </row>
    <row r="376" spans="1:14">
      <c r="A376" s="1">
        <v>46057.568055555559</v>
      </c>
      <c r="B376">
        <v>382626246</v>
      </c>
      <c r="C376" s="2" t="s">
        <v>137</v>
      </c>
      <c r="D376" t="s">
        <v>15</v>
      </c>
      <c r="E376" s="5">
        <v>1000</v>
      </c>
      <c r="F376" s="3">
        <v>1000</v>
      </c>
      <c r="G376" s="2">
        <v>700</v>
      </c>
      <c r="I376" s="2" t="s">
        <v>28</v>
      </c>
      <c r="J376" s="2" t="s">
        <v>21</v>
      </c>
      <c r="K376" t="s">
        <v>18</v>
      </c>
      <c r="L376" t="str">
        <f>T("9791175581753")</f>
        <v>9791175581753</v>
      </c>
      <c r="M376" t="str">
        <f t="shared" si="13"/>
        <v/>
      </c>
      <c r="N376" t="s">
        <v>138</v>
      </c>
    </row>
    <row r="377" spans="1:14">
      <c r="A377" s="1">
        <v>46057.581400462965</v>
      </c>
      <c r="B377">
        <v>385347797</v>
      </c>
      <c r="C377" s="2" t="s">
        <v>195</v>
      </c>
      <c r="D377" t="s">
        <v>15</v>
      </c>
      <c r="E377" s="4">
        <v>700</v>
      </c>
      <c r="F377" s="2">
        <v>630</v>
      </c>
      <c r="G377" s="2">
        <v>441</v>
      </c>
      <c r="I377" s="2" t="s">
        <v>196</v>
      </c>
      <c r="J377" s="2" t="s">
        <v>197</v>
      </c>
      <c r="K377" t="s">
        <v>18</v>
      </c>
      <c r="L377" t="str">
        <f>T("9791172821937")</f>
        <v>9791172821937</v>
      </c>
      <c r="M377" t="str">
        <f t="shared" si="13"/>
        <v/>
      </c>
      <c r="N377" t="s">
        <v>198</v>
      </c>
    </row>
    <row r="378" spans="1:14">
      <c r="A378" s="1">
        <v>46057.605810185189</v>
      </c>
      <c r="B378">
        <v>379527587</v>
      </c>
      <c r="C378" s="2" t="s">
        <v>193</v>
      </c>
      <c r="D378" t="s">
        <v>15</v>
      </c>
      <c r="E378" s="5">
        <v>1000</v>
      </c>
      <c r="F378" s="3">
        <v>1000</v>
      </c>
      <c r="G378" s="2">
        <v>700</v>
      </c>
      <c r="I378" s="2" t="s">
        <v>148</v>
      </c>
      <c r="J378" s="2" t="s">
        <v>21</v>
      </c>
      <c r="K378" t="s">
        <v>18</v>
      </c>
      <c r="L378" t="str">
        <f>T("9791175580763")</f>
        <v>9791175580763</v>
      </c>
      <c r="M378" t="str">
        <f t="shared" si="13"/>
        <v/>
      </c>
      <c r="N378" t="s">
        <v>194</v>
      </c>
    </row>
    <row r="379" spans="1:14">
      <c r="A379" s="1">
        <v>46057.613032407404</v>
      </c>
      <c r="B379">
        <v>358317890</v>
      </c>
      <c r="C379" s="2" t="s">
        <v>588</v>
      </c>
      <c r="D379" t="s">
        <v>15</v>
      </c>
      <c r="E379" s="5">
        <v>1000</v>
      </c>
      <c r="F379" s="3">
        <v>1000</v>
      </c>
      <c r="G379" s="2">
        <v>700</v>
      </c>
      <c r="I379" s="2" t="s">
        <v>41</v>
      </c>
      <c r="J379" s="2" t="s">
        <v>21</v>
      </c>
      <c r="K379" t="s">
        <v>18</v>
      </c>
      <c r="L379" t="str">
        <f>T("9791173013294")</f>
        <v>9791173013294</v>
      </c>
      <c r="M379" t="str">
        <f t="shared" si="13"/>
        <v/>
      </c>
      <c r="N379" t="s">
        <v>589</v>
      </c>
    </row>
    <row r="380" spans="1:14">
      <c r="A380" s="1">
        <v>46057.627071759256</v>
      </c>
      <c r="B380">
        <v>384729092</v>
      </c>
      <c r="C380" s="2" t="s">
        <v>590</v>
      </c>
      <c r="D380" t="s">
        <v>15</v>
      </c>
      <c r="E380" s="5">
        <v>5800</v>
      </c>
      <c r="F380" s="3">
        <v>5220</v>
      </c>
      <c r="G380" s="3">
        <v>3654</v>
      </c>
      <c r="I380" s="2" t="s">
        <v>591</v>
      </c>
      <c r="J380" s="2" t="s">
        <v>126</v>
      </c>
      <c r="K380" t="s">
        <v>18</v>
      </c>
      <c r="L380" t="str">
        <f>T("9791171503049")</f>
        <v>9791171503049</v>
      </c>
      <c r="M380" t="str">
        <f t="shared" si="13"/>
        <v/>
      </c>
    </row>
    <row r="381" spans="1:14">
      <c r="A381" s="1">
        <v>46057.62872685185</v>
      </c>
      <c r="B381">
        <v>372250319</v>
      </c>
      <c r="C381" s="2" t="s">
        <v>592</v>
      </c>
      <c r="D381" t="s">
        <v>15</v>
      </c>
      <c r="E381" s="5">
        <v>3300</v>
      </c>
      <c r="F381" s="3">
        <v>3300</v>
      </c>
      <c r="G381" s="3">
        <v>2310</v>
      </c>
      <c r="I381" s="2" t="s">
        <v>593</v>
      </c>
      <c r="J381" s="2" t="s">
        <v>197</v>
      </c>
      <c r="K381" t="s">
        <v>18</v>
      </c>
      <c r="L381" t="str">
        <f>T("9791172821760")</f>
        <v>9791172821760</v>
      </c>
      <c r="M381" t="str">
        <f t="shared" si="13"/>
        <v/>
      </c>
      <c r="N381" t="s">
        <v>594</v>
      </c>
    </row>
    <row r="382" spans="1:14">
      <c r="A382" s="1">
        <v>46057.652106481481</v>
      </c>
      <c r="B382">
        <v>379920934</v>
      </c>
      <c r="C382" s="2" t="s">
        <v>595</v>
      </c>
      <c r="D382" t="s">
        <v>15</v>
      </c>
      <c r="E382" s="5">
        <v>1100</v>
      </c>
      <c r="F382" s="3">
        <v>1100</v>
      </c>
      <c r="G382" s="2">
        <v>770</v>
      </c>
      <c r="I382" s="2" t="s">
        <v>148</v>
      </c>
      <c r="J382" s="2" t="s">
        <v>21</v>
      </c>
      <c r="K382" t="s">
        <v>18</v>
      </c>
      <c r="L382" t="str">
        <f>T("9791175581357")</f>
        <v>9791175581357</v>
      </c>
      <c r="M382" t="str">
        <f t="shared" si="13"/>
        <v/>
      </c>
      <c r="N382" t="s">
        <v>596</v>
      </c>
    </row>
    <row r="383" spans="1:14">
      <c r="A383" s="1">
        <v>46057.652106481481</v>
      </c>
      <c r="B383">
        <v>385347515</v>
      </c>
      <c r="C383" s="2" t="s">
        <v>304</v>
      </c>
      <c r="D383" t="s">
        <v>15</v>
      </c>
      <c r="E383" s="5">
        <v>1300</v>
      </c>
      <c r="F383" s="3">
        <v>1300</v>
      </c>
      <c r="G383" s="2">
        <v>910</v>
      </c>
      <c r="I383" s="2" t="s">
        <v>148</v>
      </c>
      <c r="J383" s="2" t="s">
        <v>21</v>
      </c>
      <c r="K383" t="s">
        <v>18</v>
      </c>
      <c r="L383" t="str">
        <f>T("9791175582521")</f>
        <v>9791175582521</v>
      </c>
      <c r="M383" t="str">
        <f t="shared" si="13"/>
        <v/>
      </c>
      <c r="N383" t="s">
        <v>305</v>
      </c>
    </row>
    <row r="384" spans="1:14">
      <c r="A384" s="1">
        <v>46057.672037037039</v>
      </c>
      <c r="B384">
        <v>370130223</v>
      </c>
      <c r="C384" s="2" t="s">
        <v>597</v>
      </c>
      <c r="D384" t="s">
        <v>15</v>
      </c>
      <c r="E384" s="4">
        <v>0</v>
      </c>
      <c r="F384" s="2">
        <v>0</v>
      </c>
      <c r="G384" s="2">
        <v>0</v>
      </c>
      <c r="I384" s="2" t="s">
        <v>135</v>
      </c>
      <c r="J384" s="2" t="s">
        <v>65</v>
      </c>
      <c r="K384" t="s">
        <v>18</v>
      </c>
      <c r="L384" t="str">
        <f>T("9791137019553")</f>
        <v>9791137019553</v>
      </c>
      <c r="M384" t="str">
        <f t="shared" si="13"/>
        <v/>
      </c>
      <c r="N384" t="s">
        <v>598</v>
      </c>
    </row>
    <row r="385" spans="1:14">
      <c r="A385" s="1">
        <v>46057.697280092594</v>
      </c>
      <c r="B385">
        <v>277935633</v>
      </c>
      <c r="C385" s="2" t="s">
        <v>599</v>
      </c>
      <c r="D385" t="s">
        <v>15</v>
      </c>
      <c r="E385" s="4">
        <v>100</v>
      </c>
      <c r="F385" s="2">
        <v>100</v>
      </c>
      <c r="G385" s="2">
        <v>70</v>
      </c>
      <c r="I385" s="2" t="s">
        <v>64</v>
      </c>
      <c r="J385" s="2" t="s">
        <v>65</v>
      </c>
      <c r="K385" t="s">
        <v>18</v>
      </c>
      <c r="L385" t="str">
        <f t="shared" ref="L385:L398" si="14">T("9791162589724")</f>
        <v>9791162589724</v>
      </c>
      <c r="M385" t="str">
        <f t="shared" si="13"/>
        <v/>
      </c>
      <c r="N385" t="s">
        <v>600</v>
      </c>
    </row>
    <row r="386" spans="1:14">
      <c r="A386" s="1">
        <v>46057.697280092594</v>
      </c>
      <c r="B386">
        <v>277935636</v>
      </c>
      <c r="C386" s="2" t="s">
        <v>601</v>
      </c>
      <c r="D386" t="s">
        <v>15</v>
      </c>
      <c r="E386" s="4">
        <v>100</v>
      </c>
      <c r="F386" s="2">
        <v>100</v>
      </c>
      <c r="G386" s="2">
        <v>70</v>
      </c>
      <c r="I386" s="2" t="s">
        <v>64</v>
      </c>
      <c r="J386" s="2" t="s">
        <v>65</v>
      </c>
      <c r="K386" t="s">
        <v>18</v>
      </c>
      <c r="L386" t="str">
        <f t="shared" si="14"/>
        <v>9791162589724</v>
      </c>
      <c r="M386" t="str">
        <f t="shared" si="13"/>
        <v/>
      </c>
      <c r="N386" t="s">
        <v>602</v>
      </c>
    </row>
    <row r="387" spans="1:14">
      <c r="A387" s="1">
        <v>46057.697280092594</v>
      </c>
      <c r="B387">
        <v>277935671</v>
      </c>
      <c r="C387" s="2" t="s">
        <v>603</v>
      </c>
      <c r="D387" t="s">
        <v>15</v>
      </c>
      <c r="E387" s="4">
        <v>100</v>
      </c>
      <c r="F387" s="2">
        <v>100</v>
      </c>
      <c r="G387" s="2">
        <v>70</v>
      </c>
      <c r="I387" s="2" t="s">
        <v>64</v>
      </c>
      <c r="J387" s="2" t="s">
        <v>65</v>
      </c>
      <c r="K387" t="s">
        <v>18</v>
      </c>
      <c r="L387" t="str">
        <f t="shared" si="14"/>
        <v>9791162589724</v>
      </c>
      <c r="M387" t="str">
        <f t="shared" ref="M387:M414" si="15">T("")</f>
        <v/>
      </c>
      <c r="N387" t="s">
        <v>604</v>
      </c>
    </row>
    <row r="388" spans="1:14">
      <c r="A388" s="1">
        <v>46057.697280092594</v>
      </c>
      <c r="B388">
        <v>277935675</v>
      </c>
      <c r="C388" s="2" t="s">
        <v>605</v>
      </c>
      <c r="D388" t="s">
        <v>15</v>
      </c>
      <c r="E388" s="4">
        <v>100</v>
      </c>
      <c r="F388" s="2">
        <v>100</v>
      </c>
      <c r="G388" s="2">
        <v>70</v>
      </c>
      <c r="I388" s="2" t="s">
        <v>64</v>
      </c>
      <c r="J388" s="2" t="s">
        <v>65</v>
      </c>
      <c r="K388" t="s">
        <v>18</v>
      </c>
      <c r="L388" t="str">
        <f t="shared" si="14"/>
        <v>9791162589724</v>
      </c>
      <c r="M388" t="str">
        <f t="shared" si="15"/>
        <v/>
      </c>
      <c r="N388" t="s">
        <v>606</v>
      </c>
    </row>
    <row r="389" spans="1:14">
      <c r="A389" s="1">
        <v>46057.697280092594</v>
      </c>
      <c r="B389">
        <v>277935681</v>
      </c>
      <c r="C389" s="2" t="s">
        <v>607</v>
      </c>
      <c r="D389" t="s">
        <v>15</v>
      </c>
      <c r="E389" s="4">
        <v>100</v>
      </c>
      <c r="F389" s="2">
        <v>100</v>
      </c>
      <c r="G389" s="2">
        <v>70</v>
      </c>
      <c r="I389" s="2" t="s">
        <v>64</v>
      </c>
      <c r="J389" s="2" t="s">
        <v>65</v>
      </c>
      <c r="K389" t="s">
        <v>18</v>
      </c>
      <c r="L389" t="str">
        <f t="shared" si="14"/>
        <v>9791162589724</v>
      </c>
      <c r="M389" t="str">
        <f t="shared" si="15"/>
        <v/>
      </c>
      <c r="N389" t="s">
        <v>608</v>
      </c>
    </row>
    <row r="390" spans="1:14">
      <c r="A390" s="1">
        <v>46057.697280092594</v>
      </c>
      <c r="B390">
        <v>277935721</v>
      </c>
      <c r="C390" s="2" t="s">
        <v>609</v>
      </c>
      <c r="D390" t="s">
        <v>15</v>
      </c>
      <c r="E390" s="4">
        <v>100</v>
      </c>
      <c r="F390" s="2">
        <v>100</v>
      </c>
      <c r="G390" s="2">
        <v>70</v>
      </c>
      <c r="I390" s="2" t="s">
        <v>64</v>
      </c>
      <c r="J390" s="2" t="s">
        <v>65</v>
      </c>
      <c r="K390" t="s">
        <v>18</v>
      </c>
      <c r="L390" t="str">
        <f t="shared" si="14"/>
        <v>9791162589724</v>
      </c>
      <c r="M390" t="str">
        <f t="shared" si="15"/>
        <v/>
      </c>
      <c r="N390" t="s">
        <v>610</v>
      </c>
    </row>
    <row r="391" spans="1:14">
      <c r="A391" s="1">
        <v>46057.697280092594</v>
      </c>
      <c r="B391">
        <v>277935726</v>
      </c>
      <c r="C391" s="2" t="s">
        <v>611</v>
      </c>
      <c r="D391" t="s">
        <v>15</v>
      </c>
      <c r="E391" s="4">
        <v>100</v>
      </c>
      <c r="F391" s="2">
        <v>100</v>
      </c>
      <c r="G391" s="2">
        <v>70</v>
      </c>
      <c r="I391" s="2" t="s">
        <v>64</v>
      </c>
      <c r="J391" s="2" t="s">
        <v>65</v>
      </c>
      <c r="K391" t="s">
        <v>18</v>
      </c>
      <c r="L391" t="str">
        <f t="shared" si="14"/>
        <v>9791162589724</v>
      </c>
      <c r="M391" t="str">
        <f t="shared" si="15"/>
        <v/>
      </c>
      <c r="N391" t="s">
        <v>612</v>
      </c>
    </row>
    <row r="392" spans="1:14">
      <c r="A392" s="1">
        <v>46057.697280092594</v>
      </c>
      <c r="B392">
        <v>277935728</v>
      </c>
      <c r="C392" s="2" t="s">
        <v>613</v>
      </c>
      <c r="D392" t="s">
        <v>15</v>
      </c>
      <c r="E392" s="4">
        <v>100</v>
      </c>
      <c r="F392" s="2">
        <v>100</v>
      </c>
      <c r="G392" s="2">
        <v>70</v>
      </c>
      <c r="I392" s="2" t="s">
        <v>64</v>
      </c>
      <c r="J392" s="2" t="s">
        <v>65</v>
      </c>
      <c r="K392" t="s">
        <v>18</v>
      </c>
      <c r="L392" t="str">
        <f t="shared" si="14"/>
        <v>9791162589724</v>
      </c>
      <c r="M392" t="str">
        <f t="shared" si="15"/>
        <v/>
      </c>
      <c r="N392" t="s">
        <v>614</v>
      </c>
    </row>
    <row r="393" spans="1:14">
      <c r="A393" s="1">
        <v>46057.697280092594</v>
      </c>
      <c r="B393">
        <v>277935480</v>
      </c>
      <c r="C393" s="2" t="s">
        <v>615</v>
      </c>
      <c r="D393" t="s">
        <v>15</v>
      </c>
      <c r="E393" s="4">
        <v>100</v>
      </c>
      <c r="F393" s="2">
        <v>100</v>
      </c>
      <c r="G393" s="2">
        <v>70</v>
      </c>
      <c r="I393" s="2" t="s">
        <v>64</v>
      </c>
      <c r="J393" s="2" t="s">
        <v>65</v>
      </c>
      <c r="K393" t="s">
        <v>18</v>
      </c>
      <c r="L393" t="str">
        <f t="shared" si="14"/>
        <v>9791162589724</v>
      </c>
      <c r="M393" t="str">
        <f t="shared" si="15"/>
        <v/>
      </c>
      <c r="N393" t="s">
        <v>616</v>
      </c>
    </row>
    <row r="394" spans="1:14">
      <c r="A394" s="1">
        <v>46057.697280092594</v>
      </c>
      <c r="B394">
        <v>277935482</v>
      </c>
      <c r="C394" s="2" t="s">
        <v>617</v>
      </c>
      <c r="D394" t="s">
        <v>15</v>
      </c>
      <c r="E394" s="4">
        <v>100</v>
      </c>
      <c r="F394" s="2">
        <v>100</v>
      </c>
      <c r="G394" s="2">
        <v>70</v>
      </c>
      <c r="I394" s="2" t="s">
        <v>64</v>
      </c>
      <c r="J394" s="2" t="s">
        <v>65</v>
      </c>
      <c r="K394" t="s">
        <v>18</v>
      </c>
      <c r="L394" t="str">
        <f t="shared" si="14"/>
        <v>9791162589724</v>
      </c>
      <c r="M394" t="str">
        <f t="shared" si="15"/>
        <v/>
      </c>
      <c r="N394" t="s">
        <v>618</v>
      </c>
    </row>
    <row r="395" spans="1:14">
      <c r="A395" s="1">
        <v>46057.697280092594</v>
      </c>
      <c r="B395">
        <v>277935627</v>
      </c>
      <c r="C395" s="2" t="s">
        <v>619</v>
      </c>
      <c r="D395" t="s">
        <v>15</v>
      </c>
      <c r="E395" s="4">
        <v>100</v>
      </c>
      <c r="F395" s="2">
        <v>100</v>
      </c>
      <c r="G395" s="2">
        <v>70</v>
      </c>
      <c r="I395" s="2" t="s">
        <v>64</v>
      </c>
      <c r="J395" s="2" t="s">
        <v>65</v>
      </c>
      <c r="K395" t="s">
        <v>18</v>
      </c>
      <c r="L395" t="str">
        <f t="shared" si="14"/>
        <v>9791162589724</v>
      </c>
      <c r="M395" t="str">
        <f t="shared" si="15"/>
        <v/>
      </c>
      <c r="N395" t="s">
        <v>620</v>
      </c>
    </row>
    <row r="396" spans="1:14">
      <c r="A396" s="1">
        <v>46057.697280092594</v>
      </c>
      <c r="B396">
        <v>277935729</v>
      </c>
      <c r="C396" s="2" t="s">
        <v>621</v>
      </c>
      <c r="D396" t="s">
        <v>15</v>
      </c>
      <c r="E396" s="4">
        <v>100</v>
      </c>
      <c r="F396" s="2">
        <v>100</v>
      </c>
      <c r="G396" s="2">
        <v>70</v>
      </c>
      <c r="I396" s="2" t="s">
        <v>64</v>
      </c>
      <c r="J396" s="2" t="s">
        <v>65</v>
      </c>
      <c r="K396" t="s">
        <v>18</v>
      </c>
      <c r="L396" t="str">
        <f t="shared" si="14"/>
        <v>9791162589724</v>
      </c>
      <c r="M396" t="str">
        <f t="shared" si="15"/>
        <v/>
      </c>
      <c r="N396" t="s">
        <v>622</v>
      </c>
    </row>
    <row r="397" spans="1:14">
      <c r="A397" s="1">
        <v>46057.697280092594</v>
      </c>
      <c r="B397">
        <v>277935731</v>
      </c>
      <c r="C397" s="2" t="s">
        <v>623</v>
      </c>
      <c r="D397" t="s">
        <v>15</v>
      </c>
      <c r="E397" s="4">
        <v>100</v>
      </c>
      <c r="F397" s="2">
        <v>100</v>
      </c>
      <c r="G397" s="2">
        <v>70</v>
      </c>
      <c r="I397" s="2" t="s">
        <v>64</v>
      </c>
      <c r="J397" s="2" t="s">
        <v>65</v>
      </c>
      <c r="K397" t="s">
        <v>18</v>
      </c>
      <c r="L397" t="str">
        <f t="shared" si="14"/>
        <v>9791162589724</v>
      </c>
      <c r="M397" t="str">
        <f t="shared" si="15"/>
        <v/>
      </c>
      <c r="N397" t="s">
        <v>624</v>
      </c>
    </row>
    <row r="398" spans="1:14">
      <c r="A398" s="1">
        <v>46057.697280092594</v>
      </c>
      <c r="B398">
        <v>277935733</v>
      </c>
      <c r="C398" s="2" t="s">
        <v>625</v>
      </c>
      <c r="D398" t="s">
        <v>15</v>
      </c>
      <c r="E398" s="4">
        <v>100</v>
      </c>
      <c r="F398" s="2">
        <v>100</v>
      </c>
      <c r="G398" s="2">
        <v>70</v>
      </c>
      <c r="I398" s="2" t="s">
        <v>64</v>
      </c>
      <c r="J398" s="2" t="s">
        <v>65</v>
      </c>
      <c r="K398" t="s">
        <v>18</v>
      </c>
      <c r="L398" t="str">
        <f t="shared" si="14"/>
        <v>9791162589724</v>
      </c>
      <c r="M398" t="str">
        <f t="shared" si="15"/>
        <v/>
      </c>
      <c r="N398" t="s">
        <v>626</v>
      </c>
    </row>
    <row r="399" spans="1:14">
      <c r="A399" s="1">
        <v>46057.708275462966</v>
      </c>
      <c r="B399">
        <v>365291571</v>
      </c>
      <c r="C399" s="2" t="s">
        <v>627</v>
      </c>
      <c r="D399" t="s">
        <v>15</v>
      </c>
      <c r="E399" s="5">
        <v>1000</v>
      </c>
      <c r="F399" s="3">
        <v>1000</v>
      </c>
      <c r="G399" s="2">
        <v>700</v>
      </c>
      <c r="I399" s="2" t="s">
        <v>487</v>
      </c>
      <c r="J399" s="2" t="s">
        <v>21</v>
      </c>
      <c r="K399" t="s">
        <v>18</v>
      </c>
      <c r="L399" t="str">
        <f>T("9791173014321")</f>
        <v>9791173014321</v>
      </c>
      <c r="M399" t="str">
        <f t="shared" si="15"/>
        <v/>
      </c>
      <c r="N399" t="s">
        <v>628</v>
      </c>
    </row>
    <row r="400" spans="1:14">
      <c r="A400" s="1">
        <v>46057.712962962964</v>
      </c>
      <c r="B400">
        <v>340818984</v>
      </c>
      <c r="C400" s="2" t="s">
        <v>629</v>
      </c>
      <c r="D400" t="s">
        <v>15</v>
      </c>
      <c r="E400" s="5">
        <v>3000</v>
      </c>
      <c r="F400" s="3">
        <v>3000</v>
      </c>
      <c r="G400" s="3">
        <v>2100</v>
      </c>
      <c r="I400" s="2" t="s">
        <v>630</v>
      </c>
      <c r="J400" s="2" t="s">
        <v>631</v>
      </c>
      <c r="K400" t="s">
        <v>18</v>
      </c>
      <c r="L400" t="str">
        <f>T("9791171560042")</f>
        <v>9791171560042</v>
      </c>
      <c r="M400" t="str">
        <f t="shared" si="15"/>
        <v/>
      </c>
    </row>
    <row r="401" spans="1:14">
      <c r="A401" s="1">
        <v>46057.752708333333</v>
      </c>
      <c r="B401">
        <v>295409723</v>
      </c>
      <c r="C401" s="2" t="s">
        <v>632</v>
      </c>
      <c r="D401" t="s">
        <v>15</v>
      </c>
      <c r="E401" s="5">
        <v>18000</v>
      </c>
      <c r="F401" s="3">
        <v>18000</v>
      </c>
      <c r="G401" s="3">
        <v>12600</v>
      </c>
      <c r="I401" s="2" t="s">
        <v>540</v>
      </c>
      <c r="J401" s="2" t="s">
        <v>197</v>
      </c>
      <c r="K401" t="s">
        <v>18</v>
      </c>
      <c r="L401" t="str">
        <f>T("9791164096534")</f>
        <v>9791164096534</v>
      </c>
      <c r="M401" t="str">
        <f t="shared" si="15"/>
        <v/>
      </c>
    </row>
    <row r="402" spans="1:14">
      <c r="A402" s="1">
        <v>46057.760381944441</v>
      </c>
      <c r="B402">
        <v>385347797</v>
      </c>
      <c r="C402" s="2" t="s">
        <v>195</v>
      </c>
      <c r="D402" t="s">
        <v>15</v>
      </c>
      <c r="E402" s="4">
        <v>700</v>
      </c>
      <c r="F402" s="2">
        <v>630</v>
      </c>
      <c r="G402" s="2">
        <v>441</v>
      </c>
      <c r="I402" s="2" t="s">
        <v>196</v>
      </c>
      <c r="J402" s="2" t="s">
        <v>197</v>
      </c>
      <c r="K402" t="s">
        <v>18</v>
      </c>
      <c r="L402" t="str">
        <f>T("9791172821937")</f>
        <v>9791172821937</v>
      </c>
      <c r="M402" t="str">
        <f t="shared" si="15"/>
        <v/>
      </c>
      <c r="N402" t="s">
        <v>198</v>
      </c>
    </row>
    <row r="403" spans="1:14">
      <c r="A403" s="1">
        <v>46057.762928240743</v>
      </c>
      <c r="B403">
        <v>370130005</v>
      </c>
      <c r="C403" s="2" t="s">
        <v>633</v>
      </c>
      <c r="D403" t="s">
        <v>15</v>
      </c>
      <c r="E403" s="5">
        <v>3600</v>
      </c>
      <c r="F403" s="3">
        <v>3600</v>
      </c>
      <c r="G403" s="3">
        <v>2520</v>
      </c>
      <c r="I403" s="2" t="s">
        <v>135</v>
      </c>
      <c r="J403" s="2" t="s">
        <v>65</v>
      </c>
      <c r="K403" t="s">
        <v>18</v>
      </c>
      <c r="L403" t="str">
        <f>T("9791137010253")</f>
        <v>9791137010253</v>
      </c>
      <c r="M403" t="str">
        <f t="shared" si="15"/>
        <v/>
      </c>
      <c r="N403" t="s">
        <v>634</v>
      </c>
    </row>
    <row r="404" spans="1:14">
      <c r="A404" s="1">
        <v>46057.768055555556</v>
      </c>
      <c r="B404">
        <v>361607696</v>
      </c>
      <c r="C404" s="2" t="s">
        <v>635</v>
      </c>
      <c r="D404" t="s">
        <v>15</v>
      </c>
      <c r="E404" s="5">
        <v>1100</v>
      </c>
      <c r="F404" s="3">
        <v>1100</v>
      </c>
      <c r="G404" s="2">
        <v>770</v>
      </c>
      <c r="I404" s="2" t="s">
        <v>211</v>
      </c>
      <c r="J404" s="2" t="s">
        <v>21</v>
      </c>
      <c r="K404" t="s">
        <v>18</v>
      </c>
      <c r="L404" t="str">
        <f>T("9791173013485")</f>
        <v>9791173013485</v>
      </c>
      <c r="M404" t="str">
        <f t="shared" si="15"/>
        <v/>
      </c>
      <c r="N404" t="s">
        <v>636</v>
      </c>
    </row>
    <row r="405" spans="1:14">
      <c r="A405" s="1">
        <v>46057.768935185188</v>
      </c>
      <c r="B405">
        <v>385347792</v>
      </c>
      <c r="C405" s="2" t="s">
        <v>306</v>
      </c>
      <c r="D405" t="s">
        <v>15</v>
      </c>
      <c r="E405" s="5">
        <v>1000</v>
      </c>
      <c r="F405" s="2">
        <v>900</v>
      </c>
      <c r="G405" s="2">
        <v>630</v>
      </c>
      <c r="I405" s="2" t="s">
        <v>307</v>
      </c>
      <c r="J405" s="2" t="s">
        <v>308</v>
      </c>
      <c r="K405" t="s">
        <v>18</v>
      </c>
      <c r="L405" t="str">
        <f>T("9791194982753")</f>
        <v>9791194982753</v>
      </c>
      <c r="M405" t="str">
        <f t="shared" si="15"/>
        <v/>
      </c>
      <c r="N405" t="s">
        <v>309</v>
      </c>
    </row>
    <row r="406" spans="1:14">
      <c r="A406" s="1">
        <v>46057.77443287037</v>
      </c>
      <c r="B406">
        <v>385348455</v>
      </c>
      <c r="C406" s="2" t="s">
        <v>255</v>
      </c>
      <c r="D406" t="s">
        <v>68</v>
      </c>
      <c r="E406" s="5">
        <v>12600</v>
      </c>
      <c r="F406" s="3">
        <v>12600</v>
      </c>
      <c r="G406" s="3">
        <v>8820</v>
      </c>
      <c r="I406" s="2" t="s">
        <v>187</v>
      </c>
      <c r="J406" s="2" t="s">
        <v>188</v>
      </c>
      <c r="K406" t="s">
        <v>18</v>
      </c>
      <c r="L406" t="str">
        <f>T("9791164835379")</f>
        <v>9791164835379</v>
      </c>
      <c r="M406" t="str">
        <f t="shared" si="15"/>
        <v/>
      </c>
    </row>
    <row r="407" spans="1:14">
      <c r="A407" s="1">
        <v>46057.775706018518</v>
      </c>
      <c r="B407">
        <v>365949633</v>
      </c>
      <c r="C407" s="2" t="s">
        <v>637</v>
      </c>
      <c r="D407" t="s">
        <v>15</v>
      </c>
      <c r="E407" s="5">
        <v>1000</v>
      </c>
      <c r="F407" s="3">
        <v>1000</v>
      </c>
      <c r="G407" s="2">
        <v>700</v>
      </c>
      <c r="I407" s="2" t="s">
        <v>638</v>
      </c>
      <c r="J407" s="2" t="s">
        <v>184</v>
      </c>
      <c r="K407" t="s">
        <v>18</v>
      </c>
      <c r="L407" t="str">
        <f>T("9791170964056")</f>
        <v>9791170964056</v>
      </c>
      <c r="M407" t="str">
        <f t="shared" si="15"/>
        <v/>
      </c>
      <c r="N407" t="s">
        <v>639</v>
      </c>
    </row>
    <row r="408" spans="1:14">
      <c r="A408" s="1">
        <v>46057.782280092593</v>
      </c>
      <c r="B408">
        <v>312882767</v>
      </c>
      <c r="C408" s="2" t="s">
        <v>640</v>
      </c>
      <c r="D408" t="s">
        <v>15</v>
      </c>
      <c r="E408" s="5">
        <v>3500</v>
      </c>
      <c r="F408" s="3">
        <v>3500</v>
      </c>
      <c r="G408" s="3">
        <v>2450</v>
      </c>
      <c r="I408" s="2" t="s">
        <v>641</v>
      </c>
      <c r="J408" s="2" t="s">
        <v>197</v>
      </c>
      <c r="K408" t="s">
        <v>18</v>
      </c>
      <c r="L408" t="str">
        <f>T("9791164097951")</f>
        <v>9791164097951</v>
      </c>
      <c r="M408" t="str">
        <f t="shared" si="15"/>
        <v/>
      </c>
      <c r="N408" t="s">
        <v>642</v>
      </c>
    </row>
    <row r="409" spans="1:14">
      <c r="A409" s="1">
        <v>46077.468472222223</v>
      </c>
      <c r="B409">
        <v>312882767</v>
      </c>
      <c r="C409" s="2" t="s">
        <v>640</v>
      </c>
      <c r="D409" t="s">
        <v>15</v>
      </c>
      <c r="E409" s="5">
        <v>-3500</v>
      </c>
      <c r="F409" s="3">
        <v>-3500</v>
      </c>
      <c r="G409" s="3">
        <v>-2450</v>
      </c>
      <c r="H409" s="1">
        <v>46057.782280092593</v>
      </c>
      <c r="I409" s="2" t="s">
        <v>641</v>
      </c>
      <c r="J409" s="2" t="s">
        <v>197</v>
      </c>
      <c r="K409" t="s">
        <v>18</v>
      </c>
      <c r="L409" t="str">
        <f>T("9791164097951")</f>
        <v>9791164097951</v>
      </c>
      <c r="M409" t="str">
        <f t="shared" si="15"/>
        <v/>
      </c>
      <c r="N409" t="s">
        <v>642</v>
      </c>
    </row>
    <row r="410" spans="1:14">
      <c r="A410" s="1">
        <v>46057.787905092591</v>
      </c>
      <c r="B410">
        <v>370830362</v>
      </c>
      <c r="C410" s="2" t="s">
        <v>643</v>
      </c>
      <c r="D410" t="s">
        <v>15</v>
      </c>
      <c r="E410" s="5">
        <v>1000</v>
      </c>
      <c r="F410" s="3">
        <v>1000</v>
      </c>
      <c r="G410" s="2">
        <v>700</v>
      </c>
      <c r="I410" s="2" t="s">
        <v>166</v>
      </c>
      <c r="J410" s="2" t="s">
        <v>21</v>
      </c>
      <c r="K410" t="s">
        <v>18</v>
      </c>
      <c r="L410" t="str">
        <f>T("9791173017285")</f>
        <v>9791173017285</v>
      </c>
      <c r="M410" t="str">
        <f t="shared" si="15"/>
        <v/>
      </c>
      <c r="N410" t="s">
        <v>644</v>
      </c>
    </row>
    <row r="411" spans="1:14">
      <c r="A411" s="1">
        <v>46057.794560185182</v>
      </c>
      <c r="B411">
        <v>385347797</v>
      </c>
      <c r="C411" s="2" t="s">
        <v>195</v>
      </c>
      <c r="D411" t="s">
        <v>15</v>
      </c>
      <c r="E411" s="4">
        <v>700</v>
      </c>
      <c r="F411" s="2">
        <v>630</v>
      </c>
      <c r="G411" s="2">
        <v>441</v>
      </c>
      <c r="I411" s="2" t="s">
        <v>196</v>
      </c>
      <c r="J411" s="2" t="s">
        <v>197</v>
      </c>
      <c r="K411" t="s">
        <v>18</v>
      </c>
      <c r="L411" t="str">
        <f>T("9791172821937")</f>
        <v>9791172821937</v>
      </c>
      <c r="M411" t="str">
        <f t="shared" si="15"/>
        <v/>
      </c>
      <c r="N411" t="s">
        <v>198</v>
      </c>
    </row>
    <row r="412" spans="1:14">
      <c r="A412" s="1">
        <v>46057.799201388887</v>
      </c>
      <c r="B412">
        <v>193456101</v>
      </c>
      <c r="C412" s="2" t="s">
        <v>645</v>
      </c>
      <c r="D412" t="s">
        <v>15</v>
      </c>
      <c r="E412" s="5">
        <v>9900</v>
      </c>
      <c r="F412" s="3">
        <v>9900</v>
      </c>
      <c r="G412" s="3">
        <v>6930</v>
      </c>
      <c r="I412" s="2" t="s">
        <v>646</v>
      </c>
      <c r="J412" s="2" t="s">
        <v>647</v>
      </c>
      <c r="K412" t="s">
        <v>18</v>
      </c>
      <c r="L412" t="str">
        <f>T("9791187949343")</f>
        <v>9791187949343</v>
      </c>
      <c r="M412" t="str">
        <f t="shared" si="15"/>
        <v/>
      </c>
    </row>
    <row r="413" spans="1:14">
      <c r="A413" s="1">
        <v>46057.800115740742</v>
      </c>
      <c r="B413">
        <v>365291615</v>
      </c>
      <c r="C413" s="2" t="s">
        <v>648</v>
      </c>
      <c r="D413" t="s">
        <v>15</v>
      </c>
      <c r="E413" s="5">
        <v>1000</v>
      </c>
      <c r="F413" s="3">
        <v>1000</v>
      </c>
      <c r="G413" s="2">
        <v>700</v>
      </c>
      <c r="I413" s="2" t="s">
        <v>649</v>
      </c>
      <c r="J413" s="2" t="s">
        <v>21</v>
      </c>
      <c r="K413" t="s">
        <v>18</v>
      </c>
      <c r="L413" t="str">
        <f>T("9791173014505")</f>
        <v>9791173014505</v>
      </c>
      <c r="M413" t="str">
        <f t="shared" si="15"/>
        <v/>
      </c>
      <c r="N413" t="s">
        <v>650</v>
      </c>
    </row>
    <row r="414" spans="1:14">
      <c r="A414" s="1">
        <v>46057.802523148152</v>
      </c>
      <c r="B414">
        <v>385347715</v>
      </c>
      <c r="C414" s="2" t="s">
        <v>186</v>
      </c>
      <c r="D414" t="s">
        <v>15</v>
      </c>
      <c r="E414" s="5">
        <v>2000</v>
      </c>
      <c r="F414" s="3">
        <v>1800</v>
      </c>
      <c r="G414" s="3">
        <v>1260</v>
      </c>
      <c r="I414" s="2" t="s">
        <v>187</v>
      </c>
      <c r="J414" s="2" t="s">
        <v>188</v>
      </c>
      <c r="K414" t="s">
        <v>18</v>
      </c>
      <c r="L414" t="str">
        <f>T("9791164835362")</f>
        <v>9791164835362</v>
      </c>
      <c r="M414" t="str">
        <f t="shared" si="15"/>
        <v/>
      </c>
      <c r="N414" t="s">
        <v>189</v>
      </c>
    </row>
    <row r="415" spans="1:14">
      <c r="A415" s="1">
        <v>46057.804097222222</v>
      </c>
      <c r="B415">
        <v>385373222</v>
      </c>
      <c r="C415" s="2" t="s">
        <v>390</v>
      </c>
      <c r="D415" t="s">
        <v>15</v>
      </c>
      <c r="E415" s="4">
        <v>0</v>
      </c>
      <c r="F415" s="2">
        <v>0</v>
      </c>
      <c r="G415" s="2">
        <v>0</v>
      </c>
      <c r="I415" s="2" t="s">
        <v>391</v>
      </c>
      <c r="J415" s="2" t="s">
        <v>65</v>
      </c>
      <c r="K415" t="s">
        <v>18</v>
      </c>
      <c r="L415" t="str">
        <f>T("")</f>
        <v/>
      </c>
      <c r="M415" t="str">
        <f>T("G720:N+A319-20251203027.M001")</f>
        <v>G720:N+A319-20251203027.M001</v>
      </c>
      <c r="N415" t="s">
        <v>392</v>
      </c>
    </row>
    <row r="416" spans="1:14">
      <c r="A416" s="1">
        <v>46057.805381944447</v>
      </c>
      <c r="B416">
        <v>385373317</v>
      </c>
      <c r="C416" s="2" t="s">
        <v>381</v>
      </c>
      <c r="D416" t="s">
        <v>15</v>
      </c>
      <c r="E416" s="4">
        <v>0</v>
      </c>
      <c r="F416" s="2">
        <v>0</v>
      </c>
      <c r="G416" s="2">
        <v>0</v>
      </c>
      <c r="I416" s="2" t="s">
        <v>382</v>
      </c>
      <c r="J416" s="2" t="s">
        <v>290</v>
      </c>
      <c r="K416" t="s">
        <v>18</v>
      </c>
      <c r="L416" t="str">
        <f>T("9791194982159")</f>
        <v>9791194982159</v>
      </c>
      <c r="M416" t="str">
        <f t="shared" ref="M416:M447" si="16">T("")</f>
        <v/>
      </c>
      <c r="N416" t="s">
        <v>383</v>
      </c>
    </row>
    <row r="417" spans="1:14">
      <c r="A417" s="1">
        <v>46057.806331018517</v>
      </c>
      <c r="B417">
        <v>385373286</v>
      </c>
      <c r="C417" s="2" t="s">
        <v>384</v>
      </c>
      <c r="D417" t="s">
        <v>15</v>
      </c>
      <c r="E417" s="4">
        <v>0</v>
      </c>
      <c r="F417" s="2">
        <v>0</v>
      </c>
      <c r="G417" s="2">
        <v>0</v>
      </c>
      <c r="I417" s="2" t="s">
        <v>385</v>
      </c>
      <c r="J417" s="2" t="s">
        <v>290</v>
      </c>
      <c r="K417" t="s">
        <v>18</v>
      </c>
      <c r="L417" t="str">
        <f>T("9791194982302")</f>
        <v>9791194982302</v>
      </c>
      <c r="M417" t="str">
        <f t="shared" si="16"/>
        <v/>
      </c>
      <c r="N417" t="s">
        <v>386</v>
      </c>
    </row>
    <row r="418" spans="1:14">
      <c r="A418" s="1">
        <v>46057.807650462964</v>
      </c>
      <c r="B418">
        <v>385348455</v>
      </c>
      <c r="C418" s="2" t="s">
        <v>255</v>
      </c>
      <c r="D418" t="s">
        <v>68</v>
      </c>
      <c r="E418" s="5">
        <v>12600</v>
      </c>
      <c r="F418" s="3">
        <v>12600</v>
      </c>
      <c r="G418" s="3">
        <v>8820</v>
      </c>
      <c r="I418" s="2" t="s">
        <v>187</v>
      </c>
      <c r="J418" s="2" t="s">
        <v>188</v>
      </c>
      <c r="K418" t="s">
        <v>18</v>
      </c>
      <c r="L418" t="str">
        <f>T("9791164835379")</f>
        <v>9791164835379</v>
      </c>
      <c r="M418" t="str">
        <f t="shared" si="16"/>
        <v/>
      </c>
    </row>
    <row r="419" spans="1:14">
      <c r="A419" s="1">
        <v>46057.820127314815</v>
      </c>
      <c r="B419">
        <v>339215089</v>
      </c>
      <c r="C419" s="2" t="s">
        <v>651</v>
      </c>
      <c r="D419" t="s">
        <v>15</v>
      </c>
      <c r="E419" s="5">
        <v>1800</v>
      </c>
      <c r="F419" s="3">
        <v>1800</v>
      </c>
      <c r="G419" s="3">
        <v>1260</v>
      </c>
      <c r="I419" s="2" t="s">
        <v>652</v>
      </c>
      <c r="J419" s="2" t="s">
        <v>188</v>
      </c>
      <c r="K419" t="s">
        <v>18</v>
      </c>
      <c r="L419" t="str">
        <f>T("9791164834471")</f>
        <v>9791164834471</v>
      </c>
      <c r="M419" t="str">
        <f t="shared" si="16"/>
        <v/>
      </c>
      <c r="N419" t="s">
        <v>653</v>
      </c>
    </row>
    <row r="420" spans="1:14">
      <c r="A420" s="1">
        <v>46057.828217592592</v>
      </c>
      <c r="B420">
        <v>385347715</v>
      </c>
      <c r="C420" s="2" t="s">
        <v>186</v>
      </c>
      <c r="D420" t="s">
        <v>15</v>
      </c>
      <c r="E420" s="5">
        <v>2000</v>
      </c>
      <c r="F420" s="3">
        <v>1800</v>
      </c>
      <c r="G420" s="3">
        <v>1260</v>
      </c>
      <c r="I420" s="2" t="s">
        <v>187</v>
      </c>
      <c r="J420" s="2" t="s">
        <v>188</v>
      </c>
      <c r="K420" t="s">
        <v>18</v>
      </c>
      <c r="L420" t="str">
        <f>T("9791164835362")</f>
        <v>9791164835362</v>
      </c>
      <c r="M420" t="str">
        <f t="shared" si="16"/>
        <v/>
      </c>
      <c r="N420" t="s">
        <v>189</v>
      </c>
    </row>
    <row r="421" spans="1:14">
      <c r="A421" s="1">
        <v>46057.833032407405</v>
      </c>
      <c r="B421">
        <v>303466891</v>
      </c>
      <c r="C421" s="2" t="s">
        <v>654</v>
      </c>
      <c r="D421" t="s">
        <v>15</v>
      </c>
      <c r="E421" s="5">
        <v>3000</v>
      </c>
      <c r="F421" s="3">
        <v>2700</v>
      </c>
      <c r="G421" s="3">
        <v>1890</v>
      </c>
      <c r="I421" s="2" t="s">
        <v>187</v>
      </c>
      <c r="J421" s="2" t="s">
        <v>188</v>
      </c>
      <c r="K421" t="s">
        <v>18</v>
      </c>
      <c r="L421" t="str">
        <f>T("9791164833566")</f>
        <v>9791164833566</v>
      </c>
      <c r="M421" t="str">
        <f t="shared" si="16"/>
        <v/>
      </c>
      <c r="N421" t="s">
        <v>655</v>
      </c>
    </row>
    <row r="422" spans="1:14">
      <c r="A422" s="1">
        <v>46057.843761574077</v>
      </c>
      <c r="B422">
        <v>385193750</v>
      </c>
      <c r="C422" s="2" t="s">
        <v>311</v>
      </c>
      <c r="D422" t="s">
        <v>15</v>
      </c>
      <c r="E422" s="5">
        <v>1000</v>
      </c>
      <c r="F422" s="3">
        <v>1000</v>
      </c>
      <c r="G422" s="2">
        <v>700</v>
      </c>
      <c r="I422" s="2" t="s">
        <v>312</v>
      </c>
      <c r="J422" s="2" t="s">
        <v>21</v>
      </c>
      <c r="K422" t="s">
        <v>18</v>
      </c>
      <c r="L422" t="str">
        <f>T("9791175582484")</f>
        <v>9791175582484</v>
      </c>
      <c r="M422" t="str">
        <f t="shared" si="16"/>
        <v/>
      </c>
      <c r="N422" t="s">
        <v>313</v>
      </c>
    </row>
    <row r="423" spans="1:14">
      <c r="A423" s="1">
        <v>46057.848877314813</v>
      </c>
      <c r="B423">
        <v>385347792</v>
      </c>
      <c r="C423" s="2" t="s">
        <v>306</v>
      </c>
      <c r="D423" t="s">
        <v>15</v>
      </c>
      <c r="E423" s="5">
        <v>1000</v>
      </c>
      <c r="F423" s="2">
        <v>900</v>
      </c>
      <c r="G423" s="2">
        <v>630</v>
      </c>
      <c r="I423" s="2" t="s">
        <v>307</v>
      </c>
      <c r="J423" s="2" t="s">
        <v>308</v>
      </c>
      <c r="K423" t="s">
        <v>18</v>
      </c>
      <c r="L423" t="str">
        <f>T("9791194982753")</f>
        <v>9791194982753</v>
      </c>
      <c r="M423" t="str">
        <f t="shared" si="16"/>
        <v/>
      </c>
      <c r="N423" t="s">
        <v>309</v>
      </c>
    </row>
    <row r="424" spans="1:14">
      <c r="A424" s="1">
        <v>46057.851354166669</v>
      </c>
      <c r="B424">
        <v>369430276</v>
      </c>
      <c r="C424" s="2" t="s">
        <v>656</v>
      </c>
      <c r="D424" t="s">
        <v>15</v>
      </c>
      <c r="E424" s="5">
        <v>2000</v>
      </c>
      <c r="F424" s="3">
        <v>2000</v>
      </c>
      <c r="G424" s="3">
        <v>1400</v>
      </c>
      <c r="I424" s="2" t="s">
        <v>657</v>
      </c>
      <c r="J424" s="2" t="s">
        <v>21</v>
      </c>
      <c r="K424" t="s">
        <v>18</v>
      </c>
      <c r="L424" t="str">
        <f>T("9791173017926")</f>
        <v>9791173017926</v>
      </c>
      <c r="M424" t="str">
        <f t="shared" si="16"/>
        <v/>
      </c>
    </row>
    <row r="425" spans="1:14">
      <c r="A425" s="1">
        <v>46057.851354166669</v>
      </c>
      <c r="B425">
        <v>374549997</v>
      </c>
      <c r="C425" s="2" t="s">
        <v>658</v>
      </c>
      <c r="D425" t="s">
        <v>15</v>
      </c>
      <c r="E425" s="5">
        <v>1000</v>
      </c>
      <c r="F425" s="3">
        <v>1000</v>
      </c>
      <c r="G425" s="2">
        <v>700</v>
      </c>
      <c r="I425" s="2" t="s">
        <v>659</v>
      </c>
      <c r="J425" s="2" t="s">
        <v>21</v>
      </c>
      <c r="K425" t="s">
        <v>18</v>
      </c>
      <c r="L425" t="str">
        <f>T("9791173019715")</f>
        <v>9791173019715</v>
      </c>
      <c r="M425" t="str">
        <f t="shared" si="16"/>
        <v/>
      </c>
      <c r="N425" t="s">
        <v>660</v>
      </c>
    </row>
    <row r="426" spans="1:14">
      <c r="A426" s="1">
        <v>46057.851354166669</v>
      </c>
      <c r="B426">
        <v>372706789</v>
      </c>
      <c r="C426" s="2" t="s">
        <v>661</v>
      </c>
      <c r="D426" t="s">
        <v>15</v>
      </c>
      <c r="E426" s="5">
        <v>1000</v>
      </c>
      <c r="F426" s="3">
        <v>1000</v>
      </c>
      <c r="G426" s="2">
        <v>700</v>
      </c>
      <c r="I426" s="2" t="s">
        <v>659</v>
      </c>
      <c r="J426" s="2" t="s">
        <v>21</v>
      </c>
      <c r="K426" t="s">
        <v>18</v>
      </c>
      <c r="L426" t="str">
        <f>T("9791173018329")</f>
        <v>9791173018329</v>
      </c>
      <c r="M426" t="str">
        <f t="shared" si="16"/>
        <v/>
      </c>
      <c r="N426" t="s">
        <v>662</v>
      </c>
    </row>
    <row r="427" spans="1:14">
      <c r="A427" s="1">
        <v>46057.851354166669</v>
      </c>
      <c r="B427">
        <v>377161987</v>
      </c>
      <c r="C427" s="2" t="s">
        <v>663</v>
      </c>
      <c r="D427" t="s">
        <v>15</v>
      </c>
      <c r="E427" s="5">
        <v>1000</v>
      </c>
      <c r="F427" s="3">
        <v>1000</v>
      </c>
      <c r="G427" s="2">
        <v>700</v>
      </c>
      <c r="I427" s="2" t="s">
        <v>659</v>
      </c>
      <c r="J427" s="2" t="s">
        <v>21</v>
      </c>
      <c r="K427" t="s">
        <v>18</v>
      </c>
      <c r="L427" t="str">
        <f>T("9791175581265")</f>
        <v>9791175581265</v>
      </c>
      <c r="M427" t="str">
        <f t="shared" si="16"/>
        <v/>
      </c>
      <c r="N427" t="s">
        <v>664</v>
      </c>
    </row>
    <row r="428" spans="1:14">
      <c r="A428" s="1">
        <v>46057.853090277778</v>
      </c>
      <c r="B428">
        <v>385347792</v>
      </c>
      <c r="C428" s="2" t="s">
        <v>306</v>
      </c>
      <c r="D428" t="s">
        <v>15</v>
      </c>
      <c r="E428" s="5">
        <v>1000</v>
      </c>
      <c r="F428" s="2">
        <v>900</v>
      </c>
      <c r="G428" s="2">
        <v>630</v>
      </c>
      <c r="I428" s="2" t="s">
        <v>307</v>
      </c>
      <c r="J428" s="2" t="s">
        <v>308</v>
      </c>
      <c r="K428" t="s">
        <v>18</v>
      </c>
      <c r="L428" t="str">
        <f>T("9791194982753")</f>
        <v>9791194982753</v>
      </c>
      <c r="M428" t="str">
        <f t="shared" si="16"/>
        <v/>
      </c>
      <c r="N428" t="s">
        <v>309</v>
      </c>
    </row>
    <row r="429" spans="1:14">
      <c r="A429" s="1">
        <v>46057.854699074072</v>
      </c>
      <c r="B429">
        <v>385347792</v>
      </c>
      <c r="C429" s="2" t="s">
        <v>306</v>
      </c>
      <c r="D429" t="s">
        <v>15</v>
      </c>
      <c r="E429" s="5">
        <v>1000</v>
      </c>
      <c r="F429" s="2">
        <v>900</v>
      </c>
      <c r="G429" s="2">
        <v>630</v>
      </c>
      <c r="I429" s="2" t="s">
        <v>307</v>
      </c>
      <c r="J429" s="2" t="s">
        <v>308</v>
      </c>
      <c r="K429" t="s">
        <v>18</v>
      </c>
      <c r="L429" t="str">
        <f>T("9791194982753")</f>
        <v>9791194982753</v>
      </c>
      <c r="M429" t="str">
        <f t="shared" si="16"/>
        <v/>
      </c>
      <c r="N429" t="s">
        <v>309</v>
      </c>
    </row>
    <row r="430" spans="1:14">
      <c r="A430" s="1">
        <v>46057.856041666666</v>
      </c>
      <c r="B430">
        <v>385347792</v>
      </c>
      <c r="C430" s="2" t="s">
        <v>306</v>
      </c>
      <c r="D430" t="s">
        <v>15</v>
      </c>
      <c r="E430" s="5">
        <v>1000</v>
      </c>
      <c r="F430" s="2">
        <v>900</v>
      </c>
      <c r="G430" s="2">
        <v>630</v>
      </c>
      <c r="I430" s="2" t="s">
        <v>307</v>
      </c>
      <c r="J430" s="2" t="s">
        <v>308</v>
      </c>
      <c r="K430" t="s">
        <v>18</v>
      </c>
      <c r="L430" t="str">
        <f>T("9791194982753")</f>
        <v>9791194982753</v>
      </c>
      <c r="M430" t="str">
        <f t="shared" si="16"/>
        <v/>
      </c>
      <c r="N430" t="s">
        <v>309</v>
      </c>
    </row>
    <row r="431" spans="1:14">
      <c r="A431" s="1">
        <v>46057.860914351855</v>
      </c>
      <c r="B431">
        <v>385347797</v>
      </c>
      <c r="C431" s="2" t="s">
        <v>195</v>
      </c>
      <c r="D431" t="s">
        <v>15</v>
      </c>
      <c r="E431" s="4">
        <v>700</v>
      </c>
      <c r="F431" s="2">
        <v>630</v>
      </c>
      <c r="G431" s="2">
        <v>441</v>
      </c>
      <c r="I431" s="2" t="s">
        <v>196</v>
      </c>
      <c r="J431" s="2" t="s">
        <v>197</v>
      </c>
      <c r="K431" t="s">
        <v>18</v>
      </c>
      <c r="L431" t="str">
        <f>T("9791172821937")</f>
        <v>9791172821937</v>
      </c>
      <c r="M431" t="str">
        <f t="shared" si="16"/>
        <v/>
      </c>
      <c r="N431" t="s">
        <v>198</v>
      </c>
    </row>
    <row r="432" spans="1:14">
      <c r="A432" s="1">
        <v>46057.866956018515</v>
      </c>
      <c r="B432">
        <v>383435421</v>
      </c>
      <c r="C432" s="2" t="s">
        <v>27</v>
      </c>
      <c r="D432" t="s">
        <v>15</v>
      </c>
      <c r="E432" s="5">
        <v>1000</v>
      </c>
      <c r="F432" s="3">
        <v>1000</v>
      </c>
      <c r="G432" s="2">
        <v>700</v>
      </c>
      <c r="I432" s="2" t="s">
        <v>28</v>
      </c>
      <c r="J432" s="2" t="s">
        <v>21</v>
      </c>
      <c r="K432" t="s">
        <v>18</v>
      </c>
      <c r="L432" t="str">
        <f>T("9791175582361")</f>
        <v>9791175582361</v>
      </c>
      <c r="M432" t="str">
        <f t="shared" si="16"/>
        <v/>
      </c>
      <c r="N432" t="s">
        <v>29</v>
      </c>
    </row>
    <row r="433" spans="1:14">
      <c r="A433" s="1">
        <v>46057.868425925924</v>
      </c>
      <c r="B433">
        <v>268443410</v>
      </c>
      <c r="C433" s="2" t="s">
        <v>665</v>
      </c>
      <c r="D433" t="s">
        <v>15</v>
      </c>
      <c r="E433" s="5">
        <v>2500</v>
      </c>
      <c r="F433" s="3">
        <v>2500</v>
      </c>
      <c r="G433" s="3">
        <v>1750</v>
      </c>
      <c r="I433" s="2" t="s">
        <v>666</v>
      </c>
      <c r="J433" s="2" t="s">
        <v>21</v>
      </c>
      <c r="K433" t="s">
        <v>18</v>
      </c>
      <c r="L433" t="str">
        <f>T("9791191337228")</f>
        <v>9791191337228</v>
      </c>
      <c r="M433" t="str">
        <f t="shared" si="16"/>
        <v/>
      </c>
    </row>
    <row r="434" spans="1:14">
      <c r="A434" s="1">
        <v>46057.871192129627</v>
      </c>
      <c r="B434">
        <v>385347715</v>
      </c>
      <c r="C434" s="2" t="s">
        <v>186</v>
      </c>
      <c r="D434" t="s">
        <v>15</v>
      </c>
      <c r="E434" s="5">
        <v>2000</v>
      </c>
      <c r="F434" s="3">
        <v>1800</v>
      </c>
      <c r="G434" s="3">
        <v>1260</v>
      </c>
      <c r="I434" s="2" t="s">
        <v>187</v>
      </c>
      <c r="J434" s="2" t="s">
        <v>188</v>
      </c>
      <c r="K434" t="s">
        <v>18</v>
      </c>
      <c r="L434" t="str">
        <f>T("9791164835362")</f>
        <v>9791164835362</v>
      </c>
      <c r="M434" t="str">
        <f t="shared" si="16"/>
        <v/>
      </c>
      <c r="N434" t="s">
        <v>189</v>
      </c>
    </row>
    <row r="435" spans="1:14">
      <c r="A435" s="1">
        <v>46057.873356481483</v>
      </c>
      <c r="B435">
        <v>385347797</v>
      </c>
      <c r="C435" s="2" t="s">
        <v>195</v>
      </c>
      <c r="D435" t="s">
        <v>15</v>
      </c>
      <c r="E435" s="4">
        <v>700</v>
      </c>
      <c r="F435" s="2">
        <v>630</v>
      </c>
      <c r="G435" s="2">
        <v>441</v>
      </c>
      <c r="I435" s="2" t="s">
        <v>196</v>
      </c>
      <c r="J435" s="2" t="s">
        <v>197</v>
      </c>
      <c r="K435" t="s">
        <v>18</v>
      </c>
      <c r="L435" t="str">
        <f>T("9791172821937")</f>
        <v>9791172821937</v>
      </c>
      <c r="M435" t="str">
        <f t="shared" si="16"/>
        <v/>
      </c>
      <c r="N435" t="s">
        <v>198</v>
      </c>
    </row>
    <row r="436" spans="1:14">
      <c r="A436" s="1">
        <v>46057.878310185188</v>
      </c>
      <c r="B436">
        <v>385347715</v>
      </c>
      <c r="C436" s="2" t="s">
        <v>186</v>
      </c>
      <c r="D436" t="s">
        <v>15</v>
      </c>
      <c r="E436" s="5">
        <v>2000</v>
      </c>
      <c r="F436" s="3">
        <v>1800</v>
      </c>
      <c r="G436" s="3">
        <v>1260</v>
      </c>
      <c r="I436" s="2" t="s">
        <v>187</v>
      </c>
      <c r="J436" s="2" t="s">
        <v>188</v>
      </c>
      <c r="K436" t="s">
        <v>18</v>
      </c>
      <c r="L436" t="str">
        <f>T("9791164835362")</f>
        <v>9791164835362</v>
      </c>
      <c r="M436" t="str">
        <f t="shared" si="16"/>
        <v/>
      </c>
      <c r="N436" t="s">
        <v>189</v>
      </c>
    </row>
    <row r="437" spans="1:14">
      <c r="A437" s="1">
        <v>46057.887939814813</v>
      </c>
      <c r="B437">
        <v>383283000</v>
      </c>
      <c r="C437" s="2" t="s">
        <v>40</v>
      </c>
      <c r="D437" t="s">
        <v>15</v>
      </c>
      <c r="E437" s="5">
        <v>1000</v>
      </c>
      <c r="F437" s="3">
        <v>1000</v>
      </c>
      <c r="G437" s="2">
        <v>700</v>
      </c>
      <c r="I437" s="2" t="s">
        <v>41</v>
      </c>
      <c r="J437" s="2" t="s">
        <v>21</v>
      </c>
      <c r="K437" t="s">
        <v>18</v>
      </c>
      <c r="L437" t="str">
        <f>T("9791175582132")</f>
        <v>9791175582132</v>
      </c>
      <c r="M437" t="str">
        <f t="shared" si="16"/>
        <v/>
      </c>
      <c r="N437" t="s">
        <v>42</v>
      </c>
    </row>
    <row r="438" spans="1:14">
      <c r="A438" s="1">
        <v>46057.901296296295</v>
      </c>
      <c r="B438">
        <v>372487137</v>
      </c>
      <c r="C438" s="2" t="s">
        <v>147</v>
      </c>
      <c r="D438" t="s">
        <v>15</v>
      </c>
      <c r="E438" s="5">
        <v>1000</v>
      </c>
      <c r="F438" s="3">
        <v>1000</v>
      </c>
      <c r="G438" s="2">
        <v>700</v>
      </c>
      <c r="I438" s="2" t="s">
        <v>148</v>
      </c>
      <c r="J438" s="2" t="s">
        <v>21</v>
      </c>
      <c r="K438" t="s">
        <v>18</v>
      </c>
      <c r="L438" t="str">
        <f>T("9791173017797")</f>
        <v>9791173017797</v>
      </c>
      <c r="M438" t="str">
        <f t="shared" si="16"/>
        <v/>
      </c>
      <c r="N438" t="s">
        <v>149</v>
      </c>
    </row>
    <row r="439" spans="1:14">
      <c r="A439" s="1">
        <v>46057.90934027778</v>
      </c>
      <c r="B439">
        <v>385347715</v>
      </c>
      <c r="C439" s="2" t="s">
        <v>186</v>
      </c>
      <c r="D439" t="s">
        <v>15</v>
      </c>
      <c r="E439" s="5">
        <v>2000</v>
      </c>
      <c r="F439" s="3">
        <v>1800</v>
      </c>
      <c r="G439" s="3">
        <v>1260</v>
      </c>
      <c r="I439" s="2" t="s">
        <v>187</v>
      </c>
      <c r="J439" s="2" t="s">
        <v>188</v>
      </c>
      <c r="K439" t="s">
        <v>18</v>
      </c>
      <c r="L439" t="str">
        <f>T("9791164835362")</f>
        <v>9791164835362</v>
      </c>
      <c r="M439" t="str">
        <f t="shared" si="16"/>
        <v/>
      </c>
      <c r="N439" t="s">
        <v>189</v>
      </c>
    </row>
    <row r="440" spans="1:14">
      <c r="A440" s="1">
        <v>46057.91170138889</v>
      </c>
      <c r="B440">
        <v>366699561</v>
      </c>
      <c r="C440" s="2" t="s">
        <v>156</v>
      </c>
      <c r="D440" t="s">
        <v>15</v>
      </c>
      <c r="E440" s="5">
        <v>1100</v>
      </c>
      <c r="F440" s="3">
        <v>1100</v>
      </c>
      <c r="G440" s="2">
        <v>770</v>
      </c>
      <c r="I440" s="2" t="s">
        <v>148</v>
      </c>
      <c r="J440" s="2" t="s">
        <v>21</v>
      </c>
      <c r="K440" t="s">
        <v>18</v>
      </c>
      <c r="L440" t="str">
        <f>T("9791173015137")</f>
        <v>9791173015137</v>
      </c>
      <c r="M440" t="str">
        <f t="shared" si="16"/>
        <v/>
      </c>
      <c r="N440" t="s">
        <v>157</v>
      </c>
    </row>
    <row r="441" spans="1:14">
      <c r="A441" s="1">
        <v>46057.913877314815</v>
      </c>
      <c r="B441">
        <v>303466893</v>
      </c>
      <c r="C441" s="2" t="s">
        <v>667</v>
      </c>
      <c r="D441" t="s">
        <v>15</v>
      </c>
      <c r="E441" s="5">
        <v>3000</v>
      </c>
      <c r="F441" s="3">
        <v>2700</v>
      </c>
      <c r="G441" s="3">
        <v>1890</v>
      </c>
      <c r="I441" s="2" t="s">
        <v>187</v>
      </c>
      <c r="J441" s="2" t="s">
        <v>188</v>
      </c>
      <c r="K441" t="s">
        <v>18</v>
      </c>
      <c r="L441" t="str">
        <f>T("9791164833559")</f>
        <v>9791164833559</v>
      </c>
      <c r="M441" t="str">
        <f t="shared" si="16"/>
        <v/>
      </c>
      <c r="N441" t="s">
        <v>668</v>
      </c>
    </row>
    <row r="442" spans="1:14">
      <c r="A442" s="1">
        <v>46057.918495370373</v>
      </c>
      <c r="B442">
        <v>302939569</v>
      </c>
      <c r="C442" s="2" t="s">
        <v>272</v>
      </c>
      <c r="D442" t="s">
        <v>15</v>
      </c>
      <c r="E442" s="5">
        <v>3000</v>
      </c>
      <c r="F442" s="3">
        <v>3000</v>
      </c>
      <c r="G442" s="3">
        <v>2100</v>
      </c>
      <c r="I442" s="2" t="s">
        <v>273</v>
      </c>
      <c r="J442" s="2" t="s">
        <v>21</v>
      </c>
      <c r="K442" t="s">
        <v>18</v>
      </c>
      <c r="L442" t="str">
        <f>T("9791167834577")</f>
        <v>9791167834577</v>
      </c>
      <c r="M442" t="str">
        <f t="shared" si="16"/>
        <v/>
      </c>
    </row>
    <row r="443" spans="1:14">
      <c r="A443" s="1">
        <v>46057.925069444442</v>
      </c>
      <c r="B443">
        <v>385347715</v>
      </c>
      <c r="C443" s="2" t="s">
        <v>186</v>
      </c>
      <c r="D443" t="s">
        <v>15</v>
      </c>
      <c r="E443" s="5">
        <v>2000</v>
      </c>
      <c r="F443" s="3">
        <v>1800</v>
      </c>
      <c r="G443" s="3">
        <v>1260</v>
      </c>
      <c r="I443" s="2" t="s">
        <v>187</v>
      </c>
      <c r="J443" s="2" t="s">
        <v>188</v>
      </c>
      <c r="K443" t="s">
        <v>18</v>
      </c>
      <c r="L443" t="str">
        <f>T("9791164835362")</f>
        <v>9791164835362</v>
      </c>
      <c r="M443" t="str">
        <f t="shared" si="16"/>
        <v/>
      </c>
      <c r="N443" t="s">
        <v>189</v>
      </c>
    </row>
    <row r="444" spans="1:14">
      <c r="A444" s="1">
        <v>46057.932523148149</v>
      </c>
      <c r="B444">
        <v>385347797</v>
      </c>
      <c r="C444" s="2" t="s">
        <v>195</v>
      </c>
      <c r="D444" t="s">
        <v>15</v>
      </c>
      <c r="E444" s="4">
        <v>700</v>
      </c>
      <c r="F444" s="2">
        <v>630</v>
      </c>
      <c r="G444" s="2">
        <v>441</v>
      </c>
      <c r="I444" s="2" t="s">
        <v>196</v>
      </c>
      <c r="J444" s="2" t="s">
        <v>197</v>
      </c>
      <c r="K444" t="s">
        <v>18</v>
      </c>
      <c r="L444" t="str">
        <f>T("9791172821937")</f>
        <v>9791172821937</v>
      </c>
      <c r="M444" t="str">
        <f t="shared" si="16"/>
        <v/>
      </c>
      <c r="N444" t="s">
        <v>198</v>
      </c>
    </row>
    <row r="445" spans="1:14">
      <c r="A445" s="1">
        <v>46057.934189814812</v>
      </c>
      <c r="B445">
        <v>385347715</v>
      </c>
      <c r="C445" s="2" t="s">
        <v>186</v>
      </c>
      <c r="D445" t="s">
        <v>15</v>
      </c>
      <c r="E445" s="5">
        <v>2000</v>
      </c>
      <c r="F445" s="3">
        <v>1800</v>
      </c>
      <c r="G445" s="3">
        <v>1260</v>
      </c>
      <c r="I445" s="2" t="s">
        <v>187</v>
      </c>
      <c r="J445" s="2" t="s">
        <v>188</v>
      </c>
      <c r="K445" t="s">
        <v>18</v>
      </c>
      <c r="L445" t="str">
        <f>T("9791164835362")</f>
        <v>9791164835362</v>
      </c>
      <c r="M445" t="str">
        <f t="shared" si="16"/>
        <v/>
      </c>
      <c r="N445" t="s">
        <v>189</v>
      </c>
    </row>
    <row r="446" spans="1:14">
      <c r="A446" s="1">
        <v>46057.93608796296</v>
      </c>
      <c r="B446">
        <v>379527572</v>
      </c>
      <c r="C446" s="2" t="s">
        <v>669</v>
      </c>
      <c r="D446" t="s">
        <v>15</v>
      </c>
      <c r="E446" s="5">
        <v>1100</v>
      </c>
      <c r="F446" s="3">
        <v>1100</v>
      </c>
      <c r="G446" s="2">
        <v>770</v>
      </c>
      <c r="I446" s="2" t="s">
        <v>211</v>
      </c>
      <c r="J446" s="2" t="s">
        <v>21</v>
      </c>
      <c r="K446" t="s">
        <v>18</v>
      </c>
      <c r="L446" t="str">
        <f>T("9791175580756")</f>
        <v>9791175580756</v>
      </c>
      <c r="M446" t="str">
        <f t="shared" si="16"/>
        <v/>
      </c>
      <c r="N446" t="s">
        <v>670</v>
      </c>
    </row>
    <row r="447" spans="1:14">
      <c r="A447" s="1">
        <v>46057.936319444445</v>
      </c>
      <c r="B447">
        <v>385347715</v>
      </c>
      <c r="C447" s="2" t="s">
        <v>186</v>
      </c>
      <c r="D447" t="s">
        <v>15</v>
      </c>
      <c r="E447" s="5">
        <v>2000</v>
      </c>
      <c r="F447" s="3">
        <v>1800</v>
      </c>
      <c r="G447" s="3">
        <v>1260</v>
      </c>
      <c r="I447" s="2" t="s">
        <v>187</v>
      </c>
      <c r="J447" s="2" t="s">
        <v>188</v>
      </c>
      <c r="K447" t="s">
        <v>18</v>
      </c>
      <c r="L447" t="str">
        <f>T("9791164835362")</f>
        <v>9791164835362</v>
      </c>
      <c r="M447" t="str">
        <f t="shared" si="16"/>
        <v/>
      </c>
      <c r="N447" t="s">
        <v>189</v>
      </c>
    </row>
    <row r="448" spans="1:14">
      <c r="A448" s="1">
        <v>46057.9371875</v>
      </c>
      <c r="B448">
        <v>385348455</v>
      </c>
      <c r="C448" s="2" t="s">
        <v>255</v>
      </c>
      <c r="D448" t="s">
        <v>68</v>
      </c>
      <c r="E448" s="5">
        <v>12600</v>
      </c>
      <c r="F448" s="3">
        <v>12600</v>
      </c>
      <c r="G448" s="3">
        <v>8820</v>
      </c>
      <c r="I448" s="2" t="s">
        <v>187</v>
      </c>
      <c r="J448" s="2" t="s">
        <v>188</v>
      </c>
      <c r="K448" t="s">
        <v>18</v>
      </c>
      <c r="L448" t="str">
        <f>T("9791164835379")</f>
        <v>9791164835379</v>
      </c>
      <c r="M448" t="str">
        <f t="shared" ref="M448:M479" si="17">T("")</f>
        <v/>
      </c>
    </row>
    <row r="449" spans="1:14">
      <c r="A449" s="1">
        <v>46057.940821759257</v>
      </c>
      <c r="B449">
        <v>385347515</v>
      </c>
      <c r="C449" s="2" t="s">
        <v>304</v>
      </c>
      <c r="D449" t="s">
        <v>15</v>
      </c>
      <c r="E449" s="5">
        <v>1300</v>
      </c>
      <c r="F449" s="3">
        <v>1300</v>
      </c>
      <c r="G449" s="2">
        <v>910</v>
      </c>
      <c r="I449" s="2" t="s">
        <v>148</v>
      </c>
      <c r="J449" s="2" t="s">
        <v>21</v>
      </c>
      <c r="K449" t="s">
        <v>18</v>
      </c>
      <c r="L449" t="str">
        <f>T("9791175582521")</f>
        <v>9791175582521</v>
      </c>
      <c r="M449" t="str">
        <f t="shared" si="17"/>
        <v/>
      </c>
      <c r="N449" t="s">
        <v>305</v>
      </c>
    </row>
    <row r="450" spans="1:14">
      <c r="A450" s="1">
        <v>46057.944652777776</v>
      </c>
      <c r="B450">
        <v>371345723</v>
      </c>
      <c r="C450" s="2" t="s">
        <v>525</v>
      </c>
      <c r="D450" t="s">
        <v>15</v>
      </c>
      <c r="E450" s="5">
        <v>3300</v>
      </c>
      <c r="F450" s="3">
        <v>2970</v>
      </c>
      <c r="G450" s="3">
        <v>2079</v>
      </c>
      <c r="I450" s="2" t="s">
        <v>196</v>
      </c>
      <c r="J450" s="2" t="s">
        <v>197</v>
      </c>
      <c r="K450" t="s">
        <v>18</v>
      </c>
      <c r="L450" t="str">
        <f>T("9791172821692")</f>
        <v>9791172821692</v>
      </c>
      <c r="M450" t="str">
        <f t="shared" si="17"/>
        <v/>
      </c>
      <c r="N450" t="s">
        <v>526</v>
      </c>
    </row>
    <row r="451" spans="1:14">
      <c r="A451" s="1">
        <v>46057.94902777778</v>
      </c>
      <c r="B451">
        <v>286200844</v>
      </c>
      <c r="C451" s="2" t="s">
        <v>671</v>
      </c>
      <c r="D451" t="s">
        <v>15</v>
      </c>
      <c r="E451" s="4">
        <v>100</v>
      </c>
      <c r="F451" s="2">
        <v>100</v>
      </c>
      <c r="G451" s="2">
        <v>70</v>
      </c>
      <c r="I451" s="2" t="s">
        <v>64</v>
      </c>
      <c r="J451" s="2" t="s">
        <v>65</v>
      </c>
      <c r="K451" t="s">
        <v>18</v>
      </c>
      <c r="L451" t="str">
        <f t="shared" ref="L451:L460" si="18">T("9791162589724")</f>
        <v>9791162589724</v>
      </c>
      <c r="M451" t="str">
        <f t="shared" si="17"/>
        <v/>
      </c>
      <c r="N451" t="s">
        <v>672</v>
      </c>
    </row>
    <row r="452" spans="1:14">
      <c r="A452" s="1">
        <v>46057.94902777778</v>
      </c>
      <c r="B452">
        <v>286200860</v>
      </c>
      <c r="C452" s="2" t="s">
        <v>673</v>
      </c>
      <c r="D452" t="s">
        <v>15</v>
      </c>
      <c r="E452" s="4">
        <v>100</v>
      </c>
      <c r="F452" s="2">
        <v>100</v>
      </c>
      <c r="G452" s="2">
        <v>70</v>
      </c>
      <c r="I452" s="2" t="s">
        <v>64</v>
      </c>
      <c r="J452" s="2" t="s">
        <v>65</v>
      </c>
      <c r="K452" t="s">
        <v>18</v>
      </c>
      <c r="L452" t="str">
        <f t="shared" si="18"/>
        <v>9791162589724</v>
      </c>
      <c r="M452" t="str">
        <f t="shared" si="17"/>
        <v/>
      </c>
      <c r="N452" t="s">
        <v>674</v>
      </c>
    </row>
    <row r="453" spans="1:14">
      <c r="A453" s="1">
        <v>46057.94902777778</v>
      </c>
      <c r="B453">
        <v>285917695</v>
      </c>
      <c r="C453" s="2" t="s">
        <v>675</v>
      </c>
      <c r="D453" t="s">
        <v>15</v>
      </c>
      <c r="E453" s="4">
        <v>100</v>
      </c>
      <c r="F453" s="2">
        <v>100</v>
      </c>
      <c r="G453" s="2">
        <v>70</v>
      </c>
      <c r="I453" s="2" t="s">
        <v>64</v>
      </c>
      <c r="J453" s="2" t="s">
        <v>65</v>
      </c>
      <c r="K453" t="s">
        <v>18</v>
      </c>
      <c r="L453" t="str">
        <f t="shared" si="18"/>
        <v>9791162589724</v>
      </c>
      <c r="M453" t="str">
        <f t="shared" si="17"/>
        <v/>
      </c>
      <c r="N453" t="s">
        <v>676</v>
      </c>
    </row>
    <row r="454" spans="1:14">
      <c r="A454" s="1">
        <v>46057.94902777778</v>
      </c>
      <c r="B454">
        <v>284227752</v>
      </c>
      <c r="C454" s="2" t="s">
        <v>677</v>
      </c>
      <c r="D454" t="s">
        <v>15</v>
      </c>
      <c r="E454" s="4">
        <v>100</v>
      </c>
      <c r="F454" s="2">
        <v>100</v>
      </c>
      <c r="G454" s="2">
        <v>70</v>
      </c>
      <c r="I454" s="2" t="s">
        <v>64</v>
      </c>
      <c r="J454" s="2" t="s">
        <v>65</v>
      </c>
      <c r="K454" t="s">
        <v>18</v>
      </c>
      <c r="L454" t="str">
        <f t="shared" si="18"/>
        <v>9791162589724</v>
      </c>
      <c r="M454" t="str">
        <f t="shared" si="17"/>
        <v/>
      </c>
      <c r="N454" t="s">
        <v>678</v>
      </c>
    </row>
    <row r="455" spans="1:14">
      <c r="A455" s="1">
        <v>46057.94902777778</v>
      </c>
      <c r="B455">
        <v>283081813</v>
      </c>
      <c r="C455" s="2" t="s">
        <v>679</v>
      </c>
      <c r="D455" t="s">
        <v>15</v>
      </c>
      <c r="E455" s="4">
        <v>100</v>
      </c>
      <c r="F455" s="2">
        <v>100</v>
      </c>
      <c r="G455" s="2">
        <v>70</v>
      </c>
      <c r="I455" s="2" t="s">
        <v>64</v>
      </c>
      <c r="J455" s="2" t="s">
        <v>65</v>
      </c>
      <c r="K455" t="s">
        <v>18</v>
      </c>
      <c r="L455" t="str">
        <f t="shared" si="18"/>
        <v>9791162589724</v>
      </c>
      <c r="M455" t="str">
        <f t="shared" si="17"/>
        <v/>
      </c>
      <c r="N455" t="s">
        <v>680</v>
      </c>
    </row>
    <row r="456" spans="1:14">
      <c r="A456" s="1">
        <v>46057.94902777778</v>
      </c>
      <c r="B456">
        <v>283081835</v>
      </c>
      <c r="C456" s="2" t="s">
        <v>681</v>
      </c>
      <c r="D456" t="s">
        <v>15</v>
      </c>
      <c r="E456" s="4">
        <v>100</v>
      </c>
      <c r="F456" s="2">
        <v>100</v>
      </c>
      <c r="G456" s="2">
        <v>70</v>
      </c>
      <c r="I456" s="2" t="s">
        <v>64</v>
      </c>
      <c r="J456" s="2" t="s">
        <v>65</v>
      </c>
      <c r="K456" t="s">
        <v>18</v>
      </c>
      <c r="L456" t="str">
        <f t="shared" si="18"/>
        <v>9791162589724</v>
      </c>
      <c r="M456" t="str">
        <f t="shared" si="17"/>
        <v/>
      </c>
      <c r="N456" t="s">
        <v>682</v>
      </c>
    </row>
    <row r="457" spans="1:14">
      <c r="A457" s="1">
        <v>46057.94902777778</v>
      </c>
      <c r="B457">
        <v>283081843</v>
      </c>
      <c r="C457" s="2" t="s">
        <v>683</v>
      </c>
      <c r="D457" t="s">
        <v>15</v>
      </c>
      <c r="E457" s="4">
        <v>100</v>
      </c>
      <c r="F457" s="2">
        <v>100</v>
      </c>
      <c r="G457" s="2">
        <v>70</v>
      </c>
      <c r="I457" s="2" t="s">
        <v>64</v>
      </c>
      <c r="J457" s="2" t="s">
        <v>65</v>
      </c>
      <c r="K457" t="s">
        <v>18</v>
      </c>
      <c r="L457" t="str">
        <f t="shared" si="18"/>
        <v>9791162589724</v>
      </c>
      <c r="M457" t="str">
        <f t="shared" si="17"/>
        <v/>
      </c>
      <c r="N457" t="s">
        <v>684</v>
      </c>
    </row>
    <row r="458" spans="1:14">
      <c r="A458" s="1">
        <v>46057.94902777778</v>
      </c>
      <c r="B458">
        <v>283549917</v>
      </c>
      <c r="C458" s="2" t="s">
        <v>685</v>
      </c>
      <c r="D458" t="s">
        <v>15</v>
      </c>
      <c r="E458" s="4">
        <v>100</v>
      </c>
      <c r="F458" s="2">
        <v>100</v>
      </c>
      <c r="G458" s="2">
        <v>70</v>
      </c>
      <c r="I458" s="2" t="s">
        <v>64</v>
      </c>
      <c r="J458" s="2" t="s">
        <v>65</v>
      </c>
      <c r="K458" t="s">
        <v>18</v>
      </c>
      <c r="L458" t="str">
        <f t="shared" si="18"/>
        <v>9791162589724</v>
      </c>
      <c r="M458" t="str">
        <f t="shared" si="17"/>
        <v/>
      </c>
      <c r="N458" t="s">
        <v>686</v>
      </c>
    </row>
    <row r="459" spans="1:14">
      <c r="A459" s="1">
        <v>46057.94902777778</v>
      </c>
      <c r="B459">
        <v>283549920</v>
      </c>
      <c r="C459" s="2" t="s">
        <v>687</v>
      </c>
      <c r="D459" t="s">
        <v>15</v>
      </c>
      <c r="E459" s="4">
        <v>100</v>
      </c>
      <c r="F459" s="2">
        <v>100</v>
      </c>
      <c r="G459" s="2">
        <v>70</v>
      </c>
      <c r="I459" s="2" t="s">
        <v>64</v>
      </c>
      <c r="J459" s="2" t="s">
        <v>65</v>
      </c>
      <c r="K459" t="s">
        <v>18</v>
      </c>
      <c r="L459" t="str">
        <f t="shared" si="18"/>
        <v>9791162589724</v>
      </c>
      <c r="M459" t="str">
        <f t="shared" si="17"/>
        <v/>
      </c>
      <c r="N459" t="s">
        <v>688</v>
      </c>
    </row>
    <row r="460" spans="1:14">
      <c r="A460" s="1">
        <v>46057.94902777778</v>
      </c>
      <c r="B460">
        <v>283549932</v>
      </c>
      <c r="C460" s="2" t="s">
        <v>689</v>
      </c>
      <c r="D460" t="s">
        <v>15</v>
      </c>
      <c r="E460" s="4">
        <v>100</v>
      </c>
      <c r="F460" s="2">
        <v>100</v>
      </c>
      <c r="G460" s="2">
        <v>70</v>
      </c>
      <c r="I460" s="2" t="s">
        <v>64</v>
      </c>
      <c r="J460" s="2" t="s">
        <v>65</v>
      </c>
      <c r="K460" t="s">
        <v>18</v>
      </c>
      <c r="L460" t="str">
        <f t="shared" si="18"/>
        <v>9791162589724</v>
      </c>
      <c r="M460" t="str">
        <f t="shared" si="17"/>
        <v/>
      </c>
      <c r="N460" t="s">
        <v>690</v>
      </c>
    </row>
    <row r="461" spans="1:14">
      <c r="A461" s="1">
        <v>46057.951041666667</v>
      </c>
      <c r="B461">
        <v>188278025</v>
      </c>
      <c r="C461" s="2" t="s">
        <v>691</v>
      </c>
      <c r="D461" t="s">
        <v>15</v>
      </c>
      <c r="E461" s="5">
        <v>2500</v>
      </c>
      <c r="F461" s="3">
        <v>2500</v>
      </c>
      <c r="G461" s="3">
        <v>1750</v>
      </c>
      <c r="I461" s="2" t="s">
        <v>692</v>
      </c>
      <c r="J461" s="2" t="s">
        <v>693</v>
      </c>
      <c r="K461" t="s">
        <v>18</v>
      </c>
      <c r="L461" t="str">
        <f>T("9791163655091")</f>
        <v>9791163655091</v>
      </c>
      <c r="M461" t="str">
        <f t="shared" si="17"/>
        <v/>
      </c>
    </row>
    <row r="462" spans="1:14">
      <c r="A462" s="1">
        <v>46057.960185185184</v>
      </c>
      <c r="B462">
        <v>385347715</v>
      </c>
      <c r="C462" s="2" t="s">
        <v>186</v>
      </c>
      <c r="D462" t="s">
        <v>15</v>
      </c>
      <c r="E462" s="5">
        <v>2000</v>
      </c>
      <c r="F462" s="3">
        <v>1800</v>
      </c>
      <c r="G462" s="3">
        <v>1260</v>
      </c>
      <c r="I462" s="2" t="s">
        <v>187</v>
      </c>
      <c r="J462" s="2" t="s">
        <v>188</v>
      </c>
      <c r="K462" t="s">
        <v>18</v>
      </c>
      <c r="L462" t="str">
        <f>T("9791164835362")</f>
        <v>9791164835362</v>
      </c>
      <c r="M462" t="str">
        <f t="shared" si="17"/>
        <v/>
      </c>
      <c r="N462" t="s">
        <v>189</v>
      </c>
    </row>
    <row r="463" spans="1:14">
      <c r="A463" s="1">
        <v>46057.961215277777</v>
      </c>
      <c r="B463">
        <v>385347715</v>
      </c>
      <c r="C463" s="2" t="s">
        <v>186</v>
      </c>
      <c r="D463" t="s">
        <v>15</v>
      </c>
      <c r="E463" s="5">
        <v>2000</v>
      </c>
      <c r="F463" s="3">
        <v>1800</v>
      </c>
      <c r="G463" s="3">
        <v>1260</v>
      </c>
      <c r="I463" s="2" t="s">
        <v>187</v>
      </c>
      <c r="J463" s="2" t="s">
        <v>188</v>
      </c>
      <c r="K463" t="s">
        <v>18</v>
      </c>
      <c r="L463" t="str">
        <f>T("9791164835362")</f>
        <v>9791164835362</v>
      </c>
      <c r="M463" t="str">
        <f t="shared" si="17"/>
        <v/>
      </c>
      <c r="N463" t="s">
        <v>189</v>
      </c>
    </row>
    <row r="464" spans="1:14">
      <c r="A464" s="1">
        <v>46057.96266203704</v>
      </c>
      <c r="B464">
        <v>371444951</v>
      </c>
      <c r="C464" s="2" t="s">
        <v>694</v>
      </c>
      <c r="D464" t="s">
        <v>15</v>
      </c>
      <c r="E464" s="5">
        <v>1100</v>
      </c>
      <c r="F464" s="3">
        <v>1100</v>
      </c>
      <c r="G464" s="2">
        <v>770</v>
      </c>
      <c r="I464" s="2" t="s">
        <v>487</v>
      </c>
      <c r="J464" s="2" t="s">
        <v>21</v>
      </c>
      <c r="K464" t="s">
        <v>18</v>
      </c>
      <c r="L464" t="str">
        <f>T("9791173017568")</f>
        <v>9791173017568</v>
      </c>
      <c r="M464" t="str">
        <f t="shared" si="17"/>
        <v/>
      </c>
      <c r="N464" t="s">
        <v>695</v>
      </c>
    </row>
    <row r="465" spans="1:14">
      <c r="A465" s="1">
        <v>46057.964687500003</v>
      </c>
      <c r="B465">
        <v>384598651</v>
      </c>
      <c r="C465" s="2" t="s">
        <v>696</v>
      </c>
      <c r="D465" t="s">
        <v>15</v>
      </c>
      <c r="E465" s="5">
        <v>1000</v>
      </c>
      <c r="F465" s="3">
        <v>1000</v>
      </c>
      <c r="G465" s="2">
        <v>700</v>
      </c>
      <c r="I465" s="2" t="s">
        <v>28</v>
      </c>
      <c r="J465" s="2" t="s">
        <v>21</v>
      </c>
      <c r="K465" t="s">
        <v>18</v>
      </c>
      <c r="L465" t="str">
        <f>T("9791175582422")</f>
        <v>9791175582422</v>
      </c>
      <c r="M465" t="str">
        <f t="shared" si="17"/>
        <v/>
      </c>
      <c r="N465" t="s">
        <v>697</v>
      </c>
    </row>
    <row r="466" spans="1:14">
      <c r="A466" s="1">
        <v>46057.969085648147</v>
      </c>
      <c r="B466">
        <v>383254106</v>
      </c>
      <c r="C466" s="2" t="s">
        <v>698</v>
      </c>
      <c r="D466" t="s">
        <v>15</v>
      </c>
      <c r="E466" s="5">
        <v>1700</v>
      </c>
      <c r="F466" s="3">
        <v>1700</v>
      </c>
      <c r="G466" s="3">
        <v>1190</v>
      </c>
      <c r="I466" s="2" t="s">
        <v>593</v>
      </c>
      <c r="J466" s="2" t="s">
        <v>197</v>
      </c>
      <c r="K466" t="s">
        <v>18</v>
      </c>
      <c r="L466" t="str">
        <f>T("9791172822064")</f>
        <v>9791172822064</v>
      </c>
      <c r="M466" t="str">
        <f t="shared" si="17"/>
        <v/>
      </c>
      <c r="N466" t="s">
        <v>699</v>
      </c>
    </row>
    <row r="467" spans="1:14">
      <c r="A467" s="1">
        <v>46057.969085648147</v>
      </c>
      <c r="B467">
        <v>385347797</v>
      </c>
      <c r="C467" s="2" t="s">
        <v>195</v>
      </c>
      <c r="D467" t="s">
        <v>15</v>
      </c>
      <c r="E467" s="4">
        <v>700</v>
      </c>
      <c r="F467" s="2">
        <v>630</v>
      </c>
      <c r="G467" s="2">
        <v>441</v>
      </c>
      <c r="I467" s="2" t="s">
        <v>196</v>
      </c>
      <c r="J467" s="2" t="s">
        <v>197</v>
      </c>
      <c r="K467" t="s">
        <v>18</v>
      </c>
      <c r="L467" t="str">
        <f>T("9791172821937")</f>
        <v>9791172821937</v>
      </c>
      <c r="M467" t="str">
        <f t="shared" si="17"/>
        <v/>
      </c>
      <c r="N467" t="s">
        <v>198</v>
      </c>
    </row>
    <row r="468" spans="1:14">
      <c r="A468" s="1">
        <v>46057.971666666665</v>
      </c>
      <c r="B468">
        <v>379511327</v>
      </c>
      <c r="C468" s="2" t="s">
        <v>262</v>
      </c>
      <c r="D468" t="s">
        <v>15</v>
      </c>
      <c r="E468" s="5">
        <v>3300</v>
      </c>
      <c r="F468" s="3">
        <v>3300</v>
      </c>
      <c r="G468" s="3">
        <v>2310</v>
      </c>
      <c r="I468" s="2" t="s">
        <v>263</v>
      </c>
      <c r="J468" s="2" t="s">
        <v>126</v>
      </c>
      <c r="K468" t="s">
        <v>18</v>
      </c>
      <c r="L468" t="str">
        <f>T("9791171502875")</f>
        <v>9791171502875</v>
      </c>
      <c r="M468" t="str">
        <f t="shared" si="17"/>
        <v/>
      </c>
      <c r="N468" t="s">
        <v>264</v>
      </c>
    </row>
    <row r="469" spans="1:14">
      <c r="A469" s="1">
        <v>46057.972511574073</v>
      </c>
      <c r="B469">
        <v>277935723</v>
      </c>
      <c r="C469" s="2" t="s">
        <v>700</v>
      </c>
      <c r="D469" t="s">
        <v>15</v>
      </c>
      <c r="E469" s="4">
        <v>100</v>
      </c>
      <c r="F469" s="2">
        <v>100</v>
      </c>
      <c r="G469" s="2">
        <v>70</v>
      </c>
      <c r="I469" s="2" t="s">
        <v>64</v>
      </c>
      <c r="J469" s="2" t="s">
        <v>65</v>
      </c>
      <c r="K469" t="s">
        <v>18</v>
      </c>
      <c r="L469" t="str">
        <f>T("9791162589724")</f>
        <v>9791162589724</v>
      </c>
      <c r="M469" t="str">
        <f t="shared" si="17"/>
        <v/>
      </c>
      <c r="N469" t="s">
        <v>701</v>
      </c>
    </row>
    <row r="470" spans="1:14">
      <c r="A470" s="1">
        <v>46057.972511574073</v>
      </c>
      <c r="B470">
        <v>277935717</v>
      </c>
      <c r="C470" s="2" t="s">
        <v>702</v>
      </c>
      <c r="D470" t="s">
        <v>15</v>
      </c>
      <c r="E470" s="4">
        <v>100</v>
      </c>
      <c r="F470" s="2">
        <v>100</v>
      </c>
      <c r="G470" s="2">
        <v>70</v>
      </c>
      <c r="I470" s="2" t="s">
        <v>64</v>
      </c>
      <c r="J470" s="2" t="s">
        <v>65</v>
      </c>
      <c r="K470" t="s">
        <v>18</v>
      </c>
      <c r="L470" t="str">
        <f>T("9791162589724")</f>
        <v>9791162589724</v>
      </c>
      <c r="M470" t="str">
        <f t="shared" si="17"/>
        <v/>
      </c>
      <c r="N470" t="s">
        <v>703</v>
      </c>
    </row>
    <row r="471" spans="1:14">
      <c r="A471" s="1">
        <v>46057.973067129627</v>
      </c>
      <c r="B471">
        <v>385347715</v>
      </c>
      <c r="C471" s="2" t="s">
        <v>186</v>
      </c>
      <c r="D471" t="s">
        <v>15</v>
      </c>
      <c r="E471" s="5">
        <v>2000</v>
      </c>
      <c r="F471" s="3">
        <v>1800</v>
      </c>
      <c r="G471" s="3">
        <v>1260</v>
      </c>
      <c r="I471" s="2" t="s">
        <v>187</v>
      </c>
      <c r="J471" s="2" t="s">
        <v>188</v>
      </c>
      <c r="K471" t="s">
        <v>18</v>
      </c>
      <c r="L471" t="str">
        <f>T("9791164835362")</f>
        <v>9791164835362</v>
      </c>
      <c r="M471" t="str">
        <f t="shared" si="17"/>
        <v/>
      </c>
      <c r="N471" t="s">
        <v>189</v>
      </c>
    </row>
    <row r="472" spans="1:14">
      <c r="A472" s="1">
        <v>46057.973657407405</v>
      </c>
      <c r="B472">
        <v>385347715</v>
      </c>
      <c r="C472" s="2" t="s">
        <v>186</v>
      </c>
      <c r="D472" t="s">
        <v>15</v>
      </c>
      <c r="E472" s="5">
        <v>2000</v>
      </c>
      <c r="F472" s="3">
        <v>1800</v>
      </c>
      <c r="G472" s="3">
        <v>1260</v>
      </c>
      <c r="I472" s="2" t="s">
        <v>187</v>
      </c>
      <c r="J472" s="2" t="s">
        <v>188</v>
      </c>
      <c r="K472" t="s">
        <v>18</v>
      </c>
      <c r="L472" t="str">
        <f>T("9791164835362")</f>
        <v>9791164835362</v>
      </c>
      <c r="M472" t="str">
        <f t="shared" si="17"/>
        <v/>
      </c>
      <c r="N472" t="s">
        <v>189</v>
      </c>
    </row>
    <row r="473" spans="1:14">
      <c r="A473" s="1">
        <v>46057.980347222219</v>
      </c>
      <c r="B473">
        <v>288340711</v>
      </c>
      <c r="C473" s="2" t="s">
        <v>704</v>
      </c>
      <c r="D473" t="s">
        <v>15</v>
      </c>
      <c r="E473" s="4">
        <v>100</v>
      </c>
      <c r="F473" s="2">
        <v>100</v>
      </c>
      <c r="G473" s="2">
        <v>70</v>
      </c>
      <c r="I473" s="2" t="s">
        <v>64</v>
      </c>
      <c r="J473" s="2" t="s">
        <v>65</v>
      </c>
      <c r="K473" t="s">
        <v>18</v>
      </c>
      <c r="L473" t="str">
        <f t="shared" ref="L473:L492" si="19">T("9791162589724")</f>
        <v>9791162589724</v>
      </c>
      <c r="M473" t="str">
        <f t="shared" si="17"/>
        <v/>
      </c>
      <c r="N473" t="s">
        <v>705</v>
      </c>
    </row>
    <row r="474" spans="1:14">
      <c r="A474" s="1">
        <v>46057.980347222219</v>
      </c>
      <c r="B474">
        <v>287747358</v>
      </c>
      <c r="C474" s="2" t="s">
        <v>706</v>
      </c>
      <c r="D474" t="s">
        <v>15</v>
      </c>
      <c r="E474" s="4">
        <v>100</v>
      </c>
      <c r="F474" s="2">
        <v>100</v>
      </c>
      <c r="G474" s="2">
        <v>70</v>
      </c>
      <c r="I474" s="2" t="s">
        <v>64</v>
      </c>
      <c r="J474" s="2" t="s">
        <v>65</v>
      </c>
      <c r="K474" t="s">
        <v>18</v>
      </c>
      <c r="L474" t="str">
        <f t="shared" si="19"/>
        <v>9791162589724</v>
      </c>
      <c r="M474" t="str">
        <f t="shared" si="17"/>
        <v/>
      </c>
      <c r="N474" t="s">
        <v>707</v>
      </c>
    </row>
    <row r="475" spans="1:14">
      <c r="A475" s="1">
        <v>46057.980347222219</v>
      </c>
      <c r="B475">
        <v>290946004</v>
      </c>
      <c r="C475" s="2" t="s">
        <v>708</v>
      </c>
      <c r="D475" t="s">
        <v>15</v>
      </c>
      <c r="E475" s="4">
        <v>100</v>
      </c>
      <c r="F475" s="2">
        <v>100</v>
      </c>
      <c r="G475" s="2">
        <v>70</v>
      </c>
      <c r="I475" s="2" t="s">
        <v>64</v>
      </c>
      <c r="J475" s="2" t="s">
        <v>65</v>
      </c>
      <c r="K475" t="s">
        <v>18</v>
      </c>
      <c r="L475" t="str">
        <f t="shared" si="19"/>
        <v>9791162589724</v>
      </c>
      <c r="M475" t="str">
        <f t="shared" si="17"/>
        <v/>
      </c>
      <c r="N475" t="s">
        <v>709</v>
      </c>
    </row>
    <row r="476" spans="1:14">
      <c r="A476" s="1">
        <v>46057.980347222219</v>
      </c>
      <c r="B476">
        <v>290946005</v>
      </c>
      <c r="C476" s="2" t="s">
        <v>710</v>
      </c>
      <c r="D476" t="s">
        <v>15</v>
      </c>
      <c r="E476" s="4">
        <v>100</v>
      </c>
      <c r="F476" s="2">
        <v>100</v>
      </c>
      <c r="G476" s="2">
        <v>70</v>
      </c>
      <c r="I476" s="2" t="s">
        <v>64</v>
      </c>
      <c r="J476" s="2" t="s">
        <v>65</v>
      </c>
      <c r="K476" t="s">
        <v>18</v>
      </c>
      <c r="L476" t="str">
        <f t="shared" si="19"/>
        <v>9791162589724</v>
      </c>
      <c r="M476" t="str">
        <f t="shared" si="17"/>
        <v/>
      </c>
      <c r="N476" t="s">
        <v>711</v>
      </c>
    </row>
    <row r="477" spans="1:14">
      <c r="A477" s="1">
        <v>46057.980347222219</v>
      </c>
      <c r="B477">
        <v>290946006</v>
      </c>
      <c r="C477" s="2" t="s">
        <v>712</v>
      </c>
      <c r="D477" t="s">
        <v>15</v>
      </c>
      <c r="E477" s="4">
        <v>100</v>
      </c>
      <c r="F477" s="2">
        <v>100</v>
      </c>
      <c r="G477" s="2">
        <v>70</v>
      </c>
      <c r="I477" s="2" t="s">
        <v>64</v>
      </c>
      <c r="J477" s="2" t="s">
        <v>65</v>
      </c>
      <c r="K477" t="s">
        <v>18</v>
      </c>
      <c r="L477" t="str">
        <f t="shared" si="19"/>
        <v>9791162589724</v>
      </c>
      <c r="M477" t="str">
        <f t="shared" si="17"/>
        <v/>
      </c>
      <c r="N477" t="s">
        <v>713</v>
      </c>
    </row>
    <row r="478" spans="1:14">
      <c r="A478" s="1">
        <v>46057.980347222219</v>
      </c>
      <c r="B478">
        <v>292191279</v>
      </c>
      <c r="C478" s="2" t="s">
        <v>714</v>
      </c>
      <c r="D478" t="s">
        <v>15</v>
      </c>
      <c r="E478" s="4">
        <v>100</v>
      </c>
      <c r="F478" s="2">
        <v>100</v>
      </c>
      <c r="G478" s="2">
        <v>70</v>
      </c>
      <c r="I478" s="2" t="s">
        <v>64</v>
      </c>
      <c r="J478" s="2" t="s">
        <v>65</v>
      </c>
      <c r="K478" t="s">
        <v>18</v>
      </c>
      <c r="L478" t="str">
        <f t="shared" si="19"/>
        <v>9791162589724</v>
      </c>
      <c r="M478" t="str">
        <f t="shared" si="17"/>
        <v/>
      </c>
      <c r="N478" t="s">
        <v>715</v>
      </c>
    </row>
    <row r="479" spans="1:14">
      <c r="A479" s="1">
        <v>46057.980347222219</v>
      </c>
      <c r="B479">
        <v>292191280</v>
      </c>
      <c r="C479" s="2" t="s">
        <v>716</v>
      </c>
      <c r="D479" t="s">
        <v>15</v>
      </c>
      <c r="E479" s="4">
        <v>100</v>
      </c>
      <c r="F479" s="2">
        <v>100</v>
      </c>
      <c r="G479" s="2">
        <v>70</v>
      </c>
      <c r="I479" s="2" t="s">
        <v>64</v>
      </c>
      <c r="J479" s="2" t="s">
        <v>65</v>
      </c>
      <c r="K479" t="s">
        <v>18</v>
      </c>
      <c r="L479" t="str">
        <f t="shared" si="19"/>
        <v>9791162589724</v>
      </c>
      <c r="M479" t="str">
        <f t="shared" si="17"/>
        <v/>
      </c>
      <c r="N479" t="s">
        <v>717</v>
      </c>
    </row>
    <row r="480" spans="1:14">
      <c r="A480" s="1">
        <v>46057.980347222219</v>
      </c>
      <c r="B480">
        <v>292191288</v>
      </c>
      <c r="C480" s="2" t="s">
        <v>718</v>
      </c>
      <c r="D480" t="s">
        <v>15</v>
      </c>
      <c r="E480" s="4">
        <v>100</v>
      </c>
      <c r="F480" s="2">
        <v>100</v>
      </c>
      <c r="G480" s="2">
        <v>70</v>
      </c>
      <c r="I480" s="2" t="s">
        <v>64</v>
      </c>
      <c r="J480" s="2" t="s">
        <v>65</v>
      </c>
      <c r="K480" t="s">
        <v>18</v>
      </c>
      <c r="L480" t="str">
        <f t="shared" si="19"/>
        <v>9791162589724</v>
      </c>
      <c r="M480" t="str">
        <f t="shared" ref="M480:M504" si="20">T("")</f>
        <v/>
      </c>
      <c r="N480" t="s">
        <v>719</v>
      </c>
    </row>
    <row r="481" spans="1:14">
      <c r="A481" s="1">
        <v>46057.980347222219</v>
      </c>
      <c r="B481">
        <v>292656761</v>
      </c>
      <c r="C481" s="2" t="s">
        <v>720</v>
      </c>
      <c r="D481" t="s">
        <v>15</v>
      </c>
      <c r="E481" s="4">
        <v>100</v>
      </c>
      <c r="F481" s="2">
        <v>100</v>
      </c>
      <c r="G481" s="2">
        <v>70</v>
      </c>
      <c r="I481" s="2" t="s">
        <v>64</v>
      </c>
      <c r="J481" s="2" t="s">
        <v>65</v>
      </c>
      <c r="K481" t="s">
        <v>18</v>
      </c>
      <c r="L481" t="str">
        <f t="shared" si="19"/>
        <v>9791162589724</v>
      </c>
      <c r="M481" t="str">
        <f t="shared" si="20"/>
        <v/>
      </c>
      <c r="N481" t="s">
        <v>721</v>
      </c>
    </row>
    <row r="482" spans="1:14">
      <c r="A482" s="1">
        <v>46057.980347222219</v>
      </c>
      <c r="B482">
        <v>292656774</v>
      </c>
      <c r="C482" s="2" t="s">
        <v>722</v>
      </c>
      <c r="D482" t="s">
        <v>15</v>
      </c>
      <c r="E482" s="4">
        <v>100</v>
      </c>
      <c r="F482" s="2">
        <v>100</v>
      </c>
      <c r="G482" s="2">
        <v>70</v>
      </c>
      <c r="I482" s="2" t="s">
        <v>64</v>
      </c>
      <c r="J482" s="2" t="s">
        <v>65</v>
      </c>
      <c r="K482" t="s">
        <v>18</v>
      </c>
      <c r="L482" t="str">
        <f t="shared" si="19"/>
        <v>9791162589724</v>
      </c>
      <c r="M482" t="str">
        <f t="shared" si="20"/>
        <v/>
      </c>
      <c r="N482" t="s">
        <v>723</v>
      </c>
    </row>
    <row r="483" spans="1:14">
      <c r="A483" s="1">
        <v>46057.980347222219</v>
      </c>
      <c r="B483">
        <v>290996834</v>
      </c>
      <c r="C483" s="2" t="s">
        <v>724</v>
      </c>
      <c r="D483" t="s">
        <v>15</v>
      </c>
      <c r="E483" s="4">
        <v>100</v>
      </c>
      <c r="F483" s="2">
        <v>100</v>
      </c>
      <c r="G483" s="2">
        <v>70</v>
      </c>
      <c r="I483" s="2" t="s">
        <v>64</v>
      </c>
      <c r="J483" s="2" t="s">
        <v>65</v>
      </c>
      <c r="K483" t="s">
        <v>18</v>
      </c>
      <c r="L483" t="str">
        <f t="shared" si="19"/>
        <v>9791162589724</v>
      </c>
      <c r="M483" t="str">
        <f t="shared" si="20"/>
        <v/>
      </c>
      <c r="N483" t="s">
        <v>725</v>
      </c>
    </row>
    <row r="484" spans="1:14">
      <c r="A484" s="1">
        <v>46057.980347222219</v>
      </c>
      <c r="B484">
        <v>290996837</v>
      </c>
      <c r="C484" s="2" t="s">
        <v>726</v>
      </c>
      <c r="D484" t="s">
        <v>15</v>
      </c>
      <c r="E484" s="4">
        <v>100</v>
      </c>
      <c r="F484" s="2">
        <v>100</v>
      </c>
      <c r="G484" s="2">
        <v>70</v>
      </c>
      <c r="I484" s="2" t="s">
        <v>64</v>
      </c>
      <c r="J484" s="2" t="s">
        <v>65</v>
      </c>
      <c r="K484" t="s">
        <v>18</v>
      </c>
      <c r="L484" t="str">
        <f t="shared" si="19"/>
        <v>9791162589724</v>
      </c>
      <c r="M484" t="str">
        <f t="shared" si="20"/>
        <v/>
      </c>
      <c r="N484" t="s">
        <v>727</v>
      </c>
    </row>
    <row r="485" spans="1:14">
      <c r="A485" s="1">
        <v>46057.980347222219</v>
      </c>
      <c r="B485">
        <v>290946008</v>
      </c>
      <c r="C485" s="2" t="s">
        <v>728</v>
      </c>
      <c r="D485" t="s">
        <v>15</v>
      </c>
      <c r="E485" s="4">
        <v>100</v>
      </c>
      <c r="F485" s="2">
        <v>100</v>
      </c>
      <c r="G485" s="2">
        <v>70</v>
      </c>
      <c r="I485" s="2" t="s">
        <v>64</v>
      </c>
      <c r="J485" s="2" t="s">
        <v>65</v>
      </c>
      <c r="K485" t="s">
        <v>18</v>
      </c>
      <c r="L485" t="str">
        <f t="shared" si="19"/>
        <v>9791162589724</v>
      </c>
      <c r="M485" t="str">
        <f t="shared" si="20"/>
        <v/>
      </c>
      <c r="N485" t="s">
        <v>729</v>
      </c>
    </row>
    <row r="486" spans="1:14">
      <c r="A486" s="1">
        <v>46057.980347222219</v>
      </c>
      <c r="B486">
        <v>290996833</v>
      </c>
      <c r="C486" s="2" t="s">
        <v>730</v>
      </c>
      <c r="D486" t="s">
        <v>15</v>
      </c>
      <c r="E486" s="4">
        <v>100</v>
      </c>
      <c r="F486" s="2">
        <v>100</v>
      </c>
      <c r="G486" s="2">
        <v>70</v>
      </c>
      <c r="I486" s="2" t="s">
        <v>64</v>
      </c>
      <c r="J486" s="2" t="s">
        <v>65</v>
      </c>
      <c r="K486" t="s">
        <v>18</v>
      </c>
      <c r="L486" t="str">
        <f t="shared" si="19"/>
        <v>9791162589724</v>
      </c>
      <c r="M486" t="str">
        <f t="shared" si="20"/>
        <v/>
      </c>
      <c r="N486" t="s">
        <v>731</v>
      </c>
    </row>
    <row r="487" spans="1:14">
      <c r="A487" s="1">
        <v>46057.980347222219</v>
      </c>
      <c r="B487">
        <v>291834042</v>
      </c>
      <c r="C487" s="2" t="s">
        <v>732</v>
      </c>
      <c r="D487" t="s">
        <v>15</v>
      </c>
      <c r="E487" s="4">
        <v>100</v>
      </c>
      <c r="F487" s="2">
        <v>100</v>
      </c>
      <c r="G487" s="2">
        <v>70</v>
      </c>
      <c r="I487" s="2" t="s">
        <v>64</v>
      </c>
      <c r="J487" s="2" t="s">
        <v>65</v>
      </c>
      <c r="K487" t="s">
        <v>18</v>
      </c>
      <c r="L487" t="str">
        <f t="shared" si="19"/>
        <v>9791162589724</v>
      </c>
      <c r="M487" t="str">
        <f t="shared" si="20"/>
        <v/>
      </c>
      <c r="N487" t="s">
        <v>733</v>
      </c>
    </row>
    <row r="488" spans="1:14">
      <c r="A488" s="1">
        <v>46057.980347222219</v>
      </c>
      <c r="B488">
        <v>291834043</v>
      </c>
      <c r="C488" s="2" t="s">
        <v>734</v>
      </c>
      <c r="D488" t="s">
        <v>15</v>
      </c>
      <c r="E488" s="4">
        <v>100</v>
      </c>
      <c r="F488" s="2">
        <v>100</v>
      </c>
      <c r="G488" s="2">
        <v>70</v>
      </c>
      <c r="I488" s="2" t="s">
        <v>64</v>
      </c>
      <c r="J488" s="2" t="s">
        <v>65</v>
      </c>
      <c r="K488" t="s">
        <v>18</v>
      </c>
      <c r="L488" t="str">
        <f t="shared" si="19"/>
        <v>9791162589724</v>
      </c>
      <c r="M488" t="str">
        <f t="shared" si="20"/>
        <v/>
      </c>
      <c r="N488" t="s">
        <v>735</v>
      </c>
    </row>
    <row r="489" spans="1:14">
      <c r="A489" s="1">
        <v>46057.980347222219</v>
      </c>
      <c r="B489">
        <v>291834040</v>
      </c>
      <c r="C489" s="2" t="s">
        <v>736</v>
      </c>
      <c r="D489" t="s">
        <v>15</v>
      </c>
      <c r="E489" s="4">
        <v>100</v>
      </c>
      <c r="F489" s="2">
        <v>100</v>
      </c>
      <c r="G489" s="2">
        <v>70</v>
      </c>
      <c r="I489" s="2" t="s">
        <v>64</v>
      </c>
      <c r="J489" s="2" t="s">
        <v>65</v>
      </c>
      <c r="K489" t="s">
        <v>18</v>
      </c>
      <c r="L489" t="str">
        <f t="shared" si="19"/>
        <v>9791162589724</v>
      </c>
      <c r="M489" t="str">
        <f t="shared" si="20"/>
        <v/>
      </c>
      <c r="N489" t="s">
        <v>737</v>
      </c>
    </row>
    <row r="490" spans="1:14">
      <c r="A490" s="1">
        <v>46057.980347222219</v>
      </c>
      <c r="B490">
        <v>291834041</v>
      </c>
      <c r="C490" s="2" t="s">
        <v>738</v>
      </c>
      <c r="D490" t="s">
        <v>15</v>
      </c>
      <c r="E490" s="4">
        <v>100</v>
      </c>
      <c r="F490" s="2">
        <v>100</v>
      </c>
      <c r="G490" s="2">
        <v>70</v>
      </c>
      <c r="I490" s="2" t="s">
        <v>64</v>
      </c>
      <c r="J490" s="2" t="s">
        <v>65</v>
      </c>
      <c r="K490" t="s">
        <v>18</v>
      </c>
      <c r="L490" t="str">
        <f t="shared" si="19"/>
        <v>9791162589724</v>
      </c>
      <c r="M490" t="str">
        <f t="shared" si="20"/>
        <v/>
      </c>
      <c r="N490" t="s">
        <v>739</v>
      </c>
    </row>
    <row r="491" spans="1:14">
      <c r="A491" s="1">
        <v>46057.980347222219</v>
      </c>
      <c r="B491">
        <v>291834045</v>
      </c>
      <c r="C491" s="2" t="s">
        <v>740</v>
      </c>
      <c r="D491" t="s">
        <v>15</v>
      </c>
      <c r="E491" s="4">
        <v>100</v>
      </c>
      <c r="F491" s="2">
        <v>100</v>
      </c>
      <c r="G491" s="2">
        <v>70</v>
      </c>
      <c r="I491" s="2" t="s">
        <v>64</v>
      </c>
      <c r="J491" s="2" t="s">
        <v>65</v>
      </c>
      <c r="K491" t="s">
        <v>18</v>
      </c>
      <c r="L491" t="str">
        <f t="shared" si="19"/>
        <v>9791162589724</v>
      </c>
      <c r="M491" t="str">
        <f t="shared" si="20"/>
        <v/>
      </c>
      <c r="N491" t="s">
        <v>741</v>
      </c>
    </row>
    <row r="492" spans="1:14">
      <c r="A492" s="1">
        <v>46057.980347222219</v>
      </c>
      <c r="B492">
        <v>291834046</v>
      </c>
      <c r="C492" s="2" t="s">
        <v>742</v>
      </c>
      <c r="D492" t="s">
        <v>15</v>
      </c>
      <c r="E492" s="4">
        <v>100</v>
      </c>
      <c r="F492" s="2">
        <v>100</v>
      </c>
      <c r="G492" s="2">
        <v>70</v>
      </c>
      <c r="I492" s="2" t="s">
        <v>64</v>
      </c>
      <c r="J492" s="2" t="s">
        <v>65</v>
      </c>
      <c r="K492" t="s">
        <v>18</v>
      </c>
      <c r="L492" t="str">
        <f t="shared" si="19"/>
        <v>9791162589724</v>
      </c>
      <c r="M492" t="str">
        <f t="shared" si="20"/>
        <v/>
      </c>
      <c r="N492" t="s">
        <v>743</v>
      </c>
    </row>
    <row r="493" spans="1:14">
      <c r="A493" s="1">
        <v>46057.982789351852</v>
      </c>
      <c r="B493">
        <v>384904213</v>
      </c>
      <c r="C493" s="2" t="s">
        <v>744</v>
      </c>
      <c r="D493" t="s">
        <v>15</v>
      </c>
      <c r="E493" s="5">
        <v>1000</v>
      </c>
      <c r="F493" s="3">
        <v>1000</v>
      </c>
      <c r="G493" s="2">
        <v>700</v>
      </c>
      <c r="I493" s="2" t="s">
        <v>745</v>
      </c>
      <c r="J493" s="2" t="s">
        <v>21</v>
      </c>
      <c r="K493" t="s">
        <v>18</v>
      </c>
      <c r="L493" t="str">
        <f>T("9791175582460")</f>
        <v>9791175582460</v>
      </c>
      <c r="M493" t="str">
        <f t="shared" si="20"/>
        <v/>
      </c>
      <c r="N493" t="s">
        <v>746</v>
      </c>
    </row>
    <row r="494" spans="1:14">
      <c r="A494" s="1">
        <v>46057.98578703704</v>
      </c>
      <c r="B494">
        <v>338183962</v>
      </c>
      <c r="C494" s="2" t="s">
        <v>83</v>
      </c>
      <c r="D494" t="s">
        <v>15</v>
      </c>
      <c r="E494" s="5">
        <v>1000</v>
      </c>
      <c r="F494" s="3">
        <v>1000</v>
      </c>
      <c r="G494" s="2">
        <v>700</v>
      </c>
      <c r="I494" s="2">
        <v>5353</v>
      </c>
      <c r="J494" s="2" t="s">
        <v>21</v>
      </c>
      <c r="K494" t="s">
        <v>18</v>
      </c>
      <c r="L494" t="str">
        <f>T("9791170896319")</f>
        <v>9791170896319</v>
      </c>
      <c r="M494" t="str">
        <f t="shared" si="20"/>
        <v/>
      </c>
      <c r="N494" t="s">
        <v>84</v>
      </c>
    </row>
    <row r="495" spans="1:14">
      <c r="A495" s="1">
        <v>46057.98578703704</v>
      </c>
      <c r="B495">
        <v>338184002</v>
      </c>
      <c r="C495" s="2" t="s">
        <v>81</v>
      </c>
      <c r="D495" t="s">
        <v>15</v>
      </c>
      <c r="E495" s="5">
        <v>1000</v>
      </c>
      <c r="F495" s="3">
        <v>1000</v>
      </c>
      <c r="G495" s="2">
        <v>700</v>
      </c>
      <c r="I495" s="2">
        <v>5353</v>
      </c>
      <c r="J495" s="2" t="s">
        <v>21</v>
      </c>
      <c r="K495" t="s">
        <v>18</v>
      </c>
      <c r="L495" t="str">
        <f>T("9791170896302")</f>
        <v>9791170896302</v>
      </c>
      <c r="M495" t="str">
        <f t="shared" si="20"/>
        <v/>
      </c>
      <c r="N495" t="s">
        <v>82</v>
      </c>
    </row>
    <row r="496" spans="1:14">
      <c r="A496" s="1">
        <v>46057.996145833335</v>
      </c>
      <c r="B496">
        <v>339937600</v>
      </c>
      <c r="C496" s="2" t="s">
        <v>747</v>
      </c>
      <c r="D496" t="s">
        <v>15</v>
      </c>
      <c r="E496" s="5">
        <v>2500</v>
      </c>
      <c r="F496" s="3">
        <v>2500</v>
      </c>
      <c r="G496" s="3">
        <v>1750</v>
      </c>
      <c r="I496" s="2" t="s">
        <v>211</v>
      </c>
      <c r="J496" s="2" t="s">
        <v>21</v>
      </c>
      <c r="K496" t="s">
        <v>18</v>
      </c>
      <c r="L496" t="str">
        <f>T("9791170896487")</f>
        <v>9791170896487</v>
      </c>
      <c r="M496" t="str">
        <f t="shared" si="20"/>
        <v/>
      </c>
      <c r="N496" t="s">
        <v>748</v>
      </c>
    </row>
    <row r="497" spans="1:14">
      <c r="A497" s="1">
        <v>46057.996666666666</v>
      </c>
      <c r="B497">
        <v>379527587</v>
      </c>
      <c r="C497" s="2" t="s">
        <v>193</v>
      </c>
      <c r="D497" t="s">
        <v>15</v>
      </c>
      <c r="E497" s="5">
        <v>1000</v>
      </c>
      <c r="F497" s="3">
        <v>1000</v>
      </c>
      <c r="G497" s="2">
        <v>700</v>
      </c>
      <c r="I497" s="2" t="s">
        <v>148</v>
      </c>
      <c r="J497" s="2" t="s">
        <v>21</v>
      </c>
      <c r="K497" t="s">
        <v>18</v>
      </c>
      <c r="L497" t="str">
        <f>T("9791175580763")</f>
        <v>9791175580763</v>
      </c>
      <c r="M497" t="str">
        <f t="shared" si="20"/>
        <v/>
      </c>
      <c r="N497" t="s">
        <v>194</v>
      </c>
    </row>
    <row r="498" spans="1:14">
      <c r="A498" s="1">
        <v>46057.998738425929</v>
      </c>
      <c r="B498">
        <v>385193750</v>
      </c>
      <c r="C498" s="2" t="s">
        <v>311</v>
      </c>
      <c r="D498" t="s">
        <v>15</v>
      </c>
      <c r="E498" s="5">
        <v>1000</v>
      </c>
      <c r="F498" s="3">
        <v>1000</v>
      </c>
      <c r="G498" s="2">
        <v>700</v>
      </c>
      <c r="I498" s="2" t="s">
        <v>312</v>
      </c>
      <c r="J498" s="2" t="s">
        <v>21</v>
      </c>
      <c r="K498" t="s">
        <v>18</v>
      </c>
      <c r="L498" t="str">
        <f>T("9791175582484")</f>
        <v>9791175582484</v>
      </c>
      <c r="M498" t="str">
        <f t="shared" si="20"/>
        <v/>
      </c>
      <c r="N498" t="s">
        <v>313</v>
      </c>
    </row>
    <row r="499" spans="1:14">
      <c r="A499" s="1">
        <v>46057.999918981484</v>
      </c>
      <c r="B499">
        <v>384623952</v>
      </c>
      <c r="C499" s="2" t="s">
        <v>749</v>
      </c>
      <c r="D499" t="s">
        <v>15</v>
      </c>
      <c r="E499" s="5">
        <v>1000</v>
      </c>
      <c r="F499" s="3">
        <v>1000</v>
      </c>
      <c r="G499" s="2">
        <v>700</v>
      </c>
      <c r="I499" s="2" t="s">
        <v>750</v>
      </c>
      <c r="J499" s="2" t="s">
        <v>21</v>
      </c>
      <c r="K499" t="s">
        <v>18</v>
      </c>
      <c r="L499" t="str">
        <f>T("9791175582491")</f>
        <v>9791175582491</v>
      </c>
      <c r="M499" t="str">
        <f t="shared" si="20"/>
        <v/>
      </c>
      <c r="N499" t="s">
        <v>751</v>
      </c>
    </row>
    <row r="500" spans="1:14">
      <c r="A500" s="1">
        <v>46058.002928240741</v>
      </c>
      <c r="B500">
        <v>350723594</v>
      </c>
      <c r="C500" s="2" t="s">
        <v>752</v>
      </c>
      <c r="D500" t="s">
        <v>15</v>
      </c>
      <c r="E500" s="4">
        <v>0</v>
      </c>
      <c r="F500" s="2">
        <v>0</v>
      </c>
      <c r="G500" s="2">
        <v>0</v>
      </c>
      <c r="I500" s="2" t="s">
        <v>753</v>
      </c>
      <c r="J500" s="2" t="s">
        <v>754</v>
      </c>
      <c r="K500" t="s">
        <v>18</v>
      </c>
      <c r="L500" t="str">
        <f>T("9791172700096")</f>
        <v>9791172700096</v>
      </c>
      <c r="M500" t="str">
        <f t="shared" si="20"/>
        <v/>
      </c>
      <c r="N500" t="s">
        <v>755</v>
      </c>
    </row>
    <row r="501" spans="1:14">
      <c r="A501" s="1">
        <v>46058.007152777776</v>
      </c>
      <c r="B501">
        <v>303466891</v>
      </c>
      <c r="C501" s="2" t="s">
        <v>654</v>
      </c>
      <c r="D501" t="s">
        <v>15</v>
      </c>
      <c r="E501" s="5">
        <v>3000</v>
      </c>
      <c r="F501" s="3">
        <v>2700</v>
      </c>
      <c r="G501" s="3">
        <v>1890</v>
      </c>
      <c r="I501" s="2" t="s">
        <v>187</v>
      </c>
      <c r="J501" s="2" t="s">
        <v>188</v>
      </c>
      <c r="K501" t="s">
        <v>18</v>
      </c>
      <c r="L501" t="str">
        <f>T("9791164833566")</f>
        <v>9791164833566</v>
      </c>
      <c r="M501" t="str">
        <f t="shared" si="20"/>
        <v/>
      </c>
      <c r="N501" t="s">
        <v>655</v>
      </c>
    </row>
    <row r="502" spans="1:14">
      <c r="A502" s="1">
        <v>46058.011608796296</v>
      </c>
      <c r="B502">
        <v>382626185</v>
      </c>
      <c r="C502" s="2" t="s">
        <v>34</v>
      </c>
      <c r="D502" t="s">
        <v>15</v>
      </c>
      <c r="E502" s="5">
        <v>1000</v>
      </c>
      <c r="F502" s="3">
        <v>1000</v>
      </c>
      <c r="G502" s="2">
        <v>700</v>
      </c>
      <c r="I502" s="2" t="s">
        <v>28</v>
      </c>
      <c r="J502" s="2" t="s">
        <v>21</v>
      </c>
      <c r="K502" t="s">
        <v>18</v>
      </c>
      <c r="L502" t="str">
        <f>T("9791175581463")</f>
        <v>9791175581463</v>
      </c>
      <c r="M502" t="str">
        <f t="shared" si="20"/>
        <v/>
      </c>
      <c r="N502" t="s">
        <v>35</v>
      </c>
    </row>
    <row r="503" spans="1:14">
      <c r="A503" s="1">
        <v>46058.011608796296</v>
      </c>
      <c r="B503">
        <v>382628198</v>
      </c>
      <c r="C503" s="2" t="s">
        <v>32</v>
      </c>
      <c r="D503" t="s">
        <v>15</v>
      </c>
      <c r="E503" s="5">
        <v>1000</v>
      </c>
      <c r="F503" s="3">
        <v>1000</v>
      </c>
      <c r="G503" s="2">
        <v>700</v>
      </c>
      <c r="I503" s="2" t="s">
        <v>28</v>
      </c>
      <c r="J503" s="2" t="s">
        <v>21</v>
      </c>
      <c r="K503" t="s">
        <v>18</v>
      </c>
      <c r="L503" t="str">
        <f>T("9791175581470")</f>
        <v>9791175581470</v>
      </c>
      <c r="M503" t="str">
        <f t="shared" si="20"/>
        <v/>
      </c>
      <c r="N503" t="s">
        <v>33</v>
      </c>
    </row>
    <row r="504" spans="1:14">
      <c r="A504" s="1">
        <v>46058.013182870367</v>
      </c>
      <c r="B504">
        <v>384598651</v>
      </c>
      <c r="C504" s="2" t="s">
        <v>696</v>
      </c>
      <c r="D504" t="s">
        <v>15</v>
      </c>
      <c r="E504" s="5">
        <v>1000</v>
      </c>
      <c r="F504" s="3">
        <v>1000</v>
      </c>
      <c r="G504" s="2">
        <v>700</v>
      </c>
      <c r="I504" s="2" t="s">
        <v>28</v>
      </c>
      <c r="J504" s="2" t="s">
        <v>21</v>
      </c>
      <c r="K504" t="s">
        <v>18</v>
      </c>
      <c r="L504" t="str">
        <f>T("9791175582422")</f>
        <v>9791175582422</v>
      </c>
      <c r="M504" t="str">
        <f t="shared" si="20"/>
        <v/>
      </c>
      <c r="N504" t="s">
        <v>697</v>
      </c>
    </row>
    <row r="505" spans="1:14">
      <c r="A505" s="1">
        <v>46058.028807870367</v>
      </c>
      <c r="B505">
        <v>385408887</v>
      </c>
      <c r="C505" s="2" t="s">
        <v>756</v>
      </c>
      <c r="D505" t="s">
        <v>15</v>
      </c>
      <c r="E505" s="4">
        <v>300</v>
      </c>
      <c r="F505" s="2">
        <v>300</v>
      </c>
      <c r="G505" s="2">
        <v>210</v>
      </c>
      <c r="I505" s="2" t="s">
        <v>211</v>
      </c>
      <c r="J505" s="2" t="s">
        <v>21</v>
      </c>
      <c r="K505" t="s">
        <v>18</v>
      </c>
      <c r="L505" t="str">
        <f>T("")</f>
        <v/>
      </c>
      <c r="M505" t="str">
        <f>T("G720:N+A311-20251217050.M006")</f>
        <v>G720:N+A311-20251217050.M006</v>
      </c>
      <c r="N505" t="s">
        <v>757</v>
      </c>
    </row>
    <row r="506" spans="1:14">
      <c r="A506" s="1">
        <v>46058.039988425924</v>
      </c>
      <c r="B506">
        <v>303466892</v>
      </c>
      <c r="C506" s="2" t="s">
        <v>758</v>
      </c>
      <c r="D506" t="s">
        <v>15</v>
      </c>
      <c r="E506" s="5">
        <v>3000</v>
      </c>
      <c r="F506" s="3">
        <v>2700</v>
      </c>
      <c r="G506" s="3">
        <v>1890</v>
      </c>
      <c r="I506" s="2" t="s">
        <v>187</v>
      </c>
      <c r="J506" s="2" t="s">
        <v>188</v>
      </c>
      <c r="K506" t="s">
        <v>18</v>
      </c>
      <c r="L506" t="str">
        <f>T("9791164833573")</f>
        <v>9791164833573</v>
      </c>
      <c r="M506" t="str">
        <f t="shared" ref="M506:M551" si="21">T("")</f>
        <v/>
      </c>
      <c r="N506" t="s">
        <v>759</v>
      </c>
    </row>
    <row r="507" spans="1:14">
      <c r="A507" s="1">
        <v>46058.043287037035</v>
      </c>
      <c r="B507">
        <v>323836748</v>
      </c>
      <c r="C507" s="2" t="s">
        <v>760</v>
      </c>
      <c r="D507" t="s">
        <v>15</v>
      </c>
      <c r="E507" s="5">
        <v>3000</v>
      </c>
      <c r="F507" s="3">
        <v>3000</v>
      </c>
      <c r="G507" s="3">
        <v>2100</v>
      </c>
      <c r="I507" s="2" t="s">
        <v>521</v>
      </c>
      <c r="J507" s="2" t="s">
        <v>21</v>
      </c>
      <c r="K507" t="s">
        <v>18</v>
      </c>
      <c r="L507" t="str">
        <f>T("9791170890225")</f>
        <v>9791170890225</v>
      </c>
      <c r="M507" t="str">
        <f t="shared" si="21"/>
        <v/>
      </c>
      <c r="N507" t="s">
        <v>761</v>
      </c>
    </row>
    <row r="508" spans="1:14">
      <c r="A508" s="1">
        <v>46058.063344907408</v>
      </c>
      <c r="B508">
        <v>342535721</v>
      </c>
      <c r="C508" s="2" t="s">
        <v>762</v>
      </c>
      <c r="D508" t="s">
        <v>15</v>
      </c>
      <c r="E508" s="5">
        <v>1000</v>
      </c>
      <c r="F508" s="3">
        <v>1000</v>
      </c>
      <c r="G508" s="2">
        <v>700</v>
      </c>
      <c r="I508" s="2" t="s">
        <v>763</v>
      </c>
      <c r="J508" s="2" t="s">
        <v>21</v>
      </c>
      <c r="K508" t="s">
        <v>18</v>
      </c>
      <c r="L508" t="str">
        <f>T("9791170898900")</f>
        <v>9791170898900</v>
      </c>
      <c r="M508" t="str">
        <f t="shared" si="21"/>
        <v/>
      </c>
      <c r="N508" t="s">
        <v>764</v>
      </c>
    </row>
    <row r="509" spans="1:14">
      <c r="A509" s="1">
        <v>46058.065787037034</v>
      </c>
      <c r="B509">
        <v>323836574</v>
      </c>
      <c r="C509" s="2" t="s">
        <v>765</v>
      </c>
      <c r="D509" t="s">
        <v>15</v>
      </c>
      <c r="E509" s="5">
        <v>3000</v>
      </c>
      <c r="F509" s="3">
        <v>3000</v>
      </c>
      <c r="G509" s="3">
        <v>2100</v>
      </c>
      <c r="I509" s="2" t="s">
        <v>521</v>
      </c>
      <c r="J509" s="2" t="s">
        <v>21</v>
      </c>
      <c r="K509" t="s">
        <v>18</v>
      </c>
      <c r="L509" t="str">
        <f>T("9791170890232")</f>
        <v>9791170890232</v>
      </c>
      <c r="M509" t="str">
        <f t="shared" si="21"/>
        <v/>
      </c>
      <c r="N509" t="s">
        <v>766</v>
      </c>
    </row>
    <row r="510" spans="1:14">
      <c r="A510" s="1">
        <v>46058.094270833331</v>
      </c>
      <c r="B510">
        <v>384954618</v>
      </c>
      <c r="C510" s="2" t="s">
        <v>76</v>
      </c>
      <c r="D510" t="s">
        <v>15</v>
      </c>
      <c r="E510" s="5">
        <v>1000</v>
      </c>
      <c r="F510" s="3">
        <v>1000</v>
      </c>
      <c r="G510" s="2">
        <v>700</v>
      </c>
      <c r="I510" s="2" t="s">
        <v>77</v>
      </c>
      <c r="J510" s="2" t="s">
        <v>21</v>
      </c>
      <c r="K510" t="s">
        <v>18</v>
      </c>
      <c r="L510" t="str">
        <f>T("9791175582477")</f>
        <v>9791175582477</v>
      </c>
      <c r="M510" t="str">
        <f t="shared" si="21"/>
        <v/>
      </c>
      <c r="N510" t="s">
        <v>78</v>
      </c>
    </row>
    <row r="511" spans="1:14">
      <c r="A511" s="1">
        <v>46058.101782407408</v>
      </c>
      <c r="B511">
        <v>384954618</v>
      </c>
      <c r="C511" s="2" t="s">
        <v>76</v>
      </c>
      <c r="D511" t="s">
        <v>15</v>
      </c>
      <c r="E511" s="5">
        <v>-1000</v>
      </c>
      <c r="F511" s="3">
        <v>-1000</v>
      </c>
      <c r="G511" s="2">
        <v>-700</v>
      </c>
      <c r="H511" s="1">
        <v>46058.094270833331</v>
      </c>
      <c r="I511" s="2" t="s">
        <v>77</v>
      </c>
      <c r="J511" s="2" t="s">
        <v>21</v>
      </c>
      <c r="K511" t="s">
        <v>18</v>
      </c>
      <c r="L511" t="str">
        <f>T("9791175582477")</f>
        <v>9791175582477</v>
      </c>
      <c r="M511" t="str">
        <f t="shared" si="21"/>
        <v/>
      </c>
      <c r="N511" t="s">
        <v>78</v>
      </c>
    </row>
    <row r="512" spans="1:14">
      <c r="A512" s="1">
        <v>46058.101782407408</v>
      </c>
      <c r="B512">
        <v>385347515</v>
      </c>
      <c r="C512" s="2" t="s">
        <v>304</v>
      </c>
      <c r="D512" t="s">
        <v>15</v>
      </c>
      <c r="E512" s="5">
        <v>-1300</v>
      </c>
      <c r="F512" s="3">
        <v>-1300</v>
      </c>
      <c r="G512" s="2">
        <v>-910</v>
      </c>
      <c r="H512" s="1">
        <v>46058.094270833331</v>
      </c>
      <c r="I512" s="2" t="s">
        <v>148</v>
      </c>
      <c r="J512" s="2" t="s">
        <v>21</v>
      </c>
      <c r="K512" t="s">
        <v>18</v>
      </c>
      <c r="L512" t="str">
        <f>T("9791175582521")</f>
        <v>9791175582521</v>
      </c>
      <c r="M512" t="str">
        <f t="shared" si="21"/>
        <v/>
      </c>
      <c r="N512" t="s">
        <v>305</v>
      </c>
    </row>
    <row r="513" spans="1:14">
      <c r="A513" s="1">
        <v>46058.094270833331</v>
      </c>
      <c r="B513">
        <v>385347515</v>
      </c>
      <c r="C513" s="2" t="s">
        <v>304</v>
      </c>
      <c r="D513" t="s">
        <v>15</v>
      </c>
      <c r="E513" s="5">
        <v>1300</v>
      </c>
      <c r="F513" s="3">
        <v>1300</v>
      </c>
      <c r="G513" s="2">
        <v>910</v>
      </c>
      <c r="I513" s="2" t="s">
        <v>148</v>
      </c>
      <c r="J513" s="2" t="s">
        <v>21</v>
      </c>
      <c r="K513" t="s">
        <v>18</v>
      </c>
      <c r="L513" t="str">
        <f>T("9791175582521")</f>
        <v>9791175582521</v>
      </c>
      <c r="M513" t="str">
        <f t="shared" si="21"/>
        <v/>
      </c>
      <c r="N513" t="s">
        <v>305</v>
      </c>
    </row>
    <row r="514" spans="1:14">
      <c r="A514" s="1">
        <v>46058.234710648147</v>
      </c>
      <c r="B514">
        <v>271275603</v>
      </c>
      <c r="C514" s="2" t="s">
        <v>767</v>
      </c>
      <c r="D514" t="s">
        <v>15</v>
      </c>
      <c r="E514" s="5">
        <v>3000</v>
      </c>
      <c r="F514" s="3">
        <v>3000</v>
      </c>
      <c r="G514" s="3">
        <v>2100</v>
      </c>
      <c r="I514" s="2" t="s">
        <v>540</v>
      </c>
      <c r="J514" s="2" t="s">
        <v>197</v>
      </c>
      <c r="K514" t="s">
        <v>18</v>
      </c>
      <c r="L514" t="str">
        <f>T("9791164094295")</f>
        <v>9791164094295</v>
      </c>
      <c r="M514" t="str">
        <f t="shared" si="21"/>
        <v/>
      </c>
      <c r="N514" t="s">
        <v>768</v>
      </c>
    </row>
    <row r="515" spans="1:14">
      <c r="A515" s="1">
        <v>46058.347650462965</v>
      </c>
      <c r="B515">
        <v>303466893</v>
      </c>
      <c r="C515" s="2" t="s">
        <v>667</v>
      </c>
      <c r="D515" t="s">
        <v>15</v>
      </c>
      <c r="E515" s="5">
        <v>3000</v>
      </c>
      <c r="F515" s="3">
        <v>2700</v>
      </c>
      <c r="G515" s="3">
        <v>1890</v>
      </c>
      <c r="I515" s="2" t="s">
        <v>187</v>
      </c>
      <c r="J515" s="2" t="s">
        <v>188</v>
      </c>
      <c r="K515" t="s">
        <v>18</v>
      </c>
      <c r="L515" t="str">
        <f>T("9791164833559")</f>
        <v>9791164833559</v>
      </c>
      <c r="M515" t="str">
        <f t="shared" si="21"/>
        <v/>
      </c>
      <c r="N515" t="s">
        <v>668</v>
      </c>
    </row>
    <row r="516" spans="1:14">
      <c r="A516" s="1">
        <v>46058.347650462965</v>
      </c>
      <c r="B516">
        <v>378350315</v>
      </c>
      <c r="C516" s="2" t="s">
        <v>769</v>
      </c>
      <c r="D516" t="s">
        <v>15</v>
      </c>
      <c r="E516" s="5">
        <v>3300</v>
      </c>
      <c r="F516" s="3">
        <v>2970</v>
      </c>
      <c r="G516" s="3">
        <v>2079</v>
      </c>
      <c r="I516" s="2" t="s">
        <v>307</v>
      </c>
      <c r="J516" s="2" t="s">
        <v>308</v>
      </c>
      <c r="K516" t="s">
        <v>18</v>
      </c>
      <c r="L516" t="str">
        <f>T("9791194982517")</f>
        <v>9791194982517</v>
      </c>
      <c r="M516" t="str">
        <f t="shared" si="21"/>
        <v/>
      </c>
      <c r="N516" t="s">
        <v>770</v>
      </c>
    </row>
    <row r="517" spans="1:14">
      <c r="A517" s="1">
        <v>46058.398043981484</v>
      </c>
      <c r="B517">
        <v>277533717</v>
      </c>
      <c r="C517" s="2" t="s">
        <v>771</v>
      </c>
      <c r="D517" t="s">
        <v>15</v>
      </c>
      <c r="E517" s="5">
        <v>1800</v>
      </c>
      <c r="F517" s="3">
        <v>1800</v>
      </c>
      <c r="G517" s="3">
        <v>1260</v>
      </c>
      <c r="I517" s="2" t="s">
        <v>772</v>
      </c>
      <c r="J517" s="2" t="s">
        <v>21</v>
      </c>
      <c r="K517" t="s">
        <v>18</v>
      </c>
      <c r="L517" t="str">
        <f>T("9791167830272")</f>
        <v>9791167830272</v>
      </c>
      <c r="M517" t="str">
        <f t="shared" si="21"/>
        <v/>
      </c>
    </row>
    <row r="518" spans="1:14">
      <c r="A518" s="1">
        <v>46058.490567129629</v>
      </c>
      <c r="B518">
        <v>384623947</v>
      </c>
      <c r="C518" s="2" t="s">
        <v>37</v>
      </c>
      <c r="D518" t="s">
        <v>15</v>
      </c>
      <c r="E518" s="5">
        <v>1000</v>
      </c>
      <c r="F518" s="3">
        <v>1000</v>
      </c>
      <c r="G518" s="2">
        <v>700</v>
      </c>
      <c r="I518" s="2" t="s">
        <v>38</v>
      </c>
      <c r="J518" s="2" t="s">
        <v>21</v>
      </c>
      <c r="K518" t="s">
        <v>18</v>
      </c>
      <c r="L518" t="str">
        <f>T("9791175582187")</f>
        <v>9791175582187</v>
      </c>
      <c r="M518" t="str">
        <f t="shared" si="21"/>
        <v/>
      </c>
      <c r="N518" t="s">
        <v>39</v>
      </c>
    </row>
    <row r="519" spans="1:14">
      <c r="A519" s="1">
        <v>46058.496782407405</v>
      </c>
      <c r="B519">
        <v>277097599</v>
      </c>
      <c r="C519" s="2" t="s">
        <v>314</v>
      </c>
      <c r="D519" t="s">
        <v>15</v>
      </c>
      <c r="E519" s="5">
        <v>1000</v>
      </c>
      <c r="F519" s="3">
        <v>1000</v>
      </c>
      <c r="G519" s="2">
        <v>700</v>
      </c>
      <c r="I519" s="2" t="s">
        <v>31</v>
      </c>
      <c r="J519" s="2" t="s">
        <v>21</v>
      </c>
      <c r="K519" t="s">
        <v>18</v>
      </c>
      <c r="L519" t="str">
        <f>T("9791191337846")</f>
        <v>9791191337846</v>
      </c>
      <c r="M519" t="str">
        <f t="shared" si="21"/>
        <v/>
      </c>
    </row>
    <row r="520" spans="1:14">
      <c r="A520" s="1">
        <v>46058.497928240744</v>
      </c>
      <c r="B520">
        <v>378389261</v>
      </c>
      <c r="C520" s="2" t="s">
        <v>773</v>
      </c>
      <c r="D520" t="s">
        <v>15</v>
      </c>
      <c r="E520" s="5">
        <v>13440</v>
      </c>
      <c r="F520" s="3">
        <v>13440</v>
      </c>
      <c r="G520" s="3">
        <v>9408</v>
      </c>
      <c r="I520" s="2" t="s">
        <v>774</v>
      </c>
      <c r="J520" s="2" t="s">
        <v>184</v>
      </c>
      <c r="K520" t="s">
        <v>18</v>
      </c>
      <c r="L520" t="str">
        <f>T("9791170965428")</f>
        <v>9791170965428</v>
      </c>
      <c r="M520" t="str">
        <f t="shared" si="21"/>
        <v/>
      </c>
      <c r="N520" t="s">
        <v>775</v>
      </c>
    </row>
    <row r="521" spans="1:14">
      <c r="A521" s="1">
        <v>46058.526446759257</v>
      </c>
      <c r="B521">
        <v>277168529</v>
      </c>
      <c r="C521" s="2" t="s">
        <v>46</v>
      </c>
      <c r="D521" t="s">
        <v>15</v>
      </c>
      <c r="E521" s="5">
        <v>1000</v>
      </c>
      <c r="F521" s="3">
        <v>1000</v>
      </c>
      <c r="G521" s="2">
        <v>700</v>
      </c>
      <c r="I521" s="2" t="s">
        <v>44</v>
      </c>
      <c r="J521" s="2" t="s">
        <v>21</v>
      </c>
      <c r="K521" t="s">
        <v>18</v>
      </c>
      <c r="L521" t="str">
        <f>T("9791191337853")</f>
        <v>9791191337853</v>
      </c>
      <c r="M521" t="str">
        <f t="shared" si="21"/>
        <v/>
      </c>
    </row>
    <row r="522" spans="1:14">
      <c r="A522" s="1">
        <v>46058.526446759257</v>
      </c>
      <c r="B522">
        <v>271933174</v>
      </c>
      <c r="C522" s="2" t="s">
        <v>45</v>
      </c>
      <c r="D522" t="s">
        <v>15</v>
      </c>
      <c r="E522" s="5">
        <v>3000</v>
      </c>
      <c r="F522" s="3">
        <v>3000</v>
      </c>
      <c r="G522" s="3">
        <v>2100</v>
      </c>
      <c r="I522" s="2" t="s">
        <v>44</v>
      </c>
      <c r="J522" s="2" t="s">
        <v>21</v>
      </c>
      <c r="K522" t="s">
        <v>18</v>
      </c>
      <c r="L522" t="str">
        <f>T("9791191337068")</f>
        <v>9791191337068</v>
      </c>
      <c r="M522" t="str">
        <f t="shared" si="21"/>
        <v/>
      </c>
    </row>
    <row r="523" spans="1:14">
      <c r="A523" s="1">
        <v>46058.57135416667</v>
      </c>
      <c r="B523">
        <v>370130223</v>
      </c>
      <c r="C523" s="2" t="s">
        <v>597</v>
      </c>
      <c r="D523" t="s">
        <v>15</v>
      </c>
      <c r="E523" s="4">
        <v>0</v>
      </c>
      <c r="F523" s="2">
        <v>0</v>
      </c>
      <c r="G523" s="2">
        <v>0</v>
      </c>
      <c r="I523" s="2" t="s">
        <v>135</v>
      </c>
      <c r="J523" s="2" t="s">
        <v>65</v>
      </c>
      <c r="K523" t="s">
        <v>18</v>
      </c>
      <c r="L523" t="str">
        <f>T("9791137019553")</f>
        <v>9791137019553</v>
      </c>
      <c r="M523" t="str">
        <f t="shared" si="21"/>
        <v/>
      </c>
      <c r="N523" t="s">
        <v>598</v>
      </c>
    </row>
    <row r="524" spans="1:14">
      <c r="A524" s="1">
        <v>46058.573865740742</v>
      </c>
      <c r="B524">
        <v>385348008</v>
      </c>
      <c r="C524" s="2" t="s">
        <v>219</v>
      </c>
      <c r="D524" t="s">
        <v>15</v>
      </c>
      <c r="E524" s="4">
        <v>0</v>
      </c>
      <c r="F524" s="2">
        <v>0</v>
      </c>
      <c r="G524" s="2">
        <v>0</v>
      </c>
      <c r="I524" s="2" t="s">
        <v>213</v>
      </c>
      <c r="J524" s="2" t="s">
        <v>161</v>
      </c>
      <c r="K524" t="s">
        <v>18</v>
      </c>
      <c r="L524" t="str">
        <f>T("9791173261572")</f>
        <v>9791173261572</v>
      </c>
      <c r="M524" t="str">
        <f t="shared" si="21"/>
        <v/>
      </c>
      <c r="N524" t="s">
        <v>220</v>
      </c>
    </row>
    <row r="525" spans="1:14">
      <c r="A525" s="1">
        <v>46058.584803240738</v>
      </c>
      <c r="B525">
        <v>323547332</v>
      </c>
      <c r="C525" s="2" t="s">
        <v>776</v>
      </c>
      <c r="D525" t="s">
        <v>15</v>
      </c>
      <c r="E525" s="5">
        <v>3400</v>
      </c>
      <c r="F525" s="3">
        <v>3400</v>
      </c>
      <c r="G525" s="3">
        <v>2380</v>
      </c>
      <c r="I525" s="2" t="s">
        <v>547</v>
      </c>
      <c r="J525" s="2" t="s">
        <v>197</v>
      </c>
      <c r="K525" t="s">
        <v>18</v>
      </c>
      <c r="L525" t="str">
        <f>T("9791164098323")</f>
        <v>9791164098323</v>
      </c>
      <c r="M525" t="str">
        <f t="shared" si="21"/>
        <v/>
      </c>
      <c r="N525" t="s">
        <v>777</v>
      </c>
    </row>
    <row r="526" spans="1:14">
      <c r="A526" s="1">
        <v>46058.584803240738</v>
      </c>
      <c r="B526">
        <v>323547246</v>
      </c>
      <c r="C526" s="2" t="s">
        <v>778</v>
      </c>
      <c r="D526" t="s">
        <v>15</v>
      </c>
      <c r="E526" s="5">
        <v>3400</v>
      </c>
      <c r="F526" s="3">
        <v>3400</v>
      </c>
      <c r="G526" s="3">
        <v>2380</v>
      </c>
      <c r="I526" s="2" t="s">
        <v>547</v>
      </c>
      <c r="J526" s="2" t="s">
        <v>197</v>
      </c>
      <c r="K526" t="s">
        <v>18</v>
      </c>
      <c r="L526" t="str">
        <f>T("9791164098330")</f>
        <v>9791164098330</v>
      </c>
      <c r="M526" t="str">
        <f t="shared" si="21"/>
        <v/>
      </c>
      <c r="N526" t="s">
        <v>779</v>
      </c>
    </row>
    <row r="527" spans="1:14">
      <c r="A527" s="1">
        <v>46058.67695601852</v>
      </c>
      <c r="B527">
        <v>343843807</v>
      </c>
      <c r="C527" s="2" t="s">
        <v>780</v>
      </c>
      <c r="D527" t="s">
        <v>15</v>
      </c>
      <c r="E527" s="4">
        <v>0</v>
      </c>
      <c r="F527" s="2">
        <v>0</v>
      </c>
      <c r="G527" s="2">
        <v>0</v>
      </c>
      <c r="I527" s="2" t="s">
        <v>781</v>
      </c>
      <c r="J527" s="2" t="s">
        <v>782</v>
      </c>
      <c r="K527" t="s">
        <v>18</v>
      </c>
      <c r="L527" t="str">
        <f>T("9791169343015")</f>
        <v>9791169343015</v>
      </c>
      <c r="M527" t="str">
        <f t="shared" si="21"/>
        <v/>
      </c>
      <c r="N527" t="s">
        <v>783</v>
      </c>
    </row>
    <row r="528" spans="1:14">
      <c r="A528" s="1">
        <v>46058.679710648146</v>
      </c>
      <c r="B528">
        <v>277935640</v>
      </c>
      <c r="C528" s="2" t="s">
        <v>784</v>
      </c>
      <c r="D528" t="s">
        <v>15</v>
      </c>
      <c r="E528" s="4">
        <v>100</v>
      </c>
      <c r="F528" s="2">
        <v>100</v>
      </c>
      <c r="G528" s="2">
        <v>70</v>
      </c>
      <c r="I528" s="2" t="s">
        <v>64</v>
      </c>
      <c r="J528" s="2" t="s">
        <v>65</v>
      </c>
      <c r="K528" t="s">
        <v>18</v>
      </c>
      <c r="L528" t="str">
        <f>T("9791162589724")</f>
        <v>9791162589724</v>
      </c>
      <c r="M528" t="str">
        <f t="shared" si="21"/>
        <v/>
      </c>
      <c r="N528" t="s">
        <v>785</v>
      </c>
    </row>
    <row r="529" spans="1:14">
      <c r="A529" s="1">
        <v>46058.679710648146</v>
      </c>
      <c r="B529">
        <v>277935483</v>
      </c>
      <c r="C529" s="2" t="s">
        <v>786</v>
      </c>
      <c r="D529" t="s">
        <v>15</v>
      </c>
      <c r="E529" s="4">
        <v>100</v>
      </c>
      <c r="F529" s="2">
        <v>100</v>
      </c>
      <c r="G529" s="2">
        <v>70</v>
      </c>
      <c r="I529" s="2" t="s">
        <v>64</v>
      </c>
      <c r="J529" s="2" t="s">
        <v>65</v>
      </c>
      <c r="K529" t="s">
        <v>18</v>
      </c>
      <c r="L529" t="str">
        <f>T("9791162589724")</f>
        <v>9791162589724</v>
      </c>
      <c r="M529" t="str">
        <f t="shared" si="21"/>
        <v/>
      </c>
      <c r="N529" t="s">
        <v>787</v>
      </c>
    </row>
    <row r="530" spans="1:14">
      <c r="A530" s="1">
        <v>46058.679710648146</v>
      </c>
      <c r="B530">
        <v>277935735</v>
      </c>
      <c r="C530" s="2" t="s">
        <v>788</v>
      </c>
      <c r="D530" t="s">
        <v>15</v>
      </c>
      <c r="E530" s="4">
        <v>100</v>
      </c>
      <c r="F530" s="2">
        <v>100</v>
      </c>
      <c r="G530" s="2">
        <v>70</v>
      </c>
      <c r="I530" s="2" t="s">
        <v>64</v>
      </c>
      <c r="J530" s="2" t="s">
        <v>65</v>
      </c>
      <c r="K530" t="s">
        <v>18</v>
      </c>
      <c r="L530" t="str">
        <f>T("9791162589724")</f>
        <v>9791162589724</v>
      </c>
      <c r="M530" t="str">
        <f t="shared" si="21"/>
        <v/>
      </c>
      <c r="N530" t="s">
        <v>789</v>
      </c>
    </row>
    <row r="531" spans="1:14">
      <c r="A531" s="1">
        <v>46058.679710648146</v>
      </c>
      <c r="B531">
        <v>277935737</v>
      </c>
      <c r="C531" s="2" t="s">
        <v>790</v>
      </c>
      <c r="D531" t="s">
        <v>15</v>
      </c>
      <c r="E531" s="4">
        <v>100</v>
      </c>
      <c r="F531" s="2">
        <v>100</v>
      </c>
      <c r="G531" s="2">
        <v>70</v>
      </c>
      <c r="I531" s="2" t="s">
        <v>64</v>
      </c>
      <c r="J531" s="2" t="s">
        <v>65</v>
      </c>
      <c r="K531" t="s">
        <v>18</v>
      </c>
      <c r="L531" t="str">
        <f>T("9791162589724")</f>
        <v>9791162589724</v>
      </c>
      <c r="M531" t="str">
        <f t="shared" si="21"/>
        <v/>
      </c>
      <c r="N531" t="s">
        <v>791</v>
      </c>
    </row>
    <row r="532" spans="1:14">
      <c r="A532" s="1">
        <v>46058.695648148147</v>
      </c>
      <c r="B532">
        <v>147883856</v>
      </c>
      <c r="C532" s="2" t="s">
        <v>792</v>
      </c>
      <c r="D532" t="s">
        <v>15</v>
      </c>
      <c r="E532" s="5">
        <v>3200</v>
      </c>
      <c r="F532" s="3">
        <v>3200</v>
      </c>
      <c r="G532" s="3">
        <v>2240</v>
      </c>
      <c r="I532" s="2" t="s">
        <v>793</v>
      </c>
      <c r="J532" s="2" t="s">
        <v>188</v>
      </c>
      <c r="K532" t="s">
        <v>18</v>
      </c>
      <c r="L532" t="str">
        <f>T("9791189224073")</f>
        <v>9791189224073</v>
      </c>
      <c r="M532" t="str">
        <f t="shared" si="21"/>
        <v/>
      </c>
    </row>
    <row r="533" spans="1:14">
      <c r="A533" s="1">
        <v>46058.717951388891</v>
      </c>
      <c r="B533">
        <v>343843772</v>
      </c>
      <c r="C533" s="2" t="s">
        <v>794</v>
      </c>
      <c r="D533" t="s">
        <v>15</v>
      </c>
      <c r="E533" s="5">
        <v>2500</v>
      </c>
      <c r="F533" s="3">
        <v>2500</v>
      </c>
      <c r="G533" s="3">
        <v>1750</v>
      </c>
      <c r="I533" s="2" t="s">
        <v>781</v>
      </c>
      <c r="J533" s="2" t="s">
        <v>782</v>
      </c>
      <c r="K533" t="s">
        <v>18</v>
      </c>
      <c r="L533" t="str">
        <f>T("9791169343022")</f>
        <v>9791169343022</v>
      </c>
      <c r="M533" t="str">
        <f t="shared" si="21"/>
        <v/>
      </c>
      <c r="N533" t="s">
        <v>795</v>
      </c>
    </row>
    <row r="534" spans="1:14">
      <c r="A534" s="1">
        <v>46058.780717592592</v>
      </c>
      <c r="B534">
        <v>343843811</v>
      </c>
      <c r="C534" s="2" t="s">
        <v>796</v>
      </c>
      <c r="D534" t="s">
        <v>15</v>
      </c>
      <c r="E534" s="5">
        <v>2500</v>
      </c>
      <c r="F534" s="3">
        <v>2500</v>
      </c>
      <c r="G534" s="3">
        <v>1750</v>
      </c>
      <c r="I534" s="2" t="s">
        <v>781</v>
      </c>
      <c r="J534" s="2" t="s">
        <v>782</v>
      </c>
      <c r="K534" t="s">
        <v>18</v>
      </c>
      <c r="L534" t="str">
        <f>T("9791169343039")</f>
        <v>9791169343039</v>
      </c>
      <c r="M534" t="str">
        <f t="shared" si="21"/>
        <v/>
      </c>
      <c r="N534" t="s">
        <v>797</v>
      </c>
    </row>
    <row r="535" spans="1:14">
      <c r="A535" s="1">
        <v>46058.79346064815</v>
      </c>
      <c r="B535">
        <v>162342854</v>
      </c>
      <c r="C535" s="2" t="s">
        <v>798</v>
      </c>
      <c r="D535" t="s">
        <v>15</v>
      </c>
      <c r="E535" s="4">
        <v>0</v>
      </c>
      <c r="F535" s="2">
        <v>0</v>
      </c>
      <c r="G535" s="2">
        <v>0</v>
      </c>
      <c r="I535" s="2" t="s">
        <v>799</v>
      </c>
      <c r="J535" s="2" t="s">
        <v>227</v>
      </c>
      <c r="K535" t="s">
        <v>18</v>
      </c>
      <c r="L535" t="str">
        <f>T("9791160396096")</f>
        <v>9791160396096</v>
      </c>
      <c r="M535" t="str">
        <f t="shared" si="21"/>
        <v/>
      </c>
    </row>
    <row r="536" spans="1:14">
      <c r="A536" s="1">
        <v>46058.797835648147</v>
      </c>
      <c r="B536">
        <v>343843814</v>
      </c>
      <c r="C536" s="2" t="s">
        <v>800</v>
      </c>
      <c r="D536" t="s">
        <v>15</v>
      </c>
      <c r="E536" s="5">
        <v>2500</v>
      </c>
      <c r="F536" s="3">
        <v>2500</v>
      </c>
      <c r="G536" s="3">
        <v>1750</v>
      </c>
      <c r="I536" s="2" t="s">
        <v>781</v>
      </c>
      <c r="J536" s="2" t="s">
        <v>782</v>
      </c>
      <c r="K536" t="s">
        <v>18</v>
      </c>
      <c r="L536" t="str">
        <f>T("9791169343077")</f>
        <v>9791169343077</v>
      </c>
      <c r="M536" t="str">
        <f t="shared" si="21"/>
        <v/>
      </c>
      <c r="N536" t="s">
        <v>801</v>
      </c>
    </row>
    <row r="537" spans="1:14">
      <c r="A537" s="1">
        <v>46058.797835648147</v>
      </c>
      <c r="B537">
        <v>343843779</v>
      </c>
      <c r="C537" s="2" t="s">
        <v>802</v>
      </c>
      <c r="D537" t="s">
        <v>15</v>
      </c>
      <c r="E537" s="5">
        <v>2500</v>
      </c>
      <c r="F537" s="3">
        <v>2500</v>
      </c>
      <c r="G537" s="3">
        <v>1750</v>
      </c>
      <c r="I537" s="2" t="s">
        <v>781</v>
      </c>
      <c r="J537" s="2" t="s">
        <v>782</v>
      </c>
      <c r="K537" t="s">
        <v>18</v>
      </c>
      <c r="L537" t="str">
        <f>T("9791169343046")</f>
        <v>9791169343046</v>
      </c>
      <c r="M537" t="str">
        <f t="shared" si="21"/>
        <v/>
      </c>
      <c r="N537" t="s">
        <v>803</v>
      </c>
    </row>
    <row r="538" spans="1:14">
      <c r="A538" s="1">
        <v>46058.797835648147</v>
      </c>
      <c r="B538">
        <v>343843781</v>
      </c>
      <c r="C538" s="2" t="s">
        <v>804</v>
      </c>
      <c r="D538" t="s">
        <v>15</v>
      </c>
      <c r="E538" s="5">
        <v>2500</v>
      </c>
      <c r="F538" s="3">
        <v>2500</v>
      </c>
      <c r="G538" s="3">
        <v>1750</v>
      </c>
      <c r="I538" s="2" t="s">
        <v>781</v>
      </c>
      <c r="J538" s="2" t="s">
        <v>782</v>
      </c>
      <c r="K538" t="s">
        <v>18</v>
      </c>
      <c r="L538" t="str">
        <f>T("9791169343060")</f>
        <v>9791169343060</v>
      </c>
      <c r="M538" t="str">
        <f t="shared" si="21"/>
        <v/>
      </c>
      <c r="N538" t="s">
        <v>805</v>
      </c>
    </row>
    <row r="539" spans="1:14">
      <c r="A539" s="1">
        <v>46058.797835648147</v>
      </c>
      <c r="B539">
        <v>343843751</v>
      </c>
      <c r="C539" s="2" t="s">
        <v>806</v>
      </c>
      <c r="D539" t="s">
        <v>15</v>
      </c>
      <c r="E539" s="5">
        <v>2500</v>
      </c>
      <c r="F539" s="3">
        <v>2500</v>
      </c>
      <c r="G539" s="3">
        <v>1750</v>
      </c>
      <c r="I539" s="2" t="s">
        <v>781</v>
      </c>
      <c r="J539" s="2" t="s">
        <v>782</v>
      </c>
      <c r="K539" t="s">
        <v>18</v>
      </c>
      <c r="L539" t="str">
        <f>T("9791169343053")</f>
        <v>9791169343053</v>
      </c>
      <c r="M539" t="str">
        <f t="shared" si="21"/>
        <v/>
      </c>
      <c r="N539" t="s">
        <v>807</v>
      </c>
    </row>
    <row r="540" spans="1:14">
      <c r="A540" s="1">
        <v>46058.846261574072</v>
      </c>
      <c r="B540">
        <v>295409723</v>
      </c>
      <c r="C540" s="2" t="s">
        <v>632</v>
      </c>
      <c r="D540" t="s">
        <v>15</v>
      </c>
      <c r="E540" s="5">
        <v>18000</v>
      </c>
      <c r="F540" s="3">
        <v>18000</v>
      </c>
      <c r="G540" s="3">
        <v>12600</v>
      </c>
      <c r="I540" s="2" t="s">
        <v>540</v>
      </c>
      <c r="J540" s="2" t="s">
        <v>197</v>
      </c>
      <c r="K540" t="s">
        <v>18</v>
      </c>
      <c r="L540" t="str">
        <f>T("9791164096534")</f>
        <v>9791164096534</v>
      </c>
      <c r="M540" t="str">
        <f t="shared" si="21"/>
        <v/>
      </c>
    </row>
    <row r="541" spans="1:14">
      <c r="A541" s="1">
        <v>46058.877569444441</v>
      </c>
      <c r="B541">
        <v>385347515</v>
      </c>
      <c r="C541" s="2" t="s">
        <v>304</v>
      </c>
      <c r="D541" t="s">
        <v>15</v>
      </c>
      <c r="E541" s="5">
        <v>1300</v>
      </c>
      <c r="F541" s="3">
        <v>1300</v>
      </c>
      <c r="G541" s="2">
        <v>910</v>
      </c>
      <c r="I541" s="2" t="s">
        <v>148</v>
      </c>
      <c r="J541" s="2" t="s">
        <v>21</v>
      </c>
      <c r="K541" t="s">
        <v>18</v>
      </c>
      <c r="L541" t="str">
        <f>T("9791175582521")</f>
        <v>9791175582521</v>
      </c>
      <c r="M541" t="str">
        <f t="shared" si="21"/>
        <v/>
      </c>
      <c r="N541" t="s">
        <v>305</v>
      </c>
    </row>
    <row r="542" spans="1:14">
      <c r="A542" s="1">
        <v>46058.889768518522</v>
      </c>
      <c r="B542">
        <v>384623947</v>
      </c>
      <c r="C542" s="2" t="s">
        <v>37</v>
      </c>
      <c r="D542" t="s">
        <v>15</v>
      </c>
      <c r="E542" s="5">
        <v>1000</v>
      </c>
      <c r="F542" s="3">
        <v>1000</v>
      </c>
      <c r="G542" s="2">
        <v>700</v>
      </c>
      <c r="I542" s="2" t="s">
        <v>38</v>
      </c>
      <c r="J542" s="2" t="s">
        <v>21</v>
      </c>
      <c r="K542" t="s">
        <v>18</v>
      </c>
      <c r="L542" t="str">
        <f>T("9791175582187")</f>
        <v>9791175582187</v>
      </c>
      <c r="M542" t="str">
        <f t="shared" si="21"/>
        <v/>
      </c>
      <c r="N542" t="s">
        <v>39</v>
      </c>
    </row>
    <row r="543" spans="1:14">
      <c r="A543" s="1">
        <v>46058.901504629626</v>
      </c>
      <c r="B543">
        <v>385347773</v>
      </c>
      <c r="C543" s="2" t="s">
        <v>229</v>
      </c>
      <c r="D543" t="s">
        <v>15</v>
      </c>
      <c r="E543" s="4">
        <v>0</v>
      </c>
      <c r="F543" s="2">
        <v>0</v>
      </c>
      <c r="G543" s="2">
        <v>0</v>
      </c>
      <c r="I543" s="2" t="s">
        <v>230</v>
      </c>
      <c r="J543" s="2" t="s">
        <v>161</v>
      </c>
      <c r="K543" t="s">
        <v>18</v>
      </c>
      <c r="L543" t="str">
        <f>T("9791173261091")</f>
        <v>9791173261091</v>
      </c>
      <c r="M543" t="str">
        <f t="shared" si="21"/>
        <v/>
      </c>
      <c r="N543" t="s">
        <v>231</v>
      </c>
    </row>
    <row r="544" spans="1:14">
      <c r="A544" s="1">
        <v>46058.906064814815</v>
      </c>
      <c r="B544">
        <v>301364929</v>
      </c>
      <c r="C544" s="2" t="s">
        <v>808</v>
      </c>
      <c r="D544" t="s">
        <v>68</v>
      </c>
      <c r="E544" s="4">
        <v>0</v>
      </c>
      <c r="F544" s="2">
        <v>0</v>
      </c>
      <c r="G544" s="2">
        <v>0</v>
      </c>
      <c r="I544" s="2" t="s">
        <v>809</v>
      </c>
      <c r="J544" s="2" t="s">
        <v>245</v>
      </c>
      <c r="K544" t="s">
        <v>18</v>
      </c>
      <c r="L544" t="str">
        <f>T("9791166007088")</f>
        <v>9791166007088</v>
      </c>
      <c r="M544" t="str">
        <f t="shared" si="21"/>
        <v/>
      </c>
      <c r="N544" t="s">
        <v>810</v>
      </c>
    </row>
    <row r="545" spans="1:14">
      <c r="A545" s="1">
        <v>46058.90861111111</v>
      </c>
      <c r="B545">
        <v>367000711</v>
      </c>
      <c r="C545" s="2" t="s">
        <v>811</v>
      </c>
      <c r="D545" t="s">
        <v>15</v>
      </c>
      <c r="E545" s="5">
        <v>1000</v>
      </c>
      <c r="F545" s="3">
        <v>1000</v>
      </c>
      <c r="G545" s="2">
        <v>700</v>
      </c>
      <c r="I545" s="2" t="s">
        <v>41</v>
      </c>
      <c r="J545" s="2" t="s">
        <v>21</v>
      </c>
      <c r="K545" t="s">
        <v>18</v>
      </c>
      <c r="L545" t="str">
        <f>T("9791173016073")</f>
        <v>9791173016073</v>
      </c>
      <c r="M545" t="str">
        <f t="shared" si="21"/>
        <v/>
      </c>
      <c r="N545" t="s">
        <v>812</v>
      </c>
    </row>
    <row r="546" spans="1:14">
      <c r="A546" s="1">
        <v>46058.927754629629</v>
      </c>
      <c r="B546">
        <v>348750671</v>
      </c>
      <c r="C546" s="2" t="s">
        <v>813</v>
      </c>
      <c r="D546" t="s">
        <v>15</v>
      </c>
      <c r="E546" s="5">
        <v>1000</v>
      </c>
      <c r="F546" s="3">
        <v>1000</v>
      </c>
      <c r="G546" s="2">
        <v>700</v>
      </c>
      <c r="I546" s="2" t="s">
        <v>61</v>
      </c>
      <c r="J546" s="2" t="s">
        <v>21</v>
      </c>
      <c r="K546" t="s">
        <v>18</v>
      </c>
      <c r="L546" t="str">
        <f>T("9791170899693")</f>
        <v>9791170899693</v>
      </c>
      <c r="M546" t="str">
        <f t="shared" si="21"/>
        <v/>
      </c>
      <c r="N546" t="s">
        <v>814</v>
      </c>
    </row>
    <row r="547" spans="1:14">
      <c r="A547" s="1">
        <v>46058.944120370368</v>
      </c>
      <c r="B547">
        <v>385347773</v>
      </c>
      <c r="C547" s="2" t="s">
        <v>229</v>
      </c>
      <c r="D547" t="s">
        <v>15</v>
      </c>
      <c r="E547" s="4">
        <v>0</v>
      </c>
      <c r="F547" s="2">
        <v>0</v>
      </c>
      <c r="G547" s="2">
        <v>0</v>
      </c>
      <c r="I547" s="2" t="s">
        <v>230</v>
      </c>
      <c r="J547" s="2" t="s">
        <v>161</v>
      </c>
      <c r="K547" t="s">
        <v>18</v>
      </c>
      <c r="L547" t="str">
        <f>T("9791173261091")</f>
        <v>9791173261091</v>
      </c>
      <c r="M547" t="str">
        <f t="shared" si="21"/>
        <v/>
      </c>
      <c r="N547" t="s">
        <v>231</v>
      </c>
    </row>
    <row r="548" spans="1:14">
      <c r="A548" s="1">
        <v>46058.944120370368</v>
      </c>
      <c r="B548">
        <v>385347919</v>
      </c>
      <c r="C548" s="2" t="s">
        <v>159</v>
      </c>
      <c r="D548" t="s">
        <v>15</v>
      </c>
      <c r="E548" s="4">
        <v>0</v>
      </c>
      <c r="F548" s="2">
        <v>0</v>
      </c>
      <c r="G548" s="2">
        <v>0</v>
      </c>
      <c r="I548" s="2" t="s">
        <v>160</v>
      </c>
      <c r="J548" s="2" t="s">
        <v>161</v>
      </c>
      <c r="K548" t="s">
        <v>18</v>
      </c>
      <c r="L548" t="str">
        <f>T("9791173260254")</f>
        <v>9791173260254</v>
      </c>
      <c r="M548" t="str">
        <f t="shared" si="21"/>
        <v/>
      </c>
      <c r="N548" t="s">
        <v>162</v>
      </c>
    </row>
    <row r="549" spans="1:14">
      <c r="A549" s="1">
        <v>46058.944120370368</v>
      </c>
      <c r="B549">
        <v>385373391</v>
      </c>
      <c r="C549" s="2" t="s">
        <v>448</v>
      </c>
      <c r="D549" t="s">
        <v>15</v>
      </c>
      <c r="E549" s="4">
        <v>0</v>
      </c>
      <c r="F549" s="2">
        <v>0</v>
      </c>
      <c r="G549" s="2">
        <v>0</v>
      </c>
      <c r="I549" s="2" t="s">
        <v>449</v>
      </c>
      <c r="J549" s="2" t="s">
        <v>290</v>
      </c>
      <c r="K549" t="s">
        <v>18</v>
      </c>
      <c r="L549" t="str">
        <f>T("9791194982920")</f>
        <v>9791194982920</v>
      </c>
      <c r="M549" t="str">
        <f t="shared" si="21"/>
        <v/>
      </c>
      <c r="N549" t="s">
        <v>450</v>
      </c>
    </row>
    <row r="550" spans="1:14">
      <c r="A550" s="1">
        <v>46058.944120370368</v>
      </c>
      <c r="B550">
        <v>385373394</v>
      </c>
      <c r="C550" s="2" t="s">
        <v>489</v>
      </c>
      <c r="D550" t="s">
        <v>15</v>
      </c>
      <c r="E550" s="4">
        <v>0</v>
      </c>
      <c r="F550" s="2">
        <v>0</v>
      </c>
      <c r="G550" s="2">
        <v>0</v>
      </c>
      <c r="I550" s="2" t="s">
        <v>490</v>
      </c>
      <c r="J550" s="2" t="s">
        <v>290</v>
      </c>
      <c r="K550" t="s">
        <v>18</v>
      </c>
      <c r="L550" t="str">
        <f>T("9791124141175")</f>
        <v>9791124141175</v>
      </c>
      <c r="M550" t="str">
        <f t="shared" si="21"/>
        <v/>
      </c>
      <c r="N550" t="s">
        <v>491</v>
      </c>
    </row>
    <row r="551" spans="1:14">
      <c r="A551" s="1">
        <v>46058.944120370368</v>
      </c>
      <c r="B551">
        <v>385373317</v>
      </c>
      <c r="C551" s="2" t="s">
        <v>381</v>
      </c>
      <c r="D551" t="s">
        <v>15</v>
      </c>
      <c r="E551" s="4">
        <v>0</v>
      </c>
      <c r="F551" s="2">
        <v>0</v>
      </c>
      <c r="G551" s="2">
        <v>0</v>
      </c>
      <c r="I551" s="2" t="s">
        <v>382</v>
      </c>
      <c r="J551" s="2" t="s">
        <v>290</v>
      </c>
      <c r="K551" t="s">
        <v>18</v>
      </c>
      <c r="L551" t="str">
        <f>T("9791194982159")</f>
        <v>9791194982159</v>
      </c>
      <c r="M551" t="str">
        <f t="shared" si="21"/>
        <v/>
      </c>
      <c r="N551" t="s">
        <v>383</v>
      </c>
    </row>
    <row r="552" spans="1:14">
      <c r="A552" s="1">
        <v>46058.944120370368</v>
      </c>
      <c r="B552">
        <v>385373222</v>
      </c>
      <c r="C552" s="2" t="s">
        <v>390</v>
      </c>
      <c r="D552" t="s">
        <v>15</v>
      </c>
      <c r="E552" s="4">
        <v>0</v>
      </c>
      <c r="F552" s="2">
        <v>0</v>
      </c>
      <c r="G552" s="2">
        <v>0</v>
      </c>
      <c r="I552" s="2" t="s">
        <v>391</v>
      </c>
      <c r="J552" s="2" t="s">
        <v>65</v>
      </c>
      <c r="K552" t="s">
        <v>18</v>
      </c>
      <c r="L552" t="str">
        <f>T("")</f>
        <v/>
      </c>
      <c r="M552" t="str">
        <f>T("G720:N+A319-20251203027.M001")</f>
        <v>G720:N+A319-20251203027.M001</v>
      </c>
      <c r="N552" t="s">
        <v>392</v>
      </c>
    </row>
    <row r="553" spans="1:14">
      <c r="A553" s="1">
        <v>46058.944120370368</v>
      </c>
      <c r="B553">
        <v>385373316</v>
      </c>
      <c r="C553" s="2" t="s">
        <v>387</v>
      </c>
      <c r="D553" t="s">
        <v>15</v>
      </c>
      <c r="E553" s="4">
        <v>0</v>
      </c>
      <c r="F553" s="2">
        <v>0</v>
      </c>
      <c r="G553" s="2">
        <v>0</v>
      </c>
      <c r="I553" s="2" t="s">
        <v>388</v>
      </c>
      <c r="J553" s="2" t="s">
        <v>290</v>
      </c>
      <c r="K553" t="s">
        <v>18</v>
      </c>
      <c r="L553" t="str">
        <f>T("9791194982036")</f>
        <v>9791194982036</v>
      </c>
      <c r="M553" t="str">
        <f t="shared" ref="M553:M562" si="22">T("")</f>
        <v/>
      </c>
      <c r="N553" t="s">
        <v>389</v>
      </c>
    </row>
    <row r="554" spans="1:14">
      <c r="A554" s="1">
        <v>46058.944120370368</v>
      </c>
      <c r="B554">
        <v>385373286</v>
      </c>
      <c r="C554" s="2" t="s">
        <v>384</v>
      </c>
      <c r="D554" t="s">
        <v>15</v>
      </c>
      <c r="E554" s="4">
        <v>0</v>
      </c>
      <c r="F554" s="2">
        <v>0</v>
      </c>
      <c r="G554" s="2">
        <v>0</v>
      </c>
      <c r="I554" s="2" t="s">
        <v>385</v>
      </c>
      <c r="J554" s="2" t="s">
        <v>290</v>
      </c>
      <c r="K554" t="s">
        <v>18</v>
      </c>
      <c r="L554" t="str">
        <f>T("9791194982302")</f>
        <v>9791194982302</v>
      </c>
      <c r="M554" t="str">
        <f t="shared" si="22"/>
        <v/>
      </c>
      <c r="N554" t="s">
        <v>386</v>
      </c>
    </row>
    <row r="555" spans="1:14">
      <c r="A555" s="1">
        <v>46058.944120370368</v>
      </c>
      <c r="B555">
        <v>385373253</v>
      </c>
      <c r="C555" s="2" t="s">
        <v>288</v>
      </c>
      <c r="D555" t="s">
        <v>15</v>
      </c>
      <c r="E555" s="4">
        <v>0</v>
      </c>
      <c r="F555" s="2">
        <v>0</v>
      </c>
      <c r="G555" s="2">
        <v>0</v>
      </c>
      <c r="I555" s="2" t="s">
        <v>289</v>
      </c>
      <c r="J555" s="2" t="s">
        <v>290</v>
      </c>
      <c r="K555" t="s">
        <v>18</v>
      </c>
      <c r="L555" t="str">
        <f>T("9791194726784")</f>
        <v>9791194726784</v>
      </c>
      <c r="M555" t="str">
        <f t="shared" si="22"/>
        <v/>
      </c>
      <c r="N555" t="s">
        <v>291</v>
      </c>
    </row>
    <row r="556" spans="1:14">
      <c r="A556" s="1">
        <v>46058.94734953704</v>
      </c>
      <c r="B556">
        <v>319978614</v>
      </c>
      <c r="C556" s="2" t="s">
        <v>815</v>
      </c>
      <c r="D556" t="s">
        <v>15</v>
      </c>
      <c r="E556" s="5">
        <v>3200</v>
      </c>
      <c r="F556" s="3">
        <v>3200</v>
      </c>
      <c r="G556" s="3">
        <v>2240</v>
      </c>
      <c r="I556" s="2" t="s">
        <v>69</v>
      </c>
      <c r="J556" s="2" t="s">
        <v>70</v>
      </c>
      <c r="K556" t="s">
        <v>18</v>
      </c>
      <c r="L556" t="str">
        <f>T("9791192729565")</f>
        <v>9791192729565</v>
      </c>
      <c r="M556" t="str">
        <f t="shared" si="22"/>
        <v/>
      </c>
      <c r="N556" t="s">
        <v>816</v>
      </c>
    </row>
    <row r="557" spans="1:14">
      <c r="A557" s="1">
        <v>46058.94734953704</v>
      </c>
      <c r="B557">
        <v>319978596</v>
      </c>
      <c r="C557" s="2" t="s">
        <v>817</v>
      </c>
      <c r="D557" t="s">
        <v>15</v>
      </c>
      <c r="E557" s="5">
        <v>3200</v>
      </c>
      <c r="F557" s="3">
        <v>3200</v>
      </c>
      <c r="G557" s="3">
        <v>2240</v>
      </c>
      <c r="I557" s="2" t="s">
        <v>69</v>
      </c>
      <c r="J557" s="2" t="s">
        <v>70</v>
      </c>
      <c r="K557" t="s">
        <v>18</v>
      </c>
      <c r="L557" t="str">
        <f>T("9791192729558")</f>
        <v>9791192729558</v>
      </c>
      <c r="M557" t="str">
        <f t="shared" si="22"/>
        <v/>
      </c>
      <c r="N557" t="s">
        <v>818</v>
      </c>
    </row>
    <row r="558" spans="1:14">
      <c r="A558" s="1">
        <v>46058.949386574073</v>
      </c>
      <c r="B558">
        <v>319978610</v>
      </c>
      <c r="C558" s="2" t="s">
        <v>79</v>
      </c>
      <c r="D558" t="s">
        <v>68</v>
      </c>
      <c r="E558" s="4">
        <v>900</v>
      </c>
      <c r="F558" s="2">
        <v>900</v>
      </c>
      <c r="G558" s="2">
        <v>630</v>
      </c>
      <c r="I558" s="2" t="s">
        <v>69</v>
      </c>
      <c r="J558" s="2" t="s">
        <v>70</v>
      </c>
      <c r="K558" t="s">
        <v>18</v>
      </c>
      <c r="L558" t="str">
        <f>T("9791192729510")</f>
        <v>9791192729510</v>
      </c>
      <c r="M558" t="str">
        <f t="shared" si="22"/>
        <v/>
      </c>
      <c r="N558" t="s">
        <v>80</v>
      </c>
    </row>
    <row r="559" spans="1:14">
      <c r="A559" s="1">
        <v>46058.949386574073</v>
      </c>
      <c r="B559">
        <v>319978726</v>
      </c>
      <c r="C559" s="2" t="s">
        <v>819</v>
      </c>
      <c r="D559" t="s">
        <v>68</v>
      </c>
      <c r="E559" s="4">
        <v>900</v>
      </c>
      <c r="F559" s="2">
        <v>900</v>
      </c>
      <c r="G559" s="2">
        <v>630</v>
      </c>
      <c r="I559" s="2" t="s">
        <v>69</v>
      </c>
      <c r="J559" s="2" t="s">
        <v>70</v>
      </c>
      <c r="K559" t="s">
        <v>18</v>
      </c>
      <c r="L559" t="str">
        <f>T("9791192729527")</f>
        <v>9791192729527</v>
      </c>
      <c r="M559" t="str">
        <f t="shared" si="22"/>
        <v/>
      </c>
      <c r="N559" t="s">
        <v>820</v>
      </c>
    </row>
    <row r="560" spans="1:14">
      <c r="A560" s="1">
        <v>46058.955416666664</v>
      </c>
      <c r="B560">
        <v>385347908</v>
      </c>
      <c r="C560" s="2" t="s">
        <v>393</v>
      </c>
      <c r="D560" t="s">
        <v>15</v>
      </c>
      <c r="E560" s="5">
        <v>3200</v>
      </c>
      <c r="F560" s="3">
        <v>3200</v>
      </c>
      <c r="G560" s="3">
        <v>2240</v>
      </c>
      <c r="I560" s="2" t="s">
        <v>230</v>
      </c>
      <c r="J560" s="2" t="s">
        <v>161</v>
      </c>
      <c r="K560" t="s">
        <v>18</v>
      </c>
      <c r="L560" t="str">
        <f>T("9791173261107")</f>
        <v>9791173261107</v>
      </c>
      <c r="M560" t="str">
        <f t="shared" si="22"/>
        <v/>
      </c>
      <c r="N560" t="s">
        <v>394</v>
      </c>
    </row>
    <row r="561" spans="1:14">
      <c r="A561" s="1">
        <v>46058.955416666664</v>
      </c>
      <c r="B561">
        <v>385347812</v>
      </c>
      <c r="C561" s="2" t="s">
        <v>403</v>
      </c>
      <c r="D561" t="s">
        <v>15</v>
      </c>
      <c r="E561" s="5">
        <v>3200</v>
      </c>
      <c r="F561" s="3">
        <v>3200</v>
      </c>
      <c r="G561" s="3">
        <v>2240</v>
      </c>
      <c r="I561" s="2" t="s">
        <v>230</v>
      </c>
      <c r="J561" s="2" t="s">
        <v>161</v>
      </c>
      <c r="K561" t="s">
        <v>18</v>
      </c>
      <c r="L561" t="str">
        <f>T("9791173261114")</f>
        <v>9791173261114</v>
      </c>
      <c r="M561" t="str">
        <f t="shared" si="22"/>
        <v/>
      </c>
      <c r="N561" t="s">
        <v>404</v>
      </c>
    </row>
    <row r="562" spans="1:14">
      <c r="A562" s="1">
        <v>46058.955416666664</v>
      </c>
      <c r="B562">
        <v>385347729</v>
      </c>
      <c r="C562" s="2" t="s">
        <v>409</v>
      </c>
      <c r="D562" t="s">
        <v>15</v>
      </c>
      <c r="E562" s="5">
        <v>3200</v>
      </c>
      <c r="F562" s="3">
        <v>3200</v>
      </c>
      <c r="G562" s="3">
        <v>2240</v>
      </c>
      <c r="I562" s="2" t="s">
        <v>230</v>
      </c>
      <c r="J562" s="2" t="s">
        <v>161</v>
      </c>
      <c r="K562" t="s">
        <v>18</v>
      </c>
      <c r="L562" t="str">
        <f>T("9791173261121")</f>
        <v>9791173261121</v>
      </c>
      <c r="M562" t="str">
        <f t="shared" si="22"/>
        <v/>
      </c>
      <c r="N562" t="s">
        <v>410</v>
      </c>
    </row>
    <row r="563" spans="1:14">
      <c r="A563" s="1">
        <v>46058.959143518521</v>
      </c>
      <c r="B563">
        <v>385373248</v>
      </c>
      <c r="C563" s="2" t="s">
        <v>553</v>
      </c>
      <c r="D563" t="s">
        <v>15</v>
      </c>
      <c r="E563" s="5">
        <v>1100</v>
      </c>
      <c r="F563" s="3">
        <v>1100</v>
      </c>
      <c r="G563" s="2">
        <v>770</v>
      </c>
      <c r="I563" s="2" t="s">
        <v>211</v>
      </c>
      <c r="J563" s="2" t="s">
        <v>21</v>
      </c>
      <c r="K563" t="s">
        <v>18</v>
      </c>
      <c r="L563" t="str">
        <f>T("")</f>
        <v/>
      </c>
      <c r="M563" t="str">
        <f>T("G720:N+A311-20251210011.M001")</f>
        <v>G720:N+A311-20251210011.M001</v>
      </c>
      <c r="N563" t="s">
        <v>554</v>
      </c>
    </row>
    <row r="564" spans="1:14">
      <c r="A564" s="1">
        <v>46058.96912037037</v>
      </c>
      <c r="B564">
        <v>342332831</v>
      </c>
      <c r="C564" s="2" t="s">
        <v>821</v>
      </c>
      <c r="D564" t="s">
        <v>15</v>
      </c>
      <c r="E564" s="4">
        <v>500</v>
      </c>
      <c r="F564" s="2">
        <v>500</v>
      </c>
      <c r="G564" s="2">
        <v>350</v>
      </c>
      <c r="I564" s="2" t="s">
        <v>211</v>
      </c>
      <c r="J564" s="2" t="s">
        <v>21</v>
      </c>
      <c r="K564" t="s">
        <v>18</v>
      </c>
      <c r="L564" t="str">
        <f>T("9791170897118")</f>
        <v>9791170897118</v>
      </c>
      <c r="M564" t="str">
        <f t="shared" ref="M564:M587" si="23">T("")</f>
        <v/>
      </c>
      <c r="N564" t="s">
        <v>822</v>
      </c>
    </row>
    <row r="565" spans="1:14">
      <c r="A565" s="1">
        <v>46058.96912037037</v>
      </c>
      <c r="B565">
        <v>300340103</v>
      </c>
      <c r="C565" s="2" t="s">
        <v>823</v>
      </c>
      <c r="D565" t="s">
        <v>15</v>
      </c>
      <c r="E565" s="5">
        <v>1300</v>
      </c>
      <c r="F565" s="3">
        <v>1300</v>
      </c>
      <c r="G565" s="2">
        <v>910</v>
      </c>
      <c r="I565" s="2" t="s">
        <v>211</v>
      </c>
      <c r="J565" s="2" t="s">
        <v>21</v>
      </c>
      <c r="K565" t="s">
        <v>18</v>
      </c>
      <c r="L565" t="str">
        <f>T("9791167833938")</f>
        <v>9791167833938</v>
      </c>
      <c r="M565" t="str">
        <f t="shared" si="23"/>
        <v/>
      </c>
    </row>
    <row r="566" spans="1:14">
      <c r="A566" s="1">
        <v>46058.970729166664</v>
      </c>
      <c r="B566">
        <v>385347797</v>
      </c>
      <c r="C566" s="2" t="s">
        <v>195</v>
      </c>
      <c r="D566" t="s">
        <v>15</v>
      </c>
      <c r="E566" s="4">
        <v>700</v>
      </c>
      <c r="F566" s="2">
        <v>630</v>
      </c>
      <c r="G566" s="2">
        <v>441</v>
      </c>
      <c r="I566" s="2" t="s">
        <v>196</v>
      </c>
      <c r="J566" s="2" t="s">
        <v>197</v>
      </c>
      <c r="K566" t="s">
        <v>18</v>
      </c>
      <c r="L566" t="str">
        <f>T("9791172821937")</f>
        <v>9791172821937</v>
      </c>
      <c r="M566" t="str">
        <f t="shared" si="23"/>
        <v/>
      </c>
      <c r="N566" t="s">
        <v>198</v>
      </c>
    </row>
    <row r="567" spans="1:14">
      <c r="A567" s="1">
        <v>46058.973344907405</v>
      </c>
      <c r="B567">
        <v>385347792</v>
      </c>
      <c r="C567" s="2" t="s">
        <v>306</v>
      </c>
      <c r="D567" t="s">
        <v>15</v>
      </c>
      <c r="E567" s="5">
        <v>1000</v>
      </c>
      <c r="F567" s="2">
        <v>900</v>
      </c>
      <c r="G567" s="2">
        <v>630</v>
      </c>
      <c r="I567" s="2" t="s">
        <v>307</v>
      </c>
      <c r="J567" s="2" t="s">
        <v>308</v>
      </c>
      <c r="K567" t="s">
        <v>18</v>
      </c>
      <c r="L567" t="str">
        <f>T("9791194982753")</f>
        <v>9791194982753</v>
      </c>
      <c r="M567" t="str">
        <f t="shared" si="23"/>
        <v/>
      </c>
      <c r="N567" t="s">
        <v>309</v>
      </c>
    </row>
    <row r="568" spans="1:14">
      <c r="A568" s="1">
        <v>46058.977997685186</v>
      </c>
      <c r="B568">
        <v>344251052</v>
      </c>
      <c r="C568" s="2" t="s">
        <v>824</v>
      </c>
      <c r="D568" t="s">
        <v>15</v>
      </c>
      <c r="E568" s="5">
        <v>-3000</v>
      </c>
      <c r="F568" s="3">
        <v>-3000</v>
      </c>
      <c r="G568" s="3">
        <v>-2100</v>
      </c>
      <c r="H568" s="1">
        <v>46058.977650462963</v>
      </c>
      <c r="I568" s="2" t="s">
        <v>191</v>
      </c>
      <c r="J568" s="2" t="s">
        <v>188</v>
      </c>
      <c r="K568" t="s">
        <v>18</v>
      </c>
      <c r="L568" t="str">
        <f>T("9791164834594")</f>
        <v>9791164834594</v>
      </c>
      <c r="M568" t="str">
        <f t="shared" si="23"/>
        <v/>
      </c>
      <c r="N568" t="s">
        <v>825</v>
      </c>
    </row>
    <row r="569" spans="1:14">
      <c r="A569" s="1">
        <v>46058.977650462963</v>
      </c>
      <c r="B569">
        <v>344251052</v>
      </c>
      <c r="C569" s="2" t="s">
        <v>824</v>
      </c>
      <c r="D569" t="s">
        <v>15</v>
      </c>
      <c r="E569" s="5">
        <v>3000</v>
      </c>
      <c r="F569" s="3">
        <v>3000</v>
      </c>
      <c r="G569" s="3">
        <v>2100</v>
      </c>
      <c r="I569" s="2" t="s">
        <v>191</v>
      </c>
      <c r="J569" s="2" t="s">
        <v>188</v>
      </c>
      <c r="K569" t="s">
        <v>18</v>
      </c>
      <c r="L569" t="str">
        <f>T("9791164834594")</f>
        <v>9791164834594</v>
      </c>
      <c r="M569" t="str">
        <f t="shared" si="23"/>
        <v/>
      </c>
      <c r="N569" t="s">
        <v>825</v>
      </c>
    </row>
    <row r="570" spans="1:14">
      <c r="A570" s="1">
        <v>46058.977650462963</v>
      </c>
      <c r="B570">
        <v>333593015</v>
      </c>
      <c r="C570" s="2" t="s">
        <v>826</v>
      </c>
      <c r="D570" t="s">
        <v>15</v>
      </c>
      <c r="E570" s="5">
        <v>3300</v>
      </c>
      <c r="F570" s="3">
        <v>3300</v>
      </c>
      <c r="G570" s="3">
        <v>2310</v>
      </c>
      <c r="I570" s="2" t="s">
        <v>191</v>
      </c>
      <c r="J570" s="2" t="s">
        <v>188</v>
      </c>
      <c r="K570" t="s">
        <v>18</v>
      </c>
      <c r="L570" t="str">
        <f>T("9791164834136")</f>
        <v>9791164834136</v>
      </c>
      <c r="M570" t="str">
        <f t="shared" si="23"/>
        <v/>
      </c>
      <c r="N570" t="s">
        <v>827</v>
      </c>
    </row>
    <row r="571" spans="1:14">
      <c r="A571" s="1">
        <v>46058.977997685186</v>
      </c>
      <c r="B571">
        <v>333593015</v>
      </c>
      <c r="C571" s="2" t="s">
        <v>826</v>
      </c>
      <c r="D571" t="s">
        <v>15</v>
      </c>
      <c r="E571" s="5">
        <v>-3300</v>
      </c>
      <c r="F571" s="3">
        <v>-3300</v>
      </c>
      <c r="G571" s="3">
        <v>-2310</v>
      </c>
      <c r="H571" s="1">
        <v>46058.977650462963</v>
      </c>
      <c r="I571" s="2" t="s">
        <v>191</v>
      </c>
      <c r="J571" s="2" t="s">
        <v>188</v>
      </c>
      <c r="K571" t="s">
        <v>18</v>
      </c>
      <c r="L571" t="str">
        <f>T("9791164834136")</f>
        <v>9791164834136</v>
      </c>
      <c r="M571" t="str">
        <f t="shared" si="23"/>
        <v/>
      </c>
      <c r="N571" t="s">
        <v>827</v>
      </c>
    </row>
    <row r="572" spans="1:14">
      <c r="A572" s="1">
        <v>46058.983495370368</v>
      </c>
      <c r="B572">
        <v>333593015</v>
      </c>
      <c r="C572" s="2" t="s">
        <v>826</v>
      </c>
      <c r="D572" t="s">
        <v>15</v>
      </c>
      <c r="E572" s="5">
        <v>3300</v>
      </c>
      <c r="F572" s="3">
        <v>3300</v>
      </c>
      <c r="G572" s="3">
        <v>2310</v>
      </c>
      <c r="I572" s="2" t="s">
        <v>191</v>
      </c>
      <c r="J572" s="2" t="s">
        <v>188</v>
      </c>
      <c r="K572" t="s">
        <v>18</v>
      </c>
      <c r="L572" t="str">
        <f>T("9791164834136")</f>
        <v>9791164834136</v>
      </c>
      <c r="M572" t="str">
        <f t="shared" si="23"/>
        <v/>
      </c>
      <c r="N572" t="s">
        <v>827</v>
      </c>
    </row>
    <row r="573" spans="1:14">
      <c r="A573" s="1">
        <v>46058.9841087963</v>
      </c>
      <c r="B573">
        <v>333593015</v>
      </c>
      <c r="C573" s="2" t="s">
        <v>826</v>
      </c>
      <c r="D573" t="s">
        <v>15</v>
      </c>
      <c r="E573" s="5">
        <v>-3300</v>
      </c>
      <c r="F573" s="3">
        <v>-3300</v>
      </c>
      <c r="G573" s="3">
        <v>-2310</v>
      </c>
      <c r="H573" s="1">
        <v>46058.983495370368</v>
      </c>
      <c r="I573" s="2" t="s">
        <v>191</v>
      </c>
      <c r="J573" s="2" t="s">
        <v>188</v>
      </c>
      <c r="K573" t="s">
        <v>18</v>
      </c>
      <c r="L573" t="str">
        <f>T("9791164834136")</f>
        <v>9791164834136</v>
      </c>
      <c r="M573" t="str">
        <f t="shared" si="23"/>
        <v/>
      </c>
      <c r="N573" t="s">
        <v>827</v>
      </c>
    </row>
    <row r="574" spans="1:14">
      <c r="A574" s="1">
        <v>46058.9841087963</v>
      </c>
      <c r="B574">
        <v>333593013</v>
      </c>
      <c r="C574" s="2" t="s">
        <v>828</v>
      </c>
      <c r="D574" t="s">
        <v>15</v>
      </c>
      <c r="E574" s="5">
        <v>-3300</v>
      </c>
      <c r="F574" s="3">
        <v>-3300</v>
      </c>
      <c r="G574" s="3">
        <v>-2310</v>
      </c>
      <c r="H574" s="1">
        <v>46058.983495370368</v>
      </c>
      <c r="I574" s="2" t="s">
        <v>191</v>
      </c>
      <c r="J574" s="2" t="s">
        <v>188</v>
      </c>
      <c r="K574" t="s">
        <v>18</v>
      </c>
      <c r="L574" t="str">
        <f>T("9791164834143")</f>
        <v>9791164834143</v>
      </c>
      <c r="M574" t="str">
        <f t="shared" si="23"/>
        <v/>
      </c>
      <c r="N574" t="s">
        <v>829</v>
      </c>
    </row>
    <row r="575" spans="1:14">
      <c r="A575" s="1">
        <v>46058.983495370368</v>
      </c>
      <c r="B575">
        <v>333593013</v>
      </c>
      <c r="C575" s="2" t="s">
        <v>828</v>
      </c>
      <c r="D575" t="s">
        <v>15</v>
      </c>
      <c r="E575" s="5">
        <v>3300</v>
      </c>
      <c r="F575" s="3">
        <v>3300</v>
      </c>
      <c r="G575" s="3">
        <v>2310</v>
      </c>
      <c r="I575" s="2" t="s">
        <v>191</v>
      </c>
      <c r="J575" s="2" t="s">
        <v>188</v>
      </c>
      <c r="K575" t="s">
        <v>18</v>
      </c>
      <c r="L575" t="str">
        <f>T("9791164834143")</f>
        <v>9791164834143</v>
      </c>
      <c r="M575" t="str">
        <f t="shared" si="23"/>
        <v/>
      </c>
      <c r="N575" t="s">
        <v>829</v>
      </c>
    </row>
    <row r="576" spans="1:14">
      <c r="A576" s="1">
        <v>46059.038761574076</v>
      </c>
      <c r="B576">
        <v>385348455</v>
      </c>
      <c r="C576" s="2" t="s">
        <v>255</v>
      </c>
      <c r="D576" t="s">
        <v>15</v>
      </c>
      <c r="E576" s="5">
        <v>14000</v>
      </c>
      <c r="F576" s="3">
        <v>12600</v>
      </c>
      <c r="G576" s="3">
        <v>8820</v>
      </c>
      <c r="I576" s="2" t="s">
        <v>187</v>
      </c>
      <c r="J576" s="2" t="s">
        <v>188</v>
      </c>
      <c r="K576" t="s">
        <v>18</v>
      </c>
      <c r="L576" t="str">
        <f>T("9791164835379")</f>
        <v>9791164835379</v>
      </c>
      <c r="M576" t="str">
        <f t="shared" si="23"/>
        <v/>
      </c>
    </row>
    <row r="577" spans="1:14">
      <c r="A577" s="1">
        <v>46059.055405092593</v>
      </c>
      <c r="B577">
        <v>333593015</v>
      </c>
      <c r="C577" s="2" t="s">
        <v>826</v>
      </c>
      <c r="D577" t="s">
        <v>15</v>
      </c>
      <c r="E577" s="5">
        <v>3300</v>
      </c>
      <c r="F577" s="3">
        <v>3300</v>
      </c>
      <c r="G577" s="3">
        <v>2310</v>
      </c>
      <c r="I577" s="2" t="s">
        <v>191</v>
      </c>
      <c r="J577" s="2" t="s">
        <v>188</v>
      </c>
      <c r="K577" t="s">
        <v>18</v>
      </c>
      <c r="L577" t="str">
        <f>T("9791164834136")</f>
        <v>9791164834136</v>
      </c>
      <c r="M577" t="str">
        <f t="shared" si="23"/>
        <v/>
      </c>
      <c r="N577" t="s">
        <v>827</v>
      </c>
    </row>
    <row r="578" spans="1:14">
      <c r="A578" s="1">
        <v>46059.208831018521</v>
      </c>
      <c r="B578">
        <v>384664782</v>
      </c>
      <c r="C578" s="2" t="s">
        <v>373</v>
      </c>
      <c r="D578" t="s">
        <v>15</v>
      </c>
      <c r="E578" s="5">
        <v>1000</v>
      </c>
      <c r="F578" s="3">
        <v>1000</v>
      </c>
      <c r="G578" s="2">
        <v>700</v>
      </c>
      <c r="I578" s="2" t="s">
        <v>374</v>
      </c>
      <c r="J578" s="2" t="s">
        <v>21</v>
      </c>
      <c r="K578" t="s">
        <v>18</v>
      </c>
      <c r="L578" t="str">
        <f>T("9791175582392")</f>
        <v>9791175582392</v>
      </c>
      <c r="M578" t="str">
        <f t="shared" si="23"/>
        <v/>
      </c>
      <c r="N578" t="s">
        <v>375</v>
      </c>
    </row>
    <row r="579" spans="1:14">
      <c r="A579" s="1">
        <v>46059.275902777779</v>
      </c>
      <c r="B579">
        <v>333593014</v>
      </c>
      <c r="C579" s="2" t="s">
        <v>830</v>
      </c>
      <c r="D579" t="s">
        <v>15</v>
      </c>
      <c r="E579" s="5">
        <v>3300</v>
      </c>
      <c r="F579" s="3">
        <v>3300</v>
      </c>
      <c r="G579" s="3">
        <v>2310</v>
      </c>
      <c r="I579" s="2" t="s">
        <v>191</v>
      </c>
      <c r="J579" s="2" t="s">
        <v>188</v>
      </c>
      <c r="K579" t="s">
        <v>18</v>
      </c>
      <c r="L579" t="str">
        <f>T("9791164834150")</f>
        <v>9791164834150</v>
      </c>
      <c r="M579" t="str">
        <f t="shared" si="23"/>
        <v/>
      </c>
      <c r="N579" t="s">
        <v>831</v>
      </c>
    </row>
    <row r="580" spans="1:14">
      <c r="A580" s="1">
        <v>46059.275902777779</v>
      </c>
      <c r="B580">
        <v>333593013</v>
      </c>
      <c r="C580" s="2" t="s">
        <v>828</v>
      </c>
      <c r="D580" t="s">
        <v>15</v>
      </c>
      <c r="E580" s="5">
        <v>3300</v>
      </c>
      <c r="F580" s="3">
        <v>3300</v>
      </c>
      <c r="G580" s="3">
        <v>2310</v>
      </c>
      <c r="I580" s="2" t="s">
        <v>191</v>
      </c>
      <c r="J580" s="2" t="s">
        <v>188</v>
      </c>
      <c r="K580" t="s">
        <v>18</v>
      </c>
      <c r="L580" t="str">
        <f>T("9791164834143")</f>
        <v>9791164834143</v>
      </c>
      <c r="M580" t="str">
        <f t="shared" si="23"/>
        <v/>
      </c>
      <c r="N580" t="s">
        <v>829</v>
      </c>
    </row>
    <row r="581" spans="1:14">
      <c r="A581" s="1">
        <v>46059.275902777779</v>
      </c>
      <c r="B581">
        <v>333593015</v>
      </c>
      <c r="C581" s="2" t="s">
        <v>826</v>
      </c>
      <c r="D581" t="s">
        <v>15</v>
      </c>
      <c r="E581" s="5">
        <v>3300</v>
      </c>
      <c r="F581" s="3">
        <v>3300</v>
      </c>
      <c r="G581" s="3">
        <v>2310</v>
      </c>
      <c r="I581" s="2" t="s">
        <v>191</v>
      </c>
      <c r="J581" s="2" t="s">
        <v>188</v>
      </c>
      <c r="K581" t="s">
        <v>18</v>
      </c>
      <c r="L581" t="str">
        <f>T("9791164834136")</f>
        <v>9791164834136</v>
      </c>
      <c r="M581" t="str">
        <f t="shared" si="23"/>
        <v/>
      </c>
      <c r="N581" t="s">
        <v>827</v>
      </c>
    </row>
    <row r="582" spans="1:14">
      <c r="A582" s="1">
        <v>46059.275902777779</v>
      </c>
      <c r="B582">
        <v>333593016</v>
      </c>
      <c r="C582" s="2" t="s">
        <v>190</v>
      </c>
      <c r="D582" t="s">
        <v>15</v>
      </c>
      <c r="E582" s="5">
        <v>3300</v>
      </c>
      <c r="F582" s="3">
        <v>3300</v>
      </c>
      <c r="G582" s="3">
        <v>2310</v>
      </c>
      <c r="I582" s="2" t="s">
        <v>191</v>
      </c>
      <c r="J582" s="2" t="s">
        <v>188</v>
      </c>
      <c r="K582" t="s">
        <v>18</v>
      </c>
      <c r="L582" t="str">
        <f>T("9791164834129")</f>
        <v>9791164834129</v>
      </c>
      <c r="M582" t="str">
        <f t="shared" si="23"/>
        <v/>
      </c>
      <c r="N582" t="s">
        <v>192</v>
      </c>
    </row>
    <row r="583" spans="1:14">
      <c r="A583" s="1">
        <v>46059.275902777779</v>
      </c>
      <c r="B583">
        <v>344251052</v>
      </c>
      <c r="C583" s="2" t="s">
        <v>824</v>
      </c>
      <c r="D583" t="s">
        <v>15</v>
      </c>
      <c r="E583" s="5">
        <v>3000</v>
      </c>
      <c r="F583" s="3">
        <v>3000</v>
      </c>
      <c r="G583" s="3">
        <v>2100</v>
      </c>
      <c r="I583" s="2" t="s">
        <v>191</v>
      </c>
      <c r="J583" s="2" t="s">
        <v>188</v>
      </c>
      <c r="K583" t="s">
        <v>18</v>
      </c>
      <c r="L583" t="str">
        <f>T("9791164834594")</f>
        <v>9791164834594</v>
      </c>
      <c r="M583" t="str">
        <f t="shared" si="23"/>
        <v/>
      </c>
      <c r="N583" t="s">
        <v>825</v>
      </c>
    </row>
    <row r="584" spans="1:14">
      <c r="A584" s="1">
        <v>46059.320185185185</v>
      </c>
      <c r="B584">
        <v>335331998</v>
      </c>
      <c r="C584" s="2" t="s">
        <v>832</v>
      </c>
      <c r="D584" t="s">
        <v>15</v>
      </c>
      <c r="E584" s="5">
        <v>57000</v>
      </c>
      <c r="F584" s="3">
        <v>57000</v>
      </c>
      <c r="G584" s="3">
        <v>39900</v>
      </c>
      <c r="I584" s="2" t="s">
        <v>833</v>
      </c>
      <c r="J584" s="2" t="s">
        <v>65</v>
      </c>
      <c r="K584" t="s">
        <v>18</v>
      </c>
      <c r="L584" t="str">
        <f>T("9791137006843")</f>
        <v>9791137006843</v>
      </c>
      <c r="M584" t="str">
        <f t="shared" si="23"/>
        <v/>
      </c>
    </row>
    <row r="585" spans="1:14">
      <c r="A585" s="1">
        <v>46059.374560185184</v>
      </c>
      <c r="B585">
        <v>295409723</v>
      </c>
      <c r="C585" s="2" t="s">
        <v>632</v>
      </c>
      <c r="D585" t="s">
        <v>15</v>
      </c>
      <c r="E585" s="5">
        <v>18000</v>
      </c>
      <c r="F585" s="3">
        <v>18000</v>
      </c>
      <c r="G585" s="3">
        <v>12600</v>
      </c>
      <c r="I585" s="2" t="s">
        <v>540</v>
      </c>
      <c r="J585" s="2" t="s">
        <v>197</v>
      </c>
      <c r="K585" t="s">
        <v>18</v>
      </c>
      <c r="L585" t="str">
        <f>T("9791164096534")</f>
        <v>9791164096534</v>
      </c>
      <c r="M585" t="str">
        <f t="shared" si="23"/>
        <v/>
      </c>
    </row>
    <row r="586" spans="1:14">
      <c r="A586" s="1">
        <v>46059.387557870374</v>
      </c>
      <c r="B586">
        <v>374549963</v>
      </c>
      <c r="C586" s="2" t="s">
        <v>834</v>
      </c>
      <c r="D586" t="s">
        <v>15</v>
      </c>
      <c r="E586" s="5">
        <v>1000</v>
      </c>
      <c r="F586" s="3">
        <v>1000</v>
      </c>
      <c r="G586" s="2">
        <v>700</v>
      </c>
      <c r="I586" s="2" t="s">
        <v>835</v>
      </c>
      <c r="J586" s="2" t="s">
        <v>21</v>
      </c>
      <c r="K586" t="s">
        <v>18</v>
      </c>
      <c r="L586" t="str">
        <f>T("9791173018961")</f>
        <v>9791173018961</v>
      </c>
      <c r="M586" t="str">
        <f t="shared" si="23"/>
        <v/>
      </c>
      <c r="N586" t="s">
        <v>836</v>
      </c>
    </row>
    <row r="587" spans="1:14">
      <c r="A587" s="1">
        <v>46059.387557870374</v>
      </c>
      <c r="B587">
        <v>379527574</v>
      </c>
      <c r="C587" s="2" t="s">
        <v>837</v>
      </c>
      <c r="D587" t="s">
        <v>15</v>
      </c>
      <c r="E587" s="5">
        <v>1000</v>
      </c>
      <c r="F587" s="3">
        <v>1000</v>
      </c>
      <c r="G587" s="2">
        <v>700</v>
      </c>
      <c r="I587" s="2" t="s">
        <v>835</v>
      </c>
      <c r="J587" s="2" t="s">
        <v>21</v>
      </c>
      <c r="K587" t="s">
        <v>18</v>
      </c>
      <c r="L587" t="str">
        <f>T("9791175581685")</f>
        <v>9791175581685</v>
      </c>
      <c r="M587" t="str">
        <f t="shared" si="23"/>
        <v/>
      </c>
      <c r="N587" t="s">
        <v>838</v>
      </c>
    </row>
    <row r="588" spans="1:14">
      <c r="A588" s="1">
        <v>46059.387557870374</v>
      </c>
      <c r="B588">
        <v>385579089</v>
      </c>
      <c r="C588" s="2" t="s">
        <v>839</v>
      </c>
      <c r="D588" t="s">
        <v>15</v>
      </c>
      <c r="E588" s="5">
        <v>1000</v>
      </c>
      <c r="F588" s="3">
        <v>1000</v>
      </c>
      <c r="G588" s="2">
        <v>700</v>
      </c>
      <c r="I588" s="2" t="s">
        <v>835</v>
      </c>
      <c r="J588" s="2" t="s">
        <v>21</v>
      </c>
      <c r="K588" t="s">
        <v>18</v>
      </c>
      <c r="L588" t="str">
        <f>T("")</f>
        <v/>
      </c>
      <c r="M588" t="str">
        <f>T("G720:N+A311-20251201016.M003")</f>
        <v>G720:N+A311-20251201016.M003</v>
      </c>
      <c r="N588" t="s">
        <v>840</v>
      </c>
    </row>
    <row r="589" spans="1:14">
      <c r="A589" s="1">
        <v>46059.410034722219</v>
      </c>
      <c r="B589">
        <v>347756165</v>
      </c>
      <c r="C589" s="2" t="s">
        <v>841</v>
      </c>
      <c r="D589" t="s">
        <v>15</v>
      </c>
      <c r="E589" s="5">
        <v>1100</v>
      </c>
      <c r="F589" s="3">
        <v>1100</v>
      </c>
      <c r="G589" s="2">
        <v>770</v>
      </c>
      <c r="I589" s="2" t="s">
        <v>38</v>
      </c>
      <c r="J589" s="2" t="s">
        <v>55</v>
      </c>
      <c r="K589" t="s">
        <v>18</v>
      </c>
      <c r="L589" t="str">
        <f>T("9791170898467")</f>
        <v>9791170898467</v>
      </c>
      <c r="M589" t="str">
        <f t="shared" ref="M589:M632" si="24">T("")</f>
        <v/>
      </c>
      <c r="N589" t="s">
        <v>842</v>
      </c>
    </row>
    <row r="590" spans="1:14">
      <c r="A590" s="1">
        <v>46059.415937500002</v>
      </c>
      <c r="B590">
        <v>339215089</v>
      </c>
      <c r="C590" s="2" t="s">
        <v>651</v>
      </c>
      <c r="D590" t="s">
        <v>15</v>
      </c>
      <c r="E590" s="5">
        <v>1800</v>
      </c>
      <c r="F590" s="3">
        <v>1800</v>
      </c>
      <c r="G590" s="3">
        <v>1260</v>
      </c>
      <c r="I590" s="2" t="s">
        <v>652</v>
      </c>
      <c r="J590" s="2" t="s">
        <v>188</v>
      </c>
      <c r="K590" t="s">
        <v>18</v>
      </c>
      <c r="L590" t="str">
        <f>T("9791164834471")</f>
        <v>9791164834471</v>
      </c>
      <c r="M590" t="str">
        <f t="shared" si="24"/>
        <v/>
      </c>
      <c r="N590" t="s">
        <v>653</v>
      </c>
    </row>
    <row r="591" spans="1:14">
      <c r="A591" s="1">
        <v>46059.417523148149</v>
      </c>
      <c r="B591">
        <v>357214613</v>
      </c>
      <c r="C591" s="2" t="s">
        <v>843</v>
      </c>
      <c r="D591" t="s">
        <v>15</v>
      </c>
      <c r="E591" s="5">
        <v>14000</v>
      </c>
      <c r="F591" s="3">
        <v>14000</v>
      </c>
      <c r="G591" s="3">
        <v>9800</v>
      </c>
      <c r="I591" s="2" t="s">
        <v>844</v>
      </c>
      <c r="J591" s="2" t="s">
        <v>308</v>
      </c>
      <c r="K591" t="s">
        <v>18</v>
      </c>
      <c r="L591" t="str">
        <f>T("9791194174202")</f>
        <v>9791194174202</v>
      </c>
      <c r="M591" t="str">
        <f t="shared" si="24"/>
        <v/>
      </c>
    </row>
    <row r="592" spans="1:14">
      <c r="A592" s="1">
        <v>46059.417743055557</v>
      </c>
      <c r="B592">
        <v>281745113</v>
      </c>
      <c r="C592" s="2" t="s">
        <v>845</v>
      </c>
      <c r="D592" t="s">
        <v>15</v>
      </c>
      <c r="E592" s="4">
        <v>100</v>
      </c>
      <c r="F592" s="2">
        <v>100</v>
      </c>
      <c r="G592" s="2">
        <v>70</v>
      </c>
      <c r="I592" s="2" t="s">
        <v>64</v>
      </c>
      <c r="J592" s="2" t="s">
        <v>65</v>
      </c>
      <c r="K592" t="s">
        <v>18</v>
      </c>
      <c r="L592" t="str">
        <f>T("9791162589724")</f>
        <v>9791162589724</v>
      </c>
      <c r="M592" t="str">
        <f t="shared" si="24"/>
        <v/>
      </c>
      <c r="N592" t="s">
        <v>846</v>
      </c>
    </row>
    <row r="593" spans="1:14">
      <c r="A593" s="1">
        <v>46059.422048611108</v>
      </c>
      <c r="B593">
        <v>379511327</v>
      </c>
      <c r="C593" s="2" t="s">
        <v>262</v>
      </c>
      <c r="D593" t="s">
        <v>15</v>
      </c>
      <c r="E593" s="5">
        <v>3300</v>
      </c>
      <c r="F593" s="3">
        <v>3300</v>
      </c>
      <c r="G593" s="3">
        <v>2310</v>
      </c>
      <c r="I593" s="2" t="s">
        <v>263</v>
      </c>
      <c r="J593" s="2" t="s">
        <v>126</v>
      </c>
      <c r="K593" t="s">
        <v>18</v>
      </c>
      <c r="L593" t="str">
        <f>T("9791171502875")</f>
        <v>9791171502875</v>
      </c>
      <c r="M593" t="str">
        <f t="shared" si="24"/>
        <v/>
      </c>
      <c r="N593" t="s">
        <v>264</v>
      </c>
    </row>
    <row r="594" spans="1:14">
      <c r="A594" s="1">
        <v>46059.424710648149</v>
      </c>
      <c r="B594">
        <v>385347797</v>
      </c>
      <c r="C594" s="2" t="s">
        <v>195</v>
      </c>
      <c r="D594" t="s">
        <v>15</v>
      </c>
      <c r="E594" s="4">
        <v>700</v>
      </c>
      <c r="F594" s="2">
        <v>630</v>
      </c>
      <c r="G594" s="2">
        <v>441</v>
      </c>
      <c r="I594" s="2" t="s">
        <v>196</v>
      </c>
      <c r="J594" s="2" t="s">
        <v>197</v>
      </c>
      <c r="K594" t="s">
        <v>18</v>
      </c>
      <c r="L594" t="str">
        <f>T("9791172821937")</f>
        <v>9791172821937</v>
      </c>
      <c r="M594" t="str">
        <f t="shared" si="24"/>
        <v/>
      </c>
      <c r="N594" t="s">
        <v>198</v>
      </c>
    </row>
    <row r="595" spans="1:14">
      <c r="A595" s="1">
        <v>46059.430949074071</v>
      </c>
      <c r="B595">
        <v>385348455</v>
      </c>
      <c r="C595" s="2" t="s">
        <v>255</v>
      </c>
      <c r="D595" t="s">
        <v>68</v>
      </c>
      <c r="E595" s="5">
        <v>12600</v>
      </c>
      <c r="F595" s="3">
        <v>12600</v>
      </c>
      <c r="G595" s="3">
        <v>8820</v>
      </c>
      <c r="I595" s="2" t="s">
        <v>187</v>
      </c>
      <c r="J595" s="2" t="s">
        <v>188</v>
      </c>
      <c r="K595" t="s">
        <v>18</v>
      </c>
      <c r="L595" t="str">
        <f>T("9791164835379")</f>
        <v>9791164835379</v>
      </c>
      <c r="M595" t="str">
        <f t="shared" si="24"/>
        <v/>
      </c>
    </row>
    <row r="596" spans="1:14">
      <c r="A596" s="1">
        <v>46059.43822916667</v>
      </c>
      <c r="B596">
        <v>384027906</v>
      </c>
      <c r="C596" s="2" t="s">
        <v>847</v>
      </c>
      <c r="D596" t="s">
        <v>15</v>
      </c>
      <c r="E596" s="5">
        <v>5400</v>
      </c>
      <c r="F596" s="3">
        <v>4860</v>
      </c>
      <c r="G596" s="3">
        <v>3402</v>
      </c>
      <c r="I596" s="2" t="s">
        <v>848</v>
      </c>
      <c r="J596" s="2" t="s">
        <v>188</v>
      </c>
      <c r="K596" t="s">
        <v>18</v>
      </c>
      <c r="L596" t="str">
        <f>T("9791164835324")</f>
        <v>9791164835324</v>
      </c>
      <c r="M596" t="str">
        <f t="shared" si="24"/>
        <v/>
      </c>
    </row>
    <row r="597" spans="1:14">
      <c r="A597" s="1">
        <v>46059.438680555555</v>
      </c>
      <c r="B597">
        <v>385347797</v>
      </c>
      <c r="C597" s="2" t="s">
        <v>195</v>
      </c>
      <c r="D597" t="s">
        <v>15</v>
      </c>
      <c r="E597" s="4">
        <v>700</v>
      </c>
      <c r="F597" s="2">
        <v>630</v>
      </c>
      <c r="G597" s="2">
        <v>441</v>
      </c>
      <c r="I597" s="2" t="s">
        <v>196</v>
      </c>
      <c r="J597" s="2" t="s">
        <v>197</v>
      </c>
      <c r="K597" t="s">
        <v>18</v>
      </c>
      <c r="L597" t="str">
        <f>T("9791172821937")</f>
        <v>9791172821937</v>
      </c>
      <c r="M597" t="str">
        <f t="shared" si="24"/>
        <v/>
      </c>
      <c r="N597" t="s">
        <v>198</v>
      </c>
    </row>
    <row r="598" spans="1:14">
      <c r="A598" s="1">
        <v>46059.440196759257</v>
      </c>
      <c r="B598">
        <v>188278258</v>
      </c>
      <c r="C598" s="2" t="s">
        <v>849</v>
      </c>
      <c r="D598" t="s">
        <v>15</v>
      </c>
      <c r="E598" s="5">
        <v>3300</v>
      </c>
      <c r="F598" s="3">
        <v>3300</v>
      </c>
      <c r="G598" s="3">
        <v>2310</v>
      </c>
      <c r="I598" s="2" t="s">
        <v>850</v>
      </c>
      <c r="J598" s="2" t="s">
        <v>693</v>
      </c>
      <c r="K598" t="s">
        <v>18</v>
      </c>
      <c r="L598" t="str">
        <f>T("9791163654599")</f>
        <v>9791163654599</v>
      </c>
      <c r="M598" t="str">
        <f t="shared" si="24"/>
        <v/>
      </c>
    </row>
    <row r="599" spans="1:14">
      <c r="A599" s="1">
        <v>46059.441041666665</v>
      </c>
      <c r="B599">
        <v>283801876</v>
      </c>
      <c r="C599" s="2" t="s">
        <v>851</v>
      </c>
      <c r="D599" t="s">
        <v>15</v>
      </c>
      <c r="E599" s="5">
        <v>3300</v>
      </c>
      <c r="F599" s="3">
        <v>3300</v>
      </c>
      <c r="G599" s="3">
        <v>2310</v>
      </c>
      <c r="I599" s="2" t="s">
        <v>852</v>
      </c>
      <c r="J599" s="2" t="s">
        <v>197</v>
      </c>
      <c r="K599" t="s">
        <v>18</v>
      </c>
      <c r="L599" t="str">
        <f>T("9791164095889")</f>
        <v>9791164095889</v>
      </c>
      <c r="M599" t="str">
        <f t="shared" si="24"/>
        <v/>
      </c>
      <c r="N599" t="s">
        <v>853</v>
      </c>
    </row>
    <row r="600" spans="1:14">
      <c r="A600" s="1">
        <v>46059.446273148147</v>
      </c>
      <c r="B600">
        <v>385348455</v>
      </c>
      <c r="C600" s="2" t="s">
        <v>255</v>
      </c>
      <c r="D600" t="s">
        <v>68</v>
      </c>
      <c r="E600" s="5">
        <v>12600</v>
      </c>
      <c r="F600" s="3">
        <v>12600</v>
      </c>
      <c r="G600" s="3">
        <v>8820</v>
      </c>
      <c r="I600" s="2" t="s">
        <v>187</v>
      </c>
      <c r="J600" s="2" t="s">
        <v>188</v>
      </c>
      <c r="K600" t="s">
        <v>18</v>
      </c>
      <c r="L600" t="str">
        <f>T("9791164835379")</f>
        <v>9791164835379</v>
      </c>
      <c r="M600" t="str">
        <f t="shared" si="24"/>
        <v/>
      </c>
    </row>
    <row r="601" spans="1:14">
      <c r="A601" s="1">
        <v>46059.446284722224</v>
      </c>
      <c r="B601">
        <v>385347797</v>
      </c>
      <c r="C601" s="2" t="s">
        <v>195</v>
      </c>
      <c r="D601" t="s">
        <v>15</v>
      </c>
      <c r="E601" s="4">
        <v>700</v>
      </c>
      <c r="F601" s="2">
        <v>630</v>
      </c>
      <c r="G601" s="2">
        <v>441</v>
      </c>
      <c r="I601" s="2" t="s">
        <v>196</v>
      </c>
      <c r="J601" s="2" t="s">
        <v>197</v>
      </c>
      <c r="K601" t="s">
        <v>18</v>
      </c>
      <c r="L601" t="str">
        <f>T("9791172821937")</f>
        <v>9791172821937</v>
      </c>
      <c r="M601" t="str">
        <f t="shared" si="24"/>
        <v/>
      </c>
      <c r="N601" t="s">
        <v>198</v>
      </c>
    </row>
    <row r="602" spans="1:14">
      <c r="A602" s="1">
        <v>46059.448206018518</v>
      </c>
      <c r="B602">
        <v>357642909</v>
      </c>
      <c r="C602" s="2" t="s">
        <v>854</v>
      </c>
      <c r="D602" t="s">
        <v>15</v>
      </c>
      <c r="E602" s="5">
        <v>21000</v>
      </c>
      <c r="F602" s="3">
        <v>21000</v>
      </c>
      <c r="G602" s="3">
        <v>14700</v>
      </c>
      <c r="I602" s="2" t="s">
        <v>855</v>
      </c>
      <c r="J602" s="2" t="s">
        <v>856</v>
      </c>
      <c r="K602" t="s">
        <v>18</v>
      </c>
      <c r="L602" t="str">
        <f>T("9791171568062")</f>
        <v>9791171568062</v>
      </c>
      <c r="M602" t="str">
        <f t="shared" si="24"/>
        <v/>
      </c>
    </row>
    <row r="603" spans="1:14">
      <c r="A603" s="1">
        <v>46059.448310185187</v>
      </c>
      <c r="B603">
        <v>340748554</v>
      </c>
      <c r="C603" s="2" t="s">
        <v>857</v>
      </c>
      <c r="D603" t="s">
        <v>15</v>
      </c>
      <c r="E603" s="5">
        <v>3000</v>
      </c>
      <c r="F603" s="3">
        <v>3000</v>
      </c>
      <c r="G603" s="3">
        <v>2100</v>
      </c>
      <c r="I603" s="2" t="s">
        <v>858</v>
      </c>
      <c r="J603" s="2" t="s">
        <v>126</v>
      </c>
      <c r="K603" t="s">
        <v>18</v>
      </c>
      <c r="L603" t="str">
        <f>T("9791171500628")</f>
        <v>9791171500628</v>
      </c>
      <c r="M603" t="str">
        <f t="shared" si="24"/>
        <v/>
      </c>
      <c r="N603" t="s">
        <v>859</v>
      </c>
    </row>
    <row r="604" spans="1:14">
      <c r="A604" s="1">
        <v>46059.448819444442</v>
      </c>
      <c r="B604">
        <v>301364944</v>
      </c>
      <c r="C604" s="2" t="s">
        <v>860</v>
      </c>
      <c r="D604" t="s">
        <v>68</v>
      </c>
      <c r="E604" s="4">
        <v>900</v>
      </c>
      <c r="F604" s="2">
        <v>900</v>
      </c>
      <c r="G604" s="2">
        <v>630</v>
      </c>
      <c r="I604" s="2" t="s">
        <v>809</v>
      </c>
      <c r="J604" s="2" t="s">
        <v>245</v>
      </c>
      <c r="K604" t="s">
        <v>18</v>
      </c>
      <c r="L604" t="str">
        <f>T("9791166007095")</f>
        <v>9791166007095</v>
      </c>
      <c r="M604" t="str">
        <f t="shared" si="24"/>
        <v/>
      </c>
      <c r="N604" t="s">
        <v>861</v>
      </c>
    </row>
    <row r="605" spans="1:14">
      <c r="A605" s="1">
        <v>46059.453773148147</v>
      </c>
      <c r="B605">
        <v>296745869</v>
      </c>
      <c r="C605" s="2" t="s">
        <v>862</v>
      </c>
      <c r="D605" t="s">
        <v>15</v>
      </c>
      <c r="E605" s="5">
        <v>3500</v>
      </c>
      <c r="F605" s="3">
        <v>3500</v>
      </c>
      <c r="G605" s="3">
        <v>2450</v>
      </c>
      <c r="I605" s="2" t="s">
        <v>863</v>
      </c>
      <c r="J605" s="2" t="s">
        <v>864</v>
      </c>
      <c r="K605" t="s">
        <v>18</v>
      </c>
      <c r="L605" t="str">
        <f>T("9791167833228")</f>
        <v>9791167833228</v>
      </c>
      <c r="M605" t="str">
        <f t="shared" si="24"/>
        <v/>
      </c>
    </row>
    <row r="606" spans="1:14">
      <c r="A606" s="1">
        <v>46059.453773148147</v>
      </c>
      <c r="B606">
        <v>296745886</v>
      </c>
      <c r="C606" s="2" t="s">
        <v>865</v>
      </c>
      <c r="D606" t="s">
        <v>15</v>
      </c>
      <c r="E606" s="5">
        <v>3500</v>
      </c>
      <c r="F606" s="3">
        <v>3500</v>
      </c>
      <c r="G606" s="3">
        <v>2450</v>
      </c>
      <c r="I606" s="2" t="s">
        <v>863</v>
      </c>
      <c r="J606" s="2" t="s">
        <v>864</v>
      </c>
      <c r="K606" t="s">
        <v>18</v>
      </c>
      <c r="L606" t="str">
        <f>T("9791167833211")</f>
        <v>9791167833211</v>
      </c>
      <c r="M606" t="str">
        <f t="shared" si="24"/>
        <v/>
      </c>
    </row>
    <row r="607" spans="1:14">
      <c r="A607" s="1">
        <v>46059.453773148147</v>
      </c>
      <c r="B607">
        <v>296745909</v>
      </c>
      <c r="C607" s="2" t="s">
        <v>866</v>
      </c>
      <c r="D607" t="s">
        <v>15</v>
      </c>
      <c r="E607" s="5">
        <v>1000</v>
      </c>
      <c r="F607" s="3">
        <v>1000</v>
      </c>
      <c r="G607" s="2">
        <v>700</v>
      </c>
      <c r="I607" s="2" t="s">
        <v>863</v>
      </c>
      <c r="J607" s="2" t="s">
        <v>864</v>
      </c>
      <c r="K607" t="s">
        <v>18</v>
      </c>
      <c r="L607" t="str">
        <f>T("9791167833235")</f>
        <v>9791167833235</v>
      </c>
      <c r="M607" t="str">
        <f t="shared" si="24"/>
        <v/>
      </c>
    </row>
    <row r="608" spans="1:14">
      <c r="A608" s="1">
        <v>46059.453773148147</v>
      </c>
      <c r="B608">
        <v>314577279</v>
      </c>
      <c r="C608" s="2" t="s">
        <v>867</v>
      </c>
      <c r="D608" t="s">
        <v>15</v>
      </c>
      <c r="E608" s="5">
        <v>6000</v>
      </c>
      <c r="F608" s="3">
        <v>6000</v>
      </c>
      <c r="G608" s="3">
        <v>4200</v>
      </c>
      <c r="I608" s="2" t="s">
        <v>863</v>
      </c>
      <c r="J608" s="2" t="s">
        <v>864</v>
      </c>
      <c r="K608" t="s">
        <v>18</v>
      </c>
      <c r="L608" t="str">
        <f>T("9791166502859")</f>
        <v>9791166502859</v>
      </c>
      <c r="M608" t="str">
        <f t="shared" si="24"/>
        <v/>
      </c>
    </row>
    <row r="609" spans="1:14">
      <c r="A609" s="1">
        <v>46059.453773148147</v>
      </c>
      <c r="B609">
        <v>315985821</v>
      </c>
      <c r="C609" s="2" t="s">
        <v>868</v>
      </c>
      <c r="D609" t="s">
        <v>15</v>
      </c>
      <c r="E609" s="5">
        <v>8000</v>
      </c>
      <c r="F609" s="3">
        <v>8000</v>
      </c>
      <c r="G609" s="3">
        <v>5600</v>
      </c>
      <c r="I609" s="2" t="s">
        <v>863</v>
      </c>
      <c r="J609" s="2" t="s">
        <v>864</v>
      </c>
      <c r="K609" t="s">
        <v>18</v>
      </c>
      <c r="L609" t="str">
        <f>T("9791167831088")</f>
        <v>9791167831088</v>
      </c>
      <c r="M609" t="str">
        <f t="shared" si="24"/>
        <v/>
      </c>
    </row>
    <row r="610" spans="1:14">
      <c r="A610" s="1">
        <v>46059.453773148147</v>
      </c>
      <c r="B610">
        <v>376176791</v>
      </c>
      <c r="C610" s="2" t="s">
        <v>869</v>
      </c>
      <c r="D610" t="s">
        <v>15</v>
      </c>
      <c r="E610" s="5">
        <v>3000</v>
      </c>
      <c r="F610" s="3">
        <v>3000</v>
      </c>
      <c r="G610" s="3">
        <v>2100</v>
      </c>
      <c r="I610" s="2" t="s">
        <v>870</v>
      </c>
      <c r="J610" s="2" t="s">
        <v>21</v>
      </c>
      <c r="K610" t="s">
        <v>18</v>
      </c>
      <c r="L610" t="str">
        <f>T("9791175581630")</f>
        <v>9791175581630</v>
      </c>
      <c r="M610" t="str">
        <f t="shared" si="24"/>
        <v/>
      </c>
      <c r="N610" t="s">
        <v>871</v>
      </c>
    </row>
    <row r="611" spans="1:14">
      <c r="A611" s="1">
        <v>46059.455648148149</v>
      </c>
      <c r="B611">
        <v>277935636</v>
      </c>
      <c r="C611" s="2" t="s">
        <v>601</v>
      </c>
      <c r="D611" t="s">
        <v>15</v>
      </c>
      <c r="E611" s="4">
        <v>100</v>
      </c>
      <c r="F611" s="2">
        <v>100</v>
      </c>
      <c r="G611" s="2">
        <v>70</v>
      </c>
      <c r="I611" s="2" t="s">
        <v>64</v>
      </c>
      <c r="J611" s="2" t="s">
        <v>65</v>
      </c>
      <c r="K611" t="s">
        <v>18</v>
      </c>
      <c r="L611" t="str">
        <f>T("9791162589724")</f>
        <v>9791162589724</v>
      </c>
      <c r="M611" t="str">
        <f t="shared" si="24"/>
        <v/>
      </c>
      <c r="N611" t="s">
        <v>602</v>
      </c>
    </row>
    <row r="612" spans="1:14">
      <c r="A612" s="1">
        <v>46059.459293981483</v>
      </c>
      <c r="B612">
        <v>343115259</v>
      </c>
      <c r="C612" s="2" t="s">
        <v>872</v>
      </c>
      <c r="D612" t="s">
        <v>15</v>
      </c>
      <c r="E612" s="5">
        <v>3100</v>
      </c>
      <c r="F612" s="3">
        <v>3100</v>
      </c>
      <c r="G612" s="3">
        <v>2170</v>
      </c>
      <c r="I612" s="2" t="s">
        <v>89</v>
      </c>
      <c r="J612" s="2" t="s">
        <v>21</v>
      </c>
      <c r="K612" t="s">
        <v>18</v>
      </c>
      <c r="L612" t="str">
        <f>T("9791167837769")</f>
        <v>9791167837769</v>
      </c>
      <c r="M612" t="str">
        <f t="shared" si="24"/>
        <v/>
      </c>
      <c r="N612" t="s">
        <v>873</v>
      </c>
    </row>
    <row r="613" spans="1:14">
      <c r="A613" s="1">
        <v>46059.459293981483</v>
      </c>
      <c r="B613">
        <v>343115258</v>
      </c>
      <c r="C613" s="2" t="s">
        <v>874</v>
      </c>
      <c r="D613" t="s">
        <v>15</v>
      </c>
      <c r="E613" s="5">
        <v>1000</v>
      </c>
      <c r="F613" s="3">
        <v>1000</v>
      </c>
      <c r="G613" s="2">
        <v>700</v>
      </c>
      <c r="I613" s="2" t="s">
        <v>89</v>
      </c>
      <c r="J613" s="2" t="s">
        <v>21</v>
      </c>
      <c r="K613" t="s">
        <v>18</v>
      </c>
      <c r="L613" t="str">
        <f>T("9791167838315")</f>
        <v>9791167838315</v>
      </c>
      <c r="M613" t="str">
        <f t="shared" si="24"/>
        <v/>
      </c>
      <c r="N613" t="s">
        <v>875</v>
      </c>
    </row>
    <row r="614" spans="1:14">
      <c r="A614" s="1">
        <v>46059.472962962966</v>
      </c>
      <c r="B614">
        <v>385348455</v>
      </c>
      <c r="C614" s="2" t="s">
        <v>255</v>
      </c>
      <c r="D614" t="s">
        <v>68</v>
      </c>
      <c r="E614" s="5">
        <v>12600</v>
      </c>
      <c r="F614" s="3">
        <v>12600</v>
      </c>
      <c r="G614" s="3">
        <v>8820</v>
      </c>
      <c r="I614" s="2" t="s">
        <v>187</v>
      </c>
      <c r="J614" s="2" t="s">
        <v>188</v>
      </c>
      <c r="K614" t="s">
        <v>18</v>
      </c>
      <c r="L614" t="str">
        <f>T("9791164835379")</f>
        <v>9791164835379</v>
      </c>
      <c r="M614" t="str">
        <f t="shared" si="24"/>
        <v/>
      </c>
    </row>
    <row r="615" spans="1:14">
      <c r="A615" s="1">
        <v>46059.500138888892</v>
      </c>
      <c r="B615">
        <v>367571729</v>
      </c>
      <c r="C615" s="2" t="s">
        <v>876</v>
      </c>
      <c r="D615" t="s">
        <v>15</v>
      </c>
      <c r="E615" s="5">
        <v>8100</v>
      </c>
      <c r="F615" s="3">
        <v>8100</v>
      </c>
      <c r="G615" s="3">
        <v>5670</v>
      </c>
      <c r="I615" s="2" t="s">
        <v>877</v>
      </c>
      <c r="J615" s="2" t="s">
        <v>184</v>
      </c>
      <c r="K615" t="s">
        <v>18</v>
      </c>
      <c r="L615" t="str">
        <f>T("9791170963899")</f>
        <v>9791170963899</v>
      </c>
      <c r="M615" t="str">
        <f t="shared" si="24"/>
        <v/>
      </c>
    </row>
    <row r="616" spans="1:14">
      <c r="A616" s="1">
        <v>46059.530324074076</v>
      </c>
      <c r="B616">
        <v>385193750</v>
      </c>
      <c r="C616" s="2" t="s">
        <v>311</v>
      </c>
      <c r="D616" t="s">
        <v>15</v>
      </c>
      <c r="E616" s="5">
        <v>1000</v>
      </c>
      <c r="F616" s="3">
        <v>1000</v>
      </c>
      <c r="G616" s="2">
        <v>700</v>
      </c>
      <c r="I616" s="2" t="s">
        <v>312</v>
      </c>
      <c r="J616" s="2" t="s">
        <v>21</v>
      </c>
      <c r="K616" t="s">
        <v>18</v>
      </c>
      <c r="L616" t="str">
        <f>T("9791175582484")</f>
        <v>9791175582484</v>
      </c>
      <c r="M616" t="str">
        <f t="shared" si="24"/>
        <v/>
      </c>
      <c r="N616" t="s">
        <v>313</v>
      </c>
    </row>
    <row r="617" spans="1:14">
      <c r="A617" s="1">
        <v>46059.554560185185</v>
      </c>
      <c r="B617">
        <v>368640530</v>
      </c>
      <c r="C617" s="2" t="s">
        <v>480</v>
      </c>
      <c r="D617" t="s">
        <v>15</v>
      </c>
      <c r="E617" s="5">
        <v>12950</v>
      </c>
      <c r="F617" s="3">
        <v>12950</v>
      </c>
      <c r="G617" s="3">
        <v>9065</v>
      </c>
      <c r="I617" s="2" t="s">
        <v>481</v>
      </c>
      <c r="J617" s="2" t="s">
        <v>184</v>
      </c>
      <c r="K617" t="s">
        <v>18</v>
      </c>
      <c r="L617" t="str">
        <f>T("9791170964636")</f>
        <v>9791170964636</v>
      </c>
      <c r="M617" t="str">
        <f t="shared" si="24"/>
        <v/>
      </c>
      <c r="N617" t="s">
        <v>482</v>
      </c>
    </row>
    <row r="618" spans="1:14">
      <c r="A618" s="1">
        <v>46059.556226851855</v>
      </c>
      <c r="B618">
        <v>296177677</v>
      </c>
      <c r="C618" s="2" t="s">
        <v>878</v>
      </c>
      <c r="D618" t="s">
        <v>15</v>
      </c>
      <c r="E618" s="5">
        <v>1000</v>
      </c>
      <c r="F618" s="3">
        <v>1000</v>
      </c>
      <c r="G618" s="2">
        <v>700</v>
      </c>
      <c r="I618" s="2" t="s">
        <v>89</v>
      </c>
      <c r="J618" s="2" t="s">
        <v>21</v>
      </c>
      <c r="K618" t="s">
        <v>18</v>
      </c>
      <c r="L618" t="str">
        <f>T("9791167832986")</f>
        <v>9791167832986</v>
      </c>
      <c r="M618" t="str">
        <f t="shared" si="24"/>
        <v/>
      </c>
    </row>
    <row r="619" spans="1:14">
      <c r="A619" s="1">
        <v>46059.556319444448</v>
      </c>
      <c r="B619">
        <v>286200860</v>
      </c>
      <c r="C619" s="2" t="s">
        <v>673</v>
      </c>
      <c r="D619" t="s">
        <v>15</v>
      </c>
      <c r="E619" s="4">
        <v>100</v>
      </c>
      <c r="F619" s="2">
        <v>100</v>
      </c>
      <c r="G619" s="2">
        <v>70</v>
      </c>
      <c r="I619" s="2" t="s">
        <v>64</v>
      </c>
      <c r="J619" s="2" t="s">
        <v>65</v>
      </c>
      <c r="K619" t="s">
        <v>18</v>
      </c>
      <c r="L619" t="str">
        <f>T("9791162589724")</f>
        <v>9791162589724</v>
      </c>
      <c r="M619" t="str">
        <f t="shared" si="24"/>
        <v/>
      </c>
      <c r="N619" t="s">
        <v>674</v>
      </c>
    </row>
    <row r="620" spans="1:14">
      <c r="A620" s="1">
        <v>46059.566562499997</v>
      </c>
      <c r="B620">
        <v>297670491</v>
      </c>
      <c r="C620" s="2" t="s">
        <v>879</v>
      </c>
      <c r="D620" t="s">
        <v>15</v>
      </c>
      <c r="E620" s="4">
        <v>0</v>
      </c>
      <c r="F620" s="2">
        <v>0</v>
      </c>
      <c r="G620" s="2">
        <v>0</v>
      </c>
      <c r="I620" s="2" t="s">
        <v>266</v>
      </c>
      <c r="J620" s="2" t="s">
        <v>126</v>
      </c>
      <c r="K620" t="s">
        <v>18</v>
      </c>
      <c r="L620" t="str">
        <f>T("9791164977161")</f>
        <v>9791164977161</v>
      </c>
      <c r="M620" t="str">
        <f t="shared" si="24"/>
        <v/>
      </c>
      <c r="N620" t="s">
        <v>880</v>
      </c>
    </row>
    <row r="621" spans="1:14">
      <c r="A621" s="1">
        <v>46059.56832175926</v>
      </c>
      <c r="B621">
        <v>277935658</v>
      </c>
      <c r="C621" s="2" t="s">
        <v>881</v>
      </c>
      <c r="D621" t="s">
        <v>15</v>
      </c>
      <c r="E621" s="4">
        <v>100</v>
      </c>
      <c r="F621" s="2">
        <v>100</v>
      </c>
      <c r="G621" s="2">
        <v>70</v>
      </c>
      <c r="I621" s="2" t="s">
        <v>64</v>
      </c>
      <c r="J621" s="2" t="s">
        <v>65</v>
      </c>
      <c r="K621" t="s">
        <v>18</v>
      </c>
      <c r="L621" t="str">
        <f>T("9791162589724")</f>
        <v>9791162589724</v>
      </c>
      <c r="M621" t="str">
        <f t="shared" si="24"/>
        <v/>
      </c>
      <c r="N621" t="s">
        <v>882</v>
      </c>
    </row>
    <row r="622" spans="1:14">
      <c r="A622" s="1">
        <v>46059.581319444442</v>
      </c>
      <c r="B622">
        <v>325295944</v>
      </c>
      <c r="C622" s="2" t="s">
        <v>883</v>
      </c>
      <c r="D622" t="s">
        <v>68</v>
      </c>
      <c r="E622" s="4">
        <v>0</v>
      </c>
      <c r="F622" s="2">
        <v>0</v>
      </c>
      <c r="G622" s="2">
        <v>0</v>
      </c>
      <c r="I622" s="2" t="s">
        <v>244</v>
      </c>
      <c r="J622" s="2" t="s">
        <v>245</v>
      </c>
      <c r="K622" t="s">
        <v>18</v>
      </c>
      <c r="L622" t="str">
        <f>T("9791166002021")</f>
        <v>9791166002021</v>
      </c>
      <c r="M622" t="str">
        <f t="shared" si="24"/>
        <v/>
      </c>
      <c r="N622" t="s">
        <v>884</v>
      </c>
    </row>
    <row r="623" spans="1:14">
      <c r="A623" s="1">
        <v>46059.581319444442</v>
      </c>
      <c r="B623">
        <v>325296001</v>
      </c>
      <c r="C623" s="2" t="s">
        <v>885</v>
      </c>
      <c r="D623" t="s">
        <v>68</v>
      </c>
      <c r="E623" s="4">
        <v>300</v>
      </c>
      <c r="F623" s="2">
        <v>300</v>
      </c>
      <c r="G623" s="2">
        <v>210</v>
      </c>
      <c r="I623" s="2" t="s">
        <v>244</v>
      </c>
      <c r="J623" s="2" t="s">
        <v>245</v>
      </c>
      <c r="K623" t="s">
        <v>18</v>
      </c>
      <c r="L623" t="str">
        <f>T("9791166002045")</f>
        <v>9791166002045</v>
      </c>
      <c r="M623" t="str">
        <f t="shared" si="24"/>
        <v/>
      </c>
      <c r="N623" t="s">
        <v>886</v>
      </c>
    </row>
    <row r="624" spans="1:14">
      <c r="A624" s="1">
        <v>46059.581319444442</v>
      </c>
      <c r="B624">
        <v>325296045</v>
      </c>
      <c r="C624" s="2" t="s">
        <v>887</v>
      </c>
      <c r="D624" t="s">
        <v>68</v>
      </c>
      <c r="E624" s="4">
        <v>300</v>
      </c>
      <c r="F624" s="2">
        <v>300</v>
      </c>
      <c r="G624" s="2">
        <v>210</v>
      </c>
      <c r="I624" s="2" t="s">
        <v>244</v>
      </c>
      <c r="J624" s="2" t="s">
        <v>245</v>
      </c>
      <c r="K624" t="s">
        <v>18</v>
      </c>
      <c r="L624" t="str">
        <f>T("9791166002038")</f>
        <v>9791166002038</v>
      </c>
      <c r="M624" t="str">
        <f t="shared" si="24"/>
        <v/>
      </c>
      <c r="N624" t="s">
        <v>888</v>
      </c>
    </row>
    <row r="625" spans="1:14">
      <c r="A625" s="1">
        <v>46059.594398148147</v>
      </c>
      <c r="B625">
        <v>365291566</v>
      </c>
      <c r="C625" s="2" t="s">
        <v>889</v>
      </c>
      <c r="D625" t="s">
        <v>15</v>
      </c>
      <c r="E625" s="5">
        <v>1000</v>
      </c>
      <c r="F625" s="3">
        <v>1000</v>
      </c>
      <c r="G625" s="2">
        <v>700</v>
      </c>
      <c r="I625" s="2" t="s">
        <v>890</v>
      </c>
      <c r="J625" s="2" t="s">
        <v>21</v>
      </c>
      <c r="K625" t="s">
        <v>18</v>
      </c>
      <c r="L625" t="str">
        <f>T("9791173014376")</f>
        <v>9791173014376</v>
      </c>
      <c r="M625" t="str">
        <f t="shared" si="24"/>
        <v/>
      </c>
      <c r="N625" t="s">
        <v>891</v>
      </c>
    </row>
    <row r="626" spans="1:14">
      <c r="A626" s="1">
        <v>46059.594398148147</v>
      </c>
      <c r="B626">
        <v>361607696</v>
      </c>
      <c r="C626" s="2" t="s">
        <v>635</v>
      </c>
      <c r="D626" t="s">
        <v>15</v>
      </c>
      <c r="E626" s="5">
        <v>1100</v>
      </c>
      <c r="F626" s="3">
        <v>1100</v>
      </c>
      <c r="G626" s="2">
        <v>770</v>
      </c>
      <c r="I626" s="2" t="s">
        <v>211</v>
      </c>
      <c r="J626" s="2" t="s">
        <v>21</v>
      </c>
      <c r="K626" t="s">
        <v>18</v>
      </c>
      <c r="L626" t="str">
        <f>T("9791173013485")</f>
        <v>9791173013485</v>
      </c>
      <c r="M626" t="str">
        <f t="shared" si="24"/>
        <v/>
      </c>
      <c r="N626" t="s">
        <v>636</v>
      </c>
    </row>
    <row r="627" spans="1:14">
      <c r="A627" s="1">
        <v>46059.594398148147</v>
      </c>
      <c r="B627">
        <v>357992780</v>
      </c>
      <c r="C627" s="2" t="s">
        <v>154</v>
      </c>
      <c r="D627" t="s">
        <v>15</v>
      </c>
      <c r="E627" s="5">
        <v>1200</v>
      </c>
      <c r="F627" s="3">
        <v>1200</v>
      </c>
      <c r="G627" s="2">
        <v>840</v>
      </c>
      <c r="I627" s="2" t="s">
        <v>148</v>
      </c>
      <c r="J627" s="2" t="s">
        <v>21</v>
      </c>
      <c r="K627" t="s">
        <v>18</v>
      </c>
      <c r="L627" t="str">
        <f>T("9791173012716")</f>
        <v>9791173012716</v>
      </c>
      <c r="M627" t="str">
        <f t="shared" si="24"/>
        <v/>
      </c>
      <c r="N627" t="s">
        <v>155</v>
      </c>
    </row>
    <row r="628" spans="1:14">
      <c r="A628" s="1">
        <v>46059.594398148147</v>
      </c>
      <c r="B628">
        <v>356282410</v>
      </c>
      <c r="C628" s="2" t="s">
        <v>892</v>
      </c>
      <c r="D628" t="s">
        <v>15</v>
      </c>
      <c r="E628" s="5">
        <v>1100</v>
      </c>
      <c r="F628" s="3">
        <v>1100</v>
      </c>
      <c r="G628" s="2">
        <v>770</v>
      </c>
      <c r="I628" s="2" t="s">
        <v>211</v>
      </c>
      <c r="J628" s="2" t="s">
        <v>21</v>
      </c>
      <c r="K628" t="s">
        <v>18</v>
      </c>
      <c r="L628" t="str">
        <f>T("9791173012778")</f>
        <v>9791173012778</v>
      </c>
      <c r="M628" t="str">
        <f t="shared" si="24"/>
        <v/>
      </c>
      <c r="N628" t="s">
        <v>893</v>
      </c>
    </row>
    <row r="629" spans="1:14">
      <c r="A629" s="1">
        <v>46059.594398148147</v>
      </c>
      <c r="B629">
        <v>353237673</v>
      </c>
      <c r="C629" s="2" t="s">
        <v>894</v>
      </c>
      <c r="D629" t="s">
        <v>15</v>
      </c>
      <c r="E629" s="5">
        <v>1100</v>
      </c>
      <c r="F629" s="3">
        <v>1100</v>
      </c>
      <c r="G629" s="2">
        <v>770</v>
      </c>
      <c r="I629" s="2" t="s">
        <v>211</v>
      </c>
      <c r="J629" s="2" t="s">
        <v>21</v>
      </c>
      <c r="K629" t="s">
        <v>18</v>
      </c>
      <c r="L629" t="str">
        <f>T("9791173011030")</f>
        <v>9791173011030</v>
      </c>
      <c r="M629" t="str">
        <f t="shared" si="24"/>
        <v/>
      </c>
      <c r="N629" t="s">
        <v>895</v>
      </c>
    </row>
    <row r="630" spans="1:14">
      <c r="A630" s="1">
        <v>46059.594398148147</v>
      </c>
      <c r="B630">
        <v>353613755</v>
      </c>
      <c r="C630" s="2" t="s">
        <v>896</v>
      </c>
      <c r="D630" t="s">
        <v>15</v>
      </c>
      <c r="E630" s="5">
        <v>1100</v>
      </c>
      <c r="F630" s="3">
        <v>1100</v>
      </c>
      <c r="G630" s="2">
        <v>770</v>
      </c>
      <c r="I630" s="2" t="s">
        <v>211</v>
      </c>
      <c r="J630" s="2" t="s">
        <v>21</v>
      </c>
      <c r="K630" t="s">
        <v>18</v>
      </c>
      <c r="L630" t="str">
        <f>T("9791173011214")</f>
        <v>9791173011214</v>
      </c>
      <c r="M630" t="str">
        <f t="shared" si="24"/>
        <v/>
      </c>
      <c r="N630" t="s">
        <v>897</v>
      </c>
    </row>
    <row r="631" spans="1:14">
      <c r="A631" s="1">
        <v>46059.594398148147</v>
      </c>
      <c r="B631">
        <v>379527572</v>
      </c>
      <c r="C631" s="2" t="s">
        <v>669</v>
      </c>
      <c r="D631" t="s">
        <v>15</v>
      </c>
      <c r="E631" s="5">
        <v>1100</v>
      </c>
      <c r="F631" s="3">
        <v>1100</v>
      </c>
      <c r="G631" s="2">
        <v>770</v>
      </c>
      <c r="I631" s="2" t="s">
        <v>211</v>
      </c>
      <c r="J631" s="2" t="s">
        <v>21</v>
      </c>
      <c r="K631" t="s">
        <v>18</v>
      </c>
      <c r="L631" t="str">
        <f>T("9791175580756")</f>
        <v>9791175580756</v>
      </c>
      <c r="M631" t="str">
        <f t="shared" si="24"/>
        <v/>
      </c>
      <c r="N631" t="s">
        <v>670</v>
      </c>
    </row>
    <row r="632" spans="1:14">
      <c r="A632" s="1">
        <v>46059.594398148147</v>
      </c>
      <c r="B632">
        <v>385347515</v>
      </c>
      <c r="C632" s="2" t="s">
        <v>304</v>
      </c>
      <c r="D632" t="s">
        <v>15</v>
      </c>
      <c r="E632" s="5">
        <v>1300</v>
      </c>
      <c r="F632" s="3">
        <v>1300</v>
      </c>
      <c r="G632" s="2">
        <v>910</v>
      </c>
      <c r="I632" s="2" t="s">
        <v>148</v>
      </c>
      <c r="J632" s="2" t="s">
        <v>21</v>
      </c>
      <c r="K632" t="s">
        <v>18</v>
      </c>
      <c r="L632" t="str">
        <f>T("9791175582521")</f>
        <v>9791175582521</v>
      </c>
      <c r="M632" t="str">
        <f t="shared" si="24"/>
        <v/>
      </c>
      <c r="N632" t="s">
        <v>305</v>
      </c>
    </row>
    <row r="633" spans="1:14">
      <c r="A633" s="1">
        <v>46059.594398148147</v>
      </c>
      <c r="B633">
        <v>385408887</v>
      </c>
      <c r="C633" s="2" t="s">
        <v>756</v>
      </c>
      <c r="D633" t="s">
        <v>15</v>
      </c>
      <c r="E633" s="4">
        <v>300</v>
      </c>
      <c r="F633" s="2">
        <v>300</v>
      </c>
      <c r="G633" s="2">
        <v>210</v>
      </c>
      <c r="I633" s="2" t="s">
        <v>211</v>
      </c>
      <c r="J633" s="2" t="s">
        <v>21</v>
      </c>
      <c r="K633" t="s">
        <v>18</v>
      </c>
      <c r="L633" t="str">
        <f>T("")</f>
        <v/>
      </c>
      <c r="M633" t="str">
        <f>T("G720:N+A311-20251217050.M006")</f>
        <v>G720:N+A311-20251217050.M006</v>
      </c>
      <c r="N633" t="s">
        <v>757</v>
      </c>
    </row>
    <row r="634" spans="1:14">
      <c r="A634" s="1">
        <v>46059.594398148147</v>
      </c>
      <c r="B634">
        <v>385517694</v>
      </c>
      <c r="C634" s="2" t="s">
        <v>898</v>
      </c>
      <c r="D634" t="s">
        <v>15</v>
      </c>
      <c r="E634" s="4">
        <v>300</v>
      </c>
      <c r="F634" s="2">
        <v>300</v>
      </c>
      <c r="G634" s="2">
        <v>210</v>
      </c>
      <c r="I634" s="2" t="s">
        <v>211</v>
      </c>
      <c r="J634" s="2" t="s">
        <v>21</v>
      </c>
      <c r="K634" t="s">
        <v>18</v>
      </c>
      <c r="L634" t="str">
        <f>T("")</f>
        <v/>
      </c>
      <c r="M634" t="str">
        <f>T("G720:N+A311-20251217050.M007")</f>
        <v>G720:N+A311-20251217050.M007</v>
      </c>
      <c r="N634" t="s">
        <v>899</v>
      </c>
    </row>
    <row r="635" spans="1:14">
      <c r="A635" s="1">
        <v>46059.645972222221</v>
      </c>
      <c r="B635">
        <v>383435421</v>
      </c>
      <c r="C635" s="2" t="s">
        <v>27</v>
      </c>
      <c r="D635" t="s">
        <v>15</v>
      </c>
      <c r="E635" s="5">
        <v>1000</v>
      </c>
      <c r="F635" s="3">
        <v>1000</v>
      </c>
      <c r="G635" s="2">
        <v>700</v>
      </c>
      <c r="I635" s="2" t="s">
        <v>28</v>
      </c>
      <c r="J635" s="2" t="s">
        <v>21</v>
      </c>
      <c r="K635" t="s">
        <v>18</v>
      </c>
      <c r="L635" t="str">
        <f>T("9791175582361")</f>
        <v>9791175582361</v>
      </c>
      <c r="M635" t="str">
        <f t="shared" ref="M635:M666" si="25">T("")</f>
        <v/>
      </c>
      <c r="N635" t="s">
        <v>29</v>
      </c>
    </row>
    <row r="636" spans="1:14">
      <c r="A636" s="1">
        <v>46059.670995370368</v>
      </c>
      <c r="B636">
        <v>385348455</v>
      </c>
      <c r="C636" s="2" t="s">
        <v>255</v>
      </c>
      <c r="D636" t="s">
        <v>68</v>
      </c>
      <c r="E636" s="5">
        <v>12600</v>
      </c>
      <c r="F636" s="3">
        <v>12600</v>
      </c>
      <c r="G636" s="3">
        <v>8820</v>
      </c>
      <c r="I636" s="2" t="s">
        <v>187</v>
      </c>
      <c r="J636" s="2" t="s">
        <v>188</v>
      </c>
      <c r="K636" t="s">
        <v>18</v>
      </c>
      <c r="L636" t="str">
        <f>T("9791164835379")</f>
        <v>9791164835379</v>
      </c>
      <c r="M636" t="str">
        <f t="shared" si="25"/>
        <v/>
      </c>
    </row>
    <row r="637" spans="1:14">
      <c r="A637" s="1">
        <v>46059.681805555556</v>
      </c>
      <c r="B637">
        <v>303466892</v>
      </c>
      <c r="C637" s="2" t="s">
        <v>758</v>
      </c>
      <c r="D637" t="s">
        <v>15</v>
      </c>
      <c r="E637" s="5">
        <v>3000</v>
      </c>
      <c r="F637" s="3">
        <v>2700</v>
      </c>
      <c r="G637" s="3">
        <v>1890</v>
      </c>
      <c r="I637" s="2" t="s">
        <v>187</v>
      </c>
      <c r="J637" s="2" t="s">
        <v>188</v>
      </c>
      <c r="K637" t="s">
        <v>18</v>
      </c>
      <c r="L637" t="str">
        <f>T("9791164833573")</f>
        <v>9791164833573</v>
      </c>
      <c r="M637" t="str">
        <f t="shared" si="25"/>
        <v/>
      </c>
      <c r="N637" t="s">
        <v>759</v>
      </c>
    </row>
    <row r="638" spans="1:14">
      <c r="A638" s="1">
        <v>46059.685555555552</v>
      </c>
      <c r="B638">
        <v>383435421</v>
      </c>
      <c r="C638" s="2" t="s">
        <v>27</v>
      </c>
      <c r="D638" t="s">
        <v>15</v>
      </c>
      <c r="E638" s="5">
        <v>1000</v>
      </c>
      <c r="F638" s="3">
        <v>1000</v>
      </c>
      <c r="G638" s="2">
        <v>700</v>
      </c>
      <c r="I638" s="2" t="s">
        <v>28</v>
      </c>
      <c r="J638" s="2" t="s">
        <v>21</v>
      </c>
      <c r="K638" t="s">
        <v>18</v>
      </c>
      <c r="L638" t="str">
        <f>T("9791175582361")</f>
        <v>9791175582361</v>
      </c>
      <c r="M638" t="str">
        <f t="shared" si="25"/>
        <v/>
      </c>
      <c r="N638" t="s">
        <v>29</v>
      </c>
    </row>
    <row r="639" spans="1:14">
      <c r="A639" s="1">
        <v>46059.685960648145</v>
      </c>
      <c r="B639">
        <v>385347797</v>
      </c>
      <c r="C639" s="2" t="s">
        <v>195</v>
      </c>
      <c r="D639" t="s">
        <v>15</v>
      </c>
      <c r="E639" s="4">
        <v>700</v>
      </c>
      <c r="F639" s="2">
        <v>630</v>
      </c>
      <c r="G639" s="2">
        <v>441</v>
      </c>
      <c r="I639" s="2" t="s">
        <v>196</v>
      </c>
      <c r="J639" s="2" t="s">
        <v>197</v>
      </c>
      <c r="K639" t="s">
        <v>18</v>
      </c>
      <c r="L639" t="str">
        <f>T("9791172821937")</f>
        <v>9791172821937</v>
      </c>
      <c r="M639" t="str">
        <f t="shared" si="25"/>
        <v/>
      </c>
      <c r="N639" t="s">
        <v>198</v>
      </c>
    </row>
    <row r="640" spans="1:14">
      <c r="A640" s="1">
        <v>46059.686331018522</v>
      </c>
      <c r="B640">
        <v>282892713</v>
      </c>
      <c r="C640" s="2" t="s">
        <v>900</v>
      </c>
      <c r="D640" t="s">
        <v>15</v>
      </c>
      <c r="E640" s="5">
        <v>1000</v>
      </c>
      <c r="F640" s="3">
        <v>1000</v>
      </c>
      <c r="G640" s="2">
        <v>700</v>
      </c>
      <c r="I640" s="2" t="s">
        <v>901</v>
      </c>
      <c r="J640" s="2" t="s">
        <v>177</v>
      </c>
      <c r="K640" t="s">
        <v>18</v>
      </c>
      <c r="L640" t="str">
        <f>T("9791164794782")</f>
        <v>9791164794782</v>
      </c>
      <c r="M640" t="str">
        <f t="shared" si="25"/>
        <v/>
      </c>
      <c r="N640" t="s">
        <v>902</v>
      </c>
    </row>
    <row r="641" spans="1:14">
      <c r="A641" s="1">
        <v>46059.700775462959</v>
      </c>
      <c r="B641">
        <v>385373317</v>
      </c>
      <c r="C641" s="2" t="s">
        <v>381</v>
      </c>
      <c r="D641" t="s">
        <v>15</v>
      </c>
      <c r="E641" s="4">
        <v>0</v>
      </c>
      <c r="F641" s="2">
        <v>0</v>
      </c>
      <c r="G641" s="2">
        <v>0</v>
      </c>
      <c r="I641" s="2" t="s">
        <v>382</v>
      </c>
      <c r="J641" s="2" t="s">
        <v>290</v>
      </c>
      <c r="K641" t="s">
        <v>18</v>
      </c>
      <c r="L641" t="str">
        <f>T("9791194982159")</f>
        <v>9791194982159</v>
      </c>
      <c r="M641" t="str">
        <f t="shared" si="25"/>
        <v/>
      </c>
      <c r="N641" t="s">
        <v>383</v>
      </c>
    </row>
    <row r="642" spans="1:14">
      <c r="A642" s="1">
        <v>46059.701365740744</v>
      </c>
      <c r="B642">
        <v>385373316</v>
      </c>
      <c r="C642" s="2" t="s">
        <v>387</v>
      </c>
      <c r="D642" t="s">
        <v>15</v>
      </c>
      <c r="E642" s="4">
        <v>0</v>
      </c>
      <c r="F642" s="2">
        <v>0</v>
      </c>
      <c r="G642" s="2">
        <v>0</v>
      </c>
      <c r="I642" s="2" t="s">
        <v>388</v>
      </c>
      <c r="J642" s="2" t="s">
        <v>290</v>
      </c>
      <c r="K642" t="s">
        <v>18</v>
      </c>
      <c r="L642" t="str">
        <f>T("9791194982036")</f>
        <v>9791194982036</v>
      </c>
      <c r="M642" t="str">
        <f t="shared" si="25"/>
        <v/>
      </c>
      <c r="N642" t="s">
        <v>389</v>
      </c>
    </row>
    <row r="643" spans="1:14">
      <c r="A643" s="1">
        <v>46059.702407407407</v>
      </c>
      <c r="B643">
        <v>385373286</v>
      </c>
      <c r="C643" s="2" t="s">
        <v>384</v>
      </c>
      <c r="D643" t="s">
        <v>15</v>
      </c>
      <c r="E643" s="4">
        <v>0</v>
      </c>
      <c r="F643" s="2">
        <v>0</v>
      </c>
      <c r="G643" s="2">
        <v>0</v>
      </c>
      <c r="I643" s="2" t="s">
        <v>385</v>
      </c>
      <c r="J643" s="2" t="s">
        <v>290</v>
      </c>
      <c r="K643" t="s">
        <v>18</v>
      </c>
      <c r="L643" t="str">
        <f>T("9791194982302")</f>
        <v>9791194982302</v>
      </c>
      <c r="M643" t="str">
        <f t="shared" si="25"/>
        <v/>
      </c>
      <c r="N643" t="s">
        <v>386</v>
      </c>
    </row>
    <row r="644" spans="1:14">
      <c r="A644" s="1">
        <v>46059.705787037034</v>
      </c>
      <c r="B644">
        <v>384598651</v>
      </c>
      <c r="C644" s="2" t="s">
        <v>696</v>
      </c>
      <c r="D644" t="s">
        <v>15</v>
      </c>
      <c r="E644" s="5">
        <v>1000</v>
      </c>
      <c r="F644" s="3">
        <v>1000</v>
      </c>
      <c r="G644" s="2">
        <v>700</v>
      </c>
      <c r="I644" s="2" t="s">
        <v>28</v>
      </c>
      <c r="J644" s="2" t="s">
        <v>21</v>
      </c>
      <c r="K644" t="s">
        <v>18</v>
      </c>
      <c r="L644" t="str">
        <f>T("9791175582422")</f>
        <v>9791175582422</v>
      </c>
      <c r="M644" t="str">
        <f t="shared" si="25"/>
        <v/>
      </c>
      <c r="N644" t="s">
        <v>697</v>
      </c>
    </row>
    <row r="645" spans="1:14">
      <c r="A645" s="1">
        <v>46059.712118055555</v>
      </c>
      <c r="B645">
        <v>333593013</v>
      </c>
      <c r="C645" s="2" t="s">
        <v>828</v>
      </c>
      <c r="D645" t="s">
        <v>15</v>
      </c>
      <c r="E645" s="5">
        <v>3300</v>
      </c>
      <c r="F645" s="3">
        <v>3300</v>
      </c>
      <c r="G645" s="3">
        <v>2310</v>
      </c>
      <c r="I645" s="2" t="s">
        <v>191</v>
      </c>
      <c r="J645" s="2" t="s">
        <v>188</v>
      </c>
      <c r="K645" t="s">
        <v>18</v>
      </c>
      <c r="L645" t="str">
        <f>T("9791164834143")</f>
        <v>9791164834143</v>
      </c>
      <c r="M645" t="str">
        <f t="shared" si="25"/>
        <v/>
      </c>
      <c r="N645" t="s">
        <v>829</v>
      </c>
    </row>
    <row r="646" spans="1:14">
      <c r="A646" s="1">
        <v>46060.739560185182</v>
      </c>
      <c r="B646">
        <v>277935839</v>
      </c>
      <c r="C646" s="2" t="s">
        <v>903</v>
      </c>
      <c r="D646" t="s">
        <v>15</v>
      </c>
      <c r="E646" s="4">
        <v>-100</v>
      </c>
      <c r="F646" s="2">
        <v>-100</v>
      </c>
      <c r="G646" s="2">
        <v>-70</v>
      </c>
      <c r="H646" s="1">
        <v>46059.715798611112</v>
      </c>
      <c r="I646" s="2" t="s">
        <v>64</v>
      </c>
      <c r="J646" s="2" t="s">
        <v>65</v>
      </c>
      <c r="K646" t="s">
        <v>18</v>
      </c>
      <c r="L646" t="str">
        <f>T("9791162589724")</f>
        <v>9791162589724</v>
      </c>
      <c r="M646" t="str">
        <f t="shared" si="25"/>
        <v/>
      </c>
      <c r="N646" t="s">
        <v>904</v>
      </c>
    </row>
    <row r="647" spans="1:14">
      <c r="A647" s="1">
        <v>46059.715798611112</v>
      </c>
      <c r="B647">
        <v>277935839</v>
      </c>
      <c r="C647" s="2" t="s">
        <v>903</v>
      </c>
      <c r="D647" t="s">
        <v>15</v>
      </c>
      <c r="E647" s="4">
        <v>100</v>
      </c>
      <c r="F647" s="2">
        <v>100</v>
      </c>
      <c r="G647" s="2">
        <v>70</v>
      </c>
      <c r="I647" s="2" t="s">
        <v>64</v>
      </c>
      <c r="J647" s="2" t="s">
        <v>65</v>
      </c>
      <c r="K647" t="s">
        <v>18</v>
      </c>
      <c r="L647" t="str">
        <f>T("9791162589724")</f>
        <v>9791162589724</v>
      </c>
      <c r="M647" t="str">
        <f t="shared" si="25"/>
        <v/>
      </c>
      <c r="N647" t="s">
        <v>904</v>
      </c>
    </row>
    <row r="648" spans="1:14">
      <c r="A648" s="1">
        <v>46059.715798611112</v>
      </c>
      <c r="B648">
        <v>277935571</v>
      </c>
      <c r="C648" s="2" t="s">
        <v>905</v>
      </c>
      <c r="D648" t="s">
        <v>15</v>
      </c>
      <c r="E648" s="4">
        <v>100</v>
      </c>
      <c r="F648" s="2">
        <v>100</v>
      </c>
      <c r="G648" s="2">
        <v>70</v>
      </c>
      <c r="I648" s="2" t="s">
        <v>64</v>
      </c>
      <c r="J648" s="2" t="s">
        <v>65</v>
      </c>
      <c r="K648" t="s">
        <v>18</v>
      </c>
      <c r="L648" t="str">
        <f>T("9791162589724")</f>
        <v>9791162589724</v>
      </c>
      <c r="M648" t="str">
        <f t="shared" si="25"/>
        <v/>
      </c>
      <c r="N648" t="s">
        <v>906</v>
      </c>
    </row>
    <row r="649" spans="1:14">
      <c r="A649" s="1">
        <v>46060.739560185182</v>
      </c>
      <c r="B649">
        <v>277935571</v>
      </c>
      <c r="C649" s="2" t="s">
        <v>905</v>
      </c>
      <c r="D649" t="s">
        <v>15</v>
      </c>
      <c r="E649" s="4">
        <v>-100</v>
      </c>
      <c r="F649" s="2">
        <v>-100</v>
      </c>
      <c r="G649" s="2">
        <v>-70</v>
      </c>
      <c r="H649" s="1">
        <v>46059.715798611112</v>
      </c>
      <c r="I649" s="2" t="s">
        <v>64</v>
      </c>
      <c r="J649" s="2" t="s">
        <v>65</v>
      </c>
      <c r="K649" t="s">
        <v>18</v>
      </c>
      <c r="L649" t="str">
        <f>T("9791162589724")</f>
        <v>9791162589724</v>
      </c>
      <c r="M649" t="str">
        <f t="shared" si="25"/>
        <v/>
      </c>
      <c r="N649" t="s">
        <v>906</v>
      </c>
    </row>
    <row r="650" spans="1:14">
      <c r="A650" s="1">
        <v>46059.746770833335</v>
      </c>
      <c r="B650">
        <v>313110979</v>
      </c>
      <c r="C650" s="2" t="s">
        <v>356</v>
      </c>
      <c r="D650" t="s">
        <v>15</v>
      </c>
      <c r="E650" s="5">
        <v>3000</v>
      </c>
      <c r="F650" s="3">
        <v>2700</v>
      </c>
      <c r="G650" s="3">
        <v>1890</v>
      </c>
      <c r="I650" s="2" t="s">
        <v>187</v>
      </c>
      <c r="J650" s="2" t="s">
        <v>188</v>
      </c>
      <c r="K650" t="s">
        <v>18</v>
      </c>
      <c r="L650" t="str">
        <f>T("9791164833856")</f>
        <v>9791164833856</v>
      </c>
      <c r="M650" t="str">
        <f t="shared" si="25"/>
        <v/>
      </c>
      <c r="N650" t="s">
        <v>357</v>
      </c>
    </row>
    <row r="651" spans="1:14">
      <c r="A651" s="1">
        <v>46059.751666666663</v>
      </c>
      <c r="B651">
        <v>296745957</v>
      </c>
      <c r="C651" s="2" t="s">
        <v>907</v>
      </c>
      <c r="D651" t="s">
        <v>15</v>
      </c>
      <c r="E651" s="5">
        <v>1000</v>
      </c>
      <c r="F651" s="3">
        <v>1000</v>
      </c>
      <c r="G651" s="2">
        <v>700</v>
      </c>
      <c r="I651" s="2" t="s">
        <v>908</v>
      </c>
      <c r="J651" s="2" t="s">
        <v>21</v>
      </c>
      <c r="K651" t="s">
        <v>18</v>
      </c>
      <c r="L651" t="str">
        <f>T("9791167833136")</f>
        <v>9791167833136</v>
      </c>
      <c r="M651" t="str">
        <f t="shared" si="25"/>
        <v/>
      </c>
    </row>
    <row r="652" spans="1:14">
      <c r="A652" s="1">
        <v>46059.756805555553</v>
      </c>
      <c r="B652">
        <v>385348455</v>
      </c>
      <c r="C652" s="2" t="s">
        <v>255</v>
      </c>
      <c r="D652" t="s">
        <v>68</v>
      </c>
      <c r="E652" s="5">
        <v>12600</v>
      </c>
      <c r="F652" s="3">
        <v>12600</v>
      </c>
      <c r="G652" s="3">
        <v>8820</v>
      </c>
      <c r="I652" s="2" t="s">
        <v>187</v>
      </c>
      <c r="J652" s="2" t="s">
        <v>188</v>
      </c>
      <c r="K652" t="s">
        <v>18</v>
      </c>
      <c r="L652" t="str">
        <f>T("9791164835379")</f>
        <v>9791164835379</v>
      </c>
      <c r="M652" t="str">
        <f t="shared" si="25"/>
        <v/>
      </c>
    </row>
    <row r="653" spans="1:14">
      <c r="A653" s="1">
        <v>46059.771053240744</v>
      </c>
      <c r="B653">
        <v>292632670</v>
      </c>
      <c r="C653" s="2" t="s">
        <v>909</v>
      </c>
      <c r="D653" t="s">
        <v>15</v>
      </c>
      <c r="E653" s="5">
        <v>1000</v>
      </c>
      <c r="F653" s="3">
        <v>1000</v>
      </c>
      <c r="G653" s="2">
        <v>700</v>
      </c>
      <c r="I653" s="2" t="s">
        <v>89</v>
      </c>
      <c r="J653" s="2" t="s">
        <v>21</v>
      </c>
      <c r="K653" t="s">
        <v>18</v>
      </c>
      <c r="L653" t="str">
        <f>T("9791167831873")</f>
        <v>9791167831873</v>
      </c>
      <c r="M653" t="str">
        <f t="shared" si="25"/>
        <v/>
      </c>
    </row>
    <row r="654" spans="1:14">
      <c r="A654" s="1">
        <v>46059.771053240744</v>
      </c>
      <c r="B654">
        <v>332557216</v>
      </c>
      <c r="C654" s="2" t="s">
        <v>130</v>
      </c>
      <c r="D654" t="s">
        <v>15</v>
      </c>
      <c r="E654" s="5">
        <v>1000</v>
      </c>
      <c r="F654" s="3">
        <v>1000</v>
      </c>
      <c r="G654" s="2">
        <v>700</v>
      </c>
      <c r="I654" s="2" t="s">
        <v>28</v>
      </c>
      <c r="J654" s="2" t="s">
        <v>21</v>
      </c>
      <c r="K654" t="s">
        <v>18</v>
      </c>
      <c r="L654" t="str">
        <f>T("9791170894193")</f>
        <v>9791170894193</v>
      </c>
      <c r="M654" t="str">
        <f t="shared" si="25"/>
        <v/>
      </c>
      <c r="N654" t="s">
        <v>131</v>
      </c>
    </row>
    <row r="655" spans="1:14">
      <c r="A655" s="1">
        <v>46059.777569444443</v>
      </c>
      <c r="B655">
        <v>368002505</v>
      </c>
      <c r="C655" s="2" t="s">
        <v>910</v>
      </c>
      <c r="D655" t="s">
        <v>15</v>
      </c>
      <c r="E655" s="5">
        <v>1000</v>
      </c>
      <c r="F655" s="3">
        <v>1000</v>
      </c>
      <c r="G655" s="2">
        <v>700</v>
      </c>
      <c r="I655" s="2" t="s">
        <v>487</v>
      </c>
      <c r="J655" s="2" t="s">
        <v>21</v>
      </c>
      <c r="K655" t="s">
        <v>18</v>
      </c>
      <c r="L655" t="str">
        <f>T("9791173015700")</f>
        <v>9791173015700</v>
      </c>
      <c r="M655" t="str">
        <f t="shared" si="25"/>
        <v/>
      </c>
      <c r="N655" t="s">
        <v>911</v>
      </c>
    </row>
    <row r="656" spans="1:14">
      <c r="A656" s="1">
        <v>46059.818240740744</v>
      </c>
      <c r="B656">
        <v>329744171</v>
      </c>
      <c r="C656" s="2" t="s">
        <v>912</v>
      </c>
      <c r="D656" t="s">
        <v>15</v>
      </c>
      <c r="E656" s="5">
        <v>1000</v>
      </c>
      <c r="F656" s="3">
        <v>1000</v>
      </c>
      <c r="G656" s="2">
        <v>700</v>
      </c>
      <c r="I656" s="2" t="s">
        <v>913</v>
      </c>
      <c r="J656" s="2" t="s">
        <v>21</v>
      </c>
      <c r="K656" t="s">
        <v>18</v>
      </c>
      <c r="L656" t="str">
        <f>T("9791170892298")</f>
        <v>9791170892298</v>
      </c>
      <c r="M656" t="str">
        <f t="shared" si="25"/>
        <v/>
      </c>
      <c r="N656" t="s">
        <v>914</v>
      </c>
    </row>
    <row r="657" spans="1:14">
      <c r="A657" s="1">
        <v>46059.823159722226</v>
      </c>
      <c r="B657">
        <v>385347515</v>
      </c>
      <c r="C657" s="2" t="s">
        <v>304</v>
      </c>
      <c r="D657" t="s">
        <v>15</v>
      </c>
      <c r="E657" s="5">
        <v>1300</v>
      </c>
      <c r="F657" s="3">
        <v>1300</v>
      </c>
      <c r="G657" s="2">
        <v>910</v>
      </c>
      <c r="I657" s="2" t="s">
        <v>148</v>
      </c>
      <c r="J657" s="2" t="s">
        <v>21</v>
      </c>
      <c r="K657" t="s">
        <v>18</v>
      </c>
      <c r="L657" t="str">
        <f>T("9791175582521")</f>
        <v>9791175582521</v>
      </c>
      <c r="M657" t="str">
        <f t="shared" si="25"/>
        <v/>
      </c>
      <c r="N657" t="s">
        <v>305</v>
      </c>
    </row>
    <row r="658" spans="1:14">
      <c r="A658" s="1">
        <v>46059.840509259258</v>
      </c>
      <c r="B658">
        <v>333593014</v>
      </c>
      <c r="C658" s="2" t="s">
        <v>830</v>
      </c>
      <c r="D658" t="s">
        <v>15</v>
      </c>
      <c r="E658" s="5">
        <v>3300</v>
      </c>
      <c r="F658" s="3">
        <v>3300</v>
      </c>
      <c r="G658" s="3">
        <v>2310</v>
      </c>
      <c r="I658" s="2" t="s">
        <v>191</v>
      </c>
      <c r="J658" s="2" t="s">
        <v>188</v>
      </c>
      <c r="K658" t="s">
        <v>18</v>
      </c>
      <c r="L658" t="str">
        <f>T("9791164834150")</f>
        <v>9791164834150</v>
      </c>
      <c r="M658" t="str">
        <f t="shared" si="25"/>
        <v/>
      </c>
      <c r="N658" t="s">
        <v>831</v>
      </c>
    </row>
    <row r="659" spans="1:14">
      <c r="A659" s="1">
        <v>46059.840509259258</v>
      </c>
      <c r="B659">
        <v>344251052</v>
      </c>
      <c r="C659" s="2" t="s">
        <v>824</v>
      </c>
      <c r="D659" t="s">
        <v>15</v>
      </c>
      <c r="E659" s="5">
        <v>3000</v>
      </c>
      <c r="F659" s="3">
        <v>3000</v>
      </c>
      <c r="G659" s="3">
        <v>2100</v>
      </c>
      <c r="I659" s="2" t="s">
        <v>191</v>
      </c>
      <c r="J659" s="2" t="s">
        <v>188</v>
      </c>
      <c r="K659" t="s">
        <v>18</v>
      </c>
      <c r="L659" t="str">
        <f>T("9791164834594")</f>
        <v>9791164834594</v>
      </c>
      <c r="M659" t="str">
        <f t="shared" si="25"/>
        <v/>
      </c>
      <c r="N659" t="s">
        <v>825</v>
      </c>
    </row>
    <row r="660" spans="1:14">
      <c r="A660" s="1">
        <v>46059.856817129628</v>
      </c>
      <c r="B660">
        <v>379189692</v>
      </c>
      <c r="C660" s="2" t="s">
        <v>915</v>
      </c>
      <c r="D660" t="s">
        <v>15</v>
      </c>
      <c r="E660" s="4">
        <v>0</v>
      </c>
      <c r="F660" s="2">
        <v>0</v>
      </c>
      <c r="G660" s="2">
        <v>0</v>
      </c>
      <c r="I660" s="2" t="s">
        <v>73</v>
      </c>
      <c r="J660" s="2" t="s">
        <v>74</v>
      </c>
      <c r="K660" t="s">
        <v>18</v>
      </c>
      <c r="L660" t="str">
        <f>T("9791194978817")</f>
        <v>9791194978817</v>
      </c>
      <c r="M660" t="str">
        <f t="shared" si="25"/>
        <v/>
      </c>
      <c r="N660" t="s">
        <v>916</v>
      </c>
    </row>
    <row r="661" spans="1:14">
      <c r="A661" s="1">
        <v>46059.859768518516</v>
      </c>
      <c r="B661">
        <v>379258534</v>
      </c>
      <c r="C661" s="2" t="s">
        <v>232</v>
      </c>
      <c r="D661" t="s">
        <v>15</v>
      </c>
      <c r="E661" s="5">
        <v>2000</v>
      </c>
      <c r="F661" s="3">
        <v>2000</v>
      </c>
      <c r="G661" s="3">
        <v>1400</v>
      </c>
      <c r="I661" s="2" t="s">
        <v>233</v>
      </c>
      <c r="J661" s="2" t="s">
        <v>55</v>
      </c>
      <c r="K661" t="s">
        <v>18</v>
      </c>
      <c r="L661" t="str">
        <f>T("9791175582590")</f>
        <v>9791175582590</v>
      </c>
      <c r="M661" t="str">
        <f t="shared" si="25"/>
        <v/>
      </c>
      <c r="N661" t="s">
        <v>234</v>
      </c>
    </row>
    <row r="662" spans="1:14">
      <c r="A662" s="1">
        <v>46059.877812500003</v>
      </c>
      <c r="B662">
        <v>383435425</v>
      </c>
      <c r="C662" s="2" t="s">
        <v>917</v>
      </c>
      <c r="D662" t="s">
        <v>15</v>
      </c>
      <c r="E662" s="5">
        <v>1000</v>
      </c>
      <c r="F662" s="3">
        <v>1000</v>
      </c>
      <c r="G662" s="2">
        <v>700</v>
      </c>
      <c r="I662" s="2" t="s">
        <v>918</v>
      </c>
      <c r="J662" s="2" t="s">
        <v>21</v>
      </c>
      <c r="K662" t="s">
        <v>18</v>
      </c>
      <c r="L662" t="str">
        <f>T("9791175582378")</f>
        <v>9791175582378</v>
      </c>
      <c r="M662" t="str">
        <f t="shared" si="25"/>
        <v/>
      </c>
      <c r="N662" t="s">
        <v>919</v>
      </c>
    </row>
    <row r="663" spans="1:14">
      <c r="A663" s="1">
        <v>46059.906157407408</v>
      </c>
      <c r="B663">
        <v>385347797</v>
      </c>
      <c r="C663" s="2" t="s">
        <v>195</v>
      </c>
      <c r="D663" t="s">
        <v>15</v>
      </c>
      <c r="E663" s="4">
        <v>700</v>
      </c>
      <c r="F663" s="2">
        <v>630</v>
      </c>
      <c r="G663" s="2">
        <v>441</v>
      </c>
      <c r="I663" s="2" t="s">
        <v>196</v>
      </c>
      <c r="J663" s="2" t="s">
        <v>197</v>
      </c>
      <c r="K663" t="s">
        <v>18</v>
      </c>
      <c r="L663" t="str">
        <f>T("9791172821937")</f>
        <v>9791172821937</v>
      </c>
      <c r="M663" t="str">
        <f t="shared" si="25"/>
        <v/>
      </c>
      <c r="N663" t="s">
        <v>198</v>
      </c>
    </row>
    <row r="664" spans="1:14">
      <c r="A664" s="1">
        <v>46059.906747685185</v>
      </c>
      <c r="B664">
        <v>384664732</v>
      </c>
      <c r="C664" s="2" t="s">
        <v>920</v>
      </c>
      <c r="D664" t="s">
        <v>15</v>
      </c>
      <c r="E664" s="5">
        <v>3100</v>
      </c>
      <c r="F664" s="3">
        <v>2790</v>
      </c>
      <c r="G664" s="3">
        <v>1953</v>
      </c>
      <c r="I664" s="2" t="s">
        <v>921</v>
      </c>
      <c r="J664" s="2" t="s">
        <v>126</v>
      </c>
      <c r="K664" t="s">
        <v>18</v>
      </c>
      <c r="L664" t="str">
        <f>T("9791171502974")</f>
        <v>9791171502974</v>
      </c>
      <c r="M664" t="str">
        <f t="shared" si="25"/>
        <v/>
      </c>
      <c r="N664" t="s">
        <v>922</v>
      </c>
    </row>
    <row r="665" spans="1:14">
      <c r="A665" s="1">
        <v>46059.913599537038</v>
      </c>
      <c r="B665">
        <v>295395720</v>
      </c>
      <c r="C665" s="2" t="s">
        <v>923</v>
      </c>
      <c r="D665" t="s">
        <v>15</v>
      </c>
      <c r="E665" s="4">
        <v>100</v>
      </c>
      <c r="F665" s="2">
        <v>100</v>
      </c>
      <c r="G665" s="2">
        <v>70</v>
      </c>
      <c r="I665" s="2" t="s">
        <v>64</v>
      </c>
      <c r="J665" s="2" t="s">
        <v>65</v>
      </c>
      <c r="K665" t="s">
        <v>18</v>
      </c>
      <c r="L665" t="str">
        <f>T("9791162589724")</f>
        <v>9791162589724</v>
      </c>
      <c r="M665" t="str">
        <f t="shared" si="25"/>
        <v/>
      </c>
      <c r="N665" t="s">
        <v>924</v>
      </c>
    </row>
    <row r="666" spans="1:14">
      <c r="A666" s="1">
        <v>46059.916527777779</v>
      </c>
      <c r="B666">
        <v>385347797</v>
      </c>
      <c r="C666" s="2" t="s">
        <v>195</v>
      </c>
      <c r="D666" t="s">
        <v>15</v>
      </c>
      <c r="E666" s="4">
        <v>700</v>
      </c>
      <c r="F666" s="2">
        <v>630</v>
      </c>
      <c r="G666" s="2">
        <v>441</v>
      </c>
      <c r="I666" s="2" t="s">
        <v>196</v>
      </c>
      <c r="J666" s="2" t="s">
        <v>197</v>
      </c>
      <c r="K666" t="s">
        <v>18</v>
      </c>
      <c r="L666" t="str">
        <f>T("9791172821937")</f>
        <v>9791172821937</v>
      </c>
      <c r="M666" t="str">
        <f t="shared" si="25"/>
        <v/>
      </c>
      <c r="N666" t="s">
        <v>198</v>
      </c>
    </row>
    <row r="667" spans="1:14">
      <c r="A667" s="1">
        <v>46059.924837962964</v>
      </c>
      <c r="B667">
        <v>385347715</v>
      </c>
      <c r="C667" s="2" t="s">
        <v>186</v>
      </c>
      <c r="D667" t="s">
        <v>15</v>
      </c>
      <c r="E667" s="5">
        <v>2000</v>
      </c>
      <c r="F667" s="3">
        <v>1800</v>
      </c>
      <c r="G667" s="3">
        <v>1260</v>
      </c>
      <c r="I667" s="2" t="s">
        <v>187</v>
      </c>
      <c r="J667" s="2" t="s">
        <v>188</v>
      </c>
      <c r="K667" t="s">
        <v>18</v>
      </c>
      <c r="L667" t="str">
        <f>T("9791164835362")</f>
        <v>9791164835362</v>
      </c>
      <c r="M667" t="str">
        <f t="shared" ref="M667:M703" si="26">T("")</f>
        <v/>
      </c>
      <c r="N667" t="s">
        <v>189</v>
      </c>
    </row>
    <row r="668" spans="1:14">
      <c r="A668" s="1">
        <v>46059.932118055556</v>
      </c>
      <c r="B668">
        <v>384728224</v>
      </c>
      <c r="C668" s="2" t="s">
        <v>925</v>
      </c>
      <c r="D668" t="s">
        <v>15</v>
      </c>
      <c r="E668" s="4">
        <v>600</v>
      </c>
      <c r="F668" s="2">
        <v>540</v>
      </c>
      <c r="G668" s="2">
        <v>378</v>
      </c>
      <c r="I668" s="2" t="s">
        <v>591</v>
      </c>
      <c r="J668" s="2" t="s">
        <v>126</v>
      </c>
      <c r="K668" t="s">
        <v>18</v>
      </c>
      <c r="L668" t="str">
        <f>T("9791171502998")</f>
        <v>9791171502998</v>
      </c>
      <c r="M668" t="str">
        <f t="shared" si="26"/>
        <v/>
      </c>
      <c r="N668" t="s">
        <v>926</v>
      </c>
    </row>
    <row r="669" spans="1:14">
      <c r="A669" s="1">
        <v>46059.934918981482</v>
      </c>
      <c r="B669">
        <v>379921095</v>
      </c>
      <c r="C669" s="2" t="s">
        <v>927</v>
      </c>
      <c r="D669" t="s">
        <v>15</v>
      </c>
      <c r="E669" s="5">
        <v>1000</v>
      </c>
      <c r="F669" s="3">
        <v>1000</v>
      </c>
      <c r="G669" s="2">
        <v>700</v>
      </c>
      <c r="I669" s="2" t="s">
        <v>928</v>
      </c>
      <c r="J669" s="2" t="s">
        <v>21</v>
      </c>
      <c r="K669" t="s">
        <v>18</v>
      </c>
      <c r="L669" t="str">
        <f>T("9791175581319")</f>
        <v>9791175581319</v>
      </c>
      <c r="M669" t="str">
        <f t="shared" si="26"/>
        <v/>
      </c>
      <c r="N669" t="s">
        <v>929</v>
      </c>
    </row>
    <row r="670" spans="1:14">
      <c r="A670" s="1">
        <v>46059.939965277779</v>
      </c>
      <c r="B670">
        <v>282419078</v>
      </c>
      <c r="C670" s="2" t="s">
        <v>930</v>
      </c>
      <c r="D670" t="s">
        <v>15</v>
      </c>
      <c r="E670" s="5">
        <v>2000</v>
      </c>
      <c r="F670" s="3">
        <v>2000</v>
      </c>
      <c r="G670" s="3">
        <v>1400</v>
      </c>
      <c r="I670" s="2" t="s">
        <v>638</v>
      </c>
      <c r="J670" s="2" t="s">
        <v>184</v>
      </c>
      <c r="K670" t="s">
        <v>18</v>
      </c>
      <c r="L670" t="str">
        <f>T("9791164794225")</f>
        <v>9791164794225</v>
      </c>
      <c r="M670" t="str">
        <f t="shared" si="26"/>
        <v/>
      </c>
      <c r="N670" t="s">
        <v>931</v>
      </c>
    </row>
    <row r="671" spans="1:14">
      <c r="A671" s="1">
        <v>46059.941006944442</v>
      </c>
      <c r="B671">
        <v>385347715</v>
      </c>
      <c r="C671" s="2" t="s">
        <v>186</v>
      </c>
      <c r="D671" t="s">
        <v>15</v>
      </c>
      <c r="E671" s="5">
        <v>2000</v>
      </c>
      <c r="F671" s="3">
        <v>1800</v>
      </c>
      <c r="G671" s="3">
        <v>1260</v>
      </c>
      <c r="I671" s="2" t="s">
        <v>187</v>
      </c>
      <c r="J671" s="2" t="s">
        <v>188</v>
      </c>
      <c r="K671" t="s">
        <v>18</v>
      </c>
      <c r="L671" t="str">
        <f>T("9791164835362")</f>
        <v>9791164835362</v>
      </c>
      <c r="M671" t="str">
        <f t="shared" si="26"/>
        <v/>
      </c>
      <c r="N671" t="s">
        <v>189</v>
      </c>
    </row>
    <row r="672" spans="1:14">
      <c r="A672" s="1">
        <v>46059.941041666665</v>
      </c>
      <c r="B672">
        <v>385347715</v>
      </c>
      <c r="C672" s="2" t="s">
        <v>186</v>
      </c>
      <c r="D672" t="s">
        <v>15</v>
      </c>
      <c r="E672" s="5">
        <v>2000</v>
      </c>
      <c r="F672" s="3">
        <v>1800</v>
      </c>
      <c r="G672" s="3">
        <v>1260</v>
      </c>
      <c r="I672" s="2" t="s">
        <v>187</v>
      </c>
      <c r="J672" s="2" t="s">
        <v>188</v>
      </c>
      <c r="K672" t="s">
        <v>18</v>
      </c>
      <c r="L672" t="str">
        <f>T("9791164835362")</f>
        <v>9791164835362</v>
      </c>
      <c r="M672" t="str">
        <f t="shared" si="26"/>
        <v/>
      </c>
      <c r="N672" t="s">
        <v>189</v>
      </c>
    </row>
    <row r="673" spans="1:14">
      <c r="A673" s="1">
        <v>46059.947523148148</v>
      </c>
      <c r="B673">
        <v>234101418</v>
      </c>
      <c r="C673" s="2" t="s">
        <v>932</v>
      </c>
      <c r="D673" t="s">
        <v>15</v>
      </c>
      <c r="E673" s="4">
        <v>0</v>
      </c>
      <c r="F673" s="2">
        <v>0</v>
      </c>
      <c r="G673" s="2">
        <v>0</v>
      </c>
      <c r="I673" s="2" t="s">
        <v>933</v>
      </c>
      <c r="J673" s="2" t="s">
        <v>245</v>
      </c>
      <c r="K673" t="s">
        <v>18</v>
      </c>
      <c r="L673" t="str">
        <f>T("9791164485277")</f>
        <v>9791164485277</v>
      </c>
      <c r="M673" t="str">
        <f t="shared" si="26"/>
        <v/>
      </c>
    </row>
    <row r="674" spans="1:14">
      <c r="A674" s="1">
        <v>46059.954710648148</v>
      </c>
      <c r="B674">
        <v>368640530</v>
      </c>
      <c r="C674" s="2" t="s">
        <v>480</v>
      </c>
      <c r="D674" t="s">
        <v>15</v>
      </c>
      <c r="E674" s="5">
        <v>12950</v>
      </c>
      <c r="F674" s="3">
        <v>12950</v>
      </c>
      <c r="G674" s="3">
        <v>9065</v>
      </c>
      <c r="I674" s="2" t="s">
        <v>481</v>
      </c>
      <c r="J674" s="2" t="s">
        <v>184</v>
      </c>
      <c r="K674" t="s">
        <v>18</v>
      </c>
      <c r="L674" t="str">
        <f>T("9791170964636")</f>
        <v>9791170964636</v>
      </c>
      <c r="M674" t="str">
        <f t="shared" si="26"/>
        <v/>
      </c>
      <c r="N674" t="s">
        <v>482</v>
      </c>
    </row>
    <row r="675" spans="1:14">
      <c r="A675" s="1">
        <v>46059.975856481484</v>
      </c>
      <c r="B675">
        <v>206510261</v>
      </c>
      <c r="C675" s="2" t="s">
        <v>934</v>
      </c>
      <c r="D675" t="s">
        <v>15</v>
      </c>
      <c r="E675" s="5">
        <v>2800</v>
      </c>
      <c r="F675" s="3">
        <v>2520</v>
      </c>
      <c r="G675" s="3">
        <v>1764</v>
      </c>
      <c r="I675" s="2" t="s">
        <v>852</v>
      </c>
      <c r="J675" s="2" t="s">
        <v>126</v>
      </c>
      <c r="K675" t="s">
        <v>18</v>
      </c>
      <c r="L675" t="str">
        <f>T("9791164970179")</f>
        <v>9791164970179</v>
      </c>
      <c r="M675" t="str">
        <f t="shared" si="26"/>
        <v/>
      </c>
    </row>
    <row r="676" spans="1:14">
      <c r="A676" s="1">
        <v>46059.976793981485</v>
      </c>
      <c r="B676">
        <v>366526467</v>
      </c>
      <c r="C676" s="2" t="s">
        <v>935</v>
      </c>
      <c r="D676" t="s">
        <v>15</v>
      </c>
      <c r="E676" s="5">
        <v>1000</v>
      </c>
      <c r="F676" s="3">
        <v>1000</v>
      </c>
      <c r="G676" s="2">
        <v>700</v>
      </c>
      <c r="I676" s="2" t="s">
        <v>142</v>
      </c>
      <c r="J676" s="2" t="s">
        <v>21</v>
      </c>
      <c r="K676" t="s">
        <v>18</v>
      </c>
      <c r="L676" t="str">
        <f>T("9791173014987")</f>
        <v>9791173014987</v>
      </c>
      <c r="M676" t="str">
        <f t="shared" si="26"/>
        <v/>
      </c>
      <c r="N676" t="s">
        <v>936</v>
      </c>
    </row>
    <row r="677" spans="1:14">
      <c r="A677" s="1">
        <v>46059.985995370371</v>
      </c>
      <c r="B677">
        <v>385347515</v>
      </c>
      <c r="C677" s="2" t="s">
        <v>304</v>
      </c>
      <c r="D677" t="s">
        <v>15</v>
      </c>
      <c r="E677" s="5">
        <v>1300</v>
      </c>
      <c r="F677" s="3">
        <v>1300</v>
      </c>
      <c r="G677" s="2">
        <v>910</v>
      </c>
      <c r="I677" s="2" t="s">
        <v>148</v>
      </c>
      <c r="J677" s="2" t="s">
        <v>21</v>
      </c>
      <c r="K677" t="s">
        <v>18</v>
      </c>
      <c r="L677" t="str">
        <f>T("9791175582521")</f>
        <v>9791175582521</v>
      </c>
      <c r="M677" t="str">
        <f t="shared" si="26"/>
        <v/>
      </c>
      <c r="N677" t="s">
        <v>305</v>
      </c>
    </row>
    <row r="678" spans="1:14">
      <c r="A678" s="1">
        <v>46059.990659722222</v>
      </c>
      <c r="B678">
        <v>385347797</v>
      </c>
      <c r="C678" s="2" t="s">
        <v>195</v>
      </c>
      <c r="D678" t="s">
        <v>15</v>
      </c>
      <c r="E678" s="4">
        <v>700</v>
      </c>
      <c r="F678" s="2">
        <v>630</v>
      </c>
      <c r="G678" s="2">
        <v>441</v>
      </c>
      <c r="I678" s="2" t="s">
        <v>196</v>
      </c>
      <c r="J678" s="2" t="s">
        <v>197</v>
      </c>
      <c r="K678" t="s">
        <v>18</v>
      </c>
      <c r="L678" t="str">
        <f>T("9791172821937")</f>
        <v>9791172821937</v>
      </c>
      <c r="M678" t="str">
        <f t="shared" si="26"/>
        <v/>
      </c>
      <c r="N678" t="s">
        <v>198</v>
      </c>
    </row>
    <row r="679" spans="1:14">
      <c r="A679" s="1">
        <v>46059.99560185185</v>
      </c>
      <c r="B679">
        <v>383435421</v>
      </c>
      <c r="C679" s="2" t="s">
        <v>27</v>
      </c>
      <c r="D679" t="s">
        <v>15</v>
      </c>
      <c r="E679" s="5">
        <v>1000</v>
      </c>
      <c r="F679" s="3">
        <v>1000</v>
      </c>
      <c r="G679" s="2">
        <v>700</v>
      </c>
      <c r="I679" s="2" t="s">
        <v>28</v>
      </c>
      <c r="J679" s="2" t="s">
        <v>21</v>
      </c>
      <c r="K679" t="s">
        <v>18</v>
      </c>
      <c r="L679" t="str">
        <f>T("9791175582361")</f>
        <v>9791175582361</v>
      </c>
      <c r="M679" t="str">
        <f t="shared" si="26"/>
        <v/>
      </c>
      <c r="N679" t="s">
        <v>29</v>
      </c>
    </row>
    <row r="680" spans="1:14">
      <c r="A680" s="1">
        <v>46059.998541666668</v>
      </c>
      <c r="B680">
        <v>385348455</v>
      </c>
      <c r="C680" s="2" t="s">
        <v>255</v>
      </c>
      <c r="D680" t="s">
        <v>68</v>
      </c>
      <c r="E680" s="5">
        <v>12600</v>
      </c>
      <c r="F680" s="3">
        <v>12600</v>
      </c>
      <c r="G680" s="3">
        <v>8820</v>
      </c>
      <c r="I680" s="2" t="s">
        <v>187</v>
      </c>
      <c r="J680" s="2" t="s">
        <v>188</v>
      </c>
      <c r="K680" t="s">
        <v>18</v>
      </c>
      <c r="L680" t="str">
        <f>T("9791164835379")</f>
        <v>9791164835379</v>
      </c>
      <c r="M680" t="str">
        <f t="shared" si="26"/>
        <v/>
      </c>
    </row>
    <row r="681" spans="1:14">
      <c r="A681" s="1">
        <v>46059.998611111114</v>
      </c>
      <c r="B681">
        <v>385347797</v>
      </c>
      <c r="C681" s="2" t="s">
        <v>195</v>
      </c>
      <c r="D681" t="s">
        <v>15</v>
      </c>
      <c r="E681" s="4">
        <v>700</v>
      </c>
      <c r="F681" s="2">
        <v>630</v>
      </c>
      <c r="G681" s="2">
        <v>441</v>
      </c>
      <c r="I681" s="2" t="s">
        <v>196</v>
      </c>
      <c r="J681" s="2" t="s">
        <v>197</v>
      </c>
      <c r="K681" t="s">
        <v>18</v>
      </c>
      <c r="L681" t="str">
        <f>T("9791172821937")</f>
        <v>9791172821937</v>
      </c>
      <c r="M681" t="str">
        <f t="shared" si="26"/>
        <v/>
      </c>
      <c r="N681" t="s">
        <v>198</v>
      </c>
    </row>
    <row r="682" spans="1:14">
      <c r="A682" s="1">
        <v>46060.005474537036</v>
      </c>
      <c r="B682">
        <v>301691602</v>
      </c>
      <c r="C682" s="2" t="s">
        <v>210</v>
      </c>
      <c r="D682" t="s">
        <v>15</v>
      </c>
      <c r="E682" s="5">
        <v>1300</v>
      </c>
      <c r="F682" s="3">
        <v>1300</v>
      </c>
      <c r="G682" s="2">
        <v>910</v>
      </c>
      <c r="I682" s="2" t="s">
        <v>211</v>
      </c>
      <c r="J682" s="2" t="s">
        <v>21</v>
      </c>
      <c r="K682" t="s">
        <v>18</v>
      </c>
      <c r="L682" t="str">
        <f>T("9791167834294")</f>
        <v>9791167834294</v>
      </c>
      <c r="M682" t="str">
        <f t="shared" si="26"/>
        <v/>
      </c>
    </row>
    <row r="683" spans="1:14">
      <c r="A683" s="1">
        <v>46060.007141203707</v>
      </c>
      <c r="B683">
        <v>300832878</v>
      </c>
      <c r="C683" s="2" t="s">
        <v>937</v>
      </c>
      <c r="D683" t="s">
        <v>15</v>
      </c>
      <c r="E683" s="5">
        <v>1500</v>
      </c>
      <c r="F683" s="3">
        <v>1500</v>
      </c>
      <c r="G683" s="3">
        <v>1050</v>
      </c>
      <c r="I683" s="2" t="s">
        <v>938</v>
      </c>
      <c r="J683" s="2" t="s">
        <v>126</v>
      </c>
      <c r="K683" t="s">
        <v>18</v>
      </c>
      <c r="L683" t="str">
        <f>T("9791164977437")</f>
        <v>9791164977437</v>
      </c>
      <c r="M683" t="str">
        <f t="shared" si="26"/>
        <v/>
      </c>
      <c r="N683" t="s">
        <v>939</v>
      </c>
    </row>
    <row r="684" spans="1:14">
      <c r="A684" s="1">
        <v>46060.010393518518</v>
      </c>
      <c r="B684">
        <v>356461751</v>
      </c>
      <c r="C684" s="2" t="s">
        <v>940</v>
      </c>
      <c r="D684" t="s">
        <v>15</v>
      </c>
      <c r="E684" s="5">
        <v>1000</v>
      </c>
      <c r="F684" s="3">
        <v>1000</v>
      </c>
      <c r="G684" s="2">
        <v>700</v>
      </c>
      <c r="I684" s="2" t="s">
        <v>941</v>
      </c>
      <c r="J684" s="2" t="s">
        <v>21</v>
      </c>
      <c r="K684" t="s">
        <v>18</v>
      </c>
      <c r="L684" t="str">
        <f>T("9791173012938")</f>
        <v>9791173012938</v>
      </c>
      <c r="M684" t="str">
        <f t="shared" si="26"/>
        <v/>
      </c>
      <c r="N684" t="s">
        <v>942</v>
      </c>
    </row>
    <row r="685" spans="1:14">
      <c r="A685" s="1">
        <v>46060.023634259262</v>
      </c>
      <c r="B685">
        <v>385347797</v>
      </c>
      <c r="C685" s="2" t="s">
        <v>195</v>
      </c>
      <c r="D685" t="s">
        <v>15</v>
      </c>
      <c r="E685" s="4">
        <v>700</v>
      </c>
      <c r="F685" s="2">
        <v>630</v>
      </c>
      <c r="G685" s="2">
        <v>441</v>
      </c>
      <c r="I685" s="2" t="s">
        <v>196</v>
      </c>
      <c r="J685" s="2" t="s">
        <v>197</v>
      </c>
      <c r="K685" t="s">
        <v>18</v>
      </c>
      <c r="L685" t="str">
        <f>T("9791172821937")</f>
        <v>9791172821937</v>
      </c>
      <c r="M685" t="str">
        <f t="shared" si="26"/>
        <v/>
      </c>
      <c r="N685" t="s">
        <v>198</v>
      </c>
    </row>
    <row r="686" spans="1:14">
      <c r="A686" s="1">
        <v>46060.030833333331</v>
      </c>
      <c r="B686">
        <v>325784497</v>
      </c>
      <c r="C686" s="2" t="s">
        <v>943</v>
      </c>
      <c r="D686" t="s">
        <v>15</v>
      </c>
      <c r="E686" s="5">
        <v>1000</v>
      </c>
      <c r="F686" s="3">
        <v>1000</v>
      </c>
      <c r="G686" s="2">
        <v>700</v>
      </c>
      <c r="I686" s="2" t="s">
        <v>354</v>
      </c>
      <c r="J686" s="2" t="s">
        <v>21</v>
      </c>
      <c r="K686" t="s">
        <v>18</v>
      </c>
      <c r="L686" t="str">
        <f>T("9791167839404")</f>
        <v>9791167839404</v>
      </c>
      <c r="M686" t="str">
        <f t="shared" si="26"/>
        <v/>
      </c>
      <c r="N686" t="s">
        <v>944</v>
      </c>
    </row>
    <row r="687" spans="1:14">
      <c r="A687" s="1">
        <v>46060.051979166667</v>
      </c>
      <c r="B687">
        <v>385347775</v>
      </c>
      <c r="C687" s="2" t="s">
        <v>405</v>
      </c>
      <c r="D687" t="s">
        <v>15</v>
      </c>
      <c r="E687" s="5">
        <v>3200</v>
      </c>
      <c r="F687" s="3">
        <v>3200</v>
      </c>
      <c r="G687" s="3">
        <v>2240</v>
      </c>
      <c r="I687" s="2" t="s">
        <v>230</v>
      </c>
      <c r="J687" s="2" t="s">
        <v>161</v>
      </c>
      <c r="K687" t="s">
        <v>18</v>
      </c>
      <c r="L687" t="str">
        <f>T("9791173261145")</f>
        <v>9791173261145</v>
      </c>
      <c r="M687" t="str">
        <f t="shared" si="26"/>
        <v/>
      </c>
      <c r="N687" t="s">
        <v>406</v>
      </c>
    </row>
    <row r="688" spans="1:14">
      <c r="A688" s="1">
        <v>46060.051979166667</v>
      </c>
      <c r="B688">
        <v>385347915</v>
      </c>
      <c r="C688" s="2" t="s">
        <v>395</v>
      </c>
      <c r="D688" t="s">
        <v>15</v>
      </c>
      <c r="E688" s="5">
        <v>3200</v>
      </c>
      <c r="F688" s="3">
        <v>3200</v>
      </c>
      <c r="G688" s="3">
        <v>2240</v>
      </c>
      <c r="I688" s="2" t="s">
        <v>230</v>
      </c>
      <c r="J688" s="2" t="s">
        <v>161</v>
      </c>
      <c r="K688" t="s">
        <v>18</v>
      </c>
      <c r="L688" t="str">
        <f>T("9791173261152")</f>
        <v>9791173261152</v>
      </c>
      <c r="M688" t="str">
        <f t="shared" si="26"/>
        <v/>
      </c>
      <c r="N688" t="s">
        <v>396</v>
      </c>
    </row>
    <row r="689" spans="1:14">
      <c r="A689" s="1">
        <v>46060.051979166667</v>
      </c>
      <c r="B689">
        <v>385347952</v>
      </c>
      <c r="C689" s="2" t="s">
        <v>399</v>
      </c>
      <c r="D689" t="s">
        <v>15</v>
      </c>
      <c r="E689" s="5">
        <v>3200</v>
      </c>
      <c r="F689" s="3">
        <v>3200</v>
      </c>
      <c r="G689" s="3">
        <v>2240</v>
      </c>
      <c r="I689" s="2" t="s">
        <v>230</v>
      </c>
      <c r="J689" s="2" t="s">
        <v>161</v>
      </c>
      <c r="K689" t="s">
        <v>18</v>
      </c>
      <c r="L689" t="str">
        <f>T("9791173261138")</f>
        <v>9791173261138</v>
      </c>
      <c r="M689" t="str">
        <f t="shared" si="26"/>
        <v/>
      </c>
      <c r="N689" t="s">
        <v>400</v>
      </c>
    </row>
    <row r="690" spans="1:14">
      <c r="A690" s="1">
        <v>46060.081770833334</v>
      </c>
      <c r="B690">
        <v>373226358</v>
      </c>
      <c r="C690" s="2" t="s">
        <v>945</v>
      </c>
      <c r="D690" t="s">
        <v>15</v>
      </c>
      <c r="E690" s="5">
        <v>39400</v>
      </c>
      <c r="F690" s="3">
        <v>39400</v>
      </c>
      <c r="G690" s="3">
        <v>27580</v>
      </c>
      <c r="I690" s="2" t="s">
        <v>493</v>
      </c>
      <c r="J690" s="2" t="s">
        <v>65</v>
      </c>
      <c r="K690" t="s">
        <v>18</v>
      </c>
      <c r="L690" t="str">
        <f>T("9791137010680")</f>
        <v>9791137010680</v>
      </c>
      <c r="M690" t="str">
        <f t="shared" si="26"/>
        <v/>
      </c>
    </row>
    <row r="691" spans="1:14">
      <c r="A691" s="1">
        <v>46060.13076388889</v>
      </c>
      <c r="B691">
        <v>353237763</v>
      </c>
      <c r="C691" s="2" t="s">
        <v>946</v>
      </c>
      <c r="D691" t="s">
        <v>15</v>
      </c>
      <c r="E691" s="5">
        <v>1000</v>
      </c>
      <c r="F691" s="3">
        <v>1000</v>
      </c>
      <c r="G691" s="2">
        <v>700</v>
      </c>
      <c r="I691" s="2" t="s">
        <v>947</v>
      </c>
      <c r="J691" s="2" t="s">
        <v>21</v>
      </c>
      <c r="K691" t="s">
        <v>18</v>
      </c>
      <c r="L691" t="str">
        <f>T("9791173010804")</f>
        <v>9791173010804</v>
      </c>
      <c r="M691" t="str">
        <f t="shared" si="26"/>
        <v/>
      </c>
      <c r="N691" t="s">
        <v>948</v>
      </c>
    </row>
    <row r="692" spans="1:14">
      <c r="A692" s="1">
        <v>46060.140740740739</v>
      </c>
      <c r="B692">
        <v>314826769</v>
      </c>
      <c r="C692" s="2" t="s">
        <v>949</v>
      </c>
      <c r="D692" t="s">
        <v>15</v>
      </c>
      <c r="E692" s="5">
        <v>9450</v>
      </c>
      <c r="F692" s="3">
        <v>9450</v>
      </c>
      <c r="G692" s="3">
        <v>6615</v>
      </c>
      <c r="I692" s="2" t="s">
        <v>950</v>
      </c>
      <c r="J692" s="2" t="s">
        <v>184</v>
      </c>
      <c r="K692" t="s">
        <v>18</v>
      </c>
      <c r="L692" t="str">
        <f>T("9791164799121")</f>
        <v>9791164799121</v>
      </c>
      <c r="M692" t="str">
        <f t="shared" si="26"/>
        <v/>
      </c>
      <c r="N692" t="s">
        <v>951</v>
      </c>
    </row>
    <row r="693" spans="1:14">
      <c r="A693" s="1">
        <v>46060.140740740739</v>
      </c>
      <c r="B693">
        <v>318661134</v>
      </c>
      <c r="C693" s="2" t="s">
        <v>952</v>
      </c>
      <c r="D693" t="s">
        <v>15</v>
      </c>
      <c r="E693" s="5">
        <v>9450</v>
      </c>
      <c r="F693" s="3">
        <v>9450</v>
      </c>
      <c r="G693" s="3">
        <v>6615</v>
      </c>
      <c r="I693" s="2" t="s">
        <v>950</v>
      </c>
      <c r="J693" s="2" t="s">
        <v>184</v>
      </c>
      <c r="K693" t="s">
        <v>18</v>
      </c>
      <c r="L693" t="str">
        <f>T("9791164799695")</f>
        <v>9791164799695</v>
      </c>
      <c r="M693" t="str">
        <f t="shared" si="26"/>
        <v/>
      </c>
      <c r="N693" t="s">
        <v>953</v>
      </c>
    </row>
    <row r="694" spans="1:14">
      <c r="A694" s="1">
        <v>46060.140740740739</v>
      </c>
      <c r="B694">
        <v>308602137</v>
      </c>
      <c r="C694" s="2" t="s">
        <v>954</v>
      </c>
      <c r="D694" t="s">
        <v>15</v>
      </c>
      <c r="E694" s="5">
        <v>9100</v>
      </c>
      <c r="F694" s="3">
        <v>9100</v>
      </c>
      <c r="G694" s="3">
        <v>6370</v>
      </c>
      <c r="I694" s="2" t="s">
        <v>950</v>
      </c>
      <c r="J694" s="2" t="s">
        <v>184</v>
      </c>
      <c r="K694" t="s">
        <v>18</v>
      </c>
      <c r="L694" t="str">
        <f>T("9791164798711")</f>
        <v>9791164798711</v>
      </c>
      <c r="M694" t="str">
        <f t="shared" si="26"/>
        <v/>
      </c>
      <c r="N694" t="s">
        <v>955</v>
      </c>
    </row>
    <row r="695" spans="1:14">
      <c r="A695" s="1">
        <v>46060.140740740739</v>
      </c>
      <c r="B695">
        <v>308602220</v>
      </c>
      <c r="C695" s="2" t="s">
        <v>956</v>
      </c>
      <c r="D695" t="s">
        <v>15</v>
      </c>
      <c r="E695" s="5">
        <v>9100</v>
      </c>
      <c r="F695" s="3">
        <v>9100</v>
      </c>
      <c r="G695" s="3">
        <v>6370</v>
      </c>
      <c r="I695" s="2" t="s">
        <v>950</v>
      </c>
      <c r="J695" s="2" t="s">
        <v>184</v>
      </c>
      <c r="K695" t="s">
        <v>18</v>
      </c>
      <c r="L695" t="str">
        <f>T("9791164798704")</f>
        <v>9791164798704</v>
      </c>
      <c r="M695" t="str">
        <f t="shared" si="26"/>
        <v/>
      </c>
      <c r="N695" t="s">
        <v>957</v>
      </c>
    </row>
    <row r="696" spans="1:14">
      <c r="A696" s="1">
        <v>46060.142395833333</v>
      </c>
      <c r="B696">
        <v>383429168</v>
      </c>
      <c r="C696" s="2" t="s">
        <v>958</v>
      </c>
      <c r="D696" t="s">
        <v>15</v>
      </c>
      <c r="E696" s="5">
        <v>-6600</v>
      </c>
      <c r="F696" s="3">
        <v>-6600</v>
      </c>
      <c r="G696" s="3">
        <v>-4620</v>
      </c>
      <c r="H696" s="1">
        <v>46060.14166666667</v>
      </c>
      <c r="I696" s="2" t="s">
        <v>959</v>
      </c>
      <c r="J696" s="2" t="s">
        <v>960</v>
      </c>
      <c r="K696" t="s">
        <v>18</v>
      </c>
      <c r="L696" t="str">
        <f>T("9791171841486")</f>
        <v>9791171841486</v>
      </c>
      <c r="M696" t="str">
        <f t="shared" si="26"/>
        <v/>
      </c>
    </row>
    <row r="697" spans="1:14">
      <c r="A697" s="1">
        <v>46060.14166666667</v>
      </c>
      <c r="B697">
        <v>383429168</v>
      </c>
      <c r="C697" s="2" t="s">
        <v>958</v>
      </c>
      <c r="D697" t="s">
        <v>15</v>
      </c>
      <c r="E697" s="5">
        <v>6600</v>
      </c>
      <c r="F697" s="3">
        <v>6600</v>
      </c>
      <c r="G697" s="3">
        <v>4620</v>
      </c>
      <c r="I697" s="2" t="s">
        <v>959</v>
      </c>
      <c r="J697" s="2" t="s">
        <v>960</v>
      </c>
      <c r="K697" t="s">
        <v>18</v>
      </c>
      <c r="L697" t="str">
        <f>T("9791171841486")</f>
        <v>9791171841486</v>
      </c>
      <c r="M697" t="str">
        <f t="shared" si="26"/>
        <v/>
      </c>
    </row>
    <row r="698" spans="1:14">
      <c r="A698" s="1">
        <v>46060.144733796296</v>
      </c>
      <c r="B698">
        <v>383429168</v>
      </c>
      <c r="C698" s="2" t="s">
        <v>958</v>
      </c>
      <c r="D698" t="s">
        <v>15</v>
      </c>
      <c r="E698" s="5">
        <v>6600</v>
      </c>
      <c r="F698" s="3">
        <v>6600</v>
      </c>
      <c r="G698" s="3">
        <v>4620</v>
      </c>
      <c r="I698" s="2" t="s">
        <v>959</v>
      </c>
      <c r="J698" s="2" t="s">
        <v>960</v>
      </c>
      <c r="K698" t="s">
        <v>18</v>
      </c>
      <c r="L698" t="str">
        <f>T("9791171841486")</f>
        <v>9791171841486</v>
      </c>
      <c r="M698" t="str">
        <f t="shared" si="26"/>
        <v/>
      </c>
    </row>
    <row r="699" spans="1:14">
      <c r="A699" s="1">
        <v>46060.165185185186</v>
      </c>
      <c r="B699">
        <v>353935781</v>
      </c>
      <c r="C699" s="2" t="s">
        <v>961</v>
      </c>
      <c r="D699" t="s">
        <v>15</v>
      </c>
      <c r="E699" s="5">
        <v>1000</v>
      </c>
      <c r="F699" s="3">
        <v>1000</v>
      </c>
      <c r="G699" s="2">
        <v>700</v>
      </c>
      <c r="I699" s="2" t="s">
        <v>312</v>
      </c>
      <c r="J699" s="2" t="s">
        <v>21</v>
      </c>
      <c r="K699" t="s">
        <v>18</v>
      </c>
      <c r="L699" t="str">
        <f>T("9791173011160")</f>
        <v>9791173011160</v>
      </c>
      <c r="M699" t="str">
        <f t="shared" si="26"/>
        <v/>
      </c>
      <c r="N699" t="s">
        <v>962</v>
      </c>
    </row>
    <row r="700" spans="1:14">
      <c r="A700" s="1">
        <v>46060.186273148145</v>
      </c>
      <c r="B700">
        <v>271275605</v>
      </c>
      <c r="C700" s="2" t="s">
        <v>963</v>
      </c>
      <c r="D700" t="s">
        <v>15</v>
      </c>
      <c r="E700" s="5">
        <v>3000</v>
      </c>
      <c r="F700" s="3">
        <v>3000</v>
      </c>
      <c r="G700" s="3">
        <v>2100</v>
      </c>
      <c r="I700" s="2" t="s">
        <v>540</v>
      </c>
      <c r="J700" s="2" t="s">
        <v>197</v>
      </c>
      <c r="K700" t="s">
        <v>18</v>
      </c>
      <c r="L700" t="str">
        <f>T("9791164094318")</f>
        <v>9791164094318</v>
      </c>
      <c r="M700" t="str">
        <f t="shared" si="26"/>
        <v/>
      </c>
      <c r="N700" t="s">
        <v>964</v>
      </c>
    </row>
    <row r="701" spans="1:14">
      <c r="A701" s="1">
        <v>46060.209849537037</v>
      </c>
      <c r="B701">
        <v>374550019</v>
      </c>
      <c r="C701" s="2" t="s">
        <v>965</v>
      </c>
      <c r="D701" t="s">
        <v>15</v>
      </c>
      <c r="E701" s="5">
        <v>1000</v>
      </c>
      <c r="F701" s="3">
        <v>1000</v>
      </c>
      <c r="G701" s="2">
        <v>700</v>
      </c>
      <c r="I701" s="2" t="s">
        <v>41</v>
      </c>
      <c r="J701" s="2" t="s">
        <v>21</v>
      </c>
      <c r="K701" t="s">
        <v>18</v>
      </c>
      <c r="L701" t="str">
        <f>T("9791175580428")</f>
        <v>9791175580428</v>
      </c>
      <c r="M701" t="str">
        <f t="shared" si="26"/>
        <v/>
      </c>
      <c r="N701" t="s">
        <v>966</v>
      </c>
    </row>
    <row r="702" spans="1:14">
      <c r="A702" s="1">
        <v>46060.327025462961</v>
      </c>
      <c r="B702">
        <v>385373317</v>
      </c>
      <c r="C702" s="2" t="s">
        <v>381</v>
      </c>
      <c r="D702" t="s">
        <v>15</v>
      </c>
      <c r="E702" s="4">
        <v>0</v>
      </c>
      <c r="F702" s="2">
        <v>0</v>
      </c>
      <c r="G702" s="2">
        <v>0</v>
      </c>
      <c r="I702" s="2" t="s">
        <v>382</v>
      </c>
      <c r="J702" s="2" t="s">
        <v>290</v>
      </c>
      <c r="K702" t="s">
        <v>18</v>
      </c>
      <c r="L702" t="str">
        <f>T("9791194982159")</f>
        <v>9791194982159</v>
      </c>
      <c r="M702" t="str">
        <f t="shared" si="26"/>
        <v/>
      </c>
      <c r="N702" t="s">
        <v>383</v>
      </c>
    </row>
    <row r="703" spans="1:14">
      <c r="A703" s="1">
        <v>46060.390717592592</v>
      </c>
      <c r="B703">
        <v>385348455</v>
      </c>
      <c r="C703" s="2" t="s">
        <v>255</v>
      </c>
      <c r="D703" t="s">
        <v>68</v>
      </c>
      <c r="E703" s="5">
        <v>12600</v>
      </c>
      <c r="F703" s="3">
        <v>12600</v>
      </c>
      <c r="G703" s="3">
        <v>8820</v>
      </c>
      <c r="I703" s="2" t="s">
        <v>187</v>
      </c>
      <c r="J703" s="2" t="s">
        <v>188</v>
      </c>
      <c r="K703" t="s">
        <v>18</v>
      </c>
      <c r="L703" t="str">
        <f>T("9791164835379")</f>
        <v>9791164835379</v>
      </c>
      <c r="M703" t="str">
        <f t="shared" si="26"/>
        <v/>
      </c>
    </row>
    <row r="704" spans="1:14">
      <c r="A704" s="1">
        <v>46060.412905092591</v>
      </c>
      <c r="B704">
        <v>385408887</v>
      </c>
      <c r="C704" s="2" t="s">
        <v>756</v>
      </c>
      <c r="D704" t="s">
        <v>15</v>
      </c>
      <c r="E704" s="4">
        <v>300</v>
      </c>
      <c r="F704" s="2">
        <v>300</v>
      </c>
      <c r="G704" s="2">
        <v>210</v>
      </c>
      <c r="I704" s="2" t="s">
        <v>211</v>
      </c>
      <c r="J704" s="2" t="s">
        <v>21</v>
      </c>
      <c r="K704" t="s">
        <v>18</v>
      </c>
      <c r="L704" t="str">
        <f>T("")</f>
        <v/>
      </c>
      <c r="M704" t="str">
        <f>T("G720:N+A311-20251217050.M006")</f>
        <v>G720:N+A311-20251217050.M006</v>
      </c>
      <c r="N704" t="s">
        <v>757</v>
      </c>
    </row>
    <row r="705" spans="1:14">
      <c r="A705" s="1">
        <v>46060.412905092591</v>
      </c>
      <c r="B705">
        <v>385517694</v>
      </c>
      <c r="C705" s="2" t="s">
        <v>898</v>
      </c>
      <c r="D705" t="s">
        <v>15</v>
      </c>
      <c r="E705" s="4">
        <v>300</v>
      </c>
      <c r="F705" s="2">
        <v>300</v>
      </c>
      <c r="G705" s="2">
        <v>210</v>
      </c>
      <c r="I705" s="2" t="s">
        <v>211</v>
      </c>
      <c r="J705" s="2" t="s">
        <v>21</v>
      </c>
      <c r="K705" t="s">
        <v>18</v>
      </c>
      <c r="L705" t="str">
        <f>T("")</f>
        <v/>
      </c>
      <c r="M705" t="str">
        <f>T("G720:N+A311-20251217050.M007")</f>
        <v>G720:N+A311-20251217050.M007</v>
      </c>
      <c r="N705" t="s">
        <v>899</v>
      </c>
    </row>
    <row r="706" spans="1:14">
      <c r="A706" s="1">
        <v>46060.446712962963</v>
      </c>
      <c r="B706">
        <v>385347715</v>
      </c>
      <c r="C706" s="2" t="s">
        <v>186</v>
      </c>
      <c r="D706" t="s">
        <v>15</v>
      </c>
      <c r="E706" s="5">
        <v>2000</v>
      </c>
      <c r="F706" s="3">
        <v>1800</v>
      </c>
      <c r="G706" s="3">
        <v>1260</v>
      </c>
      <c r="I706" s="2" t="s">
        <v>187</v>
      </c>
      <c r="J706" s="2" t="s">
        <v>188</v>
      </c>
      <c r="K706" t="s">
        <v>18</v>
      </c>
      <c r="L706" t="str">
        <f>T("9791164835362")</f>
        <v>9791164835362</v>
      </c>
      <c r="M706" t="str">
        <f>T("")</f>
        <v/>
      </c>
      <c r="N706" t="s">
        <v>189</v>
      </c>
    </row>
    <row r="707" spans="1:14">
      <c r="A707" s="1">
        <v>46060.474826388891</v>
      </c>
      <c r="B707">
        <v>385373248</v>
      </c>
      <c r="C707" s="2" t="s">
        <v>553</v>
      </c>
      <c r="D707" t="s">
        <v>15</v>
      </c>
      <c r="E707" s="5">
        <v>1100</v>
      </c>
      <c r="F707" s="3">
        <v>1100</v>
      </c>
      <c r="G707" s="2">
        <v>770</v>
      </c>
      <c r="I707" s="2" t="s">
        <v>211</v>
      </c>
      <c r="J707" s="2" t="s">
        <v>21</v>
      </c>
      <c r="K707" t="s">
        <v>18</v>
      </c>
      <c r="L707" t="str">
        <f>T("")</f>
        <v/>
      </c>
      <c r="M707" t="str">
        <f>T("G720:N+A311-20251210011.M001")</f>
        <v>G720:N+A311-20251210011.M001</v>
      </c>
      <c r="N707" t="s">
        <v>554</v>
      </c>
    </row>
    <row r="708" spans="1:14">
      <c r="A708" s="1">
        <v>46060.474826388891</v>
      </c>
      <c r="B708">
        <v>384598651</v>
      </c>
      <c r="C708" s="2" t="s">
        <v>696</v>
      </c>
      <c r="D708" t="s">
        <v>15</v>
      </c>
      <c r="E708" s="5">
        <v>1000</v>
      </c>
      <c r="F708" s="3">
        <v>1000</v>
      </c>
      <c r="G708" s="2">
        <v>700</v>
      </c>
      <c r="I708" s="2" t="s">
        <v>28</v>
      </c>
      <c r="J708" s="2" t="s">
        <v>21</v>
      </c>
      <c r="K708" t="s">
        <v>18</v>
      </c>
      <c r="L708" t="str">
        <f>T("9791175582422")</f>
        <v>9791175582422</v>
      </c>
      <c r="M708" t="str">
        <f t="shared" ref="M708:M733" si="27">T("")</f>
        <v/>
      </c>
      <c r="N708" t="s">
        <v>697</v>
      </c>
    </row>
    <row r="709" spans="1:14">
      <c r="A709" s="1">
        <v>46060.503425925926</v>
      </c>
      <c r="B709">
        <v>385347797</v>
      </c>
      <c r="C709" s="2" t="s">
        <v>195</v>
      </c>
      <c r="D709" t="s">
        <v>15</v>
      </c>
      <c r="E709" s="4">
        <v>700</v>
      </c>
      <c r="F709" s="2">
        <v>630</v>
      </c>
      <c r="G709" s="2">
        <v>441</v>
      </c>
      <c r="I709" s="2" t="s">
        <v>196</v>
      </c>
      <c r="J709" s="2" t="s">
        <v>197</v>
      </c>
      <c r="K709" t="s">
        <v>18</v>
      </c>
      <c r="L709" t="str">
        <f>T("9791172821937")</f>
        <v>9791172821937</v>
      </c>
      <c r="M709" t="str">
        <f t="shared" si="27"/>
        <v/>
      </c>
      <c r="N709" t="s">
        <v>198</v>
      </c>
    </row>
    <row r="710" spans="1:14">
      <c r="A710" s="1">
        <v>46060.509421296294</v>
      </c>
      <c r="B710">
        <v>385347778</v>
      </c>
      <c r="C710" s="2" t="s">
        <v>407</v>
      </c>
      <c r="D710" t="s">
        <v>15</v>
      </c>
      <c r="E710" s="5">
        <v>3200</v>
      </c>
      <c r="F710" s="3">
        <v>3200</v>
      </c>
      <c r="G710" s="3">
        <v>2240</v>
      </c>
      <c r="I710" s="2" t="s">
        <v>230</v>
      </c>
      <c r="J710" s="2" t="s">
        <v>161</v>
      </c>
      <c r="K710" t="s">
        <v>18</v>
      </c>
      <c r="L710" t="str">
        <f>T("9791173261190")</f>
        <v>9791173261190</v>
      </c>
      <c r="M710" t="str">
        <f t="shared" si="27"/>
        <v/>
      </c>
      <c r="N710" t="s">
        <v>408</v>
      </c>
    </row>
    <row r="711" spans="1:14">
      <c r="A711" s="1">
        <v>46060.509421296294</v>
      </c>
      <c r="B711">
        <v>385347733</v>
      </c>
      <c r="C711" s="2" t="s">
        <v>411</v>
      </c>
      <c r="D711" t="s">
        <v>15</v>
      </c>
      <c r="E711" s="5">
        <v>3200</v>
      </c>
      <c r="F711" s="3">
        <v>3200</v>
      </c>
      <c r="G711" s="3">
        <v>2240</v>
      </c>
      <c r="I711" s="2" t="s">
        <v>230</v>
      </c>
      <c r="J711" s="2" t="s">
        <v>161</v>
      </c>
      <c r="K711" t="s">
        <v>18</v>
      </c>
      <c r="L711" t="str">
        <f>T("9791173261176")</f>
        <v>9791173261176</v>
      </c>
      <c r="M711" t="str">
        <f t="shared" si="27"/>
        <v/>
      </c>
      <c r="N711" t="s">
        <v>412</v>
      </c>
    </row>
    <row r="712" spans="1:14">
      <c r="A712" s="1">
        <v>46060.509421296294</v>
      </c>
      <c r="B712">
        <v>385347958</v>
      </c>
      <c r="C712" s="2" t="s">
        <v>397</v>
      </c>
      <c r="D712" t="s">
        <v>15</v>
      </c>
      <c r="E712" s="5">
        <v>3200</v>
      </c>
      <c r="F712" s="3">
        <v>3200</v>
      </c>
      <c r="G712" s="3">
        <v>2240</v>
      </c>
      <c r="I712" s="2" t="s">
        <v>230</v>
      </c>
      <c r="J712" s="2" t="s">
        <v>161</v>
      </c>
      <c r="K712" t="s">
        <v>18</v>
      </c>
      <c r="L712" t="str">
        <f>T("9791173261183")</f>
        <v>9791173261183</v>
      </c>
      <c r="M712" t="str">
        <f t="shared" si="27"/>
        <v/>
      </c>
      <c r="N712" t="s">
        <v>398</v>
      </c>
    </row>
    <row r="713" spans="1:14">
      <c r="A713" s="1">
        <v>46060.509421296294</v>
      </c>
      <c r="B713">
        <v>385347817</v>
      </c>
      <c r="C713" s="2" t="s">
        <v>401</v>
      </c>
      <c r="D713" t="s">
        <v>15</v>
      </c>
      <c r="E713" s="5">
        <v>3200</v>
      </c>
      <c r="F713" s="3">
        <v>3200</v>
      </c>
      <c r="G713" s="3">
        <v>2240</v>
      </c>
      <c r="I713" s="2" t="s">
        <v>230</v>
      </c>
      <c r="J713" s="2" t="s">
        <v>161</v>
      </c>
      <c r="K713" t="s">
        <v>18</v>
      </c>
      <c r="L713" t="str">
        <f>T("9791173261169")</f>
        <v>9791173261169</v>
      </c>
      <c r="M713" t="str">
        <f t="shared" si="27"/>
        <v/>
      </c>
      <c r="N713" t="s">
        <v>402</v>
      </c>
    </row>
    <row r="714" spans="1:14">
      <c r="A714" s="1">
        <v>46060.60429398148</v>
      </c>
      <c r="B714">
        <v>346670644</v>
      </c>
      <c r="C714" s="2" t="s">
        <v>967</v>
      </c>
      <c r="D714" t="s">
        <v>15</v>
      </c>
      <c r="E714" s="5">
        <v>1000</v>
      </c>
      <c r="F714" s="3">
        <v>1000</v>
      </c>
      <c r="G714" s="2">
        <v>700</v>
      </c>
      <c r="I714" s="2" t="s">
        <v>89</v>
      </c>
      <c r="J714" s="2" t="s">
        <v>200</v>
      </c>
      <c r="K714" t="s">
        <v>18</v>
      </c>
      <c r="L714" t="str">
        <f>T("9791170897682")</f>
        <v>9791170897682</v>
      </c>
      <c r="M714" t="str">
        <f t="shared" si="27"/>
        <v/>
      </c>
      <c r="N714" t="s">
        <v>968</v>
      </c>
    </row>
    <row r="715" spans="1:14">
      <c r="A715" s="1">
        <v>46060.60429398148</v>
      </c>
      <c r="B715">
        <v>308166762</v>
      </c>
      <c r="C715" s="2" t="s">
        <v>969</v>
      </c>
      <c r="D715" t="s">
        <v>15</v>
      </c>
      <c r="E715" s="5">
        <v>1000</v>
      </c>
      <c r="F715" s="3">
        <v>1000</v>
      </c>
      <c r="G715" s="2">
        <v>700</v>
      </c>
      <c r="I715" s="2" t="s">
        <v>89</v>
      </c>
      <c r="J715" s="2" t="s">
        <v>21</v>
      </c>
      <c r="K715" t="s">
        <v>18</v>
      </c>
      <c r="L715" t="str">
        <f>T("9791167835567")</f>
        <v>9791167835567</v>
      </c>
      <c r="M715" t="str">
        <f t="shared" si="27"/>
        <v/>
      </c>
      <c r="N715" t="s">
        <v>970</v>
      </c>
    </row>
    <row r="716" spans="1:14">
      <c r="A716" s="1">
        <v>46060.60429398148</v>
      </c>
      <c r="B716">
        <v>302939431</v>
      </c>
      <c r="C716" s="2" t="s">
        <v>971</v>
      </c>
      <c r="D716" t="s">
        <v>15</v>
      </c>
      <c r="E716" s="5">
        <v>3100</v>
      </c>
      <c r="F716" s="3">
        <v>3100</v>
      </c>
      <c r="G716" s="3">
        <v>2170</v>
      </c>
      <c r="I716" s="2" t="s">
        <v>89</v>
      </c>
      <c r="J716" s="2" t="s">
        <v>21</v>
      </c>
      <c r="K716" t="s">
        <v>18</v>
      </c>
      <c r="L716" t="str">
        <f>T("9791167834539")</f>
        <v>9791167834539</v>
      </c>
      <c r="M716" t="str">
        <f t="shared" si="27"/>
        <v/>
      </c>
    </row>
    <row r="717" spans="1:14">
      <c r="A717" s="1">
        <v>46060.609849537039</v>
      </c>
      <c r="B717">
        <v>384598651</v>
      </c>
      <c r="C717" s="2" t="s">
        <v>696</v>
      </c>
      <c r="D717" t="s">
        <v>15</v>
      </c>
      <c r="E717" s="5">
        <v>1000</v>
      </c>
      <c r="F717" s="3">
        <v>1000</v>
      </c>
      <c r="G717" s="2">
        <v>700</v>
      </c>
      <c r="I717" s="2" t="s">
        <v>28</v>
      </c>
      <c r="J717" s="2" t="s">
        <v>21</v>
      </c>
      <c r="K717" t="s">
        <v>18</v>
      </c>
      <c r="L717" t="str">
        <f>T("9791175582422")</f>
        <v>9791175582422</v>
      </c>
      <c r="M717" t="str">
        <f t="shared" si="27"/>
        <v/>
      </c>
      <c r="N717" t="s">
        <v>697</v>
      </c>
    </row>
    <row r="718" spans="1:14">
      <c r="A718" s="1">
        <v>46060.637164351851</v>
      </c>
      <c r="B718">
        <v>335881154</v>
      </c>
      <c r="C718" s="2" t="s">
        <v>207</v>
      </c>
      <c r="D718" t="s">
        <v>15</v>
      </c>
      <c r="E718" s="5">
        <v>1000</v>
      </c>
      <c r="F718" s="3">
        <v>1000</v>
      </c>
      <c r="G718" s="2">
        <v>700</v>
      </c>
      <c r="I718" s="2" t="s">
        <v>208</v>
      </c>
      <c r="J718" s="2" t="s">
        <v>21</v>
      </c>
      <c r="K718" t="s">
        <v>18</v>
      </c>
      <c r="L718" t="str">
        <f>T("9791170895725")</f>
        <v>9791170895725</v>
      </c>
      <c r="M718" t="str">
        <f t="shared" si="27"/>
        <v/>
      </c>
      <c r="N718" t="s">
        <v>209</v>
      </c>
    </row>
    <row r="719" spans="1:14">
      <c r="A719" s="1">
        <v>46060.63721064815</v>
      </c>
      <c r="B719">
        <v>365949633</v>
      </c>
      <c r="C719" s="2" t="s">
        <v>637</v>
      </c>
      <c r="D719" t="s">
        <v>15</v>
      </c>
      <c r="E719" s="5">
        <v>1000</v>
      </c>
      <c r="F719" s="3">
        <v>1000</v>
      </c>
      <c r="G719" s="2">
        <v>700</v>
      </c>
      <c r="I719" s="2" t="s">
        <v>638</v>
      </c>
      <c r="J719" s="2" t="s">
        <v>184</v>
      </c>
      <c r="K719" t="s">
        <v>18</v>
      </c>
      <c r="L719" t="str">
        <f>T("9791170964056")</f>
        <v>9791170964056</v>
      </c>
      <c r="M719" t="str">
        <f t="shared" si="27"/>
        <v/>
      </c>
      <c r="N719" t="s">
        <v>639</v>
      </c>
    </row>
    <row r="720" spans="1:14">
      <c r="A720" s="1">
        <v>46060.653680555559</v>
      </c>
      <c r="B720">
        <v>337247378</v>
      </c>
      <c r="C720" s="2" t="s">
        <v>586</v>
      </c>
      <c r="D720" t="s">
        <v>15</v>
      </c>
      <c r="E720" s="5">
        <v>1000</v>
      </c>
      <c r="F720" s="3">
        <v>1000</v>
      </c>
      <c r="G720" s="2">
        <v>700</v>
      </c>
      <c r="I720" s="2" t="s">
        <v>28</v>
      </c>
      <c r="J720" s="2" t="s">
        <v>21</v>
      </c>
      <c r="K720" t="s">
        <v>18</v>
      </c>
      <c r="L720" t="str">
        <f>T("9791170895305")</f>
        <v>9791170895305</v>
      </c>
      <c r="M720" t="str">
        <f t="shared" si="27"/>
        <v/>
      </c>
      <c r="N720" t="s">
        <v>587</v>
      </c>
    </row>
    <row r="721" spans="1:14">
      <c r="A721" s="1">
        <v>46060.661712962959</v>
      </c>
      <c r="B721">
        <v>271933174</v>
      </c>
      <c r="C721" s="2" t="s">
        <v>45</v>
      </c>
      <c r="D721" t="s">
        <v>15</v>
      </c>
      <c r="E721" s="5">
        <v>3000</v>
      </c>
      <c r="F721" s="3">
        <v>3000</v>
      </c>
      <c r="G721" s="3">
        <v>2100</v>
      </c>
      <c r="I721" s="2" t="s">
        <v>44</v>
      </c>
      <c r="J721" s="2" t="s">
        <v>21</v>
      </c>
      <c r="K721" t="s">
        <v>18</v>
      </c>
      <c r="L721" t="str">
        <f>T("9791191337068")</f>
        <v>9791191337068</v>
      </c>
      <c r="M721" t="str">
        <f t="shared" si="27"/>
        <v/>
      </c>
    </row>
    <row r="722" spans="1:14">
      <c r="A722" s="1">
        <v>46060.691064814811</v>
      </c>
      <c r="B722">
        <v>312914588</v>
      </c>
      <c r="C722" s="2" t="s">
        <v>972</v>
      </c>
      <c r="D722" t="s">
        <v>68</v>
      </c>
      <c r="E722" s="4">
        <v>900</v>
      </c>
      <c r="F722" s="2">
        <v>900</v>
      </c>
      <c r="G722" s="2">
        <v>630</v>
      </c>
      <c r="I722" s="2" t="s">
        <v>973</v>
      </c>
      <c r="J722" s="2" t="s">
        <v>415</v>
      </c>
      <c r="K722" t="s">
        <v>18</v>
      </c>
      <c r="L722" t="str">
        <f>T("9791168280441")</f>
        <v>9791168280441</v>
      </c>
      <c r="M722" t="str">
        <f t="shared" si="27"/>
        <v/>
      </c>
      <c r="N722" t="s">
        <v>974</v>
      </c>
    </row>
    <row r="723" spans="1:14">
      <c r="A723" s="1">
        <v>46060.702002314814</v>
      </c>
      <c r="B723">
        <v>385347797</v>
      </c>
      <c r="C723" s="2" t="s">
        <v>195</v>
      </c>
      <c r="D723" t="s">
        <v>15</v>
      </c>
      <c r="E723" s="4">
        <v>700</v>
      </c>
      <c r="F723" s="2">
        <v>630</v>
      </c>
      <c r="G723" s="2">
        <v>441</v>
      </c>
      <c r="I723" s="2" t="s">
        <v>196</v>
      </c>
      <c r="J723" s="2" t="s">
        <v>197</v>
      </c>
      <c r="K723" t="s">
        <v>18</v>
      </c>
      <c r="L723" t="str">
        <f>T("9791172821937")</f>
        <v>9791172821937</v>
      </c>
      <c r="M723" t="str">
        <f t="shared" si="27"/>
        <v/>
      </c>
      <c r="N723" t="s">
        <v>198</v>
      </c>
    </row>
    <row r="724" spans="1:14">
      <c r="A724" s="1">
        <v>46060.731481481482</v>
      </c>
      <c r="B724">
        <v>277935839</v>
      </c>
      <c r="C724" s="2" t="s">
        <v>903</v>
      </c>
      <c r="D724" t="s">
        <v>15</v>
      </c>
      <c r="E724" s="4">
        <v>100</v>
      </c>
      <c r="F724" s="2">
        <v>100</v>
      </c>
      <c r="G724" s="2">
        <v>70</v>
      </c>
      <c r="I724" s="2" t="s">
        <v>64</v>
      </c>
      <c r="J724" s="2" t="s">
        <v>65</v>
      </c>
      <c r="K724" t="s">
        <v>18</v>
      </c>
      <c r="L724" t="str">
        <f>T("9791162589724")</f>
        <v>9791162589724</v>
      </c>
      <c r="M724" t="str">
        <f t="shared" si="27"/>
        <v/>
      </c>
      <c r="N724" t="s">
        <v>904</v>
      </c>
    </row>
    <row r="725" spans="1:14">
      <c r="A725" s="1">
        <v>46060.731481481482</v>
      </c>
      <c r="B725">
        <v>277935571</v>
      </c>
      <c r="C725" s="2" t="s">
        <v>905</v>
      </c>
      <c r="D725" t="s">
        <v>15</v>
      </c>
      <c r="E725" s="4">
        <v>100</v>
      </c>
      <c r="F725" s="2">
        <v>100</v>
      </c>
      <c r="G725" s="2">
        <v>70</v>
      </c>
      <c r="I725" s="2" t="s">
        <v>64</v>
      </c>
      <c r="J725" s="2" t="s">
        <v>65</v>
      </c>
      <c r="K725" t="s">
        <v>18</v>
      </c>
      <c r="L725" t="str">
        <f>T("9791162589724")</f>
        <v>9791162589724</v>
      </c>
      <c r="M725" t="str">
        <f t="shared" si="27"/>
        <v/>
      </c>
      <c r="N725" t="s">
        <v>906</v>
      </c>
    </row>
    <row r="726" spans="1:14">
      <c r="A726" s="1">
        <v>46060.764988425923</v>
      </c>
      <c r="B726">
        <v>277935768</v>
      </c>
      <c r="C726" s="2" t="s">
        <v>975</v>
      </c>
      <c r="D726" t="s">
        <v>15</v>
      </c>
      <c r="E726" s="4">
        <v>100</v>
      </c>
      <c r="F726" s="2">
        <v>100</v>
      </c>
      <c r="G726" s="2">
        <v>70</v>
      </c>
      <c r="I726" s="2" t="s">
        <v>64</v>
      </c>
      <c r="J726" s="2" t="s">
        <v>65</v>
      </c>
      <c r="K726" t="s">
        <v>18</v>
      </c>
      <c r="L726" t="str">
        <f>T("9791162589724")</f>
        <v>9791162589724</v>
      </c>
      <c r="M726" t="str">
        <f t="shared" si="27"/>
        <v/>
      </c>
      <c r="N726" t="s">
        <v>976</v>
      </c>
    </row>
    <row r="727" spans="1:14">
      <c r="A727" s="1">
        <v>46060.777430555558</v>
      </c>
      <c r="B727">
        <v>348085016</v>
      </c>
      <c r="C727" s="2" t="s">
        <v>977</v>
      </c>
      <c r="D727" t="s">
        <v>15</v>
      </c>
      <c r="E727" s="5">
        <v>2500</v>
      </c>
      <c r="F727" s="3">
        <v>2500</v>
      </c>
      <c r="G727" s="3">
        <v>1750</v>
      </c>
      <c r="I727" s="2" t="s">
        <v>266</v>
      </c>
      <c r="J727" s="2" t="s">
        <v>126</v>
      </c>
      <c r="K727" t="s">
        <v>18</v>
      </c>
      <c r="L727" t="str">
        <f>T("9791171501151")</f>
        <v>9791171501151</v>
      </c>
      <c r="M727" t="str">
        <f t="shared" si="27"/>
        <v/>
      </c>
      <c r="N727" t="s">
        <v>978</v>
      </c>
    </row>
    <row r="728" spans="1:14">
      <c r="A728" s="1">
        <v>46060.795231481483</v>
      </c>
      <c r="B728">
        <v>385347797</v>
      </c>
      <c r="C728" s="2" t="s">
        <v>195</v>
      </c>
      <c r="D728" t="s">
        <v>15</v>
      </c>
      <c r="E728" s="4">
        <v>700</v>
      </c>
      <c r="F728" s="2">
        <v>630</v>
      </c>
      <c r="G728" s="2">
        <v>441</v>
      </c>
      <c r="I728" s="2" t="s">
        <v>196</v>
      </c>
      <c r="J728" s="2" t="s">
        <v>197</v>
      </c>
      <c r="K728" t="s">
        <v>18</v>
      </c>
      <c r="L728" t="str">
        <f>T("9791172821937")</f>
        <v>9791172821937</v>
      </c>
      <c r="M728" t="str">
        <f t="shared" si="27"/>
        <v/>
      </c>
      <c r="N728" t="s">
        <v>198</v>
      </c>
    </row>
    <row r="729" spans="1:14">
      <c r="A729" s="1">
        <v>46060.800150462965</v>
      </c>
      <c r="B729">
        <v>385347715</v>
      </c>
      <c r="C729" s="2" t="s">
        <v>186</v>
      </c>
      <c r="D729" t="s">
        <v>15</v>
      </c>
      <c r="E729" s="5">
        <v>2000</v>
      </c>
      <c r="F729" s="3">
        <v>1800</v>
      </c>
      <c r="G729" s="3">
        <v>1260</v>
      </c>
      <c r="I729" s="2" t="s">
        <v>187</v>
      </c>
      <c r="J729" s="2" t="s">
        <v>188</v>
      </c>
      <c r="K729" t="s">
        <v>18</v>
      </c>
      <c r="L729" t="str">
        <f>T("9791164835362")</f>
        <v>9791164835362</v>
      </c>
      <c r="M729" t="str">
        <f t="shared" si="27"/>
        <v/>
      </c>
      <c r="N729" t="s">
        <v>189</v>
      </c>
    </row>
    <row r="730" spans="1:14">
      <c r="A730" s="1">
        <v>46060.840231481481</v>
      </c>
      <c r="B730">
        <v>296918116</v>
      </c>
      <c r="C730" s="2" t="s">
        <v>979</v>
      </c>
      <c r="D730" t="s">
        <v>15</v>
      </c>
      <c r="E730" s="5">
        <v>1000</v>
      </c>
      <c r="F730" s="3">
        <v>1000</v>
      </c>
      <c r="G730" s="2">
        <v>700</v>
      </c>
      <c r="I730" s="2" t="s">
        <v>980</v>
      </c>
      <c r="J730" s="2" t="s">
        <v>21</v>
      </c>
      <c r="K730" t="s">
        <v>18</v>
      </c>
      <c r="L730" t="str">
        <f>T("9791167833389")</f>
        <v>9791167833389</v>
      </c>
      <c r="M730" t="str">
        <f t="shared" si="27"/>
        <v/>
      </c>
    </row>
    <row r="731" spans="1:14">
      <c r="A731" s="1">
        <v>46060.851388888892</v>
      </c>
      <c r="B731">
        <v>344253317</v>
      </c>
      <c r="C731" s="2" t="s">
        <v>981</v>
      </c>
      <c r="D731" t="s">
        <v>15</v>
      </c>
      <c r="E731" s="5">
        <v>16200</v>
      </c>
      <c r="F731" s="3">
        <v>16200</v>
      </c>
      <c r="G731" s="3">
        <v>11340</v>
      </c>
      <c r="I731" s="2" t="s">
        <v>191</v>
      </c>
      <c r="J731" s="2" t="s">
        <v>188</v>
      </c>
      <c r="K731" t="s">
        <v>18</v>
      </c>
      <c r="L731" t="str">
        <f>T("9791164834600")</f>
        <v>9791164834600</v>
      </c>
      <c r="M731" t="str">
        <f t="shared" si="27"/>
        <v/>
      </c>
    </row>
    <row r="732" spans="1:14">
      <c r="A732" s="1">
        <v>46060.858738425923</v>
      </c>
      <c r="B732">
        <v>370130204</v>
      </c>
      <c r="C732" s="2" t="s">
        <v>982</v>
      </c>
      <c r="D732" t="s">
        <v>68</v>
      </c>
      <c r="E732" s="4">
        <v>0</v>
      </c>
      <c r="F732" s="2">
        <v>0</v>
      </c>
      <c r="G732" s="2">
        <v>0</v>
      </c>
      <c r="I732" s="2" t="s">
        <v>244</v>
      </c>
      <c r="J732" s="2" t="s">
        <v>245</v>
      </c>
      <c r="K732" t="s">
        <v>18</v>
      </c>
      <c r="L732" t="str">
        <f>T("9791164489015")</f>
        <v>9791164489015</v>
      </c>
      <c r="M732" t="str">
        <f t="shared" si="27"/>
        <v/>
      </c>
      <c r="N732" t="s">
        <v>983</v>
      </c>
    </row>
    <row r="733" spans="1:14">
      <c r="A733" s="1">
        <v>46060.884733796294</v>
      </c>
      <c r="B733">
        <v>385348455</v>
      </c>
      <c r="C733" s="2" t="s">
        <v>255</v>
      </c>
      <c r="D733" t="s">
        <v>68</v>
      </c>
      <c r="E733" s="5">
        <v>12600</v>
      </c>
      <c r="F733" s="3">
        <v>12600</v>
      </c>
      <c r="G733" s="3">
        <v>8820</v>
      </c>
      <c r="I733" s="2" t="s">
        <v>187</v>
      </c>
      <c r="J733" s="2" t="s">
        <v>188</v>
      </c>
      <c r="K733" t="s">
        <v>18</v>
      </c>
      <c r="L733" t="str">
        <f>T("9791164835379")</f>
        <v>9791164835379</v>
      </c>
      <c r="M733" t="str">
        <f t="shared" si="27"/>
        <v/>
      </c>
    </row>
    <row r="734" spans="1:14">
      <c r="A734" s="1">
        <v>46060.938854166663</v>
      </c>
      <c r="B734">
        <v>385373248</v>
      </c>
      <c r="C734" s="2" t="s">
        <v>553</v>
      </c>
      <c r="D734" t="s">
        <v>15</v>
      </c>
      <c r="E734" s="5">
        <v>1100</v>
      </c>
      <c r="F734" s="3">
        <v>1100</v>
      </c>
      <c r="G734" s="2">
        <v>770</v>
      </c>
      <c r="I734" s="2" t="s">
        <v>211</v>
      </c>
      <c r="J734" s="2" t="s">
        <v>21</v>
      </c>
      <c r="K734" t="s">
        <v>18</v>
      </c>
      <c r="L734" t="str">
        <f>T("")</f>
        <v/>
      </c>
      <c r="M734" t="str">
        <f>T("G720:N+A311-20251210011.M001")</f>
        <v>G720:N+A311-20251210011.M001</v>
      </c>
      <c r="N734" t="s">
        <v>554</v>
      </c>
    </row>
    <row r="735" spans="1:14">
      <c r="A735" s="1">
        <v>46060.938854166663</v>
      </c>
      <c r="B735">
        <v>372487489</v>
      </c>
      <c r="C735" s="2" t="s">
        <v>984</v>
      </c>
      <c r="D735" t="s">
        <v>15</v>
      </c>
      <c r="E735" s="5">
        <v>1000</v>
      </c>
      <c r="F735" s="3">
        <v>1000</v>
      </c>
      <c r="G735" s="2">
        <v>700</v>
      </c>
      <c r="I735" s="2" t="s">
        <v>941</v>
      </c>
      <c r="J735" s="2" t="s">
        <v>21</v>
      </c>
      <c r="K735" t="s">
        <v>18</v>
      </c>
      <c r="L735" t="str">
        <f>T("9791173017629")</f>
        <v>9791173017629</v>
      </c>
      <c r="M735" t="str">
        <f>T("")</f>
        <v/>
      </c>
      <c r="N735" t="s">
        <v>985</v>
      </c>
    </row>
    <row r="736" spans="1:14">
      <c r="A736" s="1">
        <v>46060.938854166663</v>
      </c>
      <c r="B736">
        <v>382627433</v>
      </c>
      <c r="C736" s="2" t="s">
        <v>986</v>
      </c>
      <c r="D736" t="s">
        <v>15</v>
      </c>
      <c r="E736" s="5">
        <v>1000</v>
      </c>
      <c r="F736" s="3">
        <v>1000</v>
      </c>
      <c r="G736" s="2">
        <v>700</v>
      </c>
      <c r="I736" s="2" t="s">
        <v>487</v>
      </c>
      <c r="J736" s="2" t="s">
        <v>21</v>
      </c>
      <c r="K736" t="s">
        <v>18</v>
      </c>
      <c r="L736" t="str">
        <f>T("9791175581692")</f>
        <v>9791175581692</v>
      </c>
      <c r="M736" t="str">
        <f>T("")</f>
        <v/>
      </c>
      <c r="N736" t="s">
        <v>987</v>
      </c>
    </row>
    <row r="737" spans="1:14">
      <c r="A737" s="1">
        <v>46060.944421296299</v>
      </c>
      <c r="B737">
        <v>331217793</v>
      </c>
      <c r="C737" s="2" t="s">
        <v>988</v>
      </c>
      <c r="D737" t="s">
        <v>15</v>
      </c>
      <c r="E737" s="5">
        <v>11760</v>
      </c>
      <c r="F737" s="3">
        <v>11760</v>
      </c>
      <c r="G737" s="3">
        <v>8232</v>
      </c>
      <c r="I737" s="2" t="s">
        <v>989</v>
      </c>
      <c r="J737" s="2" t="s">
        <v>184</v>
      </c>
      <c r="K737" t="s">
        <v>18</v>
      </c>
      <c r="L737" t="str">
        <f>T("9791170960843")</f>
        <v>9791170960843</v>
      </c>
      <c r="M737" t="str">
        <f>T("")</f>
        <v/>
      </c>
      <c r="N737" t="s">
        <v>990</v>
      </c>
    </row>
    <row r="738" spans="1:14">
      <c r="A738" s="1">
        <v>46060.965381944443</v>
      </c>
      <c r="B738">
        <v>345870846</v>
      </c>
      <c r="C738" s="2" t="s">
        <v>991</v>
      </c>
      <c r="D738" t="s">
        <v>15</v>
      </c>
      <c r="E738" s="4">
        <v>0</v>
      </c>
      <c r="F738" s="2">
        <v>0</v>
      </c>
      <c r="G738" s="2">
        <v>0</v>
      </c>
      <c r="I738" s="2" t="s">
        <v>992</v>
      </c>
      <c r="J738" s="2" t="s">
        <v>754</v>
      </c>
      <c r="K738" t="s">
        <v>18</v>
      </c>
      <c r="L738" t="str">
        <f>T("9791193602959")</f>
        <v>9791193602959</v>
      </c>
      <c r="M738" t="str">
        <f>T("")</f>
        <v/>
      </c>
      <c r="N738" t="s">
        <v>993</v>
      </c>
    </row>
    <row r="739" spans="1:14">
      <c r="A739" s="1">
        <v>46060.967939814815</v>
      </c>
      <c r="B739">
        <v>385348455</v>
      </c>
      <c r="C739" s="2" t="s">
        <v>255</v>
      </c>
      <c r="D739" t="s">
        <v>15</v>
      </c>
      <c r="E739" s="5">
        <v>14000</v>
      </c>
      <c r="F739" s="3">
        <v>12600</v>
      </c>
      <c r="G739" s="3">
        <v>8820</v>
      </c>
      <c r="I739" s="2" t="s">
        <v>187</v>
      </c>
      <c r="J739" s="2" t="s">
        <v>188</v>
      </c>
      <c r="K739" t="s">
        <v>18</v>
      </c>
      <c r="L739" t="str">
        <f>T("9791164835379")</f>
        <v>9791164835379</v>
      </c>
      <c r="M739" t="str">
        <f>T("")</f>
        <v/>
      </c>
    </row>
    <row r="740" spans="1:14">
      <c r="A740" s="1">
        <v>46060.97078703704</v>
      </c>
      <c r="B740">
        <v>385517694</v>
      </c>
      <c r="C740" s="2" t="s">
        <v>898</v>
      </c>
      <c r="D740" t="s">
        <v>15</v>
      </c>
      <c r="E740" s="4">
        <v>300</v>
      </c>
      <c r="F740" s="2">
        <v>300</v>
      </c>
      <c r="G740" s="2">
        <v>210</v>
      </c>
      <c r="I740" s="2" t="s">
        <v>211</v>
      </c>
      <c r="J740" s="2" t="s">
        <v>21</v>
      </c>
      <c r="K740" t="s">
        <v>18</v>
      </c>
      <c r="L740" t="str">
        <f>T("")</f>
        <v/>
      </c>
      <c r="M740" t="str">
        <f>T("G720:N+A311-20251217050.M007")</f>
        <v>G720:N+A311-20251217050.M007</v>
      </c>
      <c r="N740" t="s">
        <v>899</v>
      </c>
    </row>
    <row r="741" spans="1:14">
      <c r="A741" s="1">
        <v>46060.971886574072</v>
      </c>
      <c r="B741">
        <v>385347797</v>
      </c>
      <c r="C741" s="2" t="s">
        <v>195</v>
      </c>
      <c r="D741" t="s">
        <v>15</v>
      </c>
      <c r="E741" s="4">
        <v>700</v>
      </c>
      <c r="F741" s="2">
        <v>630</v>
      </c>
      <c r="G741" s="2">
        <v>441</v>
      </c>
      <c r="I741" s="2" t="s">
        <v>196</v>
      </c>
      <c r="J741" s="2" t="s">
        <v>197</v>
      </c>
      <c r="K741" t="s">
        <v>18</v>
      </c>
      <c r="L741" t="str">
        <f>T("9791172821937")</f>
        <v>9791172821937</v>
      </c>
      <c r="M741" t="str">
        <f t="shared" ref="M741:M804" si="28">T("")</f>
        <v/>
      </c>
      <c r="N741" t="s">
        <v>198</v>
      </c>
    </row>
    <row r="742" spans="1:14">
      <c r="A742" s="1">
        <v>46060.973645833335</v>
      </c>
      <c r="B742">
        <v>385347715</v>
      </c>
      <c r="C742" s="2" t="s">
        <v>186</v>
      </c>
      <c r="D742" t="s">
        <v>15</v>
      </c>
      <c r="E742" s="5">
        <v>2000</v>
      </c>
      <c r="F742" s="3">
        <v>1800</v>
      </c>
      <c r="G742" s="3">
        <v>1260</v>
      </c>
      <c r="I742" s="2" t="s">
        <v>187</v>
      </c>
      <c r="J742" s="2" t="s">
        <v>188</v>
      </c>
      <c r="K742" t="s">
        <v>18</v>
      </c>
      <c r="L742" t="str">
        <f>T("9791164835362")</f>
        <v>9791164835362</v>
      </c>
      <c r="M742" t="str">
        <f t="shared" si="28"/>
        <v/>
      </c>
      <c r="N742" t="s">
        <v>189</v>
      </c>
    </row>
    <row r="743" spans="1:14">
      <c r="A743" s="1">
        <v>46060.97420138889</v>
      </c>
      <c r="B743">
        <v>385347797</v>
      </c>
      <c r="C743" s="2" t="s">
        <v>195</v>
      </c>
      <c r="D743" t="s">
        <v>15</v>
      </c>
      <c r="E743" s="4">
        <v>700</v>
      </c>
      <c r="F743" s="2">
        <v>630</v>
      </c>
      <c r="G743" s="2">
        <v>441</v>
      </c>
      <c r="I743" s="2" t="s">
        <v>196</v>
      </c>
      <c r="J743" s="2" t="s">
        <v>197</v>
      </c>
      <c r="K743" t="s">
        <v>18</v>
      </c>
      <c r="L743" t="str">
        <f>T("9791172821937")</f>
        <v>9791172821937</v>
      </c>
      <c r="M743" t="str">
        <f t="shared" si="28"/>
        <v/>
      </c>
      <c r="N743" t="s">
        <v>198</v>
      </c>
    </row>
    <row r="744" spans="1:14">
      <c r="A744" s="1">
        <v>46060.979467592595</v>
      </c>
      <c r="B744">
        <v>385347715</v>
      </c>
      <c r="C744" s="2" t="s">
        <v>186</v>
      </c>
      <c r="D744" t="s">
        <v>15</v>
      </c>
      <c r="E744" s="5">
        <v>2000</v>
      </c>
      <c r="F744" s="3">
        <v>1800</v>
      </c>
      <c r="G744" s="3">
        <v>1260</v>
      </c>
      <c r="I744" s="2" t="s">
        <v>187</v>
      </c>
      <c r="J744" s="2" t="s">
        <v>188</v>
      </c>
      <c r="K744" t="s">
        <v>18</v>
      </c>
      <c r="L744" t="str">
        <f>T("9791164835362")</f>
        <v>9791164835362</v>
      </c>
      <c r="M744" t="str">
        <f t="shared" si="28"/>
        <v/>
      </c>
      <c r="N744" t="s">
        <v>189</v>
      </c>
    </row>
    <row r="745" spans="1:14">
      <c r="A745" s="1">
        <v>46060.979884259257</v>
      </c>
      <c r="B745">
        <v>385347715</v>
      </c>
      <c r="C745" s="2" t="s">
        <v>186</v>
      </c>
      <c r="D745" t="s">
        <v>15</v>
      </c>
      <c r="E745" s="5">
        <v>-2000</v>
      </c>
      <c r="F745" s="3">
        <v>-1800</v>
      </c>
      <c r="G745" s="3">
        <v>-1260</v>
      </c>
      <c r="H745" s="1">
        <v>46060.979467592595</v>
      </c>
      <c r="I745" s="2" t="s">
        <v>187</v>
      </c>
      <c r="J745" s="2" t="s">
        <v>188</v>
      </c>
      <c r="K745" t="s">
        <v>18</v>
      </c>
      <c r="L745" t="str">
        <f>T("9791164835362")</f>
        <v>9791164835362</v>
      </c>
      <c r="M745" t="str">
        <f t="shared" si="28"/>
        <v/>
      </c>
      <c r="N745" t="s">
        <v>189</v>
      </c>
    </row>
    <row r="746" spans="1:14">
      <c r="A746" s="1">
        <v>46060.980115740742</v>
      </c>
      <c r="B746">
        <v>321812072</v>
      </c>
      <c r="C746" s="2" t="s">
        <v>994</v>
      </c>
      <c r="D746" t="s">
        <v>15</v>
      </c>
      <c r="E746" s="5">
        <v>1000</v>
      </c>
      <c r="F746" s="3">
        <v>1000</v>
      </c>
      <c r="G746" s="2">
        <v>700</v>
      </c>
      <c r="I746" s="2" t="s">
        <v>465</v>
      </c>
      <c r="J746" s="2" t="s">
        <v>21</v>
      </c>
      <c r="K746" t="s">
        <v>18</v>
      </c>
      <c r="L746" t="str">
        <f>T("9791167837936")</f>
        <v>9791167837936</v>
      </c>
      <c r="M746" t="str">
        <f t="shared" si="28"/>
        <v/>
      </c>
      <c r="N746" t="s">
        <v>995</v>
      </c>
    </row>
    <row r="747" spans="1:14">
      <c r="A747" s="1">
        <v>46060.980405092596</v>
      </c>
      <c r="B747">
        <v>385347715</v>
      </c>
      <c r="C747" s="2" t="s">
        <v>186</v>
      </c>
      <c r="D747" t="s">
        <v>15</v>
      </c>
      <c r="E747" s="5">
        <v>2000</v>
      </c>
      <c r="F747" s="3">
        <v>1800</v>
      </c>
      <c r="G747" s="3">
        <v>1260</v>
      </c>
      <c r="I747" s="2" t="s">
        <v>187</v>
      </c>
      <c r="J747" s="2" t="s">
        <v>188</v>
      </c>
      <c r="K747" t="s">
        <v>18</v>
      </c>
      <c r="L747" t="str">
        <f>T("9791164835362")</f>
        <v>9791164835362</v>
      </c>
      <c r="M747" t="str">
        <f t="shared" si="28"/>
        <v/>
      </c>
      <c r="N747" t="s">
        <v>189</v>
      </c>
    </row>
    <row r="748" spans="1:14">
      <c r="A748" s="1">
        <v>46060.982372685183</v>
      </c>
      <c r="B748">
        <v>313369120</v>
      </c>
      <c r="C748" s="2" t="s">
        <v>996</v>
      </c>
      <c r="D748" t="s">
        <v>15</v>
      </c>
      <c r="E748" s="5">
        <v>1000</v>
      </c>
      <c r="F748" s="3">
        <v>1000</v>
      </c>
      <c r="G748" s="2">
        <v>700</v>
      </c>
      <c r="I748" s="2" t="s">
        <v>465</v>
      </c>
      <c r="J748" s="2" t="s">
        <v>21</v>
      </c>
      <c r="K748" t="s">
        <v>18</v>
      </c>
      <c r="L748" t="str">
        <f>T("9791167837561")</f>
        <v>9791167837561</v>
      </c>
      <c r="M748" t="str">
        <f t="shared" si="28"/>
        <v/>
      </c>
      <c r="N748" t="s">
        <v>997</v>
      </c>
    </row>
    <row r="749" spans="1:14">
      <c r="A749" s="1">
        <v>46060.984363425923</v>
      </c>
      <c r="B749">
        <v>385347792</v>
      </c>
      <c r="C749" s="2" t="s">
        <v>306</v>
      </c>
      <c r="D749" t="s">
        <v>15</v>
      </c>
      <c r="E749" s="5">
        <v>1000</v>
      </c>
      <c r="F749" s="2">
        <v>900</v>
      </c>
      <c r="G749" s="2">
        <v>630</v>
      </c>
      <c r="I749" s="2" t="s">
        <v>307</v>
      </c>
      <c r="J749" s="2" t="s">
        <v>308</v>
      </c>
      <c r="K749" t="s">
        <v>18</v>
      </c>
      <c r="L749" t="str">
        <f>T("9791194982753")</f>
        <v>9791194982753</v>
      </c>
      <c r="M749" t="str">
        <f t="shared" si="28"/>
        <v/>
      </c>
      <c r="N749" t="s">
        <v>309</v>
      </c>
    </row>
    <row r="750" spans="1:14">
      <c r="A750" s="1">
        <v>46060.990648148145</v>
      </c>
      <c r="B750">
        <v>385347797</v>
      </c>
      <c r="C750" s="2" t="s">
        <v>195</v>
      </c>
      <c r="D750" t="s">
        <v>15</v>
      </c>
      <c r="E750" s="4">
        <v>700</v>
      </c>
      <c r="F750" s="2">
        <v>630</v>
      </c>
      <c r="G750" s="2">
        <v>441</v>
      </c>
      <c r="I750" s="2" t="s">
        <v>196</v>
      </c>
      <c r="J750" s="2" t="s">
        <v>197</v>
      </c>
      <c r="K750" t="s">
        <v>18</v>
      </c>
      <c r="L750" t="str">
        <f>T("9791172821937")</f>
        <v>9791172821937</v>
      </c>
      <c r="M750" t="str">
        <f t="shared" si="28"/>
        <v/>
      </c>
      <c r="N750" t="s">
        <v>198</v>
      </c>
    </row>
    <row r="751" spans="1:14">
      <c r="A751" s="1">
        <v>46060.999293981484</v>
      </c>
      <c r="B751">
        <v>385347797</v>
      </c>
      <c r="C751" s="2" t="s">
        <v>195</v>
      </c>
      <c r="D751" t="s">
        <v>15</v>
      </c>
      <c r="E751" s="4">
        <v>700</v>
      </c>
      <c r="F751" s="2">
        <v>630</v>
      </c>
      <c r="G751" s="2">
        <v>441</v>
      </c>
      <c r="I751" s="2" t="s">
        <v>196</v>
      </c>
      <c r="J751" s="2" t="s">
        <v>197</v>
      </c>
      <c r="K751" t="s">
        <v>18</v>
      </c>
      <c r="L751" t="str">
        <f>T("9791172821937")</f>
        <v>9791172821937</v>
      </c>
      <c r="M751" t="str">
        <f t="shared" si="28"/>
        <v/>
      </c>
      <c r="N751" t="s">
        <v>198</v>
      </c>
    </row>
    <row r="752" spans="1:14">
      <c r="A752" s="1">
        <v>46061.000555555554</v>
      </c>
      <c r="B752">
        <v>384623947</v>
      </c>
      <c r="C752" s="2" t="s">
        <v>37</v>
      </c>
      <c r="D752" t="s">
        <v>15</v>
      </c>
      <c r="E752" s="5">
        <v>1000</v>
      </c>
      <c r="F752" s="3">
        <v>1000</v>
      </c>
      <c r="G752" s="2">
        <v>700</v>
      </c>
      <c r="I752" s="2" t="s">
        <v>38</v>
      </c>
      <c r="J752" s="2" t="s">
        <v>21</v>
      </c>
      <c r="K752" t="s">
        <v>18</v>
      </c>
      <c r="L752" t="str">
        <f>T("9791175582187")</f>
        <v>9791175582187</v>
      </c>
      <c r="M752" t="str">
        <f t="shared" si="28"/>
        <v/>
      </c>
      <c r="N752" t="s">
        <v>39</v>
      </c>
    </row>
    <row r="753" spans="1:14">
      <c r="A753" s="1">
        <v>46061.006898148145</v>
      </c>
      <c r="B753">
        <v>385347797</v>
      </c>
      <c r="C753" s="2" t="s">
        <v>195</v>
      </c>
      <c r="D753" t="s">
        <v>15</v>
      </c>
      <c r="E753" s="4">
        <v>700</v>
      </c>
      <c r="F753" s="2">
        <v>630</v>
      </c>
      <c r="G753" s="2">
        <v>441</v>
      </c>
      <c r="I753" s="2" t="s">
        <v>196</v>
      </c>
      <c r="J753" s="2" t="s">
        <v>197</v>
      </c>
      <c r="K753" t="s">
        <v>18</v>
      </c>
      <c r="L753" t="str">
        <f>T("9791172821937")</f>
        <v>9791172821937</v>
      </c>
      <c r="M753" t="str">
        <f t="shared" si="28"/>
        <v/>
      </c>
      <c r="N753" t="s">
        <v>198</v>
      </c>
    </row>
    <row r="754" spans="1:14">
      <c r="A754" s="1">
        <v>46061.016238425924</v>
      </c>
      <c r="B754">
        <v>268443410</v>
      </c>
      <c r="C754" s="2" t="s">
        <v>665</v>
      </c>
      <c r="D754" t="s">
        <v>15</v>
      </c>
      <c r="E754" s="5">
        <v>2500</v>
      </c>
      <c r="F754" s="3">
        <v>2500</v>
      </c>
      <c r="G754" s="3">
        <v>1750</v>
      </c>
      <c r="I754" s="2" t="s">
        <v>666</v>
      </c>
      <c r="J754" s="2" t="s">
        <v>21</v>
      </c>
      <c r="K754" t="s">
        <v>18</v>
      </c>
      <c r="L754" t="str">
        <f>T("9791191337228")</f>
        <v>9791191337228</v>
      </c>
      <c r="M754" t="str">
        <f t="shared" si="28"/>
        <v/>
      </c>
    </row>
    <row r="755" spans="1:14">
      <c r="A755" s="1">
        <v>46061.022743055553</v>
      </c>
      <c r="B755">
        <v>385347715</v>
      </c>
      <c r="C755" s="2" t="s">
        <v>186</v>
      </c>
      <c r="D755" t="s">
        <v>15</v>
      </c>
      <c r="E755" s="5">
        <v>2000</v>
      </c>
      <c r="F755" s="3">
        <v>1800</v>
      </c>
      <c r="G755" s="3">
        <v>1260</v>
      </c>
      <c r="I755" s="2" t="s">
        <v>187</v>
      </c>
      <c r="J755" s="2" t="s">
        <v>188</v>
      </c>
      <c r="K755" t="s">
        <v>18</v>
      </c>
      <c r="L755" t="str">
        <f>T("9791164835362")</f>
        <v>9791164835362</v>
      </c>
      <c r="M755" t="str">
        <f t="shared" si="28"/>
        <v/>
      </c>
      <c r="N755" t="s">
        <v>189</v>
      </c>
    </row>
    <row r="756" spans="1:14">
      <c r="A756" s="1">
        <v>46061.069768518515</v>
      </c>
      <c r="B756">
        <v>302114878</v>
      </c>
      <c r="C756" s="2" t="s">
        <v>998</v>
      </c>
      <c r="D756" t="s">
        <v>15</v>
      </c>
      <c r="E756" s="5">
        <v>1000</v>
      </c>
      <c r="F756" s="3">
        <v>1000</v>
      </c>
      <c r="G756" s="2">
        <v>700</v>
      </c>
      <c r="I756" s="2" t="s">
        <v>999</v>
      </c>
      <c r="J756" s="2" t="s">
        <v>21</v>
      </c>
      <c r="K756" t="s">
        <v>18</v>
      </c>
      <c r="L756" t="str">
        <f>T("9791167834362")</f>
        <v>9791167834362</v>
      </c>
      <c r="M756" t="str">
        <f t="shared" si="28"/>
        <v/>
      </c>
    </row>
    <row r="757" spans="1:14">
      <c r="A757" s="1">
        <v>46061.077303240738</v>
      </c>
      <c r="B757">
        <v>384623947</v>
      </c>
      <c r="C757" s="2" t="s">
        <v>37</v>
      </c>
      <c r="D757" t="s">
        <v>15</v>
      </c>
      <c r="E757" s="5">
        <v>1000</v>
      </c>
      <c r="F757" s="3">
        <v>1000</v>
      </c>
      <c r="G757" s="2">
        <v>700</v>
      </c>
      <c r="I757" s="2" t="s">
        <v>38</v>
      </c>
      <c r="J757" s="2" t="s">
        <v>21</v>
      </c>
      <c r="K757" t="s">
        <v>18</v>
      </c>
      <c r="L757" t="str">
        <f>T("9791175582187")</f>
        <v>9791175582187</v>
      </c>
      <c r="M757" t="str">
        <f t="shared" si="28"/>
        <v/>
      </c>
      <c r="N757" t="s">
        <v>39</v>
      </c>
    </row>
    <row r="758" spans="1:14">
      <c r="A758" s="1">
        <v>46061.12327546296</v>
      </c>
      <c r="B758">
        <v>234101418</v>
      </c>
      <c r="C758" s="2" t="s">
        <v>932</v>
      </c>
      <c r="D758" t="s">
        <v>15</v>
      </c>
      <c r="E758" s="4">
        <v>0</v>
      </c>
      <c r="F758" s="2">
        <v>0</v>
      </c>
      <c r="G758" s="2">
        <v>0</v>
      </c>
      <c r="I758" s="2" t="s">
        <v>933</v>
      </c>
      <c r="J758" s="2" t="s">
        <v>245</v>
      </c>
      <c r="K758" t="s">
        <v>18</v>
      </c>
      <c r="L758" t="str">
        <f>T("9791164485277")</f>
        <v>9791164485277</v>
      </c>
      <c r="M758" t="str">
        <f t="shared" si="28"/>
        <v/>
      </c>
    </row>
    <row r="759" spans="1:14">
      <c r="A759" s="1">
        <v>46061.143784722219</v>
      </c>
      <c r="B759">
        <v>383435421</v>
      </c>
      <c r="C759" s="2" t="s">
        <v>27</v>
      </c>
      <c r="D759" t="s">
        <v>15</v>
      </c>
      <c r="E759" s="5">
        <v>1000</v>
      </c>
      <c r="F759" s="3">
        <v>1000</v>
      </c>
      <c r="G759" s="2">
        <v>700</v>
      </c>
      <c r="I759" s="2" t="s">
        <v>28</v>
      </c>
      <c r="J759" s="2" t="s">
        <v>21</v>
      </c>
      <c r="K759" t="s">
        <v>18</v>
      </c>
      <c r="L759" t="str">
        <f>T("9791175582361")</f>
        <v>9791175582361</v>
      </c>
      <c r="M759" t="str">
        <f t="shared" si="28"/>
        <v/>
      </c>
      <c r="N759" t="s">
        <v>29</v>
      </c>
    </row>
    <row r="760" spans="1:14">
      <c r="A760" s="1">
        <v>46061.155428240738</v>
      </c>
      <c r="B760">
        <v>385347773</v>
      </c>
      <c r="C760" s="2" t="s">
        <v>229</v>
      </c>
      <c r="D760" t="s">
        <v>15</v>
      </c>
      <c r="E760" s="4">
        <v>0</v>
      </c>
      <c r="F760" s="2">
        <v>0</v>
      </c>
      <c r="G760" s="2">
        <v>0</v>
      </c>
      <c r="I760" s="2" t="s">
        <v>230</v>
      </c>
      <c r="J760" s="2" t="s">
        <v>161</v>
      </c>
      <c r="K760" t="s">
        <v>18</v>
      </c>
      <c r="L760" t="str">
        <f>T("9791173261091")</f>
        <v>9791173261091</v>
      </c>
      <c r="M760" t="str">
        <f t="shared" si="28"/>
        <v/>
      </c>
      <c r="N760" t="s">
        <v>231</v>
      </c>
    </row>
    <row r="761" spans="1:14">
      <c r="A761" s="1">
        <v>46061.155428240738</v>
      </c>
      <c r="B761">
        <v>385347749</v>
      </c>
      <c r="C761" s="2" t="s">
        <v>212</v>
      </c>
      <c r="D761" t="s">
        <v>15</v>
      </c>
      <c r="E761" s="4">
        <v>0</v>
      </c>
      <c r="F761" s="2">
        <v>0</v>
      </c>
      <c r="G761" s="2">
        <v>0</v>
      </c>
      <c r="I761" s="2" t="s">
        <v>213</v>
      </c>
      <c r="J761" s="2" t="s">
        <v>161</v>
      </c>
      <c r="K761" t="s">
        <v>18</v>
      </c>
      <c r="L761" t="str">
        <f>T("9791173261763")</f>
        <v>9791173261763</v>
      </c>
      <c r="M761" t="str">
        <f t="shared" si="28"/>
        <v/>
      </c>
      <c r="N761" t="s">
        <v>214</v>
      </c>
    </row>
    <row r="762" spans="1:14">
      <c r="A762" s="1">
        <v>46061.155428240738</v>
      </c>
      <c r="B762">
        <v>385347855</v>
      </c>
      <c r="C762" s="2" t="s">
        <v>223</v>
      </c>
      <c r="D762" t="s">
        <v>15</v>
      </c>
      <c r="E762" s="4">
        <v>0</v>
      </c>
      <c r="F762" s="2">
        <v>0</v>
      </c>
      <c r="G762" s="2">
        <v>0</v>
      </c>
      <c r="I762" s="2" t="s">
        <v>213</v>
      </c>
      <c r="J762" s="2" t="s">
        <v>161</v>
      </c>
      <c r="K762" t="s">
        <v>18</v>
      </c>
      <c r="L762" t="str">
        <f>T("9791173261688")</f>
        <v>9791173261688</v>
      </c>
      <c r="M762" t="str">
        <f t="shared" si="28"/>
        <v/>
      </c>
      <c r="N762" t="s">
        <v>224</v>
      </c>
    </row>
    <row r="763" spans="1:14">
      <c r="A763" s="1">
        <v>46061.155428240738</v>
      </c>
      <c r="B763">
        <v>385347806</v>
      </c>
      <c r="C763" s="2" t="s">
        <v>221</v>
      </c>
      <c r="D763" t="s">
        <v>15</v>
      </c>
      <c r="E763" s="4">
        <v>0</v>
      </c>
      <c r="F763" s="2">
        <v>0</v>
      </c>
      <c r="G763" s="2">
        <v>0</v>
      </c>
      <c r="I763" s="2" t="s">
        <v>213</v>
      </c>
      <c r="J763" s="2" t="s">
        <v>161</v>
      </c>
      <c r="K763" t="s">
        <v>18</v>
      </c>
      <c r="L763" t="str">
        <f>T("9791173261930")</f>
        <v>9791173261930</v>
      </c>
      <c r="M763" t="str">
        <f t="shared" si="28"/>
        <v/>
      </c>
      <c r="N763" t="s">
        <v>222</v>
      </c>
    </row>
    <row r="764" spans="1:14">
      <c r="A764" s="1">
        <v>46061.155428240738</v>
      </c>
      <c r="B764">
        <v>385347969</v>
      </c>
      <c r="C764" s="2" t="s">
        <v>215</v>
      </c>
      <c r="D764" t="s">
        <v>15</v>
      </c>
      <c r="E764" s="4">
        <v>0</v>
      </c>
      <c r="F764" s="2">
        <v>0</v>
      </c>
      <c r="G764" s="2">
        <v>0</v>
      </c>
      <c r="I764" s="2" t="s">
        <v>213</v>
      </c>
      <c r="J764" s="2" t="s">
        <v>161</v>
      </c>
      <c r="K764" t="s">
        <v>18</v>
      </c>
      <c r="L764" t="str">
        <f>T("9791173261831")</f>
        <v>9791173261831</v>
      </c>
      <c r="M764" t="str">
        <f t="shared" si="28"/>
        <v/>
      </c>
      <c r="N764" t="s">
        <v>216</v>
      </c>
    </row>
    <row r="765" spans="1:14">
      <c r="A765" s="1">
        <v>46061.155428240738</v>
      </c>
      <c r="B765">
        <v>385347919</v>
      </c>
      <c r="C765" s="2" t="s">
        <v>159</v>
      </c>
      <c r="D765" t="s">
        <v>15</v>
      </c>
      <c r="E765" s="4">
        <v>0</v>
      </c>
      <c r="F765" s="2">
        <v>0</v>
      </c>
      <c r="G765" s="2">
        <v>0</v>
      </c>
      <c r="I765" s="2" t="s">
        <v>160</v>
      </c>
      <c r="J765" s="2" t="s">
        <v>161</v>
      </c>
      <c r="K765" t="s">
        <v>18</v>
      </c>
      <c r="L765" t="str">
        <f>T("9791173260254")</f>
        <v>9791173260254</v>
      </c>
      <c r="M765" t="str">
        <f t="shared" si="28"/>
        <v/>
      </c>
      <c r="N765" t="s">
        <v>162</v>
      </c>
    </row>
    <row r="766" spans="1:14">
      <c r="A766" s="1">
        <v>46061.155428240738</v>
      </c>
      <c r="B766">
        <v>385347983</v>
      </c>
      <c r="C766" s="2" t="s">
        <v>217</v>
      </c>
      <c r="D766" t="s">
        <v>15</v>
      </c>
      <c r="E766" s="4">
        <v>0</v>
      </c>
      <c r="F766" s="2">
        <v>0</v>
      </c>
      <c r="G766" s="2">
        <v>0</v>
      </c>
      <c r="I766" s="2" t="s">
        <v>213</v>
      </c>
      <c r="J766" s="2" t="s">
        <v>161</v>
      </c>
      <c r="K766" t="s">
        <v>18</v>
      </c>
      <c r="L766" t="str">
        <f>T("9791173262067")</f>
        <v>9791173262067</v>
      </c>
      <c r="M766" t="str">
        <f t="shared" si="28"/>
        <v/>
      </c>
      <c r="N766" t="s">
        <v>218</v>
      </c>
    </row>
    <row r="767" spans="1:14">
      <c r="A767" s="1">
        <v>46061.155428240738</v>
      </c>
      <c r="B767">
        <v>385348008</v>
      </c>
      <c r="C767" s="2" t="s">
        <v>219</v>
      </c>
      <c r="D767" t="s">
        <v>15</v>
      </c>
      <c r="E767" s="4">
        <v>0</v>
      </c>
      <c r="F767" s="2">
        <v>0</v>
      </c>
      <c r="G767" s="2">
        <v>0</v>
      </c>
      <c r="I767" s="2" t="s">
        <v>213</v>
      </c>
      <c r="J767" s="2" t="s">
        <v>161</v>
      </c>
      <c r="K767" t="s">
        <v>18</v>
      </c>
      <c r="L767" t="str">
        <f>T("9791173261572")</f>
        <v>9791173261572</v>
      </c>
      <c r="M767" t="str">
        <f t="shared" si="28"/>
        <v/>
      </c>
      <c r="N767" t="s">
        <v>220</v>
      </c>
    </row>
    <row r="768" spans="1:14">
      <c r="A768" s="1">
        <v>46061.165092592593</v>
      </c>
      <c r="B768">
        <v>385347797</v>
      </c>
      <c r="C768" s="2" t="s">
        <v>195</v>
      </c>
      <c r="D768" t="s">
        <v>15</v>
      </c>
      <c r="E768" s="4">
        <v>700</v>
      </c>
      <c r="F768" s="2">
        <v>630</v>
      </c>
      <c r="G768" s="2">
        <v>441</v>
      </c>
      <c r="I768" s="2" t="s">
        <v>196</v>
      </c>
      <c r="J768" s="2" t="s">
        <v>197</v>
      </c>
      <c r="K768" t="s">
        <v>18</v>
      </c>
      <c r="L768" t="str">
        <f>T("9791172821937")</f>
        <v>9791172821937</v>
      </c>
      <c r="M768" t="str">
        <f t="shared" si="28"/>
        <v/>
      </c>
      <c r="N768" t="s">
        <v>198</v>
      </c>
    </row>
    <row r="769" spans="1:14">
      <c r="A769" s="1">
        <v>46061.222511574073</v>
      </c>
      <c r="B769">
        <v>365291574</v>
      </c>
      <c r="C769" s="2" t="s">
        <v>1000</v>
      </c>
      <c r="D769" t="s">
        <v>15</v>
      </c>
      <c r="E769" s="5">
        <v>1000</v>
      </c>
      <c r="F769" s="3">
        <v>1000</v>
      </c>
      <c r="G769" s="2">
        <v>700</v>
      </c>
      <c r="I769" s="2" t="s">
        <v>1001</v>
      </c>
      <c r="J769" s="2" t="s">
        <v>21</v>
      </c>
      <c r="K769" t="s">
        <v>18</v>
      </c>
      <c r="L769" t="str">
        <f>T("9791173014413")</f>
        <v>9791173014413</v>
      </c>
      <c r="M769" t="str">
        <f t="shared" si="28"/>
        <v/>
      </c>
      <c r="N769" t="s">
        <v>1002</v>
      </c>
    </row>
    <row r="770" spans="1:14">
      <c r="A770" s="1">
        <v>46061.222511574073</v>
      </c>
      <c r="B770">
        <v>367670995</v>
      </c>
      <c r="C770" s="2" t="s">
        <v>1003</v>
      </c>
      <c r="D770" t="s">
        <v>15</v>
      </c>
      <c r="E770" s="5">
        <v>1000</v>
      </c>
      <c r="F770" s="3">
        <v>1000</v>
      </c>
      <c r="G770" s="2">
        <v>700</v>
      </c>
      <c r="I770" s="2" t="s">
        <v>1001</v>
      </c>
      <c r="J770" s="2" t="s">
        <v>21</v>
      </c>
      <c r="K770" t="s">
        <v>18</v>
      </c>
      <c r="L770" t="str">
        <f>T("9791173015632")</f>
        <v>9791173015632</v>
      </c>
      <c r="M770" t="str">
        <f t="shared" si="28"/>
        <v/>
      </c>
      <c r="N770" t="s">
        <v>1004</v>
      </c>
    </row>
    <row r="771" spans="1:14">
      <c r="A771" s="1">
        <v>46061.289699074077</v>
      </c>
      <c r="B771">
        <v>345260383</v>
      </c>
      <c r="C771" s="2" t="s">
        <v>1005</v>
      </c>
      <c r="D771" t="s">
        <v>15</v>
      </c>
      <c r="E771" s="4">
        <v>0</v>
      </c>
      <c r="F771" s="2">
        <v>0</v>
      </c>
      <c r="G771" s="2">
        <v>0</v>
      </c>
      <c r="I771" s="2" t="s">
        <v>1006</v>
      </c>
      <c r="J771" s="2" t="s">
        <v>161</v>
      </c>
      <c r="K771" t="s">
        <v>18</v>
      </c>
      <c r="L771" t="str">
        <f>T("9791193813119")</f>
        <v>9791193813119</v>
      </c>
      <c r="M771" t="str">
        <f t="shared" si="28"/>
        <v/>
      </c>
      <c r="N771" t="s">
        <v>1007</v>
      </c>
    </row>
    <row r="772" spans="1:14">
      <c r="A772" s="1">
        <v>46061.387488425928</v>
      </c>
      <c r="B772">
        <v>375514528</v>
      </c>
      <c r="C772" s="2" t="s">
        <v>1008</v>
      </c>
      <c r="D772" t="s">
        <v>15</v>
      </c>
      <c r="E772" s="5">
        <v>1000</v>
      </c>
      <c r="F772" s="3">
        <v>1000</v>
      </c>
      <c r="G772" s="2">
        <v>700</v>
      </c>
      <c r="I772" s="2" t="s">
        <v>1009</v>
      </c>
      <c r="J772" s="2" t="s">
        <v>21</v>
      </c>
      <c r="K772" t="s">
        <v>18</v>
      </c>
      <c r="L772" t="str">
        <f>T("9791175581135")</f>
        <v>9791175581135</v>
      </c>
      <c r="M772" t="str">
        <f t="shared" si="28"/>
        <v/>
      </c>
      <c r="N772" t="s">
        <v>1010</v>
      </c>
    </row>
    <row r="773" spans="1:14">
      <c r="A773" s="1">
        <v>46061.414027777777</v>
      </c>
      <c r="B773">
        <v>384623947</v>
      </c>
      <c r="C773" s="2" t="s">
        <v>37</v>
      </c>
      <c r="D773" t="s">
        <v>15</v>
      </c>
      <c r="E773" s="5">
        <v>1000</v>
      </c>
      <c r="F773" s="3">
        <v>1000</v>
      </c>
      <c r="G773" s="2">
        <v>700</v>
      </c>
      <c r="I773" s="2" t="s">
        <v>38</v>
      </c>
      <c r="J773" s="2" t="s">
        <v>21</v>
      </c>
      <c r="K773" t="s">
        <v>18</v>
      </c>
      <c r="L773" t="str">
        <f>T("9791175582187")</f>
        <v>9791175582187</v>
      </c>
      <c r="M773" t="str">
        <f t="shared" si="28"/>
        <v/>
      </c>
      <c r="N773" t="s">
        <v>39</v>
      </c>
    </row>
    <row r="774" spans="1:14">
      <c r="A774" s="1">
        <v>46061.46429398148</v>
      </c>
      <c r="B774">
        <v>277935754</v>
      </c>
      <c r="C774" s="2" t="s">
        <v>1011</v>
      </c>
      <c r="D774" t="s">
        <v>15</v>
      </c>
      <c r="E774" s="4">
        <v>100</v>
      </c>
      <c r="F774" s="2">
        <v>100</v>
      </c>
      <c r="G774" s="2">
        <v>70</v>
      </c>
      <c r="I774" s="2" t="s">
        <v>64</v>
      </c>
      <c r="J774" s="2" t="s">
        <v>65</v>
      </c>
      <c r="K774" t="s">
        <v>18</v>
      </c>
      <c r="L774" t="str">
        <f>T("9791162589724")</f>
        <v>9791162589724</v>
      </c>
      <c r="M774" t="str">
        <f t="shared" si="28"/>
        <v/>
      </c>
      <c r="N774" t="s">
        <v>1012</v>
      </c>
    </row>
    <row r="775" spans="1:14">
      <c r="A775" s="1">
        <v>46061.467106481483</v>
      </c>
      <c r="B775">
        <v>366386803</v>
      </c>
      <c r="C775" s="2" t="s">
        <v>1013</v>
      </c>
      <c r="D775" t="s">
        <v>15</v>
      </c>
      <c r="E775" s="5">
        <v>1000</v>
      </c>
      <c r="F775" s="3">
        <v>1000</v>
      </c>
      <c r="G775" s="2">
        <v>700</v>
      </c>
      <c r="I775" s="2" t="s">
        <v>61</v>
      </c>
      <c r="J775" s="2" t="s">
        <v>21</v>
      </c>
      <c r="K775" t="s">
        <v>18</v>
      </c>
      <c r="L775" t="str">
        <f>T("9791173015854")</f>
        <v>9791173015854</v>
      </c>
      <c r="M775" t="str">
        <f t="shared" si="28"/>
        <v/>
      </c>
      <c r="N775" t="s">
        <v>1014</v>
      </c>
    </row>
    <row r="776" spans="1:14">
      <c r="A776" s="1">
        <v>46061.472118055557</v>
      </c>
      <c r="B776">
        <v>282620736</v>
      </c>
      <c r="C776" s="2" t="s">
        <v>1015</v>
      </c>
      <c r="D776" t="s">
        <v>15</v>
      </c>
      <c r="E776" s="4">
        <v>100</v>
      </c>
      <c r="F776" s="2">
        <v>100</v>
      </c>
      <c r="G776" s="2">
        <v>70</v>
      </c>
      <c r="I776" s="2" t="s">
        <v>64</v>
      </c>
      <c r="J776" s="2" t="s">
        <v>65</v>
      </c>
      <c r="K776" t="s">
        <v>18</v>
      </c>
      <c r="L776" t="str">
        <f t="shared" ref="L776:L782" si="29">T("9791162589724")</f>
        <v>9791162589724</v>
      </c>
      <c r="M776" t="str">
        <f t="shared" si="28"/>
        <v/>
      </c>
      <c r="N776" t="s">
        <v>1016</v>
      </c>
    </row>
    <row r="777" spans="1:14">
      <c r="A777" s="1">
        <v>46061.472118055557</v>
      </c>
      <c r="B777">
        <v>282183124</v>
      </c>
      <c r="C777" s="2" t="s">
        <v>253</v>
      </c>
      <c r="D777" t="s">
        <v>15</v>
      </c>
      <c r="E777" s="4">
        <v>100</v>
      </c>
      <c r="F777" s="2">
        <v>100</v>
      </c>
      <c r="G777" s="2">
        <v>70</v>
      </c>
      <c r="I777" s="2" t="s">
        <v>64</v>
      </c>
      <c r="J777" s="2" t="s">
        <v>65</v>
      </c>
      <c r="K777" t="s">
        <v>18</v>
      </c>
      <c r="L777" t="str">
        <f t="shared" si="29"/>
        <v>9791162589724</v>
      </c>
      <c r="M777" t="str">
        <f t="shared" si="28"/>
        <v/>
      </c>
      <c r="N777" t="s">
        <v>254</v>
      </c>
    </row>
    <row r="778" spans="1:14">
      <c r="A778" s="1">
        <v>46061.472118055557</v>
      </c>
      <c r="B778">
        <v>282183122</v>
      </c>
      <c r="C778" s="2" t="s">
        <v>249</v>
      </c>
      <c r="D778" t="s">
        <v>15</v>
      </c>
      <c r="E778" s="4">
        <v>100</v>
      </c>
      <c r="F778" s="2">
        <v>100</v>
      </c>
      <c r="G778" s="2">
        <v>70</v>
      </c>
      <c r="I778" s="2" t="s">
        <v>64</v>
      </c>
      <c r="J778" s="2" t="s">
        <v>65</v>
      </c>
      <c r="K778" t="s">
        <v>18</v>
      </c>
      <c r="L778" t="str">
        <f t="shared" si="29"/>
        <v>9791162589724</v>
      </c>
      <c r="M778" t="str">
        <f t="shared" si="28"/>
        <v/>
      </c>
      <c r="N778" t="s">
        <v>250</v>
      </c>
    </row>
    <row r="779" spans="1:14">
      <c r="A779" s="1">
        <v>46061.472118055557</v>
      </c>
      <c r="B779">
        <v>282183123</v>
      </c>
      <c r="C779" s="2" t="s">
        <v>251</v>
      </c>
      <c r="D779" t="s">
        <v>15</v>
      </c>
      <c r="E779" s="4">
        <v>100</v>
      </c>
      <c r="F779" s="2">
        <v>100</v>
      </c>
      <c r="G779" s="2">
        <v>70</v>
      </c>
      <c r="I779" s="2" t="s">
        <v>64</v>
      </c>
      <c r="J779" s="2" t="s">
        <v>65</v>
      </c>
      <c r="K779" t="s">
        <v>18</v>
      </c>
      <c r="L779" t="str">
        <f t="shared" si="29"/>
        <v>9791162589724</v>
      </c>
      <c r="M779" t="str">
        <f t="shared" si="28"/>
        <v/>
      </c>
      <c r="N779" t="s">
        <v>252</v>
      </c>
    </row>
    <row r="780" spans="1:14">
      <c r="A780" s="1">
        <v>46061.472118055557</v>
      </c>
      <c r="B780">
        <v>282620748</v>
      </c>
      <c r="C780" s="2" t="s">
        <v>1017</v>
      </c>
      <c r="D780" t="s">
        <v>15</v>
      </c>
      <c r="E780" s="4">
        <v>100</v>
      </c>
      <c r="F780" s="2">
        <v>100</v>
      </c>
      <c r="G780" s="2">
        <v>70</v>
      </c>
      <c r="I780" s="2" t="s">
        <v>64</v>
      </c>
      <c r="J780" s="2" t="s">
        <v>65</v>
      </c>
      <c r="K780" t="s">
        <v>18</v>
      </c>
      <c r="L780" t="str">
        <f t="shared" si="29"/>
        <v>9791162589724</v>
      </c>
      <c r="M780" t="str">
        <f t="shared" si="28"/>
        <v/>
      </c>
      <c r="N780" t="s">
        <v>1018</v>
      </c>
    </row>
    <row r="781" spans="1:14">
      <c r="A781" s="1">
        <v>46061.472118055557</v>
      </c>
      <c r="B781">
        <v>282620749</v>
      </c>
      <c r="C781" s="2" t="s">
        <v>1019</v>
      </c>
      <c r="D781" t="s">
        <v>15</v>
      </c>
      <c r="E781" s="4">
        <v>100</v>
      </c>
      <c r="F781" s="2">
        <v>100</v>
      </c>
      <c r="G781" s="2">
        <v>70</v>
      </c>
      <c r="I781" s="2" t="s">
        <v>64</v>
      </c>
      <c r="J781" s="2" t="s">
        <v>65</v>
      </c>
      <c r="K781" t="s">
        <v>18</v>
      </c>
      <c r="L781" t="str">
        <f t="shared" si="29"/>
        <v>9791162589724</v>
      </c>
      <c r="M781" t="str">
        <f t="shared" si="28"/>
        <v/>
      </c>
      <c r="N781" t="s">
        <v>1020</v>
      </c>
    </row>
    <row r="782" spans="1:14">
      <c r="A782" s="1">
        <v>46061.472118055557</v>
      </c>
      <c r="B782">
        <v>281745111</v>
      </c>
      <c r="C782" s="2" t="s">
        <v>247</v>
      </c>
      <c r="D782" t="s">
        <v>15</v>
      </c>
      <c r="E782" s="4">
        <v>100</v>
      </c>
      <c r="F782" s="2">
        <v>100</v>
      </c>
      <c r="G782" s="2">
        <v>70</v>
      </c>
      <c r="I782" s="2" t="s">
        <v>64</v>
      </c>
      <c r="J782" s="2" t="s">
        <v>65</v>
      </c>
      <c r="K782" t="s">
        <v>18</v>
      </c>
      <c r="L782" t="str">
        <f t="shared" si="29"/>
        <v>9791162589724</v>
      </c>
      <c r="M782" t="str">
        <f t="shared" si="28"/>
        <v/>
      </c>
      <c r="N782" t="s">
        <v>248</v>
      </c>
    </row>
    <row r="783" spans="1:14">
      <c r="A783" s="1">
        <v>46061.496944444443</v>
      </c>
      <c r="B783">
        <v>382626257</v>
      </c>
      <c r="C783" s="2" t="s">
        <v>152</v>
      </c>
      <c r="D783" t="s">
        <v>15</v>
      </c>
      <c r="E783" s="5">
        <v>1000</v>
      </c>
      <c r="F783" s="3">
        <v>1000</v>
      </c>
      <c r="G783" s="2">
        <v>700</v>
      </c>
      <c r="I783" s="2" t="s">
        <v>148</v>
      </c>
      <c r="J783" s="2" t="s">
        <v>21</v>
      </c>
      <c r="K783" t="s">
        <v>18</v>
      </c>
      <c r="L783" t="str">
        <f>T("9791175581906")</f>
        <v>9791175581906</v>
      </c>
      <c r="M783" t="str">
        <f t="shared" si="28"/>
        <v/>
      </c>
      <c r="N783" t="s">
        <v>153</v>
      </c>
    </row>
    <row r="784" spans="1:14">
      <c r="A784" s="1">
        <v>46061.515069444446</v>
      </c>
      <c r="B784">
        <v>297523317</v>
      </c>
      <c r="C784" s="2" t="s">
        <v>1021</v>
      </c>
      <c r="D784" t="s">
        <v>15</v>
      </c>
      <c r="E784" s="4">
        <v>100</v>
      </c>
      <c r="F784" s="2">
        <v>100</v>
      </c>
      <c r="G784" s="2">
        <v>70</v>
      </c>
      <c r="I784" s="2" t="s">
        <v>64</v>
      </c>
      <c r="J784" s="2" t="s">
        <v>65</v>
      </c>
      <c r="K784" t="s">
        <v>18</v>
      </c>
      <c r="L784" t="str">
        <f>T("9791162589724")</f>
        <v>9791162589724</v>
      </c>
      <c r="M784" t="str">
        <f t="shared" si="28"/>
        <v/>
      </c>
      <c r="N784" t="s">
        <v>1022</v>
      </c>
    </row>
    <row r="785" spans="1:14">
      <c r="A785" s="1">
        <v>46061.530439814815</v>
      </c>
      <c r="B785">
        <v>299807344</v>
      </c>
      <c r="C785" s="2" t="s">
        <v>348</v>
      </c>
      <c r="D785" t="s">
        <v>15</v>
      </c>
      <c r="E785" s="5">
        <v>1300</v>
      </c>
      <c r="F785" s="3">
        <v>1300</v>
      </c>
      <c r="G785" s="2">
        <v>910</v>
      </c>
      <c r="I785" s="2" t="s">
        <v>349</v>
      </c>
      <c r="J785" s="2" t="s">
        <v>21</v>
      </c>
      <c r="K785" t="s">
        <v>18</v>
      </c>
      <c r="L785" t="str">
        <f>T("9791167833846")</f>
        <v>9791167833846</v>
      </c>
      <c r="M785" t="str">
        <f t="shared" si="28"/>
        <v/>
      </c>
    </row>
    <row r="786" spans="1:14">
      <c r="A786" s="1">
        <v>46061.558946759258</v>
      </c>
      <c r="B786">
        <v>385348456</v>
      </c>
      <c r="C786" s="2" t="s">
        <v>1023</v>
      </c>
      <c r="D786" t="s">
        <v>15</v>
      </c>
      <c r="E786" s="5">
        <v>4000</v>
      </c>
      <c r="F786" s="3">
        <v>3600</v>
      </c>
      <c r="G786" s="3">
        <v>2520</v>
      </c>
      <c r="I786" s="2" t="s">
        <v>196</v>
      </c>
      <c r="J786" s="2" t="s">
        <v>197</v>
      </c>
      <c r="K786" t="s">
        <v>18</v>
      </c>
      <c r="L786" t="str">
        <f>T("9791172821944")</f>
        <v>9791172821944</v>
      </c>
      <c r="M786" t="str">
        <f t="shared" si="28"/>
        <v/>
      </c>
    </row>
    <row r="787" spans="1:14">
      <c r="A787" s="1">
        <v>46061.565011574072</v>
      </c>
      <c r="B787">
        <v>385347797</v>
      </c>
      <c r="C787" s="2" t="s">
        <v>195</v>
      </c>
      <c r="D787" t="s">
        <v>15</v>
      </c>
      <c r="E787" s="4">
        <v>700</v>
      </c>
      <c r="F787" s="2">
        <v>630</v>
      </c>
      <c r="G787" s="2">
        <v>441</v>
      </c>
      <c r="I787" s="2" t="s">
        <v>196</v>
      </c>
      <c r="J787" s="2" t="s">
        <v>197</v>
      </c>
      <c r="K787" t="s">
        <v>18</v>
      </c>
      <c r="L787" t="str">
        <f>T("9791172821937")</f>
        <v>9791172821937</v>
      </c>
      <c r="M787" t="str">
        <f t="shared" si="28"/>
        <v/>
      </c>
      <c r="N787" t="s">
        <v>198</v>
      </c>
    </row>
    <row r="788" spans="1:14">
      <c r="A788" s="1">
        <v>46061.565347222226</v>
      </c>
      <c r="B788">
        <v>385347797</v>
      </c>
      <c r="C788" s="2" t="s">
        <v>195</v>
      </c>
      <c r="D788" t="s">
        <v>15</v>
      </c>
      <c r="E788" s="4">
        <v>-700</v>
      </c>
      <c r="F788" s="2">
        <v>-630</v>
      </c>
      <c r="G788" s="2">
        <v>-441</v>
      </c>
      <c r="H788" s="1">
        <v>46061.565011574072</v>
      </c>
      <c r="I788" s="2" t="s">
        <v>196</v>
      </c>
      <c r="J788" s="2" t="s">
        <v>197</v>
      </c>
      <c r="K788" t="s">
        <v>18</v>
      </c>
      <c r="L788" t="str">
        <f>T("9791172821937")</f>
        <v>9791172821937</v>
      </c>
      <c r="M788" t="str">
        <f t="shared" si="28"/>
        <v/>
      </c>
      <c r="N788" t="s">
        <v>198</v>
      </c>
    </row>
    <row r="789" spans="1:14">
      <c r="A789" s="1">
        <v>46061.565520833334</v>
      </c>
      <c r="B789">
        <v>385347797</v>
      </c>
      <c r="C789" s="2" t="s">
        <v>195</v>
      </c>
      <c r="D789" t="s">
        <v>15</v>
      </c>
      <c r="E789" s="4">
        <v>700</v>
      </c>
      <c r="F789" s="2">
        <v>630</v>
      </c>
      <c r="G789" s="2">
        <v>441</v>
      </c>
      <c r="I789" s="2" t="s">
        <v>196</v>
      </c>
      <c r="J789" s="2" t="s">
        <v>197</v>
      </c>
      <c r="K789" t="s">
        <v>18</v>
      </c>
      <c r="L789" t="str">
        <f>T("9791172821937")</f>
        <v>9791172821937</v>
      </c>
      <c r="M789" t="str">
        <f t="shared" si="28"/>
        <v/>
      </c>
      <c r="N789" t="s">
        <v>198</v>
      </c>
    </row>
    <row r="790" spans="1:14">
      <c r="A790" s="1">
        <v>46061.569756944446</v>
      </c>
      <c r="B790">
        <v>377161843</v>
      </c>
      <c r="C790" s="2" t="s">
        <v>127</v>
      </c>
      <c r="D790" t="s">
        <v>15</v>
      </c>
      <c r="E790" s="5">
        <v>1000</v>
      </c>
      <c r="F790" s="3">
        <v>1000</v>
      </c>
      <c r="G790" s="2">
        <v>700</v>
      </c>
      <c r="I790" s="2" t="s">
        <v>128</v>
      </c>
      <c r="J790" s="2" t="s">
        <v>21</v>
      </c>
      <c r="K790" t="s">
        <v>18</v>
      </c>
      <c r="L790" t="str">
        <f>T("9791173019340")</f>
        <v>9791173019340</v>
      </c>
      <c r="M790" t="str">
        <f t="shared" si="28"/>
        <v/>
      </c>
      <c r="N790" t="s">
        <v>129</v>
      </c>
    </row>
    <row r="791" spans="1:14">
      <c r="A791" s="1">
        <v>46061.569756944446</v>
      </c>
      <c r="B791">
        <v>338596590</v>
      </c>
      <c r="C791" s="2" t="s">
        <v>85</v>
      </c>
      <c r="D791" t="s">
        <v>15</v>
      </c>
      <c r="E791" s="5">
        <v>1000</v>
      </c>
      <c r="F791" s="3">
        <v>1000</v>
      </c>
      <c r="G791" s="2">
        <v>700</v>
      </c>
      <c r="I791" s="2" t="s">
        <v>86</v>
      </c>
      <c r="J791" s="2" t="s">
        <v>21</v>
      </c>
      <c r="K791" t="s">
        <v>18</v>
      </c>
      <c r="L791" t="str">
        <f>T("9791170896494")</f>
        <v>9791170896494</v>
      </c>
      <c r="M791" t="str">
        <f t="shared" si="28"/>
        <v/>
      </c>
      <c r="N791" t="s">
        <v>87</v>
      </c>
    </row>
    <row r="792" spans="1:14">
      <c r="A792" s="1">
        <v>46061.612442129626</v>
      </c>
      <c r="B792">
        <v>194363097</v>
      </c>
      <c r="C792" s="2" t="s">
        <v>1024</v>
      </c>
      <c r="D792" t="s">
        <v>15</v>
      </c>
      <c r="E792" s="5">
        <v>2000</v>
      </c>
      <c r="F792" s="3">
        <v>2000</v>
      </c>
      <c r="G792" s="3">
        <v>1400</v>
      </c>
      <c r="I792" s="2" t="s">
        <v>1025</v>
      </c>
      <c r="J792" s="2" t="s">
        <v>1026</v>
      </c>
      <c r="K792" t="s">
        <v>18</v>
      </c>
      <c r="L792" t="str">
        <f>T("9791159410048")</f>
        <v>9791159410048</v>
      </c>
      <c r="M792" t="str">
        <f t="shared" si="28"/>
        <v/>
      </c>
    </row>
    <row r="793" spans="1:14">
      <c r="A793" s="1">
        <v>46061.612442129626</v>
      </c>
      <c r="B793">
        <v>194363098</v>
      </c>
      <c r="C793" s="2" t="s">
        <v>1027</v>
      </c>
      <c r="D793" t="s">
        <v>15</v>
      </c>
      <c r="E793" s="5">
        <v>2000</v>
      </c>
      <c r="F793" s="3">
        <v>2000</v>
      </c>
      <c r="G793" s="3">
        <v>1400</v>
      </c>
      <c r="I793" s="2" t="s">
        <v>1025</v>
      </c>
      <c r="J793" s="2" t="s">
        <v>1026</v>
      </c>
      <c r="K793" t="s">
        <v>18</v>
      </c>
      <c r="L793" t="str">
        <f>T("9791159411137")</f>
        <v>9791159411137</v>
      </c>
      <c r="M793" t="str">
        <f t="shared" si="28"/>
        <v/>
      </c>
    </row>
    <row r="794" spans="1:14">
      <c r="A794" s="1">
        <v>46061.612442129626</v>
      </c>
      <c r="B794">
        <v>194363099</v>
      </c>
      <c r="C794" s="2" t="s">
        <v>1028</v>
      </c>
      <c r="D794" t="s">
        <v>15</v>
      </c>
      <c r="E794" s="5">
        <v>2000</v>
      </c>
      <c r="F794" s="3">
        <v>2000</v>
      </c>
      <c r="G794" s="3">
        <v>1400</v>
      </c>
      <c r="I794" s="2" t="s">
        <v>1025</v>
      </c>
      <c r="J794" s="2" t="s">
        <v>1026</v>
      </c>
      <c r="K794" t="s">
        <v>18</v>
      </c>
      <c r="L794" t="str">
        <f>T("9791159411144")</f>
        <v>9791159411144</v>
      </c>
      <c r="M794" t="str">
        <f t="shared" si="28"/>
        <v/>
      </c>
    </row>
    <row r="795" spans="1:14">
      <c r="A795" s="1">
        <v>46061.634699074071</v>
      </c>
      <c r="B795">
        <v>385347855</v>
      </c>
      <c r="C795" s="2" t="s">
        <v>223</v>
      </c>
      <c r="D795" t="s">
        <v>15</v>
      </c>
      <c r="E795" s="4">
        <v>0</v>
      </c>
      <c r="F795" s="2">
        <v>0</v>
      </c>
      <c r="G795" s="2">
        <v>0</v>
      </c>
      <c r="I795" s="2" t="s">
        <v>213</v>
      </c>
      <c r="J795" s="2" t="s">
        <v>161</v>
      </c>
      <c r="K795" t="s">
        <v>18</v>
      </c>
      <c r="L795" t="str">
        <f>T("9791173261688")</f>
        <v>9791173261688</v>
      </c>
      <c r="M795" t="str">
        <f t="shared" si="28"/>
        <v/>
      </c>
      <c r="N795" t="s">
        <v>224</v>
      </c>
    </row>
    <row r="796" spans="1:14">
      <c r="A796" s="1">
        <v>46061.634699074071</v>
      </c>
      <c r="B796">
        <v>385347969</v>
      </c>
      <c r="C796" s="2" t="s">
        <v>215</v>
      </c>
      <c r="D796" t="s">
        <v>15</v>
      </c>
      <c r="E796" s="4">
        <v>0</v>
      </c>
      <c r="F796" s="2">
        <v>0</v>
      </c>
      <c r="G796" s="2">
        <v>0</v>
      </c>
      <c r="I796" s="2" t="s">
        <v>213</v>
      </c>
      <c r="J796" s="2" t="s">
        <v>161</v>
      </c>
      <c r="K796" t="s">
        <v>18</v>
      </c>
      <c r="L796" t="str">
        <f>T("9791173261831")</f>
        <v>9791173261831</v>
      </c>
      <c r="M796" t="str">
        <f t="shared" si="28"/>
        <v/>
      </c>
      <c r="N796" t="s">
        <v>216</v>
      </c>
    </row>
    <row r="797" spans="1:14">
      <c r="A797" s="1">
        <v>46061.634699074071</v>
      </c>
      <c r="B797">
        <v>385373253</v>
      </c>
      <c r="C797" s="2" t="s">
        <v>288</v>
      </c>
      <c r="D797" t="s">
        <v>15</v>
      </c>
      <c r="E797" s="4">
        <v>0</v>
      </c>
      <c r="F797" s="2">
        <v>0</v>
      </c>
      <c r="G797" s="2">
        <v>0</v>
      </c>
      <c r="I797" s="2" t="s">
        <v>289</v>
      </c>
      <c r="J797" s="2" t="s">
        <v>290</v>
      </c>
      <c r="K797" t="s">
        <v>18</v>
      </c>
      <c r="L797" t="str">
        <f>T("9791194726784")</f>
        <v>9791194726784</v>
      </c>
      <c r="M797" t="str">
        <f t="shared" si="28"/>
        <v/>
      </c>
      <c r="N797" t="s">
        <v>291</v>
      </c>
    </row>
    <row r="798" spans="1:14">
      <c r="A798" s="1">
        <v>46061.634699074071</v>
      </c>
      <c r="B798">
        <v>385373391</v>
      </c>
      <c r="C798" s="2" t="s">
        <v>448</v>
      </c>
      <c r="D798" t="s">
        <v>15</v>
      </c>
      <c r="E798" s="4">
        <v>0</v>
      </c>
      <c r="F798" s="2">
        <v>0</v>
      </c>
      <c r="G798" s="2">
        <v>0</v>
      </c>
      <c r="I798" s="2" t="s">
        <v>449</v>
      </c>
      <c r="J798" s="2" t="s">
        <v>290</v>
      </c>
      <c r="K798" t="s">
        <v>18</v>
      </c>
      <c r="L798" t="str">
        <f>T("9791194982920")</f>
        <v>9791194982920</v>
      </c>
      <c r="M798" t="str">
        <f t="shared" si="28"/>
        <v/>
      </c>
      <c r="N798" t="s">
        <v>450</v>
      </c>
    </row>
    <row r="799" spans="1:14">
      <c r="A799" s="1">
        <v>46061.634699074071</v>
      </c>
      <c r="B799">
        <v>385373394</v>
      </c>
      <c r="C799" s="2" t="s">
        <v>489</v>
      </c>
      <c r="D799" t="s">
        <v>15</v>
      </c>
      <c r="E799" s="4">
        <v>0</v>
      </c>
      <c r="F799" s="2">
        <v>0</v>
      </c>
      <c r="G799" s="2">
        <v>0</v>
      </c>
      <c r="I799" s="2" t="s">
        <v>490</v>
      </c>
      <c r="J799" s="2" t="s">
        <v>290</v>
      </c>
      <c r="K799" t="s">
        <v>18</v>
      </c>
      <c r="L799" t="str">
        <f>T("9791124141175")</f>
        <v>9791124141175</v>
      </c>
      <c r="M799" t="str">
        <f t="shared" si="28"/>
        <v/>
      </c>
      <c r="N799" t="s">
        <v>491</v>
      </c>
    </row>
    <row r="800" spans="1:14">
      <c r="A800" s="1">
        <v>46061.634699074071</v>
      </c>
      <c r="B800">
        <v>385347749</v>
      </c>
      <c r="C800" s="2" t="s">
        <v>212</v>
      </c>
      <c r="D800" t="s">
        <v>15</v>
      </c>
      <c r="E800" s="4">
        <v>0</v>
      </c>
      <c r="F800" s="2">
        <v>0</v>
      </c>
      <c r="G800" s="2">
        <v>0</v>
      </c>
      <c r="I800" s="2" t="s">
        <v>213</v>
      </c>
      <c r="J800" s="2" t="s">
        <v>161</v>
      </c>
      <c r="K800" t="s">
        <v>18</v>
      </c>
      <c r="L800" t="str">
        <f>T("9791173261763")</f>
        <v>9791173261763</v>
      </c>
      <c r="M800" t="str">
        <f t="shared" si="28"/>
        <v/>
      </c>
      <c r="N800" t="s">
        <v>214</v>
      </c>
    </row>
    <row r="801" spans="1:14">
      <c r="A801" s="1">
        <v>46061.648321759261</v>
      </c>
      <c r="B801">
        <v>277935461</v>
      </c>
      <c r="C801" s="2" t="s">
        <v>1029</v>
      </c>
      <c r="D801" t="s">
        <v>15</v>
      </c>
      <c r="E801" s="4">
        <v>100</v>
      </c>
      <c r="F801" s="2">
        <v>100</v>
      </c>
      <c r="G801" s="2">
        <v>70</v>
      </c>
      <c r="I801" s="2" t="s">
        <v>64</v>
      </c>
      <c r="J801" s="2" t="s">
        <v>65</v>
      </c>
      <c r="K801" t="s">
        <v>18</v>
      </c>
      <c r="L801" t="str">
        <f>T("9791162589724")</f>
        <v>9791162589724</v>
      </c>
      <c r="M801" t="str">
        <f t="shared" si="28"/>
        <v/>
      </c>
      <c r="N801" t="s">
        <v>1030</v>
      </c>
    </row>
    <row r="802" spans="1:14">
      <c r="A802" s="1">
        <v>46061.671886574077</v>
      </c>
      <c r="B802">
        <v>385347797</v>
      </c>
      <c r="C802" s="2" t="s">
        <v>195</v>
      </c>
      <c r="D802" t="s">
        <v>15</v>
      </c>
      <c r="E802" s="4">
        <v>700</v>
      </c>
      <c r="F802" s="2">
        <v>630</v>
      </c>
      <c r="G802" s="2">
        <v>441</v>
      </c>
      <c r="I802" s="2" t="s">
        <v>196</v>
      </c>
      <c r="J802" s="2" t="s">
        <v>197</v>
      </c>
      <c r="K802" t="s">
        <v>18</v>
      </c>
      <c r="L802" t="str">
        <f>T("9791172821937")</f>
        <v>9791172821937</v>
      </c>
      <c r="M802" t="str">
        <f t="shared" si="28"/>
        <v/>
      </c>
      <c r="N802" t="s">
        <v>198</v>
      </c>
    </row>
    <row r="803" spans="1:14">
      <c r="A803" s="1">
        <v>46061.687291666669</v>
      </c>
      <c r="B803">
        <v>306128156</v>
      </c>
      <c r="C803" s="2" t="s">
        <v>1031</v>
      </c>
      <c r="D803" t="s">
        <v>68</v>
      </c>
      <c r="E803" s="4">
        <v>0</v>
      </c>
      <c r="F803" s="2">
        <v>0</v>
      </c>
      <c r="G803" s="2">
        <v>0</v>
      </c>
      <c r="I803" s="2" t="s">
        <v>1032</v>
      </c>
      <c r="J803" s="2" t="s">
        <v>70</v>
      </c>
      <c r="K803" t="s">
        <v>18</v>
      </c>
      <c r="L803" t="str">
        <f>T("9791192729091")</f>
        <v>9791192729091</v>
      </c>
      <c r="M803" t="str">
        <f t="shared" si="28"/>
        <v/>
      </c>
      <c r="N803" t="s">
        <v>1033</v>
      </c>
    </row>
    <row r="804" spans="1:14">
      <c r="A804" s="1">
        <v>46061.716354166667</v>
      </c>
      <c r="B804">
        <v>385347715</v>
      </c>
      <c r="C804" s="2" t="s">
        <v>186</v>
      </c>
      <c r="D804" t="s">
        <v>15</v>
      </c>
      <c r="E804" s="5">
        <v>2000</v>
      </c>
      <c r="F804" s="3">
        <v>1800</v>
      </c>
      <c r="G804" s="3">
        <v>1260</v>
      </c>
      <c r="I804" s="2" t="s">
        <v>187</v>
      </c>
      <c r="J804" s="2" t="s">
        <v>188</v>
      </c>
      <c r="K804" t="s">
        <v>18</v>
      </c>
      <c r="L804" t="str">
        <f>T("9791164835362")</f>
        <v>9791164835362</v>
      </c>
      <c r="M804" t="str">
        <f t="shared" si="28"/>
        <v/>
      </c>
      <c r="N804" t="s">
        <v>189</v>
      </c>
    </row>
    <row r="805" spans="1:14">
      <c r="A805" s="1">
        <v>46061.731817129628</v>
      </c>
      <c r="B805">
        <v>384728318</v>
      </c>
      <c r="C805" s="2" t="s">
        <v>1034</v>
      </c>
      <c r="D805" t="s">
        <v>15</v>
      </c>
      <c r="E805" s="5">
        <v>1000</v>
      </c>
      <c r="F805" s="3">
        <v>1000</v>
      </c>
      <c r="G805" s="2">
        <v>700</v>
      </c>
      <c r="I805" s="2" t="s">
        <v>1035</v>
      </c>
      <c r="J805" s="2" t="s">
        <v>21</v>
      </c>
      <c r="K805" t="s">
        <v>18</v>
      </c>
      <c r="L805" t="str">
        <f>T("9791175582446")</f>
        <v>9791175582446</v>
      </c>
      <c r="M805" t="str">
        <f t="shared" ref="M805:M868" si="30">T("")</f>
        <v/>
      </c>
      <c r="N805" t="s">
        <v>1036</v>
      </c>
    </row>
    <row r="806" spans="1:14">
      <c r="A806" s="1">
        <v>46061.731817129628</v>
      </c>
      <c r="B806">
        <v>385347515</v>
      </c>
      <c r="C806" s="2" t="s">
        <v>304</v>
      </c>
      <c r="D806" t="s">
        <v>15</v>
      </c>
      <c r="E806" s="5">
        <v>1300</v>
      </c>
      <c r="F806" s="3">
        <v>1300</v>
      </c>
      <c r="G806" s="2">
        <v>910</v>
      </c>
      <c r="I806" s="2" t="s">
        <v>148</v>
      </c>
      <c r="J806" s="2" t="s">
        <v>21</v>
      </c>
      <c r="K806" t="s">
        <v>18</v>
      </c>
      <c r="L806" t="str">
        <f>T("9791175582521")</f>
        <v>9791175582521</v>
      </c>
      <c r="M806" t="str">
        <f t="shared" si="30"/>
        <v/>
      </c>
      <c r="N806" t="s">
        <v>305</v>
      </c>
    </row>
    <row r="807" spans="1:14">
      <c r="A807" s="1">
        <v>46061.750983796293</v>
      </c>
      <c r="B807">
        <v>385348456</v>
      </c>
      <c r="C807" s="2" t="s">
        <v>1023</v>
      </c>
      <c r="D807" t="s">
        <v>15</v>
      </c>
      <c r="E807" s="5">
        <v>4000</v>
      </c>
      <c r="F807" s="3">
        <v>3600</v>
      </c>
      <c r="G807" s="3">
        <v>2520</v>
      </c>
      <c r="I807" s="2" t="s">
        <v>196</v>
      </c>
      <c r="J807" s="2" t="s">
        <v>197</v>
      </c>
      <c r="K807" t="s">
        <v>18</v>
      </c>
      <c r="L807" t="str">
        <f>T("9791172821944")</f>
        <v>9791172821944</v>
      </c>
      <c r="M807" t="str">
        <f t="shared" si="30"/>
        <v/>
      </c>
    </row>
    <row r="808" spans="1:14">
      <c r="A808" s="1">
        <v>46061.752881944441</v>
      </c>
      <c r="B808">
        <v>384728320</v>
      </c>
      <c r="C808" s="2" t="s">
        <v>1037</v>
      </c>
      <c r="D808" t="s">
        <v>15</v>
      </c>
      <c r="E808" s="5">
        <v>1000</v>
      </c>
      <c r="F808" s="3">
        <v>1000</v>
      </c>
      <c r="G808" s="2">
        <v>700</v>
      </c>
      <c r="I808" s="2" t="s">
        <v>1035</v>
      </c>
      <c r="J808" s="2" t="s">
        <v>21</v>
      </c>
      <c r="K808" t="s">
        <v>18</v>
      </c>
      <c r="L808" t="str">
        <f>T("9791175582453")</f>
        <v>9791175582453</v>
      </c>
      <c r="M808" t="str">
        <f t="shared" si="30"/>
        <v/>
      </c>
      <c r="N808" t="s">
        <v>1038</v>
      </c>
    </row>
    <row r="809" spans="1:14">
      <c r="A809" s="1">
        <v>46061.758263888885</v>
      </c>
      <c r="B809">
        <v>385347797</v>
      </c>
      <c r="C809" s="2" t="s">
        <v>195</v>
      </c>
      <c r="D809" t="s">
        <v>15</v>
      </c>
      <c r="E809" s="4">
        <v>700</v>
      </c>
      <c r="F809" s="2">
        <v>630</v>
      </c>
      <c r="G809" s="2">
        <v>441</v>
      </c>
      <c r="I809" s="2" t="s">
        <v>196</v>
      </c>
      <c r="J809" s="2" t="s">
        <v>197</v>
      </c>
      <c r="K809" t="s">
        <v>18</v>
      </c>
      <c r="L809" t="str">
        <f>T("9791172821937")</f>
        <v>9791172821937</v>
      </c>
      <c r="M809" t="str">
        <f t="shared" si="30"/>
        <v/>
      </c>
      <c r="N809" t="s">
        <v>198</v>
      </c>
    </row>
    <row r="810" spans="1:14">
      <c r="A810" s="1">
        <v>46061.763055555559</v>
      </c>
      <c r="B810">
        <v>279024570</v>
      </c>
      <c r="C810" s="2" t="s">
        <v>1039</v>
      </c>
      <c r="D810" t="s">
        <v>15</v>
      </c>
      <c r="E810" s="5">
        <v>4000</v>
      </c>
      <c r="F810" s="3">
        <v>4000</v>
      </c>
      <c r="G810" s="3">
        <v>2800</v>
      </c>
      <c r="I810" s="2" t="s">
        <v>1040</v>
      </c>
      <c r="J810" s="2" t="s">
        <v>126</v>
      </c>
      <c r="K810" t="s">
        <v>18</v>
      </c>
      <c r="L810" t="str">
        <f>T("9791164974047")</f>
        <v>9791164974047</v>
      </c>
      <c r="M810" t="str">
        <f t="shared" si="30"/>
        <v/>
      </c>
    </row>
    <row r="811" spans="1:14">
      <c r="A811" s="1">
        <v>46061.77275462963</v>
      </c>
      <c r="B811">
        <v>188278062</v>
      </c>
      <c r="C811" s="2" t="s">
        <v>1041</v>
      </c>
      <c r="D811" t="s">
        <v>15</v>
      </c>
      <c r="E811" s="5">
        <v>2500</v>
      </c>
      <c r="F811" s="3">
        <v>2500</v>
      </c>
      <c r="G811" s="3">
        <v>1750</v>
      </c>
      <c r="I811" s="2" t="s">
        <v>1042</v>
      </c>
      <c r="J811" s="2" t="s">
        <v>693</v>
      </c>
      <c r="K811" t="s">
        <v>18</v>
      </c>
      <c r="L811" t="str">
        <f>T("9791189424510")</f>
        <v>9791189424510</v>
      </c>
      <c r="M811" t="str">
        <f t="shared" si="30"/>
        <v/>
      </c>
    </row>
    <row r="812" spans="1:14">
      <c r="A812" s="1">
        <v>46061.777314814812</v>
      </c>
      <c r="B812">
        <v>385347797</v>
      </c>
      <c r="C812" s="2" t="s">
        <v>195</v>
      </c>
      <c r="D812" t="s">
        <v>15</v>
      </c>
      <c r="E812" s="4">
        <v>700</v>
      </c>
      <c r="F812" s="2">
        <v>630</v>
      </c>
      <c r="G812" s="2">
        <v>441</v>
      </c>
      <c r="I812" s="2" t="s">
        <v>196</v>
      </c>
      <c r="J812" s="2" t="s">
        <v>197</v>
      </c>
      <c r="K812" t="s">
        <v>18</v>
      </c>
      <c r="L812" t="str">
        <f>T("9791172821937")</f>
        <v>9791172821937</v>
      </c>
      <c r="M812" t="str">
        <f t="shared" si="30"/>
        <v/>
      </c>
      <c r="N812" t="s">
        <v>198</v>
      </c>
    </row>
    <row r="813" spans="1:14">
      <c r="A813" s="1">
        <v>46061.79115740741</v>
      </c>
      <c r="B813">
        <v>385348455</v>
      </c>
      <c r="C813" s="2" t="s">
        <v>255</v>
      </c>
      <c r="D813" t="s">
        <v>68</v>
      </c>
      <c r="E813" s="5">
        <v>12600</v>
      </c>
      <c r="F813" s="3">
        <v>12600</v>
      </c>
      <c r="G813" s="3">
        <v>8820</v>
      </c>
      <c r="I813" s="2" t="s">
        <v>187</v>
      </c>
      <c r="J813" s="2" t="s">
        <v>188</v>
      </c>
      <c r="K813" t="s">
        <v>18</v>
      </c>
      <c r="L813" t="str">
        <f>T("9791164835379")</f>
        <v>9791164835379</v>
      </c>
      <c r="M813" t="str">
        <f t="shared" si="30"/>
        <v/>
      </c>
    </row>
    <row r="814" spans="1:14">
      <c r="A814" s="1">
        <v>46061.842916666668</v>
      </c>
      <c r="B814">
        <v>385347715</v>
      </c>
      <c r="C814" s="2" t="s">
        <v>186</v>
      </c>
      <c r="D814" t="s">
        <v>15</v>
      </c>
      <c r="E814" s="5">
        <v>2000</v>
      </c>
      <c r="F814" s="3">
        <v>1800</v>
      </c>
      <c r="G814" s="3">
        <v>1260</v>
      </c>
      <c r="I814" s="2" t="s">
        <v>187</v>
      </c>
      <c r="J814" s="2" t="s">
        <v>188</v>
      </c>
      <c r="K814" t="s">
        <v>18</v>
      </c>
      <c r="L814" t="str">
        <f>T("9791164835362")</f>
        <v>9791164835362</v>
      </c>
      <c r="M814" t="str">
        <f t="shared" si="30"/>
        <v/>
      </c>
      <c r="N814" t="s">
        <v>189</v>
      </c>
    </row>
    <row r="815" spans="1:14">
      <c r="A815" s="1">
        <v>46061.842916666668</v>
      </c>
      <c r="B815">
        <v>313110979</v>
      </c>
      <c r="C815" s="2" t="s">
        <v>356</v>
      </c>
      <c r="D815" t="s">
        <v>15</v>
      </c>
      <c r="E815" s="5">
        <v>3000</v>
      </c>
      <c r="F815" s="3">
        <v>2700</v>
      </c>
      <c r="G815" s="3">
        <v>1890</v>
      </c>
      <c r="I815" s="2" t="s">
        <v>187</v>
      </c>
      <c r="J815" s="2" t="s">
        <v>188</v>
      </c>
      <c r="K815" t="s">
        <v>18</v>
      </c>
      <c r="L815" t="str">
        <f>T("9791164833856")</f>
        <v>9791164833856</v>
      </c>
      <c r="M815" t="str">
        <f t="shared" si="30"/>
        <v/>
      </c>
      <c r="N815" t="s">
        <v>357</v>
      </c>
    </row>
    <row r="816" spans="1:14">
      <c r="A816" s="1">
        <v>46061.84715277778</v>
      </c>
      <c r="B816">
        <v>277935694</v>
      </c>
      <c r="C816" s="2" t="s">
        <v>1043</v>
      </c>
      <c r="D816" t="s">
        <v>15</v>
      </c>
      <c r="E816" s="4">
        <v>100</v>
      </c>
      <c r="F816" s="2">
        <v>100</v>
      </c>
      <c r="G816" s="2">
        <v>70</v>
      </c>
      <c r="I816" s="2" t="s">
        <v>64</v>
      </c>
      <c r="J816" s="2" t="s">
        <v>65</v>
      </c>
      <c r="K816" t="s">
        <v>18</v>
      </c>
      <c r="L816" t="str">
        <f>T("9791162589724")</f>
        <v>9791162589724</v>
      </c>
      <c r="M816" t="str">
        <f t="shared" si="30"/>
        <v/>
      </c>
      <c r="N816" t="s">
        <v>1044</v>
      </c>
    </row>
    <row r="817" spans="1:14">
      <c r="A817" s="1">
        <v>46061.849548611113</v>
      </c>
      <c r="B817">
        <v>385348455</v>
      </c>
      <c r="C817" s="2" t="s">
        <v>255</v>
      </c>
      <c r="D817" t="s">
        <v>68</v>
      </c>
      <c r="E817" s="5">
        <v>12600</v>
      </c>
      <c r="F817" s="3">
        <v>12600</v>
      </c>
      <c r="G817" s="3">
        <v>8820</v>
      </c>
      <c r="I817" s="2" t="s">
        <v>187</v>
      </c>
      <c r="J817" s="2" t="s">
        <v>188</v>
      </c>
      <c r="K817" t="s">
        <v>18</v>
      </c>
      <c r="L817" t="str">
        <f>T("9791164835379")</f>
        <v>9791164835379</v>
      </c>
      <c r="M817" t="str">
        <f t="shared" si="30"/>
        <v/>
      </c>
    </row>
    <row r="818" spans="1:14">
      <c r="A818" s="1">
        <v>46061.851527777777</v>
      </c>
      <c r="B818">
        <v>277935699</v>
      </c>
      <c r="C818" s="2" t="s">
        <v>1045</v>
      </c>
      <c r="D818" t="s">
        <v>15</v>
      </c>
      <c r="E818" s="4">
        <v>100</v>
      </c>
      <c r="F818" s="2">
        <v>100</v>
      </c>
      <c r="G818" s="2">
        <v>70</v>
      </c>
      <c r="I818" s="2" t="s">
        <v>64</v>
      </c>
      <c r="J818" s="2" t="s">
        <v>65</v>
      </c>
      <c r="K818" t="s">
        <v>18</v>
      </c>
      <c r="L818" t="str">
        <f>T("9791162589724")</f>
        <v>9791162589724</v>
      </c>
      <c r="M818" t="str">
        <f t="shared" si="30"/>
        <v/>
      </c>
      <c r="N818" t="s">
        <v>1046</v>
      </c>
    </row>
    <row r="819" spans="1:14">
      <c r="A819" s="1">
        <v>46061.851527777777</v>
      </c>
      <c r="B819">
        <v>277935641</v>
      </c>
      <c r="C819" s="2" t="s">
        <v>1047</v>
      </c>
      <c r="D819" t="s">
        <v>15</v>
      </c>
      <c r="E819" s="4">
        <v>100</v>
      </c>
      <c r="F819" s="2">
        <v>100</v>
      </c>
      <c r="G819" s="2">
        <v>70</v>
      </c>
      <c r="I819" s="2" t="s">
        <v>64</v>
      </c>
      <c r="J819" s="2" t="s">
        <v>65</v>
      </c>
      <c r="K819" t="s">
        <v>18</v>
      </c>
      <c r="L819" t="str">
        <f>T("9791162589724")</f>
        <v>9791162589724</v>
      </c>
      <c r="M819" t="str">
        <f t="shared" si="30"/>
        <v/>
      </c>
      <c r="N819" t="s">
        <v>1048</v>
      </c>
    </row>
    <row r="820" spans="1:14">
      <c r="A820" s="1">
        <v>46061.851527777777</v>
      </c>
      <c r="B820">
        <v>277935464</v>
      </c>
      <c r="C820" s="2" t="s">
        <v>1049</v>
      </c>
      <c r="D820" t="s">
        <v>15</v>
      </c>
      <c r="E820" s="4">
        <v>100</v>
      </c>
      <c r="F820" s="2">
        <v>100</v>
      </c>
      <c r="G820" s="2">
        <v>70</v>
      </c>
      <c r="I820" s="2" t="s">
        <v>64</v>
      </c>
      <c r="J820" s="2" t="s">
        <v>65</v>
      </c>
      <c r="K820" t="s">
        <v>18</v>
      </c>
      <c r="L820" t="str">
        <f>T("9791162589724")</f>
        <v>9791162589724</v>
      </c>
      <c r="M820" t="str">
        <f t="shared" si="30"/>
        <v/>
      </c>
      <c r="N820" t="s">
        <v>1050</v>
      </c>
    </row>
    <row r="821" spans="1:14">
      <c r="A821" s="1">
        <v>46061.851527777777</v>
      </c>
      <c r="B821">
        <v>277935583</v>
      </c>
      <c r="C821" s="2" t="s">
        <v>1051</v>
      </c>
      <c r="D821" t="s">
        <v>15</v>
      </c>
      <c r="E821" s="4">
        <v>100</v>
      </c>
      <c r="F821" s="2">
        <v>100</v>
      </c>
      <c r="G821" s="2">
        <v>70</v>
      </c>
      <c r="I821" s="2" t="s">
        <v>64</v>
      </c>
      <c r="J821" s="2" t="s">
        <v>65</v>
      </c>
      <c r="K821" t="s">
        <v>18</v>
      </c>
      <c r="L821" t="str">
        <f>T("9791162589724")</f>
        <v>9791162589724</v>
      </c>
      <c r="M821" t="str">
        <f t="shared" si="30"/>
        <v/>
      </c>
      <c r="N821" t="s">
        <v>1052</v>
      </c>
    </row>
    <row r="822" spans="1:14">
      <c r="A822" s="1">
        <v>46061.86136574074</v>
      </c>
      <c r="B822">
        <v>344129677</v>
      </c>
      <c r="C822" s="2" t="s">
        <v>1053</v>
      </c>
      <c r="D822" t="s">
        <v>15</v>
      </c>
      <c r="E822" s="5">
        <v>1400</v>
      </c>
      <c r="F822" s="3">
        <v>1400</v>
      </c>
      <c r="G822" s="2">
        <v>980</v>
      </c>
      <c r="I822" s="2" t="s">
        <v>148</v>
      </c>
      <c r="J822" s="2" t="s">
        <v>21</v>
      </c>
      <c r="K822" t="s">
        <v>18</v>
      </c>
      <c r="L822" t="str">
        <f>T("9791170897699")</f>
        <v>9791170897699</v>
      </c>
      <c r="M822" t="str">
        <f t="shared" si="30"/>
        <v/>
      </c>
      <c r="N822" t="s">
        <v>1054</v>
      </c>
    </row>
    <row r="823" spans="1:14">
      <c r="A823" s="1">
        <v>46061.892511574071</v>
      </c>
      <c r="B823">
        <v>370130308</v>
      </c>
      <c r="C823" s="2" t="s">
        <v>1055</v>
      </c>
      <c r="D823" t="s">
        <v>68</v>
      </c>
      <c r="E823" s="4">
        <v>700</v>
      </c>
      <c r="F823" s="2">
        <v>700</v>
      </c>
      <c r="G823" s="2">
        <v>490</v>
      </c>
      <c r="I823" s="2" t="s">
        <v>244</v>
      </c>
      <c r="J823" s="2" t="s">
        <v>245</v>
      </c>
      <c r="K823" t="s">
        <v>18</v>
      </c>
      <c r="L823" t="str">
        <f>T("9791164489022")</f>
        <v>9791164489022</v>
      </c>
      <c r="M823" t="str">
        <f t="shared" si="30"/>
        <v/>
      </c>
      <c r="N823" t="s">
        <v>1056</v>
      </c>
    </row>
    <row r="824" spans="1:14">
      <c r="A824" s="1">
        <v>46061.894629629627</v>
      </c>
      <c r="B824">
        <v>329639659</v>
      </c>
      <c r="C824" s="2" t="s">
        <v>1057</v>
      </c>
      <c r="D824" t="s">
        <v>15</v>
      </c>
      <c r="E824" s="5">
        <v>1000</v>
      </c>
      <c r="F824" s="3">
        <v>1000</v>
      </c>
      <c r="G824" s="2">
        <v>700</v>
      </c>
      <c r="I824" s="2" t="s">
        <v>293</v>
      </c>
      <c r="J824" s="2" t="s">
        <v>21</v>
      </c>
      <c r="K824" t="s">
        <v>18</v>
      </c>
      <c r="L824" t="str">
        <f>T("9791170892380")</f>
        <v>9791170892380</v>
      </c>
      <c r="M824" t="str">
        <f t="shared" si="30"/>
        <v/>
      </c>
      <c r="N824" t="s">
        <v>1058</v>
      </c>
    </row>
    <row r="825" spans="1:14">
      <c r="A825" s="1">
        <v>46061.894976851851</v>
      </c>
      <c r="B825">
        <v>297886868</v>
      </c>
      <c r="C825" s="2" t="s">
        <v>1059</v>
      </c>
      <c r="D825" t="s">
        <v>15</v>
      </c>
      <c r="E825" s="5">
        <v>10500</v>
      </c>
      <c r="F825" s="3">
        <v>10500</v>
      </c>
      <c r="G825" s="3">
        <v>7350</v>
      </c>
      <c r="I825" s="2" t="s">
        <v>1060</v>
      </c>
      <c r="J825" s="2" t="s">
        <v>184</v>
      </c>
      <c r="K825" t="s">
        <v>18</v>
      </c>
      <c r="L825" t="str">
        <f>T("9791164797097")</f>
        <v>9791164797097</v>
      </c>
      <c r="M825" t="str">
        <f t="shared" si="30"/>
        <v/>
      </c>
      <c r="N825" t="s">
        <v>1061</v>
      </c>
    </row>
    <row r="826" spans="1:14">
      <c r="A826" s="1">
        <v>46061.897893518515</v>
      </c>
      <c r="B826">
        <v>385347715</v>
      </c>
      <c r="C826" s="2" t="s">
        <v>186</v>
      </c>
      <c r="D826" t="s">
        <v>15</v>
      </c>
      <c r="E826" s="5">
        <v>2000</v>
      </c>
      <c r="F826" s="3">
        <v>1800</v>
      </c>
      <c r="G826" s="3">
        <v>1260</v>
      </c>
      <c r="I826" s="2" t="s">
        <v>187</v>
      </c>
      <c r="J826" s="2" t="s">
        <v>188</v>
      </c>
      <c r="K826" t="s">
        <v>18</v>
      </c>
      <c r="L826" t="str">
        <f>T("9791164835362")</f>
        <v>9791164835362</v>
      </c>
      <c r="M826" t="str">
        <f t="shared" si="30"/>
        <v/>
      </c>
      <c r="N826" t="s">
        <v>189</v>
      </c>
    </row>
    <row r="827" spans="1:14">
      <c r="A827" s="1">
        <v>46061.900266203702</v>
      </c>
      <c r="B827">
        <v>385347797</v>
      </c>
      <c r="C827" s="2" t="s">
        <v>195</v>
      </c>
      <c r="D827" t="s">
        <v>15</v>
      </c>
      <c r="E827" s="4">
        <v>700</v>
      </c>
      <c r="F827" s="2">
        <v>630</v>
      </c>
      <c r="G827" s="2">
        <v>441</v>
      </c>
      <c r="I827" s="2" t="s">
        <v>196</v>
      </c>
      <c r="J827" s="2" t="s">
        <v>197</v>
      </c>
      <c r="K827" t="s">
        <v>18</v>
      </c>
      <c r="L827" t="str">
        <f>T("9791172821937")</f>
        <v>9791172821937</v>
      </c>
      <c r="M827" t="str">
        <f t="shared" si="30"/>
        <v/>
      </c>
      <c r="N827" t="s">
        <v>198</v>
      </c>
    </row>
    <row r="828" spans="1:14">
      <c r="A828" s="1">
        <v>46061.90252314815</v>
      </c>
      <c r="B828">
        <v>277935622</v>
      </c>
      <c r="C828" s="2" t="s">
        <v>1062</v>
      </c>
      <c r="D828" t="s">
        <v>15</v>
      </c>
      <c r="E828" s="4">
        <v>100</v>
      </c>
      <c r="F828" s="2">
        <v>100</v>
      </c>
      <c r="G828" s="2">
        <v>70</v>
      </c>
      <c r="I828" s="2" t="s">
        <v>64</v>
      </c>
      <c r="J828" s="2" t="s">
        <v>65</v>
      </c>
      <c r="K828" t="s">
        <v>18</v>
      </c>
      <c r="L828" t="str">
        <f>T("9791162589724")</f>
        <v>9791162589724</v>
      </c>
      <c r="M828" t="str">
        <f t="shared" si="30"/>
        <v/>
      </c>
      <c r="N828" t="s">
        <v>1063</v>
      </c>
    </row>
    <row r="829" spans="1:14">
      <c r="A829" s="1">
        <v>46061.911458333336</v>
      </c>
      <c r="B829">
        <v>277935732</v>
      </c>
      <c r="C829" s="2" t="s">
        <v>1064</v>
      </c>
      <c r="D829" t="s">
        <v>15</v>
      </c>
      <c r="E829" s="4">
        <v>100</v>
      </c>
      <c r="F829" s="2">
        <v>100</v>
      </c>
      <c r="G829" s="2">
        <v>70</v>
      </c>
      <c r="I829" s="2" t="s">
        <v>64</v>
      </c>
      <c r="J829" s="2" t="s">
        <v>65</v>
      </c>
      <c r="K829" t="s">
        <v>18</v>
      </c>
      <c r="L829" t="str">
        <f>T("9791162589724")</f>
        <v>9791162589724</v>
      </c>
      <c r="M829" t="str">
        <f t="shared" si="30"/>
        <v/>
      </c>
      <c r="N829" t="s">
        <v>1065</v>
      </c>
    </row>
    <row r="830" spans="1:14">
      <c r="A830" s="1">
        <v>46061.926990740743</v>
      </c>
      <c r="B830">
        <v>384904213</v>
      </c>
      <c r="C830" s="2" t="s">
        <v>744</v>
      </c>
      <c r="D830" t="s">
        <v>15</v>
      </c>
      <c r="E830" s="5">
        <v>1000</v>
      </c>
      <c r="F830" s="3">
        <v>1000</v>
      </c>
      <c r="G830" s="2">
        <v>700</v>
      </c>
      <c r="I830" s="2" t="s">
        <v>745</v>
      </c>
      <c r="J830" s="2" t="s">
        <v>21</v>
      </c>
      <c r="K830" t="s">
        <v>18</v>
      </c>
      <c r="L830" t="str">
        <f>T("9791175582460")</f>
        <v>9791175582460</v>
      </c>
      <c r="M830" t="str">
        <f t="shared" si="30"/>
        <v/>
      </c>
      <c r="N830" t="s">
        <v>746</v>
      </c>
    </row>
    <row r="831" spans="1:14">
      <c r="A831" s="1">
        <v>46061.93855324074</v>
      </c>
      <c r="B831">
        <v>385348455</v>
      </c>
      <c r="C831" s="2" t="s">
        <v>255</v>
      </c>
      <c r="D831" t="s">
        <v>68</v>
      </c>
      <c r="E831" s="5">
        <v>12600</v>
      </c>
      <c r="F831" s="3">
        <v>12600</v>
      </c>
      <c r="G831" s="3">
        <v>8820</v>
      </c>
      <c r="I831" s="2" t="s">
        <v>187</v>
      </c>
      <c r="J831" s="2" t="s">
        <v>188</v>
      </c>
      <c r="K831" t="s">
        <v>18</v>
      </c>
      <c r="L831" t="str">
        <f>T("9791164835379")</f>
        <v>9791164835379</v>
      </c>
      <c r="M831" t="str">
        <f t="shared" si="30"/>
        <v/>
      </c>
    </row>
    <row r="832" spans="1:14">
      <c r="A832" s="1">
        <v>46061.941354166665</v>
      </c>
      <c r="B832">
        <v>385347899</v>
      </c>
      <c r="C832" s="2" t="s">
        <v>1066</v>
      </c>
      <c r="D832" t="s">
        <v>15</v>
      </c>
      <c r="E832" s="5">
        <v>2900</v>
      </c>
      <c r="F832" s="3">
        <v>2900</v>
      </c>
      <c r="G832" s="3">
        <v>2030</v>
      </c>
      <c r="I832" s="2" t="s">
        <v>1067</v>
      </c>
      <c r="J832" s="2" t="s">
        <v>184</v>
      </c>
      <c r="K832" t="s">
        <v>18</v>
      </c>
      <c r="L832" t="str">
        <f>T("9791170965169")</f>
        <v>9791170965169</v>
      </c>
      <c r="M832" t="str">
        <f t="shared" si="30"/>
        <v/>
      </c>
      <c r="N832" t="s">
        <v>1068</v>
      </c>
    </row>
    <row r="833" spans="1:14">
      <c r="A833" s="1">
        <v>46061.941354166665</v>
      </c>
      <c r="B833">
        <v>385347807</v>
      </c>
      <c r="C833" s="2" t="s">
        <v>1069</v>
      </c>
      <c r="D833" t="s">
        <v>15</v>
      </c>
      <c r="E833" s="5">
        <v>2900</v>
      </c>
      <c r="F833" s="3">
        <v>2900</v>
      </c>
      <c r="G833" s="3">
        <v>2030</v>
      </c>
      <c r="I833" s="2" t="s">
        <v>1067</v>
      </c>
      <c r="J833" s="2" t="s">
        <v>184</v>
      </c>
      <c r="K833" t="s">
        <v>18</v>
      </c>
      <c r="L833" t="str">
        <f>T("9791170965176")</f>
        <v>9791170965176</v>
      </c>
      <c r="M833" t="str">
        <f t="shared" si="30"/>
        <v/>
      </c>
      <c r="N833" t="s">
        <v>1070</v>
      </c>
    </row>
    <row r="834" spans="1:14">
      <c r="A834" s="1">
        <v>46061.941354166665</v>
      </c>
      <c r="B834">
        <v>385347721</v>
      </c>
      <c r="C834" s="2" t="s">
        <v>1071</v>
      </c>
      <c r="D834" t="s">
        <v>15</v>
      </c>
      <c r="E834" s="5">
        <v>2900</v>
      </c>
      <c r="F834" s="3">
        <v>2900</v>
      </c>
      <c r="G834" s="3">
        <v>2030</v>
      </c>
      <c r="I834" s="2" t="s">
        <v>1067</v>
      </c>
      <c r="J834" s="2" t="s">
        <v>184</v>
      </c>
      <c r="K834" t="s">
        <v>18</v>
      </c>
      <c r="L834" t="str">
        <f>T("9791170965183")</f>
        <v>9791170965183</v>
      </c>
      <c r="M834" t="str">
        <f t="shared" si="30"/>
        <v/>
      </c>
      <c r="N834" t="s">
        <v>1072</v>
      </c>
    </row>
    <row r="835" spans="1:14">
      <c r="A835" s="1">
        <v>46061.941354166665</v>
      </c>
      <c r="B835">
        <v>383309290</v>
      </c>
      <c r="C835" s="2" t="s">
        <v>339</v>
      </c>
      <c r="D835" t="s">
        <v>15</v>
      </c>
      <c r="E835" s="5">
        <v>12800</v>
      </c>
      <c r="F835" s="3">
        <v>12800</v>
      </c>
      <c r="G835" s="3">
        <v>8960</v>
      </c>
      <c r="I835" s="2" t="s">
        <v>340</v>
      </c>
      <c r="J835" s="2" t="s">
        <v>341</v>
      </c>
      <c r="K835" t="s">
        <v>18</v>
      </c>
      <c r="L835" t="str">
        <f>T("9791193583074")</f>
        <v>9791193583074</v>
      </c>
      <c r="M835" t="str">
        <f t="shared" si="30"/>
        <v/>
      </c>
    </row>
    <row r="836" spans="1:14">
      <c r="A836" s="1">
        <v>46061.945601851854</v>
      </c>
      <c r="B836">
        <v>313110979</v>
      </c>
      <c r="C836" s="2" t="s">
        <v>356</v>
      </c>
      <c r="D836" t="s">
        <v>15</v>
      </c>
      <c r="E836" s="5">
        <v>3000</v>
      </c>
      <c r="F836" s="3">
        <v>2700</v>
      </c>
      <c r="G836" s="3">
        <v>1890</v>
      </c>
      <c r="I836" s="2" t="s">
        <v>187</v>
      </c>
      <c r="J836" s="2" t="s">
        <v>188</v>
      </c>
      <c r="K836" t="s">
        <v>18</v>
      </c>
      <c r="L836" t="str">
        <f>T("9791164833856")</f>
        <v>9791164833856</v>
      </c>
      <c r="M836" t="str">
        <f t="shared" si="30"/>
        <v/>
      </c>
      <c r="N836" t="s">
        <v>357</v>
      </c>
    </row>
    <row r="837" spans="1:14">
      <c r="A837" s="1">
        <v>46061.945601851854</v>
      </c>
      <c r="B837">
        <v>303466891</v>
      </c>
      <c r="C837" s="2" t="s">
        <v>654</v>
      </c>
      <c r="D837" t="s">
        <v>15</v>
      </c>
      <c r="E837" s="5">
        <v>3000</v>
      </c>
      <c r="F837" s="3">
        <v>2700</v>
      </c>
      <c r="G837" s="3">
        <v>1890</v>
      </c>
      <c r="I837" s="2" t="s">
        <v>187</v>
      </c>
      <c r="J837" s="2" t="s">
        <v>188</v>
      </c>
      <c r="K837" t="s">
        <v>18</v>
      </c>
      <c r="L837" t="str">
        <f>T("9791164833566")</f>
        <v>9791164833566</v>
      </c>
      <c r="M837" t="str">
        <f t="shared" si="30"/>
        <v/>
      </c>
      <c r="N837" t="s">
        <v>655</v>
      </c>
    </row>
    <row r="838" spans="1:14">
      <c r="A838" s="1">
        <v>46061.945601851854</v>
      </c>
      <c r="B838">
        <v>303466892</v>
      </c>
      <c r="C838" s="2" t="s">
        <v>758</v>
      </c>
      <c r="D838" t="s">
        <v>15</v>
      </c>
      <c r="E838" s="5">
        <v>3000</v>
      </c>
      <c r="F838" s="3">
        <v>2700</v>
      </c>
      <c r="G838" s="3">
        <v>1890</v>
      </c>
      <c r="I838" s="2" t="s">
        <v>187</v>
      </c>
      <c r="J838" s="2" t="s">
        <v>188</v>
      </c>
      <c r="K838" t="s">
        <v>18</v>
      </c>
      <c r="L838" t="str">
        <f>T("9791164833573")</f>
        <v>9791164833573</v>
      </c>
      <c r="M838" t="str">
        <f t="shared" si="30"/>
        <v/>
      </c>
      <c r="N838" t="s">
        <v>759</v>
      </c>
    </row>
    <row r="839" spans="1:14">
      <c r="A839" s="1">
        <v>46061.945601851854</v>
      </c>
      <c r="B839">
        <v>303466893</v>
      </c>
      <c r="C839" s="2" t="s">
        <v>667</v>
      </c>
      <c r="D839" t="s">
        <v>15</v>
      </c>
      <c r="E839" s="5">
        <v>3000</v>
      </c>
      <c r="F839" s="3">
        <v>2700</v>
      </c>
      <c r="G839" s="3">
        <v>1890</v>
      </c>
      <c r="I839" s="2" t="s">
        <v>187</v>
      </c>
      <c r="J839" s="2" t="s">
        <v>188</v>
      </c>
      <c r="K839" t="s">
        <v>18</v>
      </c>
      <c r="L839" t="str">
        <f>T("9791164833559")</f>
        <v>9791164833559</v>
      </c>
      <c r="M839" t="str">
        <f t="shared" si="30"/>
        <v/>
      </c>
      <c r="N839" t="s">
        <v>668</v>
      </c>
    </row>
    <row r="840" spans="1:14">
      <c r="A840" s="1">
        <v>46061.945601851854</v>
      </c>
      <c r="B840">
        <v>385347715</v>
      </c>
      <c r="C840" s="2" t="s">
        <v>186</v>
      </c>
      <c r="D840" t="s">
        <v>15</v>
      </c>
      <c r="E840" s="5">
        <v>2000</v>
      </c>
      <c r="F840" s="3">
        <v>1800</v>
      </c>
      <c r="G840" s="3">
        <v>1260</v>
      </c>
      <c r="I840" s="2" t="s">
        <v>187</v>
      </c>
      <c r="J840" s="2" t="s">
        <v>188</v>
      </c>
      <c r="K840" t="s">
        <v>18</v>
      </c>
      <c r="L840" t="str">
        <f>T("9791164835362")</f>
        <v>9791164835362</v>
      </c>
      <c r="M840" t="str">
        <f t="shared" si="30"/>
        <v/>
      </c>
      <c r="N840" t="s">
        <v>189</v>
      </c>
    </row>
    <row r="841" spans="1:14">
      <c r="A841" s="1">
        <v>46061.946423611109</v>
      </c>
      <c r="B841">
        <v>385347773</v>
      </c>
      <c r="C841" s="2" t="s">
        <v>229</v>
      </c>
      <c r="D841" t="s">
        <v>68</v>
      </c>
      <c r="E841" s="4">
        <v>0</v>
      </c>
      <c r="F841" s="2">
        <v>0</v>
      </c>
      <c r="G841" s="2">
        <v>0</v>
      </c>
      <c r="I841" s="2" t="s">
        <v>230</v>
      </c>
      <c r="J841" s="2" t="s">
        <v>161</v>
      </c>
      <c r="K841" t="s">
        <v>18</v>
      </c>
      <c r="L841" t="str">
        <f>T("9791173261091")</f>
        <v>9791173261091</v>
      </c>
      <c r="M841" t="str">
        <f t="shared" si="30"/>
        <v/>
      </c>
      <c r="N841" t="s">
        <v>231</v>
      </c>
    </row>
    <row r="842" spans="1:14">
      <c r="A842" s="1">
        <v>46061.954826388886</v>
      </c>
      <c r="B842">
        <v>361607717</v>
      </c>
      <c r="C842" s="2" t="s">
        <v>1073</v>
      </c>
      <c r="D842" t="s">
        <v>15</v>
      </c>
      <c r="E842" s="5">
        <v>1200</v>
      </c>
      <c r="F842" s="3">
        <v>1200</v>
      </c>
      <c r="G842" s="2">
        <v>840</v>
      </c>
      <c r="I842" s="2" t="s">
        <v>211</v>
      </c>
      <c r="J842" s="2" t="s">
        <v>21</v>
      </c>
      <c r="K842" t="s">
        <v>18</v>
      </c>
      <c r="L842" t="str">
        <f>T("9791173014536")</f>
        <v>9791173014536</v>
      </c>
      <c r="M842" t="str">
        <f t="shared" si="30"/>
        <v/>
      </c>
      <c r="N842" t="s">
        <v>1074</v>
      </c>
    </row>
    <row r="843" spans="1:14">
      <c r="A843" s="1">
        <v>46061.957696759258</v>
      </c>
      <c r="B843">
        <v>162342872</v>
      </c>
      <c r="C843" s="2" t="s">
        <v>1075</v>
      </c>
      <c r="D843" t="s">
        <v>15</v>
      </c>
      <c r="E843" s="5">
        <v>1000</v>
      </c>
      <c r="F843" s="3">
        <v>1000</v>
      </c>
      <c r="G843" s="2">
        <v>700</v>
      </c>
      <c r="I843" s="2" t="s">
        <v>799</v>
      </c>
      <c r="J843" s="2" t="s">
        <v>227</v>
      </c>
      <c r="K843" t="s">
        <v>18</v>
      </c>
      <c r="L843" t="str">
        <f>T("9791160396263")</f>
        <v>9791160396263</v>
      </c>
      <c r="M843" t="str">
        <f t="shared" si="30"/>
        <v/>
      </c>
    </row>
    <row r="844" spans="1:14">
      <c r="A844" s="1">
        <v>46061.959340277775</v>
      </c>
      <c r="B844">
        <v>295409723</v>
      </c>
      <c r="C844" s="2" t="s">
        <v>632</v>
      </c>
      <c r="D844" t="s">
        <v>15</v>
      </c>
      <c r="E844" s="5">
        <v>18000</v>
      </c>
      <c r="F844" s="3">
        <v>18000</v>
      </c>
      <c r="G844" s="3">
        <v>12600</v>
      </c>
      <c r="I844" s="2" t="s">
        <v>540</v>
      </c>
      <c r="J844" s="2" t="s">
        <v>197</v>
      </c>
      <c r="K844" t="s">
        <v>18</v>
      </c>
      <c r="L844" t="str">
        <f>T("9791164096534")</f>
        <v>9791164096534</v>
      </c>
      <c r="M844" t="str">
        <f t="shared" si="30"/>
        <v/>
      </c>
    </row>
    <row r="845" spans="1:14">
      <c r="A845" s="1">
        <v>46061.961099537039</v>
      </c>
      <c r="B845">
        <v>293513044</v>
      </c>
      <c r="C845" s="2" t="s">
        <v>1076</v>
      </c>
      <c r="D845" t="s">
        <v>15</v>
      </c>
      <c r="E845" s="4">
        <v>100</v>
      </c>
      <c r="F845" s="2">
        <v>100</v>
      </c>
      <c r="G845" s="2">
        <v>70</v>
      </c>
      <c r="I845" s="2" t="s">
        <v>64</v>
      </c>
      <c r="J845" s="2" t="s">
        <v>65</v>
      </c>
      <c r="K845" t="s">
        <v>18</v>
      </c>
      <c r="L845" t="str">
        <f>T("9791162589724")</f>
        <v>9791162589724</v>
      </c>
      <c r="M845" t="str">
        <f t="shared" si="30"/>
        <v/>
      </c>
      <c r="N845" t="s">
        <v>1077</v>
      </c>
    </row>
    <row r="846" spans="1:14">
      <c r="A846" s="1">
        <v>46061.961099537039</v>
      </c>
      <c r="B846">
        <v>293513046</v>
      </c>
      <c r="C846" s="2" t="s">
        <v>1078</v>
      </c>
      <c r="D846" t="s">
        <v>15</v>
      </c>
      <c r="E846" s="4">
        <v>100</v>
      </c>
      <c r="F846" s="2">
        <v>100</v>
      </c>
      <c r="G846" s="2">
        <v>70</v>
      </c>
      <c r="I846" s="2" t="s">
        <v>64</v>
      </c>
      <c r="J846" s="2" t="s">
        <v>65</v>
      </c>
      <c r="K846" t="s">
        <v>18</v>
      </c>
      <c r="L846" t="str">
        <f>T("9791162589724")</f>
        <v>9791162589724</v>
      </c>
      <c r="M846" t="str">
        <f t="shared" si="30"/>
        <v/>
      </c>
      <c r="N846" t="s">
        <v>1079</v>
      </c>
    </row>
    <row r="847" spans="1:14">
      <c r="A847" s="1">
        <v>46061.961099537039</v>
      </c>
      <c r="B847">
        <v>293513128</v>
      </c>
      <c r="C847" s="2" t="s">
        <v>1080</v>
      </c>
      <c r="D847" t="s">
        <v>15</v>
      </c>
      <c r="E847" s="4">
        <v>100</v>
      </c>
      <c r="F847" s="2">
        <v>100</v>
      </c>
      <c r="G847" s="2">
        <v>70</v>
      </c>
      <c r="I847" s="2" t="s">
        <v>64</v>
      </c>
      <c r="J847" s="2" t="s">
        <v>65</v>
      </c>
      <c r="K847" t="s">
        <v>18</v>
      </c>
      <c r="L847" t="str">
        <f>T("9791162589724")</f>
        <v>9791162589724</v>
      </c>
      <c r="M847" t="str">
        <f t="shared" si="30"/>
        <v/>
      </c>
      <c r="N847" t="s">
        <v>1081</v>
      </c>
    </row>
    <row r="848" spans="1:14">
      <c r="A848" s="1">
        <v>46061.961099537039</v>
      </c>
      <c r="B848">
        <v>293034899</v>
      </c>
      <c r="C848" s="2" t="s">
        <v>1082</v>
      </c>
      <c r="D848" t="s">
        <v>15</v>
      </c>
      <c r="E848" s="4">
        <v>100</v>
      </c>
      <c r="F848" s="2">
        <v>100</v>
      </c>
      <c r="G848" s="2">
        <v>70</v>
      </c>
      <c r="I848" s="2" t="s">
        <v>64</v>
      </c>
      <c r="J848" s="2" t="s">
        <v>65</v>
      </c>
      <c r="K848" t="s">
        <v>18</v>
      </c>
      <c r="L848" t="str">
        <f>T("9791162589724")</f>
        <v>9791162589724</v>
      </c>
      <c r="M848" t="str">
        <f t="shared" si="30"/>
        <v/>
      </c>
      <c r="N848" t="s">
        <v>1083</v>
      </c>
    </row>
    <row r="849" spans="1:14">
      <c r="A849" s="1">
        <v>46061.961099537039</v>
      </c>
      <c r="B849">
        <v>292656730</v>
      </c>
      <c r="C849" s="2" t="s">
        <v>1084</v>
      </c>
      <c r="D849" t="s">
        <v>15</v>
      </c>
      <c r="E849" s="4">
        <v>100</v>
      </c>
      <c r="F849" s="2">
        <v>100</v>
      </c>
      <c r="G849" s="2">
        <v>70</v>
      </c>
      <c r="I849" s="2" t="s">
        <v>64</v>
      </c>
      <c r="J849" s="2" t="s">
        <v>65</v>
      </c>
      <c r="K849" t="s">
        <v>18</v>
      </c>
      <c r="L849" t="str">
        <f>T("9791162589724")</f>
        <v>9791162589724</v>
      </c>
      <c r="M849" t="str">
        <f t="shared" si="30"/>
        <v/>
      </c>
      <c r="N849" t="s">
        <v>1085</v>
      </c>
    </row>
    <row r="850" spans="1:14">
      <c r="A850" s="1">
        <v>46061.962835648148</v>
      </c>
      <c r="B850">
        <v>385347797</v>
      </c>
      <c r="C850" s="2" t="s">
        <v>195</v>
      </c>
      <c r="D850" t="s">
        <v>15</v>
      </c>
      <c r="E850" s="4">
        <v>700</v>
      </c>
      <c r="F850" s="2">
        <v>630</v>
      </c>
      <c r="G850" s="2">
        <v>441</v>
      </c>
      <c r="I850" s="2" t="s">
        <v>196</v>
      </c>
      <c r="J850" s="2" t="s">
        <v>197</v>
      </c>
      <c r="K850" t="s">
        <v>18</v>
      </c>
      <c r="L850" t="str">
        <f>T("9791172821937")</f>
        <v>9791172821937</v>
      </c>
      <c r="M850" t="str">
        <f t="shared" si="30"/>
        <v/>
      </c>
      <c r="N850" t="s">
        <v>198</v>
      </c>
    </row>
    <row r="851" spans="1:14">
      <c r="A851" s="1">
        <v>46061.968090277776</v>
      </c>
      <c r="B851">
        <v>385347797</v>
      </c>
      <c r="C851" s="2" t="s">
        <v>195</v>
      </c>
      <c r="D851" t="s">
        <v>15</v>
      </c>
      <c r="E851" s="4">
        <v>700</v>
      </c>
      <c r="F851" s="2">
        <v>630</v>
      </c>
      <c r="G851" s="2">
        <v>441</v>
      </c>
      <c r="I851" s="2" t="s">
        <v>196</v>
      </c>
      <c r="J851" s="2" t="s">
        <v>197</v>
      </c>
      <c r="K851" t="s">
        <v>18</v>
      </c>
      <c r="L851" t="str">
        <f>T("9791172821937")</f>
        <v>9791172821937</v>
      </c>
      <c r="M851" t="str">
        <f t="shared" si="30"/>
        <v/>
      </c>
      <c r="N851" t="s">
        <v>198</v>
      </c>
    </row>
    <row r="852" spans="1:14">
      <c r="A852" s="1">
        <v>46061.970902777779</v>
      </c>
      <c r="B852">
        <v>277935528</v>
      </c>
      <c r="C852" s="2" t="s">
        <v>571</v>
      </c>
      <c r="D852" t="s">
        <v>15</v>
      </c>
      <c r="E852" s="4">
        <v>100</v>
      </c>
      <c r="F852" s="2">
        <v>100</v>
      </c>
      <c r="G852" s="2">
        <v>70</v>
      </c>
      <c r="I852" s="2" t="s">
        <v>64</v>
      </c>
      <c r="J852" s="2" t="s">
        <v>65</v>
      </c>
      <c r="K852" t="s">
        <v>18</v>
      </c>
      <c r="L852" t="str">
        <f>T("9791162589724")</f>
        <v>9791162589724</v>
      </c>
      <c r="M852" t="str">
        <f t="shared" si="30"/>
        <v/>
      </c>
      <c r="N852" t="s">
        <v>572</v>
      </c>
    </row>
    <row r="853" spans="1:14">
      <c r="A853" s="1">
        <v>46061.972361111111</v>
      </c>
      <c r="B853">
        <v>385347715</v>
      </c>
      <c r="C853" s="2" t="s">
        <v>186</v>
      </c>
      <c r="D853" t="s">
        <v>15</v>
      </c>
      <c r="E853" s="5">
        <v>2000</v>
      </c>
      <c r="F853" s="3">
        <v>1800</v>
      </c>
      <c r="G853" s="3">
        <v>1260</v>
      </c>
      <c r="I853" s="2" t="s">
        <v>187</v>
      </c>
      <c r="J853" s="2" t="s">
        <v>188</v>
      </c>
      <c r="K853" t="s">
        <v>18</v>
      </c>
      <c r="L853" t="str">
        <f>T("9791164835362")</f>
        <v>9791164835362</v>
      </c>
      <c r="M853" t="str">
        <f t="shared" si="30"/>
        <v/>
      </c>
      <c r="N853" t="s">
        <v>189</v>
      </c>
    </row>
    <row r="854" spans="1:14">
      <c r="A854" s="1">
        <v>46061.97420138889</v>
      </c>
      <c r="B854">
        <v>346106322</v>
      </c>
      <c r="C854" s="2" t="s">
        <v>1086</v>
      </c>
      <c r="D854" t="s">
        <v>15</v>
      </c>
      <c r="E854" s="5">
        <v>1000</v>
      </c>
      <c r="F854" s="3">
        <v>1000</v>
      </c>
      <c r="G854" s="2">
        <v>700</v>
      </c>
      <c r="I854" s="2" t="s">
        <v>1087</v>
      </c>
      <c r="J854" s="2" t="s">
        <v>21</v>
      </c>
      <c r="K854" t="s">
        <v>18</v>
      </c>
      <c r="L854" t="str">
        <f>T("9791170898177")</f>
        <v>9791170898177</v>
      </c>
      <c r="M854" t="str">
        <f t="shared" si="30"/>
        <v/>
      </c>
      <c r="N854" t="s">
        <v>1088</v>
      </c>
    </row>
    <row r="855" spans="1:14">
      <c r="A855" s="1">
        <v>46061.97488425926</v>
      </c>
      <c r="B855">
        <v>385347797</v>
      </c>
      <c r="C855" s="2" t="s">
        <v>195</v>
      </c>
      <c r="D855" t="s">
        <v>15</v>
      </c>
      <c r="E855" s="4">
        <v>700</v>
      </c>
      <c r="F855" s="2">
        <v>630</v>
      </c>
      <c r="G855" s="2">
        <v>441</v>
      </c>
      <c r="I855" s="2" t="s">
        <v>196</v>
      </c>
      <c r="J855" s="2" t="s">
        <v>197</v>
      </c>
      <c r="K855" t="s">
        <v>18</v>
      </c>
      <c r="L855" t="str">
        <f>T("9791172821937")</f>
        <v>9791172821937</v>
      </c>
      <c r="M855" t="str">
        <f t="shared" si="30"/>
        <v/>
      </c>
      <c r="N855" t="s">
        <v>198</v>
      </c>
    </row>
    <row r="856" spans="1:14">
      <c r="A856" s="1">
        <v>46061.980347222219</v>
      </c>
      <c r="B856">
        <v>282620736</v>
      </c>
      <c r="C856" s="2" t="s">
        <v>1015</v>
      </c>
      <c r="D856" t="s">
        <v>15</v>
      </c>
      <c r="E856" s="4">
        <v>100</v>
      </c>
      <c r="F856" s="2">
        <v>100</v>
      </c>
      <c r="G856" s="2">
        <v>70</v>
      </c>
      <c r="I856" s="2" t="s">
        <v>64</v>
      </c>
      <c r="J856" s="2" t="s">
        <v>65</v>
      </c>
      <c r="K856" t="s">
        <v>18</v>
      </c>
      <c r="L856" t="str">
        <f t="shared" ref="L856:L862" si="31">T("9791162589724")</f>
        <v>9791162589724</v>
      </c>
      <c r="M856" t="str">
        <f t="shared" si="30"/>
        <v/>
      </c>
      <c r="N856" t="s">
        <v>1016</v>
      </c>
    </row>
    <row r="857" spans="1:14">
      <c r="A857" s="1">
        <v>46061.982754629629</v>
      </c>
      <c r="B857">
        <v>281331136</v>
      </c>
      <c r="C857" s="2" t="s">
        <v>1089</v>
      </c>
      <c r="D857" t="s">
        <v>15</v>
      </c>
      <c r="E857" s="4">
        <v>100</v>
      </c>
      <c r="F857" s="2">
        <v>100</v>
      </c>
      <c r="G857" s="2">
        <v>70</v>
      </c>
      <c r="I857" s="2" t="s">
        <v>64</v>
      </c>
      <c r="J857" s="2" t="s">
        <v>65</v>
      </c>
      <c r="K857" t="s">
        <v>18</v>
      </c>
      <c r="L857" t="str">
        <f t="shared" si="31"/>
        <v>9791162589724</v>
      </c>
      <c r="M857" t="str">
        <f t="shared" si="30"/>
        <v/>
      </c>
      <c r="N857" t="s">
        <v>1090</v>
      </c>
    </row>
    <row r="858" spans="1:14">
      <c r="A858" s="1">
        <v>46061.983368055553</v>
      </c>
      <c r="B858">
        <v>277935480</v>
      </c>
      <c r="C858" s="2" t="s">
        <v>615</v>
      </c>
      <c r="D858" t="s">
        <v>15</v>
      </c>
      <c r="E858" s="4">
        <v>100</v>
      </c>
      <c r="F858" s="2">
        <v>100</v>
      </c>
      <c r="G858" s="2">
        <v>70</v>
      </c>
      <c r="I858" s="2" t="s">
        <v>64</v>
      </c>
      <c r="J858" s="2" t="s">
        <v>65</v>
      </c>
      <c r="K858" t="s">
        <v>18</v>
      </c>
      <c r="L858" t="str">
        <f t="shared" si="31"/>
        <v>9791162589724</v>
      </c>
      <c r="M858" t="str">
        <f t="shared" si="30"/>
        <v/>
      </c>
      <c r="N858" t="s">
        <v>616</v>
      </c>
    </row>
    <row r="859" spans="1:14">
      <c r="A859" s="1">
        <v>46061.983368055553</v>
      </c>
      <c r="B859">
        <v>277935627</v>
      </c>
      <c r="C859" s="2" t="s">
        <v>619</v>
      </c>
      <c r="D859" t="s">
        <v>15</v>
      </c>
      <c r="E859" s="4">
        <v>100</v>
      </c>
      <c r="F859" s="2">
        <v>100</v>
      </c>
      <c r="G859" s="2">
        <v>70</v>
      </c>
      <c r="I859" s="2" t="s">
        <v>64</v>
      </c>
      <c r="J859" s="2" t="s">
        <v>65</v>
      </c>
      <c r="K859" t="s">
        <v>18</v>
      </c>
      <c r="L859" t="str">
        <f t="shared" si="31"/>
        <v>9791162589724</v>
      </c>
      <c r="M859" t="str">
        <f t="shared" si="30"/>
        <v/>
      </c>
      <c r="N859" t="s">
        <v>620</v>
      </c>
    </row>
    <row r="860" spans="1:14">
      <c r="A860" s="1">
        <v>46061.983368055553</v>
      </c>
      <c r="B860">
        <v>277935671</v>
      </c>
      <c r="C860" s="2" t="s">
        <v>603</v>
      </c>
      <c r="D860" t="s">
        <v>15</v>
      </c>
      <c r="E860" s="4">
        <v>100</v>
      </c>
      <c r="F860" s="2">
        <v>100</v>
      </c>
      <c r="G860" s="2">
        <v>70</v>
      </c>
      <c r="I860" s="2" t="s">
        <v>64</v>
      </c>
      <c r="J860" s="2" t="s">
        <v>65</v>
      </c>
      <c r="K860" t="s">
        <v>18</v>
      </c>
      <c r="L860" t="str">
        <f t="shared" si="31"/>
        <v>9791162589724</v>
      </c>
      <c r="M860" t="str">
        <f t="shared" si="30"/>
        <v/>
      </c>
      <c r="N860" t="s">
        <v>604</v>
      </c>
    </row>
    <row r="861" spans="1:14">
      <c r="A861" s="1">
        <v>46061.983368055553</v>
      </c>
      <c r="B861">
        <v>277935721</v>
      </c>
      <c r="C861" s="2" t="s">
        <v>609</v>
      </c>
      <c r="D861" t="s">
        <v>15</v>
      </c>
      <c r="E861" s="4">
        <v>100</v>
      </c>
      <c r="F861" s="2">
        <v>100</v>
      </c>
      <c r="G861" s="2">
        <v>70</v>
      </c>
      <c r="I861" s="2" t="s">
        <v>64</v>
      </c>
      <c r="J861" s="2" t="s">
        <v>65</v>
      </c>
      <c r="K861" t="s">
        <v>18</v>
      </c>
      <c r="L861" t="str">
        <f t="shared" si="31"/>
        <v>9791162589724</v>
      </c>
      <c r="M861" t="str">
        <f t="shared" si="30"/>
        <v/>
      </c>
      <c r="N861" t="s">
        <v>610</v>
      </c>
    </row>
    <row r="862" spans="1:14">
      <c r="A862" s="1">
        <v>46061.983368055553</v>
      </c>
      <c r="B862">
        <v>277935728</v>
      </c>
      <c r="C862" s="2" t="s">
        <v>613</v>
      </c>
      <c r="D862" t="s">
        <v>15</v>
      </c>
      <c r="E862" s="4">
        <v>100</v>
      </c>
      <c r="F862" s="2">
        <v>100</v>
      </c>
      <c r="G862" s="2">
        <v>70</v>
      </c>
      <c r="I862" s="2" t="s">
        <v>64</v>
      </c>
      <c r="J862" s="2" t="s">
        <v>65</v>
      </c>
      <c r="K862" t="s">
        <v>18</v>
      </c>
      <c r="L862" t="str">
        <f t="shared" si="31"/>
        <v>9791162589724</v>
      </c>
      <c r="M862" t="str">
        <f t="shared" si="30"/>
        <v/>
      </c>
      <c r="N862" t="s">
        <v>614</v>
      </c>
    </row>
    <row r="863" spans="1:14">
      <c r="A863" s="1">
        <v>46061.985567129632</v>
      </c>
      <c r="B863">
        <v>385347715</v>
      </c>
      <c r="C863" s="2" t="s">
        <v>186</v>
      </c>
      <c r="D863" t="s">
        <v>15</v>
      </c>
      <c r="E863" s="5">
        <v>2000</v>
      </c>
      <c r="F863" s="3">
        <v>1800</v>
      </c>
      <c r="G863" s="3">
        <v>1260</v>
      </c>
      <c r="I863" s="2" t="s">
        <v>187</v>
      </c>
      <c r="J863" s="2" t="s">
        <v>188</v>
      </c>
      <c r="K863" t="s">
        <v>18</v>
      </c>
      <c r="L863" t="str">
        <f>T("9791164835362")</f>
        <v>9791164835362</v>
      </c>
      <c r="M863" t="str">
        <f t="shared" si="30"/>
        <v/>
      </c>
      <c r="N863" t="s">
        <v>189</v>
      </c>
    </row>
    <row r="864" spans="1:14">
      <c r="A864" s="1">
        <v>46061.986250000002</v>
      </c>
      <c r="B864">
        <v>385347797</v>
      </c>
      <c r="C864" s="2" t="s">
        <v>195</v>
      </c>
      <c r="D864" t="s">
        <v>15</v>
      </c>
      <c r="E864" s="4">
        <v>700</v>
      </c>
      <c r="F864" s="2">
        <v>630</v>
      </c>
      <c r="G864" s="2">
        <v>441</v>
      </c>
      <c r="I864" s="2" t="s">
        <v>196</v>
      </c>
      <c r="J864" s="2" t="s">
        <v>197</v>
      </c>
      <c r="K864" t="s">
        <v>18</v>
      </c>
      <c r="L864" t="str">
        <f>T("9791172821937")</f>
        <v>9791172821937</v>
      </c>
      <c r="M864" t="str">
        <f t="shared" si="30"/>
        <v/>
      </c>
      <c r="N864" t="s">
        <v>198</v>
      </c>
    </row>
    <row r="865" spans="1:14">
      <c r="A865" s="1">
        <v>46061.986851851849</v>
      </c>
      <c r="B865">
        <v>385347797</v>
      </c>
      <c r="C865" s="2" t="s">
        <v>195</v>
      </c>
      <c r="D865" t="s">
        <v>15</v>
      </c>
      <c r="E865" s="4">
        <v>700</v>
      </c>
      <c r="F865" s="2">
        <v>630</v>
      </c>
      <c r="G865" s="2">
        <v>441</v>
      </c>
      <c r="I865" s="2" t="s">
        <v>196</v>
      </c>
      <c r="J865" s="2" t="s">
        <v>197</v>
      </c>
      <c r="K865" t="s">
        <v>18</v>
      </c>
      <c r="L865" t="str">
        <f>T("9791172821937")</f>
        <v>9791172821937</v>
      </c>
      <c r="M865" t="str">
        <f t="shared" si="30"/>
        <v/>
      </c>
      <c r="N865" t="s">
        <v>198</v>
      </c>
    </row>
    <row r="866" spans="1:14">
      <c r="A866" s="1">
        <v>46061.989386574074</v>
      </c>
      <c r="B866">
        <v>366699561</v>
      </c>
      <c r="C866" s="2" t="s">
        <v>156</v>
      </c>
      <c r="D866" t="s">
        <v>15</v>
      </c>
      <c r="E866" s="5">
        <v>1100</v>
      </c>
      <c r="F866" s="3">
        <v>1100</v>
      </c>
      <c r="G866" s="2">
        <v>770</v>
      </c>
      <c r="I866" s="2" t="s">
        <v>148</v>
      </c>
      <c r="J866" s="2" t="s">
        <v>21</v>
      </c>
      <c r="K866" t="s">
        <v>18</v>
      </c>
      <c r="L866" t="str">
        <f>T("9791173015137")</f>
        <v>9791173015137</v>
      </c>
      <c r="M866" t="str">
        <f t="shared" si="30"/>
        <v/>
      </c>
      <c r="N866" t="s">
        <v>157</v>
      </c>
    </row>
    <row r="867" spans="1:14">
      <c r="A867" s="1">
        <v>46061.989849537036</v>
      </c>
      <c r="B867">
        <v>385347797</v>
      </c>
      <c r="C867" s="2" t="s">
        <v>195</v>
      </c>
      <c r="D867" t="s">
        <v>15</v>
      </c>
      <c r="E867" s="4">
        <v>700</v>
      </c>
      <c r="F867" s="2">
        <v>630</v>
      </c>
      <c r="G867" s="2">
        <v>441</v>
      </c>
      <c r="I867" s="2" t="s">
        <v>196</v>
      </c>
      <c r="J867" s="2" t="s">
        <v>197</v>
      </c>
      <c r="K867" t="s">
        <v>18</v>
      </c>
      <c r="L867" t="str">
        <f>T("9791172821937")</f>
        <v>9791172821937</v>
      </c>
      <c r="M867" t="str">
        <f t="shared" si="30"/>
        <v/>
      </c>
      <c r="N867" t="s">
        <v>198</v>
      </c>
    </row>
    <row r="868" spans="1:14">
      <c r="A868" s="1">
        <v>46061.990914351853</v>
      </c>
      <c r="B868">
        <v>277935684</v>
      </c>
      <c r="C868" s="2" t="s">
        <v>1091</v>
      </c>
      <c r="D868" t="s">
        <v>15</v>
      </c>
      <c r="E868" s="4">
        <v>100</v>
      </c>
      <c r="F868" s="2">
        <v>100</v>
      </c>
      <c r="G868" s="2">
        <v>70</v>
      </c>
      <c r="I868" s="2" t="s">
        <v>64</v>
      </c>
      <c r="J868" s="2" t="s">
        <v>65</v>
      </c>
      <c r="K868" t="s">
        <v>18</v>
      </c>
      <c r="L868" t="str">
        <f>T("9791162589724")</f>
        <v>9791162589724</v>
      </c>
      <c r="M868" t="str">
        <f t="shared" si="30"/>
        <v/>
      </c>
      <c r="N868" t="s">
        <v>1092</v>
      </c>
    </row>
    <row r="869" spans="1:14">
      <c r="A869" s="1">
        <v>46061.990914351853</v>
      </c>
      <c r="B869">
        <v>277935484</v>
      </c>
      <c r="C869" s="2" t="s">
        <v>1093</v>
      </c>
      <c r="D869" t="s">
        <v>15</v>
      </c>
      <c r="E869" s="4">
        <v>100</v>
      </c>
      <c r="F869" s="2">
        <v>100</v>
      </c>
      <c r="G869" s="2">
        <v>70</v>
      </c>
      <c r="I869" s="2" t="s">
        <v>64</v>
      </c>
      <c r="J869" s="2" t="s">
        <v>65</v>
      </c>
      <c r="K869" t="s">
        <v>18</v>
      </c>
      <c r="L869" t="str">
        <f>T("9791162589724")</f>
        <v>9791162589724</v>
      </c>
      <c r="M869" t="str">
        <f t="shared" ref="M869:M932" si="32">T("")</f>
        <v/>
      </c>
      <c r="N869" t="s">
        <v>1094</v>
      </c>
    </row>
    <row r="870" spans="1:14">
      <c r="A870" s="1">
        <v>46061.990914351853</v>
      </c>
      <c r="B870">
        <v>277935743</v>
      </c>
      <c r="C870" s="2" t="s">
        <v>1095</v>
      </c>
      <c r="D870" t="s">
        <v>15</v>
      </c>
      <c r="E870" s="4">
        <v>100</v>
      </c>
      <c r="F870" s="2">
        <v>100</v>
      </c>
      <c r="G870" s="2">
        <v>70</v>
      </c>
      <c r="I870" s="2" t="s">
        <v>64</v>
      </c>
      <c r="J870" s="2" t="s">
        <v>65</v>
      </c>
      <c r="K870" t="s">
        <v>18</v>
      </c>
      <c r="L870" t="str">
        <f>T("9791162589724")</f>
        <v>9791162589724</v>
      </c>
      <c r="M870" t="str">
        <f t="shared" si="32"/>
        <v/>
      </c>
      <c r="N870" t="s">
        <v>1096</v>
      </c>
    </row>
    <row r="871" spans="1:14">
      <c r="A871" s="1">
        <v>46061.994733796295</v>
      </c>
      <c r="B871">
        <v>385347797</v>
      </c>
      <c r="C871" s="2" t="s">
        <v>195</v>
      </c>
      <c r="D871" t="s">
        <v>15</v>
      </c>
      <c r="E871" s="4">
        <v>700</v>
      </c>
      <c r="F871" s="2">
        <v>630</v>
      </c>
      <c r="G871" s="2">
        <v>441</v>
      </c>
      <c r="I871" s="2" t="s">
        <v>196</v>
      </c>
      <c r="J871" s="2" t="s">
        <v>197</v>
      </c>
      <c r="K871" t="s">
        <v>18</v>
      </c>
      <c r="L871" t="str">
        <f>T("9791172821937")</f>
        <v>9791172821937</v>
      </c>
      <c r="M871" t="str">
        <f t="shared" si="32"/>
        <v/>
      </c>
      <c r="N871" t="s">
        <v>198</v>
      </c>
    </row>
    <row r="872" spans="1:14">
      <c r="A872" s="1">
        <v>46061.995173611111</v>
      </c>
      <c r="B872">
        <v>385347792</v>
      </c>
      <c r="C872" s="2" t="s">
        <v>306</v>
      </c>
      <c r="D872" t="s">
        <v>15</v>
      </c>
      <c r="E872" s="5">
        <v>1000</v>
      </c>
      <c r="F872" s="2">
        <v>900</v>
      </c>
      <c r="G872" s="2">
        <v>630</v>
      </c>
      <c r="I872" s="2" t="s">
        <v>307</v>
      </c>
      <c r="J872" s="2" t="s">
        <v>308</v>
      </c>
      <c r="K872" t="s">
        <v>18</v>
      </c>
      <c r="L872" t="str">
        <f>T("9791194982753")</f>
        <v>9791194982753</v>
      </c>
      <c r="M872" t="str">
        <f t="shared" si="32"/>
        <v/>
      </c>
      <c r="N872" t="s">
        <v>309</v>
      </c>
    </row>
    <row r="873" spans="1:14">
      <c r="A873" s="1">
        <v>46061.999606481484</v>
      </c>
      <c r="B873">
        <v>277935765</v>
      </c>
      <c r="C873" s="2" t="s">
        <v>332</v>
      </c>
      <c r="D873" t="s">
        <v>15</v>
      </c>
      <c r="E873" s="4">
        <v>100</v>
      </c>
      <c r="F873" s="2">
        <v>100</v>
      </c>
      <c r="G873" s="2">
        <v>70</v>
      </c>
      <c r="I873" s="2" t="s">
        <v>64</v>
      </c>
      <c r="J873" s="2" t="s">
        <v>65</v>
      </c>
      <c r="K873" t="s">
        <v>18</v>
      </c>
      <c r="L873" t="str">
        <f>T("9791162589724")</f>
        <v>9791162589724</v>
      </c>
      <c r="M873" t="str">
        <f t="shared" si="32"/>
        <v/>
      </c>
      <c r="N873" t="s">
        <v>333</v>
      </c>
    </row>
    <row r="874" spans="1:14">
      <c r="A874" s="1">
        <v>46061.999606481484</v>
      </c>
      <c r="B874">
        <v>277935855</v>
      </c>
      <c r="C874" s="2" t="s">
        <v>330</v>
      </c>
      <c r="D874" t="s">
        <v>15</v>
      </c>
      <c r="E874" s="4">
        <v>100</v>
      </c>
      <c r="F874" s="2">
        <v>100</v>
      </c>
      <c r="G874" s="2">
        <v>70</v>
      </c>
      <c r="I874" s="2" t="s">
        <v>64</v>
      </c>
      <c r="J874" s="2" t="s">
        <v>65</v>
      </c>
      <c r="K874" t="s">
        <v>18</v>
      </c>
      <c r="L874" t="str">
        <f>T("9791162589724")</f>
        <v>9791162589724</v>
      </c>
      <c r="M874" t="str">
        <f t="shared" si="32"/>
        <v/>
      </c>
      <c r="N874" t="s">
        <v>331</v>
      </c>
    </row>
    <row r="875" spans="1:14">
      <c r="A875" s="1">
        <v>46061.999606481484</v>
      </c>
      <c r="B875">
        <v>277935831</v>
      </c>
      <c r="C875" s="2" t="s">
        <v>328</v>
      </c>
      <c r="D875" t="s">
        <v>15</v>
      </c>
      <c r="E875" s="4">
        <v>100</v>
      </c>
      <c r="F875" s="2">
        <v>100</v>
      </c>
      <c r="G875" s="2">
        <v>70</v>
      </c>
      <c r="I875" s="2" t="s">
        <v>64</v>
      </c>
      <c r="J875" s="2" t="s">
        <v>65</v>
      </c>
      <c r="K875" t="s">
        <v>18</v>
      </c>
      <c r="L875" t="str">
        <f>T("9791162589724")</f>
        <v>9791162589724</v>
      </c>
      <c r="M875" t="str">
        <f t="shared" si="32"/>
        <v/>
      </c>
      <c r="N875" t="s">
        <v>329</v>
      </c>
    </row>
    <row r="876" spans="1:14">
      <c r="A876" s="1">
        <v>46061.999606481484</v>
      </c>
      <c r="B876">
        <v>277935839</v>
      </c>
      <c r="C876" s="2" t="s">
        <v>903</v>
      </c>
      <c r="D876" t="s">
        <v>15</v>
      </c>
      <c r="E876" s="4">
        <v>100</v>
      </c>
      <c r="F876" s="2">
        <v>100</v>
      </c>
      <c r="G876" s="2">
        <v>70</v>
      </c>
      <c r="I876" s="2" t="s">
        <v>64</v>
      </c>
      <c r="J876" s="2" t="s">
        <v>65</v>
      </c>
      <c r="K876" t="s">
        <v>18</v>
      </c>
      <c r="L876" t="str">
        <f>T("9791162589724")</f>
        <v>9791162589724</v>
      </c>
      <c r="M876" t="str">
        <f t="shared" si="32"/>
        <v/>
      </c>
      <c r="N876" t="s">
        <v>904</v>
      </c>
    </row>
    <row r="877" spans="1:14">
      <c r="A877" s="1">
        <v>46061.999606481484</v>
      </c>
      <c r="B877">
        <v>277935571</v>
      </c>
      <c r="C877" s="2" t="s">
        <v>905</v>
      </c>
      <c r="D877" t="s">
        <v>15</v>
      </c>
      <c r="E877" s="4">
        <v>100</v>
      </c>
      <c r="F877" s="2">
        <v>100</v>
      </c>
      <c r="G877" s="2">
        <v>70</v>
      </c>
      <c r="I877" s="2" t="s">
        <v>64</v>
      </c>
      <c r="J877" s="2" t="s">
        <v>65</v>
      </c>
      <c r="K877" t="s">
        <v>18</v>
      </c>
      <c r="L877" t="str">
        <f>T("9791162589724")</f>
        <v>9791162589724</v>
      </c>
      <c r="M877" t="str">
        <f t="shared" si="32"/>
        <v/>
      </c>
      <c r="N877" t="s">
        <v>906</v>
      </c>
    </row>
    <row r="878" spans="1:14">
      <c r="A878" s="1">
        <v>46062.007951388892</v>
      </c>
      <c r="B878">
        <v>380788908</v>
      </c>
      <c r="C878" s="2" t="s">
        <v>1097</v>
      </c>
      <c r="D878" t="s">
        <v>15</v>
      </c>
      <c r="E878" s="5">
        <v>2900</v>
      </c>
      <c r="F878" s="3">
        <v>2900</v>
      </c>
      <c r="G878" s="3">
        <v>2030</v>
      </c>
      <c r="I878" s="2" t="s">
        <v>1098</v>
      </c>
      <c r="J878" s="2" t="s">
        <v>126</v>
      </c>
      <c r="K878" t="s">
        <v>18</v>
      </c>
      <c r="L878" t="str">
        <f>T("9791171502486")</f>
        <v>9791171502486</v>
      </c>
      <c r="M878" t="str">
        <f t="shared" si="32"/>
        <v/>
      </c>
      <c r="N878" t="s">
        <v>1099</v>
      </c>
    </row>
    <row r="879" spans="1:14">
      <c r="A879" s="1">
        <v>46062.026504629626</v>
      </c>
      <c r="B879">
        <v>383530077</v>
      </c>
      <c r="C879" s="2" t="s">
        <v>1100</v>
      </c>
      <c r="D879" t="s">
        <v>15</v>
      </c>
      <c r="E879" s="5">
        <v>1000</v>
      </c>
      <c r="F879" s="3">
        <v>1000</v>
      </c>
      <c r="G879" s="2">
        <v>700</v>
      </c>
      <c r="I879" s="2" t="s">
        <v>128</v>
      </c>
      <c r="J879" s="2" t="s">
        <v>21</v>
      </c>
      <c r="K879" t="s">
        <v>18</v>
      </c>
      <c r="L879" t="str">
        <f>T("9791175582279")</f>
        <v>9791175582279</v>
      </c>
      <c r="M879" t="str">
        <f t="shared" si="32"/>
        <v/>
      </c>
      <c r="N879" t="s">
        <v>1101</v>
      </c>
    </row>
    <row r="880" spans="1:14">
      <c r="A880" s="1">
        <v>46062.026504629626</v>
      </c>
      <c r="B880">
        <v>340439930</v>
      </c>
      <c r="C880" s="2" t="s">
        <v>1102</v>
      </c>
      <c r="D880" t="s">
        <v>15</v>
      </c>
      <c r="E880" s="5">
        <v>1000</v>
      </c>
      <c r="F880" s="3">
        <v>1000</v>
      </c>
      <c r="G880" s="2">
        <v>700</v>
      </c>
      <c r="I880" s="2" t="s">
        <v>128</v>
      </c>
      <c r="J880" s="2" t="s">
        <v>21</v>
      </c>
      <c r="K880" t="s">
        <v>18</v>
      </c>
      <c r="L880" t="str">
        <f>T("9791170896906")</f>
        <v>9791170896906</v>
      </c>
      <c r="M880" t="str">
        <f t="shared" si="32"/>
        <v/>
      </c>
      <c r="N880" t="s">
        <v>1103</v>
      </c>
    </row>
    <row r="881" spans="1:14">
      <c r="A881" s="1">
        <v>46062.038645833331</v>
      </c>
      <c r="B881">
        <v>383283000</v>
      </c>
      <c r="C881" s="2" t="s">
        <v>40</v>
      </c>
      <c r="D881" t="s">
        <v>15</v>
      </c>
      <c r="E881" s="5">
        <v>1000</v>
      </c>
      <c r="F881" s="3">
        <v>1000</v>
      </c>
      <c r="G881" s="2">
        <v>700</v>
      </c>
      <c r="I881" s="2" t="s">
        <v>41</v>
      </c>
      <c r="J881" s="2" t="s">
        <v>21</v>
      </c>
      <c r="K881" t="s">
        <v>18</v>
      </c>
      <c r="L881" t="str">
        <f>T("9791175582132")</f>
        <v>9791175582132</v>
      </c>
      <c r="M881" t="str">
        <f t="shared" si="32"/>
        <v/>
      </c>
      <c r="N881" t="s">
        <v>42</v>
      </c>
    </row>
    <row r="882" spans="1:14">
      <c r="A882" s="1">
        <v>46062.046898148146</v>
      </c>
      <c r="B882">
        <v>378947390</v>
      </c>
      <c r="C882" s="2" t="s">
        <v>1104</v>
      </c>
      <c r="D882" t="s">
        <v>15</v>
      </c>
      <c r="E882" s="5">
        <v>4800</v>
      </c>
      <c r="F882" s="3">
        <v>4800</v>
      </c>
      <c r="G882" s="3">
        <v>3360</v>
      </c>
      <c r="I882" s="2" t="s">
        <v>1105</v>
      </c>
      <c r="J882" s="2" t="s">
        <v>197</v>
      </c>
      <c r="K882" t="s">
        <v>18</v>
      </c>
      <c r="L882" t="str">
        <f>T("9791172822002")</f>
        <v>9791172822002</v>
      </c>
      <c r="M882" t="str">
        <f t="shared" si="32"/>
        <v/>
      </c>
    </row>
    <row r="883" spans="1:14">
      <c r="A883" s="1">
        <v>46062.099976851852</v>
      </c>
      <c r="B883">
        <v>380788908</v>
      </c>
      <c r="C883" s="2" t="s">
        <v>1097</v>
      </c>
      <c r="D883" t="s">
        <v>15</v>
      </c>
      <c r="E883" s="5">
        <v>2900</v>
      </c>
      <c r="F883" s="3">
        <v>2900</v>
      </c>
      <c r="G883" s="3">
        <v>2030</v>
      </c>
      <c r="I883" s="2" t="s">
        <v>1098</v>
      </c>
      <c r="J883" s="2" t="s">
        <v>126</v>
      </c>
      <c r="K883" t="s">
        <v>18</v>
      </c>
      <c r="L883" t="str">
        <f>T("9791171502486")</f>
        <v>9791171502486</v>
      </c>
      <c r="M883" t="str">
        <f t="shared" si="32"/>
        <v/>
      </c>
      <c r="N883" t="s">
        <v>1099</v>
      </c>
    </row>
    <row r="884" spans="1:14">
      <c r="A884" s="1">
        <v>46062.123854166668</v>
      </c>
      <c r="B884">
        <v>333650388</v>
      </c>
      <c r="C884" s="2" t="s">
        <v>1106</v>
      </c>
      <c r="D884" t="s">
        <v>15</v>
      </c>
      <c r="E884" s="5">
        <v>1000</v>
      </c>
      <c r="F884" s="3">
        <v>1000</v>
      </c>
      <c r="G884" s="2">
        <v>700</v>
      </c>
      <c r="I884" s="2" t="s">
        <v>1107</v>
      </c>
      <c r="J884" s="2" t="s">
        <v>21</v>
      </c>
      <c r="K884" t="s">
        <v>18</v>
      </c>
      <c r="L884" t="str">
        <f>T("9791167839299")</f>
        <v>9791167839299</v>
      </c>
      <c r="M884" t="str">
        <f t="shared" si="32"/>
        <v/>
      </c>
      <c r="N884" t="s">
        <v>1108</v>
      </c>
    </row>
    <row r="885" spans="1:14">
      <c r="A885" s="1">
        <v>46062.123854166668</v>
      </c>
      <c r="B885">
        <v>331405095</v>
      </c>
      <c r="C885" s="2" t="s">
        <v>1109</v>
      </c>
      <c r="D885" t="s">
        <v>15</v>
      </c>
      <c r="E885" s="5">
        <v>1000</v>
      </c>
      <c r="F885" s="3">
        <v>1000</v>
      </c>
      <c r="G885" s="2">
        <v>700</v>
      </c>
      <c r="I885" s="2" t="s">
        <v>1107</v>
      </c>
      <c r="J885" s="2" t="s">
        <v>21</v>
      </c>
      <c r="K885" t="s">
        <v>18</v>
      </c>
      <c r="L885" t="str">
        <f>T("9791170893332")</f>
        <v>9791170893332</v>
      </c>
      <c r="M885" t="str">
        <f t="shared" si="32"/>
        <v/>
      </c>
      <c r="N885" t="s">
        <v>1110</v>
      </c>
    </row>
    <row r="886" spans="1:14">
      <c r="A886" s="1">
        <v>46062.348900462966</v>
      </c>
      <c r="B886">
        <v>371345723</v>
      </c>
      <c r="C886" s="2" t="s">
        <v>525</v>
      </c>
      <c r="D886" t="s">
        <v>15</v>
      </c>
      <c r="E886" s="5">
        <v>3300</v>
      </c>
      <c r="F886" s="3">
        <v>2970</v>
      </c>
      <c r="G886" s="3">
        <v>2079</v>
      </c>
      <c r="I886" s="2" t="s">
        <v>196</v>
      </c>
      <c r="J886" s="2" t="s">
        <v>197</v>
      </c>
      <c r="K886" t="s">
        <v>18</v>
      </c>
      <c r="L886" t="str">
        <f>T("9791172821692")</f>
        <v>9791172821692</v>
      </c>
      <c r="M886" t="str">
        <f t="shared" si="32"/>
        <v/>
      </c>
      <c r="N886" t="s">
        <v>526</v>
      </c>
    </row>
    <row r="887" spans="1:14">
      <c r="A887" s="1">
        <v>46062.407858796294</v>
      </c>
      <c r="B887">
        <v>234101418</v>
      </c>
      <c r="C887" s="2" t="s">
        <v>932</v>
      </c>
      <c r="D887" t="s">
        <v>15</v>
      </c>
      <c r="E887" s="4">
        <v>0</v>
      </c>
      <c r="F887" s="2">
        <v>0</v>
      </c>
      <c r="G887" s="2">
        <v>0</v>
      </c>
      <c r="I887" s="2" t="s">
        <v>933</v>
      </c>
      <c r="J887" s="2" t="s">
        <v>245</v>
      </c>
      <c r="K887" t="s">
        <v>18</v>
      </c>
      <c r="L887" t="str">
        <f>T("9791164485277")</f>
        <v>9791164485277</v>
      </c>
      <c r="M887" t="str">
        <f t="shared" si="32"/>
        <v/>
      </c>
    </row>
    <row r="888" spans="1:14">
      <c r="A888" s="1">
        <v>46062.408136574071</v>
      </c>
      <c r="B888">
        <v>385347797</v>
      </c>
      <c r="C888" s="2" t="s">
        <v>195</v>
      </c>
      <c r="D888" t="s">
        <v>15</v>
      </c>
      <c r="E888" s="4">
        <v>700</v>
      </c>
      <c r="F888" s="2">
        <v>630</v>
      </c>
      <c r="G888" s="2">
        <v>441</v>
      </c>
      <c r="I888" s="2" t="s">
        <v>196</v>
      </c>
      <c r="J888" s="2" t="s">
        <v>197</v>
      </c>
      <c r="K888" t="s">
        <v>18</v>
      </c>
      <c r="L888" t="str">
        <f>T("9791172821937")</f>
        <v>9791172821937</v>
      </c>
      <c r="M888" t="str">
        <f t="shared" si="32"/>
        <v/>
      </c>
      <c r="N888" t="s">
        <v>198</v>
      </c>
    </row>
    <row r="889" spans="1:14">
      <c r="A889" s="1">
        <v>46062.451539351852</v>
      </c>
      <c r="B889">
        <v>384664782</v>
      </c>
      <c r="C889" s="2" t="s">
        <v>373</v>
      </c>
      <c r="D889" t="s">
        <v>15</v>
      </c>
      <c r="E889" s="5">
        <v>1000</v>
      </c>
      <c r="F889" s="3">
        <v>1000</v>
      </c>
      <c r="G889" s="2">
        <v>700</v>
      </c>
      <c r="I889" s="2" t="s">
        <v>374</v>
      </c>
      <c r="J889" s="2" t="s">
        <v>21</v>
      </c>
      <c r="K889" t="s">
        <v>18</v>
      </c>
      <c r="L889" t="str">
        <f>T("9791175582392")</f>
        <v>9791175582392</v>
      </c>
      <c r="M889" t="str">
        <f t="shared" si="32"/>
        <v/>
      </c>
      <c r="N889" t="s">
        <v>375</v>
      </c>
    </row>
    <row r="890" spans="1:14">
      <c r="A890" s="1">
        <v>46062.492326388892</v>
      </c>
      <c r="B890">
        <v>281331137</v>
      </c>
      <c r="C890" s="2" t="s">
        <v>1111</v>
      </c>
      <c r="D890" t="s">
        <v>15</v>
      </c>
      <c r="E890" s="4">
        <v>100</v>
      </c>
      <c r="F890" s="2">
        <v>100</v>
      </c>
      <c r="G890" s="2">
        <v>70</v>
      </c>
      <c r="I890" s="2" t="s">
        <v>64</v>
      </c>
      <c r="J890" s="2" t="s">
        <v>65</v>
      </c>
      <c r="K890" t="s">
        <v>18</v>
      </c>
      <c r="L890" t="str">
        <f>T("9791162589724")</f>
        <v>9791162589724</v>
      </c>
      <c r="M890" t="str">
        <f t="shared" si="32"/>
        <v/>
      </c>
      <c r="N890" t="s">
        <v>1112</v>
      </c>
    </row>
    <row r="891" spans="1:14">
      <c r="A891" s="1">
        <v>46062.492326388892</v>
      </c>
      <c r="B891">
        <v>280974781</v>
      </c>
      <c r="C891" s="2" t="s">
        <v>1113</v>
      </c>
      <c r="D891" t="s">
        <v>15</v>
      </c>
      <c r="E891" s="4">
        <v>100</v>
      </c>
      <c r="F891" s="2">
        <v>100</v>
      </c>
      <c r="G891" s="2">
        <v>70</v>
      </c>
      <c r="I891" s="2" t="s">
        <v>64</v>
      </c>
      <c r="J891" s="2" t="s">
        <v>65</v>
      </c>
      <c r="K891" t="s">
        <v>18</v>
      </c>
      <c r="L891" t="str">
        <f>T("9791162589724")</f>
        <v>9791162589724</v>
      </c>
      <c r="M891" t="str">
        <f t="shared" si="32"/>
        <v/>
      </c>
      <c r="N891" t="s">
        <v>1114</v>
      </c>
    </row>
    <row r="892" spans="1:14">
      <c r="A892" s="1">
        <v>46062.492326388892</v>
      </c>
      <c r="B892">
        <v>281331135</v>
      </c>
      <c r="C892" s="2" t="s">
        <v>1115</v>
      </c>
      <c r="D892" t="s">
        <v>15</v>
      </c>
      <c r="E892" s="4">
        <v>100</v>
      </c>
      <c r="F892" s="2">
        <v>100</v>
      </c>
      <c r="G892" s="2">
        <v>70</v>
      </c>
      <c r="I892" s="2" t="s">
        <v>64</v>
      </c>
      <c r="J892" s="2" t="s">
        <v>65</v>
      </c>
      <c r="K892" t="s">
        <v>18</v>
      </c>
      <c r="L892" t="str">
        <f>T("9791162589724")</f>
        <v>9791162589724</v>
      </c>
      <c r="M892" t="str">
        <f t="shared" si="32"/>
        <v/>
      </c>
      <c r="N892" t="s">
        <v>1116</v>
      </c>
    </row>
    <row r="893" spans="1:14">
      <c r="A893" s="1">
        <v>46062.492326388892</v>
      </c>
      <c r="B893">
        <v>281331136</v>
      </c>
      <c r="C893" s="2" t="s">
        <v>1089</v>
      </c>
      <c r="D893" t="s">
        <v>15</v>
      </c>
      <c r="E893" s="4">
        <v>100</v>
      </c>
      <c r="F893" s="2">
        <v>100</v>
      </c>
      <c r="G893" s="2">
        <v>70</v>
      </c>
      <c r="I893" s="2" t="s">
        <v>64</v>
      </c>
      <c r="J893" s="2" t="s">
        <v>65</v>
      </c>
      <c r="K893" t="s">
        <v>18</v>
      </c>
      <c r="L893" t="str">
        <f>T("9791162589724")</f>
        <v>9791162589724</v>
      </c>
      <c r="M893" t="str">
        <f t="shared" si="32"/>
        <v/>
      </c>
      <c r="N893" t="s">
        <v>1090</v>
      </c>
    </row>
    <row r="894" spans="1:14">
      <c r="A894" s="1">
        <v>46062.492326388892</v>
      </c>
      <c r="B894">
        <v>281745112</v>
      </c>
      <c r="C894" s="2" t="s">
        <v>1117</v>
      </c>
      <c r="D894" t="s">
        <v>15</v>
      </c>
      <c r="E894" s="4">
        <v>100</v>
      </c>
      <c r="F894" s="2">
        <v>100</v>
      </c>
      <c r="G894" s="2">
        <v>70</v>
      </c>
      <c r="I894" s="2" t="s">
        <v>64</v>
      </c>
      <c r="J894" s="2" t="s">
        <v>65</v>
      </c>
      <c r="K894" t="s">
        <v>18</v>
      </c>
      <c r="L894" t="str">
        <f>T("9791162589724")</f>
        <v>9791162589724</v>
      </c>
      <c r="M894" t="str">
        <f t="shared" si="32"/>
        <v/>
      </c>
      <c r="N894" t="s">
        <v>1118</v>
      </c>
    </row>
    <row r="895" spans="1:14">
      <c r="A895" s="1">
        <v>46062.495856481481</v>
      </c>
      <c r="B895">
        <v>385347729</v>
      </c>
      <c r="C895" s="2" t="s">
        <v>409</v>
      </c>
      <c r="D895" t="s">
        <v>68</v>
      </c>
      <c r="E895" s="4">
        <v>900</v>
      </c>
      <c r="F895" s="2">
        <v>900</v>
      </c>
      <c r="G895" s="2">
        <v>630</v>
      </c>
      <c r="I895" s="2" t="s">
        <v>230</v>
      </c>
      <c r="J895" s="2" t="s">
        <v>161</v>
      </c>
      <c r="K895" t="s">
        <v>18</v>
      </c>
      <c r="L895" t="str">
        <f>T("9791173261121")</f>
        <v>9791173261121</v>
      </c>
      <c r="M895" t="str">
        <f t="shared" si="32"/>
        <v/>
      </c>
      <c r="N895" t="s">
        <v>410</v>
      </c>
    </row>
    <row r="896" spans="1:14">
      <c r="A896" s="1">
        <v>46062.495856481481</v>
      </c>
      <c r="B896">
        <v>385347908</v>
      </c>
      <c r="C896" s="2" t="s">
        <v>393</v>
      </c>
      <c r="D896" t="s">
        <v>68</v>
      </c>
      <c r="E896" s="4">
        <v>900</v>
      </c>
      <c r="F896" s="2">
        <v>900</v>
      </c>
      <c r="G896" s="2">
        <v>630</v>
      </c>
      <c r="I896" s="2" t="s">
        <v>230</v>
      </c>
      <c r="J896" s="2" t="s">
        <v>161</v>
      </c>
      <c r="K896" t="s">
        <v>18</v>
      </c>
      <c r="L896" t="str">
        <f>T("9791173261107")</f>
        <v>9791173261107</v>
      </c>
      <c r="M896" t="str">
        <f t="shared" si="32"/>
        <v/>
      </c>
      <c r="N896" t="s">
        <v>394</v>
      </c>
    </row>
    <row r="897" spans="1:14">
      <c r="A897" s="1">
        <v>46062.495856481481</v>
      </c>
      <c r="B897">
        <v>385347812</v>
      </c>
      <c r="C897" s="2" t="s">
        <v>403</v>
      </c>
      <c r="D897" t="s">
        <v>68</v>
      </c>
      <c r="E897" s="4">
        <v>900</v>
      </c>
      <c r="F897" s="2">
        <v>900</v>
      </c>
      <c r="G897" s="2">
        <v>630</v>
      </c>
      <c r="I897" s="2" t="s">
        <v>230</v>
      </c>
      <c r="J897" s="2" t="s">
        <v>161</v>
      </c>
      <c r="K897" t="s">
        <v>18</v>
      </c>
      <c r="L897" t="str">
        <f>T("9791173261114")</f>
        <v>9791173261114</v>
      </c>
      <c r="M897" t="str">
        <f t="shared" si="32"/>
        <v/>
      </c>
      <c r="N897" t="s">
        <v>404</v>
      </c>
    </row>
    <row r="898" spans="1:14">
      <c r="A898" s="1">
        <v>46062.511145833334</v>
      </c>
      <c r="B898">
        <v>202643296</v>
      </c>
      <c r="C898" s="2" t="s">
        <v>1119</v>
      </c>
      <c r="D898" t="s">
        <v>15</v>
      </c>
      <c r="E898" s="5">
        <v>3000</v>
      </c>
      <c r="F898" s="3">
        <v>3000</v>
      </c>
      <c r="G898" s="3">
        <v>2100</v>
      </c>
      <c r="I898" s="2" t="s">
        <v>852</v>
      </c>
      <c r="J898" s="2" t="s">
        <v>126</v>
      </c>
      <c r="K898" t="s">
        <v>18</v>
      </c>
      <c r="L898" t="str">
        <f>T("9791190127967")</f>
        <v>9791190127967</v>
      </c>
      <c r="M898" t="str">
        <f t="shared" si="32"/>
        <v/>
      </c>
    </row>
    <row r="899" spans="1:14">
      <c r="A899" s="1">
        <v>46062.527858796297</v>
      </c>
      <c r="B899">
        <v>383283005</v>
      </c>
      <c r="C899" s="2" t="s">
        <v>1120</v>
      </c>
      <c r="D899" t="s">
        <v>15</v>
      </c>
      <c r="E899" s="5">
        <v>3400</v>
      </c>
      <c r="F899" s="3">
        <v>3400</v>
      </c>
      <c r="G899" s="3">
        <v>2380</v>
      </c>
      <c r="I899" s="2" t="s">
        <v>1121</v>
      </c>
      <c r="J899" s="2" t="s">
        <v>476</v>
      </c>
      <c r="K899" t="s">
        <v>18</v>
      </c>
      <c r="L899" t="str">
        <f>T("9791175090972")</f>
        <v>9791175090972</v>
      </c>
      <c r="M899" t="str">
        <f t="shared" si="32"/>
        <v/>
      </c>
      <c r="N899" t="s">
        <v>1122</v>
      </c>
    </row>
    <row r="900" spans="1:14">
      <c r="A900" s="1">
        <v>46062.533703703702</v>
      </c>
      <c r="B900">
        <v>385347715</v>
      </c>
      <c r="C900" s="2" t="s">
        <v>186</v>
      </c>
      <c r="D900" t="s">
        <v>15</v>
      </c>
      <c r="E900" s="5">
        <v>2000</v>
      </c>
      <c r="F900" s="3">
        <v>1800</v>
      </c>
      <c r="G900" s="3">
        <v>1260</v>
      </c>
      <c r="I900" s="2" t="s">
        <v>187</v>
      </c>
      <c r="J900" s="2" t="s">
        <v>188</v>
      </c>
      <c r="K900" t="s">
        <v>18</v>
      </c>
      <c r="L900" t="str">
        <f>T("9791164835362")</f>
        <v>9791164835362</v>
      </c>
      <c r="M900" t="str">
        <f t="shared" si="32"/>
        <v/>
      </c>
      <c r="N900" t="s">
        <v>189</v>
      </c>
    </row>
    <row r="901" spans="1:14">
      <c r="A901" s="1">
        <v>46062.533726851849</v>
      </c>
      <c r="B901">
        <v>357050885</v>
      </c>
      <c r="C901" s="2" t="s">
        <v>1123</v>
      </c>
      <c r="D901" t="s">
        <v>15</v>
      </c>
      <c r="E901" s="5">
        <v>1000</v>
      </c>
      <c r="F901" s="3">
        <v>1000</v>
      </c>
      <c r="G901" s="2">
        <v>700</v>
      </c>
      <c r="I901" s="2" t="s">
        <v>1124</v>
      </c>
      <c r="J901" s="2" t="s">
        <v>21</v>
      </c>
      <c r="K901" t="s">
        <v>18</v>
      </c>
      <c r="L901" t="str">
        <f>T("9791173012600")</f>
        <v>9791173012600</v>
      </c>
      <c r="M901" t="str">
        <f t="shared" si="32"/>
        <v/>
      </c>
      <c r="N901" t="s">
        <v>1125</v>
      </c>
    </row>
    <row r="902" spans="1:14">
      <c r="A902" s="1">
        <v>46062.54078703704</v>
      </c>
      <c r="B902">
        <v>372420244</v>
      </c>
      <c r="C902" s="2" t="s">
        <v>1126</v>
      </c>
      <c r="D902" t="s">
        <v>15</v>
      </c>
      <c r="E902" s="4">
        <v>0</v>
      </c>
      <c r="F902" s="2">
        <v>0</v>
      </c>
      <c r="G902" s="2">
        <v>0</v>
      </c>
      <c r="I902" s="2" t="s">
        <v>1127</v>
      </c>
      <c r="J902" s="2" t="s">
        <v>415</v>
      </c>
      <c r="K902" t="s">
        <v>18</v>
      </c>
      <c r="L902" t="str">
        <f>T("9791168282926")</f>
        <v>9791168282926</v>
      </c>
      <c r="M902" t="str">
        <f t="shared" si="32"/>
        <v/>
      </c>
      <c r="N902" t="s">
        <v>1128</v>
      </c>
    </row>
    <row r="903" spans="1:14">
      <c r="A903" s="1">
        <v>46062.548854166664</v>
      </c>
      <c r="B903">
        <v>268443410</v>
      </c>
      <c r="C903" s="2" t="s">
        <v>665</v>
      </c>
      <c r="D903" t="s">
        <v>15</v>
      </c>
      <c r="E903" s="5">
        <v>2500</v>
      </c>
      <c r="F903" s="3">
        <v>2500</v>
      </c>
      <c r="G903" s="3">
        <v>1750</v>
      </c>
      <c r="I903" s="2" t="s">
        <v>666</v>
      </c>
      <c r="J903" s="2" t="s">
        <v>21</v>
      </c>
      <c r="K903" t="s">
        <v>18</v>
      </c>
      <c r="L903" t="str">
        <f>T("9791191337228")</f>
        <v>9791191337228</v>
      </c>
      <c r="M903" t="str">
        <f t="shared" si="32"/>
        <v/>
      </c>
    </row>
    <row r="904" spans="1:14">
      <c r="A904" s="1">
        <v>46062.553287037037</v>
      </c>
      <c r="B904">
        <v>168396782</v>
      </c>
      <c r="C904" s="2" t="s">
        <v>1129</v>
      </c>
      <c r="D904" t="s">
        <v>15</v>
      </c>
      <c r="E904" s="4">
        <v>0</v>
      </c>
      <c r="F904" s="2">
        <v>0</v>
      </c>
      <c r="G904" s="2">
        <v>0</v>
      </c>
      <c r="I904" s="2" t="s">
        <v>1130</v>
      </c>
      <c r="J904" s="2" t="s">
        <v>1131</v>
      </c>
      <c r="K904" t="s">
        <v>18</v>
      </c>
      <c r="L904" t="str">
        <f>T("9791195559947")</f>
        <v>9791195559947</v>
      </c>
      <c r="M904" t="str">
        <f t="shared" si="32"/>
        <v/>
      </c>
    </row>
    <row r="905" spans="1:14">
      <c r="A905" s="1">
        <v>46062.554583333331</v>
      </c>
      <c r="B905">
        <v>301878751</v>
      </c>
      <c r="C905" s="2" t="s">
        <v>1132</v>
      </c>
      <c r="D905" t="s">
        <v>15</v>
      </c>
      <c r="E905" s="5">
        <v>1500</v>
      </c>
      <c r="F905" s="3">
        <v>1500</v>
      </c>
      <c r="G905" s="3">
        <v>1050</v>
      </c>
      <c r="I905" s="2" t="s">
        <v>638</v>
      </c>
      <c r="J905" s="2" t="s">
        <v>184</v>
      </c>
      <c r="K905" t="s">
        <v>18</v>
      </c>
      <c r="L905" t="str">
        <f>T("9791164796939")</f>
        <v>9791164796939</v>
      </c>
      <c r="M905" t="str">
        <f t="shared" si="32"/>
        <v/>
      </c>
      <c r="N905" t="s">
        <v>1133</v>
      </c>
    </row>
    <row r="906" spans="1:14">
      <c r="A906" s="1">
        <v>46062.554583333331</v>
      </c>
      <c r="B906">
        <v>320013986</v>
      </c>
      <c r="C906" s="2" t="s">
        <v>1134</v>
      </c>
      <c r="D906" t="s">
        <v>15</v>
      </c>
      <c r="E906" s="5">
        <v>1200</v>
      </c>
      <c r="F906" s="3">
        <v>1200</v>
      </c>
      <c r="G906" s="2">
        <v>840</v>
      </c>
      <c r="I906" s="2" t="s">
        <v>638</v>
      </c>
      <c r="J906" s="2" t="s">
        <v>184</v>
      </c>
      <c r="K906" t="s">
        <v>18</v>
      </c>
      <c r="L906" t="str">
        <f>T("9791164799237")</f>
        <v>9791164799237</v>
      </c>
      <c r="M906" t="str">
        <f t="shared" si="32"/>
        <v/>
      </c>
      <c r="N906" t="s">
        <v>1135</v>
      </c>
    </row>
    <row r="907" spans="1:14">
      <c r="A907" s="1">
        <v>46062.571863425925</v>
      </c>
      <c r="B907">
        <v>270452491</v>
      </c>
      <c r="C907" s="2" t="s">
        <v>1136</v>
      </c>
      <c r="D907" t="s">
        <v>15</v>
      </c>
      <c r="E907" s="5">
        <v>11200</v>
      </c>
      <c r="F907" s="3">
        <v>11200</v>
      </c>
      <c r="G907" s="3">
        <v>7840</v>
      </c>
      <c r="I907" s="2" t="s">
        <v>1137</v>
      </c>
      <c r="J907" s="2" t="s">
        <v>1138</v>
      </c>
      <c r="K907" t="s">
        <v>18</v>
      </c>
      <c r="L907" t="str">
        <f>T("9791190301046")</f>
        <v>9791190301046</v>
      </c>
      <c r="M907" t="str">
        <f t="shared" si="32"/>
        <v/>
      </c>
      <c r="N907" t="s">
        <v>1139</v>
      </c>
    </row>
    <row r="908" spans="1:14">
      <c r="A908" s="1">
        <v>46062.661435185182</v>
      </c>
      <c r="B908">
        <v>385347773</v>
      </c>
      <c r="C908" s="2" t="s">
        <v>229</v>
      </c>
      <c r="D908" t="s">
        <v>15</v>
      </c>
      <c r="E908" s="4">
        <v>0</v>
      </c>
      <c r="F908" s="2">
        <v>0</v>
      </c>
      <c r="G908" s="2">
        <v>0</v>
      </c>
      <c r="I908" s="2" t="s">
        <v>230</v>
      </c>
      <c r="J908" s="2" t="s">
        <v>161</v>
      </c>
      <c r="K908" t="s">
        <v>18</v>
      </c>
      <c r="L908" t="str">
        <f>T("9791173261091")</f>
        <v>9791173261091</v>
      </c>
      <c r="M908" t="str">
        <f t="shared" si="32"/>
        <v/>
      </c>
      <c r="N908" t="s">
        <v>231</v>
      </c>
    </row>
    <row r="909" spans="1:14">
      <c r="A909" s="1">
        <v>46062.661435185182</v>
      </c>
      <c r="B909">
        <v>385373394</v>
      </c>
      <c r="C909" s="2" t="s">
        <v>489</v>
      </c>
      <c r="D909" t="s">
        <v>15</v>
      </c>
      <c r="E909" s="4">
        <v>0</v>
      </c>
      <c r="F909" s="2">
        <v>0</v>
      </c>
      <c r="G909" s="2">
        <v>0</v>
      </c>
      <c r="I909" s="2" t="s">
        <v>490</v>
      </c>
      <c r="J909" s="2" t="s">
        <v>290</v>
      </c>
      <c r="K909" t="s">
        <v>18</v>
      </c>
      <c r="L909" t="str">
        <f>T("9791124141175")</f>
        <v>9791124141175</v>
      </c>
      <c r="M909" t="str">
        <f t="shared" si="32"/>
        <v/>
      </c>
      <c r="N909" t="s">
        <v>491</v>
      </c>
    </row>
    <row r="910" spans="1:14">
      <c r="A910" s="1">
        <v>46062.674062500002</v>
      </c>
      <c r="B910">
        <v>367688280</v>
      </c>
      <c r="C910" s="2" t="s">
        <v>1140</v>
      </c>
      <c r="D910" t="s">
        <v>15</v>
      </c>
      <c r="E910" s="5">
        <v>3300</v>
      </c>
      <c r="F910" s="3">
        <v>2970</v>
      </c>
      <c r="G910" s="3">
        <v>2079</v>
      </c>
      <c r="I910" s="2" t="s">
        <v>1141</v>
      </c>
      <c r="J910" s="2" t="s">
        <v>184</v>
      </c>
      <c r="K910" t="s">
        <v>18</v>
      </c>
      <c r="L910" t="str">
        <f>T("9791170964490")</f>
        <v>9791170964490</v>
      </c>
      <c r="M910" t="str">
        <f t="shared" si="32"/>
        <v/>
      </c>
      <c r="N910" t="s">
        <v>1142</v>
      </c>
    </row>
    <row r="911" spans="1:14">
      <c r="A911" s="1">
        <v>46062.681215277778</v>
      </c>
      <c r="B911">
        <v>314235872</v>
      </c>
      <c r="C911" s="2" t="s">
        <v>1143</v>
      </c>
      <c r="D911" t="s">
        <v>15</v>
      </c>
      <c r="E911" s="5">
        <v>1000</v>
      </c>
      <c r="F911" s="3">
        <v>1000</v>
      </c>
      <c r="G911" s="2">
        <v>700</v>
      </c>
      <c r="I911" s="2" t="s">
        <v>1144</v>
      </c>
      <c r="J911" s="2" t="s">
        <v>177</v>
      </c>
      <c r="K911" t="s">
        <v>18</v>
      </c>
      <c r="L911" t="str">
        <f>T("9791164798797")</f>
        <v>9791164798797</v>
      </c>
      <c r="M911" t="str">
        <f t="shared" si="32"/>
        <v/>
      </c>
      <c r="N911" t="s">
        <v>1145</v>
      </c>
    </row>
    <row r="912" spans="1:14">
      <c r="A912" s="1">
        <v>46062.689085648148</v>
      </c>
      <c r="B912">
        <v>333593015</v>
      </c>
      <c r="C912" s="2" t="s">
        <v>826</v>
      </c>
      <c r="D912" t="s">
        <v>15</v>
      </c>
      <c r="E912" s="5">
        <v>3300</v>
      </c>
      <c r="F912" s="3">
        <v>3300</v>
      </c>
      <c r="G912" s="3">
        <v>2310</v>
      </c>
      <c r="I912" s="2" t="s">
        <v>191</v>
      </c>
      <c r="J912" s="2" t="s">
        <v>188</v>
      </c>
      <c r="K912" t="s">
        <v>18</v>
      </c>
      <c r="L912" t="str">
        <f>T("9791164834136")</f>
        <v>9791164834136</v>
      </c>
      <c r="M912" t="str">
        <f t="shared" si="32"/>
        <v/>
      </c>
      <c r="N912" t="s">
        <v>827</v>
      </c>
    </row>
    <row r="913" spans="1:14">
      <c r="A913" s="1">
        <v>46062.689085648148</v>
      </c>
      <c r="B913">
        <v>333593013</v>
      </c>
      <c r="C913" s="2" t="s">
        <v>828</v>
      </c>
      <c r="D913" t="s">
        <v>15</v>
      </c>
      <c r="E913" s="5">
        <v>3300</v>
      </c>
      <c r="F913" s="3">
        <v>3300</v>
      </c>
      <c r="G913" s="3">
        <v>2310</v>
      </c>
      <c r="I913" s="2" t="s">
        <v>191</v>
      </c>
      <c r="J913" s="2" t="s">
        <v>188</v>
      </c>
      <c r="K913" t="s">
        <v>18</v>
      </c>
      <c r="L913" t="str">
        <f>T("9791164834143")</f>
        <v>9791164834143</v>
      </c>
      <c r="M913" t="str">
        <f t="shared" si="32"/>
        <v/>
      </c>
      <c r="N913" t="s">
        <v>829</v>
      </c>
    </row>
    <row r="914" spans="1:14">
      <c r="A914" s="1">
        <v>46062.694884259261</v>
      </c>
      <c r="B914">
        <v>383283006</v>
      </c>
      <c r="C914" s="2" t="s">
        <v>1146</v>
      </c>
      <c r="D914" t="s">
        <v>15</v>
      </c>
      <c r="E914" s="5">
        <v>2000</v>
      </c>
      <c r="F914" s="3">
        <v>2000</v>
      </c>
      <c r="G914" s="3">
        <v>1400</v>
      </c>
      <c r="I914" s="2" t="s">
        <v>1147</v>
      </c>
      <c r="J914" s="2" t="s">
        <v>476</v>
      </c>
      <c r="K914" t="s">
        <v>18</v>
      </c>
      <c r="L914" t="str">
        <f>T("9791175090989")</f>
        <v>9791175090989</v>
      </c>
      <c r="M914" t="str">
        <f t="shared" si="32"/>
        <v/>
      </c>
      <c r="N914" t="s">
        <v>1148</v>
      </c>
    </row>
    <row r="915" spans="1:14">
      <c r="A915" s="1">
        <v>46062.694884259261</v>
      </c>
      <c r="B915">
        <v>253294785</v>
      </c>
      <c r="C915" s="2" t="s">
        <v>1149</v>
      </c>
      <c r="D915" t="s">
        <v>15</v>
      </c>
      <c r="E915" s="5">
        <v>1100</v>
      </c>
      <c r="F915" s="3">
        <v>1100</v>
      </c>
      <c r="G915" s="2">
        <v>770</v>
      </c>
      <c r="I915" s="2" t="s">
        <v>1150</v>
      </c>
      <c r="J915" s="2" t="s">
        <v>476</v>
      </c>
      <c r="K915" t="s">
        <v>18</v>
      </c>
      <c r="L915" t="str">
        <f>T("9791157938230")</f>
        <v>9791157938230</v>
      </c>
      <c r="M915" t="str">
        <f t="shared" si="32"/>
        <v/>
      </c>
    </row>
    <row r="916" spans="1:14">
      <c r="A916" s="1">
        <v>46062.720671296294</v>
      </c>
      <c r="B916">
        <v>370130271</v>
      </c>
      <c r="C916" s="2" t="s">
        <v>1151</v>
      </c>
      <c r="D916" t="s">
        <v>68</v>
      </c>
      <c r="E916" s="4">
        <v>700</v>
      </c>
      <c r="F916" s="2">
        <v>700</v>
      </c>
      <c r="G916" s="2">
        <v>490</v>
      </c>
      <c r="I916" s="2" t="s">
        <v>244</v>
      </c>
      <c r="J916" s="2" t="s">
        <v>245</v>
      </c>
      <c r="K916" t="s">
        <v>18</v>
      </c>
      <c r="L916" t="str">
        <f>T("9791164489091")</f>
        <v>9791164489091</v>
      </c>
      <c r="M916" t="str">
        <f t="shared" si="32"/>
        <v/>
      </c>
      <c r="N916" t="s">
        <v>1152</v>
      </c>
    </row>
    <row r="917" spans="1:14">
      <c r="A917" s="1">
        <v>46062.728888888887</v>
      </c>
      <c r="B917">
        <v>188278063</v>
      </c>
      <c r="C917" s="2" t="s">
        <v>1153</v>
      </c>
      <c r="D917" t="s">
        <v>15</v>
      </c>
      <c r="E917" s="5">
        <v>2500</v>
      </c>
      <c r="F917" s="3">
        <v>2500</v>
      </c>
      <c r="G917" s="3">
        <v>1750</v>
      </c>
      <c r="I917" s="2" t="s">
        <v>1042</v>
      </c>
      <c r="J917" s="2" t="s">
        <v>693</v>
      </c>
      <c r="K917" t="s">
        <v>18</v>
      </c>
      <c r="L917" t="str">
        <f>T("9791189424527")</f>
        <v>9791189424527</v>
      </c>
      <c r="M917" t="str">
        <f t="shared" si="32"/>
        <v/>
      </c>
    </row>
    <row r="918" spans="1:14">
      <c r="A918" s="1">
        <v>46062.757881944446</v>
      </c>
      <c r="B918">
        <v>277935833</v>
      </c>
      <c r="C918" s="2" t="s">
        <v>1154</v>
      </c>
      <c r="D918" t="s">
        <v>15</v>
      </c>
      <c r="E918" s="4">
        <v>100</v>
      </c>
      <c r="F918" s="2">
        <v>100</v>
      </c>
      <c r="G918" s="2">
        <v>70</v>
      </c>
      <c r="I918" s="2" t="s">
        <v>64</v>
      </c>
      <c r="J918" s="2" t="s">
        <v>65</v>
      </c>
      <c r="K918" t="s">
        <v>18</v>
      </c>
      <c r="L918" t="str">
        <f>T("9791162589724")</f>
        <v>9791162589724</v>
      </c>
      <c r="M918" t="str">
        <f t="shared" si="32"/>
        <v/>
      </c>
      <c r="N918" t="s">
        <v>1155</v>
      </c>
    </row>
    <row r="919" spans="1:14">
      <c r="A919" s="1">
        <v>46062.812569444446</v>
      </c>
      <c r="B919">
        <v>385347749</v>
      </c>
      <c r="C919" s="2" t="s">
        <v>212</v>
      </c>
      <c r="D919" t="s">
        <v>68</v>
      </c>
      <c r="E919" s="4">
        <v>0</v>
      </c>
      <c r="F919" s="2">
        <v>0</v>
      </c>
      <c r="G919" s="2">
        <v>0</v>
      </c>
      <c r="I919" s="2" t="s">
        <v>213</v>
      </c>
      <c r="J919" s="2" t="s">
        <v>161</v>
      </c>
      <c r="K919" t="s">
        <v>18</v>
      </c>
      <c r="L919" t="str">
        <f>T("9791173261763")</f>
        <v>9791173261763</v>
      </c>
      <c r="M919" t="str">
        <f t="shared" si="32"/>
        <v/>
      </c>
      <c r="N919" t="s">
        <v>214</v>
      </c>
    </row>
    <row r="920" spans="1:14">
      <c r="A920" s="1">
        <v>46062.84034722222</v>
      </c>
      <c r="B920">
        <v>379527576</v>
      </c>
      <c r="C920" s="2" t="s">
        <v>150</v>
      </c>
      <c r="D920" t="s">
        <v>15</v>
      </c>
      <c r="E920" s="5">
        <v>1000</v>
      </c>
      <c r="F920" s="3">
        <v>1000</v>
      </c>
      <c r="G920" s="2">
        <v>700</v>
      </c>
      <c r="I920" s="2" t="s">
        <v>148</v>
      </c>
      <c r="J920" s="2" t="s">
        <v>21</v>
      </c>
      <c r="K920" t="s">
        <v>18</v>
      </c>
      <c r="L920" t="str">
        <f>T("9791175580541")</f>
        <v>9791175580541</v>
      </c>
      <c r="M920" t="str">
        <f t="shared" si="32"/>
        <v/>
      </c>
      <c r="N920" t="s">
        <v>151</v>
      </c>
    </row>
    <row r="921" spans="1:14">
      <c r="A921" s="1">
        <v>46062.858912037038</v>
      </c>
      <c r="B921">
        <v>371345723</v>
      </c>
      <c r="C921" s="2" t="s">
        <v>525</v>
      </c>
      <c r="D921" t="s">
        <v>15</v>
      </c>
      <c r="E921" s="5">
        <v>3300</v>
      </c>
      <c r="F921" s="3">
        <v>2970</v>
      </c>
      <c r="G921" s="3">
        <v>2079</v>
      </c>
      <c r="I921" s="2" t="s">
        <v>196</v>
      </c>
      <c r="J921" s="2" t="s">
        <v>197</v>
      </c>
      <c r="K921" t="s">
        <v>18</v>
      </c>
      <c r="L921" t="str">
        <f>T("9791172821692")</f>
        <v>9791172821692</v>
      </c>
      <c r="M921" t="str">
        <f t="shared" si="32"/>
        <v/>
      </c>
      <c r="N921" t="s">
        <v>526</v>
      </c>
    </row>
    <row r="922" spans="1:14">
      <c r="A922" s="1">
        <v>46062.858912037038</v>
      </c>
      <c r="B922">
        <v>385347797</v>
      </c>
      <c r="C922" s="2" t="s">
        <v>195</v>
      </c>
      <c r="D922" t="s">
        <v>15</v>
      </c>
      <c r="E922" s="4">
        <v>700</v>
      </c>
      <c r="F922" s="2">
        <v>630</v>
      </c>
      <c r="G922" s="2">
        <v>441</v>
      </c>
      <c r="I922" s="2" t="s">
        <v>196</v>
      </c>
      <c r="J922" s="2" t="s">
        <v>197</v>
      </c>
      <c r="K922" t="s">
        <v>18</v>
      </c>
      <c r="L922" t="str">
        <f>T("9791172821937")</f>
        <v>9791172821937</v>
      </c>
      <c r="M922" t="str">
        <f t="shared" si="32"/>
        <v/>
      </c>
      <c r="N922" t="s">
        <v>198</v>
      </c>
    </row>
    <row r="923" spans="1:14">
      <c r="A923" s="1">
        <v>46062.876712962963</v>
      </c>
      <c r="B923">
        <v>385347715</v>
      </c>
      <c r="C923" s="2" t="s">
        <v>186</v>
      </c>
      <c r="D923" t="s">
        <v>15</v>
      </c>
      <c r="E923" s="5">
        <v>2000</v>
      </c>
      <c r="F923" s="3">
        <v>1800</v>
      </c>
      <c r="G923" s="3">
        <v>1260</v>
      </c>
      <c r="I923" s="2" t="s">
        <v>187</v>
      </c>
      <c r="J923" s="2" t="s">
        <v>188</v>
      </c>
      <c r="K923" t="s">
        <v>18</v>
      </c>
      <c r="L923" t="str">
        <f>T("9791164835362")</f>
        <v>9791164835362</v>
      </c>
      <c r="M923" t="str">
        <f t="shared" si="32"/>
        <v/>
      </c>
      <c r="N923" t="s">
        <v>189</v>
      </c>
    </row>
    <row r="924" spans="1:14">
      <c r="A924" s="1">
        <v>46062.880543981482</v>
      </c>
      <c r="B924">
        <v>385347773</v>
      </c>
      <c r="C924" s="2" t="s">
        <v>229</v>
      </c>
      <c r="D924" t="s">
        <v>15</v>
      </c>
      <c r="E924" s="4">
        <v>0</v>
      </c>
      <c r="F924" s="2">
        <v>0</v>
      </c>
      <c r="G924" s="2">
        <v>0</v>
      </c>
      <c r="I924" s="2" t="s">
        <v>230</v>
      </c>
      <c r="J924" s="2" t="s">
        <v>161</v>
      </c>
      <c r="K924" t="s">
        <v>18</v>
      </c>
      <c r="L924" t="str">
        <f>T("9791173261091")</f>
        <v>9791173261091</v>
      </c>
      <c r="M924" t="str">
        <f t="shared" si="32"/>
        <v/>
      </c>
      <c r="N924" t="s">
        <v>231</v>
      </c>
    </row>
    <row r="925" spans="1:14">
      <c r="A925" s="1">
        <v>46062.884282407409</v>
      </c>
      <c r="B925">
        <v>370130226</v>
      </c>
      <c r="C925" s="2" t="s">
        <v>1156</v>
      </c>
      <c r="D925" t="s">
        <v>15</v>
      </c>
      <c r="E925" s="4">
        <v>0</v>
      </c>
      <c r="F925" s="2">
        <v>0</v>
      </c>
      <c r="G925" s="2">
        <v>0</v>
      </c>
      <c r="I925" s="2" t="s">
        <v>493</v>
      </c>
      <c r="J925" s="2" t="s">
        <v>65</v>
      </c>
      <c r="K925" t="s">
        <v>18</v>
      </c>
      <c r="L925" t="str">
        <f>T("9791137010697")</f>
        <v>9791137010697</v>
      </c>
      <c r="M925" t="str">
        <f t="shared" si="32"/>
        <v/>
      </c>
      <c r="N925" t="s">
        <v>1157</v>
      </c>
    </row>
    <row r="926" spans="1:14">
      <c r="A926" s="1">
        <v>46062.930590277778</v>
      </c>
      <c r="B926">
        <v>371345723</v>
      </c>
      <c r="C926" s="2" t="s">
        <v>525</v>
      </c>
      <c r="D926" t="s">
        <v>15</v>
      </c>
      <c r="E926" s="5">
        <v>3300</v>
      </c>
      <c r="F926" s="3">
        <v>2970</v>
      </c>
      <c r="G926" s="3">
        <v>2079</v>
      </c>
      <c r="I926" s="2" t="s">
        <v>196</v>
      </c>
      <c r="J926" s="2" t="s">
        <v>197</v>
      </c>
      <c r="K926" t="s">
        <v>18</v>
      </c>
      <c r="L926" t="str">
        <f>T("9791172821692")</f>
        <v>9791172821692</v>
      </c>
      <c r="M926" t="str">
        <f t="shared" si="32"/>
        <v/>
      </c>
      <c r="N926" t="s">
        <v>526</v>
      </c>
    </row>
    <row r="927" spans="1:14">
      <c r="A927" s="1">
        <v>46062.949652777781</v>
      </c>
      <c r="B927">
        <v>346670644</v>
      </c>
      <c r="C927" s="2" t="s">
        <v>967</v>
      </c>
      <c r="D927" t="s">
        <v>15</v>
      </c>
      <c r="E927" s="5">
        <v>1000</v>
      </c>
      <c r="F927" s="3">
        <v>1000</v>
      </c>
      <c r="G927" s="2">
        <v>700</v>
      </c>
      <c r="I927" s="2" t="s">
        <v>89</v>
      </c>
      <c r="J927" s="2" t="s">
        <v>200</v>
      </c>
      <c r="K927" t="s">
        <v>18</v>
      </c>
      <c r="L927" t="str">
        <f>T("9791170897682")</f>
        <v>9791170897682</v>
      </c>
      <c r="M927" t="str">
        <f t="shared" si="32"/>
        <v/>
      </c>
      <c r="N927" t="s">
        <v>968</v>
      </c>
    </row>
    <row r="928" spans="1:14">
      <c r="A928" s="1">
        <v>46062.981342592589</v>
      </c>
      <c r="B928">
        <v>383435421</v>
      </c>
      <c r="C928" s="2" t="s">
        <v>27</v>
      </c>
      <c r="D928" t="s">
        <v>15</v>
      </c>
      <c r="E928" s="5">
        <v>1000</v>
      </c>
      <c r="F928" s="3">
        <v>1000</v>
      </c>
      <c r="G928" s="2">
        <v>700</v>
      </c>
      <c r="I928" s="2" t="s">
        <v>28</v>
      </c>
      <c r="J928" s="2" t="s">
        <v>21</v>
      </c>
      <c r="K928" t="s">
        <v>18</v>
      </c>
      <c r="L928" t="str">
        <f>T("9791175582361")</f>
        <v>9791175582361</v>
      </c>
      <c r="M928" t="str">
        <f t="shared" si="32"/>
        <v/>
      </c>
      <c r="N928" t="s">
        <v>29</v>
      </c>
    </row>
    <row r="929" spans="1:14">
      <c r="A929" s="1">
        <v>46062.988541666666</v>
      </c>
      <c r="B929">
        <v>338236194</v>
      </c>
      <c r="C929" s="2" t="s">
        <v>1158</v>
      </c>
      <c r="D929" t="s">
        <v>15</v>
      </c>
      <c r="E929" s="5">
        <v>1000</v>
      </c>
      <c r="F929" s="3">
        <v>1000</v>
      </c>
      <c r="G929" s="2">
        <v>700</v>
      </c>
      <c r="I929" s="2" t="s">
        <v>584</v>
      </c>
      <c r="J929" s="2" t="s">
        <v>21</v>
      </c>
      <c r="K929" t="s">
        <v>18</v>
      </c>
      <c r="L929" t="str">
        <f>T("9791170896272")</f>
        <v>9791170896272</v>
      </c>
      <c r="M929" t="str">
        <f t="shared" si="32"/>
        <v/>
      </c>
      <c r="N929" t="s">
        <v>1159</v>
      </c>
    </row>
    <row r="930" spans="1:14">
      <c r="A930" s="1">
        <v>46062.988749999997</v>
      </c>
      <c r="B930">
        <v>384598651</v>
      </c>
      <c r="C930" s="2" t="s">
        <v>696</v>
      </c>
      <c r="D930" t="s">
        <v>15</v>
      </c>
      <c r="E930" s="5">
        <v>1000</v>
      </c>
      <c r="F930" s="3">
        <v>1000</v>
      </c>
      <c r="G930" s="2">
        <v>700</v>
      </c>
      <c r="I930" s="2" t="s">
        <v>28</v>
      </c>
      <c r="J930" s="2" t="s">
        <v>21</v>
      </c>
      <c r="K930" t="s">
        <v>18</v>
      </c>
      <c r="L930" t="str">
        <f>T("9791175582422")</f>
        <v>9791175582422</v>
      </c>
      <c r="M930" t="str">
        <f t="shared" si="32"/>
        <v/>
      </c>
      <c r="N930" t="s">
        <v>697</v>
      </c>
    </row>
    <row r="931" spans="1:14">
      <c r="A931" s="1">
        <v>46063.009826388887</v>
      </c>
      <c r="B931">
        <v>297670604</v>
      </c>
      <c r="C931" s="2" t="s">
        <v>1160</v>
      </c>
      <c r="D931" t="s">
        <v>15</v>
      </c>
      <c r="E931" s="5">
        <v>4500</v>
      </c>
      <c r="F931" s="3">
        <v>4500</v>
      </c>
      <c r="G931" s="3">
        <v>3150</v>
      </c>
      <c r="I931" s="2" t="s">
        <v>266</v>
      </c>
      <c r="J931" s="2" t="s">
        <v>126</v>
      </c>
      <c r="K931" t="s">
        <v>18</v>
      </c>
      <c r="L931" t="str">
        <f>T("9791164977185")</f>
        <v>9791164977185</v>
      </c>
      <c r="M931" t="str">
        <f t="shared" si="32"/>
        <v/>
      </c>
      <c r="N931" t="s">
        <v>1161</v>
      </c>
    </row>
    <row r="932" spans="1:14">
      <c r="A932" s="1">
        <v>46063.064027777778</v>
      </c>
      <c r="B932">
        <v>354902965</v>
      </c>
      <c r="C932" s="2" t="s">
        <v>1162</v>
      </c>
      <c r="D932" t="s">
        <v>15</v>
      </c>
      <c r="E932" s="5">
        <v>1000</v>
      </c>
      <c r="F932" s="3">
        <v>1000</v>
      </c>
      <c r="G932" s="2">
        <v>700</v>
      </c>
      <c r="I932" s="2" t="s">
        <v>1163</v>
      </c>
      <c r="J932" s="2" t="s">
        <v>21</v>
      </c>
      <c r="K932" t="s">
        <v>18</v>
      </c>
      <c r="L932" t="str">
        <f>T("9791173011597")</f>
        <v>9791173011597</v>
      </c>
      <c r="M932" t="str">
        <f t="shared" si="32"/>
        <v/>
      </c>
      <c r="N932" t="s">
        <v>1164</v>
      </c>
    </row>
    <row r="933" spans="1:14">
      <c r="A933" s="1">
        <v>46063.064027777778</v>
      </c>
      <c r="B933">
        <v>354903115</v>
      </c>
      <c r="C933" s="2" t="s">
        <v>1165</v>
      </c>
      <c r="D933" t="s">
        <v>15</v>
      </c>
      <c r="E933" s="5">
        <v>1000</v>
      </c>
      <c r="F933" s="3">
        <v>1000</v>
      </c>
      <c r="G933" s="2">
        <v>700</v>
      </c>
      <c r="I933" s="2" t="s">
        <v>1163</v>
      </c>
      <c r="J933" s="2" t="s">
        <v>21</v>
      </c>
      <c r="K933" t="s">
        <v>18</v>
      </c>
      <c r="L933" t="str">
        <f>T("9791173011573")</f>
        <v>9791173011573</v>
      </c>
      <c r="M933" t="str">
        <f t="shared" ref="M933:M996" si="33">T("")</f>
        <v/>
      </c>
      <c r="N933" t="s">
        <v>1166</v>
      </c>
    </row>
    <row r="934" spans="1:14">
      <c r="A934" s="1">
        <v>46063.085231481484</v>
      </c>
      <c r="B934">
        <v>333593014</v>
      </c>
      <c r="C934" s="2" t="s">
        <v>830</v>
      </c>
      <c r="D934" t="s">
        <v>15</v>
      </c>
      <c r="E934" s="5">
        <v>3300</v>
      </c>
      <c r="F934" s="3">
        <v>3300</v>
      </c>
      <c r="G934" s="3">
        <v>2310</v>
      </c>
      <c r="I934" s="2" t="s">
        <v>191</v>
      </c>
      <c r="J934" s="2" t="s">
        <v>188</v>
      </c>
      <c r="K934" t="s">
        <v>18</v>
      </c>
      <c r="L934" t="str">
        <f>T("9791164834150")</f>
        <v>9791164834150</v>
      </c>
      <c r="M934" t="str">
        <f t="shared" si="33"/>
        <v/>
      </c>
      <c r="N934" t="s">
        <v>831</v>
      </c>
    </row>
    <row r="935" spans="1:14">
      <c r="A935" s="1">
        <v>46063.089641203704</v>
      </c>
      <c r="B935">
        <v>384598651</v>
      </c>
      <c r="C935" s="2" t="s">
        <v>696</v>
      </c>
      <c r="D935" t="s">
        <v>15</v>
      </c>
      <c r="E935" s="5">
        <v>1000</v>
      </c>
      <c r="F935" s="3">
        <v>1000</v>
      </c>
      <c r="G935" s="2">
        <v>700</v>
      </c>
      <c r="I935" s="2" t="s">
        <v>28</v>
      </c>
      <c r="J935" s="2" t="s">
        <v>21</v>
      </c>
      <c r="K935" t="s">
        <v>18</v>
      </c>
      <c r="L935" t="str">
        <f>T("9791175582422")</f>
        <v>9791175582422</v>
      </c>
      <c r="M935" t="str">
        <f t="shared" si="33"/>
        <v/>
      </c>
      <c r="N935" t="s">
        <v>697</v>
      </c>
    </row>
    <row r="936" spans="1:14">
      <c r="A936" s="1">
        <v>46063.169224537036</v>
      </c>
      <c r="B936">
        <v>385347773</v>
      </c>
      <c r="C936" s="2" t="s">
        <v>229</v>
      </c>
      <c r="D936" t="s">
        <v>15</v>
      </c>
      <c r="E936" s="4">
        <v>0</v>
      </c>
      <c r="F936" s="2">
        <v>0</v>
      </c>
      <c r="G936" s="2">
        <v>0</v>
      </c>
      <c r="I936" s="2" t="s">
        <v>230</v>
      </c>
      <c r="J936" s="2" t="s">
        <v>161</v>
      </c>
      <c r="K936" t="s">
        <v>18</v>
      </c>
      <c r="L936" t="str">
        <f>T("9791173261091")</f>
        <v>9791173261091</v>
      </c>
      <c r="M936" t="str">
        <f t="shared" si="33"/>
        <v/>
      </c>
      <c r="N936" t="s">
        <v>231</v>
      </c>
    </row>
    <row r="937" spans="1:14">
      <c r="A937" s="1">
        <v>46063.169224537036</v>
      </c>
      <c r="B937">
        <v>385347775</v>
      </c>
      <c r="C937" s="2" t="s">
        <v>405</v>
      </c>
      <c r="D937" t="s">
        <v>15</v>
      </c>
      <c r="E937" s="5">
        <v>3200</v>
      </c>
      <c r="F937" s="3">
        <v>3200</v>
      </c>
      <c r="G937" s="3">
        <v>2240</v>
      </c>
      <c r="I937" s="2" t="s">
        <v>230</v>
      </c>
      <c r="J937" s="2" t="s">
        <v>161</v>
      </c>
      <c r="K937" t="s">
        <v>18</v>
      </c>
      <c r="L937" t="str">
        <f>T("9791173261145")</f>
        <v>9791173261145</v>
      </c>
      <c r="M937" t="str">
        <f t="shared" si="33"/>
        <v/>
      </c>
      <c r="N937" t="s">
        <v>406</v>
      </c>
    </row>
    <row r="938" spans="1:14">
      <c r="A938" s="1">
        <v>46063.169224537036</v>
      </c>
      <c r="B938">
        <v>385347778</v>
      </c>
      <c r="C938" s="2" t="s">
        <v>407</v>
      </c>
      <c r="D938" t="s">
        <v>15</v>
      </c>
      <c r="E938" s="5">
        <v>3200</v>
      </c>
      <c r="F938" s="3">
        <v>3200</v>
      </c>
      <c r="G938" s="3">
        <v>2240</v>
      </c>
      <c r="I938" s="2" t="s">
        <v>230</v>
      </c>
      <c r="J938" s="2" t="s">
        <v>161</v>
      </c>
      <c r="K938" t="s">
        <v>18</v>
      </c>
      <c r="L938" t="str">
        <f>T("9791173261190")</f>
        <v>9791173261190</v>
      </c>
      <c r="M938" t="str">
        <f t="shared" si="33"/>
        <v/>
      </c>
      <c r="N938" t="s">
        <v>408</v>
      </c>
    </row>
    <row r="939" spans="1:14">
      <c r="A939" s="1">
        <v>46063.169224537036</v>
      </c>
      <c r="B939">
        <v>385347733</v>
      </c>
      <c r="C939" s="2" t="s">
        <v>411</v>
      </c>
      <c r="D939" t="s">
        <v>15</v>
      </c>
      <c r="E939" s="5">
        <v>3200</v>
      </c>
      <c r="F939" s="3">
        <v>3200</v>
      </c>
      <c r="G939" s="3">
        <v>2240</v>
      </c>
      <c r="I939" s="2" t="s">
        <v>230</v>
      </c>
      <c r="J939" s="2" t="s">
        <v>161</v>
      </c>
      <c r="K939" t="s">
        <v>18</v>
      </c>
      <c r="L939" t="str">
        <f>T("9791173261176")</f>
        <v>9791173261176</v>
      </c>
      <c r="M939" t="str">
        <f t="shared" si="33"/>
        <v/>
      </c>
      <c r="N939" t="s">
        <v>412</v>
      </c>
    </row>
    <row r="940" spans="1:14">
      <c r="A940" s="1">
        <v>46063.169224537036</v>
      </c>
      <c r="B940">
        <v>385347729</v>
      </c>
      <c r="C940" s="2" t="s">
        <v>409</v>
      </c>
      <c r="D940" t="s">
        <v>15</v>
      </c>
      <c r="E940" s="5">
        <v>3200</v>
      </c>
      <c r="F940" s="3">
        <v>3200</v>
      </c>
      <c r="G940" s="3">
        <v>2240</v>
      </c>
      <c r="I940" s="2" t="s">
        <v>230</v>
      </c>
      <c r="J940" s="2" t="s">
        <v>161</v>
      </c>
      <c r="K940" t="s">
        <v>18</v>
      </c>
      <c r="L940" t="str">
        <f>T("9791173261121")</f>
        <v>9791173261121</v>
      </c>
      <c r="M940" t="str">
        <f t="shared" si="33"/>
        <v/>
      </c>
      <c r="N940" t="s">
        <v>410</v>
      </c>
    </row>
    <row r="941" spans="1:14">
      <c r="A941" s="1">
        <v>46063.169224537036</v>
      </c>
      <c r="B941">
        <v>385347817</v>
      </c>
      <c r="C941" s="2" t="s">
        <v>401</v>
      </c>
      <c r="D941" t="s">
        <v>15</v>
      </c>
      <c r="E941" s="5">
        <v>3200</v>
      </c>
      <c r="F941" s="3">
        <v>3200</v>
      </c>
      <c r="G941" s="3">
        <v>2240</v>
      </c>
      <c r="I941" s="2" t="s">
        <v>230</v>
      </c>
      <c r="J941" s="2" t="s">
        <v>161</v>
      </c>
      <c r="K941" t="s">
        <v>18</v>
      </c>
      <c r="L941" t="str">
        <f>T("9791173261169")</f>
        <v>9791173261169</v>
      </c>
      <c r="M941" t="str">
        <f t="shared" si="33"/>
        <v/>
      </c>
      <c r="N941" t="s">
        <v>402</v>
      </c>
    </row>
    <row r="942" spans="1:14">
      <c r="A942" s="1">
        <v>46063.169224537036</v>
      </c>
      <c r="B942">
        <v>385347908</v>
      </c>
      <c r="C942" s="2" t="s">
        <v>393</v>
      </c>
      <c r="D942" t="s">
        <v>15</v>
      </c>
      <c r="E942" s="5">
        <v>3200</v>
      </c>
      <c r="F942" s="3">
        <v>3200</v>
      </c>
      <c r="G942" s="3">
        <v>2240</v>
      </c>
      <c r="I942" s="2" t="s">
        <v>230</v>
      </c>
      <c r="J942" s="2" t="s">
        <v>161</v>
      </c>
      <c r="K942" t="s">
        <v>18</v>
      </c>
      <c r="L942" t="str">
        <f>T("9791173261107")</f>
        <v>9791173261107</v>
      </c>
      <c r="M942" t="str">
        <f t="shared" si="33"/>
        <v/>
      </c>
      <c r="N942" t="s">
        <v>394</v>
      </c>
    </row>
    <row r="943" spans="1:14">
      <c r="A943" s="1">
        <v>46063.169224537036</v>
      </c>
      <c r="B943">
        <v>385347812</v>
      </c>
      <c r="C943" s="2" t="s">
        <v>403</v>
      </c>
      <c r="D943" t="s">
        <v>15</v>
      </c>
      <c r="E943" s="5">
        <v>3200</v>
      </c>
      <c r="F943" s="3">
        <v>3200</v>
      </c>
      <c r="G943" s="3">
        <v>2240</v>
      </c>
      <c r="I943" s="2" t="s">
        <v>230</v>
      </c>
      <c r="J943" s="2" t="s">
        <v>161</v>
      </c>
      <c r="K943" t="s">
        <v>18</v>
      </c>
      <c r="L943" t="str">
        <f>T("9791173261114")</f>
        <v>9791173261114</v>
      </c>
      <c r="M943" t="str">
        <f t="shared" si="33"/>
        <v/>
      </c>
      <c r="N943" t="s">
        <v>404</v>
      </c>
    </row>
    <row r="944" spans="1:14">
      <c r="A944" s="1">
        <v>46063.169224537036</v>
      </c>
      <c r="B944">
        <v>385347958</v>
      </c>
      <c r="C944" s="2" t="s">
        <v>397</v>
      </c>
      <c r="D944" t="s">
        <v>15</v>
      </c>
      <c r="E944" s="5">
        <v>3200</v>
      </c>
      <c r="F944" s="3">
        <v>3200</v>
      </c>
      <c r="G944" s="3">
        <v>2240</v>
      </c>
      <c r="I944" s="2" t="s">
        <v>230</v>
      </c>
      <c r="J944" s="2" t="s">
        <v>161</v>
      </c>
      <c r="K944" t="s">
        <v>18</v>
      </c>
      <c r="L944" t="str">
        <f>T("9791173261183")</f>
        <v>9791173261183</v>
      </c>
      <c r="M944" t="str">
        <f t="shared" si="33"/>
        <v/>
      </c>
      <c r="N944" t="s">
        <v>398</v>
      </c>
    </row>
    <row r="945" spans="1:14">
      <c r="A945" s="1">
        <v>46063.169224537036</v>
      </c>
      <c r="B945">
        <v>385347952</v>
      </c>
      <c r="C945" s="2" t="s">
        <v>399</v>
      </c>
      <c r="D945" t="s">
        <v>15</v>
      </c>
      <c r="E945" s="5">
        <v>3200</v>
      </c>
      <c r="F945" s="3">
        <v>3200</v>
      </c>
      <c r="G945" s="3">
        <v>2240</v>
      </c>
      <c r="I945" s="2" t="s">
        <v>230</v>
      </c>
      <c r="J945" s="2" t="s">
        <v>161</v>
      </c>
      <c r="K945" t="s">
        <v>18</v>
      </c>
      <c r="L945" t="str">
        <f>T("9791173261138")</f>
        <v>9791173261138</v>
      </c>
      <c r="M945" t="str">
        <f t="shared" si="33"/>
        <v/>
      </c>
      <c r="N945" t="s">
        <v>400</v>
      </c>
    </row>
    <row r="946" spans="1:14">
      <c r="A946" s="1">
        <v>46063.169224537036</v>
      </c>
      <c r="B946">
        <v>385347915</v>
      </c>
      <c r="C946" s="2" t="s">
        <v>395</v>
      </c>
      <c r="D946" t="s">
        <v>15</v>
      </c>
      <c r="E946" s="5">
        <v>3200</v>
      </c>
      <c r="F946" s="3">
        <v>3200</v>
      </c>
      <c r="G946" s="3">
        <v>2240</v>
      </c>
      <c r="I946" s="2" t="s">
        <v>230</v>
      </c>
      <c r="J946" s="2" t="s">
        <v>161</v>
      </c>
      <c r="K946" t="s">
        <v>18</v>
      </c>
      <c r="L946" t="str">
        <f>T("9791173261152")</f>
        <v>9791173261152</v>
      </c>
      <c r="M946" t="str">
        <f t="shared" si="33"/>
        <v/>
      </c>
      <c r="N946" t="s">
        <v>396</v>
      </c>
    </row>
    <row r="947" spans="1:14">
      <c r="A947" s="1">
        <v>46063.371851851851</v>
      </c>
      <c r="B947">
        <v>385782810</v>
      </c>
      <c r="C947" s="2" t="s">
        <v>1167</v>
      </c>
      <c r="D947" t="s">
        <v>15</v>
      </c>
      <c r="E947" s="5">
        <v>2000</v>
      </c>
      <c r="F947" s="3">
        <v>1800</v>
      </c>
      <c r="G947" s="3">
        <v>1260</v>
      </c>
      <c r="I947" s="2" t="s">
        <v>1141</v>
      </c>
      <c r="J947" s="2" t="s">
        <v>184</v>
      </c>
      <c r="K947" t="s">
        <v>18</v>
      </c>
      <c r="L947" t="str">
        <f>T("9791170965671")</f>
        <v>9791170965671</v>
      </c>
      <c r="M947" t="str">
        <f t="shared" si="33"/>
        <v/>
      </c>
      <c r="N947" t="s">
        <v>1168</v>
      </c>
    </row>
    <row r="948" spans="1:14">
      <c r="A948" s="1">
        <v>46063.515011574076</v>
      </c>
      <c r="B948">
        <v>377261196</v>
      </c>
      <c r="C948" s="2" t="s">
        <v>1169</v>
      </c>
      <c r="D948" t="s">
        <v>15</v>
      </c>
      <c r="E948" s="5">
        <v>18600</v>
      </c>
      <c r="F948" s="3">
        <v>18600</v>
      </c>
      <c r="G948" s="3">
        <v>13020</v>
      </c>
      <c r="I948" s="2" t="s">
        <v>1170</v>
      </c>
      <c r="J948" s="2" t="s">
        <v>17</v>
      </c>
      <c r="K948" t="s">
        <v>18</v>
      </c>
      <c r="L948" t="str">
        <f>T("9791189360788")</f>
        <v>9791189360788</v>
      </c>
      <c r="M948" t="str">
        <f t="shared" si="33"/>
        <v/>
      </c>
    </row>
    <row r="949" spans="1:14">
      <c r="A949" s="1">
        <v>46063.534282407411</v>
      </c>
      <c r="B949">
        <v>385347908</v>
      </c>
      <c r="C949" s="2" t="s">
        <v>393</v>
      </c>
      <c r="D949" t="s">
        <v>68</v>
      </c>
      <c r="E949" s="4">
        <v>900</v>
      </c>
      <c r="F949" s="2">
        <v>900</v>
      </c>
      <c r="G949" s="2">
        <v>630</v>
      </c>
      <c r="I949" s="2" t="s">
        <v>230</v>
      </c>
      <c r="J949" s="2" t="s">
        <v>161</v>
      </c>
      <c r="K949" t="s">
        <v>18</v>
      </c>
      <c r="L949" t="str">
        <f>T("9791173261107")</f>
        <v>9791173261107</v>
      </c>
      <c r="M949" t="str">
        <f t="shared" si="33"/>
        <v/>
      </c>
      <c r="N949" t="s">
        <v>394</v>
      </c>
    </row>
    <row r="950" spans="1:14">
      <c r="A950" s="1">
        <v>46063.535196759258</v>
      </c>
      <c r="B950">
        <v>385347797</v>
      </c>
      <c r="C950" s="2" t="s">
        <v>195</v>
      </c>
      <c r="D950" t="s">
        <v>15</v>
      </c>
      <c r="E950" s="4">
        <v>700</v>
      </c>
      <c r="F950" s="2">
        <v>630</v>
      </c>
      <c r="G950" s="2">
        <v>441</v>
      </c>
      <c r="I950" s="2" t="s">
        <v>196</v>
      </c>
      <c r="J950" s="2" t="s">
        <v>197</v>
      </c>
      <c r="K950" t="s">
        <v>18</v>
      </c>
      <c r="L950" t="str">
        <f>T("9791172821937")</f>
        <v>9791172821937</v>
      </c>
      <c r="M950" t="str">
        <f t="shared" si="33"/>
        <v/>
      </c>
      <c r="N950" t="s">
        <v>198</v>
      </c>
    </row>
    <row r="951" spans="1:14">
      <c r="A951" s="1">
        <v>46063.551145833335</v>
      </c>
      <c r="B951">
        <v>385347797</v>
      </c>
      <c r="C951" s="2" t="s">
        <v>195</v>
      </c>
      <c r="D951" t="s">
        <v>15</v>
      </c>
      <c r="E951" s="4">
        <v>700</v>
      </c>
      <c r="F951" s="2">
        <v>630</v>
      </c>
      <c r="G951" s="2">
        <v>441</v>
      </c>
      <c r="I951" s="2" t="s">
        <v>196</v>
      </c>
      <c r="J951" s="2" t="s">
        <v>197</v>
      </c>
      <c r="K951" t="s">
        <v>18</v>
      </c>
      <c r="L951" t="str">
        <f>T("9791172821937")</f>
        <v>9791172821937</v>
      </c>
      <c r="M951" t="str">
        <f t="shared" si="33"/>
        <v/>
      </c>
      <c r="N951" t="s">
        <v>198</v>
      </c>
    </row>
    <row r="952" spans="1:14">
      <c r="A952" s="1">
        <v>46063.575636574074</v>
      </c>
      <c r="B952">
        <v>370130273</v>
      </c>
      <c r="C952" s="2" t="s">
        <v>1171</v>
      </c>
      <c r="D952" t="s">
        <v>68</v>
      </c>
      <c r="E952" s="4">
        <v>700</v>
      </c>
      <c r="F952" s="2">
        <v>700</v>
      </c>
      <c r="G952" s="2">
        <v>490</v>
      </c>
      <c r="I952" s="2" t="s">
        <v>244</v>
      </c>
      <c r="J952" s="2" t="s">
        <v>245</v>
      </c>
      <c r="K952" t="s">
        <v>18</v>
      </c>
      <c r="L952" t="str">
        <f>T("9791164489107")</f>
        <v>9791164489107</v>
      </c>
      <c r="M952" t="str">
        <f t="shared" si="33"/>
        <v/>
      </c>
      <c r="N952" t="s">
        <v>1172</v>
      </c>
    </row>
    <row r="953" spans="1:14">
      <c r="A953" s="1">
        <v>46063.585300925923</v>
      </c>
      <c r="B953">
        <v>234101418</v>
      </c>
      <c r="C953" s="2" t="s">
        <v>932</v>
      </c>
      <c r="D953" t="s">
        <v>15</v>
      </c>
      <c r="E953" s="4">
        <v>0</v>
      </c>
      <c r="F953" s="2">
        <v>0</v>
      </c>
      <c r="G953" s="2">
        <v>0</v>
      </c>
      <c r="I953" s="2" t="s">
        <v>933</v>
      </c>
      <c r="J953" s="2" t="s">
        <v>245</v>
      </c>
      <c r="K953" t="s">
        <v>18</v>
      </c>
      <c r="L953" t="str">
        <f>T("9791164485277")</f>
        <v>9791164485277</v>
      </c>
      <c r="M953" t="str">
        <f t="shared" si="33"/>
        <v/>
      </c>
    </row>
    <row r="954" spans="1:14">
      <c r="A954" s="1">
        <v>46071.829305555555</v>
      </c>
      <c r="B954">
        <v>385348455</v>
      </c>
      <c r="C954" s="2" t="s">
        <v>255</v>
      </c>
      <c r="D954" t="s">
        <v>68</v>
      </c>
      <c r="E954" s="5">
        <v>-12600</v>
      </c>
      <c r="F954" s="3">
        <v>-12600</v>
      </c>
      <c r="G954" s="3">
        <v>-8820</v>
      </c>
      <c r="H954" s="1">
        <v>46063.636412037034</v>
      </c>
      <c r="I954" s="2" t="s">
        <v>187</v>
      </c>
      <c r="J954" s="2" t="s">
        <v>188</v>
      </c>
      <c r="K954" t="s">
        <v>18</v>
      </c>
      <c r="L954" t="str">
        <f>T("9791164835379")</f>
        <v>9791164835379</v>
      </c>
      <c r="M954" t="str">
        <f t="shared" si="33"/>
        <v/>
      </c>
    </row>
    <row r="955" spans="1:14">
      <c r="A955" s="1">
        <v>46063.636412037034</v>
      </c>
      <c r="B955">
        <v>385348455</v>
      </c>
      <c r="C955" s="2" t="s">
        <v>255</v>
      </c>
      <c r="D955" t="s">
        <v>68</v>
      </c>
      <c r="E955" s="5">
        <v>12600</v>
      </c>
      <c r="F955" s="3">
        <v>12600</v>
      </c>
      <c r="G955" s="3">
        <v>8820</v>
      </c>
      <c r="I955" s="2" t="s">
        <v>187</v>
      </c>
      <c r="J955" s="2" t="s">
        <v>188</v>
      </c>
      <c r="K955" t="s">
        <v>18</v>
      </c>
      <c r="L955" t="str">
        <f>T("9791164835379")</f>
        <v>9791164835379</v>
      </c>
      <c r="M955" t="str">
        <f t="shared" si="33"/>
        <v/>
      </c>
    </row>
    <row r="956" spans="1:14">
      <c r="A956" s="1">
        <v>46063.651585648149</v>
      </c>
      <c r="B956">
        <v>367000711</v>
      </c>
      <c r="C956" s="2" t="s">
        <v>811</v>
      </c>
      <c r="D956" t="s">
        <v>15</v>
      </c>
      <c r="E956" s="5">
        <v>1000</v>
      </c>
      <c r="F956" s="3">
        <v>1000</v>
      </c>
      <c r="G956" s="2">
        <v>700</v>
      </c>
      <c r="I956" s="2" t="s">
        <v>41</v>
      </c>
      <c r="J956" s="2" t="s">
        <v>21</v>
      </c>
      <c r="K956" t="s">
        <v>18</v>
      </c>
      <c r="L956" t="str">
        <f>T("9791173016073")</f>
        <v>9791173016073</v>
      </c>
      <c r="M956" t="str">
        <f t="shared" si="33"/>
        <v/>
      </c>
      <c r="N956" t="s">
        <v>812</v>
      </c>
    </row>
    <row r="957" spans="1:14">
      <c r="A957" s="1">
        <v>46063.661099537036</v>
      </c>
      <c r="B957">
        <v>385347812</v>
      </c>
      <c r="C957" s="2" t="s">
        <v>403</v>
      </c>
      <c r="D957" t="s">
        <v>68</v>
      </c>
      <c r="E957" s="4">
        <v>900</v>
      </c>
      <c r="F957" s="2">
        <v>900</v>
      </c>
      <c r="G957" s="2">
        <v>630</v>
      </c>
      <c r="I957" s="2" t="s">
        <v>230</v>
      </c>
      <c r="J957" s="2" t="s">
        <v>161</v>
      </c>
      <c r="K957" t="s">
        <v>18</v>
      </c>
      <c r="L957" t="str">
        <f>T("9791173261114")</f>
        <v>9791173261114</v>
      </c>
      <c r="M957" t="str">
        <f t="shared" si="33"/>
        <v/>
      </c>
      <c r="N957" t="s">
        <v>404</v>
      </c>
    </row>
    <row r="958" spans="1:14">
      <c r="A958" s="1">
        <v>46063.664085648146</v>
      </c>
      <c r="B958">
        <v>368640530</v>
      </c>
      <c r="C958" s="2" t="s">
        <v>480</v>
      </c>
      <c r="D958" t="s">
        <v>15</v>
      </c>
      <c r="E958" s="5">
        <v>12950</v>
      </c>
      <c r="F958" s="3">
        <v>12950</v>
      </c>
      <c r="G958" s="3">
        <v>9065</v>
      </c>
      <c r="I958" s="2" t="s">
        <v>481</v>
      </c>
      <c r="J958" s="2" t="s">
        <v>184</v>
      </c>
      <c r="K958" t="s">
        <v>18</v>
      </c>
      <c r="L958" t="str">
        <f>T("9791170964636")</f>
        <v>9791170964636</v>
      </c>
      <c r="M958" t="str">
        <f t="shared" si="33"/>
        <v/>
      </c>
      <c r="N958" t="s">
        <v>482</v>
      </c>
    </row>
    <row r="959" spans="1:14">
      <c r="A959" s="1">
        <v>46063.66578703704</v>
      </c>
      <c r="B959">
        <v>369727891</v>
      </c>
      <c r="C959" s="2" t="s">
        <v>1173</v>
      </c>
      <c r="D959" t="s">
        <v>15</v>
      </c>
      <c r="E959" s="5">
        <v>1000</v>
      </c>
      <c r="F959" s="3">
        <v>1000</v>
      </c>
      <c r="G959" s="2">
        <v>700</v>
      </c>
      <c r="I959" s="2" t="s">
        <v>487</v>
      </c>
      <c r="J959" s="2" t="s">
        <v>21</v>
      </c>
      <c r="K959" t="s">
        <v>18</v>
      </c>
      <c r="L959" t="str">
        <f>T("9791173016325")</f>
        <v>9791173016325</v>
      </c>
      <c r="M959" t="str">
        <f t="shared" si="33"/>
        <v/>
      </c>
      <c r="N959" t="s">
        <v>1174</v>
      </c>
    </row>
    <row r="960" spans="1:14">
      <c r="A960" s="1">
        <v>46063.66578703704</v>
      </c>
      <c r="B960">
        <v>354969219</v>
      </c>
      <c r="C960" s="2" t="s">
        <v>1175</v>
      </c>
      <c r="D960" t="s">
        <v>15</v>
      </c>
      <c r="E960" s="5">
        <v>1000</v>
      </c>
      <c r="F960" s="3">
        <v>1000</v>
      </c>
      <c r="G960" s="2">
        <v>700</v>
      </c>
      <c r="I960" s="2" t="s">
        <v>1176</v>
      </c>
      <c r="J960" s="2" t="s">
        <v>55</v>
      </c>
      <c r="K960" t="s">
        <v>18</v>
      </c>
      <c r="L960" t="str">
        <f>T("9791173010897")</f>
        <v>9791173010897</v>
      </c>
      <c r="M960" t="str">
        <f t="shared" si="33"/>
        <v/>
      </c>
      <c r="N960" t="s">
        <v>1177</v>
      </c>
    </row>
    <row r="961" spans="1:14">
      <c r="A961" s="1">
        <v>46063.66578703704</v>
      </c>
      <c r="B961">
        <v>338596596</v>
      </c>
      <c r="C961" s="2" t="s">
        <v>1178</v>
      </c>
      <c r="D961" t="s">
        <v>15</v>
      </c>
      <c r="E961" s="5">
        <v>1000</v>
      </c>
      <c r="F961" s="3">
        <v>1000</v>
      </c>
      <c r="G961" s="2">
        <v>700</v>
      </c>
      <c r="I961" s="2" t="s">
        <v>1176</v>
      </c>
      <c r="J961" s="2" t="s">
        <v>21</v>
      </c>
      <c r="K961" t="s">
        <v>18</v>
      </c>
      <c r="L961" t="str">
        <f>T("9791170896517")</f>
        <v>9791170896517</v>
      </c>
      <c r="M961" t="str">
        <f t="shared" si="33"/>
        <v/>
      </c>
      <c r="N961" t="s">
        <v>1179</v>
      </c>
    </row>
    <row r="962" spans="1:14">
      <c r="A962" s="1">
        <v>46063.66578703704</v>
      </c>
      <c r="B962">
        <v>313309816</v>
      </c>
      <c r="C962" s="2" t="s">
        <v>1180</v>
      </c>
      <c r="D962" t="s">
        <v>15</v>
      </c>
      <c r="E962" s="5">
        <v>1000</v>
      </c>
      <c r="F962" s="3">
        <v>1000</v>
      </c>
      <c r="G962" s="2">
        <v>700</v>
      </c>
      <c r="I962" s="2" t="s">
        <v>1181</v>
      </c>
      <c r="J962" s="2" t="s">
        <v>21</v>
      </c>
      <c r="K962" t="s">
        <v>18</v>
      </c>
      <c r="L962" t="str">
        <f>T("9791167837493")</f>
        <v>9791167837493</v>
      </c>
      <c r="M962" t="str">
        <f t="shared" si="33"/>
        <v/>
      </c>
      <c r="N962" t="s">
        <v>1182</v>
      </c>
    </row>
    <row r="963" spans="1:14">
      <c r="A963" s="1">
        <v>46063.66578703704</v>
      </c>
      <c r="B963">
        <v>312914597</v>
      </c>
      <c r="C963" s="2" t="s">
        <v>362</v>
      </c>
      <c r="D963" t="s">
        <v>15</v>
      </c>
      <c r="E963" s="5">
        <v>1000</v>
      </c>
      <c r="F963" s="3">
        <v>1000</v>
      </c>
      <c r="G963" s="2">
        <v>700</v>
      </c>
      <c r="I963" s="2" t="s">
        <v>31</v>
      </c>
      <c r="J963" s="2" t="s">
        <v>21</v>
      </c>
      <c r="K963" t="s">
        <v>18</v>
      </c>
      <c r="L963" t="str">
        <f>T("9791167837394")</f>
        <v>9791167837394</v>
      </c>
      <c r="M963" t="str">
        <f t="shared" si="33"/>
        <v/>
      </c>
      <c r="N963" t="s">
        <v>363</v>
      </c>
    </row>
    <row r="964" spans="1:14">
      <c r="A964" s="1">
        <v>46063.66578703704</v>
      </c>
      <c r="B964">
        <v>297949787</v>
      </c>
      <c r="C964" s="2" t="s">
        <v>1183</v>
      </c>
      <c r="D964" t="s">
        <v>15</v>
      </c>
      <c r="E964" s="5">
        <v>1000</v>
      </c>
      <c r="F964" s="3">
        <v>1000</v>
      </c>
      <c r="G964" s="2">
        <v>700</v>
      </c>
      <c r="I964" s="2" t="s">
        <v>1184</v>
      </c>
      <c r="J964" s="2" t="s">
        <v>21</v>
      </c>
      <c r="K964" t="s">
        <v>18</v>
      </c>
      <c r="L964" t="str">
        <f>T("9791167833570")</f>
        <v>9791167833570</v>
      </c>
      <c r="M964" t="str">
        <f t="shared" si="33"/>
        <v/>
      </c>
    </row>
    <row r="965" spans="1:14">
      <c r="A965" s="1">
        <v>46063.66578703704</v>
      </c>
      <c r="B965">
        <v>308166702</v>
      </c>
      <c r="C965" s="2" t="s">
        <v>1185</v>
      </c>
      <c r="D965" t="s">
        <v>15</v>
      </c>
      <c r="E965" s="5">
        <v>1200</v>
      </c>
      <c r="F965" s="3">
        <v>1200</v>
      </c>
      <c r="G965" s="2">
        <v>840</v>
      </c>
      <c r="I965" s="2" t="s">
        <v>1186</v>
      </c>
      <c r="J965" s="2" t="s">
        <v>1187</v>
      </c>
      <c r="K965" t="s">
        <v>18</v>
      </c>
      <c r="L965" t="str">
        <f>T("9791167835055")</f>
        <v>9791167835055</v>
      </c>
      <c r="M965" t="str">
        <f t="shared" si="33"/>
        <v/>
      </c>
      <c r="N965" t="s">
        <v>1188</v>
      </c>
    </row>
    <row r="966" spans="1:14">
      <c r="A966" s="1">
        <v>46063.66578703704</v>
      </c>
      <c r="B966">
        <v>312914589</v>
      </c>
      <c r="C966" s="2" t="s">
        <v>360</v>
      </c>
      <c r="D966" t="s">
        <v>15</v>
      </c>
      <c r="E966" s="5">
        <v>1000</v>
      </c>
      <c r="F966" s="3">
        <v>1000</v>
      </c>
      <c r="G966" s="2">
        <v>700</v>
      </c>
      <c r="I966" s="2" t="s">
        <v>31</v>
      </c>
      <c r="J966" s="2" t="s">
        <v>21</v>
      </c>
      <c r="K966" t="s">
        <v>18</v>
      </c>
      <c r="L966" t="str">
        <f>T("9791167837387")</f>
        <v>9791167837387</v>
      </c>
      <c r="M966" t="str">
        <f t="shared" si="33"/>
        <v/>
      </c>
      <c r="N966" t="s">
        <v>361</v>
      </c>
    </row>
    <row r="967" spans="1:14">
      <c r="A967" s="1">
        <v>46063.66578703704</v>
      </c>
      <c r="B967">
        <v>384664782</v>
      </c>
      <c r="C967" s="2" t="s">
        <v>373</v>
      </c>
      <c r="D967" t="s">
        <v>15</v>
      </c>
      <c r="E967" s="5">
        <v>1000</v>
      </c>
      <c r="F967" s="3">
        <v>1000</v>
      </c>
      <c r="G967" s="2">
        <v>700</v>
      </c>
      <c r="I967" s="2" t="s">
        <v>374</v>
      </c>
      <c r="J967" s="2" t="s">
        <v>21</v>
      </c>
      <c r="K967" t="s">
        <v>18</v>
      </c>
      <c r="L967" t="str">
        <f>T("9791175582392")</f>
        <v>9791175582392</v>
      </c>
      <c r="M967" t="str">
        <f t="shared" si="33"/>
        <v/>
      </c>
      <c r="N967" t="s">
        <v>375</v>
      </c>
    </row>
    <row r="968" spans="1:14">
      <c r="A968" s="1">
        <v>46063.679745370369</v>
      </c>
      <c r="B968">
        <v>319978726</v>
      </c>
      <c r="C968" s="2" t="s">
        <v>819</v>
      </c>
      <c r="D968" t="s">
        <v>68</v>
      </c>
      <c r="E968" s="4">
        <v>900</v>
      </c>
      <c r="F968" s="2">
        <v>900</v>
      </c>
      <c r="G968" s="2">
        <v>630</v>
      </c>
      <c r="I968" s="2" t="s">
        <v>69</v>
      </c>
      <c r="J968" s="2" t="s">
        <v>70</v>
      </c>
      <c r="K968" t="s">
        <v>18</v>
      </c>
      <c r="L968" t="str">
        <f>T("9791192729527")</f>
        <v>9791192729527</v>
      </c>
      <c r="M968" t="str">
        <f t="shared" si="33"/>
        <v/>
      </c>
      <c r="N968" t="s">
        <v>820</v>
      </c>
    </row>
    <row r="969" spans="1:14">
      <c r="A969" s="1">
        <v>46063.679745370369</v>
      </c>
      <c r="B969">
        <v>319978632</v>
      </c>
      <c r="C969" s="2" t="s">
        <v>1189</v>
      </c>
      <c r="D969" t="s">
        <v>68</v>
      </c>
      <c r="E969" s="4">
        <v>900</v>
      </c>
      <c r="F969" s="2">
        <v>900</v>
      </c>
      <c r="G969" s="2">
        <v>630</v>
      </c>
      <c r="I969" s="2" t="s">
        <v>69</v>
      </c>
      <c r="J969" s="2" t="s">
        <v>70</v>
      </c>
      <c r="K969" t="s">
        <v>18</v>
      </c>
      <c r="L969" t="str">
        <f>T("9791192729534")</f>
        <v>9791192729534</v>
      </c>
      <c r="M969" t="str">
        <f t="shared" si="33"/>
        <v/>
      </c>
      <c r="N969" t="s">
        <v>1190</v>
      </c>
    </row>
    <row r="970" spans="1:14">
      <c r="A970" s="1">
        <v>46063.753437500003</v>
      </c>
      <c r="B970">
        <v>257484966</v>
      </c>
      <c r="C970" s="2" t="s">
        <v>1191</v>
      </c>
      <c r="D970" t="s">
        <v>15</v>
      </c>
      <c r="E970" s="4">
        <v>400</v>
      </c>
      <c r="F970" s="2">
        <v>400</v>
      </c>
      <c r="G970" s="2">
        <v>280</v>
      </c>
      <c r="I970" s="2" t="s">
        <v>1192</v>
      </c>
      <c r="J970" s="2" t="s">
        <v>126</v>
      </c>
      <c r="K970" t="s">
        <v>18</v>
      </c>
      <c r="L970" t="str">
        <f>T("9791164974269")</f>
        <v>9791164974269</v>
      </c>
      <c r="M970" t="str">
        <f t="shared" si="33"/>
        <v/>
      </c>
      <c r="N970" t="s">
        <v>1193</v>
      </c>
    </row>
    <row r="971" spans="1:14">
      <c r="A971" s="1">
        <v>46063.845011574071</v>
      </c>
      <c r="B971">
        <v>384598651</v>
      </c>
      <c r="C971" s="2" t="s">
        <v>696</v>
      </c>
      <c r="D971" t="s">
        <v>15</v>
      </c>
      <c r="E971" s="5">
        <v>1000</v>
      </c>
      <c r="F971" s="3">
        <v>1000</v>
      </c>
      <c r="G971" s="2">
        <v>700</v>
      </c>
      <c r="I971" s="2" t="s">
        <v>28</v>
      </c>
      <c r="J971" s="2" t="s">
        <v>21</v>
      </c>
      <c r="K971" t="s">
        <v>18</v>
      </c>
      <c r="L971" t="str">
        <f>T("9791175582422")</f>
        <v>9791175582422</v>
      </c>
      <c r="M971" t="str">
        <f t="shared" si="33"/>
        <v/>
      </c>
      <c r="N971" t="s">
        <v>697</v>
      </c>
    </row>
    <row r="972" spans="1:14">
      <c r="A972" s="1">
        <v>46063.858773148146</v>
      </c>
      <c r="B972">
        <v>370129819</v>
      </c>
      <c r="C972" s="2" t="s">
        <v>1194</v>
      </c>
      <c r="D972" t="s">
        <v>15</v>
      </c>
      <c r="E972" s="5">
        <v>1000</v>
      </c>
      <c r="F972" s="3">
        <v>1000</v>
      </c>
      <c r="G972" s="2">
        <v>700</v>
      </c>
      <c r="I972" s="2" t="s">
        <v>1195</v>
      </c>
      <c r="J972" s="2" t="s">
        <v>21</v>
      </c>
      <c r="K972" t="s">
        <v>18</v>
      </c>
      <c r="L972" t="str">
        <f>T("9791173017124")</f>
        <v>9791173017124</v>
      </c>
      <c r="M972" t="str">
        <f t="shared" si="33"/>
        <v/>
      </c>
      <c r="N972" t="s">
        <v>1196</v>
      </c>
    </row>
    <row r="973" spans="1:14">
      <c r="A973" s="1">
        <v>46063.879016203704</v>
      </c>
      <c r="B973">
        <v>385852507</v>
      </c>
      <c r="C973" s="2" t="s">
        <v>1197</v>
      </c>
      <c r="D973" t="s">
        <v>15</v>
      </c>
      <c r="E973" s="5">
        <v>3000</v>
      </c>
      <c r="F973" s="3">
        <v>3000</v>
      </c>
      <c r="G973" s="3">
        <v>2100</v>
      </c>
      <c r="I973" s="2" t="s">
        <v>1198</v>
      </c>
      <c r="J973" s="2" t="s">
        <v>21</v>
      </c>
      <c r="K973" t="s">
        <v>18</v>
      </c>
      <c r="L973" t="str">
        <f>T("9791175582958")</f>
        <v>9791175582958</v>
      </c>
      <c r="M973" t="str">
        <f t="shared" si="33"/>
        <v/>
      </c>
      <c r="N973" t="s">
        <v>1199</v>
      </c>
    </row>
    <row r="974" spans="1:14">
      <c r="A974" s="1">
        <v>46063.879016203704</v>
      </c>
      <c r="B974">
        <v>385852543</v>
      </c>
      <c r="C974" s="2" t="s">
        <v>1200</v>
      </c>
      <c r="D974" t="s">
        <v>15</v>
      </c>
      <c r="E974" s="5">
        <v>3000</v>
      </c>
      <c r="F974" s="3">
        <v>3000</v>
      </c>
      <c r="G974" s="3">
        <v>2100</v>
      </c>
      <c r="I974" s="2" t="s">
        <v>1198</v>
      </c>
      <c r="J974" s="2" t="s">
        <v>21</v>
      </c>
      <c r="K974" t="s">
        <v>18</v>
      </c>
      <c r="L974" t="str">
        <f>T("9791175582941")</f>
        <v>9791175582941</v>
      </c>
      <c r="M974" t="str">
        <f t="shared" si="33"/>
        <v/>
      </c>
      <c r="N974" t="s">
        <v>1201</v>
      </c>
    </row>
    <row r="975" spans="1:14">
      <c r="A975" s="1">
        <v>46063.953333333331</v>
      </c>
      <c r="B975">
        <v>385347797</v>
      </c>
      <c r="C975" s="2" t="s">
        <v>195</v>
      </c>
      <c r="D975" t="s">
        <v>15</v>
      </c>
      <c r="E975" s="4">
        <v>700</v>
      </c>
      <c r="F975" s="2">
        <v>630</v>
      </c>
      <c r="G975" s="2">
        <v>441</v>
      </c>
      <c r="I975" s="2" t="s">
        <v>196</v>
      </c>
      <c r="J975" s="2" t="s">
        <v>197</v>
      </c>
      <c r="K975" t="s">
        <v>18</v>
      </c>
      <c r="L975" t="str">
        <f>T("9791172821937")</f>
        <v>9791172821937</v>
      </c>
      <c r="M975" t="str">
        <f t="shared" si="33"/>
        <v/>
      </c>
      <c r="N975" t="s">
        <v>198</v>
      </c>
    </row>
    <row r="976" spans="1:14">
      <c r="A976" s="1">
        <v>46063.998668981483</v>
      </c>
      <c r="B976">
        <v>385347797</v>
      </c>
      <c r="C976" s="2" t="s">
        <v>195</v>
      </c>
      <c r="D976" t="s">
        <v>15</v>
      </c>
      <c r="E976" s="4">
        <v>-700</v>
      </c>
      <c r="F976" s="2">
        <v>-630</v>
      </c>
      <c r="G976" s="2">
        <v>-441</v>
      </c>
      <c r="H976" s="1">
        <v>46063.953333333331</v>
      </c>
      <c r="I976" s="2" t="s">
        <v>196</v>
      </c>
      <c r="J976" s="2" t="s">
        <v>197</v>
      </c>
      <c r="K976" t="s">
        <v>18</v>
      </c>
      <c r="L976" t="str">
        <f>T("9791172821937")</f>
        <v>9791172821937</v>
      </c>
      <c r="M976" t="str">
        <f t="shared" si="33"/>
        <v/>
      </c>
      <c r="N976" t="s">
        <v>198</v>
      </c>
    </row>
    <row r="977" spans="1:14">
      <c r="A977" s="1">
        <v>46063.964421296296</v>
      </c>
      <c r="B977">
        <v>379258534</v>
      </c>
      <c r="C977" s="2" t="s">
        <v>232</v>
      </c>
      <c r="D977" t="s">
        <v>15</v>
      </c>
      <c r="E977" s="5">
        <v>2000</v>
      </c>
      <c r="F977" s="3">
        <v>2000</v>
      </c>
      <c r="G977" s="3">
        <v>1400</v>
      </c>
      <c r="I977" s="2" t="s">
        <v>233</v>
      </c>
      <c r="J977" s="2" t="s">
        <v>55</v>
      </c>
      <c r="K977" t="s">
        <v>18</v>
      </c>
      <c r="L977" t="str">
        <f>T("9791175582590")</f>
        <v>9791175582590</v>
      </c>
      <c r="M977" t="str">
        <f t="shared" si="33"/>
        <v/>
      </c>
      <c r="N977" t="s">
        <v>234</v>
      </c>
    </row>
    <row r="978" spans="1:14">
      <c r="A978" s="1">
        <v>46063.987500000003</v>
      </c>
      <c r="B978">
        <v>385852579</v>
      </c>
      <c r="C978" s="2" t="s">
        <v>1202</v>
      </c>
      <c r="D978" t="s">
        <v>15</v>
      </c>
      <c r="E978" s="5">
        <v>1000</v>
      </c>
      <c r="F978" s="3">
        <v>1000</v>
      </c>
      <c r="G978" s="2">
        <v>700</v>
      </c>
      <c r="I978" s="2" t="s">
        <v>1203</v>
      </c>
      <c r="J978" s="2" t="s">
        <v>21</v>
      </c>
      <c r="K978" t="s">
        <v>18</v>
      </c>
      <c r="L978" t="str">
        <f>T("9791175582620")</f>
        <v>9791175582620</v>
      </c>
      <c r="M978" t="str">
        <f t="shared" si="33"/>
        <v/>
      </c>
      <c r="N978" t="s">
        <v>1204</v>
      </c>
    </row>
    <row r="979" spans="1:14">
      <c r="A979" s="1">
        <v>46063.987604166665</v>
      </c>
      <c r="B979">
        <v>356282410</v>
      </c>
      <c r="C979" s="2" t="s">
        <v>892</v>
      </c>
      <c r="D979" t="s">
        <v>15</v>
      </c>
      <c r="E979" s="5">
        <v>1100</v>
      </c>
      <c r="F979" s="3">
        <v>1100</v>
      </c>
      <c r="G979" s="2">
        <v>770</v>
      </c>
      <c r="I979" s="2" t="s">
        <v>211</v>
      </c>
      <c r="J979" s="2" t="s">
        <v>21</v>
      </c>
      <c r="K979" t="s">
        <v>18</v>
      </c>
      <c r="L979" t="str">
        <f>T("9791173012778")</f>
        <v>9791173012778</v>
      </c>
      <c r="M979" t="str">
        <f t="shared" si="33"/>
        <v/>
      </c>
      <c r="N979" t="s">
        <v>893</v>
      </c>
    </row>
    <row r="980" spans="1:14">
      <c r="A980" s="1">
        <v>46063.993900462963</v>
      </c>
      <c r="B980">
        <v>385348455</v>
      </c>
      <c r="C980" s="2" t="s">
        <v>255</v>
      </c>
      <c r="D980" t="s">
        <v>68</v>
      </c>
      <c r="E980" s="5">
        <v>12600</v>
      </c>
      <c r="F980" s="3">
        <v>12600</v>
      </c>
      <c r="G980" s="3">
        <v>8820</v>
      </c>
      <c r="I980" s="2" t="s">
        <v>187</v>
      </c>
      <c r="J980" s="2" t="s">
        <v>188</v>
      </c>
      <c r="K980" t="s">
        <v>18</v>
      </c>
      <c r="L980" t="str">
        <f>T("9791164835379")</f>
        <v>9791164835379</v>
      </c>
      <c r="M980" t="str">
        <f t="shared" si="33"/>
        <v/>
      </c>
    </row>
    <row r="981" spans="1:14">
      <c r="A981" s="1">
        <v>46063.998703703706</v>
      </c>
      <c r="B981">
        <v>385782810</v>
      </c>
      <c r="C981" s="2" t="s">
        <v>1167</v>
      </c>
      <c r="D981" t="s">
        <v>15</v>
      </c>
      <c r="E981" s="5">
        <v>2000</v>
      </c>
      <c r="F981" s="3">
        <v>1800</v>
      </c>
      <c r="G981" s="3">
        <v>1260</v>
      </c>
      <c r="I981" s="2" t="s">
        <v>1141</v>
      </c>
      <c r="J981" s="2" t="s">
        <v>184</v>
      </c>
      <c r="K981" t="s">
        <v>18</v>
      </c>
      <c r="L981" t="str">
        <f>T("9791170965671")</f>
        <v>9791170965671</v>
      </c>
      <c r="M981" t="str">
        <f t="shared" si="33"/>
        <v/>
      </c>
      <c r="N981" t="s">
        <v>1168</v>
      </c>
    </row>
    <row r="982" spans="1:14">
      <c r="A982" s="1">
        <v>46064.000856481478</v>
      </c>
      <c r="B982">
        <v>325730673</v>
      </c>
      <c r="C982" s="2" t="s">
        <v>539</v>
      </c>
      <c r="D982" t="s">
        <v>15</v>
      </c>
      <c r="E982" s="5">
        <v>3000</v>
      </c>
      <c r="F982" s="3">
        <v>3000</v>
      </c>
      <c r="G982" s="3">
        <v>2100</v>
      </c>
      <c r="I982" s="2" t="s">
        <v>540</v>
      </c>
      <c r="J982" s="2" t="s">
        <v>197</v>
      </c>
      <c r="K982" t="s">
        <v>18</v>
      </c>
      <c r="L982" t="str">
        <f>T("9791164098538")</f>
        <v>9791164098538</v>
      </c>
      <c r="M982" t="str">
        <f t="shared" si="33"/>
        <v/>
      </c>
      <c r="N982" t="s">
        <v>541</v>
      </c>
    </row>
    <row r="983" spans="1:14">
      <c r="A983" s="1">
        <v>46064.008171296293</v>
      </c>
      <c r="B983">
        <v>268443410</v>
      </c>
      <c r="C983" s="2" t="s">
        <v>665</v>
      </c>
      <c r="D983" t="s">
        <v>15</v>
      </c>
      <c r="E983" s="5">
        <v>2500</v>
      </c>
      <c r="F983" s="3">
        <v>2500</v>
      </c>
      <c r="G983" s="3">
        <v>1750</v>
      </c>
      <c r="I983" s="2" t="s">
        <v>666</v>
      </c>
      <c r="J983" s="2" t="s">
        <v>21</v>
      </c>
      <c r="K983" t="s">
        <v>18</v>
      </c>
      <c r="L983" t="str">
        <f>T("9791191337228")</f>
        <v>9791191337228</v>
      </c>
      <c r="M983" t="str">
        <f t="shared" si="33"/>
        <v/>
      </c>
    </row>
    <row r="984" spans="1:14">
      <c r="A984" s="1">
        <v>46064.048159722224</v>
      </c>
      <c r="B984">
        <v>385348455</v>
      </c>
      <c r="C984" s="2" t="s">
        <v>255</v>
      </c>
      <c r="D984" t="s">
        <v>68</v>
      </c>
      <c r="E984" s="5">
        <v>12600</v>
      </c>
      <c r="F984" s="3">
        <v>12600</v>
      </c>
      <c r="G984" s="3">
        <v>8820</v>
      </c>
      <c r="I984" s="2" t="s">
        <v>187</v>
      </c>
      <c r="J984" s="2" t="s">
        <v>188</v>
      </c>
      <c r="K984" t="s">
        <v>18</v>
      </c>
      <c r="L984" t="str">
        <f>T("9791164835379")</f>
        <v>9791164835379</v>
      </c>
      <c r="M984" t="str">
        <f t="shared" si="33"/>
        <v/>
      </c>
    </row>
    <row r="985" spans="1:14">
      <c r="A985" s="1">
        <v>46064.050578703704</v>
      </c>
      <c r="B985">
        <v>385347797</v>
      </c>
      <c r="C985" s="2" t="s">
        <v>195</v>
      </c>
      <c r="D985" t="s">
        <v>15</v>
      </c>
      <c r="E985" s="4">
        <v>700</v>
      </c>
      <c r="F985" s="2">
        <v>630</v>
      </c>
      <c r="G985" s="2">
        <v>441</v>
      </c>
      <c r="I985" s="2" t="s">
        <v>196</v>
      </c>
      <c r="J985" s="2" t="s">
        <v>197</v>
      </c>
      <c r="K985" t="s">
        <v>18</v>
      </c>
      <c r="L985" t="str">
        <f>T("9791172821937")</f>
        <v>9791172821937</v>
      </c>
      <c r="M985" t="str">
        <f t="shared" si="33"/>
        <v/>
      </c>
      <c r="N985" t="s">
        <v>198</v>
      </c>
    </row>
    <row r="986" spans="1:14">
      <c r="A986" s="1">
        <v>46064.054236111115</v>
      </c>
      <c r="B986">
        <v>380153476</v>
      </c>
      <c r="C986" s="2" t="s">
        <v>1205</v>
      </c>
      <c r="D986" t="s">
        <v>15</v>
      </c>
      <c r="E986" s="5">
        <v>3600</v>
      </c>
      <c r="F986" s="3">
        <v>3600</v>
      </c>
      <c r="G986" s="3">
        <v>2520</v>
      </c>
      <c r="I986" s="2" t="s">
        <v>1206</v>
      </c>
      <c r="J986" s="2" t="s">
        <v>476</v>
      </c>
      <c r="K986" t="s">
        <v>18</v>
      </c>
      <c r="L986" t="str">
        <f>T("9791175090873")</f>
        <v>9791175090873</v>
      </c>
      <c r="M986" t="str">
        <f t="shared" si="33"/>
        <v/>
      </c>
      <c r="N986" t="s">
        <v>1207</v>
      </c>
    </row>
    <row r="987" spans="1:14">
      <c r="A987" s="1">
        <v>46064.054259259261</v>
      </c>
      <c r="B987">
        <v>355155067</v>
      </c>
      <c r="C987" s="2" t="s">
        <v>1208</v>
      </c>
      <c r="D987" t="s">
        <v>15</v>
      </c>
      <c r="E987" s="5">
        <v>1000</v>
      </c>
      <c r="F987" s="3">
        <v>1000</v>
      </c>
      <c r="G987" s="2">
        <v>700</v>
      </c>
      <c r="I987" s="2" t="s">
        <v>148</v>
      </c>
      <c r="J987" s="2" t="s">
        <v>21</v>
      </c>
      <c r="K987" t="s">
        <v>18</v>
      </c>
      <c r="L987" t="str">
        <f>T("9791173011184")</f>
        <v>9791173011184</v>
      </c>
      <c r="M987" t="str">
        <f t="shared" si="33"/>
        <v/>
      </c>
      <c r="N987" t="s">
        <v>1209</v>
      </c>
    </row>
    <row r="988" spans="1:14">
      <c r="A988" s="1">
        <v>46064.062719907408</v>
      </c>
      <c r="B988">
        <v>360694024</v>
      </c>
      <c r="C988" s="2" t="s">
        <v>1210</v>
      </c>
      <c r="D988" t="s">
        <v>15</v>
      </c>
      <c r="E988" s="5">
        <v>1000</v>
      </c>
      <c r="F988" s="3">
        <v>1000</v>
      </c>
      <c r="G988" s="2">
        <v>700</v>
      </c>
      <c r="I988" s="2" t="s">
        <v>148</v>
      </c>
      <c r="J988" s="2" t="s">
        <v>21</v>
      </c>
      <c r="K988" t="s">
        <v>18</v>
      </c>
      <c r="L988" t="str">
        <f>T("9791173013133")</f>
        <v>9791173013133</v>
      </c>
      <c r="M988" t="str">
        <f t="shared" si="33"/>
        <v/>
      </c>
      <c r="N988" t="s">
        <v>1211</v>
      </c>
    </row>
    <row r="989" spans="1:14">
      <c r="A989" s="1">
        <v>46064.065046296295</v>
      </c>
      <c r="B989">
        <v>297670505</v>
      </c>
      <c r="C989" s="2" t="s">
        <v>1212</v>
      </c>
      <c r="D989" t="s">
        <v>15</v>
      </c>
      <c r="E989" s="5">
        <v>4000</v>
      </c>
      <c r="F989" s="3">
        <v>4000</v>
      </c>
      <c r="G989" s="3">
        <v>2800</v>
      </c>
      <c r="I989" s="2" t="s">
        <v>266</v>
      </c>
      <c r="J989" s="2" t="s">
        <v>126</v>
      </c>
      <c r="K989" t="s">
        <v>18</v>
      </c>
      <c r="L989" t="str">
        <f>T("9791164977208")</f>
        <v>9791164977208</v>
      </c>
      <c r="M989" t="str">
        <f t="shared" si="33"/>
        <v/>
      </c>
      <c r="N989" t="s">
        <v>1213</v>
      </c>
    </row>
    <row r="990" spans="1:14">
      <c r="A990" s="1">
        <v>46064.065046296295</v>
      </c>
      <c r="B990">
        <v>297670527</v>
      </c>
      <c r="C990" s="2" t="s">
        <v>1214</v>
      </c>
      <c r="D990" t="s">
        <v>15</v>
      </c>
      <c r="E990" s="5">
        <v>3500</v>
      </c>
      <c r="F990" s="3">
        <v>3500</v>
      </c>
      <c r="G990" s="3">
        <v>2450</v>
      </c>
      <c r="I990" s="2" t="s">
        <v>266</v>
      </c>
      <c r="J990" s="2" t="s">
        <v>126</v>
      </c>
      <c r="K990" t="s">
        <v>18</v>
      </c>
      <c r="L990" t="str">
        <f>T("9791164977222")</f>
        <v>9791164977222</v>
      </c>
      <c r="M990" t="str">
        <f t="shared" si="33"/>
        <v/>
      </c>
      <c r="N990" t="s">
        <v>1215</v>
      </c>
    </row>
    <row r="991" spans="1:14">
      <c r="A991" s="1">
        <v>46064.065046296295</v>
      </c>
      <c r="B991">
        <v>297670495</v>
      </c>
      <c r="C991" s="2" t="s">
        <v>265</v>
      </c>
      <c r="D991" t="s">
        <v>15</v>
      </c>
      <c r="E991" s="5">
        <v>4000</v>
      </c>
      <c r="F991" s="3">
        <v>4000</v>
      </c>
      <c r="G991" s="3">
        <v>2800</v>
      </c>
      <c r="I991" s="2" t="s">
        <v>266</v>
      </c>
      <c r="J991" s="2" t="s">
        <v>126</v>
      </c>
      <c r="K991" t="s">
        <v>18</v>
      </c>
      <c r="L991" t="str">
        <f>T("9791164977215")</f>
        <v>9791164977215</v>
      </c>
      <c r="M991" t="str">
        <f t="shared" si="33"/>
        <v/>
      </c>
      <c r="N991" t="s">
        <v>267</v>
      </c>
    </row>
    <row r="992" spans="1:14">
      <c r="A992" s="1">
        <v>46064.096493055556</v>
      </c>
      <c r="B992">
        <v>355155067</v>
      </c>
      <c r="C992" s="2" t="s">
        <v>1208</v>
      </c>
      <c r="D992" t="s">
        <v>15</v>
      </c>
      <c r="E992" s="5">
        <v>1000</v>
      </c>
      <c r="F992" s="3">
        <v>1000</v>
      </c>
      <c r="G992" s="2">
        <v>700</v>
      </c>
      <c r="I992" s="2" t="s">
        <v>148</v>
      </c>
      <c r="J992" s="2" t="s">
        <v>21</v>
      </c>
      <c r="K992" t="s">
        <v>18</v>
      </c>
      <c r="L992" t="str">
        <f>T("9791173011184")</f>
        <v>9791173011184</v>
      </c>
      <c r="M992" t="str">
        <f t="shared" si="33"/>
        <v/>
      </c>
      <c r="N992" t="s">
        <v>1209</v>
      </c>
    </row>
    <row r="993" spans="1:14">
      <c r="A993" s="1">
        <v>46064.101157407407</v>
      </c>
      <c r="B993">
        <v>378350130</v>
      </c>
      <c r="C993" s="2" t="s">
        <v>1216</v>
      </c>
      <c r="D993" t="s">
        <v>15</v>
      </c>
      <c r="E993" s="5">
        <v>3300</v>
      </c>
      <c r="F993" s="3">
        <v>2970</v>
      </c>
      <c r="G993" s="3">
        <v>2079</v>
      </c>
      <c r="I993" s="2" t="s">
        <v>307</v>
      </c>
      <c r="J993" s="2" t="s">
        <v>308</v>
      </c>
      <c r="K993" t="s">
        <v>18</v>
      </c>
      <c r="L993" t="str">
        <f>T("9791194982524")</f>
        <v>9791194982524</v>
      </c>
      <c r="M993" t="str">
        <f t="shared" si="33"/>
        <v/>
      </c>
      <c r="N993" t="s">
        <v>1217</v>
      </c>
    </row>
    <row r="994" spans="1:14">
      <c r="A994" s="1">
        <v>46064.101157407407</v>
      </c>
      <c r="B994">
        <v>378350533</v>
      </c>
      <c r="C994" s="2" t="s">
        <v>1218</v>
      </c>
      <c r="D994" t="s">
        <v>15</v>
      </c>
      <c r="E994" s="5">
        <v>3300</v>
      </c>
      <c r="F994" s="3">
        <v>2970</v>
      </c>
      <c r="G994" s="3">
        <v>2079</v>
      </c>
      <c r="I994" s="2" t="s">
        <v>307</v>
      </c>
      <c r="J994" s="2" t="s">
        <v>308</v>
      </c>
      <c r="K994" t="s">
        <v>18</v>
      </c>
      <c r="L994" t="str">
        <f>T("9791194982531")</f>
        <v>9791194982531</v>
      </c>
      <c r="M994" t="str">
        <f t="shared" si="33"/>
        <v/>
      </c>
      <c r="N994" t="s">
        <v>1219</v>
      </c>
    </row>
    <row r="995" spans="1:14">
      <c r="A995" s="1">
        <v>46064.101157407407</v>
      </c>
      <c r="B995">
        <v>378350315</v>
      </c>
      <c r="C995" s="2" t="s">
        <v>769</v>
      </c>
      <c r="D995" t="s">
        <v>15</v>
      </c>
      <c r="E995" s="5">
        <v>3300</v>
      </c>
      <c r="F995" s="3">
        <v>2970</v>
      </c>
      <c r="G995" s="3">
        <v>2079</v>
      </c>
      <c r="I995" s="2" t="s">
        <v>307</v>
      </c>
      <c r="J995" s="2" t="s">
        <v>308</v>
      </c>
      <c r="K995" t="s">
        <v>18</v>
      </c>
      <c r="L995" t="str">
        <f>T("9791194982517")</f>
        <v>9791194982517</v>
      </c>
      <c r="M995" t="str">
        <f t="shared" si="33"/>
        <v/>
      </c>
      <c r="N995" t="s">
        <v>770</v>
      </c>
    </row>
    <row r="996" spans="1:14">
      <c r="A996" s="1">
        <v>46064.101157407407</v>
      </c>
      <c r="B996">
        <v>385347792</v>
      </c>
      <c r="C996" s="2" t="s">
        <v>306</v>
      </c>
      <c r="D996" t="s">
        <v>15</v>
      </c>
      <c r="E996" s="5">
        <v>1000</v>
      </c>
      <c r="F996" s="2">
        <v>900</v>
      </c>
      <c r="G996" s="2">
        <v>630</v>
      </c>
      <c r="I996" s="2" t="s">
        <v>307</v>
      </c>
      <c r="J996" s="2" t="s">
        <v>308</v>
      </c>
      <c r="K996" t="s">
        <v>18</v>
      </c>
      <c r="L996" t="str">
        <f>T("9791194982753")</f>
        <v>9791194982753</v>
      </c>
      <c r="M996" t="str">
        <f t="shared" si="33"/>
        <v/>
      </c>
      <c r="N996" t="s">
        <v>309</v>
      </c>
    </row>
    <row r="997" spans="1:14">
      <c r="A997" s="1">
        <v>46064.101585648146</v>
      </c>
      <c r="B997">
        <v>234101422</v>
      </c>
      <c r="C997" s="2" t="s">
        <v>1220</v>
      </c>
      <c r="D997" t="s">
        <v>15</v>
      </c>
      <c r="E997" s="5">
        <v>3200</v>
      </c>
      <c r="F997" s="3">
        <v>3200</v>
      </c>
      <c r="G997" s="3">
        <v>2240</v>
      </c>
      <c r="I997" s="2" t="s">
        <v>933</v>
      </c>
      <c r="J997" s="2" t="s">
        <v>245</v>
      </c>
      <c r="K997" t="s">
        <v>18</v>
      </c>
      <c r="L997" t="str">
        <f>T("9791164485307")</f>
        <v>9791164485307</v>
      </c>
      <c r="M997" t="str">
        <f t="shared" ref="M997:M1009" si="34">T("")</f>
        <v/>
      </c>
    </row>
    <row r="998" spans="1:14">
      <c r="A998" s="1">
        <v>46064.101585648146</v>
      </c>
      <c r="B998">
        <v>234101418</v>
      </c>
      <c r="C998" s="2" t="s">
        <v>932</v>
      </c>
      <c r="D998" t="s">
        <v>15</v>
      </c>
      <c r="E998" s="4">
        <v>0</v>
      </c>
      <c r="F998" s="2">
        <v>0</v>
      </c>
      <c r="G998" s="2">
        <v>0</v>
      </c>
      <c r="I998" s="2" t="s">
        <v>933</v>
      </c>
      <c r="J998" s="2" t="s">
        <v>245</v>
      </c>
      <c r="K998" t="s">
        <v>18</v>
      </c>
      <c r="L998" t="str">
        <f>T("9791164485277")</f>
        <v>9791164485277</v>
      </c>
      <c r="M998" t="str">
        <f t="shared" si="34"/>
        <v/>
      </c>
    </row>
    <row r="999" spans="1:14">
      <c r="A999" s="1">
        <v>46064.101585648146</v>
      </c>
      <c r="B999">
        <v>234101420</v>
      </c>
      <c r="C999" s="2" t="s">
        <v>1221</v>
      </c>
      <c r="D999" t="s">
        <v>15</v>
      </c>
      <c r="E999" s="5">
        <v>3200</v>
      </c>
      <c r="F999" s="3">
        <v>3200</v>
      </c>
      <c r="G999" s="3">
        <v>2240</v>
      </c>
      <c r="I999" s="2" t="s">
        <v>933</v>
      </c>
      <c r="J999" s="2" t="s">
        <v>245</v>
      </c>
      <c r="K999" t="s">
        <v>18</v>
      </c>
      <c r="L999" t="str">
        <f>T("9791164485284")</f>
        <v>9791164485284</v>
      </c>
      <c r="M999" t="str">
        <f t="shared" si="34"/>
        <v/>
      </c>
    </row>
    <row r="1000" spans="1:14">
      <c r="A1000" s="1">
        <v>46064.101585648146</v>
      </c>
      <c r="B1000">
        <v>234101421</v>
      </c>
      <c r="C1000" s="2" t="s">
        <v>1222</v>
      </c>
      <c r="D1000" t="s">
        <v>15</v>
      </c>
      <c r="E1000" s="5">
        <v>3200</v>
      </c>
      <c r="F1000" s="3">
        <v>3200</v>
      </c>
      <c r="G1000" s="3">
        <v>2240</v>
      </c>
      <c r="I1000" s="2" t="s">
        <v>933</v>
      </c>
      <c r="J1000" s="2" t="s">
        <v>245</v>
      </c>
      <c r="K1000" t="s">
        <v>18</v>
      </c>
      <c r="L1000" t="str">
        <f>T("9791164485291")</f>
        <v>9791164485291</v>
      </c>
      <c r="M1000" t="str">
        <f t="shared" si="34"/>
        <v/>
      </c>
    </row>
    <row r="1001" spans="1:14">
      <c r="A1001" s="1">
        <v>46064.101585648146</v>
      </c>
      <c r="B1001">
        <v>234101423</v>
      </c>
      <c r="C1001" s="2" t="s">
        <v>1223</v>
      </c>
      <c r="D1001" t="s">
        <v>15</v>
      </c>
      <c r="E1001" s="5">
        <v>3200</v>
      </c>
      <c r="F1001" s="3">
        <v>3200</v>
      </c>
      <c r="G1001" s="3">
        <v>2240</v>
      </c>
      <c r="I1001" s="2" t="s">
        <v>933</v>
      </c>
      <c r="J1001" s="2" t="s">
        <v>245</v>
      </c>
      <c r="K1001" t="s">
        <v>18</v>
      </c>
      <c r="L1001" t="str">
        <f>T("9791164485314")</f>
        <v>9791164485314</v>
      </c>
      <c r="M1001" t="str">
        <f t="shared" si="34"/>
        <v/>
      </c>
    </row>
    <row r="1002" spans="1:14">
      <c r="A1002" s="1">
        <v>46064.101585648146</v>
      </c>
      <c r="B1002">
        <v>234101424</v>
      </c>
      <c r="C1002" s="2" t="s">
        <v>1224</v>
      </c>
      <c r="D1002" t="s">
        <v>15</v>
      </c>
      <c r="E1002" s="5">
        <v>3200</v>
      </c>
      <c r="F1002" s="3">
        <v>3200</v>
      </c>
      <c r="G1002" s="3">
        <v>2240</v>
      </c>
      <c r="I1002" s="2" t="s">
        <v>933</v>
      </c>
      <c r="J1002" s="2" t="s">
        <v>245</v>
      </c>
      <c r="K1002" t="s">
        <v>18</v>
      </c>
      <c r="L1002" t="str">
        <f>T("9791164485321")</f>
        <v>9791164485321</v>
      </c>
      <c r="M1002" t="str">
        <f t="shared" si="34"/>
        <v/>
      </c>
    </row>
    <row r="1003" spans="1:14">
      <c r="A1003" s="1">
        <v>46064.101585648146</v>
      </c>
      <c r="B1003">
        <v>234101425</v>
      </c>
      <c r="C1003" s="2" t="s">
        <v>1225</v>
      </c>
      <c r="D1003" t="s">
        <v>15</v>
      </c>
      <c r="E1003" s="5">
        <v>3200</v>
      </c>
      <c r="F1003" s="3">
        <v>3200</v>
      </c>
      <c r="G1003" s="3">
        <v>2240</v>
      </c>
      <c r="I1003" s="2" t="s">
        <v>933</v>
      </c>
      <c r="J1003" s="2" t="s">
        <v>245</v>
      </c>
      <c r="K1003" t="s">
        <v>18</v>
      </c>
      <c r="L1003" t="str">
        <f>T("9791164485345")</f>
        <v>9791164485345</v>
      </c>
      <c r="M1003" t="str">
        <f t="shared" si="34"/>
        <v/>
      </c>
    </row>
    <row r="1004" spans="1:14">
      <c r="A1004" s="1">
        <v>46064.101585648146</v>
      </c>
      <c r="B1004">
        <v>234101426</v>
      </c>
      <c r="C1004" s="2" t="s">
        <v>1226</v>
      </c>
      <c r="D1004" t="s">
        <v>15</v>
      </c>
      <c r="E1004" s="5">
        <v>3200</v>
      </c>
      <c r="F1004" s="3">
        <v>3200</v>
      </c>
      <c r="G1004" s="3">
        <v>2240</v>
      </c>
      <c r="I1004" s="2" t="s">
        <v>933</v>
      </c>
      <c r="J1004" s="2" t="s">
        <v>245</v>
      </c>
      <c r="K1004" t="s">
        <v>18</v>
      </c>
      <c r="L1004" t="str">
        <f>T("9791164485352")</f>
        <v>9791164485352</v>
      </c>
      <c r="M1004" t="str">
        <f t="shared" si="34"/>
        <v/>
      </c>
    </row>
    <row r="1005" spans="1:14">
      <c r="A1005" s="1">
        <v>46064.101585648146</v>
      </c>
      <c r="B1005">
        <v>234101427</v>
      </c>
      <c r="C1005" s="2" t="s">
        <v>1227</v>
      </c>
      <c r="D1005" t="s">
        <v>15</v>
      </c>
      <c r="E1005" s="5">
        <v>3200</v>
      </c>
      <c r="F1005" s="3">
        <v>3200</v>
      </c>
      <c r="G1005" s="3">
        <v>2240</v>
      </c>
      <c r="I1005" s="2" t="s">
        <v>933</v>
      </c>
      <c r="J1005" s="2" t="s">
        <v>245</v>
      </c>
      <c r="K1005" t="s">
        <v>18</v>
      </c>
      <c r="L1005" t="str">
        <f>T("9791164485369")</f>
        <v>9791164485369</v>
      </c>
      <c r="M1005" t="str">
        <f t="shared" si="34"/>
        <v/>
      </c>
    </row>
    <row r="1006" spans="1:14">
      <c r="A1006" s="1">
        <v>46064.108877314815</v>
      </c>
      <c r="B1006">
        <v>385852543</v>
      </c>
      <c r="C1006" s="2" t="s">
        <v>1200</v>
      </c>
      <c r="D1006" t="s">
        <v>15</v>
      </c>
      <c r="E1006" s="5">
        <v>3000</v>
      </c>
      <c r="F1006" s="3">
        <v>3000</v>
      </c>
      <c r="G1006" s="3">
        <v>2100</v>
      </c>
      <c r="I1006" s="2" t="s">
        <v>1198</v>
      </c>
      <c r="J1006" s="2" t="s">
        <v>21</v>
      </c>
      <c r="K1006" t="s">
        <v>18</v>
      </c>
      <c r="L1006" t="str">
        <f>T("9791175582941")</f>
        <v>9791175582941</v>
      </c>
      <c r="M1006" t="str">
        <f t="shared" si="34"/>
        <v/>
      </c>
      <c r="N1006" t="s">
        <v>1201</v>
      </c>
    </row>
    <row r="1007" spans="1:14">
      <c r="A1007" s="1">
        <v>46064.150497685187</v>
      </c>
      <c r="B1007">
        <v>385852507</v>
      </c>
      <c r="C1007" s="2" t="s">
        <v>1197</v>
      </c>
      <c r="D1007" t="s">
        <v>15</v>
      </c>
      <c r="E1007" s="5">
        <v>3000</v>
      </c>
      <c r="F1007" s="3">
        <v>3000</v>
      </c>
      <c r="G1007" s="3">
        <v>2100</v>
      </c>
      <c r="I1007" s="2" t="s">
        <v>1198</v>
      </c>
      <c r="J1007" s="2" t="s">
        <v>21</v>
      </c>
      <c r="K1007" t="s">
        <v>18</v>
      </c>
      <c r="L1007" t="str">
        <f>T("9791175582958")</f>
        <v>9791175582958</v>
      </c>
      <c r="M1007" t="str">
        <f t="shared" si="34"/>
        <v/>
      </c>
      <c r="N1007" t="s">
        <v>1199</v>
      </c>
    </row>
    <row r="1008" spans="1:14">
      <c r="A1008" s="1">
        <v>46064.187557870369</v>
      </c>
      <c r="B1008">
        <v>385852507</v>
      </c>
      <c r="C1008" s="2" t="s">
        <v>1197</v>
      </c>
      <c r="D1008" t="s">
        <v>15</v>
      </c>
      <c r="E1008" s="5">
        <v>3000</v>
      </c>
      <c r="F1008" s="3">
        <v>3000</v>
      </c>
      <c r="G1008" s="3">
        <v>2100</v>
      </c>
      <c r="I1008" s="2" t="s">
        <v>1198</v>
      </c>
      <c r="J1008" s="2" t="s">
        <v>21</v>
      </c>
      <c r="K1008" t="s">
        <v>18</v>
      </c>
      <c r="L1008" t="str">
        <f>T("9791175582958")</f>
        <v>9791175582958</v>
      </c>
      <c r="M1008" t="str">
        <f t="shared" si="34"/>
        <v/>
      </c>
      <c r="N1008" t="s">
        <v>1199</v>
      </c>
    </row>
    <row r="1009" spans="1:14">
      <c r="A1009" s="1">
        <v>46064.187557870369</v>
      </c>
      <c r="B1009">
        <v>385852543</v>
      </c>
      <c r="C1009" s="2" t="s">
        <v>1200</v>
      </c>
      <c r="D1009" t="s">
        <v>15</v>
      </c>
      <c r="E1009" s="5">
        <v>3000</v>
      </c>
      <c r="F1009" s="3">
        <v>3000</v>
      </c>
      <c r="G1009" s="3">
        <v>2100</v>
      </c>
      <c r="I1009" s="2" t="s">
        <v>1198</v>
      </c>
      <c r="J1009" s="2" t="s">
        <v>21</v>
      </c>
      <c r="K1009" t="s">
        <v>18</v>
      </c>
      <c r="L1009" t="str">
        <f>T("9791175582941")</f>
        <v>9791175582941</v>
      </c>
      <c r="M1009" t="str">
        <f t="shared" si="34"/>
        <v/>
      </c>
      <c r="N1009" t="s">
        <v>1201</v>
      </c>
    </row>
    <row r="1010" spans="1:14">
      <c r="A1010" s="1">
        <v>46064.268368055556</v>
      </c>
      <c r="B1010">
        <v>385852478</v>
      </c>
      <c r="C1010" s="2" t="s">
        <v>1228</v>
      </c>
      <c r="D1010" t="s">
        <v>68</v>
      </c>
      <c r="E1010" s="4">
        <v>0</v>
      </c>
      <c r="F1010" s="2">
        <v>0</v>
      </c>
      <c r="G1010" s="2">
        <v>0</v>
      </c>
      <c r="I1010" s="2" t="s">
        <v>1229</v>
      </c>
      <c r="J1010" s="2" t="s">
        <v>960</v>
      </c>
      <c r="K1010" t="s">
        <v>18</v>
      </c>
      <c r="L1010" t="str">
        <f>T("")</f>
        <v/>
      </c>
      <c r="M1010" t="str">
        <f>T("G720:N+A378-20260112081.M001")</f>
        <v>G720:N+A378-20260112081.M001</v>
      </c>
      <c r="N1010" t="s">
        <v>1230</v>
      </c>
    </row>
    <row r="1011" spans="1:14">
      <c r="A1011" s="1">
        <v>46064.316365740742</v>
      </c>
      <c r="B1011">
        <v>385852478</v>
      </c>
      <c r="C1011" s="2" t="s">
        <v>1228</v>
      </c>
      <c r="D1011" t="s">
        <v>15</v>
      </c>
      <c r="E1011" s="4">
        <v>0</v>
      </c>
      <c r="F1011" s="2">
        <v>0</v>
      </c>
      <c r="G1011" s="2">
        <v>0</v>
      </c>
      <c r="I1011" s="2" t="s">
        <v>1229</v>
      </c>
      <c r="J1011" s="2" t="s">
        <v>960</v>
      </c>
      <c r="K1011" t="s">
        <v>18</v>
      </c>
      <c r="L1011" t="str">
        <f>T("")</f>
        <v/>
      </c>
      <c r="M1011" t="str">
        <f>T("G720:N+A378-20260112081.M001")</f>
        <v>G720:N+A378-20260112081.M001</v>
      </c>
      <c r="N1011" t="s">
        <v>1230</v>
      </c>
    </row>
    <row r="1012" spans="1:14">
      <c r="A1012" s="1">
        <v>46064.323599537034</v>
      </c>
      <c r="B1012">
        <v>385852543</v>
      </c>
      <c r="C1012" s="2" t="s">
        <v>1200</v>
      </c>
      <c r="D1012" t="s">
        <v>15</v>
      </c>
      <c r="E1012" s="5">
        <v>3000</v>
      </c>
      <c r="F1012" s="3">
        <v>3000</v>
      </c>
      <c r="G1012" s="3">
        <v>2100</v>
      </c>
      <c r="I1012" s="2" t="s">
        <v>1198</v>
      </c>
      <c r="J1012" s="2" t="s">
        <v>21</v>
      </c>
      <c r="K1012" t="s">
        <v>18</v>
      </c>
      <c r="L1012" t="str">
        <f>T("9791175582941")</f>
        <v>9791175582941</v>
      </c>
      <c r="M1012" t="str">
        <f t="shared" ref="M1012:M1043" si="35">T("")</f>
        <v/>
      </c>
      <c r="N1012" t="s">
        <v>1201</v>
      </c>
    </row>
    <row r="1013" spans="1:14">
      <c r="A1013" s="1">
        <v>46064.323599537034</v>
      </c>
      <c r="B1013">
        <v>385852521</v>
      </c>
      <c r="C1013" s="2" t="s">
        <v>1231</v>
      </c>
      <c r="D1013" t="s">
        <v>15</v>
      </c>
      <c r="E1013" s="5">
        <v>2500</v>
      </c>
      <c r="F1013" s="3">
        <v>2500</v>
      </c>
      <c r="G1013" s="3">
        <v>1750</v>
      </c>
      <c r="I1013" s="2" t="s">
        <v>1232</v>
      </c>
      <c r="J1013" s="2" t="s">
        <v>1233</v>
      </c>
      <c r="K1013" t="s">
        <v>18</v>
      </c>
      <c r="L1013" t="str">
        <f>T("9791124141014")</f>
        <v>9791124141014</v>
      </c>
      <c r="M1013" t="str">
        <f t="shared" si="35"/>
        <v/>
      </c>
      <c r="N1013" t="s">
        <v>1234</v>
      </c>
    </row>
    <row r="1014" spans="1:14">
      <c r="A1014" s="1">
        <v>46064.323599537034</v>
      </c>
      <c r="B1014">
        <v>385852525</v>
      </c>
      <c r="C1014" s="2" t="s">
        <v>1235</v>
      </c>
      <c r="D1014" t="s">
        <v>15</v>
      </c>
      <c r="E1014" s="5">
        <v>2600</v>
      </c>
      <c r="F1014" s="3">
        <v>2600</v>
      </c>
      <c r="G1014" s="3">
        <v>1820</v>
      </c>
      <c r="I1014" s="2" t="s">
        <v>1236</v>
      </c>
      <c r="J1014" s="2" t="s">
        <v>960</v>
      </c>
      <c r="K1014" t="s">
        <v>18</v>
      </c>
      <c r="L1014" t="str">
        <f>T("9791171846115")</f>
        <v>9791171846115</v>
      </c>
      <c r="M1014" t="str">
        <f t="shared" si="35"/>
        <v/>
      </c>
      <c r="N1014" t="s">
        <v>1237</v>
      </c>
    </row>
    <row r="1015" spans="1:14">
      <c r="A1015" s="1">
        <v>46064.345868055556</v>
      </c>
      <c r="B1015">
        <v>89974278</v>
      </c>
      <c r="C1015" s="2" t="s">
        <v>1238</v>
      </c>
      <c r="D1015" t="s">
        <v>15</v>
      </c>
      <c r="E1015" s="4">
        <v>0</v>
      </c>
      <c r="F1015" s="2">
        <v>0</v>
      </c>
      <c r="G1015" s="2">
        <v>0</v>
      </c>
      <c r="I1015" s="2" t="s">
        <v>1239</v>
      </c>
      <c r="J1015" s="2" t="s">
        <v>1240</v>
      </c>
      <c r="K1015" t="s">
        <v>18</v>
      </c>
      <c r="L1015" t="str">
        <f>T("")</f>
        <v/>
      </c>
      <c r="M1015" t="str">
        <f t="shared" si="35"/>
        <v/>
      </c>
    </row>
    <row r="1016" spans="1:14">
      <c r="A1016" s="1">
        <v>46064.346365740741</v>
      </c>
      <c r="B1016">
        <v>328037871</v>
      </c>
      <c r="C1016" s="2" t="s">
        <v>1241</v>
      </c>
      <c r="D1016" t="s">
        <v>15</v>
      </c>
      <c r="E1016" s="5">
        <v>1100</v>
      </c>
      <c r="F1016" s="3">
        <v>1100</v>
      </c>
      <c r="G1016" s="2">
        <v>770</v>
      </c>
      <c r="I1016" s="2" t="s">
        <v>638</v>
      </c>
      <c r="J1016" s="2" t="s">
        <v>184</v>
      </c>
      <c r="K1016" t="s">
        <v>18</v>
      </c>
      <c r="L1016" t="str">
        <f>T("9791170960416")</f>
        <v>9791170960416</v>
      </c>
      <c r="M1016" t="str">
        <f t="shared" si="35"/>
        <v/>
      </c>
      <c r="N1016" t="s">
        <v>1242</v>
      </c>
    </row>
    <row r="1017" spans="1:14">
      <c r="A1017" s="1">
        <v>46064.346365740741</v>
      </c>
      <c r="B1017">
        <v>328038027</v>
      </c>
      <c r="C1017" s="2" t="s">
        <v>1243</v>
      </c>
      <c r="D1017" t="s">
        <v>15</v>
      </c>
      <c r="E1017" s="5">
        <v>3700</v>
      </c>
      <c r="F1017" s="3">
        <v>3700</v>
      </c>
      <c r="G1017" s="3">
        <v>2590</v>
      </c>
      <c r="I1017" s="2" t="s">
        <v>638</v>
      </c>
      <c r="J1017" s="2" t="s">
        <v>184</v>
      </c>
      <c r="K1017" t="s">
        <v>18</v>
      </c>
      <c r="L1017" t="str">
        <f>T("9791170960409")</f>
        <v>9791170960409</v>
      </c>
      <c r="M1017" t="str">
        <f t="shared" si="35"/>
        <v/>
      </c>
      <c r="N1017" t="s">
        <v>1244</v>
      </c>
    </row>
    <row r="1018" spans="1:14">
      <c r="A1018" s="1">
        <v>46064.346365740741</v>
      </c>
      <c r="B1018">
        <v>328037849</v>
      </c>
      <c r="C1018" s="2" t="s">
        <v>1245</v>
      </c>
      <c r="D1018" t="s">
        <v>15</v>
      </c>
      <c r="E1018" s="5">
        <v>3700</v>
      </c>
      <c r="F1018" s="3">
        <v>3700</v>
      </c>
      <c r="G1018" s="3">
        <v>2590</v>
      </c>
      <c r="I1018" s="2" t="s">
        <v>638</v>
      </c>
      <c r="J1018" s="2" t="s">
        <v>184</v>
      </c>
      <c r="K1018" t="s">
        <v>18</v>
      </c>
      <c r="L1018" t="str">
        <f>T("9791170960393")</f>
        <v>9791170960393</v>
      </c>
      <c r="M1018" t="str">
        <f t="shared" si="35"/>
        <v/>
      </c>
      <c r="N1018" t="s">
        <v>1246</v>
      </c>
    </row>
    <row r="1019" spans="1:14">
      <c r="A1019" s="1">
        <v>46064.350416666668</v>
      </c>
      <c r="B1019">
        <v>92090086</v>
      </c>
      <c r="C1019" s="2" t="s">
        <v>1247</v>
      </c>
      <c r="D1019" t="s">
        <v>15</v>
      </c>
      <c r="E1019" s="4">
        <v>0</v>
      </c>
      <c r="F1019" s="2">
        <v>0</v>
      </c>
      <c r="G1019" s="2">
        <v>0</v>
      </c>
      <c r="I1019" s="2" t="s">
        <v>1248</v>
      </c>
      <c r="J1019" s="2" t="s">
        <v>1240</v>
      </c>
      <c r="K1019" t="s">
        <v>18</v>
      </c>
      <c r="L1019" t="str">
        <f>T("9791187559276")</f>
        <v>9791187559276</v>
      </c>
      <c r="M1019" t="str">
        <f t="shared" si="35"/>
        <v/>
      </c>
    </row>
    <row r="1020" spans="1:14">
      <c r="A1020" s="1">
        <v>46064.351782407408</v>
      </c>
      <c r="B1020">
        <v>97949365</v>
      </c>
      <c r="C1020" s="2" t="s">
        <v>1249</v>
      </c>
      <c r="D1020" t="s">
        <v>15</v>
      </c>
      <c r="E1020" s="4">
        <v>0</v>
      </c>
      <c r="F1020" s="2">
        <v>0</v>
      </c>
      <c r="G1020" s="2">
        <v>0</v>
      </c>
      <c r="I1020" s="2" t="s">
        <v>1250</v>
      </c>
      <c r="J1020" s="2" t="s">
        <v>1240</v>
      </c>
      <c r="K1020" t="s">
        <v>18</v>
      </c>
      <c r="L1020" t="str">
        <f>T("")</f>
        <v/>
      </c>
      <c r="M1020" t="str">
        <f t="shared" si="35"/>
        <v/>
      </c>
    </row>
    <row r="1021" spans="1:14">
      <c r="A1021" s="1">
        <v>46064.360243055555</v>
      </c>
      <c r="B1021">
        <v>119446108</v>
      </c>
      <c r="C1021" s="2" t="s">
        <v>1251</v>
      </c>
      <c r="D1021" t="s">
        <v>15</v>
      </c>
      <c r="E1021" s="4">
        <v>0</v>
      </c>
      <c r="F1021" s="2">
        <v>0</v>
      </c>
      <c r="G1021" s="2">
        <v>0</v>
      </c>
      <c r="I1021" s="2" t="s">
        <v>1252</v>
      </c>
      <c r="J1021" s="2" t="s">
        <v>1253</v>
      </c>
      <c r="K1021" t="s">
        <v>18</v>
      </c>
      <c r="L1021" t="str">
        <f>T("")</f>
        <v/>
      </c>
      <c r="M1021" t="str">
        <f t="shared" si="35"/>
        <v/>
      </c>
    </row>
    <row r="1022" spans="1:14">
      <c r="A1022" s="1">
        <v>46064.361967592595</v>
      </c>
      <c r="B1022">
        <v>325784546</v>
      </c>
      <c r="C1022" s="2" t="s">
        <v>1254</v>
      </c>
      <c r="D1022" t="s">
        <v>15</v>
      </c>
      <c r="E1022" s="5">
        <v>1000</v>
      </c>
      <c r="F1022" s="3">
        <v>1000</v>
      </c>
      <c r="G1022" s="2">
        <v>700</v>
      </c>
      <c r="I1022" s="2" t="s">
        <v>354</v>
      </c>
      <c r="J1022" s="2" t="s">
        <v>21</v>
      </c>
      <c r="K1022" t="s">
        <v>18</v>
      </c>
      <c r="L1022" t="str">
        <f>T("9791170890027")</f>
        <v>9791170890027</v>
      </c>
      <c r="M1022" t="str">
        <f t="shared" si="35"/>
        <v/>
      </c>
      <c r="N1022" t="s">
        <v>1255</v>
      </c>
    </row>
    <row r="1023" spans="1:14">
      <c r="A1023" s="1">
        <v>46064.366759259261</v>
      </c>
      <c r="B1023">
        <v>371345723</v>
      </c>
      <c r="C1023" s="2" t="s">
        <v>525</v>
      </c>
      <c r="D1023" t="s">
        <v>15</v>
      </c>
      <c r="E1023" s="5">
        <v>3300</v>
      </c>
      <c r="F1023" s="3">
        <v>2970</v>
      </c>
      <c r="G1023" s="3">
        <v>2079</v>
      </c>
      <c r="I1023" s="2" t="s">
        <v>196</v>
      </c>
      <c r="J1023" s="2" t="s">
        <v>197</v>
      </c>
      <c r="K1023" t="s">
        <v>18</v>
      </c>
      <c r="L1023" t="str">
        <f>T("9791172821692")</f>
        <v>9791172821692</v>
      </c>
      <c r="M1023" t="str">
        <f t="shared" si="35"/>
        <v/>
      </c>
      <c r="N1023" t="s">
        <v>526</v>
      </c>
    </row>
    <row r="1024" spans="1:14">
      <c r="A1024" s="1">
        <v>46064.366759259261</v>
      </c>
      <c r="B1024">
        <v>385347797</v>
      </c>
      <c r="C1024" s="2" t="s">
        <v>195</v>
      </c>
      <c r="D1024" t="s">
        <v>15</v>
      </c>
      <c r="E1024" s="4">
        <v>700</v>
      </c>
      <c r="F1024" s="2">
        <v>630</v>
      </c>
      <c r="G1024" s="2">
        <v>441</v>
      </c>
      <c r="I1024" s="2" t="s">
        <v>196</v>
      </c>
      <c r="J1024" s="2" t="s">
        <v>197</v>
      </c>
      <c r="K1024" t="s">
        <v>18</v>
      </c>
      <c r="L1024" t="str">
        <f>T("9791172821937")</f>
        <v>9791172821937</v>
      </c>
      <c r="M1024" t="str">
        <f t="shared" si="35"/>
        <v/>
      </c>
      <c r="N1024" t="s">
        <v>198</v>
      </c>
    </row>
    <row r="1025" spans="1:14">
      <c r="A1025" s="1">
        <v>46064.418043981481</v>
      </c>
      <c r="B1025">
        <v>383895360</v>
      </c>
      <c r="C1025" s="2" t="s">
        <v>1256</v>
      </c>
      <c r="D1025" t="s">
        <v>15</v>
      </c>
      <c r="E1025" s="5">
        <v>2500</v>
      </c>
      <c r="F1025" s="3">
        <v>2500</v>
      </c>
      <c r="G1025" s="3">
        <v>1750</v>
      </c>
      <c r="I1025" s="2" t="s">
        <v>1257</v>
      </c>
      <c r="J1025" s="2" t="s">
        <v>960</v>
      </c>
      <c r="K1025" t="s">
        <v>18</v>
      </c>
      <c r="L1025" t="str">
        <f>T("9791171846214")</f>
        <v>9791171846214</v>
      </c>
      <c r="M1025" t="str">
        <f t="shared" si="35"/>
        <v/>
      </c>
      <c r="N1025" t="s">
        <v>1258</v>
      </c>
    </row>
    <row r="1026" spans="1:14">
      <c r="A1026" s="1">
        <v>46064.426180555558</v>
      </c>
      <c r="B1026">
        <v>369492204</v>
      </c>
      <c r="C1026" s="2" t="s">
        <v>256</v>
      </c>
      <c r="D1026" t="s">
        <v>15</v>
      </c>
      <c r="E1026" s="5">
        <v>2000</v>
      </c>
      <c r="F1026" s="3">
        <v>2000</v>
      </c>
      <c r="G1026" s="3">
        <v>1400</v>
      </c>
      <c r="I1026" s="2" t="s">
        <v>257</v>
      </c>
      <c r="J1026" s="2" t="s">
        <v>55</v>
      </c>
      <c r="K1026" t="s">
        <v>18</v>
      </c>
      <c r="L1026" t="str">
        <f>T("9791173018183")</f>
        <v>9791173018183</v>
      </c>
      <c r="M1026" t="str">
        <f t="shared" si="35"/>
        <v/>
      </c>
      <c r="N1026" t="s">
        <v>258</v>
      </c>
    </row>
    <row r="1027" spans="1:14">
      <c r="A1027" s="1">
        <v>46064.452256944445</v>
      </c>
      <c r="B1027">
        <v>343115258</v>
      </c>
      <c r="C1027" s="2" t="s">
        <v>874</v>
      </c>
      <c r="D1027" t="s">
        <v>15</v>
      </c>
      <c r="E1027" s="5">
        <v>1000</v>
      </c>
      <c r="F1027" s="3">
        <v>1000</v>
      </c>
      <c r="G1027" s="2">
        <v>700</v>
      </c>
      <c r="I1027" s="2" t="s">
        <v>89</v>
      </c>
      <c r="J1027" s="2" t="s">
        <v>21</v>
      </c>
      <c r="K1027" t="s">
        <v>18</v>
      </c>
      <c r="L1027" t="str">
        <f>T("9791167838315")</f>
        <v>9791167838315</v>
      </c>
      <c r="M1027" t="str">
        <f t="shared" si="35"/>
        <v/>
      </c>
      <c r="N1027" t="s">
        <v>875</v>
      </c>
    </row>
    <row r="1028" spans="1:14">
      <c r="A1028" s="1">
        <v>46064.459641203706</v>
      </c>
      <c r="B1028">
        <v>385782810</v>
      </c>
      <c r="C1028" s="2" t="s">
        <v>1167</v>
      </c>
      <c r="D1028" t="s">
        <v>15</v>
      </c>
      <c r="E1028" s="5">
        <v>2000</v>
      </c>
      <c r="F1028" s="3">
        <v>1800</v>
      </c>
      <c r="G1028" s="3">
        <v>1260</v>
      </c>
      <c r="I1028" s="2" t="s">
        <v>1141</v>
      </c>
      <c r="J1028" s="2" t="s">
        <v>184</v>
      </c>
      <c r="K1028" t="s">
        <v>18</v>
      </c>
      <c r="L1028" t="str">
        <f>T("9791170965671")</f>
        <v>9791170965671</v>
      </c>
      <c r="M1028" t="str">
        <f t="shared" si="35"/>
        <v/>
      </c>
      <c r="N1028" t="s">
        <v>1168</v>
      </c>
    </row>
    <row r="1029" spans="1:14">
      <c r="A1029" s="1">
        <v>46064.48096064815</v>
      </c>
      <c r="B1029">
        <v>151609657</v>
      </c>
      <c r="C1029" s="2" t="s">
        <v>1259</v>
      </c>
      <c r="D1029" t="s">
        <v>15</v>
      </c>
      <c r="E1029" s="5">
        <v>9900</v>
      </c>
      <c r="F1029" s="3">
        <v>9900</v>
      </c>
      <c r="G1029" s="3">
        <v>6930</v>
      </c>
      <c r="I1029" s="2" t="s">
        <v>1260</v>
      </c>
      <c r="J1029" s="2" t="s">
        <v>647</v>
      </c>
      <c r="K1029" t="s">
        <v>18</v>
      </c>
      <c r="L1029" t="str">
        <f>T("9791187949190")</f>
        <v>9791187949190</v>
      </c>
      <c r="M1029" t="str">
        <f t="shared" si="35"/>
        <v/>
      </c>
    </row>
    <row r="1030" spans="1:14">
      <c r="A1030" s="1">
        <v>46064.507002314815</v>
      </c>
      <c r="B1030">
        <v>385782810</v>
      </c>
      <c r="C1030" s="2" t="s">
        <v>1167</v>
      </c>
      <c r="D1030" t="s">
        <v>15</v>
      </c>
      <c r="E1030" s="5">
        <v>2000</v>
      </c>
      <c r="F1030" s="3">
        <v>1800</v>
      </c>
      <c r="G1030" s="3">
        <v>1260</v>
      </c>
      <c r="I1030" s="2" t="s">
        <v>1141</v>
      </c>
      <c r="J1030" s="2" t="s">
        <v>184</v>
      </c>
      <c r="K1030" t="s">
        <v>18</v>
      </c>
      <c r="L1030" t="str">
        <f>T("9791170965671")</f>
        <v>9791170965671</v>
      </c>
      <c r="M1030" t="str">
        <f t="shared" si="35"/>
        <v/>
      </c>
      <c r="N1030" t="s">
        <v>1168</v>
      </c>
    </row>
    <row r="1031" spans="1:14">
      <c r="A1031" s="1">
        <v>46064.541226851848</v>
      </c>
      <c r="B1031">
        <v>370130210</v>
      </c>
      <c r="C1031" s="2" t="s">
        <v>1261</v>
      </c>
      <c r="D1031" t="s">
        <v>68</v>
      </c>
      <c r="E1031" s="4">
        <v>700</v>
      </c>
      <c r="F1031" s="2">
        <v>700</v>
      </c>
      <c r="G1031" s="2">
        <v>490</v>
      </c>
      <c r="I1031" s="2" t="s">
        <v>244</v>
      </c>
      <c r="J1031" s="2" t="s">
        <v>245</v>
      </c>
      <c r="K1031" t="s">
        <v>18</v>
      </c>
      <c r="L1031" t="str">
        <f>T("9791164489114")</f>
        <v>9791164489114</v>
      </c>
      <c r="M1031" t="str">
        <f t="shared" si="35"/>
        <v/>
      </c>
      <c r="N1031" t="s">
        <v>1262</v>
      </c>
    </row>
    <row r="1032" spans="1:14">
      <c r="A1032" s="1">
        <v>46064.542731481481</v>
      </c>
      <c r="B1032">
        <v>294075228</v>
      </c>
      <c r="C1032" s="2" t="s">
        <v>1263</v>
      </c>
      <c r="D1032" t="s">
        <v>15</v>
      </c>
      <c r="E1032" s="5">
        <v>3000</v>
      </c>
      <c r="F1032" s="3">
        <v>2700</v>
      </c>
      <c r="G1032" s="3">
        <v>1890</v>
      </c>
      <c r="I1032" s="2" t="s">
        <v>833</v>
      </c>
      <c r="J1032" s="2" t="s">
        <v>65</v>
      </c>
      <c r="K1032" t="s">
        <v>18</v>
      </c>
      <c r="L1032" t="str">
        <f>T("9791137006874")</f>
        <v>9791137006874</v>
      </c>
      <c r="M1032" t="str">
        <f t="shared" si="35"/>
        <v/>
      </c>
      <c r="N1032" t="s">
        <v>1264</v>
      </c>
    </row>
    <row r="1033" spans="1:14">
      <c r="A1033" s="1">
        <v>46064.542731481481</v>
      </c>
      <c r="B1033">
        <v>294075230</v>
      </c>
      <c r="C1033" s="2" t="s">
        <v>1265</v>
      </c>
      <c r="D1033" t="s">
        <v>15</v>
      </c>
      <c r="E1033" s="5">
        <v>3000</v>
      </c>
      <c r="F1033" s="3">
        <v>2700</v>
      </c>
      <c r="G1033" s="3">
        <v>1890</v>
      </c>
      <c r="I1033" s="2" t="s">
        <v>833</v>
      </c>
      <c r="J1033" s="2" t="s">
        <v>65</v>
      </c>
      <c r="K1033" t="s">
        <v>18</v>
      </c>
      <c r="L1033" t="str">
        <f>T("9791137006881")</f>
        <v>9791137006881</v>
      </c>
      <c r="M1033" t="str">
        <f t="shared" si="35"/>
        <v/>
      </c>
      <c r="N1033" t="s">
        <v>1266</v>
      </c>
    </row>
    <row r="1034" spans="1:14">
      <c r="A1034" s="1">
        <v>46064.542731481481</v>
      </c>
      <c r="B1034">
        <v>294075236</v>
      </c>
      <c r="C1034" s="2" t="s">
        <v>1267</v>
      </c>
      <c r="D1034" t="s">
        <v>15</v>
      </c>
      <c r="E1034" s="5">
        <v>3000</v>
      </c>
      <c r="F1034" s="3">
        <v>2700</v>
      </c>
      <c r="G1034" s="3">
        <v>1890</v>
      </c>
      <c r="I1034" s="2" t="s">
        <v>833</v>
      </c>
      <c r="J1034" s="2" t="s">
        <v>65</v>
      </c>
      <c r="K1034" t="s">
        <v>18</v>
      </c>
      <c r="L1034" t="str">
        <f>T("9791137006898")</f>
        <v>9791137006898</v>
      </c>
      <c r="M1034" t="str">
        <f t="shared" si="35"/>
        <v/>
      </c>
      <c r="N1034" t="s">
        <v>1268</v>
      </c>
    </row>
    <row r="1035" spans="1:14">
      <c r="A1035" s="1">
        <v>46064.542731481481</v>
      </c>
      <c r="B1035">
        <v>294075244</v>
      </c>
      <c r="C1035" s="2" t="s">
        <v>1269</v>
      </c>
      <c r="D1035" t="s">
        <v>15</v>
      </c>
      <c r="E1035" s="5">
        <v>3000</v>
      </c>
      <c r="F1035" s="3">
        <v>2700</v>
      </c>
      <c r="G1035" s="3">
        <v>1890</v>
      </c>
      <c r="I1035" s="2" t="s">
        <v>833</v>
      </c>
      <c r="J1035" s="2" t="s">
        <v>65</v>
      </c>
      <c r="K1035" t="s">
        <v>18</v>
      </c>
      <c r="L1035" t="str">
        <f>T("9791137006867")</f>
        <v>9791137006867</v>
      </c>
      <c r="M1035" t="str">
        <f t="shared" si="35"/>
        <v/>
      </c>
      <c r="N1035" t="s">
        <v>1270</v>
      </c>
    </row>
    <row r="1036" spans="1:14">
      <c r="A1036" s="1">
        <v>46064.542731481481</v>
      </c>
      <c r="B1036">
        <v>294075245</v>
      </c>
      <c r="C1036" s="2" t="s">
        <v>1271</v>
      </c>
      <c r="D1036" t="s">
        <v>15</v>
      </c>
      <c r="E1036" s="4">
        <v>0</v>
      </c>
      <c r="F1036" s="2">
        <v>0</v>
      </c>
      <c r="G1036" s="2">
        <v>0</v>
      </c>
      <c r="I1036" s="2" t="s">
        <v>833</v>
      </c>
      <c r="J1036" s="2" t="s">
        <v>65</v>
      </c>
      <c r="K1036" t="s">
        <v>18</v>
      </c>
      <c r="L1036" t="str">
        <f>T("9791137006850")</f>
        <v>9791137006850</v>
      </c>
      <c r="M1036" t="str">
        <f t="shared" si="35"/>
        <v/>
      </c>
      <c r="N1036" t="s">
        <v>1272</v>
      </c>
    </row>
    <row r="1037" spans="1:14">
      <c r="A1037" s="1">
        <v>46064.542731481481</v>
      </c>
      <c r="B1037">
        <v>294075246</v>
      </c>
      <c r="C1037" s="2" t="s">
        <v>1273</v>
      </c>
      <c r="D1037" t="s">
        <v>15</v>
      </c>
      <c r="E1037" s="5">
        <v>3000</v>
      </c>
      <c r="F1037" s="3">
        <v>2700</v>
      </c>
      <c r="G1037" s="3">
        <v>1890</v>
      </c>
      <c r="I1037" s="2" t="s">
        <v>833</v>
      </c>
      <c r="J1037" s="2" t="s">
        <v>65</v>
      </c>
      <c r="K1037" t="s">
        <v>18</v>
      </c>
      <c r="L1037" t="str">
        <f>T("9791137006942")</f>
        <v>9791137006942</v>
      </c>
      <c r="M1037" t="str">
        <f t="shared" si="35"/>
        <v/>
      </c>
      <c r="N1037" t="s">
        <v>1274</v>
      </c>
    </row>
    <row r="1038" spans="1:14">
      <c r="A1038" s="1">
        <v>46064.542731481481</v>
      </c>
      <c r="B1038">
        <v>294075248</v>
      </c>
      <c r="C1038" s="2" t="s">
        <v>1275</v>
      </c>
      <c r="D1038" t="s">
        <v>15</v>
      </c>
      <c r="E1038" s="5">
        <v>3000</v>
      </c>
      <c r="F1038" s="3">
        <v>2700</v>
      </c>
      <c r="G1038" s="3">
        <v>1890</v>
      </c>
      <c r="I1038" s="2" t="s">
        <v>833</v>
      </c>
      <c r="J1038" s="2" t="s">
        <v>65</v>
      </c>
      <c r="K1038" t="s">
        <v>18</v>
      </c>
      <c r="L1038" t="str">
        <f>T("9791137006928")</f>
        <v>9791137006928</v>
      </c>
      <c r="M1038" t="str">
        <f t="shared" si="35"/>
        <v/>
      </c>
      <c r="N1038" t="s">
        <v>1276</v>
      </c>
    </row>
    <row r="1039" spans="1:14">
      <c r="A1039" s="1">
        <v>46064.542731481481</v>
      </c>
      <c r="B1039">
        <v>294075251</v>
      </c>
      <c r="C1039" s="2" t="s">
        <v>1277</v>
      </c>
      <c r="D1039" t="s">
        <v>15</v>
      </c>
      <c r="E1039" s="5">
        <v>3000</v>
      </c>
      <c r="F1039" s="3">
        <v>2700</v>
      </c>
      <c r="G1039" s="3">
        <v>1890</v>
      </c>
      <c r="I1039" s="2" t="s">
        <v>833</v>
      </c>
      <c r="J1039" s="2" t="s">
        <v>65</v>
      </c>
      <c r="K1039" t="s">
        <v>18</v>
      </c>
      <c r="L1039" t="str">
        <f>T("9791137006935")</f>
        <v>9791137006935</v>
      </c>
      <c r="M1039" t="str">
        <f t="shared" si="35"/>
        <v/>
      </c>
      <c r="N1039" t="s">
        <v>1278</v>
      </c>
    </row>
    <row r="1040" spans="1:14">
      <c r="A1040" s="1">
        <v>46064.542731481481</v>
      </c>
      <c r="B1040">
        <v>294075256</v>
      </c>
      <c r="C1040" s="2" t="s">
        <v>1279</v>
      </c>
      <c r="D1040" t="s">
        <v>15</v>
      </c>
      <c r="E1040" s="5">
        <v>3000</v>
      </c>
      <c r="F1040" s="3">
        <v>2700</v>
      </c>
      <c r="G1040" s="3">
        <v>1890</v>
      </c>
      <c r="I1040" s="2" t="s">
        <v>833</v>
      </c>
      <c r="J1040" s="2" t="s">
        <v>65</v>
      </c>
      <c r="K1040" t="s">
        <v>18</v>
      </c>
      <c r="L1040" t="str">
        <f>T("9791137006904")</f>
        <v>9791137006904</v>
      </c>
      <c r="M1040" t="str">
        <f t="shared" si="35"/>
        <v/>
      </c>
      <c r="N1040" t="s">
        <v>1280</v>
      </c>
    </row>
    <row r="1041" spans="1:14">
      <c r="A1041" s="1">
        <v>46064.542731481481</v>
      </c>
      <c r="B1041">
        <v>294075257</v>
      </c>
      <c r="C1041" s="2" t="s">
        <v>1281</v>
      </c>
      <c r="D1041" t="s">
        <v>15</v>
      </c>
      <c r="E1041" s="5">
        <v>3000</v>
      </c>
      <c r="F1041" s="3">
        <v>2700</v>
      </c>
      <c r="G1041" s="3">
        <v>1890</v>
      </c>
      <c r="I1041" s="2" t="s">
        <v>833</v>
      </c>
      <c r="J1041" s="2" t="s">
        <v>65</v>
      </c>
      <c r="K1041" t="s">
        <v>18</v>
      </c>
      <c r="L1041" t="str">
        <f>T("9791137006911")</f>
        <v>9791137006911</v>
      </c>
      <c r="M1041" t="str">
        <f t="shared" si="35"/>
        <v/>
      </c>
      <c r="N1041" t="s">
        <v>1282</v>
      </c>
    </row>
    <row r="1042" spans="1:14">
      <c r="A1042" s="1">
        <v>46064.542731481481</v>
      </c>
      <c r="B1042">
        <v>294075259</v>
      </c>
      <c r="C1042" s="2" t="s">
        <v>1283</v>
      </c>
      <c r="D1042" t="s">
        <v>15</v>
      </c>
      <c r="E1042" s="5">
        <v>3000</v>
      </c>
      <c r="F1042" s="3">
        <v>2700</v>
      </c>
      <c r="G1042" s="3">
        <v>1890</v>
      </c>
      <c r="I1042" s="2" t="s">
        <v>833</v>
      </c>
      <c r="J1042" s="2" t="s">
        <v>65</v>
      </c>
      <c r="K1042" t="s">
        <v>18</v>
      </c>
      <c r="L1042" t="str">
        <f>T("9791137007000")</f>
        <v>9791137007000</v>
      </c>
      <c r="M1042" t="str">
        <f t="shared" si="35"/>
        <v/>
      </c>
      <c r="N1042" t="s">
        <v>1284</v>
      </c>
    </row>
    <row r="1043" spans="1:14">
      <c r="A1043" s="1">
        <v>46064.542731481481</v>
      </c>
      <c r="B1043">
        <v>294075263</v>
      </c>
      <c r="C1043" s="2" t="s">
        <v>1285</v>
      </c>
      <c r="D1043" t="s">
        <v>15</v>
      </c>
      <c r="E1043" s="5">
        <v>3000</v>
      </c>
      <c r="F1043" s="3">
        <v>2700</v>
      </c>
      <c r="G1043" s="3">
        <v>1890</v>
      </c>
      <c r="I1043" s="2" t="s">
        <v>833</v>
      </c>
      <c r="J1043" s="2" t="s">
        <v>65</v>
      </c>
      <c r="K1043" t="s">
        <v>18</v>
      </c>
      <c r="L1043" t="str">
        <f>T("9791137006980")</f>
        <v>9791137006980</v>
      </c>
      <c r="M1043" t="str">
        <f t="shared" si="35"/>
        <v/>
      </c>
      <c r="N1043" t="s">
        <v>1286</v>
      </c>
    </row>
    <row r="1044" spans="1:14">
      <c r="A1044" s="1">
        <v>46064.542731481481</v>
      </c>
      <c r="B1044">
        <v>294075266</v>
      </c>
      <c r="C1044" s="2" t="s">
        <v>1287</v>
      </c>
      <c r="D1044" t="s">
        <v>15</v>
      </c>
      <c r="E1044" s="5">
        <v>3000</v>
      </c>
      <c r="F1044" s="3">
        <v>2700</v>
      </c>
      <c r="G1044" s="3">
        <v>1890</v>
      </c>
      <c r="I1044" s="2" t="s">
        <v>833</v>
      </c>
      <c r="J1044" s="2" t="s">
        <v>65</v>
      </c>
      <c r="K1044" t="s">
        <v>18</v>
      </c>
      <c r="L1044" t="str">
        <f>T("9791137006966")</f>
        <v>9791137006966</v>
      </c>
      <c r="M1044" t="str">
        <f t="shared" ref="M1044:M1071" si="36">T("")</f>
        <v/>
      </c>
      <c r="N1044" t="s">
        <v>1288</v>
      </c>
    </row>
    <row r="1045" spans="1:14">
      <c r="A1045" s="1">
        <v>46064.542731481481</v>
      </c>
      <c r="B1045">
        <v>294075267</v>
      </c>
      <c r="C1045" s="2" t="s">
        <v>1289</v>
      </c>
      <c r="D1045" t="s">
        <v>15</v>
      </c>
      <c r="E1045" s="5">
        <v>3000</v>
      </c>
      <c r="F1045" s="3">
        <v>2700</v>
      </c>
      <c r="G1045" s="3">
        <v>1890</v>
      </c>
      <c r="I1045" s="2" t="s">
        <v>833</v>
      </c>
      <c r="J1045" s="2" t="s">
        <v>65</v>
      </c>
      <c r="K1045" t="s">
        <v>18</v>
      </c>
      <c r="L1045" t="str">
        <f>T("9791137007055")</f>
        <v>9791137007055</v>
      </c>
      <c r="M1045" t="str">
        <f t="shared" si="36"/>
        <v/>
      </c>
      <c r="N1045" t="s">
        <v>1290</v>
      </c>
    </row>
    <row r="1046" spans="1:14">
      <c r="A1046" s="1">
        <v>46064.542731481481</v>
      </c>
      <c r="B1046">
        <v>294075268</v>
      </c>
      <c r="C1046" s="2" t="s">
        <v>1291</v>
      </c>
      <c r="D1046" t="s">
        <v>15</v>
      </c>
      <c r="E1046" s="5">
        <v>3000</v>
      </c>
      <c r="F1046" s="3">
        <v>2700</v>
      </c>
      <c r="G1046" s="3">
        <v>1890</v>
      </c>
      <c r="I1046" s="2" t="s">
        <v>833</v>
      </c>
      <c r="J1046" s="2" t="s">
        <v>65</v>
      </c>
      <c r="K1046" t="s">
        <v>18</v>
      </c>
      <c r="L1046" t="str">
        <f>T("9791137007031")</f>
        <v>9791137007031</v>
      </c>
      <c r="M1046" t="str">
        <f t="shared" si="36"/>
        <v/>
      </c>
      <c r="N1046" t="s">
        <v>1292</v>
      </c>
    </row>
    <row r="1047" spans="1:14">
      <c r="A1047" s="1">
        <v>46064.542731481481</v>
      </c>
      <c r="B1047">
        <v>294075269</v>
      </c>
      <c r="C1047" s="2" t="s">
        <v>1293</v>
      </c>
      <c r="D1047" t="s">
        <v>15</v>
      </c>
      <c r="E1047" s="5">
        <v>3000</v>
      </c>
      <c r="F1047" s="3">
        <v>2700</v>
      </c>
      <c r="G1047" s="3">
        <v>1890</v>
      </c>
      <c r="I1047" s="2" t="s">
        <v>833</v>
      </c>
      <c r="J1047" s="2" t="s">
        <v>65</v>
      </c>
      <c r="K1047" t="s">
        <v>18</v>
      </c>
      <c r="L1047" t="str">
        <f>T("9791137006973")</f>
        <v>9791137006973</v>
      </c>
      <c r="M1047" t="str">
        <f t="shared" si="36"/>
        <v/>
      </c>
      <c r="N1047" t="s">
        <v>1294</v>
      </c>
    </row>
    <row r="1048" spans="1:14">
      <c r="A1048" s="1">
        <v>46064.542731481481</v>
      </c>
      <c r="B1048">
        <v>294075270</v>
      </c>
      <c r="C1048" s="2" t="s">
        <v>1295</v>
      </c>
      <c r="D1048" t="s">
        <v>15</v>
      </c>
      <c r="E1048" s="5">
        <v>3000</v>
      </c>
      <c r="F1048" s="3">
        <v>2700</v>
      </c>
      <c r="G1048" s="3">
        <v>1890</v>
      </c>
      <c r="I1048" s="2" t="s">
        <v>833</v>
      </c>
      <c r="J1048" s="2" t="s">
        <v>65</v>
      </c>
      <c r="K1048" t="s">
        <v>18</v>
      </c>
      <c r="L1048" t="str">
        <f>T("9791137007017")</f>
        <v>9791137007017</v>
      </c>
      <c r="M1048" t="str">
        <f t="shared" si="36"/>
        <v/>
      </c>
      <c r="N1048" t="s">
        <v>1296</v>
      </c>
    </row>
    <row r="1049" spans="1:14">
      <c r="A1049" s="1">
        <v>46064.542731481481</v>
      </c>
      <c r="B1049">
        <v>294075273</v>
      </c>
      <c r="C1049" s="2" t="s">
        <v>1297</v>
      </c>
      <c r="D1049" t="s">
        <v>15</v>
      </c>
      <c r="E1049" s="5">
        <v>3000</v>
      </c>
      <c r="F1049" s="3">
        <v>2700</v>
      </c>
      <c r="G1049" s="3">
        <v>1890</v>
      </c>
      <c r="I1049" s="2" t="s">
        <v>833</v>
      </c>
      <c r="J1049" s="2" t="s">
        <v>65</v>
      </c>
      <c r="K1049" t="s">
        <v>18</v>
      </c>
      <c r="L1049" t="str">
        <f>T("9791137006997")</f>
        <v>9791137006997</v>
      </c>
      <c r="M1049" t="str">
        <f t="shared" si="36"/>
        <v/>
      </c>
      <c r="N1049" t="s">
        <v>1298</v>
      </c>
    </row>
    <row r="1050" spans="1:14">
      <c r="A1050" s="1">
        <v>46064.542731481481</v>
      </c>
      <c r="B1050">
        <v>294075278</v>
      </c>
      <c r="C1050" s="2" t="s">
        <v>1299</v>
      </c>
      <c r="D1050" t="s">
        <v>15</v>
      </c>
      <c r="E1050" s="5">
        <v>3000</v>
      </c>
      <c r="F1050" s="3">
        <v>2700</v>
      </c>
      <c r="G1050" s="3">
        <v>1890</v>
      </c>
      <c r="I1050" s="2" t="s">
        <v>833</v>
      </c>
      <c r="J1050" s="2" t="s">
        <v>65</v>
      </c>
      <c r="K1050" t="s">
        <v>18</v>
      </c>
      <c r="L1050" t="str">
        <f>T("9791137007024")</f>
        <v>9791137007024</v>
      </c>
      <c r="M1050" t="str">
        <f t="shared" si="36"/>
        <v/>
      </c>
      <c r="N1050" t="s">
        <v>1300</v>
      </c>
    </row>
    <row r="1051" spans="1:14">
      <c r="A1051" s="1">
        <v>46064.542731481481</v>
      </c>
      <c r="B1051">
        <v>294075279</v>
      </c>
      <c r="C1051" s="2" t="s">
        <v>1301</v>
      </c>
      <c r="D1051" t="s">
        <v>15</v>
      </c>
      <c r="E1051" s="5">
        <v>3000</v>
      </c>
      <c r="F1051" s="3">
        <v>2700</v>
      </c>
      <c r="G1051" s="3">
        <v>1890</v>
      </c>
      <c r="I1051" s="2" t="s">
        <v>833</v>
      </c>
      <c r="J1051" s="2" t="s">
        <v>65</v>
      </c>
      <c r="K1051" t="s">
        <v>18</v>
      </c>
      <c r="L1051" t="str">
        <f>T("9791137007048")</f>
        <v>9791137007048</v>
      </c>
      <c r="M1051" t="str">
        <f t="shared" si="36"/>
        <v/>
      </c>
      <c r="N1051" t="s">
        <v>1302</v>
      </c>
    </row>
    <row r="1052" spans="1:14">
      <c r="A1052" s="1">
        <v>46064.547349537039</v>
      </c>
      <c r="B1052">
        <v>385782810</v>
      </c>
      <c r="C1052" s="2" t="s">
        <v>1167</v>
      </c>
      <c r="D1052" t="s">
        <v>15</v>
      </c>
      <c r="E1052" s="5">
        <v>2000</v>
      </c>
      <c r="F1052" s="3">
        <v>1800</v>
      </c>
      <c r="G1052" s="3">
        <v>1260</v>
      </c>
      <c r="I1052" s="2" t="s">
        <v>1141</v>
      </c>
      <c r="J1052" s="2" t="s">
        <v>184</v>
      </c>
      <c r="K1052" t="s">
        <v>18</v>
      </c>
      <c r="L1052" t="str">
        <f>T("9791170965671")</f>
        <v>9791170965671</v>
      </c>
      <c r="M1052" t="str">
        <f t="shared" si="36"/>
        <v/>
      </c>
      <c r="N1052" t="s">
        <v>1168</v>
      </c>
    </row>
    <row r="1053" spans="1:14">
      <c r="A1053" s="1">
        <v>46064.587094907409</v>
      </c>
      <c r="B1053">
        <v>385348455</v>
      </c>
      <c r="C1053" s="2" t="s">
        <v>255</v>
      </c>
      <c r="D1053" t="s">
        <v>68</v>
      </c>
      <c r="E1053" s="5">
        <v>12600</v>
      </c>
      <c r="F1053" s="3">
        <v>12600</v>
      </c>
      <c r="G1053" s="3">
        <v>8820</v>
      </c>
      <c r="I1053" s="2" t="s">
        <v>187</v>
      </c>
      <c r="J1053" s="2" t="s">
        <v>188</v>
      </c>
      <c r="K1053" t="s">
        <v>18</v>
      </c>
      <c r="L1053" t="str">
        <f>T("9791164835379")</f>
        <v>9791164835379</v>
      </c>
      <c r="M1053" t="str">
        <f t="shared" si="36"/>
        <v/>
      </c>
    </row>
    <row r="1054" spans="1:14">
      <c r="A1054" s="1">
        <v>46064.587893518517</v>
      </c>
      <c r="B1054">
        <v>308166681</v>
      </c>
      <c r="C1054" s="2" t="s">
        <v>1303</v>
      </c>
      <c r="D1054" t="s">
        <v>15</v>
      </c>
      <c r="E1054" s="5">
        <v>1000</v>
      </c>
      <c r="F1054" s="3">
        <v>1000</v>
      </c>
      <c r="G1054" s="2">
        <v>700</v>
      </c>
      <c r="I1054" s="2" t="s">
        <v>465</v>
      </c>
      <c r="J1054" s="2" t="s">
        <v>21</v>
      </c>
      <c r="K1054" t="s">
        <v>18</v>
      </c>
      <c r="L1054" t="str">
        <f>T("9791167834751")</f>
        <v>9791167834751</v>
      </c>
      <c r="M1054" t="str">
        <f t="shared" si="36"/>
        <v/>
      </c>
      <c r="N1054" t="s">
        <v>1304</v>
      </c>
    </row>
    <row r="1055" spans="1:14">
      <c r="A1055" s="1">
        <v>46064.600057870368</v>
      </c>
      <c r="B1055">
        <v>385782810</v>
      </c>
      <c r="C1055" s="2" t="s">
        <v>1167</v>
      </c>
      <c r="D1055" t="s">
        <v>15</v>
      </c>
      <c r="E1055" s="5">
        <v>2000</v>
      </c>
      <c r="F1055" s="3">
        <v>1800</v>
      </c>
      <c r="G1055" s="3">
        <v>1260</v>
      </c>
      <c r="I1055" s="2" t="s">
        <v>1141</v>
      </c>
      <c r="J1055" s="2" t="s">
        <v>184</v>
      </c>
      <c r="K1055" t="s">
        <v>18</v>
      </c>
      <c r="L1055" t="str">
        <f>T("9791170965671")</f>
        <v>9791170965671</v>
      </c>
      <c r="M1055" t="str">
        <f t="shared" si="36"/>
        <v/>
      </c>
      <c r="N1055" t="s">
        <v>1168</v>
      </c>
    </row>
    <row r="1056" spans="1:14">
      <c r="A1056" s="1">
        <v>46064.614340277774</v>
      </c>
      <c r="B1056">
        <v>358521369</v>
      </c>
      <c r="C1056" s="2" t="s">
        <v>1305</v>
      </c>
      <c r="D1056" t="s">
        <v>15</v>
      </c>
      <c r="E1056" s="5">
        <v>4000</v>
      </c>
      <c r="F1056" s="3">
        <v>4000</v>
      </c>
      <c r="G1056" s="3">
        <v>2800</v>
      </c>
      <c r="I1056" s="2" t="s">
        <v>1306</v>
      </c>
      <c r="J1056" s="2" t="s">
        <v>197</v>
      </c>
      <c r="K1056" t="s">
        <v>18</v>
      </c>
      <c r="L1056" t="str">
        <f>T("9791164095247")</f>
        <v>9791164095247</v>
      </c>
      <c r="M1056" t="str">
        <f t="shared" si="36"/>
        <v/>
      </c>
    </row>
    <row r="1057" spans="1:14">
      <c r="A1057" s="1">
        <v>46064.625613425924</v>
      </c>
      <c r="B1057">
        <v>383308625</v>
      </c>
      <c r="C1057" s="2" t="s">
        <v>1307</v>
      </c>
      <c r="D1057" t="s">
        <v>15</v>
      </c>
      <c r="E1057" s="5">
        <v>3200</v>
      </c>
      <c r="F1057" s="3">
        <v>3200</v>
      </c>
      <c r="G1057" s="3">
        <v>2240</v>
      </c>
      <c r="I1057" s="2" t="s">
        <v>340</v>
      </c>
      <c r="J1057" s="2" t="s">
        <v>341</v>
      </c>
      <c r="K1057" t="s">
        <v>18</v>
      </c>
      <c r="L1057" t="str">
        <f>T("9791193583098")</f>
        <v>9791193583098</v>
      </c>
      <c r="M1057" t="str">
        <f t="shared" si="36"/>
        <v/>
      </c>
      <c r="N1057" t="s">
        <v>1308</v>
      </c>
    </row>
    <row r="1058" spans="1:14">
      <c r="A1058" s="1">
        <v>46064.625613425924</v>
      </c>
      <c r="B1058">
        <v>383308636</v>
      </c>
      <c r="C1058" s="2" t="s">
        <v>1309</v>
      </c>
      <c r="D1058" t="s">
        <v>15</v>
      </c>
      <c r="E1058" s="5">
        <v>3200</v>
      </c>
      <c r="F1058" s="3">
        <v>3200</v>
      </c>
      <c r="G1058" s="3">
        <v>2240</v>
      </c>
      <c r="I1058" s="2" t="s">
        <v>340</v>
      </c>
      <c r="J1058" s="2" t="s">
        <v>341</v>
      </c>
      <c r="K1058" t="s">
        <v>18</v>
      </c>
      <c r="L1058" t="str">
        <f>T("9791193583104")</f>
        <v>9791193583104</v>
      </c>
      <c r="M1058" t="str">
        <f t="shared" si="36"/>
        <v/>
      </c>
      <c r="N1058" t="s">
        <v>1310</v>
      </c>
    </row>
    <row r="1059" spans="1:14">
      <c r="A1059" s="1">
        <v>46064.625613425924</v>
      </c>
      <c r="B1059">
        <v>383308646</v>
      </c>
      <c r="C1059" s="2" t="s">
        <v>1311</v>
      </c>
      <c r="D1059" t="s">
        <v>15</v>
      </c>
      <c r="E1059" s="5">
        <v>3200</v>
      </c>
      <c r="F1059" s="3">
        <v>3200</v>
      </c>
      <c r="G1059" s="3">
        <v>2240</v>
      </c>
      <c r="I1059" s="2" t="s">
        <v>340</v>
      </c>
      <c r="J1059" s="2" t="s">
        <v>341</v>
      </c>
      <c r="K1059" t="s">
        <v>18</v>
      </c>
      <c r="L1059" t="str">
        <f>T("9791193583081")</f>
        <v>9791193583081</v>
      </c>
      <c r="M1059" t="str">
        <f t="shared" si="36"/>
        <v/>
      </c>
      <c r="N1059" t="s">
        <v>1312</v>
      </c>
    </row>
    <row r="1060" spans="1:14">
      <c r="A1060" s="1">
        <v>46064.625613425924</v>
      </c>
      <c r="B1060">
        <v>383308652</v>
      </c>
      <c r="C1060" s="2" t="s">
        <v>1313</v>
      </c>
      <c r="D1060" t="s">
        <v>15</v>
      </c>
      <c r="E1060" s="5">
        <v>3200</v>
      </c>
      <c r="F1060" s="3">
        <v>3200</v>
      </c>
      <c r="G1060" s="3">
        <v>2240</v>
      </c>
      <c r="I1060" s="2" t="s">
        <v>340</v>
      </c>
      <c r="J1060" s="2" t="s">
        <v>341</v>
      </c>
      <c r="K1060" t="s">
        <v>18</v>
      </c>
      <c r="L1060" t="str">
        <f>T("9791193583111")</f>
        <v>9791193583111</v>
      </c>
      <c r="M1060" t="str">
        <f t="shared" si="36"/>
        <v/>
      </c>
      <c r="N1060" t="s">
        <v>1314</v>
      </c>
    </row>
    <row r="1061" spans="1:14">
      <c r="A1061" s="1">
        <v>46064.625787037039</v>
      </c>
      <c r="B1061">
        <v>385347715</v>
      </c>
      <c r="C1061" s="2" t="s">
        <v>186</v>
      </c>
      <c r="D1061" t="s">
        <v>15</v>
      </c>
      <c r="E1061" s="5">
        <v>2000</v>
      </c>
      <c r="F1061" s="3">
        <v>1800</v>
      </c>
      <c r="G1061" s="3">
        <v>1260</v>
      </c>
      <c r="I1061" s="2" t="s">
        <v>187</v>
      </c>
      <c r="J1061" s="2" t="s">
        <v>188</v>
      </c>
      <c r="K1061" t="s">
        <v>18</v>
      </c>
      <c r="L1061" t="str">
        <f>T("9791164835362")</f>
        <v>9791164835362</v>
      </c>
      <c r="M1061" t="str">
        <f t="shared" si="36"/>
        <v/>
      </c>
      <c r="N1061" t="s">
        <v>189</v>
      </c>
    </row>
    <row r="1062" spans="1:14">
      <c r="A1062" s="1">
        <v>46064.641886574071</v>
      </c>
      <c r="B1062">
        <v>367688282</v>
      </c>
      <c r="C1062" s="2" t="s">
        <v>1315</v>
      </c>
      <c r="D1062" t="s">
        <v>15</v>
      </c>
      <c r="E1062" s="5">
        <v>3300</v>
      </c>
      <c r="F1062" s="3">
        <v>2970</v>
      </c>
      <c r="G1062" s="3">
        <v>2079</v>
      </c>
      <c r="I1062" s="2" t="s">
        <v>1141</v>
      </c>
      <c r="J1062" s="2" t="s">
        <v>184</v>
      </c>
      <c r="K1062" t="s">
        <v>18</v>
      </c>
      <c r="L1062" t="str">
        <f>T("9791170964537")</f>
        <v>9791170964537</v>
      </c>
      <c r="M1062" t="str">
        <f t="shared" si="36"/>
        <v/>
      </c>
      <c r="N1062" t="s">
        <v>1316</v>
      </c>
    </row>
    <row r="1063" spans="1:14">
      <c r="A1063" s="1">
        <v>46064.641886574071</v>
      </c>
      <c r="B1063">
        <v>367688265</v>
      </c>
      <c r="C1063" s="2" t="s">
        <v>1317</v>
      </c>
      <c r="D1063" t="s">
        <v>15</v>
      </c>
      <c r="E1063" s="5">
        <v>3300</v>
      </c>
      <c r="F1063" s="3">
        <v>2970</v>
      </c>
      <c r="G1063" s="3">
        <v>2079</v>
      </c>
      <c r="I1063" s="2" t="s">
        <v>1141</v>
      </c>
      <c r="J1063" s="2" t="s">
        <v>184</v>
      </c>
      <c r="K1063" t="s">
        <v>18</v>
      </c>
      <c r="L1063" t="str">
        <f>T("9791170964513")</f>
        <v>9791170964513</v>
      </c>
      <c r="M1063" t="str">
        <f t="shared" si="36"/>
        <v/>
      </c>
      <c r="N1063" t="s">
        <v>1318</v>
      </c>
    </row>
    <row r="1064" spans="1:14">
      <c r="A1064" s="1">
        <v>46064.641886574071</v>
      </c>
      <c r="B1064">
        <v>367688280</v>
      </c>
      <c r="C1064" s="2" t="s">
        <v>1140</v>
      </c>
      <c r="D1064" t="s">
        <v>15</v>
      </c>
      <c r="E1064" s="5">
        <v>3300</v>
      </c>
      <c r="F1064" s="3">
        <v>2970</v>
      </c>
      <c r="G1064" s="3">
        <v>2079</v>
      </c>
      <c r="I1064" s="2" t="s">
        <v>1141</v>
      </c>
      <c r="J1064" s="2" t="s">
        <v>184</v>
      </c>
      <c r="K1064" t="s">
        <v>18</v>
      </c>
      <c r="L1064" t="str">
        <f>T("9791170964490")</f>
        <v>9791170964490</v>
      </c>
      <c r="M1064" t="str">
        <f t="shared" si="36"/>
        <v/>
      </c>
      <c r="N1064" t="s">
        <v>1142</v>
      </c>
    </row>
    <row r="1065" spans="1:14">
      <c r="A1065" s="1">
        <v>46064.641886574071</v>
      </c>
      <c r="B1065">
        <v>367688342</v>
      </c>
      <c r="C1065" s="2" t="s">
        <v>1319</v>
      </c>
      <c r="D1065" t="s">
        <v>15</v>
      </c>
      <c r="E1065" s="5">
        <v>3300</v>
      </c>
      <c r="F1065" s="3">
        <v>2970</v>
      </c>
      <c r="G1065" s="3">
        <v>2079</v>
      </c>
      <c r="I1065" s="2" t="s">
        <v>1141</v>
      </c>
      <c r="J1065" s="2" t="s">
        <v>184</v>
      </c>
      <c r="K1065" t="s">
        <v>18</v>
      </c>
      <c r="L1065" t="str">
        <f>T("9791170964520")</f>
        <v>9791170964520</v>
      </c>
      <c r="M1065" t="str">
        <f t="shared" si="36"/>
        <v/>
      </c>
      <c r="N1065" t="s">
        <v>1320</v>
      </c>
    </row>
    <row r="1066" spans="1:14">
      <c r="A1066" s="1">
        <v>46064.641886574071</v>
      </c>
      <c r="B1066">
        <v>367688256</v>
      </c>
      <c r="C1066" s="2" t="s">
        <v>1321</v>
      </c>
      <c r="D1066" t="s">
        <v>15</v>
      </c>
      <c r="E1066" s="5">
        <v>3300</v>
      </c>
      <c r="F1066" s="3">
        <v>2970</v>
      </c>
      <c r="G1066" s="3">
        <v>2079</v>
      </c>
      <c r="I1066" s="2" t="s">
        <v>1141</v>
      </c>
      <c r="J1066" s="2" t="s">
        <v>184</v>
      </c>
      <c r="K1066" t="s">
        <v>18</v>
      </c>
      <c r="L1066" t="str">
        <f>T("9791170964506")</f>
        <v>9791170964506</v>
      </c>
      <c r="M1066" t="str">
        <f t="shared" si="36"/>
        <v/>
      </c>
      <c r="N1066" t="s">
        <v>1322</v>
      </c>
    </row>
    <row r="1067" spans="1:14">
      <c r="A1067" s="1">
        <v>46064.659131944441</v>
      </c>
      <c r="B1067">
        <v>375169556</v>
      </c>
      <c r="C1067" s="2" t="s">
        <v>1323</v>
      </c>
      <c r="D1067" t="s">
        <v>15</v>
      </c>
      <c r="E1067" s="5">
        <v>1000</v>
      </c>
      <c r="F1067" s="3">
        <v>1000</v>
      </c>
      <c r="G1067" s="2">
        <v>700</v>
      </c>
      <c r="I1067" s="2" t="s">
        <v>1324</v>
      </c>
      <c r="J1067" s="2" t="s">
        <v>21</v>
      </c>
      <c r="K1067" t="s">
        <v>18</v>
      </c>
      <c r="L1067" t="str">
        <f>T("9791175580794")</f>
        <v>9791175580794</v>
      </c>
      <c r="M1067" t="str">
        <f t="shared" si="36"/>
        <v/>
      </c>
      <c r="N1067" t="s">
        <v>1325</v>
      </c>
    </row>
    <row r="1068" spans="1:14">
      <c r="A1068" s="1">
        <v>46064.659131944441</v>
      </c>
      <c r="B1068">
        <v>282892713</v>
      </c>
      <c r="C1068" s="2" t="s">
        <v>900</v>
      </c>
      <c r="D1068" t="s">
        <v>15</v>
      </c>
      <c r="E1068" s="5">
        <v>1000</v>
      </c>
      <c r="F1068" s="3">
        <v>1000</v>
      </c>
      <c r="G1068" s="2">
        <v>700</v>
      </c>
      <c r="I1068" s="2" t="s">
        <v>901</v>
      </c>
      <c r="J1068" s="2" t="s">
        <v>177</v>
      </c>
      <c r="K1068" t="s">
        <v>18</v>
      </c>
      <c r="L1068" t="str">
        <f>T("9791164794782")</f>
        <v>9791164794782</v>
      </c>
      <c r="M1068" t="str">
        <f t="shared" si="36"/>
        <v/>
      </c>
      <c r="N1068" t="s">
        <v>902</v>
      </c>
    </row>
    <row r="1069" spans="1:14">
      <c r="A1069" s="1">
        <v>46064.659131944441</v>
      </c>
      <c r="B1069">
        <v>229315688</v>
      </c>
      <c r="C1069" s="2" t="s">
        <v>1326</v>
      </c>
      <c r="D1069" t="s">
        <v>15</v>
      </c>
      <c r="E1069" s="5">
        <v>2400</v>
      </c>
      <c r="F1069" s="3">
        <v>2400</v>
      </c>
      <c r="G1069" s="3">
        <v>1680</v>
      </c>
      <c r="I1069" s="2" t="s">
        <v>852</v>
      </c>
      <c r="J1069" s="2" t="s">
        <v>197</v>
      </c>
      <c r="K1069" t="s">
        <v>18</v>
      </c>
      <c r="L1069" t="str">
        <f>T("9791164090976")</f>
        <v>9791164090976</v>
      </c>
      <c r="M1069" t="str">
        <f t="shared" si="36"/>
        <v/>
      </c>
    </row>
    <row r="1070" spans="1:14">
      <c r="A1070" s="1">
        <v>46064.68136574074</v>
      </c>
      <c r="B1070">
        <v>294228973</v>
      </c>
      <c r="C1070" s="2" t="s">
        <v>278</v>
      </c>
      <c r="D1070" t="s">
        <v>15</v>
      </c>
      <c r="E1070" s="5">
        <v>1000</v>
      </c>
      <c r="F1070" s="3">
        <v>1000</v>
      </c>
      <c r="G1070" s="2">
        <v>700</v>
      </c>
      <c r="I1070" s="2" t="s">
        <v>20</v>
      </c>
      <c r="J1070" s="2" t="s">
        <v>177</v>
      </c>
      <c r="K1070" t="s">
        <v>18</v>
      </c>
      <c r="L1070" t="str">
        <f>T("9791164796458")</f>
        <v>9791164796458</v>
      </c>
      <c r="M1070" t="str">
        <f t="shared" si="36"/>
        <v/>
      </c>
      <c r="N1070" t="s">
        <v>279</v>
      </c>
    </row>
    <row r="1071" spans="1:14">
      <c r="A1071" s="1">
        <v>46064.694907407407</v>
      </c>
      <c r="B1071">
        <v>383254106</v>
      </c>
      <c r="C1071" s="2" t="s">
        <v>698</v>
      </c>
      <c r="D1071" t="s">
        <v>15</v>
      </c>
      <c r="E1071" s="5">
        <v>1700</v>
      </c>
      <c r="F1071" s="3">
        <v>1700</v>
      </c>
      <c r="G1071" s="3">
        <v>1190</v>
      </c>
      <c r="I1071" s="2" t="s">
        <v>593</v>
      </c>
      <c r="J1071" s="2" t="s">
        <v>197</v>
      </c>
      <c r="K1071" t="s">
        <v>18</v>
      </c>
      <c r="L1071" t="str">
        <f>T("9791172822064")</f>
        <v>9791172822064</v>
      </c>
      <c r="M1071" t="str">
        <f t="shared" si="36"/>
        <v/>
      </c>
      <c r="N1071" t="s">
        <v>699</v>
      </c>
    </row>
    <row r="1072" spans="1:14">
      <c r="A1072" s="1">
        <v>46064.696550925924</v>
      </c>
      <c r="B1072">
        <v>385852476</v>
      </c>
      <c r="C1072" s="2" t="s">
        <v>1327</v>
      </c>
      <c r="D1072" t="s">
        <v>15</v>
      </c>
      <c r="E1072" s="5">
        <v>2500</v>
      </c>
      <c r="F1072" s="3">
        <v>2500</v>
      </c>
      <c r="G1072" s="3">
        <v>1750</v>
      </c>
      <c r="I1072" s="2" t="s">
        <v>1229</v>
      </c>
      <c r="J1072" s="2" t="s">
        <v>960</v>
      </c>
      <c r="K1072" t="s">
        <v>18</v>
      </c>
      <c r="L1072" t="str">
        <f t="shared" ref="L1072:L1082" si="37">T("")</f>
        <v/>
      </c>
      <c r="M1072" t="str">
        <f>T("G720:N+A378-20260112081.M006")</f>
        <v>G720:N+A378-20260112081.M006</v>
      </c>
      <c r="N1072" t="s">
        <v>1328</v>
      </c>
    </row>
    <row r="1073" spans="1:14">
      <c r="A1073" s="1">
        <v>46064.696550925924</v>
      </c>
      <c r="B1073">
        <v>385852477</v>
      </c>
      <c r="C1073" s="2" t="s">
        <v>1329</v>
      </c>
      <c r="D1073" t="s">
        <v>15</v>
      </c>
      <c r="E1073" s="5">
        <v>2500</v>
      </c>
      <c r="F1073" s="3">
        <v>2500</v>
      </c>
      <c r="G1073" s="3">
        <v>1750</v>
      </c>
      <c r="I1073" s="2" t="s">
        <v>1229</v>
      </c>
      <c r="J1073" s="2" t="s">
        <v>960</v>
      </c>
      <c r="K1073" t="s">
        <v>18</v>
      </c>
      <c r="L1073" t="str">
        <f t="shared" si="37"/>
        <v/>
      </c>
      <c r="M1073" t="str">
        <f>T("G720:N+A378-20260112081.M002")</f>
        <v>G720:N+A378-20260112081.M002</v>
      </c>
      <c r="N1073" t="s">
        <v>1330</v>
      </c>
    </row>
    <row r="1074" spans="1:14">
      <c r="A1074" s="1">
        <v>46064.696550925924</v>
      </c>
      <c r="B1074">
        <v>385852504</v>
      </c>
      <c r="C1074" s="2" t="s">
        <v>1331</v>
      </c>
      <c r="D1074" t="s">
        <v>15</v>
      </c>
      <c r="E1074" s="5">
        <v>2500</v>
      </c>
      <c r="F1074" s="3">
        <v>2500</v>
      </c>
      <c r="G1074" s="3">
        <v>1750</v>
      </c>
      <c r="I1074" s="2" t="s">
        <v>1229</v>
      </c>
      <c r="J1074" s="2" t="s">
        <v>960</v>
      </c>
      <c r="K1074" t="s">
        <v>18</v>
      </c>
      <c r="L1074" t="str">
        <f t="shared" si="37"/>
        <v/>
      </c>
      <c r="M1074" t="str">
        <f>T("G720:N+A378-20260112081.M011")</f>
        <v>G720:N+A378-20260112081.M011</v>
      </c>
      <c r="N1074" t="s">
        <v>1332</v>
      </c>
    </row>
    <row r="1075" spans="1:14">
      <c r="A1075" s="1">
        <v>46064.696550925924</v>
      </c>
      <c r="B1075">
        <v>385852478</v>
      </c>
      <c r="C1075" s="2" t="s">
        <v>1228</v>
      </c>
      <c r="D1075" t="s">
        <v>15</v>
      </c>
      <c r="E1075" s="4">
        <v>0</v>
      </c>
      <c r="F1075" s="2">
        <v>0</v>
      </c>
      <c r="G1075" s="2">
        <v>0</v>
      </c>
      <c r="I1075" s="2" t="s">
        <v>1229</v>
      </c>
      <c r="J1075" s="2" t="s">
        <v>960</v>
      </c>
      <c r="K1075" t="s">
        <v>18</v>
      </c>
      <c r="L1075" t="str">
        <f t="shared" si="37"/>
        <v/>
      </c>
      <c r="M1075" t="str">
        <f>T("G720:N+A378-20260112081.M001")</f>
        <v>G720:N+A378-20260112081.M001</v>
      </c>
      <c r="N1075" t="s">
        <v>1230</v>
      </c>
    </row>
    <row r="1076" spans="1:14">
      <c r="A1076" s="1">
        <v>46064.696550925924</v>
      </c>
      <c r="B1076">
        <v>385852479</v>
      </c>
      <c r="C1076" s="2" t="s">
        <v>1333</v>
      </c>
      <c r="D1076" t="s">
        <v>15</v>
      </c>
      <c r="E1076" s="5">
        <v>2500</v>
      </c>
      <c r="F1076" s="3">
        <v>2500</v>
      </c>
      <c r="G1076" s="3">
        <v>1750</v>
      </c>
      <c r="I1076" s="2" t="s">
        <v>1229</v>
      </c>
      <c r="J1076" s="2" t="s">
        <v>960</v>
      </c>
      <c r="K1076" t="s">
        <v>18</v>
      </c>
      <c r="L1076" t="str">
        <f t="shared" si="37"/>
        <v/>
      </c>
      <c r="M1076" t="str">
        <f>T("G720:N+A378-20260112081.M007")</f>
        <v>G720:N+A378-20260112081.M007</v>
      </c>
      <c r="N1076" t="s">
        <v>1334</v>
      </c>
    </row>
    <row r="1077" spans="1:14">
      <c r="A1077" s="1">
        <v>46064.696550925924</v>
      </c>
      <c r="B1077">
        <v>385852482</v>
      </c>
      <c r="C1077" s="2" t="s">
        <v>1335</v>
      </c>
      <c r="D1077" t="s">
        <v>15</v>
      </c>
      <c r="E1077" s="5">
        <v>2500</v>
      </c>
      <c r="F1077" s="3">
        <v>2500</v>
      </c>
      <c r="G1077" s="3">
        <v>1750</v>
      </c>
      <c r="I1077" s="2" t="s">
        <v>1229</v>
      </c>
      <c r="J1077" s="2" t="s">
        <v>960</v>
      </c>
      <c r="K1077" t="s">
        <v>18</v>
      </c>
      <c r="L1077" t="str">
        <f t="shared" si="37"/>
        <v/>
      </c>
      <c r="M1077" t="str">
        <f>T("G720:N+A378-20260112081.M009")</f>
        <v>G720:N+A378-20260112081.M009</v>
      </c>
      <c r="N1077" t="s">
        <v>1336</v>
      </c>
    </row>
    <row r="1078" spans="1:14">
      <c r="A1078" s="1">
        <v>46064.696550925924</v>
      </c>
      <c r="B1078">
        <v>385852480</v>
      </c>
      <c r="C1078" s="2" t="s">
        <v>1337</v>
      </c>
      <c r="D1078" t="s">
        <v>15</v>
      </c>
      <c r="E1078" s="5">
        <v>2500</v>
      </c>
      <c r="F1078" s="3">
        <v>2500</v>
      </c>
      <c r="G1078" s="3">
        <v>1750</v>
      </c>
      <c r="I1078" s="2" t="s">
        <v>1229</v>
      </c>
      <c r="J1078" s="2" t="s">
        <v>960</v>
      </c>
      <c r="K1078" t="s">
        <v>18</v>
      </c>
      <c r="L1078" t="str">
        <f t="shared" si="37"/>
        <v/>
      </c>
      <c r="M1078" t="str">
        <f>T("G720:N+A378-20260112081.M003")</f>
        <v>G720:N+A378-20260112081.M003</v>
      </c>
      <c r="N1078" t="s">
        <v>1338</v>
      </c>
    </row>
    <row r="1079" spans="1:14">
      <c r="A1079" s="1">
        <v>46064.696550925924</v>
      </c>
      <c r="B1079">
        <v>385852492</v>
      </c>
      <c r="C1079" s="2" t="s">
        <v>1339</v>
      </c>
      <c r="D1079" t="s">
        <v>15</v>
      </c>
      <c r="E1079" s="5">
        <v>2500</v>
      </c>
      <c r="F1079" s="3">
        <v>2500</v>
      </c>
      <c r="G1079" s="3">
        <v>1750</v>
      </c>
      <c r="I1079" s="2" t="s">
        <v>1229</v>
      </c>
      <c r="J1079" s="2" t="s">
        <v>960</v>
      </c>
      <c r="K1079" t="s">
        <v>18</v>
      </c>
      <c r="L1079" t="str">
        <f t="shared" si="37"/>
        <v/>
      </c>
      <c r="M1079" t="str">
        <f>T("G720:N+A378-20260112081.M005")</f>
        <v>G720:N+A378-20260112081.M005</v>
      </c>
      <c r="N1079" t="s">
        <v>1340</v>
      </c>
    </row>
    <row r="1080" spans="1:14">
      <c r="A1080" s="1">
        <v>46064.696550925924</v>
      </c>
      <c r="B1080">
        <v>385852496</v>
      </c>
      <c r="C1080" s="2" t="s">
        <v>1341</v>
      </c>
      <c r="D1080" t="s">
        <v>15</v>
      </c>
      <c r="E1080" s="5">
        <v>2500</v>
      </c>
      <c r="F1080" s="3">
        <v>2500</v>
      </c>
      <c r="G1080" s="3">
        <v>1750</v>
      </c>
      <c r="I1080" s="2" t="s">
        <v>1229</v>
      </c>
      <c r="J1080" s="2" t="s">
        <v>960</v>
      </c>
      <c r="K1080" t="s">
        <v>18</v>
      </c>
      <c r="L1080" t="str">
        <f t="shared" si="37"/>
        <v/>
      </c>
      <c r="M1080" t="str">
        <f>T("G720:N+A378-20260112081.M010")</f>
        <v>G720:N+A378-20260112081.M010</v>
      </c>
      <c r="N1080" t="s">
        <v>1342</v>
      </c>
    </row>
    <row r="1081" spans="1:14">
      <c r="A1081" s="1">
        <v>46064.696550925924</v>
      </c>
      <c r="B1081">
        <v>385852498</v>
      </c>
      <c r="C1081" s="2" t="s">
        <v>1343</v>
      </c>
      <c r="D1081" t="s">
        <v>15</v>
      </c>
      <c r="E1081" s="5">
        <v>2500</v>
      </c>
      <c r="F1081" s="3">
        <v>2500</v>
      </c>
      <c r="G1081" s="3">
        <v>1750</v>
      </c>
      <c r="I1081" s="2" t="s">
        <v>1229</v>
      </c>
      <c r="J1081" s="2" t="s">
        <v>960</v>
      </c>
      <c r="K1081" t="s">
        <v>18</v>
      </c>
      <c r="L1081" t="str">
        <f t="shared" si="37"/>
        <v/>
      </c>
      <c r="M1081" t="str">
        <f>T("G720:N+A378-20260112081.M004")</f>
        <v>G720:N+A378-20260112081.M004</v>
      </c>
      <c r="N1081" t="s">
        <v>1344</v>
      </c>
    </row>
    <row r="1082" spans="1:14">
      <c r="A1082" s="1">
        <v>46064.696550925924</v>
      </c>
      <c r="B1082">
        <v>385852499</v>
      </c>
      <c r="C1082" s="2" t="s">
        <v>1345</v>
      </c>
      <c r="D1082" t="s">
        <v>15</v>
      </c>
      <c r="E1082" s="5">
        <v>2500</v>
      </c>
      <c r="F1082" s="3">
        <v>2500</v>
      </c>
      <c r="G1082" s="3">
        <v>1750</v>
      </c>
      <c r="I1082" s="2" t="s">
        <v>1229</v>
      </c>
      <c r="J1082" s="2" t="s">
        <v>960</v>
      </c>
      <c r="K1082" t="s">
        <v>18</v>
      </c>
      <c r="L1082" t="str">
        <f t="shared" si="37"/>
        <v/>
      </c>
      <c r="M1082" t="str">
        <f>T("G720:N+A378-20260112081.M008")</f>
        <v>G720:N+A378-20260112081.M008</v>
      </c>
      <c r="N1082" t="s">
        <v>1346</v>
      </c>
    </row>
    <row r="1083" spans="1:14">
      <c r="A1083" s="1">
        <v>46064.709953703707</v>
      </c>
      <c r="B1083">
        <v>273042200</v>
      </c>
      <c r="C1083" s="2" t="s">
        <v>1347</v>
      </c>
      <c r="D1083" t="s">
        <v>15</v>
      </c>
      <c r="E1083" s="5">
        <v>1500</v>
      </c>
      <c r="F1083" s="3">
        <v>1500</v>
      </c>
      <c r="G1083" s="3">
        <v>1050</v>
      </c>
      <c r="I1083" s="2" t="s">
        <v>1348</v>
      </c>
      <c r="J1083" s="2" t="s">
        <v>21</v>
      </c>
      <c r="K1083" t="s">
        <v>18</v>
      </c>
      <c r="L1083" t="str">
        <f>T("9791191337471")</f>
        <v>9791191337471</v>
      </c>
      <c r="M1083" t="str">
        <f>T("")</f>
        <v/>
      </c>
    </row>
    <row r="1084" spans="1:14">
      <c r="A1084" s="1">
        <v>46064.754201388889</v>
      </c>
      <c r="B1084">
        <v>385852478</v>
      </c>
      <c r="C1084" s="2" t="s">
        <v>1228</v>
      </c>
      <c r="D1084" t="s">
        <v>15</v>
      </c>
      <c r="E1084" s="4">
        <v>0</v>
      </c>
      <c r="F1084" s="2">
        <v>0</v>
      </c>
      <c r="G1084" s="2">
        <v>0</v>
      </c>
      <c r="I1084" s="2" t="s">
        <v>1229</v>
      </c>
      <c r="J1084" s="2" t="s">
        <v>960</v>
      </c>
      <c r="K1084" t="s">
        <v>18</v>
      </c>
      <c r="L1084" t="str">
        <f>T("")</f>
        <v/>
      </c>
      <c r="M1084" t="str">
        <f>T("G720:N+A378-20260112081.M001")</f>
        <v>G720:N+A378-20260112081.M001</v>
      </c>
      <c r="N1084" t="s">
        <v>1230</v>
      </c>
    </row>
    <row r="1085" spans="1:14">
      <c r="A1085" s="1">
        <v>46064.75439814815</v>
      </c>
      <c r="B1085">
        <v>385347715</v>
      </c>
      <c r="C1085" s="2" t="s">
        <v>186</v>
      </c>
      <c r="D1085" t="s">
        <v>15</v>
      </c>
      <c r="E1085" s="5">
        <v>2000</v>
      </c>
      <c r="F1085" s="3">
        <v>1800</v>
      </c>
      <c r="G1085" s="3">
        <v>1260</v>
      </c>
      <c r="I1085" s="2" t="s">
        <v>187</v>
      </c>
      <c r="J1085" s="2" t="s">
        <v>188</v>
      </c>
      <c r="K1085" t="s">
        <v>18</v>
      </c>
      <c r="L1085" t="str">
        <f>T("9791164835362")</f>
        <v>9791164835362</v>
      </c>
      <c r="M1085" t="str">
        <f>T("")</f>
        <v/>
      </c>
      <c r="N1085" t="s">
        <v>189</v>
      </c>
    </row>
    <row r="1086" spans="1:14">
      <c r="A1086" s="1">
        <v>46064.762245370373</v>
      </c>
      <c r="B1086">
        <v>196515981</v>
      </c>
      <c r="C1086" s="2" t="s">
        <v>1349</v>
      </c>
      <c r="D1086" t="s">
        <v>15</v>
      </c>
      <c r="E1086" s="4">
        <v>200</v>
      </c>
      <c r="F1086" s="2">
        <v>200</v>
      </c>
      <c r="G1086" s="2">
        <v>140</v>
      </c>
      <c r="I1086" s="2" t="s">
        <v>1350</v>
      </c>
      <c r="J1086" s="2" t="s">
        <v>188</v>
      </c>
      <c r="K1086" t="s">
        <v>18</v>
      </c>
      <c r="L1086" t="str">
        <f>T("9791189901196")</f>
        <v>9791189901196</v>
      </c>
      <c r="M1086" t="str">
        <f>T("")</f>
        <v/>
      </c>
    </row>
    <row r="1087" spans="1:14">
      <c r="A1087" s="1">
        <v>46064.771678240744</v>
      </c>
      <c r="B1087">
        <v>385852477</v>
      </c>
      <c r="C1087" s="2" t="s">
        <v>1329</v>
      </c>
      <c r="D1087" t="s">
        <v>68</v>
      </c>
      <c r="E1087" s="4">
        <v>900</v>
      </c>
      <c r="F1087" s="2">
        <v>900</v>
      </c>
      <c r="G1087" s="2">
        <v>630</v>
      </c>
      <c r="I1087" s="2" t="s">
        <v>1229</v>
      </c>
      <c r="J1087" s="2" t="s">
        <v>960</v>
      </c>
      <c r="K1087" t="s">
        <v>18</v>
      </c>
      <c r="L1087" t="str">
        <f t="shared" ref="L1087:L1096" si="38">T("")</f>
        <v/>
      </c>
      <c r="M1087" t="str">
        <f>T("G720:N+A378-20260112081.M002")</f>
        <v>G720:N+A378-20260112081.M002</v>
      </c>
      <c r="N1087" t="s">
        <v>1330</v>
      </c>
    </row>
    <row r="1088" spans="1:14">
      <c r="A1088" s="1">
        <v>46064.771678240744</v>
      </c>
      <c r="B1088">
        <v>385852476</v>
      </c>
      <c r="C1088" s="2" t="s">
        <v>1327</v>
      </c>
      <c r="D1088" t="s">
        <v>68</v>
      </c>
      <c r="E1088" s="4">
        <v>900</v>
      </c>
      <c r="F1088" s="2">
        <v>900</v>
      </c>
      <c r="G1088" s="2">
        <v>630</v>
      </c>
      <c r="I1088" s="2" t="s">
        <v>1229</v>
      </c>
      <c r="J1088" s="2" t="s">
        <v>960</v>
      </c>
      <c r="K1088" t="s">
        <v>18</v>
      </c>
      <c r="L1088" t="str">
        <f t="shared" si="38"/>
        <v/>
      </c>
      <c r="M1088" t="str">
        <f>T("G720:N+A378-20260112081.M006")</f>
        <v>G720:N+A378-20260112081.M006</v>
      </c>
      <c r="N1088" t="s">
        <v>1328</v>
      </c>
    </row>
    <row r="1089" spans="1:14">
      <c r="A1089" s="1">
        <v>46064.771678240744</v>
      </c>
      <c r="B1089">
        <v>385852479</v>
      </c>
      <c r="C1089" s="2" t="s">
        <v>1333</v>
      </c>
      <c r="D1089" t="s">
        <v>68</v>
      </c>
      <c r="E1089" s="4">
        <v>900</v>
      </c>
      <c r="F1089" s="2">
        <v>900</v>
      </c>
      <c r="G1089" s="2">
        <v>630</v>
      </c>
      <c r="I1089" s="2" t="s">
        <v>1229</v>
      </c>
      <c r="J1089" s="2" t="s">
        <v>960</v>
      </c>
      <c r="K1089" t="s">
        <v>18</v>
      </c>
      <c r="L1089" t="str">
        <f t="shared" si="38"/>
        <v/>
      </c>
      <c r="M1089" t="str">
        <f>T("G720:N+A378-20260112081.M007")</f>
        <v>G720:N+A378-20260112081.M007</v>
      </c>
      <c r="N1089" t="s">
        <v>1334</v>
      </c>
    </row>
    <row r="1090" spans="1:14">
      <c r="A1090" s="1">
        <v>46064.771678240744</v>
      </c>
      <c r="B1090">
        <v>385852499</v>
      </c>
      <c r="C1090" s="2" t="s">
        <v>1345</v>
      </c>
      <c r="D1090" t="s">
        <v>68</v>
      </c>
      <c r="E1090" s="4">
        <v>900</v>
      </c>
      <c r="F1090" s="2">
        <v>900</v>
      </c>
      <c r="G1090" s="2">
        <v>630</v>
      </c>
      <c r="I1090" s="2" t="s">
        <v>1229</v>
      </c>
      <c r="J1090" s="2" t="s">
        <v>960</v>
      </c>
      <c r="K1090" t="s">
        <v>18</v>
      </c>
      <c r="L1090" t="str">
        <f t="shared" si="38"/>
        <v/>
      </c>
      <c r="M1090" t="str">
        <f>T("G720:N+A378-20260112081.M008")</f>
        <v>G720:N+A378-20260112081.M008</v>
      </c>
      <c r="N1090" t="s">
        <v>1346</v>
      </c>
    </row>
    <row r="1091" spans="1:14">
      <c r="A1091" s="1">
        <v>46064.771678240744</v>
      </c>
      <c r="B1091">
        <v>385852496</v>
      </c>
      <c r="C1091" s="2" t="s">
        <v>1341</v>
      </c>
      <c r="D1091" t="s">
        <v>68</v>
      </c>
      <c r="E1091" s="4">
        <v>900</v>
      </c>
      <c r="F1091" s="2">
        <v>900</v>
      </c>
      <c r="G1091" s="2">
        <v>630</v>
      </c>
      <c r="I1091" s="2" t="s">
        <v>1229</v>
      </c>
      <c r="J1091" s="2" t="s">
        <v>960</v>
      </c>
      <c r="K1091" t="s">
        <v>18</v>
      </c>
      <c r="L1091" t="str">
        <f t="shared" si="38"/>
        <v/>
      </c>
      <c r="M1091" t="str">
        <f>T("G720:N+A378-20260112081.M010")</f>
        <v>G720:N+A378-20260112081.M010</v>
      </c>
      <c r="N1091" t="s">
        <v>1342</v>
      </c>
    </row>
    <row r="1092" spans="1:14">
      <c r="A1092" s="1">
        <v>46064.771678240744</v>
      </c>
      <c r="B1092">
        <v>385852480</v>
      </c>
      <c r="C1092" s="2" t="s">
        <v>1337</v>
      </c>
      <c r="D1092" t="s">
        <v>68</v>
      </c>
      <c r="E1092" s="4">
        <v>900</v>
      </c>
      <c r="F1092" s="2">
        <v>900</v>
      </c>
      <c r="G1092" s="2">
        <v>630</v>
      </c>
      <c r="I1092" s="2" t="s">
        <v>1229</v>
      </c>
      <c r="J1092" s="2" t="s">
        <v>960</v>
      </c>
      <c r="K1092" t="s">
        <v>18</v>
      </c>
      <c r="L1092" t="str">
        <f t="shared" si="38"/>
        <v/>
      </c>
      <c r="M1092" t="str">
        <f>T("G720:N+A378-20260112081.M003")</f>
        <v>G720:N+A378-20260112081.M003</v>
      </c>
      <c r="N1092" t="s">
        <v>1338</v>
      </c>
    </row>
    <row r="1093" spans="1:14">
      <c r="A1093" s="1">
        <v>46064.771678240744</v>
      </c>
      <c r="B1093">
        <v>385852492</v>
      </c>
      <c r="C1093" s="2" t="s">
        <v>1339</v>
      </c>
      <c r="D1093" t="s">
        <v>68</v>
      </c>
      <c r="E1093" s="4">
        <v>900</v>
      </c>
      <c r="F1093" s="2">
        <v>900</v>
      </c>
      <c r="G1093" s="2">
        <v>630</v>
      </c>
      <c r="I1093" s="2" t="s">
        <v>1229</v>
      </c>
      <c r="J1093" s="2" t="s">
        <v>960</v>
      </c>
      <c r="K1093" t="s">
        <v>18</v>
      </c>
      <c r="L1093" t="str">
        <f t="shared" si="38"/>
        <v/>
      </c>
      <c r="M1093" t="str">
        <f>T("G720:N+A378-20260112081.M005")</f>
        <v>G720:N+A378-20260112081.M005</v>
      </c>
      <c r="N1093" t="s">
        <v>1340</v>
      </c>
    </row>
    <row r="1094" spans="1:14">
      <c r="A1094" s="1">
        <v>46064.771678240744</v>
      </c>
      <c r="B1094">
        <v>385852482</v>
      </c>
      <c r="C1094" s="2" t="s">
        <v>1335</v>
      </c>
      <c r="D1094" t="s">
        <v>68</v>
      </c>
      <c r="E1094" s="4">
        <v>900</v>
      </c>
      <c r="F1094" s="2">
        <v>900</v>
      </c>
      <c r="G1094" s="2">
        <v>630</v>
      </c>
      <c r="I1094" s="2" t="s">
        <v>1229</v>
      </c>
      <c r="J1094" s="2" t="s">
        <v>960</v>
      </c>
      <c r="K1094" t="s">
        <v>18</v>
      </c>
      <c r="L1094" t="str">
        <f t="shared" si="38"/>
        <v/>
      </c>
      <c r="M1094" t="str">
        <f>T("G720:N+A378-20260112081.M009")</f>
        <v>G720:N+A378-20260112081.M009</v>
      </c>
      <c r="N1094" t="s">
        <v>1336</v>
      </c>
    </row>
    <row r="1095" spans="1:14">
      <c r="A1095" s="1">
        <v>46064.771678240744</v>
      </c>
      <c r="B1095">
        <v>385852498</v>
      </c>
      <c r="C1095" s="2" t="s">
        <v>1343</v>
      </c>
      <c r="D1095" t="s">
        <v>68</v>
      </c>
      <c r="E1095" s="4">
        <v>900</v>
      </c>
      <c r="F1095" s="2">
        <v>900</v>
      </c>
      <c r="G1095" s="2">
        <v>630</v>
      </c>
      <c r="I1095" s="2" t="s">
        <v>1229</v>
      </c>
      <c r="J1095" s="2" t="s">
        <v>960</v>
      </c>
      <c r="K1095" t="s">
        <v>18</v>
      </c>
      <c r="L1095" t="str">
        <f t="shared" si="38"/>
        <v/>
      </c>
      <c r="M1095" t="str">
        <f>T("G720:N+A378-20260112081.M004")</f>
        <v>G720:N+A378-20260112081.M004</v>
      </c>
      <c r="N1095" t="s">
        <v>1344</v>
      </c>
    </row>
    <row r="1096" spans="1:14">
      <c r="A1096" s="1">
        <v>46064.771678240744</v>
      </c>
      <c r="B1096">
        <v>385852504</v>
      </c>
      <c r="C1096" s="2" t="s">
        <v>1331</v>
      </c>
      <c r="D1096" t="s">
        <v>68</v>
      </c>
      <c r="E1096" s="4">
        <v>900</v>
      </c>
      <c r="F1096" s="2">
        <v>900</v>
      </c>
      <c r="G1096" s="2">
        <v>630</v>
      </c>
      <c r="I1096" s="2" t="s">
        <v>1229</v>
      </c>
      <c r="J1096" s="2" t="s">
        <v>960</v>
      </c>
      <c r="K1096" t="s">
        <v>18</v>
      </c>
      <c r="L1096" t="str">
        <f t="shared" si="38"/>
        <v/>
      </c>
      <c r="M1096" t="str">
        <f>T("G720:N+A378-20260112081.M011")</f>
        <v>G720:N+A378-20260112081.M011</v>
      </c>
      <c r="N1096" t="s">
        <v>1332</v>
      </c>
    </row>
    <row r="1097" spans="1:14">
      <c r="A1097" s="1">
        <v>46064.793993055559</v>
      </c>
      <c r="B1097">
        <v>385347715</v>
      </c>
      <c r="C1097" s="2" t="s">
        <v>186</v>
      </c>
      <c r="D1097" t="s">
        <v>15</v>
      </c>
      <c r="E1097" s="5">
        <v>2000</v>
      </c>
      <c r="F1097" s="3">
        <v>1800</v>
      </c>
      <c r="G1097" s="3">
        <v>1260</v>
      </c>
      <c r="I1097" s="2" t="s">
        <v>187</v>
      </c>
      <c r="J1097" s="2" t="s">
        <v>188</v>
      </c>
      <c r="K1097" t="s">
        <v>18</v>
      </c>
      <c r="L1097" t="str">
        <f>T("9791164835362")</f>
        <v>9791164835362</v>
      </c>
      <c r="M1097" t="str">
        <f>T("")</f>
        <v/>
      </c>
      <c r="N1097" t="s">
        <v>189</v>
      </c>
    </row>
    <row r="1098" spans="1:14">
      <c r="A1098" s="1">
        <v>46064.794444444444</v>
      </c>
      <c r="B1098">
        <v>385347715</v>
      </c>
      <c r="C1098" s="2" t="s">
        <v>186</v>
      </c>
      <c r="D1098" t="s">
        <v>15</v>
      </c>
      <c r="E1098" s="5">
        <v>-2000</v>
      </c>
      <c r="F1098" s="3">
        <v>-1800</v>
      </c>
      <c r="G1098" s="3">
        <v>-1260</v>
      </c>
      <c r="H1098" s="1">
        <v>46064.793993055559</v>
      </c>
      <c r="I1098" s="2" t="s">
        <v>187</v>
      </c>
      <c r="J1098" s="2" t="s">
        <v>188</v>
      </c>
      <c r="K1098" t="s">
        <v>18</v>
      </c>
      <c r="L1098" t="str">
        <f>T("9791164835362")</f>
        <v>9791164835362</v>
      </c>
      <c r="M1098" t="str">
        <f>T("")</f>
        <v/>
      </c>
      <c r="N1098" t="s">
        <v>189</v>
      </c>
    </row>
    <row r="1099" spans="1:14">
      <c r="A1099" s="1">
        <v>46064.805497685185</v>
      </c>
      <c r="B1099">
        <v>385782810</v>
      </c>
      <c r="C1099" s="2" t="s">
        <v>1167</v>
      </c>
      <c r="D1099" t="s">
        <v>15</v>
      </c>
      <c r="E1099" s="5">
        <v>2000</v>
      </c>
      <c r="F1099" s="3">
        <v>1800</v>
      </c>
      <c r="G1099" s="3">
        <v>1260</v>
      </c>
      <c r="I1099" s="2" t="s">
        <v>1141</v>
      </c>
      <c r="J1099" s="2" t="s">
        <v>184</v>
      </c>
      <c r="K1099" t="s">
        <v>18</v>
      </c>
      <c r="L1099" t="str">
        <f>T("9791170965671")</f>
        <v>9791170965671</v>
      </c>
      <c r="M1099" t="str">
        <f>T("")</f>
        <v/>
      </c>
      <c r="N1099" t="s">
        <v>1168</v>
      </c>
    </row>
    <row r="1100" spans="1:14">
      <c r="A1100" s="1">
        <v>46064.808611111112</v>
      </c>
      <c r="B1100">
        <v>385347797</v>
      </c>
      <c r="C1100" s="2" t="s">
        <v>195</v>
      </c>
      <c r="D1100" t="s">
        <v>15</v>
      </c>
      <c r="E1100" s="4">
        <v>700</v>
      </c>
      <c r="F1100" s="2">
        <v>630</v>
      </c>
      <c r="G1100" s="2">
        <v>441</v>
      </c>
      <c r="I1100" s="2" t="s">
        <v>196</v>
      </c>
      <c r="J1100" s="2" t="s">
        <v>197</v>
      </c>
      <c r="K1100" t="s">
        <v>18</v>
      </c>
      <c r="L1100" t="str">
        <f>T("9791172821937")</f>
        <v>9791172821937</v>
      </c>
      <c r="M1100" t="str">
        <f>T("")</f>
        <v/>
      </c>
      <c r="N1100" t="s">
        <v>198</v>
      </c>
    </row>
    <row r="1101" spans="1:14">
      <c r="A1101" s="1">
        <v>46064.817824074074</v>
      </c>
      <c r="B1101">
        <v>385852478</v>
      </c>
      <c r="C1101" s="2" t="s">
        <v>1228</v>
      </c>
      <c r="D1101" t="s">
        <v>15</v>
      </c>
      <c r="E1101" s="4">
        <v>0</v>
      </c>
      <c r="F1101" s="2">
        <v>0</v>
      </c>
      <c r="G1101" s="2">
        <v>0</v>
      </c>
      <c r="I1101" s="2" t="s">
        <v>1229</v>
      </c>
      <c r="J1101" s="2" t="s">
        <v>960</v>
      </c>
      <c r="K1101" t="s">
        <v>18</v>
      </c>
      <c r="L1101" t="str">
        <f>T("")</f>
        <v/>
      </c>
      <c r="M1101" t="str">
        <f>T("G720:N+A378-20260112081.M001")</f>
        <v>G720:N+A378-20260112081.M001</v>
      </c>
      <c r="N1101" t="s">
        <v>1230</v>
      </c>
    </row>
    <row r="1102" spans="1:14">
      <c r="A1102" s="1">
        <v>46064.8203587963</v>
      </c>
      <c r="B1102">
        <v>372968978</v>
      </c>
      <c r="C1102" s="2" t="s">
        <v>1351</v>
      </c>
      <c r="D1102" t="s">
        <v>15</v>
      </c>
      <c r="E1102" s="5">
        <v>1000</v>
      </c>
      <c r="F1102" s="3">
        <v>1000</v>
      </c>
      <c r="G1102" s="2">
        <v>700</v>
      </c>
      <c r="I1102" s="2" t="s">
        <v>487</v>
      </c>
      <c r="J1102" s="2" t="s">
        <v>21</v>
      </c>
      <c r="K1102" t="s">
        <v>18</v>
      </c>
      <c r="L1102" t="str">
        <f>T("9791173017803")</f>
        <v>9791173017803</v>
      </c>
      <c r="M1102" t="str">
        <f t="shared" ref="M1102:M1122" si="39">T("")</f>
        <v/>
      </c>
      <c r="N1102" t="s">
        <v>1352</v>
      </c>
    </row>
    <row r="1103" spans="1:14">
      <c r="A1103" s="1">
        <v>46064.8203587963</v>
      </c>
      <c r="B1103">
        <v>365991415</v>
      </c>
      <c r="C1103" s="2" t="s">
        <v>1353</v>
      </c>
      <c r="D1103" t="s">
        <v>15</v>
      </c>
      <c r="E1103" s="5">
        <v>1000</v>
      </c>
      <c r="F1103" s="3">
        <v>1000</v>
      </c>
      <c r="G1103" s="2">
        <v>700</v>
      </c>
      <c r="I1103" s="2" t="s">
        <v>1354</v>
      </c>
      <c r="J1103" s="2" t="s">
        <v>21</v>
      </c>
      <c r="K1103" t="s">
        <v>18</v>
      </c>
      <c r="L1103" t="str">
        <f>T("9791173015670")</f>
        <v>9791173015670</v>
      </c>
      <c r="M1103" t="str">
        <f t="shared" si="39"/>
        <v/>
      </c>
      <c r="N1103" t="s">
        <v>1355</v>
      </c>
    </row>
    <row r="1104" spans="1:14">
      <c r="A1104" s="1">
        <v>46064.822395833333</v>
      </c>
      <c r="B1104">
        <v>385347715</v>
      </c>
      <c r="C1104" s="2" t="s">
        <v>186</v>
      </c>
      <c r="D1104" t="s">
        <v>15</v>
      </c>
      <c r="E1104" s="5">
        <v>2000</v>
      </c>
      <c r="F1104" s="3">
        <v>1800</v>
      </c>
      <c r="G1104" s="3">
        <v>1260</v>
      </c>
      <c r="I1104" s="2" t="s">
        <v>187</v>
      </c>
      <c r="J1104" s="2" t="s">
        <v>188</v>
      </c>
      <c r="K1104" t="s">
        <v>18</v>
      </c>
      <c r="L1104" t="str">
        <f>T("9791164835362")</f>
        <v>9791164835362</v>
      </c>
      <c r="M1104" t="str">
        <f t="shared" si="39"/>
        <v/>
      </c>
      <c r="N1104" t="s">
        <v>189</v>
      </c>
    </row>
    <row r="1105" spans="1:14">
      <c r="A1105" s="1">
        <v>46064.826377314814</v>
      </c>
      <c r="B1105">
        <v>385852579</v>
      </c>
      <c r="C1105" s="2" t="s">
        <v>1202</v>
      </c>
      <c r="D1105" t="s">
        <v>15</v>
      </c>
      <c r="E1105" s="5">
        <v>1000</v>
      </c>
      <c r="F1105" s="3">
        <v>1000</v>
      </c>
      <c r="G1105" s="2">
        <v>700</v>
      </c>
      <c r="I1105" s="2" t="s">
        <v>1203</v>
      </c>
      <c r="J1105" s="2" t="s">
        <v>21</v>
      </c>
      <c r="K1105" t="s">
        <v>18</v>
      </c>
      <c r="L1105" t="str">
        <f>T("9791175582620")</f>
        <v>9791175582620</v>
      </c>
      <c r="M1105" t="str">
        <f t="shared" si="39"/>
        <v/>
      </c>
      <c r="N1105" t="s">
        <v>1204</v>
      </c>
    </row>
    <row r="1106" spans="1:14">
      <c r="A1106" s="1">
        <v>46064.826377314814</v>
      </c>
      <c r="B1106">
        <v>382626253</v>
      </c>
      <c r="C1106" s="2" t="s">
        <v>1356</v>
      </c>
      <c r="D1106" t="s">
        <v>15</v>
      </c>
      <c r="E1106" s="5">
        <v>1000</v>
      </c>
      <c r="F1106" s="3">
        <v>1000</v>
      </c>
      <c r="G1106" s="2">
        <v>700</v>
      </c>
      <c r="I1106" s="2" t="s">
        <v>1203</v>
      </c>
      <c r="J1106" s="2" t="s">
        <v>21</v>
      </c>
      <c r="K1106" t="s">
        <v>18</v>
      </c>
      <c r="L1106" t="str">
        <f>T("9791175581418")</f>
        <v>9791175581418</v>
      </c>
      <c r="M1106" t="str">
        <f t="shared" si="39"/>
        <v/>
      </c>
      <c r="N1106" t="s">
        <v>1357</v>
      </c>
    </row>
    <row r="1107" spans="1:14">
      <c r="A1107" s="1">
        <v>46064.826377314814</v>
      </c>
      <c r="B1107">
        <v>382626189</v>
      </c>
      <c r="C1107" s="2" t="s">
        <v>1358</v>
      </c>
      <c r="D1107" t="s">
        <v>15</v>
      </c>
      <c r="E1107" s="5">
        <v>1000</v>
      </c>
      <c r="F1107" s="3">
        <v>1000</v>
      </c>
      <c r="G1107" s="2">
        <v>700</v>
      </c>
      <c r="I1107" s="2" t="s">
        <v>1203</v>
      </c>
      <c r="J1107" s="2" t="s">
        <v>21</v>
      </c>
      <c r="K1107" t="s">
        <v>18</v>
      </c>
      <c r="L1107" t="str">
        <f>T("9791175581425")</f>
        <v>9791175581425</v>
      </c>
      <c r="M1107" t="str">
        <f t="shared" si="39"/>
        <v/>
      </c>
      <c r="N1107" t="s">
        <v>1359</v>
      </c>
    </row>
    <row r="1108" spans="1:14">
      <c r="A1108" s="1">
        <v>46064.826377314814</v>
      </c>
      <c r="B1108">
        <v>384024078</v>
      </c>
      <c r="C1108" s="2" t="s">
        <v>1360</v>
      </c>
      <c r="D1108" t="s">
        <v>15</v>
      </c>
      <c r="E1108" s="5">
        <v>1000</v>
      </c>
      <c r="F1108" s="3">
        <v>1000</v>
      </c>
      <c r="G1108" s="2">
        <v>700</v>
      </c>
      <c r="I1108" s="2" t="s">
        <v>1203</v>
      </c>
      <c r="J1108" s="2" t="s">
        <v>21</v>
      </c>
      <c r="K1108" t="s">
        <v>18</v>
      </c>
      <c r="L1108" t="str">
        <f>T("9791175582231")</f>
        <v>9791175582231</v>
      </c>
      <c r="M1108" t="str">
        <f t="shared" si="39"/>
        <v/>
      </c>
      <c r="N1108" t="s">
        <v>1361</v>
      </c>
    </row>
    <row r="1109" spans="1:14">
      <c r="A1109" s="1">
        <v>46064.827986111108</v>
      </c>
      <c r="B1109">
        <v>384598651</v>
      </c>
      <c r="C1109" s="2" t="s">
        <v>696</v>
      </c>
      <c r="D1109" t="s">
        <v>15</v>
      </c>
      <c r="E1109" s="5">
        <v>1000</v>
      </c>
      <c r="F1109" s="3">
        <v>1000</v>
      </c>
      <c r="G1109" s="2">
        <v>700</v>
      </c>
      <c r="I1109" s="2" t="s">
        <v>28</v>
      </c>
      <c r="J1109" s="2" t="s">
        <v>21</v>
      </c>
      <c r="K1109" t="s">
        <v>18</v>
      </c>
      <c r="L1109" t="str">
        <f>T("9791175582422")</f>
        <v>9791175582422</v>
      </c>
      <c r="M1109" t="str">
        <f t="shared" si="39"/>
        <v/>
      </c>
      <c r="N1109" t="s">
        <v>697</v>
      </c>
    </row>
    <row r="1110" spans="1:14">
      <c r="A1110" s="1">
        <v>46064.829722222225</v>
      </c>
      <c r="B1110">
        <v>384598651</v>
      </c>
      <c r="C1110" s="2" t="s">
        <v>696</v>
      </c>
      <c r="D1110" t="s">
        <v>15</v>
      </c>
      <c r="E1110" s="5">
        <v>-1000</v>
      </c>
      <c r="F1110" s="3">
        <v>-1000</v>
      </c>
      <c r="G1110" s="2">
        <v>-700</v>
      </c>
      <c r="H1110" s="1">
        <v>46064.827986111108</v>
      </c>
      <c r="I1110" s="2" t="s">
        <v>28</v>
      </c>
      <c r="J1110" s="2" t="s">
        <v>21</v>
      </c>
      <c r="K1110" t="s">
        <v>18</v>
      </c>
      <c r="L1110" t="str">
        <f>T("9791175582422")</f>
        <v>9791175582422</v>
      </c>
      <c r="M1110" t="str">
        <f t="shared" si="39"/>
        <v/>
      </c>
      <c r="N1110" t="s">
        <v>697</v>
      </c>
    </row>
    <row r="1111" spans="1:14">
      <c r="A1111" s="1">
        <v>46064.843692129631</v>
      </c>
      <c r="B1111">
        <v>295040501</v>
      </c>
      <c r="C1111" s="2" t="s">
        <v>1362</v>
      </c>
      <c r="D1111" t="s">
        <v>15</v>
      </c>
      <c r="E1111" s="4">
        <v>100</v>
      </c>
      <c r="F1111" s="2">
        <v>100</v>
      </c>
      <c r="G1111" s="2">
        <v>70</v>
      </c>
      <c r="I1111" s="2" t="s">
        <v>64</v>
      </c>
      <c r="J1111" s="2" t="s">
        <v>65</v>
      </c>
      <c r="K1111" t="s">
        <v>18</v>
      </c>
      <c r="L1111" t="str">
        <f t="shared" ref="L1111:L1120" si="40">T("9791162589724")</f>
        <v>9791162589724</v>
      </c>
      <c r="M1111" t="str">
        <f t="shared" si="39"/>
        <v/>
      </c>
      <c r="N1111" t="s">
        <v>1363</v>
      </c>
    </row>
    <row r="1112" spans="1:14">
      <c r="A1112" s="1">
        <v>46064.843692129631</v>
      </c>
      <c r="B1112">
        <v>295040504</v>
      </c>
      <c r="C1112" s="2" t="s">
        <v>1364</v>
      </c>
      <c r="D1112" t="s">
        <v>15</v>
      </c>
      <c r="E1112" s="4">
        <v>100</v>
      </c>
      <c r="F1112" s="2">
        <v>100</v>
      </c>
      <c r="G1112" s="2">
        <v>70</v>
      </c>
      <c r="I1112" s="2" t="s">
        <v>64</v>
      </c>
      <c r="J1112" s="2" t="s">
        <v>65</v>
      </c>
      <c r="K1112" t="s">
        <v>18</v>
      </c>
      <c r="L1112" t="str">
        <f t="shared" si="40"/>
        <v>9791162589724</v>
      </c>
      <c r="M1112" t="str">
        <f t="shared" si="39"/>
        <v/>
      </c>
      <c r="N1112" t="s">
        <v>1365</v>
      </c>
    </row>
    <row r="1113" spans="1:14">
      <c r="A1113" s="1">
        <v>46064.843692129631</v>
      </c>
      <c r="B1113">
        <v>295040517</v>
      </c>
      <c r="C1113" s="2" t="s">
        <v>1366</v>
      </c>
      <c r="D1113" t="s">
        <v>15</v>
      </c>
      <c r="E1113" s="4">
        <v>100</v>
      </c>
      <c r="F1113" s="2">
        <v>100</v>
      </c>
      <c r="G1113" s="2">
        <v>70</v>
      </c>
      <c r="I1113" s="2" t="s">
        <v>64</v>
      </c>
      <c r="J1113" s="2" t="s">
        <v>65</v>
      </c>
      <c r="K1113" t="s">
        <v>18</v>
      </c>
      <c r="L1113" t="str">
        <f t="shared" si="40"/>
        <v>9791162589724</v>
      </c>
      <c r="M1113" t="str">
        <f t="shared" si="39"/>
        <v/>
      </c>
      <c r="N1113" t="s">
        <v>1367</v>
      </c>
    </row>
    <row r="1114" spans="1:14">
      <c r="A1114" s="1">
        <v>46064.843692129631</v>
      </c>
      <c r="B1114">
        <v>294560350</v>
      </c>
      <c r="C1114" s="2" t="s">
        <v>1368</v>
      </c>
      <c r="D1114" t="s">
        <v>15</v>
      </c>
      <c r="E1114" s="4">
        <v>100</v>
      </c>
      <c r="F1114" s="2">
        <v>100</v>
      </c>
      <c r="G1114" s="2">
        <v>70</v>
      </c>
      <c r="I1114" s="2" t="s">
        <v>64</v>
      </c>
      <c r="J1114" s="2" t="s">
        <v>65</v>
      </c>
      <c r="K1114" t="s">
        <v>18</v>
      </c>
      <c r="L1114" t="str">
        <f t="shared" si="40"/>
        <v>9791162589724</v>
      </c>
      <c r="M1114" t="str">
        <f t="shared" si="39"/>
        <v/>
      </c>
      <c r="N1114" t="s">
        <v>1369</v>
      </c>
    </row>
    <row r="1115" spans="1:14">
      <c r="A1115" s="1">
        <v>46064.843692129631</v>
      </c>
      <c r="B1115">
        <v>294560351</v>
      </c>
      <c r="C1115" s="2" t="s">
        <v>1370</v>
      </c>
      <c r="D1115" t="s">
        <v>15</v>
      </c>
      <c r="E1115" s="4">
        <v>100</v>
      </c>
      <c r="F1115" s="2">
        <v>100</v>
      </c>
      <c r="G1115" s="2">
        <v>70</v>
      </c>
      <c r="I1115" s="2" t="s">
        <v>64</v>
      </c>
      <c r="J1115" s="2" t="s">
        <v>65</v>
      </c>
      <c r="K1115" t="s">
        <v>18</v>
      </c>
      <c r="L1115" t="str">
        <f t="shared" si="40"/>
        <v>9791162589724</v>
      </c>
      <c r="M1115" t="str">
        <f t="shared" si="39"/>
        <v/>
      </c>
      <c r="N1115" t="s">
        <v>1371</v>
      </c>
    </row>
    <row r="1116" spans="1:14">
      <c r="A1116" s="1">
        <v>46064.843692129631</v>
      </c>
      <c r="B1116">
        <v>294560352</v>
      </c>
      <c r="C1116" s="2" t="s">
        <v>1372</v>
      </c>
      <c r="D1116" t="s">
        <v>15</v>
      </c>
      <c r="E1116" s="4">
        <v>100</v>
      </c>
      <c r="F1116" s="2">
        <v>100</v>
      </c>
      <c r="G1116" s="2">
        <v>70</v>
      </c>
      <c r="I1116" s="2" t="s">
        <v>64</v>
      </c>
      <c r="J1116" s="2" t="s">
        <v>65</v>
      </c>
      <c r="K1116" t="s">
        <v>18</v>
      </c>
      <c r="L1116" t="str">
        <f t="shared" si="40"/>
        <v>9791162589724</v>
      </c>
      <c r="M1116" t="str">
        <f t="shared" si="39"/>
        <v/>
      </c>
      <c r="N1116" t="s">
        <v>1373</v>
      </c>
    </row>
    <row r="1117" spans="1:14">
      <c r="A1117" s="1">
        <v>46064.843692129631</v>
      </c>
      <c r="B1117">
        <v>294146113</v>
      </c>
      <c r="C1117" s="2" t="s">
        <v>1374</v>
      </c>
      <c r="D1117" t="s">
        <v>15</v>
      </c>
      <c r="E1117" s="4">
        <v>100</v>
      </c>
      <c r="F1117" s="2">
        <v>100</v>
      </c>
      <c r="G1117" s="2">
        <v>70</v>
      </c>
      <c r="I1117" s="2" t="s">
        <v>64</v>
      </c>
      <c r="J1117" s="2" t="s">
        <v>65</v>
      </c>
      <c r="K1117" t="s">
        <v>18</v>
      </c>
      <c r="L1117" t="str">
        <f t="shared" si="40"/>
        <v>9791162589724</v>
      </c>
      <c r="M1117" t="str">
        <f t="shared" si="39"/>
        <v/>
      </c>
      <c r="N1117" t="s">
        <v>1375</v>
      </c>
    </row>
    <row r="1118" spans="1:14">
      <c r="A1118" s="1">
        <v>46064.843692129631</v>
      </c>
      <c r="B1118">
        <v>294146137</v>
      </c>
      <c r="C1118" s="2" t="s">
        <v>1376</v>
      </c>
      <c r="D1118" t="s">
        <v>15</v>
      </c>
      <c r="E1118" s="4">
        <v>100</v>
      </c>
      <c r="F1118" s="2">
        <v>100</v>
      </c>
      <c r="G1118" s="2">
        <v>70</v>
      </c>
      <c r="I1118" s="2" t="s">
        <v>64</v>
      </c>
      <c r="J1118" s="2" t="s">
        <v>65</v>
      </c>
      <c r="K1118" t="s">
        <v>18</v>
      </c>
      <c r="L1118" t="str">
        <f t="shared" si="40"/>
        <v>9791162589724</v>
      </c>
      <c r="M1118" t="str">
        <f t="shared" si="39"/>
        <v/>
      </c>
      <c r="N1118" t="s">
        <v>1377</v>
      </c>
    </row>
    <row r="1119" spans="1:14">
      <c r="A1119" s="1">
        <v>46064.843692129631</v>
      </c>
      <c r="B1119">
        <v>294146139</v>
      </c>
      <c r="C1119" s="2" t="s">
        <v>1378</v>
      </c>
      <c r="D1119" t="s">
        <v>15</v>
      </c>
      <c r="E1119" s="4">
        <v>100</v>
      </c>
      <c r="F1119" s="2">
        <v>100</v>
      </c>
      <c r="G1119" s="2">
        <v>70</v>
      </c>
      <c r="I1119" s="2" t="s">
        <v>64</v>
      </c>
      <c r="J1119" s="2" t="s">
        <v>65</v>
      </c>
      <c r="K1119" t="s">
        <v>18</v>
      </c>
      <c r="L1119" t="str">
        <f t="shared" si="40"/>
        <v>9791162589724</v>
      </c>
      <c r="M1119" t="str">
        <f t="shared" si="39"/>
        <v/>
      </c>
      <c r="N1119" t="s">
        <v>1379</v>
      </c>
    </row>
    <row r="1120" spans="1:14">
      <c r="A1120" s="1">
        <v>46064.843692129631</v>
      </c>
      <c r="B1120">
        <v>295395719</v>
      </c>
      <c r="C1120" s="2" t="s">
        <v>1380</v>
      </c>
      <c r="D1120" t="s">
        <v>15</v>
      </c>
      <c r="E1120" s="4">
        <v>100</v>
      </c>
      <c r="F1120" s="2">
        <v>100</v>
      </c>
      <c r="G1120" s="2">
        <v>70</v>
      </c>
      <c r="I1120" s="2" t="s">
        <v>64</v>
      </c>
      <c r="J1120" s="2" t="s">
        <v>65</v>
      </c>
      <c r="K1120" t="s">
        <v>18</v>
      </c>
      <c r="L1120" t="str">
        <f t="shared" si="40"/>
        <v>9791162589724</v>
      </c>
      <c r="M1120" t="str">
        <f t="shared" si="39"/>
        <v/>
      </c>
      <c r="N1120" t="s">
        <v>1381</v>
      </c>
    </row>
    <row r="1121" spans="1:14">
      <c r="A1121" s="1">
        <v>46064.866550925923</v>
      </c>
      <c r="B1121">
        <v>384102336</v>
      </c>
      <c r="C1121" s="2" t="s">
        <v>1382</v>
      </c>
      <c r="D1121" t="s">
        <v>15</v>
      </c>
      <c r="E1121" s="5">
        <v>6600</v>
      </c>
      <c r="F1121" s="3">
        <v>5940</v>
      </c>
      <c r="G1121" s="3">
        <v>4158</v>
      </c>
      <c r="I1121" s="2" t="s">
        <v>1383</v>
      </c>
      <c r="J1121" s="2" t="s">
        <v>126</v>
      </c>
      <c r="K1121" t="s">
        <v>18</v>
      </c>
      <c r="L1121" t="str">
        <f>T("9791171503131")</f>
        <v>9791171503131</v>
      </c>
      <c r="M1121" t="str">
        <f t="shared" si="39"/>
        <v/>
      </c>
    </row>
    <row r="1122" spans="1:14">
      <c r="A1122" s="1">
        <v>46064.871331018519</v>
      </c>
      <c r="B1122">
        <v>385782810</v>
      </c>
      <c r="C1122" s="2" t="s">
        <v>1167</v>
      </c>
      <c r="D1122" t="s">
        <v>15</v>
      </c>
      <c r="E1122" s="5">
        <v>2000</v>
      </c>
      <c r="F1122" s="3">
        <v>1800</v>
      </c>
      <c r="G1122" s="3">
        <v>1260</v>
      </c>
      <c r="I1122" s="2" t="s">
        <v>1141</v>
      </c>
      <c r="J1122" s="2" t="s">
        <v>184</v>
      </c>
      <c r="K1122" t="s">
        <v>18</v>
      </c>
      <c r="L1122" t="str">
        <f>T("9791170965671")</f>
        <v>9791170965671</v>
      </c>
      <c r="M1122" t="str">
        <f t="shared" si="39"/>
        <v/>
      </c>
      <c r="N1122" t="s">
        <v>1168</v>
      </c>
    </row>
    <row r="1123" spans="1:14">
      <c r="A1123" s="1">
        <v>46064.872928240744</v>
      </c>
      <c r="B1123">
        <v>385852478</v>
      </c>
      <c r="C1123" s="2" t="s">
        <v>1228</v>
      </c>
      <c r="D1123" t="s">
        <v>15</v>
      </c>
      <c r="E1123" s="4">
        <v>0</v>
      </c>
      <c r="F1123" s="2">
        <v>0</v>
      </c>
      <c r="G1123" s="2">
        <v>0</v>
      </c>
      <c r="I1123" s="2" t="s">
        <v>1229</v>
      </c>
      <c r="J1123" s="2" t="s">
        <v>960</v>
      </c>
      <c r="K1123" t="s">
        <v>18</v>
      </c>
      <c r="L1123" t="str">
        <f>T("")</f>
        <v/>
      </c>
      <c r="M1123" t="str">
        <f>T("G720:N+A378-20260112081.M001")</f>
        <v>G720:N+A378-20260112081.M001</v>
      </c>
      <c r="N1123" t="s">
        <v>1230</v>
      </c>
    </row>
    <row r="1124" spans="1:14">
      <c r="A1124" s="1">
        <v>46064.873402777775</v>
      </c>
      <c r="B1124">
        <v>384728224</v>
      </c>
      <c r="C1124" s="2" t="s">
        <v>925</v>
      </c>
      <c r="D1124" t="s">
        <v>15</v>
      </c>
      <c r="E1124" s="4">
        <v>600</v>
      </c>
      <c r="F1124" s="2">
        <v>540</v>
      </c>
      <c r="G1124" s="2">
        <v>378</v>
      </c>
      <c r="I1124" s="2" t="s">
        <v>591</v>
      </c>
      <c r="J1124" s="2" t="s">
        <v>126</v>
      </c>
      <c r="K1124" t="s">
        <v>18</v>
      </c>
      <c r="L1124" t="str">
        <f>T("9791171502998")</f>
        <v>9791171502998</v>
      </c>
      <c r="M1124" t="str">
        <f t="shared" ref="M1124:M1155" si="41">T("")</f>
        <v/>
      </c>
      <c r="N1124" t="s">
        <v>926</v>
      </c>
    </row>
    <row r="1125" spans="1:14">
      <c r="A1125" s="1">
        <v>46064.875567129631</v>
      </c>
      <c r="B1125">
        <v>385782810</v>
      </c>
      <c r="C1125" s="2" t="s">
        <v>1167</v>
      </c>
      <c r="D1125" t="s">
        <v>15</v>
      </c>
      <c r="E1125" s="5">
        <v>2000</v>
      </c>
      <c r="F1125" s="3">
        <v>1800</v>
      </c>
      <c r="G1125" s="3">
        <v>1260</v>
      </c>
      <c r="I1125" s="2" t="s">
        <v>1141</v>
      </c>
      <c r="J1125" s="2" t="s">
        <v>184</v>
      </c>
      <c r="K1125" t="s">
        <v>18</v>
      </c>
      <c r="L1125" t="str">
        <f>T("9791170965671")</f>
        <v>9791170965671</v>
      </c>
      <c r="M1125" t="str">
        <f t="shared" si="41"/>
        <v/>
      </c>
      <c r="N1125" t="s">
        <v>1168</v>
      </c>
    </row>
    <row r="1126" spans="1:14">
      <c r="A1126" s="1">
        <v>46064.910949074074</v>
      </c>
      <c r="B1126">
        <v>303466893</v>
      </c>
      <c r="C1126" s="2" t="s">
        <v>667</v>
      </c>
      <c r="D1126" t="s">
        <v>15</v>
      </c>
      <c r="E1126" s="5">
        <v>3000</v>
      </c>
      <c r="F1126" s="3">
        <v>2700</v>
      </c>
      <c r="G1126" s="3">
        <v>1890</v>
      </c>
      <c r="I1126" s="2" t="s">
        <v>187</v>
      </c>
      <c r="J1126" s="2" t="s">
        <v>188</v>
      </c>
      <c r="K1126" t="s">
        <v>18</v>
      </c>
      <c r="L1126" t="str">
        <f>T("9791164833559")</f>
        <v>9791164833559</v>
      </c>
      <c r="M1126" t="str">
        <f t="shared" si="41"/>
        <v/>
      </c>
      <c r="N1126" t="s">
        <v>668</v>
      </c>
    </row>
    <row r="1127" spans="1:14">
      <c r="A1127" s="1">
        <v>46064.932615740741</v>
      </c>
      <c r="B1127">
        <v>335331998</v>
      </c>
      <c r="C1127" s="2" t="s">
        <v>832</v>
      </c>
      <c r="D1127" t="s">
        <v>15</v>
      </c>
      <c r="E1127" s="5">
        <v>57000</v>
      </c>
      <c r="F1127" s="3">
        <v>57000</v>
      </c>
      <c r="G1127" s="3">
        <v>39900</v>
      </c>
      <c r="I1127" s="2" t="s">
        <v>833</v>
      </c>
      <c r="J1127" s="2" t="s">
        <v>65</v>
      </c>
      <c r="K1127" t="s">
        <v>18</v>
      </c>
      <c r="L1127" t="str">
        <f>T("9791137006843")</f>
        <v>9791137006843</v>
      </c>
      <c r="M1127" t="str">
        <f t="shared" si="41"/>
        <v/>
      </c>
    </row>
    <row r="1128" spans="1:14">
      <c r="A1128" s="1">
        <v>46064.935763888891</v>
      </c>
      <c r="B1128">
        <v>385347715</v>
      </c>
      <c r="C1128" s="2" t="s">
        <v>186</v>
      </c>
      <c r="D1128" t="s">
        <v>15</v>
      </c>
      <c r="E1128" s="5">
        <v>2000</v>
      </c>
      <c r="F1128" s="3">
        <v>1800</v>
      </c>
      <c r="G1128" s="3">
        <v>1260</v>
      </c>
      <c r="I1128" s="2" t="s">
        <v>187</v>
      </c>
      <c r="J1128" s="2" t="s">
        <v>188</v>
      </c>
      <c r="K1128" t="s">
        <v>18</v>
      </c>
      <c r="L1128" t="str">
        <f>T("9791164835362")</f>
        <v>9791164835362</v>
      </c>
      <c r="M1128" t="str">
        <f t="shared" si="41"/>
        <v/>
      </c>
      <c r="N1128" t="s">
        <v>189</v>
      </c>
    </row>
    <row r="1129" spans="1:14">
      <c r="A1129" s="1">
        <v>46064.941782407404</v>
      </c>
      <c r="B1129">
        <v>329743724</v>
      </c>
      <c r="C1129" s="2" t="s">
        <v>1384</v>
      </c>
      <c r="D1129" t="s">
        <v>15</v>
      </c>
      <c r="E1129" s="5">
        <v>1000</v>
      </c>
      <c r="F1129" s="3">
        <v>1000</v>
      </c>
      <c r="G1129" s="2">
        <v>700</v>
      </c>
      <c r="I1129" s="2" t="s">
        <v>293</v>
      </c>
      <c r="J1129" s="2" t="s">
        <v>21</v>
      </c>
      <c r="K1129" t="s">
        <v>18</v>
      </c>
      <c r="L1129" t="str">
        <f>T("9791170890119")</f>
        <v>9791170890119</v>
      </c>
      <c r="M1129" t="str">
        <f t="shared" si="41"/>
        <v/>
      </c>
      <c r="N1129" t="s">
        <v>1385</v>
      </c>
    </row>
    <row r="1130" spans="1:14">
      <c r="A1130" s="1">
        <v>46064.94189814815</v>
      </c>
      <c r="B1130">
        <v>301364616</v>
      </c>
      <c r="C1130" s="2" t="s">
        <v>1386</v>
      </c>
      <c r="D1130" t="s">
        <v>15</v>
      </c>
      <c r="E1130" s="5">
        <v>1200</v>
      </c>
      <c r="F1130" s="3">
        <v>1200</v>
      </c>
      <c r="G1130" s="2">
        <v>840</v>
      </c>
      <c r="I1130" s="2" t="s">
        <v>1387</v>
      </c>
      <c r="J1130" s="2" t="s">
        <v>21</v>
      </c>
      <c r="K1130" t="s">
        <v>18</v>
      </c>
      <c r="L1130" t="str">
        <f>T("9791167834195")</f>
        <v>9791167834195</v>
      </c>
      <c r="M1130" t="str">
        <f t="shared" si="41"/>
        <v/>
      </c>
    </row>
    <row r="1131" spans="1:14">
      <c r="A1131" s="1">
        <v>46064.948229166665</v>
      </c>
      <c r="B1131">
        <v>301691599</v>
      </c>
      <c r="C1131" s="2" t="s">
        <v>1388</v>
      </c>
      <c r="D1131" t="s">
        <v>15</v>
      </c>
      <c r="E1131" s="5">
        <v>1000</v>
      </c>
      <c r="F1131" s="3">
        <v>1000</v>
      </c>
      <c r="G1131" s="2">
        <v>700</v>
      </c>
      <c r="I1131" s="2" t="s">
        <v>293</v>
      </c>
      <c r="J1131" s="2" t="s">
        <v>21</v>
      </c>
      <c r="K1131" t="s">
        <v>18</v>
      </c>
      <c r="L1131" t="str">
        <f>T("9791167834317")</f>
        <v>9791167834317</v>
      </c>
      <c r="M1131" t="str">
        <f t="shared" si="41"/>
        <v/>
      </c>
    </row>
    <row r="1132" spans="1:14">
      <c r="A1132" s="1">
        <v>46064.951354166667</v>
      </c>
      <c r="B1132">
        <v>308166789</v>
      </c>
      <c r="C1132" s="2" t="s">
        <v>1389</v>
      </c>
      <c r="D1132" t="s">
        <v>15</v>
      </c>
      <c r="E1132" s="5">
        <v>1000</v>
      </c>
      <c r="F1132" s="3">
        <v>1000</v>
      </c>
      <c r="G1132" s="2">
        <v>700</v>
      </c>
      <c r="I1132" s="2" t="s">
        <v>293</v>
      </c>
      <c r="J1132" s="2" t="s">
        <v>21</v>
      </c>
      <c r="K1132" t="s">
        <v>18</v>
      </c>
      <c r="L1132" t="str">
        <f>T("9791167835772")</f>
        <v>9791167835772</v>
      </c>
      <c r="M1132" t="str">
        <f t="shared" si="41"/>
        <v/>
      </c>
      <c r="N1132" t="s">
        <v>1390</v>
      </c>
    </row>
    <row r="1133" spans="1:14">
      <c r="A1133" s="1">
        <v>46064.951354166667</v>
      </c>
      <c r="B1133">
        <v>311123732</v>
      </c>
      <c r="C1133" s="2" t="s">
        <v>1391</v>
      </c>
      <c r="D1133" t="s">
        <v>15</v>
      </c>
      <c r="E1133" s="5">
        <v>1000</v>
      </c>
      <c r="F1133" s="3">
        <v>1000</v>
      </c>
      <c r="G1133" s="2">
        <v>700</v>
      </c>
      <c r="I1133" s="2" t="s">
        <v>293</v>
      </c>
      <c r="J1133" s="2" t="s">
        <v>21</v>
      </c>
      <c r="K1133" t="s">
        <v>18</v>
      </c>
      <c r="L1133" t="str">
        <f>T("9791167837073")</f>
        <v>9791167837073</v>
      </c>
      <c r="M1133" t="str">
        <f t="shared" si="41"/>
        <v/>
      </c>
      <c r="N1133" t="s">
        <v>1392</v>
      </c>
    </row>
    <row r="1134" spans="1:14">
      <c r="A1134" s="1">
        <v>46064.951655092591</v>
      </c>
      <c r="B1134">
        <v>385782810</v>
      </c>
      <c r="C1134" s="2" t="s">
        <v>1167</v>
      </c>
      <c r="D1134" t="s">
        <v>15</v>
      </c>
      <c r="E1134" s="5">
        <v>2000</v>
      </c>
      <c r="F1134" s="3">
        <v>1800</v>
      </c>
      <c r="G1134" s="3">
        <v>1260</v>
      </c>
      <c r="I1134" s="2" t="s">
        <v>1141</v>
      </c>
      <c r="J1134" s="2" t="s">
        <v>184</v>
      </c>
      <c r="K1134" t="s">
        <v>18</v>
      </c>
      <c r="L1134" t="str">
        <f>T("9791170965671")</f>
        <v>9791170965671</v>
      </c>
      <c r="M1134" t="str">
        <f t="shared" si="41"/>
        <v/>
      </c>
      <c r="N1134" t="s">
        <v>1168</v>
      </c>
    </row>
    <row r="1135" spans="1:14">
      <c r="A1135" s="1">
        <v>46064.956307870372</v>
      </c>
      <c r="B1135">
        <v>385782810</v>
      </c>
      <c r="C1135" s="2" t="s">
        <v>1167</v>
      </c>
      <c r="D1135" t="s">
        <v>15</v>
      </c>
      <c r="E1135" s="5">
        <v>2000</v>
      </c>
      <c r="F1135" s="3">
        <v>1800</v>
      </c>
      <c r="G1135" s="3">
        <v>1260</v>
      </c>
      <c r="I1135" s="2" t="s">
        <v>1141</v>
      </c>
      <c r="J1135" s="2" t="s">
        <v>184</v>
      </c>
      <c r="K1135" t="s">
        <v>18</v>
      </c>
      <c r="L1135" t="str">
        <f>T("9791170965671")</f>
        <v>9791170965671</v>
      </c>
      <c r="M1135" t="str">
        <f t="shared" si="41"/>
        <v/>
      </c>
      <c r="N1135" t="s">
        <v>1168</v>
      </c>
    </row>
    <row r="1136" spans="1:14">
      <c r="A1136" s="1">
        <v>46064.960138888891</v>
      </c>
      <c r="B1136">
        <v>385852543</v>
      </c>
      <c r="C1136" s="2" t="s">
        <v>1200</v>
      </c>
      <c r="D1136" t="s">
        <v>15</v>
      </c>
      <c r="E1136" s="5">
        <v>3000</v>
      </c>
      <c r="F1136" s="3">
        <v>3000</v>
      </c>
      <c r="G1136" s="3">
        <v>2100</v>
      </c>
      <c r="I1136" s="2" t="s">
        <v>1198</v>
      </c>
      <c r="J1136" s="2" t="s">
        <v>21</v>
      </c>
      <c r="K1136" t="s">
        <v>18</v>
      </c>
      <c r="L1136" t="str">
        <f>T("9791175582941")</f>
        <v>9791175582941</v>
      </c>
      <c r="M1136" t="str">
        <f t="shared" si="41"/>
        <v/>
      </c>
      <c r="N1136" t="s">
        <v>1201</v>
      </c>
    </row>
    <row r="1137" spans="1:14">
      <c r="A1137" s="1">
        <v>46064.96292824074</v>
      </c>
      <c r="B1137">
        <v>385782810</v>
      </c>
      <c r="C1137" s="2" t="s">
        <v>1167</v>
      </c>
      <c r="D1137" t="s">
        <v>15</v>
      </c>
      <c r="E1137" s="5">
        <v>2000</v>
      </c>
      <c r="F1137" s="3">
        <v>1800</v>
      </c>
      <c r="G1137" s="3">
        <v>1260</v>
      </c>
      <c r="I1137" s="2" t="s">
        <v>1141</v>
      </c>
      <c r="J1137" s="2" t="s">
        <v>184</v>
      </c>
      <c r="K1137" t="s">
        <v>18</v>
      </c>
      <c r="L1137" t="str">
        <f>T("9791170965671")</f>
        <v>9791170965671</v>
      </c>
      <c r="M1137" t="str">
        <f t="shared" si="41"/>
        <v/>
      </c>
      <c r="N1137" t="s">
        <v>1168</v>
      </c>
    </row>
    <row r="1138" spans="1:14">
      <c r="A1138" s="1">
        <v>46064.968854166669</v>
      </c>
      <c r="B1138">
        <v>277935698</v>
      </c>
      <c r="C1138" s="2" t="s">
        <v>1393</v>
      </c>
      <c r="D1138" t="s">
        <v>15</v>
      </c>
      <c r="E1138" s="4">
        <v>100</v>
      </c>
      <c r="F1138" s="2">
        <v>100</v>
      </c>
      <c r="G1138" s="2">
        <v>70</v>
      </c>
      <c r="I1138" s="2" t="s">
        <v>64</v>
      </c>
      <c r="J1138" s="2" t="s">
        <v>65</v>
      </c>
      <c r="K1138" t="s">
        <v>18</v>
      </c>
      <c r="L1138" t="str">
        <f>T("9791162589724")</f>
        <v>9791162589724</v>
      </c>
      <c r="M1138" t="str">
        <f t="shared" si="41"/>
        <v/>
      </c>
      <c r="N1138" t="s">
        <v>1394</v>
      </c>
    </row>
    <row r="1139" spans="1:14">
      <c r="A1139" s="1">
        <v>46064.970150462963</v>
      </c>
      <c r="B1139">
        <v>383435421</v>
      </c>
      <c r="C1139" s="2" t="s">
        <v>27</v>
      </c>
      <c r="D1139" t="s">
        <v>15</v>
      </c>
      <c r="E1139" s="5">
        <v>1000</v>
      </c>
      <c r="F1139" s="3">
        <v>1000</v>
      </c>
      <c r="G1139" s="2">
        <v>700</v>
      </c>
      <c r="I1139" s="2" t="s">
        <v>28</v>
      </c>
      <c r="J1139" s="2" t="s">
        <v>21</v>
      </c>
      <c r="K1139" t="s">
        <v>18</v>
      </c>
      <c r="L1139" t="str">
        <f>T("9791175582361")</f>
        <v>9791175582361</v>
      </c>
      <c r="M1139" t="str">
        <f t="shared" si="41"/>
        <v/>
      </c>
      <c r="N1139" t="s">
        <v>29</v>
      </c>
    </row>
    <row r="1140" spans="1:14">
      <c r="A1140" s="1">
        <v>46064.972534722219</v>
      </c>
      <c r="B1140">
        <v>277935703</v>
      </c>
      <c r="C1140" s="2" t="s">
        <v>1395</v>
      </c>
      <c r="D1140" t="s">
        <v>15</v>
      </c>
      <c r="E1140" s="4">
        <v>100</v>
      </c>
      <c r="F1140" s="2">
        <v>100</v>
      </c>
      <c r="G1140" s="2">
        <v>70</v>
      </c>
      <c r="I1140" s="2" t="s">
        <v>64</v>
      </c>
      <c r="J1140" s="2" t="s">
        <v>65</v>
      </c>
      <c r="K1140" t="s">
        <v>18</v>
      </c>
      <c r="L1140" t="str">
        <f>T("9791162589724")</f>
        <v>9791162589724</v>
      </c>
      <c r="M1140" t="str">
        <f t="shared" si="41"/>
        <v/>
      </c>
      <c r="N1140" t="s">
        <v>1396</v>
      </c>
    </row>
    <row r="1141" spans="1:14">
      <c r="A1141" s="1">
        <v>46064.975335648145</v>
      </c>
      <c r="B1141">
        <v>385347715</v>
      </c>
      <c r="C1141" s="2" t="s">
        <v>186</v>
      </c>
      <c r="D1141" t="s">
        <v>15</v>
      </c>
      <c r="E1141" s="5">
        <v>2000</v>
      </c>
      <c r="F1141" s="3">
        <v>1800</v>
      </c>
      <c r="G1141" s="3">
        <v>1260</v>
      </c>
      <c r="I1141" s="2" t="s">
        <v>187</v>
      </c>
      <c r="J1141" s="2" t="s">
        <v>188</v>
      </c>
      <c r="K1141" t="s">
        <v>18</v>
      </c>
      <c r="L1141" t="str">
        <f>T("9791164835362")</f>
        <v>9791164835362</v>
      </c>
      <c r="M1141" t="str">
        <f t="shared" si="41"/>
        <v/>
      </c>
      <c r="N1141" t="s">
        <v>189</v>
      </c>
    </row>
    <row r="1142" spans="1:14">
      <c r="A1142" s="1">
        <v>46064.975648148145</v>
      </c>
      <c r="B1142">
        <v>375539695</v>
      </c>
      <c r="C1142" s="2" t="s">
        <v>1397</v>
      </c>
      <c r="D1142" t="s">
        <v>15</v>
      </c>
      <c r="E1142" s="5">
        <v>1000</v>
      </c>
      <c r="F1142" s="3">
        <v>1000</v>
      </c>
      <c r="G1142" s="2">
        <v>700</v>
      </c>
      <c r="I1142" s="2" t="s">
        <v>148</v>
      </c>
      <c r="J1142" s="2" t="s">
        <v>21</v>
      </c>
      <c r="K1142" t="s">
        <v>18</v>
      </c>
      <c r="L1142" t="str">
        <f>T("9791173018770")</f>
        <v>9791173018770</v>
      </c>
      <c r="M1142" t="str">
        <f t="shared" si="41"/>
        <v/>
      </c>
      <c r="N1142" t="s">
        <v>1398</v>
      </c>
    </row>
    <row r="1143" spans="1:14">
      <c r="A1143" s="1">
        <v>46064.97855324074</v>
      </c>
      <c r="B1143">
        <v>385348455</v>
      </c>
      <c r="C1143" s="2" t="s">
        <v>255</v>
      </c>
      <c r="D1143" t="s">
        <v>68</v>
      </c>
      <c r="E1143" s="5">
        <v>12600</v>
      </c>
      <c r="F1143" s="3">
        <v>12600</v>
      </c>
      <c r="G1143" s="3">
        <v>8820</v>
      </c>
      <c r="I1143" s="2" t="s">
        <v>187</v>
      </c>
      <c r="J1143" s="2" t="s">
        <v>188</v>
      </c>
      <c r="K1143" t="s">
        <v>18</v>
      </c>
      <c r="L1143" t="str">
        <f>T("9791164835379")</f>
        <v>9791164835379</v>
      </c>
      <c r="M1143" t="str">
        <f t="shared" si="41"/>
        <v/>
      </c>
    </row>
    <row r="1144" spans="1:14">
      <c r="A1144" s="1">
        <v>46064.979444444441</v>
      </c>
      <c r="B1144">
        <v>385347797</v>
      </c>
      <c r="C1144" s="2" t="s">
        <v>195</v>
      </c>
      <c r="D1144" t="s">
        <v>15</v>
      </c>
      <c r="E1144" s="4">
        <v>700</v>
      </c>
      <c r="F1144" s="2">
        <v>630</v>
      </c>
      <c r="G1144" s="2">
        <v>441</v>
      </c>
      <c r="I1144" s="2" t="s">
        <v>196</v>
      </c>
      <c r="J1144" s="2" t="s">
        <v>197</v>
      </c>
      <c r="K1144" t="s">
        <v>18</v>
      </c>
      <c r="L1144" t="str">
        <f>T("9791172821937")</f>
        <v>9791172821937</v>
      </c>
      <c r="M1144" t="str">
        <f t="shared" si="41"/>
        <v/>
      </c>
      <c r="N1144" t="s">
        <v>198</v>
      </c>
    </row>
    <row r="1145" spans="1:14">
      <c r="A1145" s="1">
        <v>46064.981203703705</v>
      </c>
      <c r="B1145">
        <v>385782810</v>
      </c>
      <c r="C1145" s="2" t="s">
        <v>1167</v>
      </c>
      <c r="D1145" t="s">
        <v>15</v>
      </c>
      <c r="E1145" s="5">
        <v>2000</v>
      </c>
      <c r="F1145" s="3">
        <v>1800</v>
      </c>
      <c r="G1145" s="3">
        <v>1260</v>
      </c>
      <c r="I1145" s="2" t="s">
        <v>1141</v>
      </c>
      <c r="J1145" s="2" t="s">
        <v>184</v>
      </c>
      <c r="K1145" t="s">
        <v>18</v>
      </c>
      <c r="L1145" t="str">
        <f>T("9791170965671")</f>
        <v>9791170965671</v>
      </c>
      <c r="M1145" t="str">
        <f t="shared" si="41"/>
        <v/>
      </c>
      <c r="N1145" t="s">
        <v>1168</v>
      </c>
    </row>
    <row r="1146" spans="1:14">
      <c r="A1146" s="1">
        <v>46064.983668981484</v>
      </c>
      <c r="B1146">
        <v>385782810</v>
      </c>
      <c r="C1146" s="2" t="s">
        <v>1167</v>
      </c>
      <c r="D1146" t="s">
        <v>15</v>
      </c>
      <c r="E1146" s="5">
        <v>2000</v>
      </c>
      <c r="F1146" s="3">
        <v>1800</v>
      </c>
      <c r="G1146" s="3">
        <v>1260</v>
      </c>
      <c r="I1146" s="2" t="s">
        <v>1141</v>
      </c>
      <c r="J1146" s="2" t="s">
        <v>184</v>
      </c>
      <c r="K1146" t="s">
        <v>18</v>
      </c>
      <c r="L1146" t="str">
        <f>T("9791170965671")</f>
        <v>9791170965671</v>
      </c>
      <c r="M1146" t="str">
        <f t="shared" si="41"/>
        <v/>
      </c>
      <c r="N1146" t="s">
        <v>1168</v>
      </c>
    </row>
    <row r="1147" spans="1:14">
      <c r="A1147" s="1">
        <v>46064.987407407411</v>
      </c>
      <c r="B1147">
        <v>385347797</v>
      </c>
      <c r="C1147" s="2" t="s">
        <v>195</v>
      </c>
      <c r="D1147" t="s">
        <v>15</v>
      </c>
      <c r="E1147" s="4">
        <v>700</v>
      </c>
      <c r="F1147" s="2">
        <v>630</v>
      </c>
      <c r="G1147" s="2">
        <v>441</v>
      </c>
      <c r="I1147" s="2" t="s">
        <v>196</v>
      </c>
      <c r="J1147" s="2" t="s">
        <v>197</v>
      </c>
      <c r="K1147" t="s">
        <v>18</v>
      </c>
      <c r="L1147" t="str">
        <f>T("9791172821937")</f>
        <v>9791172821937</v>
      </c>
      <c r="M1147" t="str">
        <f t="shared" si="41"/>
        <v/>
      </c>
      <c r="N1147" t="s">
        <v>198</v>
      </c>
    </row>
    <row r="1148" spans="1:14">
      <c r="A1148" s="1">
        <v>46064.987800925926</v>
      </c>
      <c r="B1148">
        <v>385782810</v>
      </c>
      <c r="C1148" s="2" t="s">
        <v>1167</v>
      </c>
      <c r="D1148" t="s">
        <v>15</v>
      </c>
      <c r="E1148" s="5">
        <v>2000</v>
      </c>
      <c r="F1148" s="3">
        <v>1800</v>
      </c>
      <c r="G1148" s="3">
        <v>1260</v>
      </c>
      <c r="I1148" s="2" t="s">
        <v>1141</v>
      </c>
      <c r="J1148" s="2" t="s">
        <v>184</v>
      </c>
      <c r="K1148" t="s">
        <v>18</v>
      </c>
      <c r="L1148" t="str">
        <f>T("9791170965671")</f>
        <v>9791170965671</v>
      </c>
      <c r="M1148" t="str">
        <f t="shared" si="41"/>
        <v/>
      </c>
      <c r="N1148" t="s">
        <v>1168</v>
      </c>
    </row>
    <row r="1149" spans="1:14">
      <c r="A1149" s="1">
        <v>46064.990231481483</v>
      </c>
      <c r="B1149">
        <v>364579911</v>
      </c>
      <c r="C1149" s="2" t="s">
        <v>1399</v>
      </c>
      <c r="D1149" t="s">
        <v>15</v>
      </c>
      <c r="E1149" s="5">
        <v>1000</v>
      </c>
      <c r="F1149" s="3">
        <v>1000</v>
      </c>
      <c r="G1149" s="2">
        <v>700</v>
      </c>
      <c r="I1149" s="2" t="s">
        <v>148</v>
      </c>
      <c r="J1149" s="2" t="s">
        <v>21</v>
      </c>
      <c r="K1149" t="s">
        <v>18</v>
      </c>
      <c r="L1149" t="str">
        <f>T("9791173014239")</f>
        <v>9791173014239</v>
      </c>
      <c r="M1149" t="str">
        <f t="shared" si="41"/>
        <v/>
      </c>
      <c r="N1149" t="s">
        <v>1400</v>
      </c>
    </row>
    <row r="1150" spans="1:14">
      <c r="A1150" s="1">
        <v>46064.992847222224</v>
      </c>
      <c r="B1150">
        <v>277935552</v>
      </c>
      <c r="C1150" s="2" t="s">
        <v>1401</v>
      </c>
      <c r="D1150" t="s">
        <v>15</v>
      </c>
      <c r="E1150" s="4">
        <v>100</v>
      </c>
      <c r="F1150" s="2">
        <v>100</v>
      </c>
      <c r="G1150" s="2">
        <v>70</v>
      </c>
      <c r="I1150" s="2" t="s">
        <v>64</v>
      </c>
      <c r="J1150" s="2" t="s">
        <v>65</v>
      </c>
      <c r="K1150" t="s">
        <v>18</v>
      </c>
      <c r="L1150" t="str">
        <f>T("9791162589724")</f>
        <v>9791162589724</v>
      </c>
      <c r="M1150" t="str">
        <f t="shared" si="41"/>
        <v/>
      </c>
      <c r="N1150" t="s">
        <v>1402</v>
      </c>
    </row>
    <row r="1151" spans="1:14">
      <c r="A1151" s="1">
        <v>46064.992847222224</v>
      </c>
      <c r="B1151">
        <v>277935603</v>
      </c>
      <c r="C1151" s="2" t="s">
        <v>1403</v>
      </c>
      <c r="D1151" t="s">
        <v>15</v>
      </c>
      <c r="E1151" s="4">
        <v>100</v>
      </c>
      <c r="F1151" s="2">
        <v>100</v>
      </c>
      <c r="G1151" s="2">
        <v>70</v>
      </c>
      <c r="I1151" s="2" t="s">
        <v>64</v>
      </c>
      <c r="J1151" s="2" t="s">
        <v>65</v>
      </c>
      <c r="K1151" t="s">
        <v>18</v>
      </c>
      <c r="L1151" t="str">
        <f>T("9791162589724")</f>
        <v>9791162589724</v>
      </c>
      <c r="M1151" t="str">
        <f t="shared" si="41"/>
        <v/>
      </c>
      <c r="N1151" t="s">
        <v>1404</v>
      </c>
    </row>
    <row r="1152" spans="1:14">
      <c r="A1152" s="1">
        <v>46064.992847222224</v>
      </c>
      <c r="B1152">
        <v>277935425</v>
      </c>
      <c r="C1152" s="2" t="s">
        <v>1405</v>
      </c>
      <c r="D1152" t="s">
        <v>15</v>
      </c>
      <c r="E1152" s="4">
        <v>100</v>
      </c>
      <c r="F1152" s="2">
        <v>100</v>
      </c>
      <c r="G1152" s="2">
        <v>70</v>
      </c>
      <c r="I1152" s="2" t="s">
        <v>64</v>
      </c>
      <c r="J1152" s="2" t="s">
        <v>65</v>
      </c>
      <c r="K1152" t="s">
        <v>18</v>
      </c>
      <c r="L1152" t="str">
        <f>T("9791162589724")</f>
        <v>9791162589724</v>
      </c>
      <c r="M1152" t="str">
        <f t="shared" si="41"/>
        <v/>
      </c>
      <c r="N1152" t="s">
        <v>1406</v>
      </c>
    </row>
    <row r="1153" spans="1:14">
      <c r="A1153" s="1">
        <v>46064.995057870372</v>
      </c>
      <c r="B1153">
        <v>320982044</v>
      </c>
      <c r="C1153" s="2" t="s">
        <v>1407</v>
      </c>
      <c r="D1153" t="s">
        <v>15</v>
      </c>
      <c r="E1153" s="5">
        <v>1000</v>
      </c>
      <c r="F1153" s="3">
        <v>1000</v>
      </c>
      <c r="G1153" s="2">
        <v>700</v>
      </c>
      <c r="I1153" s="2" t="s">
        <v>1408</v>
      </c>
      <c r="J1153" s="2" t="s">
        <v>631</v>
      </c>
      <c r="K1153" t="s">
        <v>18</v>
      </c>
      <c r="L1153" t="str">
        <f>T("9791192970134")</f>
        <v>9791192970134</v>
      </c>
      <c r="M1153" t="str">
        <f t="shared" si="41"/>
        <v/>
      </c>
    </row>
    <row r="1154" spans="1:14">
      <c r="A1154" s="1">
        <v>46064.996608796297</v>
      </c>
      <c r="B1154">
        <v>277935666</v>
      </c>
      <c r="C1154" s="2" t="s">
        <v>1409</v>
      </c>
      <c r="D1154" t="s">
        <v>15</v>
      </c>
      <c r="E1154" s="4">
        <v>100</v>
      </c>
      <c r="F1154" s="2">
        <v>100</v>
      </c>
      <c r="G1154" s="2">
        <v>70</v>
      </c>
      <c r="I1154" s="2" t="s">
        <v>64</v>
      </c>
      <c r="J1154" s="2" t="s">
        <v>65</v>
      </c>
      <c r="K1154" t="s">
        <v>18</v>
      </c>
      <c r="L1154" t="str">
        <f>T("9791162589724")</f>
        <v>9791162589724</v>
      </c>
      <c r="M1154" t="str">
        <f t="shared" si="41"/>
        <v/>
      </c>
      <c r="N1154" t="s">
        <v>1410</v>
      </c>
    </row>
    <row r="1155" spans="1:14">
      <c r="A1155" s="1">
        <v>46064.997604166667</v>
      </c>
      <c r="B1155">
        <v>385347792</v>
      </c>
      <c r="C1155" s="2" t="s">
        <v>306</v>
      </c>
      <c r="D1155" t="s">
        <v>15</v>
      </c>
      <c r="E1155" s="5">
        <v>1000</v>
      </c>
      <c r="F1155" s="2">
        <v>900</v>
      </c>
      <c r="G1155" s="2">
        <v>630</v>
      </c>
      <c r="I1155" s="2" t="s">
        <v>307</v>
      </c>
      <c r="J1155" s="2" t="s">
        <v>308</v>
      </c>
      <c r="K1155" t="s">
        <v>18</v>
      </c>
      <c r="L1155" t="str">
        <f>T("9791194982753")</f>
        <v>9791194982753</v>
      </c>
      <c r="M1155" t="str">
        <f t="shared" si="41"/>
        <v/>
      </c>
      <c r="N1155" t="s">
        <v>309</v>
      </c>
    </row>
    <row r="1156" spans="1:14">
      <c r="A1156" s="1">
        <v>46065.006377314814</v>
      </c>
      <c r="B1156">
        <v>370130226</v>
      </c>
      <c r="C1156" s="2" t="s">
        <v>1156</v>
      </c>
      <c r="D1156" t="s">
        <v>15</v>
      </c>
      <c r="E1156" s="4">
        <v>0</v>
      </c>
      <c r="F1156" s="2">
        <v>0</v>
      </c>
      <c r="G1156" s="2">
        <v>0</v>
      </c>
      <c r="I1156" s="2" t="s">
        <v>493</v>
      </c>
      <c r="J1156" s="2" t="s">
        <v>65</v>
      </c>
      <c r="K1156" t="s">
        <v>18</v>
      </c>
      <c r="L1156" t="str">
        <f>T("9791137010697")</f>
        <v>9791137010697</v>
      </c>
      <c r="M1156" t="str">
        <f t="shared" ref="M1156:M1191" si="42">T("")</f>
        <v/>
      </c>
      <c r="N1156" t="s">
        <v>1157</v>
      </c>
    </row>
    <row r="1157" spans="1:14">
      <c r="A1157" s="1">
        <v>46065.016157407408</v>
      </c>
      <c r="B1157">
        <v>188278046</v>
      </c>
      <c r="C1157" s="2" t="s">
        <v>1411</v>
      </c>
      <c r="D1157" t="s">
        <v>15</v>
      </c>
      <c r="E1157" s="5">
        <v>2500</v>
      </c>
      <c r="F1157" s="3">
        <v>2500</v>
      </c>
      <c r="G1157" s="3">
        <v>1750</v>
      </c>
      <c r="I1157" s="2" t="s">
        <v>1412</v>
      </c>
      <c r="J1157" s="2" t="s">
        <v>693</v>
      </c>
      <c r="K1157" t="s">
        <v>18</v>
      </c>
      <c r="L1157" t="str">
        <f>T("9791189424305")</f>
        <v>9791189424305</v>
      </c>
      <c r="M1157" t="str">
        <f t="shared" si="42"/>
        <v/>
      </c>
    </row>
    <row r="1158" spans="1:14">
      <c r="A1158" s="1">
        <v>46065.016157407408</v>
      </c>
      <c r="B1158">
        <v>188278047</v>
      </c>
      <c r="C1158" s="2" t="s">
        <v>1413</v>
      </c>
      <c r="D1158" t="s">
        <v>15</v>
      </c>
      <c r="E1158" s="5">
        <v>2500</v>
      </c>
      <c r="F1158" s="3">
        <v>2500</v>
      </c>
      <c r="G1158" s="3">
        <v>1750</v>
      </c>
      <c r="I1158" s="2" t="s">
        <v>1412</v>
      </c>
      <c r="J1158" s="2" t="s">
        <v>693</v>
      </c>
      <c r="K1158" t="s">
        <v>18</v>
      </c>
      <c r="L1158" t="str">
        <f>T("9791189424312")</f>
        <v>9791189424312</v>
      </c>
      <c r="M1158" t="str">
        <f t="shared" si="42"/>
        <v/>
      </c>
    </row>
    <row r="1159" spans="1:14">
      <c r="A1159" s="1">
        <v>46065.252500000002</v>
      </c>
      <c r="B1159">
        <v>385852525</v>
      </c>
      <c r="C1159" s="2" t="s">
        <v>1235</v>
      </c>
      <c r="D1159" t="s">
        <v>15</v>
      </c>
      <c r="E1159" s="5">
        <v>2600</v>
      </c>
      <c r="F1159" s="3">
        <v>2600</v>
      </c>
      <c r="G1159" s="3">
        <v>1820</v>
      </c>
      <c r="I1159" s="2" t="s">
        <v>1236</v>
      </c>
      <c r="J1159" s="2" t="s">
        <v>960</v>
      </c>
      <c r="K1159" t="s">
        <v>18</v>
      </c>
      <c r="L1159" t="str">
        <f>T("9791171846115")</f>
        <v>9791171846115</v>
      </c>
      <c r="M1159" t="str">
        <f t="shared" si="42"/>
        <v/>
      </c>
      <c r="N1159" t="s">
        <v>1237</v>
      </c>
    </row>
    <row r="1160" spans="1:14">
      <c r="A1160" s="1">
        <v>46065.279282407406</v>
      </c>
      <c r="B1160">
        <v>385347820</v>
      </c>
      <c r="C1160" s="2" t="s">
        <v>1414</v>
      </c>
      <c r="D1160" t="s">
        <v>68</v>
      </c>
      <c r="E1160" s="4">
        <v>900</v>
      </c>
      <c r="F1160" s="2">
        <v>900</v>
      </c>
      <c r="G1160" s="2">
        <v>630</v>
      </c>
      <c r="I1160" s="2" t="s">
        <v>160</v>
      </c>
      <c r="J1160" s="2" t="s">
        <v>161</v>
      </c>
      <c r="K1160" t="s">
        <v>18</v>
      </c>
      <c r="L1160" t="str">
        <f>T("9791173260261")</f>
        <v>9791173260261</v>
      </c>
      <c r="M1160" t="str">
        <f t="shared" si="42"/>
        <v/>
      </c>
      <c r="N1160" t="s">
        <v>1415</v>
      </c>
    </row>
    <row r="1161" spans="1:14">
      <c r="A1161" s="1">
        <v>46065.337569444448</v>
      </c>
      <c r="B1161">
        <v>385373382</v>
      </c>
      <c r="C1161" s="2" t="s">
        <v>1416</v>
      </c>
      <c r="D1161" t="s">
        <v>15</v>
      </c>
      <c r="E1161" s="5">
        <v>3200</v>
      </c>
      <c r="F1161" s="3">
        <v>3200</v>
      </c>
      <c r="G1161" s="3">
        <v>2240</v>
      </c>
      <c r="I1161" s="2" t="s">
        <v>388</v>
      </c>
      <c r="J1161" s="2" t="s">
        <v>290</v>
      </c>
      <c r="K1161" t="s">
        <v>18</v>
      </c>
      <c r="L1161" t="str">
        <f>T("9791194982081")</f>
        <v>9791194982081</v>
      </c>
      <c r="M1161" t="str">
        <f t="shared" si="42"/>
        <v/>
      </c>
      <c r="N1161" t="s">
        <v>1417</v>
      </c>
    </row>
    <row r="1162" spans="1:14">
      <c r="A1162" s="1">
        <v>46065.337569444448</v>
      </c>
      <c r="B1162">
        <v>385373369</v>
      </c>
      <c r="C1162" s="2" t="s">
        <v>468</v>
      </c>
      <c r="D1162" t="s">
        <v>15</v>
      </c>
      <c r="E1162" s="5">
        <v>3200</v>
      </c>
      <c r="F1162" s="3">
        <v>3200</v>
      </c>
      <c r="G1162" s="3">
        <v>2240</v>
      </c>
      <c r="I1162" s="2" t="s">
        <v>388</v>
      </c>
      <c r="J1162" s="2" t="s">
        <v>290</v>
      </c>
      <c r="K1162" t="s">
        <v>18</v>
      </c>
      <c r="L1162" t="str">
        <f>T("9791194982043")</f>
        <v>9791194982043</v>
      </c>
      <c r="M1162" t="str">
        <f t="shared" si="42"/>
        <v/>
      </c>
      <c r="N1162" t="s">
        <v>469</v>
      </c>
    </row>
    <row r="1163" spans="1:14">
      <c r="A1163" s="1">
        <v>46065.337569444448</v>
      </c>
      <c r="B1163">
        <v>385373355</v>
      </c>
      <c r="C1163" s="2" t="s">
        <v>470</v>
      </c>
      <c r="D1163" t="s">
        <v>15</v>
      </c>
      <c r="E1163" s="5">
        <v>3200</v>
      </c>
      <c r="F1163" s="3">
        <v>3200</v>
      </c>
      <c r="G1163" s="3">
        <v>2240</v>
      </c>
      <c r="I1163" s="2" t="s">
        <v>388</v>
      </c>
      <c r="J1163" s="2" t="s">
        <v>290</v>
      </c>
      <c r="K1163" t="s">
        <v>18</v>
      </c>
      <c r="L1163" t="str">
        <f>T("9791194982050")</f>
        <v>9791194982050</v>
      </c>
      <c r="M1163" t="str">
        <f t="shared" si="42"/>
        <v/>
      </c>
      <c r="N1163" t="s">
        <v>471</v>
      </c>
    </row>
    <row r="1164" spans="1:14">
      <c r="A1164" s="1">
        <v>46065.337569444448</v>
      </c>
      <c r="B1164">
        <v>385373365</v>
      </c>
      <c r="C1164" s="2" t="s">
        <v>466</v>
      </c>
      <c r="D1164" t="s">
        <v>15</v>
      </c>
      <c r="E1164" s="5">
        <v>3200</v>
      </c>
      <c r="F1164" s="3">
        <v>3200</v>
      </c>
      <c r="G1164" s="3">
        <v>2240</v>
      </c>
      <c r="I1164" s="2" t="s">
        <v>388</v>
      </c>
      <c r="J1164" s="2" t="s">
        <v>290</v>
      </c>
      <c r="K1164" t="s">
        <v>18</v>
      </c>
      <c r="L1164" t="str">
        <f>T("9791194982067")</f>
        <v>9791194982067</v>
      </c>
      <c r="M1164" t="str">
        <f t="shared" si="42"/>
        <v/>
      </c>
      <c r="N1164" t="s">
        <v>467</v>
      </c>
    </row>
    <row r="1165" spans="1:14">
      <c r="A1165" s="1">
        <v>46065.440752314818</v>
      </c>
      <c r="B1165">
        <v>385347737</v>
      </c>
      <c r="C1165" s="2" t="s">
        <v>1418</v>
      </c>
      <c r="D1165" t="s">
        <v>68</v>
      </c>
      <c r="E1165" s="4">
        <v>900</v>
      </c>
      <c r="F1165" s="2">
        <v>900</v>
      </c>
      <c r="G1165" s="2">
        <v>630</v>
      </c>
      <c r="I1165" s="2" t="s">
        <v>160</v>
      </c>
      <c r="J1165" s="2" t="s">
        <v>161</v>
      </c>
      <c r="K1165" t="s">
        <v>18</v>
      </c>
      <c r="L1165" t="str">
        <f>T("9791173260278")</f>
        <v>9791173260278</v>
      </c>
      <c r="M1165" t="str">
        <f t="shared" si="42"/>
        <v/>
      </c>
      <c r="N1165" t="s">
        <v>1419</v>
      </c>
    </row>
    <row r="1166" spans="1:14">
      <c r="A1166" s="1">
        <v>46065.496678240743</v>
      </c>
      <c r="B1166">
        <v>368597672</v>
      </c>
      <c r="C1166" s="2" t="s">
        <v>1420</v>
      </c>
      <c r="D1166" t="s">
        <v>15</v>
      </c>
      <c r="E1166" s="5">
        <v>3000</v>
      </c>
      <c r="F1166" s="3">
        <v>3000</v>
      </c>
      <c r="G1166" s="3">
        <v>2100</v>
      </c>
      <c r="I1166" s="2" t="s">
        <v>1421</v>
      </c>
      <c r="J1166" s="2" t="s">
        <v>200</v>
      </c>
      <c r="K1166" t="s">
        <v>18</v>
      </c>
      <c r="L1166" t="str">
        <f>T("9791173017308")</f>
        <v>9791173017308</v>
      </c>
      <c r="M1166" t="str">
        <f t="shared" si="42"/>
        <v/>
      </c>
      <c r="N1166" t="s">
        <v>1422</v>
      </c>
    </row>
    <row r="1167" spans="1:14">
      <c r="A1167" s="1">
        <v>46065.507627314815</v>
      </c>
      <c r="B1167">
        <v>288606179</v>
      </c>
      <c r="C1167" s="2" t="s">
        <v>1423</v>
      </c>
      <c r="D1167" t="s">
        <v>15</v>
      </c>
      <c r="E1167" s="5">
        <v>6000</v>
      </c>
      <c r="F1167" s="3">
        <v>5400</v>
      </c>
      <c r="G1167" s="3">
        <v>3780</v>
      </c>
      <c r="I1167" s="2" t="s">
        <v>1424</v>
      </c>
      <c r="J1167" s="2" t="s">
        <v>476</v>
      </c>
      <c r="K1167" t="s">
        <v>18</v>
      </c>
      <c r="L1167" t="str">
        <f>T("9791166745966")</f>
        <v>9791166745966</v>
      </c>
      <c r="M1167" t="str">
        <f t="shared" si="42"/>
        <v/>
      </c>
    </row>
    <row r="1168" spans="1:14">
      <c r="A1168" s="1">
        <v>46065.55400462963</v>
      </c>
      <c r="B1168">
        <v>368123504</v>
      </c>
      <c r="C1168" s="2" t="s">
        <v>1425</v>
      </c>
      <c r="D1168" t="s">
        <v>15</v>
      </c>
      <c r="E1168" s="5">
        <v>1000</v>
      </c>
      <c r="F1168" s="3">
        <v>1000</v>
      </c>
      <c r="G1168" s="2">
        <v>700</v>
      </c>
      <c r="I1168" s="2" t="s">
        <v>41</v>
      </c>
      <c r="J1168" s="2" t="s">
        <v>21</v>
      </c>
      <c r="K1168" t="s">
        <v>18</v>
      </c>
      <c r="L1168" t="str">
        <f>T("9791173017179")</f>
        <v>9791173017179</v>
      </c>
      <c r="M1168" t="str">
        <f t="shared" si="42"/>
        <v/>
      </c>
      <c r="N1168" t="s">
        <v>1426</v>
      </c>
    </row>
    <row r="1169" spans="1:14">
      <c r="A1169" s="1">
        <v>46065.55400462963</v>
      </c>
      <c r="B1169">
        <v>370351614</v>
      </c>
      <c r="C1169" s="2" t="s">
        <v>1427</v>
      </c>
      <c r="D1169" t="s">
        <v>15</v>
      </c>
      <c r="E1169" s="5">
        <v>1000</v>
      </c>
      <c r="F1169" s="3">
        <v>1000</v>
      </c>
      <c r="G1169" s="2">
        <v>700</v>
      </c>
      <c r="I1169" s="2" t="s">
        <v>41</v>
      </c>
      <c r="J1169" s="2" t="s">
        <v>21</v>
      </c>
      <c r="K1169" t="s">
        <v>18</v>
      </c>
      <c r="L1169" t="str">
        <f>T("9791173017759")</f>
        <v>9791173017759</v>
      </c>
      <c r="M1169" t="str">
        <f t="shared" si="42"/>
        <v/>
      </c>
      <c r="N1169" t="s">
        <v>1428</v>
      </c>
    </row>
    <row r="1170" spans="1:14">
      <c r="A1170" s="1">
        <v>46065.556157407409</v>
      </c>
      <c r="B1170">
        <v>386008658</v>
      </c>
      <c r="C1170" s="2" t="s">
        <v>1429</v>
      </c>
      <c r="D1170" t="s">
        <v>15</v>
      </c>
      <c r="E1170" s="5">
        <v>1100</v>
      </c>
      <c r="F1170" s="3">
        <v>1100</v>
      </c>
      <c r="G1170" s="2">
        <v>770</v>
      </c>
      <c r="I1170" s="2" t="s">
        <v>148</v>
      </c>
      <c r="J1170" s="2" t="s">
        <v>21</v>
      </c>
      <c r="K1170" t="s">
        <v>18</v>
      </c>
      <c r="L1170" t="str">
        <f>T("9791175582873")</f>
        <v>9791175582873</v>
      </c>
      <c r="M1170" t="str">
        <f t="shared" si="42"/>
        <v/>
      </c>
      <c r="N1170" t="s">
        <v>1430</v>
      </c>
    </row>
    <row r="1171" spans="1:14">
      <c r="A1171" s="1">
        <v>46065.569664351853</v>
      </c>
      <c r="B1171">
        <v>384623947</v>
      </c>
      <c r="C1171" s="2" t="s">
        <v>37</v>
      </c>
      <c r="D1171" t="s">
        <v>15</v>
      </c>
      <c r="E1171" s="5">
        <v>1000</v>
      </c>
      <c r="F1171" s="3">
        <v>1000</v>
      </c>
      <c r="G1171" s="2">
        <v>700</v>
      </c>
      <c r="I1171" s="2" t="s">
        <v>38</v>
      </c>
      <c r="J1171" s="2" t="s">
        <v>21</v>
      </c>
      <c r="K1171" t="s">
        <v>18</v>
      </c>
      <c r="L1171" t="str">
        <f>T("9791175582187")</f>
        <v>9791175582187</v>
      </c>
      <c r="M1171" t="str">
        <f t="shared" si="42"/>
        <v/>
      </c>
      <c r="N1171" t="s">
        <v>39</v>
      </c>
    </row>
    <row r="1172" spans="1:14">
      <c r="A1172" s="1">
        <v>46065.573495370372</v>
      </c>
      <c r="B1172">
        <v>385347515</v>
      </c>
      <c r="C1172" s="2" t="s">
        <v>304</v>
      </c>
      <c r="D1172" t="s">
        <v>15</v>
      </c>
      <c r="E1172" s="5">
        <v>1300</v>
      </c>
      <c r="F1172" s="3">
        <v>1300</v>
      </c>
      <c r="G1172" s="2">
        <v>910</v>
      </c>
      <c r="I1172" s="2" t="s">
        <v>148</v>
      </c>
      <c r="J1172" s="2" t="s">
        <v>21</v>
      </c>
      <c r="K1172" t="s">
        <v>18</v>
      </c>
      <c r="L1172" t="str">
        <f>T("9791175582521")</f>
        <v>9791175582521</v>
      </c>
      <c r="M1172" t="str">
        <f t="shared" si="42"/>
        <v/>
      </c>
      <c r="N1172" t="s">
        <v>305</v>
      </c>
    </row>
    <row r="1173" spans="1:14">
      <c r="A1173" s="1">
        <v>46065.576388888891</v>
      </c>
      <c r="B1173">
        <v>379921095</v>
      </c>
      <c r="C1173" s="2" t="s">
        <v>927</v>
      </c>
      <c r="D1173" t="s">
        <v>15</v>
      </c>
      <c r="E1173" s="5">
        <v>1000</v>
      </c>
      <c r="F1173" s="3">
        <v>1000</v>
      </c>
      <c r="G1173" s="2">
        <v>700</v>
      </c>
      <c r="I1173" s="2" t="s">
        <v>928</v>
      </c>
      <c r="J1173" s="2" t="s">
        <v>21</v>
      </c>
      <c r="K1173" t="s">
        <v>18</v>
      </c>
      <c r="L1173" t="str">
        <f>T("9791175581319")</f>
        <v>9791175581319</v>
      </c>
      <c r="M1173" t="str">
        <f t="shared" si="42"/>
        <v/>
      </c>
      <c r="N1173" t="s">
        <v>929</v>
      </c>
    </row>
    <row r="1174" spans="1:14">
      <c r="A1174" s="1">
        <v>46065.578240740739</v>
      </c>
      <c r="B1174">
        <v>385852543</v>
      </c>
      <c r="C1174" s="2" t="s">
        <v>1200</v>
      </c>
      <c r="D1174" t="s">
        <v>15</v>
      </c>
      <c r="E1174" s="5">
        <v>3000</v>
      </c>
      <c r="F1174" s="3">
        <v>3000</v>
      </c>
      <c r="G1174" s="3">
        <v>2100</v>
      </c>
      <c r="I1174" s="2" t="s">
        <v>1198</v>
      </c>
      <c r="J1174" s="2" t="s">
        <v>21</v>
      </c>
      <c r="K1174" t="s">
        <v>18</v>
      </c>
      <c r="L1174" t="str">
        <f>T("9791175582941")</f>
        <v>9791175582941</v>
      </c>
      <c r="M1174" t="str">
        <f t="shared" si="42"/>
        <v/>
      </c>
      <c r="N1174" t="s">
        <v>1201</v>
      </c>
    </row>
    <row r="1175" spans="1:14">
      <c r="A1175" s="1">
        <v>46065.586354166669</v>
      </c>
      <c r="B1175">
        <v>385347515</v>
      </c>
      <c r="C1175" s="2" t="s">
        <v>304</v>
      </c>
      <c r="D1175" t="s">
        <v>15</v>
      </c>
      <c r="E1175" s="5">
        <v>1300</v>
      </c>
      <c r="F1175" s="3">
        <v>1300</v>
      </c>
      <c r="G1175" s="2">
        <v>910</v>
      </c>
      <c r="I1175" s="2" t="s">
        <v>148</v>
      </c>
      <c r="J1175" s="2" t="s">
        <v>21</v>
      </c>
      <c r="K1175" t="s">
        <v>18</v>
      </c>
      <c r="L1175" t="str">
        <f>T("9791175582521")</f>
        <v>9791175582521</v>
      </c>
      <c r="M1175" t="str">
        <f t="shared" si="42"/>
        <v/>
      </c>
      <c r="N1175" t="s">
        <v>305</v>
      </c>
    </row>
    <row r="1176" spans="1:14">
      <c r="A1176" s="1">
        <v>46065.608807870369</v>
      </c>
      <c r="B1176">
        <v>357992780</v>
      </c>
      <c r="C1176" s="2" t="s">
        <v>154</v>
      </c>
      <c r="D1176" t="s">
        <v>15</v>
      </c>
      <c r="E1176" s="5">
        <v>1200</v>
      </c>
      <c r="F1176" s="3">
        <v>1200</v>
      </c>
      <c r="G1176" s="2">
        <v>840</v>
      </c>
      <c r="I1176" s="2" t="s">
        <v>148</v>
      </c>
      <c r="J1176" s="2" t="s">
        <v>21</v>
      </c>
      <c r="K1176" t="s">
        <v>18</v>
      </c>
      <c r="L1176" t="str">
        <f>T("9791173012716")</f>
        <v>9791173012716</v>
      </c>
      <c r="M1176" t="str">
        <f t="shared" si="42"/>
        <v/>
      </c>
      <c r="N1176" t="s">
        <v>155</v>
      </c>
    </row>
    <row r="1177" spans="1:14">
      <c r="A1177" s="1">
        <v>46065.641504629632</v>
      </c>
      <c r="B1177">
        <v>385347963</v>
      </c>
      <c r="C1177" s="2" t="s">
        <v>1431</v>
      </c>
      <c r="D1177" t="s">
        <v>68</v>
      </c>
      <c r="E1177" s="4">
        <v>900</v>
      </c>
      <c r="F1177" s="2">
        <v>900</v>
      </c>
      <c r="G1177" s="2">
        <v>630</v>
      </c>
      <c r="I1177" s="2" t="s">
        <v>160</v>
      </c>
      <c r="J1177" s="2" t="s">
        <v>161</v>
      </c>
      <c r="K1177" t="s">
        <v>18</v>
      </c>
      <c r="L1177" t="str">
        <f>T("9791173260285")</f>
        <v>9791173260285</v>
      </c>
      <c r="M1177" t="str">
        <f t="shared" si="42"/>
        <v/>
      </c>
      <c r="N1177" t="s">
        <v>1432</v>
      </c>
    </row>
    <row r="1178" spans="1:14">
      <c r="A1178" s="1">
        <v>46065.737326388888</v>
      </c>
      <c r="B1178">
        <v>385852507</v>
      </c>
      <c r="C1178" s="2" t="s">
        <v>1197</v>
      </c>
      <c r="D1178" t="s">
        <v>15</v>
      </c>
      <c r="E1178" s="5">
        <v>3000</v>
      </c>
      <c r="F1178" s="3">
        <v>3000</v>
      </c>
      <c r="G1178" s="3">
        <v>2100</v>
      </c>
      <c r="I1178" s="2" t="s">
        <v>1198</v>
      </c>
      <c r="J1178" s="2" t="s">
        <v>21</v>
      </c>
      <c r="K1178" t="s">
        <v>18</v>
      </c>
      <c r="L1178" t="str">
        <f>T("9791175582958")</f>
        <v>9791175582958</v>
      </c>
      <c r="M1178" t="str">
        <f t="shared" si="42"/>
        <v/>
      </c>
      <c r="N1178" t="s">
        <v>1199</v>
      </c>
    </row>
    <row r="1179" spans="1:14">
      <c r="A1179" s="1">
        <v>46065.753148148149</v>
      </c>
      <c r="B1179">
        <v>385347715</v>
      </c>
      <c r="C1179" s="2" t="s">
        <v>186</v>
      </c>
      <c r="D1179" t="s">
        <v>15</v>
      </c>
      <c r="E1179" s="5">
        <v>2000</v>
      </c>
      <c r="F1179" s="3">
        <v>1800</v>
      </c>
      <c r="G1179" s="3">
        <v>1260</v>
      </c>
      <c r="I1179" s="2" t="s">
        <v>187</v>
      </c>
      <c r="J1179" s="2" t="s">
        <v>188</v>
      </c>
      <c r="K1179" t="s">
        <v>18</v>
      </c>
      <c r="L1179" t="str">
        <f>T("9791164835362")</f>
        <v>9791164835362</v>
      </c>
      <c r="M1179" t="str">
        <f t="shared" si="42"/>
        <v/>
      </c>
      <c r="N1179" t="s">
        <v>189</v>
      </c>
    </row>
    <row r="1180" spans="1:14">
      <c r="A1180" s="1">
        <v>46065.76494212963</v>
      </c>
      <c r="B1180">
        <v>308166586</v>
      </c>
      <c r="C1180" s="2" t="s">
        <v>1433</v>
      </c>
      <c r="D1180" t="s">
        <v>15</v>
      </c>
      <c r="E1180" s="5">
        <v>1000</v>
      </c>
      <c r="F1180" s="3">
        <v>1000</v>
      </c>
      <c r="G1180" s="2">
        <v>700</v>
      </c>
      <c r="I1180" s="2" t="s">
        <v>293</v>
      </c>
      <c r="J1180" s="2" t="s">
        <v>21</v>
      </c>
      <c r="K1180" t="s">
        <v>18</v>
      </c>
      <c r="L1180" t="str">
        <f>T("9791167835802")</f>
        <v>9791167835802</v>
      </c>
      <c r="M1180" t="str">
        <f t="shared" si="42"/>
        <v/>
      </c>
      <c r="N1180" t="s">
        <v>1434</v>
      </c>
    </row>
    <row r="1181" spans="1:14">
      <c r="A1181" s="1">
        <v>46065.76494212963</v>
      </c>
      <c r="B1181">
        <v>308166587</v>
      </c>
      <c r="C1181" s="2" t="s">
        <v>1435</v>
      </c>
      <c r="D1181" t="s">
        <v>15</v>
      </c>
      <c r="E1181" s="5">
        <v>1000</v>
      </c>
      <c r="F1181" s="3">
        <v>1000</v>
      </c>
      <c r="G1181" s="2">
        <v>700</v>
      </c>
      <c r="I1181" s="2" t="s">
        <v>293</v>
      </c>
      <c r="J1181" s="2" t="s">
        <v>21</v>
      </c>
      <c r="K1181" t="s">
        <v>18</v>
      </c>
      <c r="L1181" t="str">
        <f>T("9791167836229")</f>
        <v>9791167836229</v>
      </c>
      <c r="M1181" t="str">
        <f t="shared" si="42"/>
        <v/>
      </c>
      <c r="N1181" t="s">
        <v>1436</v>
      </c>
    </row>
    <row r="1182" spans="1:14">
      <c r="A1182" s="1">
        <v>46065.765810185185</v>
      </c>
      <c r="B1182">
        <v>385347715</v>
      </c>
      <c r="C1182" s="2" t="s">
        <v>186</v>
      </c>
      <c r="D1182" t="s">
        <v>15</v>
      </c>
      <c r="E1182" s="5">
        <v>2000</v>
      </c>
      <c r="F1182" s="3">
        <v>1800</v>
      </c>
      <c r="G1182" s="3">
        <v>1260</v>
      </c>
      <c r="I1182" s="2" t="s">
        <v>187</v>
      </c>
      <c r="J1182" s="2" t="s">
        <v>188</v>
      </c>
      <c r="K1182" t="s">
        <v>18</v>
      </c>
      <c r="L1182" t="str">
        <f>T("9791164835362")</f>
        <v>9791164835362</v>
      </c>
      <c r="M1182" t="str">
        <f t="shared" si="42"/>
        <v/>
      </c>
      <c r="N1182" t="s">
        <v>189</v>
      </c>
    </row>
    <row r="1183" spans="1:14">
      <c r="A1183" s="1">
        <v>46065.806956018518</v>
      </c>
      <c r="B1183">
        <v>277935740</v>
      </c>
      <c r="C1183" s="2" t="s">
        <v>1437</v>
      </c>
      <c r="D1183" t="s">
        <v>15</v>
      </c>
      <c r="E1183" s="4">
        <v>100</v>
      </c>
      <c r="F1183" s="2">
        <v>100</v>
      </c>
      <c r="G1183" s="2">
        <v>70</v>
      </c>
      <c r="I1183" s="2" t="s">
        <v>64</v>
      </c>
      <c r="J1183" s="2" t="s">
        <v>65</v>
      </c>
      <c r="K1183" t="s">
        <v>18</v>
      </c>
      <c r="L1183" t="str">
        <f>T("9791162589724")</f>
        <v>9791162589724</v>
      </c>
      <c r="M1183" t="str">
        <f t="shared" si="42"/>
        <v/>
      </c>
      <c r="N1183" t="s">
        <v>1438</v>
      </c>
    </row>
    <row r="1184" spans="1:14">
      <c r="A1184" s="1">
        <v>46065.806956018518</v>
      </c>
      <c r="B1184">
        <v>277935645</v>
      </c>
      <c r="C1184" s="2" t="s">
        <v>1439</v>
      </c>
      <c r="D1184" t="s">
        <v>15</v>
      </c>
      <c r="E1184" s="4">
        <v>100</v>
      </c>
      <c r="F1184" s="2">
        <v>100</v>
      </c>
      <c r="G1184" s="2">
        <v>70</v>
      </c>
      <c r="I1184" s="2" t="s">
        <v>64</v>
      </c>
      <c r="J1184" s="2" t="s">
        <v>65</v>
      </c>
      <c r="K1184" t="s">
        <v>18</v>
      </c>
      <c r="L1184" t="str">
        <f>T("9791162589724")</f>
        <v>9791162589724</v>
      </c>
      <c r="M1184" t="str">
        <f t="shared" si="42"/>
        <v/>
      </c>
      <c r="N1184" t="s">
        <v>1440</v>
      </c>
    </row>
    <row r="1185" spans="1:14">
      <c r="A1185" s="1">
        <v>46065.806956018518</v>
      </c>
      <c r="B1185">
        <v>277935689</v>
      </c>
      <c r="C1185" s="2" t="s">
        <v>1441</v>
      </c>
      <c r="D1185" t="s">
        <v>15</v>
      </c>
      <c r="E1185" s="4">
        <v>100</v>
      </c>
      <c r="F1185" s="2">
        <v>100</v>
      </c>
      <c r="G1185" s="2">
        <v>70</v>
      </c>
      <c r="I1185" s="2" t="s">
        <v>64</v>
      </c>
      <c r="J1185" s="2" t="s">
        <v>65</v>
      </c>
      <c r="K1185" t="s">
        <v>18</v>
      </c>
      <c r="L1185" t="str">
        <f>T("9791162589724")</f>
        <v>9791162589724</v>
      </c>
      <c r="M1185" t="str">
        <f t="shared" si="42"/>
        <v/>
      </c>
      <c r="N1185" t="s">
        <v>1442</v>
      </c>
    </row>
    <row r="1186" spans="1:14">
      <c r="A1186" s="1">
        <v>46065.806956018518</v>
      </c>
      <c r="B1186">
        <v>277935487</v>
      </c>
      <c r="C1186" s="2" t="s">
        <v>1443</v>
      </c>
      <c r="D1186" t="s">
        <v>15</v>
      </c>
      <c r="E1186" s="4">
        <v>100</v>
      </c>
      <c r="F1186" s="2">
        <v>100</v>
      </c>
      <c r="G1186" s="2">
        <v>70</v>
      </c>
      <c r="I1186" s="2" t="s">
        <v>64</v>
      </c>
      <c r="J1186" s="2" t="s">
        <v>65</v>
      </c>
      <c r="K1186" t="s">
        <v>18</v>
      </c>
      <c r="L1186" t="str">
        <f>T("9791162589724")</f>
        <v>9791162589724</v>
      </c>
      <c r="M1186" t="str">
        <f t="shared" si="42"/>
        <v/>
      </c>
      <c r="N1186" t="s">
        <v>1444</v>
      </c>
    </row>
    <row r="1187" spans="1:14">
      <c r="A1187" s="1">
        <v>46065.82372685185</v>
      </c>
      <c r="B1187">
        <v>189861481</v>
      </c>
      <c r="C1187" s="2" t="s">
        <v>1445</v>
      </c>
      <c r="D1187" t="s">
        <v>15</v>
      </c>
      <c r="E1187" s="5">
        <v>4000</v>
      </c>
      <c r="F1187" s="3">
        <v>4000</v>
      </c>
      <c r="G1187" s="3">
        <v>2800</v>
      </c>
      <c r="I1187" s="2" t="s">
        <v>196</v>
      </c>
      <c r="J1187" s="2" t="s">
        <v>197</v>
      </c>
      <c r="K1187" t="s">
        <v>18</v>
      </c>
      <c r="L1187" t="str">
        <f>T("9791164090051")</f>
        <v>9791164090051</v>
      </c>
      <c r="M1187" t="str">
        <f t="shared" si="42"/>
        <v/>
      </c>
    </row>
    <row r="1188" spans="1:14">
      <c r="A1188" s="1">
        <v>46065.826122685183</v>
      </c>
      <c r="B1188">
        <v>317045475</v>
      </c>
      <c r="C1188" s="2" t="s">
        <v>1446</v>
      </c>
      <c r="D1188" t="s">
        <v>15</v>
      </c>
      <c r="E1188" s="5">
        <v>3500</v>
      </c>
      <c r="F1188" s="3">
        <v>3500</v>
      </c>
      <c r="G1188" s="3">
        <v>2450</v>
      </c>
      <c r="I1188" s="2" t="s">
        <v>1447</v>
      </c>
      <c r="J1188" s="2" t="s">
        <v>200</v>
      </c>
      <c r="K1188" t="s">
        <v>18</v>
      </c>
      <c r="L1188" t="str">
        <f>T("9791167839947")</f>
        <v>9791167839947</v>
      </c>
      <c r="M1188" t="str">
        <f t="shared" si="42"/>
        <v/>
      </c>
      <c r="N1188" t="s">
        <v>1448</v>
      </c>
    </row>
    <row r="1189" spans="1:14">
      <c r="A1189" s="1">
        <v>46065.826122685183</v>
      </c>
      <c r="B1189">
        <v>317045580</v>
      </c>
      <c r="C1189" s="2" t="s">
        <v>1449</v>
      </c>
      <c r="D1189" t="s">
        <v>15</v>
      </c>
      <c r="E1189" s="5">
        <v>3500</v>
      </c>
      <c r="F1189" s="3">
        <v>3500</v>
      </c>
      <c r="G1189" s="3">
        <v>2450</v>
      </c>
      <c r="I1189" s="2" t="s">
        <v>1447</v>
      </c>
      <c r="J1189" s="2" t="s">
        <v>200</v>
      </c>
      <c r="K1189" t="s">
        <v>18</v>
      </c>
      <c r="L1189" t="str">
        <f>T("9791167839930")</f>
        <v>9791167839930</v>
      </c>
      <c r="M1189" t="str">
        <f t="shared" si="42"/>
        <v/>
      </c>
      <c r="N1189" t="s">
        <v>1450</v>
      </c>
    </row>
    <row r="1190" spans="1:14">
      <c r="A1190" s="1">
        <v>46065.826122685183</v>
      </c>
      <c r="B1190">
        <v>317045584</v>
      </c>
      <c r="C1190" s="2" t="s">
        <v>1451</v>
      </c>
      <c r="D1190" t="s">
        <v>15</v>
      </c>
      <c r="E1190" s="5">
        <v>3500</v>
      </c>
      <c r="F1190" s="3">
        <v>3500</v>
      </c>
      <c r="G1190" s="3">
        <v>2450</v>
      </c>
      <c r="I1190" s="2" t="s">
        <v>1447</v>
      </c>
      <c r="J1190" s="2" t="s">
        <v>200</v>
      </c>
      <c r="K1190" t="s">
        <v>18</v>
      </c>
      <c r="L1190" t="str">
        <f>T("9791167839954")</f>
        <v>9791167839954</v>
      </c>
      <c r="M1190" t="str">
        <f t="shared" si="42"/>
        <v/>
      </c>
      <c r="N1190" t="s">
        <v>1452</v>
      </c>
    </row>
    <row r="1191" spans="1:14">
      <c r="A1191" s="1">
        <v>46065.8437037037</v>
      </c>
      <c r="B1191">
        <v>385347715</v>
      </c>
      <c r="C1191" s="2" t="s">
        <v>186</v>
      </c>
      <c r="D1191" t="s">
        <v>15</v>
      </c>
      <c r="E1191" s="5">
        <v>2000</v>
      </c>
      <c r="F1191" s="3">
        <v>1800</v>
      </c>
      <c r="G1191" s="3">
        <v>1260</v>
      </c>
      <c r="I1191" s="2" t="s">
        <v>187</v>
      </c>
      <c r="J1191" s="2" t="s">
        <v>188</v>
      </c>
      <c r="K1191" t="s">
        <v>18</v>
      </c>
      <c r="L1191" t="str">
        <f>T("9791164835362")</f>
        <v>9791164835362</v>
      </c>
      <c r="M1191" t="str">
        <f t="shared" si="42"/>
        <v/>
      </c>
      <c r="N1191" t="s">
        <v>189</v>
      </c>
    </row>
    <row r="1192" spans="1:14">
      <c r="A1192" s="1">
        <v>46065.863217592596</v>
      </c>
      <c r="B1192">
        <v>385852478</v>
      </c>
      <c r="C1192" s="2" t="s">
        <v>1228</v>
      </c>
      <c r="D1192" t="s">
        <v>15</v>
      </c>
      <c r="E1192" s="4">
        <v>0</v>
      </c>
      <c r="F1192" s="2">
        <v>0</v>
      </c>
      <c r="G1192" s="2">
        <v>0</v>
      </c>
      <c r="I1192" s="2" t="s">
        <v>1229</v>
      </c>
      <c r="J1192" s="2" t="s">
        <v>960</v>
      </c>
      <c r="K1192" t="s">
        <v>18</v>
      </c>
      <c r="L1192" t="str">
        <f>T("")</f>
        <v/>
      </c>
      <c r="M1192" t="str">
        <f>T("G720:N+A378-20260112081.M001")</f>
        <v>G720:N+A378-20260112081.M001</v>
      </c>
      <c r="N1192" t="s">
        <v>1230</v>
      </c>
    </row>
    <row r="1193" spans="1:14">
      <c r="A1193" s="1">
        <v>46065.864131944443</v>
      </c>
      <c r="B1193">
        <v>385347725</v>
      </c>
      <c r="C1193" s="2" t="s">
        <v>1453</v>
      </c>
      <c r="D1193" t="s">
        <v>15</v>
      </c>
      <c r="E1193" s="5">
        <v>3400</v>
      </c>
      <c r="F1193" s="3">
        <v>3400</v>
      </c>
      <c r="G1193" s="3">
        <v>2380</v>
      </c>
      <c r="I1193" s="2" t="s">
        <v>1454</v>
      </c>
      <c r="J1193" s="2" t="s">
        <v>184</v>
      </c>
      <c r="K1193" t="s">
        <v>18</v>
      </c>
      <c r="L1193" t="str">
        <f>T("9791170965596")</f>
        <v>9791170965596</v>
      </c>
      <c r="M1193" t="str">
        <f t="shared" ref="M1193:M1224" si="43">T("")</f>
        <v/>
      </c>
      <c r="N1193" t="s">
        <v>1455</v>
      </c>
    </row>
    <row r="1194" spans="1:14">
      <c r="A1194" s="1">
        <v>46065.864131944443</v>
      </c>
      <c r="B1194">
        <v>385347947</v>
      </c>
      <c r="C1194" s="2" t="s">
        <v>1456</v>
      </c>
      <c r="D1194" t="s">
        <v>15</v>
      </c>
      <c r="E1194" s="5">
        <v>3400</v>
      </c>
      <c r="F1194" s="3">
        <v>3400</v>
      </c>
      <c r="G1194" s="3">
        <v>2380</v>
      </c>
      <c r="I1194" s="2" t="s">
        <v>1454</v>
      </c>
      <c r="J1194" s="2" t="s">
        <v>184</v>
      </c>
      <c r="K1194" t="s">
        <v>18</v>
      </c>
      <c r="L1194" t="str">
        <f>T("9791170965602")</f>
        <v>9791170965602</v>
      </c>
      <c r="M1194" t="str">
        <f t="shared" si="43"/>
        <v/>
      </c>
      <c r="N1194" t="s">
        <v>1457</v>
      </c>
    </row>
    <row r="1195" spans="1:14">
      <c r="A1195" s="1">
        <v>46065.864131944443</v>
      </c>
      <c r="B1195">
        <v>385347809</v>
      </c>
      <c r="C1195" s="2" t="s">
        <v>1458</v>
      </c>
      <c r="D1195" t="s">
        <v>15</v>
      </c>
      <c r="E1195" s="5">
        <v>3400</v>
      </c>
      <c r="F1195" s="3">
        <v>3400</v>
      </c>
      <c r="G1195" s="3">
        <v>2380</v>
      </c>
      <c r="I1195" s="2" t="s">
        <v>1454</v>
      </c>
      <c r="J1195" s="2" t="s">
        <v>184</v>
      </c>
      <c r="K1195" t="s">
        <v>18</v>
      </c>
      <c r="L1195" t="str">
        <f>T("9791170965589")</f>
        <v>9791170965589</v>
      </c>
      <c r="M1195" t="str">
        <f t="shared" si="43"/>
        <v/>
      </c>
      <c r="N1195" t="s">
        <v>1459</v>
      </c>
    </row>
    <row r="1196" spans="1:14">
      <c r="A1196" s="1">
        <v>46065.885150462964</v>
      </c>
      <c r="B1196">
        <v>234101428</v>
      </c>
      <c r="C1196" s="2" t="s">
        <v>1460</v>
      </c>
      <c r="D1196" t="s">
        <v>15</v>
      </c>
      <c r="E1196" s="5">
        <v>3200</v>
      </c>
      <c r="F1196" s="3">
        <v>3200</v>
      </c>
      <c r="G1196" s="3">
        <v>2240</v>
      </c>
      <c r="I1196" s="2" t="s">
        <v>933</v>
      </c>
      <c r="J1196" s="2" t="s">
        <v>245</v>
      </c>
      <c r="K1196" t="s">
        <v>18</v>
      </c>
      <c r="L1196" t="str">
        <f>T("9791164485376")</f>
        <v>9791164485376</v>
      </c>
      <c r="M1196" t="str">
        <f t="shared" si="43"/>
        <v/>
      </c>
    </row>
    <row r="1197" spans="1:14">
      <c r="A1197" s="1">
        <v>46065.885150462964</v>
      </c>
      <c r="B1197">
        <v>234101426</v>
      </c>
      <c r="C1197" s="2" t="s">
        <v>1226</v>
      </c>
      <c r="D1197" t="s">
        <v>15</v>
      </c>
      <c r="E1197" s="5">
        <v>3200</v>
      </c>
      <c r="F1197" s="3">
        <v>3200</v>
      </c>
      <c r="G1197" s="3">
        <v>2240</v>
      </c>
      <c r="I1197" s="2" t="s">
        <v>933</v>
      </c>
      <c r="J1197" s="2" t="s">
        <v>245</v>
      </c>
      <c r="K1197" t="s">
        <v>18</v>
      </c>
      <c r="L1197" t="str">
        <f>T("9791164485352")</f>
        <v>9791164485352</v>
      </c>
      <c r="M1197" t="str">
        <f t="shared" si="43"/>
        <v/>
      </c>
    </row>
    <row r="1198" spans="1:14">
      <c r="A1198" s="1">
        <v>46065.885150462964</v>
      </c>
      <c r="B1198">
        <v>234101427</v>
      </c>
      <c r="C1198" s="2" t="s">
        <v>1227</v>
      </c>
      <c r="D1198" t="s">
        <v>15</v>
      </c>
      <c r="E1198" s="5">
        <v>3200</v>
      </c>
      <c r="F1198" s="3">
        <v>3200</v>
      </c>
      <c r="G1198" s="3">
        <v>2240</v>
      </c>
      <c r="I1198" s="2" t="s">
        <v>933</v>
      </c>
      <c r="J1198" s="2" t="s">
        <v>245</v>
      </c>
      <c r="K1198" t="s">
        <v>18</v>
      </c>
      <c r="L1198" t="str">
        <f>T("9791164485369")</f>
        <v>9791164485369</v>
      </c>
      <c r="M1198" t="str">
        <f t="shared" si="43"/>
        <v/>
      </c>
    </row>
    <row r="1199" spans="1:14">
      <c r="A1199" s="1">
        <v>46065.885150462964</v>
      </c>
      <c r="B1199">
        <v>234101424</v>
      </c>
      <c r="C1199" s="2" t="s">
        <v>1224</v>
      </c>
      <c r="D1199" t="s">
        <v>15</v>
      </c>
      <c r="E1199" s="5">
        <v>3200</v>
      </c>
      <c r="F1199" s="3">
        <v>3200</v>
      </c>
      <c r="G1199" s="3">
        <v>2240</v>
      </c>
      <c r="I1199" s="2" t="s">
        <v>933</v>
      </c>
      <c r="J1199" s="2" t="s">
        <v>245</v>
      </c>
      <c r="K1199" t="s">
        <v>18</v>
      </c>
      <c r="L1199" t="str">
        <f>T("9791164485321")</f>
        <v>9791164485321</v>
      </c>
      <c r="M1199" t="str">
        <f t="shared" si="43"/>
        <v/>
      </c>
    </row>
    <row r="1200" spans="1:14">
      <c r="A1200" s="1">
        <v>46065.885150462964</v>
      </c>
      <c r="B1200">
        <v>234101425</v>
      </c>
      <c r="C1200" s="2" t="s">
        <v>1225</v>
      </c>
      <c r="D1200" t="s">
        <v>15</v>
      </c>
      <c r="E1200" s="5">
        <v>3200</v>
      </c>
      <c r="F1200" s="3">
        <v>3200</v>
      </c>
      <c r="G1200" s="3">
        <v>2240</v>
      </c>
      <c r="I1200" s="2" t="s">
        <v>933</v>
      </c>
      <c r="J1200" s="2" t="s">
        <v>245</v>
      </c>
      <c r="K1200" t="s">
        <v>18</v>
      </c>
      <c r="L1200" t="str">
        <f>T("9791164485345")</f>
        <v>9791164485345</v>
      </c>
      <c r="M1200" t="str">
        <f t="shared" si="43"/>
        <v/>
      </c>
    </row>
    <row r="1201" spans="1:13">
      <c r="A1201" s="1">
        <v>46065.885150462964</v>
      </c>
      <c r="B1201">
        <v>234101420</v>
      </c>
      <c r="C1201" s="2" t="s">
        <v>1221</v>
      </c>
      <c r="D1201" t="s">
        <v>15</v>
      </c>
      <c r="E1201" s="5">
        <v>3200</v>
      </c>
      <c r="F1201" s="3">
        <v>3200</v>
      </c>
      <c r="G1201" s="3">
        <v>2240</v>
      </c>
      <c r="I1201" s="2" t="s">
        <v>933</v>
      </c>
      <c r="J1201" s="2" t="s">
        <v>245</v>
      </c>
      <c r="K1201" t="s">
        <v>18</v>
      </c>
      <c r="L1201" t="str">
        <f>T("9791164485284")</f>
        <v>9791164485284</v>
      </c>
      <c r="M1201" t="str">
        <f t="shared" si="43"/>
        <v/>
      </c>
    </row>
    <row r="1202" spans="1:13">
      <c r="A1202" s="1">
        <v>46065.885150462964</v>
      </c>
      <c r="B1202">
        <v>234101421</v>
      </c>
      <c r="C1202" s="2" t="s">
        <v>1222</v>
      </c>
      <c r="D1202" t="s">
        <v>15</v>
      </c>
      <c r="E1202" s="5">
        <v>3200</v>
      </c>
      <c r="F1202" s="3">
        <v>3200</v>
      </c>
      <c r="G1202" s="3">
        <v>2240</v>
      </c>
      <c r="I1202" s="2" t="s">
        <v>933</v>
      </c>
      <c r="J1202" s="2" t="s">
        <v>245</v>
      </c>
      <c r="K1202" t="s">
        <v>18</v>
      </c>
      <c r="L1202" t="str">
        <f>T("9791164485291")</f>
        <v>9791164485291</v>
      </c>
      <c r="M1202" t="str">
        <f t="shared" si="43"/>
        <v/>
      </c>
    </row>
    <row r="1203" spans="1:13">
      <c r="A1203" s="1">
        <v>46065.885150462964</v>
      </c>
      <c r="B1203">
        <v>234101422</v>
      </c>
      <c r="C1203" s="2" t="s">
        <v>1220</v>
      </c>
      <c r="D1203" t="s">
        <v>15</v>
      </c>
      <c r="E1203" s="5">
        <v>3200</v>
      </c>
      <c r="F1203" s="3">
        <v>3200</v>
      </c>
      <c r="G1203" s="3">
        <v>2240</v>
      </c>
      <c r="I1203" s="2" t="s">
        <v>933</v>
      </c>
      <c r="J1203" s="2" t="s">
        <v>245</v>
      </c>
      <c r="K1203" t="s">
        <v>18</v>
      </c>
      <c r="L1203" t="str">
        <f>T("9791164485307")</f>
        <v>9791164485307</v>
      </c>
      <c r="M1203" t="str">
        <f t="shared" si="43"/>
        <v/>
      </c>
    </row>
    <row r="1204" spans="1:13">
      <c r="A1204" s="1">
        <v>46065.885150462964</v>
      </c>
      <c r="B1204">
        <v>234101423</v>
      </c>
      <c r="C1204" s="2" t="s">
        <v>1223</v>
      </c>
      <c r="D1204" t="s">
        <v>15</v>
      </c>
      <c r="E1204" s="5">
        <v>3200</v>
      </c>
      <c r="F1204" s="3">
        <v>3200</v>
      </c>
      <c r="G1204" s="3">
        <v>2240</v>
      </c>
      <c r="I1204" s="2" t="s">
        <v>933</v>
      </c>
      <c r="J1204" s="2" t="s">
        <v>245</v>
      </c>
      <c r="K1204" t="s">
        <v>18</v>
      </c>
      <c r="L1204" t="str">
        <f>T("9791164485314")</f>
        <v>9791164485314</v>
      </c>
      <c r="M1204" t="str">
        <f t="shared" si="43"/>
        <v/>
      </c>
    </row>
    <row r="1205" spans="1:13">
      <c r="A1205" s="1">
        <v>46065.885150462964</v>
      </c>
      <c r="B1205">
        <v>234101441</v>
      </c>
      <c r="C1205" s="2" t="s">
        <v>1461</v>
      </c>
      <c r="D1205" t="s">
        <v>15</v>
      </c>
      <c r="E1205" s="5">
        <v>3200</v>
      </c>
      <c r="F1205" s="3">
        <v>3200</v>
      </c>
      <c r="G1205" s="3">
        <v>2240</v>
      </c>
      <c r="I1205" s="2" t="s">
        <v>933</v>
      </c>
      <c r="J1205" s="2" t="s">
        <v>245</v>
      </c>
      <c r="K1205" t="s">
        <v>18</v>
      </c>
      <c r="L1205" t="str">
        <f>T("9791164485468")</f>
        <v>9791164485468</v>
      </c>
      <c r="M1205" t="str">
        <f t="shared" si="43"/>
        <v/>
      </c>
    </row>
    <row r="1206" spans="1:13">
      <c r="A1206" s="1">
        <v>46065.885150462964</v>
      </c>
      <c r="B1206">
        <v>234101442</v>
      </c>
      <c r="C1206" s="2" t="s">
        <v>1462</v>
      </c>
      <c r="D1206" t="s">
        <v>15</v>
      </c>
      <c r="E1206" s="5">
        <v>3200</v>
      </c>
      <c r="F1206" s="3">
        <v>3200</v>
      </c>
      <c r="G1206" s="3">
        <v>2240</v>
      </c>
      <c r="I1206" s="2" t="s">
        <v>933</v>
      </c>
      <c r="J1206" s="2" t="s">
        <v>245</v>
      </c>
      <c r="K1206" t="s">
        <v>18</v>
      </c>
      <c r="L1206" t="str">
        <f>T("9791164485482")</f>
        <v>9791164485482</v>
      </c>
      <c r="M1206" t="str">
        <f t="shared" si="43"/>
        <v/>
      </c>
    </row>
    <row r="1207" spans="1:13">
      <c r="A1207" s="1">
        <v>46065.885150462964</v>
      </c>
      <c r="B1207">
        <v>234101443</v>
      </c>
      <c r="C1207" s="2" t="s">
        <v>1463</v>
      </c>
      <c r="D1207" t="s">
        <v>15</v>
      </c>
      <c r="E1207" s="5">
        <v>3200</v>
      </c>
      <c r="F1207" s="3">
        <v>3200</v>
      </c>
      <c r="G1207" s="3">
        <v>2240</v>
      </c>
      <c r="I1207" s="2" t="s">
        <v>933</v>
      </c>
      <c r="J1207" s="2" t="s">
        <v>245</v>
      </c>
      <c r="K1207" t="s">
        <v>18</v>
      </c>
      <c r="L1207" t="str">
        <f>T("9791164485499")</f>
        <v>9791164485499</v>
      </c>
      <c r="M1207" t="str">
        <f t="shared" si="43"/>
        <v/>
      </c>
    </row>
    <row r="1208" spans="1:13">
      <c r="A1208" s="1">
        <v>46065.885150462964</v>
      </c>
      <c r="B1208">
        <v>234101444</v>
      </c>
      <c r="C1208" s="2" t="s">
        <v>1464</v>
      </c>
      <c r="D1208" t="s">
        <v>15</v>
      </c>
      <c r="E1208" s="5">
        <v>3200</v>
      </c>
      <c r="F1208" s="3">
        <v>3200</v>
      </c>
      <c r="G1208" s="3">
        <v>2240</v>
      </c>
      <c r="I1208" s="2" t="s">
        <v>933</v>
      </c>
      <c r="J1208" s="2" t="s">
        <v>245</v>
      </c>
      <c r="K1208" t="s">
        <v>18</v>
      </c>
      <c r="L1208" t="str">
        <f>T("9791164485505")</f>
        <v>9791164485505</v>
      </c>
      <c r="M1208" t="str">
        <f t="shared" si="43"/>
        <v/>
      </c>
    </row>
    <row r="1209" spans="1:13">
      <c r="A1209" s="1">
        <v>46065.885150462964</v>
      </c>
      <c r="B1209">
        <v>234101429</v>
      </c>
      <c r="C1209" s="2" t="s">
        <v>1465</v>
      </c>
      <c r="D1209" t="s">
        <v>15</v>
      </c>
      <c r="E1209" s="5">
        <v>3200</v>
      </c>
      <c r="F1209" s="3">
        <v>3200</v>
      </c>
      <c r="G1209" s="3">
        <v>2240</v>
      </c>
      <c r="I1209" s="2" t="s">
        <v>933</v>
      </c>
      <c r="J1209" s="2" t="s">
        <v>245</v>
      </c>
      <c r="K1209" t="s">
        <v>18</v>
      </c>
      <c r="L1209" t="str">
        <f>T("9791164485383")</f>
        <v>9791164485383</v>
      </c>
      <c r="M1209" t="str">
        <f t="shared" si="43"/>
        <v/>
      </c>
    </row>
    <row r="1210" spans="1:13">
      <c r="A1210" s="1">
        <v>46065.885150462964</v>
      </c>
      <c r="B1210">
        <v>234101430</v>
      </c>
      <c r="C1210" s="2" t="s">
        <v>1466</v>
      </c>
      <c r="D1210" t="s">
        <v>15</v>
      </c>
      <c r="E1210" s="5">
        <v>3200</v>
      </c>
      <c r="F1210" s="3">
        <v>3200</v>
      </c>
      <c r="G1210" s="3">
        <v>2240</v>
      </c>
      <c r="I1210" s="2" t="s">
        <v>933</v>
      </c>
      <c r="J1210" s="2" t="s">
        <v>245</v>
      </c>
      <c r="K1210" t="s">
        <v>18</v>
      </c>
      <c r="L1210" t="str">
        <f>T("9791164485390")</f>
        <v>9791164485390</v>
      </c>
      <c r="M1210" t="str">
        <f t="shared" si="43"/>
        <v/>
      </c>
    </row>
    <row r="1211" spans="1:13">
      <c r="A1211" s="1">
        <v>46065.885150462964</v>
      </c>
      <c r="B1211">
        <v>234101431</v>
      </c>
      <c r="C1211" s="2" t="s">
        <v>1467</v>
      </c>
      <c r="D1211" t="s">
        <v>15</v>
      </c>
      <c r="E1211" s="5">
        <v>3200</v>
      </c>
      <c r="F1211" s="3">
        <v>3200</v>
      </c>
      <c r="G1211" s="3">
        <v>2240</v>
      </c>
      <c r="I1211" s="2" t="s">
        <v>933</v>
      </c>
      <c r="J1211" s="2" t="s">
        <v>245</v>
      </c>
      <c r="K1211" t="s">
        <v>18</v>
      </c>
      <c r="L1211" t="str">
        <f>T("9791164485406")</f>
        <v>9791164485406</v>
      </c>
      <c r="M1211" t="str">
        <f t="shared" si="43"/>
        <v/>
      </c>
    </row>
    <row r="1212" spans="1:13">
      <c r="A1212" s="1">
        <v>46065.885150462964</v>
      </c>
      <c r="B1212">
        <v>234101434</v>
      </c>
      <c r="C1212" s="2" t="s">
        <v>1468</v>
      </c>
      <c r="D1212" t="s">
        <v>15</v>
      </c>
      <c r="E1212" s="5">
        <v>3200</v>
      </c>
      <c r="F1212" s="3">
        <v>3200</v>
      </c>
      <c r="G1212" s="3">
        <v>2240</v>
      </c>
      <c r="I1212" s="2" t="s">
        <v>933</v>
      </c>
      <c r="J1212" s="2" t="s">
        <v>245</v>
      </c>
      <c r="K1212" t="s">
        <v>18</v>
      </c>
      <c r="L1212" t="str">
        <f>T("9791164485413")</f>
        <v>9791164485413</v>
      </c>
      <c r="M1212" t="str">
        <f t="shared" si="43"/>
        <v/>
      </c>
    </row>
    <row r="1213" spans="1:13">
      <c r="A1213" s="1">
        <v>46065.885150462964</v>
      </c>
      <c r="B1213">
        <v>234101435</v>
      </c>
      <c r="C1213" s="2" t="s">
        <v>1469</v>
      </c>
      <c r="D1213" t="s">
        <v>15</v>
      </c>
      <c r="E1213" s="5">
        <v>3200</v>
      </c>
      <c r="F1213" s="3">
        <v>3200</v>
      </c>
      <c r="G1213" s="3">
        <v>2240</v>
      </c>
      <c r="I1213" s="2" t="s">
        <v>933</v>
      </c>
      <c r="J1213" s="2" t="s">
        <v>245</v>
      </c>
      <c r="K1213" t="s">
        <v>18</v>
      </c>
      <c r="L1213" t="str">
        <f>T("9791164485420")</f>
        <v>9791164485420</v>
      </c>
      <c r="M1213" t="str">
        <f t="shared" si="43"/>
        <v/>
      </c>
    </row>
    <row r="1214" spans="1:13">
      <c r="A1214" s="1">
        <v>46065.885150462964</v>
      </c>
      <c r="B1214">
        <v>234101436</v>
      </c>
      <c r="C1214" s="2" t="s">
        <v>1470</v>
      </c>
      <c r="D1214" t="s">
        <v>15</v>
      </c>
      <c r="E1214" s="5">
        <v>3200</v>
      </c>
      <c r="F1214" s="3">
        <v>3200</v>
      </c>
      <c r="G1214" s="3">
        <v>2240</v>
      </c>
      <c r="I1214" s="2" t="s">
        <v>933</v>
      </c>
      <c r="J1214" s="2" t="s">
        <v>245</v>
      </c>
      <c r="K1214" t="s">
        <v>18</v>
      </c>
      <c r="L1214" t="str">
        <f>T("9791164485437")</f>
        <v>9791164485437</v>
      </c>
      <c r="M1214" t="str">
        <f t="shared" si="43"/>
        <v/>
      </c>
    </row>
    <row r="1215" spans="1:13">
      <c r="A1215" s="1">
        <v>46065.885150462964</v>
      </c>
      <c r="B1215">
        <v>234101437</v>
      </c>
      <c r="C1215" s="2" t="s">
        <v>1471</v>
      </c>
      <c r="D1215" t="s">
        <v>15</v>
      </c>
      <c r="E1215" s="5">
        <v>3200</v>
      </c>
      <c r="F1215" s="3">
        <v>3200</v>
      </c>
      <c r="G1215" s="3">
        <v>2240</v>
      </c>
      <c r="I1215" s="2" t="s">
        <v>933</v>
      </c>
      <c r="J1215" s="2" t="s">
        <v>245</v>
      </c>
      <c r="K1215" t="s">
        <v>18</v>
      </c>
      <c r="L1215" t="str">
        <f>T("9791164485444")</f>
        <v>9791164485444</v>
      </c>
      <c r="M1215" t="str">
        <f t="shared" si="43"/>
        <v/>
      </c>
    </row>
    <row r="1216" spans="1:13">
      <c r="A1216" s="1">
        <v>46065.885150462964</v>
      </c>
      <c r="B1216">
        <v>234101440</v>
      </c>
      <c r="C1216" s="2" t="s">
        <v>1472</v>
      </c>
      <c r="D1216" t="s">
        <v>15</v>
      </c>
      <c r="E1216" s="5">
        <v>3200</v>
      </c>
      <c r="F1216" s="3">
        <v>3200</v>
      </c>
      <c r="G1216" s="3">
        <v>2240</v>
      </c>
      <c r="I1216" s="2" t="s">
        <v>933</v>
      </c>
      <c r="J1216" s="2" t="s">
        <v>245</v>
      </c>
      <c r="K1216" t="s">
        <v>18</v>
      </c>
      <c r="L1216" t="str">
        <f>T("9791164485451")</f>
        <v>9791164485451</v>
      </c>
      <c r="M1216" t="str">
        <f t="shared" si="43"/>
        <v/>
      </c>
    </row>
    <row r="1217" spans="1:14">
      <c r="A1217" s="1">
        <v>46065.885150462964</v>
      </c>
      <c r="B1217">
        <v>241312657</v>
      </c>
      <c r="C1217" s="2" t="s">
        <v>1473</v>
      </c>
      <c r="D1217" t="s">
        <v>15</v>
      </c>
      <c r="E1217" s="5">
        <v>3200</v>
      </c>
      <c r="F1217" s="3">
        <v>3200</v>
      </c>
      <c r="G1217" s="3">
        <v>2240</v>
      </c>
      <c r="I1217" s="2" t="s">
        <v>933</v>
      </c>
      <c r="J1217" s="2" t="s">
        <v>245</v>
      </c>
      <c r="K1217" t="s">
        <v>18</v>
      </c>
      <c r="L1217" t="str">
        <f>T("9791164488667")</f>
        <v>9791164488667</v>
      </c>
      <c r="M1217" t="str">
        <f t="shared" si="43"/>
        <v/>
      </c>
    </row>
    <row r="1218" spans="1:14">
      <c r="A1218" s="1">
        <v>46065.885150462964</v>
      </c>
      <c r="B1218">
        <v>241312669</v>
      </c>
      <c r="C1218" s="2" t="s">
        <v>1474</v>
      </c>
      <c r="D1218" t="s">
        <v>15</v>
      </c>
      <c r="E1218" s="5">
        <v>3200</v>
      </c>
      <c r="F1218" s="3">
        <v>3200</v>
      </c>
      <c r="G1218" s="3">
        <v>2240</v>
      </c>
      <c r="I1218" s="2" t="s">
        <v>933</v>
      </c>
      <c r="J1218" s="2" t="s">
        <v>245</v>
      </c>
      <c r="K1218" t="s">
        <v>18</v>
      </c>
      <c r="L1218" t="str">
        <f>T("9791164488711")</f>
        <v>9791164488711</v>
      </c>
      <c r="M1218" t="str">
        <f t="shared" si="43"/>
        <v/>
      </c>
    </row>
    <row r="1219" spans="1:14">
      <c r="A1219" s="1">
        <v>46065.885150462964</v>
      </c>
      <c r="B1219">
        <v>241312643</v>
      </c>
      <c r="C1219" s="2" t="s">
        <v>1475</v>
      </c>
      <c r="D1219" t="s">
        <v>15</v>
      </c>
      <c r="E1219" s="5">
        <v>3200</v>
      </c>
      <c r="F1219" s="3">
        <v>3200</v>
      </c>
      <c r="G1219" s="3">
        <v>2240</v>
      </c>
      <c r="I1219" s="2" t="s">
        <v>933</v>
      </c>
      <c r="J1219" s="2" t="s">
        <v>245</v>
      </c>
      <c r="K1219" t="s">
        <v>18</v>
      </c>
      <c r="L1219" t="str">
        <f>T("9791164488704")</f>
        <v>9791164488704</v>
      </c>
      <c r="M1219" t="str">
        <f t="shared" si="43"/>
        <v/>
      </c>
    </row>
    <row r="1220" spans="1:14">
      <c r="A1220" s="1">
        <v>46065.885150462964</v>
      </c>
      <c r="B1220">
        <v>241312649</v>
      </c>
      <c r="C1220" s="2" t="s">
        <v>1476</v>
      </c>
      <c r="D1220" t="s">
        <v>15</v>
      </c>
      <c r="E1220" s="5">
        <v>3200</v>
      </c>
      <c r="F1220" s="3">
        <v>3200</v>
      </c>
      <c r="G1220" s="3">
        <v>2240</v>
      </c>
      <c r="I1220" s="2" t="s">
        <v>933</v>
      </c>
      <c r="J1220" s="2" t="s">
        <v>245</v>
      </c>
      <c r="K1220" t="s">
        <v>18</v>
      </c>
      <c r="L1220" t="str">
        <f>T("9791164488766")</f>
        <v>9791164488766</v>
      </c>
      <c r="M1220" t="str">
        <f t="shared" si="43"/>
        <v/>
      </c>
    </row>
    <row r="1221" spans="1:14">
      <c r="A1221" s="1">
        <v>46065.885150462964</v>
      </c>
      <c r="B1221">
        <v>241312628</v>
      </c>
      <c r="C1221" s="2" t="s">
        <v>1477</v>
      </c>
      <c r="D1221" t="s">
        <v>15</v>
      </c>
      <c r="E1221" s="5">
        <v>3200</v>
      </c>
      <c r="F1221" s="3">
        <v>3200</v>
      </c>
      <c r="G1221" s="3">
        <v>2240</v>
      </c>
      <c r="I1221" s="2" t="s">
        <v>933</v>
      </c>
      <c r="J1221" s="2" t="s">
        <v>245</v>
      </c>
      <c r="K1221" t="s">
        <v>18</v>
      </c>
      <c r="L1221" t="str">
        <f>T("9791164488643")</f>
        <v>9791164488643</v>
      </c>
      <c r="M1221" t="str">
        <f t="shared" si="43"/>
        <v/>
      </c>
    </row>
    <row r="1222" spans="1:14">
      <c r="A1222" s="1">
        <v>46065.885150462964</v>
      </c>
      <c r="B1222">
        <v>241312633</v>
      </c>
      <c r="C1222" s="2" t="s">
        <v>1478</v>
      </c>
      <c r="D1222" t="s">
        <v>15</v>
      </c>
      <c r="E1222" s="5">
        <v>3200</v>
      </c>
      <c r="F1222" s="3">
        <v>3200</v>
      </c>
      <c r="G1222" s="3">
        <v>2240</v>
      </c>
      <c r="I1222" s="2" t="s">
        <v>933</v>
      </c>
      <c r="J1222" s="2" t="s">
        <v>245</v>
      </c>
      <c r="K1222" t="s">
        <v>18</v>
      </c>
      <c r="L1222" t="str">
        <f>T("9791164488698")</f>
        <v>9791164488698</v>
      </c>
      <c r="M1222" t="str">
        <f t="shared" si="43"/>
        <v/>
      </c>
    </row>
    <row r="1223" spans="1:14">
      <c r="A1223" s="1">
        <v>46065.885150462964</v>
      </c>
      <c r="B1223">
        <v>241312637</v>
      </c>
      <c r="C1223" s="2" t="s">
        <v>1479</v>
      </c>
      <c r="D1223" t="s">
        <v>15</v>
      </c>
      <c r="E1223" s="5">
        <v>3200</v>
      </c>
      <c r="F1223" s="3">
        <v>3200</v>
      </c>
      <c r="G1223" s="3">
        <v>2240</v>
      </c>
      <c r="I1223" s="2" t="s">
        <v>933</v>
      </c>
      <c r="J1223" s="2" t="s">
        <v>245</v>
      </c>
      <c r="K1223" t="s">
        <v>18</v>
      </c>
      <c r="L1223" t="str">
        <f>T("9791164488759")</f>
        <v>9791164488759</v>
      </c>
      <c r="M1223" t="str">
        <f t="shared" si="43"/>
        <v/>
      </c>
    </row>
    <row r="1224" spans="1:14">
      <c r="A1224" s="1">
        <v>46065.885150462964</v>
      </c>
      <c r="B1224">
        <v>241312638</v>
      </c>
      <c r="C1224" s="2" t="s">
        <v>1480</v>
      </c>
      <c r="D1224" t="s">
        <v>15</v>
      </c>
      <c r="E1224" s="5">
        <v>3200</v>
      </c>
      <c r="F1224" s="3">
        <v>3200</v>
      </c>
      <c r="G1224" s="3">
        <v>2240</v>
      </c>
      <c r="I1224" s="2" t="s">
        <v>933</v>
      </c>
      <c r="J1224" s="2" t="s">
        <v>245</v>
      </c>
      <c r="K1224" t="s">
        <v>18</v>
      </c>
      <c r="L1224" t="str">
        <f>T("9791164488650")</f>
        <v>9791164488650</v>
      </c>
      <c r="M1224" t="str">
        <f t="shared" si="43"/>
        <v/>
      </c>
    </row>
    <row r="1225" spans="1:14">
      <c r="A1225" s="1">
        <v>46065.885150462964</v>
      </c>
      <c r="B1225">
        <v>241312683</v>
      </c>
      <c r="C1225" s="2" t="s">
        <v>1481</v>
      </c>
      <c r="D1225" t="s">
        <v>15</v>
      </c>
      <c r="E1225" s="5">
        <v>3200</v>
      </c>
      <c r="F1225" s="3">
        <v>3200</v>
      </c>
      <c r="G1225" s="3">
        <v>2240</v>
      </c>
      <c r="I1225" s="2" t="s">
        <v>933</v>
      </c>
      <c r="J1225" s="2" t="s">
        <v>245</v>
      </c>
      <c r="K1225" t="s">
        <v>18</v>
      </c>
      <c r="L1225" t="str">
        <f>T("9791164488674")</f>
        <v>9791164488674</v>
      </c>
      <c r="M1225" t="str">
        <f t="shared" ref="M1225:M1248" si="44">T("")</f>
        <v/>
      </c>
    </row>
    <row r="1226" spans="1:14">
      <c r="A1226" s="1">
        <v>46065.885150462964</v>
      </c>
      <c r="B1226">
        <v>241312688</v>
      </c>
      <c r="C1226" s="2" t="s">
        <v>1482</v>
      </c>
      <c r="D1226" t="s">
        <v>15</v>
      </c>
      <c r="E1226" s="5">
        <v>3200</v>
      </c>
      <c r="F1226" s="3">
        <v>3200</v>
      </c>
      <c r="G1226" s="3">
        <v>2240</v>
      </c>
      <c r="I1226" s="2" t="s">
        <v>933</v>
      </c>
      <c r="J1226" s="2" t="s">
        <v>245</v>
      </c>
      <c r="K1226" t="s">
        <v>18</v>
      </c>
      <c r="L1226" t="str">
        <f>T("9791164488728")</f>
        <v>9791164488728</v>
      </c>
      <c r="M1226" t="str">
        <f t="shared" si="44"/>
        <v/>
      </c>
    </row>
    <row r="1227" spans="1:14">
      <c r="A1227" s="1">
        <v>46065.885150462964</v>
      </c>
      <c r="B1227">
        <v>241312697</v>
      </c>
      <c r="C1227" s="2" t="s">
        <v>1483</v>
      </c>
      <c r="D1227" t="s">
        <v>15</v>
      </c>
      <c r="E1227" s="5">
        <v>3200</v>
      </c>
      <c r="F1227" s="3">
        <v>3200</v>
      </c>
      <c r="G1227" s="3">
        <v>2240</v>
      </c>
      <c r="I1227" s="2" t="s">
        <v>933</v>
      </c>
      <c r="J1227" s="2" t="s">
        <v>245</v>
      </c>
      <c r="K1227" t="s">
        <v>18</v>
      </c>
      <c r="L1227" t="str">
        <f>T("9791164488681")</f>
        <v>9791164488681</v>
      </c>
      <c r="M1227" t="str">
        <f t="shared" si="44"/>
        <v/>
      </c>
    </row>
    <row r="1228" spans="1:14">
      <c r="A1228" s="1">
        <v>46065.885150462964</v>
      </c>
      <c r="B1228">
        <v>241312700</v>
      </c>
      <c r="C1228" s="2" t="s">
        <v>1484</v>
      </c>
      <c r="D1228" t="s">
        <v>15</v>
      </c>
      <c r="E1228" s="5">
        <v>3200</v>
      </c>
      <c r="F1228" s="3">
        <v>3200</v>
      </c>
      <c r="G1228" s="3">
        <v>2240</v>
      </c>
      <c r="I1228" s="2" t="s">
        <v>933</v>
      </c>
      <c r="J1228" s="2" t="s">
        <v>245</v>
      </c>
      <c r="K1228" t="s">
        <v>18</v>
      </c>
      <c r="L1228" t="str">
        <f>T("9791164488735")</f>
        <v>9791164488735</v>
      </c>
      <c r="M1228" t="str">
        <f t="shared" si="44"/>
        <v/>
      </c>
    </row>
    <row r="1229" spans="1:14">
      <c r="A1229" s="1">
        <v>46065.885150462964</v>
      </c>
      <c r="B1229">
        <v>283496881</v>
      </c>
      <c r="C1229" s="2" t="s">
        <v>1485</v>
      </c>
      <c r="D1229" t="s">
        <v>15</v>
      </c>
      <c r="E1229" s="5">
        <v>3200</v>
      </c>
      <c r="F1229" s="3">
        <v>3200</v>
      </c>
      <c r="G1229" s="3">
        <v>2240</v>
      </c>
      <c r="I1229" s="2" t="s">
        <v>933</v>
      </c>
      <c r="J1229" s="2" t="s">
        <v>245</v>
      </c>
      <c r="K1229" t="s">
        <v>18</v>
      </c>
      <c r="L1229" t="str">
        <f>T("9791166000737")</f>
        <v>9791166000737</v>
      </c>
      <c r="M1229" t="str">
        <f t="shared" si="44"/>
        <v/>
      </c>
      <c r="N1229" t="s">
        <v>1486</v>
      </c>
    </row>
    <row r="1230" spans="1:14">
      <c r="A1230" s="1">
        <v>46065.885150462964</v>
      </c>
      <c r="B1230">
        <v>283496878</v>
      </c>
      <c r="C1230" s="2" t="s">
        <v>1487</v>
      </c>
      <c r="D1230" t="s">
        <v>15</v>
      </c>
      <c r="E1230" s="5">
        <v>3200</v>
      </c>
      <c r="F1230" s="3">
        <v>3200</v>
      </c>
      <c r="G1230" s="3">
        <v>2240</v>
      </c>
      <c r="I1230" s="2" t="s">
        <v>933</v>
      </c>
      <c r="J1230" s="2" t="s">
        <v>245</v>
      </c>
      <c r="K1230" t="s">
        <v>18</v>
      </c>
      <c r="L1230" t="str">
        <f>T("9791166000720")</f>
        <v>9791166000720</v>
      </c>
      <c r="M1230" t="str">
        <f t="shared" si="44"/>
        <v/>
      </c>
      <c r="N1230" t="s">
        <v>1488</v>
      </c>
    </row>
    <row r="1231" spans="1:14">
      <c r="A1231" s="1">
        <v>46065.885150462964</v>
      </c>
      <c r="B1231">
        <v>283496880</v>
      </c>
      <c r="C1231" s="2" t="s">
        <v>1489</v>
      </c>
      <c r="D1231" t="s">
        <v>15</v>
      </c>
      <c r="E1231" s="5">
        <v>3200</v>
      </c>
      <c r="F1231" s="3">
        <v>3200</v>
      </c>
      <c r="G1231" s="3">
        <v>2240</v>
      </c>
      <c r="I1231" s="2" t="s">
        <v>933</v>
      </c>
      <c r="J1231" s="2" t="s">
        <v>245</v>
      </c>
      <c r="K1231" t="s">
        <v>18</v>
      </c>
      <c r="L1231" t="str">
        <f>T("9791166000706")</f>
        <v>9791166000706</v>
      </c>
      <c r="M1231" t="str">
        <f t="shared" si="44"/>
        <v/>
      </c>
      <c r="N1231" t="s">
        <v>1490</v>
      </c>
    </row>
    <row r="1232" spans="1:14">
      <c r="A1232" s="1">
        <v>46065.885150462964</v>
      </c>
      <c r="B1232">
        <v>283496885</v>
      </c>
      <c r="C1232" s="2" t="s">
        <v>1491</v>
      </c>
      <c r="D1232" t="s">
        <v>15</v>
      </c>
      <c r="E1232" s="5">
        <v>3200</v>
      </c>
      <c r="F1232" s="3">
        <v>3200</v>
      </c>
      <c r="G1232" s="3">
        <v>2240</v>
      </c>
      <c r="I1232" s="2" t="s">
        <v>933</v>
      </c>
      <c r="J1232" s="2" t="s">
        <v>245</v>
      </c>
      <c r="K1232" t="s">
        <v>18</v>
      </c>
      <c r="L1232" t="str">
        <f>T("9791166000706")</f>
        <v>9791166000706</v>
      </c>
      <c r="M1232" t="str">
        <f t="shared" si="44"/>
        <v/>
      </c>
      <c r="N1232" t="s">
        <v>1492</v>
      </c>
    </row>
    <row r="1233" spans="1:14">
      <c r="A1233" s="1">
        <v>46065.896203703705</v>
      </c>
      <c r="B1233">
        <v>367688265</v>
      </c>
      <c r="C1233" s="2" t="s">
        <v>1317</v>
      </c>
      <c r="D1233" t="s">
        <v>15</v>
      </c>
      <c r="E1233" s="5">
        <v>3300</v>
      </c>
      <c r="F1233" s="3">
        <v>2970</v>
      </c>
      <c r="G1233" s="3">
        <v>2079</v>
      </c>
      <c r="I1233" s="2" t="s">
        <v>1141</v>
      </c>
      <c r="J1233" s="2" t="s">
        <v>184</v>
      </c>
      <c r="K1233" t="s">
        <v>18</v>
      </c>
      <c r="L1233" t="str">
        <f>T("9791170964513")</f>
        <v>9791170964513</v>
      </c>
      <c r="M1233" t="str">
        <f t="shared" si="44"/>
        <v/>
      </c>
      <c r="N1233" t="s">
        <v>1318</v>
      </c>
    </row>
    <row r="1234" spans="1:14">
      <c r="A1234" s="1">
        <v>46065.896203703705</v>
      </c>
      <c r="B1234">
        <v>367688282</v>
      </c>
      <c r="C1234" s="2" t="s">
        <v>1315</v>
      </c>
      <c r="D1234" t="s">
        <v>15</v>
      </c>
      <c r="E1234" s="5">
        <v>3300</v>
      </c>
      <c r="F1234" s="3">
        <v>2970</v>
      </c>
      <c r="G1234" s="3">
        <v>2079</v>
      </c>
      <c r="I1234" s="2" t="s">
        <v>1141</v>
      </c>
      <c r="J1234" s="2" t="s">
        <v>184</v>
      </c>
      <c r="K1234" t="s">
        <v>18</v>
      </c>
      <c r="L1234" t="str">
        <f>T("9791170964537")</f>
        <v>9791170964537</v>
      </c>
      <c r="M1234" t="str">
        <f t="shared" si="44"/>
        <v/>
      </c>
      <c r="N1234" t="s">
        <v>1316</v>
      </c>
    </row>
    <row r="1235" spans="1:14">
      <c r="A1235" s="1">
        <v>46065.896203703705</v>
      </c>
      <c r="B1235">
        <v>367688342</v>
      </c>
      <c r="C1235" s="2" t="s">
        <v>1319</v>
      </c>
      <c r="D1235" t="s">
        <v>15</v>
      </c>
      <c r="E1235" s="5">
        <v>3300</v>
      </c>
      <c r="F1235" s="3">
        <v>2970</v>
      </c>
      <c r="G1235" s="3">
        <v>2079</v>
      </c>
      <c r="I1235" s="2" t="s">
        <v>1141</v>
      </c>
      <c r="J1235" s="2" t="s">
        <v>184</v>
      </c>
      <c r="K1235" t="s">
        <v>18</v>
      </c>
      <c r="L1235" t="str">
        <f>T("9791170964520")</f>
        <v>9791170964520</v>
      </c>
      <c r="M1235" t="str">
        <f t="shared" si="44"/>
        <v/>
      </c>
      <c r="N1235" t="s">
        <v>1320</v>
      </c>
    </row>
    <row r="1236" spans="1:14">
      <c r="A1236" s="1">
        <v>46065.896203703705</v>
      </c>
      <c r="B1236">
        <v>385782810</v>
      </c>
      <c r="C1236" s="2" t="s">
        <v>1167</v>
      </c>
      <c r="D1236" t="s">
        <v>15</v>
      </c>
      <c r="E1236" s="5">
        <v>2000</v>
      </c>
      <c r="F1236" s="3">
        <v>1800</v>
      </c>
      <c r="G1236" s="3">
        <v>1260</v>
      </c>
      <c r="I1236" s="2" t="s">
        <v>1141</v>
      </c>
      <c r="J1236" s="2" t="s">
        <v>184</v>
      </c>
      <c r="K1236" t="s">
        <v>18</v>
      </c>
      <c r="L1236" t="str">
        <f>T("9791170965671")</f>
        <v>9791170965671</v>
      </c>
      <c r="M1236" t="str">
        <f t="shared" si="44"/>
        <v/>
      </c>
      <c r="N1236" t="s">
        <v>1168</v>
      </c>
    </row>
    <row r="1237" spans="1:14">
      <c r="A1237" s="1">
        <v>46065.89806712963</v>
      </c>
      <c r="B1237">
        <v>385852509</v>
      </c>
      <c r="C1237" s="2" t="s">
        <v>1493</v>
      </c>
      <c r="D1237" t="s">
        <v>15</v>
      </c>
      <c r="E1237" s="5">
        <v>2500</v>
      </c>
      <c r="F1237" s="3">
        <v>2500</v>
      </c>
      <c r="G1237" s="3">
        <v>1750</v>
      </c>
      <c r="I1237" s="2" t="s">
        <v>1232</v>
      </c>
      <c r="J1237" s="2" t="s">
        <v>1233</v>
      </c>
      <c r="K1237" t="s">
        <v>18</v>
      </c>
      <c r="L1237" t="str">
        <f>T("9791124141021")</f>
        <v>9791124141021</v>
      </c>
      <c r="M1237" t="str">
        <f t="shared" si="44"/>
        <v/>
      </c>
      <c r="N1237" t="s">
        <v>1494</v>
      </c>
    </row>
    <row r="1238" spans="1:14">
      <c r="A1238" s="1">
        <v>46065.89806712963</v>
      </c>
      <c r="B1238">
        <v>385852521</v>
      </c>
      <c r="C1238" s="2" t="s">
        <v>1231</v>
      </c>
      <c r="D1238" t="s">
        <v>15</v>
      </c>
      <c r="E1238" s="5">
        <v>2500</v>
      </c>
      <c r="F1238" s="3">
        <v>2500</v>
      </c>
      <c r="G1238" s="3">
        <v>1750</v>
      </c>
      <c r="I1238" s="2" t="s">
        <v>1232</v>
      </c>
      <c r="J1238" s="2" t="s">
        <v>1233</v>
      </c>
      <c r="K1238" t="s">
        <v>18</v>
      </c>
      <c r="L1238" t="str">
        <f>T("9791124141014")</f>
        <v>9791124141014</v>
      </c>
      <c r="M1238" t="str">
        <f t="shared" si="44"/>
        <v/>
      </c>
      <c r="N1238" t="s">
        <v>1234</v>
      </c>
    </row>
    <row r="1239" spans="1:14">
      <c r="A1239" s="1">
        <v>46065.898877314816</v>
      </c>
      <c r="B1239">
        <v>277935587</v>
      </c>
      <c r="C1239" s="2" t="s">
        <v>1495</v>
      </c>
      <c r="D1239" t="s">
        <v>15</v>
      </c>
      <c r="E1239" s="4">
        <v>100</v>
      </c>
      <c r="F1239" s="2">
        <v>100</v>
      </c>
      <c r="G1239" s="2">
        <v>70</v>
      </c>
      <c r="I1239" s="2" t="s">
        <v>64</v>
      </c>
      <c r="J1239" s="2" t="s">
        <v>65</v>
      </c>
      <c r="K1239" t="s">
        <v>18</v>
      </c>
      <c r="L1239" t="str">
        <f>T("9791162589724")</f>
        <v>9791162589724</v>
      </c>
      <c r="M1239" t="str">
        <f t="shared" si="44"/>
        <v/>
      </c>
      <c r="N1239" t="s">
        <v>1496</v>
      </c>
    </row>
    <row r="1240" spans="1:14">
      <c r="A1240" s="1">
        <v>46065.902638888889</v>
      </c>
      <c r="B1240">
        <v>277935647</v>
      </c>
      <c r="C1240" s="2" t="s">
        <v>1497</v>
      </c>
      <c r="D1240" t="s">
        <v>15</v>
      </c>
      <c r="E1240" s="4">
        <v>100</v>
      </c>
      <c r="F1240" s="2">
        <v>100</v>
      </c>
      <c r="G1240" s="2">
        <v>70</v>
      </c>
      <c r="I1240" s="2" t="s">
        <v>64</v>
      </c>
      <c r="J1240" s="2" t="s">
        <v>65</v>
      </c>
      <c r="K1240" t="s">
        <v>18</v>
      </c>
      <c r="L1240" t="str">
        <f>T("9791162589724")</f>
        <v>9791162589724</v>
      </c>
      <c r="M1240" t="str">
        <f t="shared" si="44"/>
        <v/>
      </c>
      <c r="N1240" t="s">
        <v>1498</v>
      </c>
    </row>
    <row r="1241" spans="1:14">
      <c r="A1241" s="1">
        <v>46065.90824074074</v>
      </c>
      <c r="B1241">
        <v>277935466</v>
      </c>
      <c r="C1241" s="2" t="s">
        <v>1499</v>
      </c>
      <c r="D1241" t="s">
        <v>15</v>
      </c>
      <c r="E1241" s="4">
        <v>100</v>
      </c>
      <c r="F1241" s="2">
        <v>100</v>
      </c>
      <c r="G1241" s="2">
        <v>70</v>
      </c>
      <c r="I1241" s="2" t="s">
        <v>64</v>
      </c>
      <c r="J1241" s="2" t="s">
        <v>65</v>
      </c>
      <c r="K1241" t="s">
        <v>18</v>
      </c>
      <c r="L1241" t="str">
        <f>T("9791162589724")</f>
        <v>9791162589724</v>
      </c>
      <c r="M1241" t="str">
        <f t="shared" si="44"/>
        <v/>
      </c>
      <c r="N1241" t="s">
        <v>1500</v>
      </c>
    </row>
    <row r="1242" spans="1:14">
      <c r="A1242" s="1">
        <v>46065.911979166667</v>
      </c>
      <c r="B1242">
        <v>384623947</v>
      </c>
      <c r="C1242" s="2" t="s">
        <v>37</v>
      </c>
      <c r="D1242" t="s">
        <v>15</v>
      </c>
      <c r="E1242" s="5">
        <v>1000</v>
      </c>
      <c r="F1242" s="3">
        <v>1000</v>
      </c>
      <c r="G1242" s="2">
        <v>700</v>
      </c>
      <c r="I1242" s="2" t="s">
        <v>38</v>
      </c>
      <c r="J1242" s="2" t="s">
        <v>21</v>
      </c>
      <c r="K1242" t="s">
        <v>18</v>
      </c>
      <c r="L1242" t="str">
        <f>T("9791175582187")</f>
        <v>9791175582187</v>
      </c>
      <c r="M1242" t="str">
        <f t="shared" si="44"/>
        <v/>
      </c>
      <c r="N1242" t="s">
        <v>39</v>
      </c>
    </row>
    <row r="1243" spans="1:14">
      <c r="A1243" s="1">
        <v>46065.945</v>
      </c>
      <c r="B1243">
        <v>277935628</v>
      </c>
      <c r="C1243" s="2" t="s">
        <v>1501</v>
      </c>
      <c r="D1243" t="s">
        <v>15</v>
      </c>
      <c r="E1243" s="4">
        <v>100</v>
      </c>
      <c r="F1243" s="2">
        <v>100</v>
      </c>
      <c r="G1243" s="2">
        <v>70</v>
      </c>
      <c r="I1243" s="2" t="s">
        <v>64</v>
      </c>
      <c r="J1243" s="2" t="s">
        <v>65</v>
      </c>
      <c r="K1243" t="s">
        <v>18</v>
      </c>
      <c r="L1243" t="str">
        <f>T("9791162589724")</f>
        <v>9791162589724</v>
      </c>
      <c r="M1243" t="str">
        <f t="shared" si="44"/>
        <v/>
      </c>
      <c r="N1243" t="s">
        <v>1502</v>
      </c>
    </row>
    <row r="1244" spans="1:14">
      <c r="A1244" s="1">
        <v>46065.945</v>
      </c>
      <c r="B1244">
        <v>277935882</v>
      </c>
      <c r="C1244" s="2" t="s">
        <v>1503</v>
      </c>
      <c r="D1244" t="s">
        <v>15</v>
      </c>
      <c r="E1244" s="4">
        <v>100</v>
      </c>
      <c r="F1244" s="2">
        <v>100</v>
      </c>
      <c r="G1244" s="2">
        <v>70</v>
      </c>
      <c r="I1244" s="2" t="s">
        <v>64</v>
      </c>
      <c r="J1244" s="2" t="s">
        <v>65</v>
      </c>
      <c r="K1244" t="s">
        <v>18</v>
      </c>
      <c r="L1244" t="str">
        <f>T("9791162589724")</f>
        <v>9791162589724</v>
      </c>
      <c r="M1244" t="str">
        <f t="shared" si="44"/>
        <v/>
      </c>
      <c r="N1244" t="s">
        <v>1504</v>
      </c>
    </row>
    <row r="1245" spans="1:14">
      <c r="A1245" s="1">
        <v>46065.9534375</v>
      </c>
      <c r="B1245">
        <v>386008658</v>
      </c>
      <c r="C1245" s="2" t="s">
        <v>1429</v>
      </c>
      <c r="D1245" t="s">
        <v>15</v>
      </c>
      <c r="E1245" s="5">
        <v>1100</v>
      </c>
      <c r="F1245" s="3">
        <v>1100</v>
      </c>
      <c r="G1245" s="2">
        <v>770</v>
      </c>
      <c r="I1245" s="2" t="s">
        <v>148</v>
      </c>
      <c r="J1245" s="2" t="s">
        <v>21</v>
      </c>
      <c r="K1245" t="s">
        <v>18</v>
      </c>
      <c r="L1245" t="str">
        <f>T("9791175582873")</f>
        <v>9791175582873</v>
      </c>
      <c r="M1245" t="str">
        <f t="shared" si="44"/>
        <v/>
      </c>
      <c r="N1245" t="s">
        <v>1430</v>
      </c>
    </row>
    <row r="1246" spans="1:14">
      <c r="A1246" s="1">
        <v>46065.972361111111</v>
      </c>
      <c r="B1246">
        <v>385782810</v>
      </c>
      <c r="C1246" s="2" t="s">
        <v>1167</v>
      </c>
      <c r="D1246" t="s">
        <v>15</v>
      </c>
      <c r="E1246" s="5">
        <v>2000</v>
      </c>
      <c r="F1246" s="3">
        <v>1800</v>
      </c>
      <c r="G1246" s="3">
        <v>1260</v>
      </c>
      <c r="I1246" s="2" t="s">
        <v>1141</v>
      </c>
      <c r="J1246" s="2" t="s">
        <v>184</v>
      </c>
      <c r="K1246" t="s">
        <v>18</v>
      </c>
      <c r="L1246" t="str">
        <f>T("9791170965671")</f>
        <v>9791170965671</v>
      </c>
      <c r="M1246" t="str">
        <f t="shared" si="44"/>
        <v/>
      </c>
      <c r="N1246" t="s">
        <v>1168</v>
      </c>
    </row>
    <row r="1247" spans="1:14">
      <c r="A1247" s="1">
        <v>46065.972511574073</v>
      </c>
      <c r="B1247">
        <v>381924150</v>
      </c>
      <c r="C1247" s="2" t="s">
        <v>1505</v>
      </c>
      <c r="D1247" t="s">
        <v>15</v>
      </c>
      <c r="E1247" s="4">
        <v>800</v>
      </c>
      <c r="F1247" s="2">
        <v>800</v>
      </c>
      <c r="G1247" s="2">
        <v>560</v>
      </c>
      <c r="I1247" s="2" t="s">
        <v>368</v>
      </c>
      <c r="J1247" s="2" t="s">
        <v>308</v>
      </c>
      <c r="K1247" t="s">
        <v>18</v>
      </c>
      <c r="L1247" t="str">
        <f>T("9791194982746")</f>
        <v>9791194982746</v>
      </c>
      <c r="M1247" t="str">
        <f t="shared" si="44"/>
        <v/>
      </c>
      <c r="N1247" t="s">
        <v>1506</v>
      </c>
    </row>
    <row r="1248" spans="1:14">
      <c r="A1248" s="1">
        <v>46065.974976851852</v>
      </c>
      <c r="B1248">
        <v>385347797</v>
      </c>
      <c r="C1248" s="2" t="s">
        <v>195</v>
      </c>
      <c r="D1248" t="s">
        <v>15</v>
      </c>
      <c r="E1248" s="4">
        <v>700</v>
      </c>
      <c r="F1248" s="2">
        <v>630</v>
      </c>
      <c r="G1248" s="2">
        <v>441</v>
      </c>
      <c r="I1248" s="2" t="s">
        <v>196</v>
      </c>
      <c r="J1248" s="2" t="s">
        <v>197</v>
      </c>
      <c r="K1248" t="s">
        <v>18</v>
      </c>
      <c r="L1248" t="str">
        <f>T("9791172821937")</f>
        <v>9791172821937</v>
      </c>
      <c r="M1248" t="str">
        <f t="shared" si="44"/>
        <v/>
      </c>
      <c r="N1248" t="s">
        <v>198</v>
      </c>
    </row>
    <row r="1249" spans="1:14">
      <c r="A1249" s="1">
        <v>46066.007025462961</v>
      </c>
      <c r="B1249">
        <v>385852478</v>
      </c>
      <c r="C1249" s="2" t="s">
        <v>1228</v>
      </c>
      <c r="D1249" t="s">
        <v>15</v>
      </c>
      <c r="E1249" s="4">
        <v>0</v>
      </c>
      <c r="F1249" s="2">
        <v>0</v>
      </c>
      <c r="G1249" s="2">
        <v>0</v>
      </c>
      <c r="I1249" s="2" t="s">
        <v>1229</v>
      </c>
      <c r="J1249" s="2" t="s">
        <v>960</v>
      </c>
      <c r="K1249" t="s">
        <v>18</v>
      </c>
      <c r="L1249" t="str">
        <f>T("")</f>
        <v/>
      </c>
      <c r="M1249" t="str">
        <f>T("G720:N+A378-20260112081.M001")</f>
        <v>G720:N+A378-20260112081.M001</v>
      </c>
      <c r="N1249" t="s">
        <v>1230</v>
      </c>
    </row>
    <row r="1250" spans="1:14">
      <c r="A1250" s="1">
        <v>46066.032037037039</v>
      </c>
      <c r="B1250">
        <v>385852507</v>
      </c>
      <c r="C1250" s="2" t="s">
        <v>1197</v>
      </c>
      <c r="D1250" t="s">
        <v>15</v>
      </c>
      <c r="E1250" s="5">
        <v>3000</v>
      </c>
      <c r="F1250" s="3">
        <v>3000</v>
      </c>
      <c r="G1250" s="3">
        <v>2100</v>
      </c>
      <c r="I1250" s="2" t="s">
        <v>1198</v>
      </c>
      <c r="J1250" s="2" t="s">
        <v>21</v>
      </c>
      <c r="K1250" t="s">
        <v>18</v>
      </c>
      <c r="L1250" t="str">
        <f>T("9791175582958")</f>
        <v>9791175582958</v>
      </c>
      <c r="M1250" t="str">
        <f t="shared" ref="M1250:M1281" si="45">T("")</f>
        <v/>
      </c>
      <c r="N1250" t="s">
        <v>1199</v>
      </c>
    </row>
    <row r="1251" spans="1:14">
      <c r="A1251" s="1">
        <v>46066.032037037039</v>
      </c>
      <c r="B1251">
        <v>385852543</v>
      </c>
      <c r="C1251" s="2" t="s">
        <v>1200</v>
      </c>
      <c r="D1251" t="s">
        <v>15</v>
      </c>
      <c r="E1251" s="5">
        <v>3000</v>
      </c>
      <c r="F1251" s="3">
        <v>3000</v>
      </c>
      <c r="G1251" s="3">
        <v>2100</v>
      </c>
      <c r="I1251" s="2" t="s">
        <v>1198</v>
      </c>
      <c r="J1251" s="2" t="s">
        <v>21</v>
      </c>
      <c r="K1251" t="s">
        <v>18</v>
      </c>
      <c r="L1251" t="str">
        <f>T("9791175582941")</f>
        <v>9791175582941</v>
      </c>
      <c r="M1251" t="str">
        <f t="shared" si="45"/>
        <v/>
      </c>
      <c r="N1251" t="s">
        <v>1201</v>
      </c>
    </row>
    <row r="1252" spans="1:14">
      <c r="A1252" s="1">
        <v>46066.033819444441</v>
      </c>
      <c r="B1252">
        <v>384598651</v>
      </c>
      <c r="C1252" s="2" t="s">
        <v>696</v>
      </c>
      <c r="D1252" t="s">
        <v>15</v>
      </c>
      <c r="E1252" s="5">
        <v>1000</v>
      </c>
      <c r="F1252" s="3">
        <v>1000</v>
      </c>
      <c r="G1252" s="2">
        <v>700</v>
      </c>
      <c r="I1252" s="2" t="s">
        <v>28</v>
      </c>
      <c r="J1252" s="2" t="s">
        <v>21</v>
      </c>
      <c r="K1252" t="s">
        <v>18</v>
      </c>
      <c r="L1252" t="str">
        <f>T("9791175582422")</f>
        <v>9791175582422</v>
      </c>
      <c r="M1252" t="str">
        <f t="shared" si="45"/>
        <v/>
      </c>
      <c r="N1252" t="s">
        <v>697</v>
      </c>
    </row>
    <row r="1253" spans="1:14">
      <c r="A1253" s="1">
        <v>46066.054351851853</v>
      </c>
      <c r="B1253">
        <v>325730710</v>
      </c>
      <c r="C1253" s="2" t="s">
        <v>542</v>
      </c>
      <c r="D1253" t="s">
        <v>15</v>
      </c>
      <c r="E1253" s="5">
        <v>3000</v>
      </c>
      <c r="F1253" s="3">
        <v>3000</v>
      </c>
      <c r="G1253" s="3">
        <v>2100</v>
      </c>
      <c r="I1253" s="2" t="s">
        <v>540</v>
      </c>
      <c r="J1253" s="2" t="s">
        <v>197</v>
      </c>
      <c r="K1253" t="s">
        <v>18</v>
      </c>
      <c r="L1253" t="str">
        <f>T("9791164098521")</f>
        <v>9791164098521</v>
      </c>
      <c r="M1253" t="str">
        <f t="shared" si="45"/>
        <v/>
      </c>
      <c r="N1253" t="s">
        <v>543</v>
      </c>
    </row>
    <row r="1254" spans="1:14">
      <c r="A1254" s="1">
        <v>46066.076689814814</v>
      </c>
      <c r="B1254">
        <v>379511327</v>
      </c>
      <c r="C1254" s="2" t="s">
        <v>262</v>
      </c>
      <c r="D1254" t="s">
        <v>15</v>
      </c>
      <c r="E1254" s="5">
        <v>3300</v>
      </c>
      <c r="F1254" s="3">
        <v>3300</v>
      </c>
      <c r="G1254" s="3">
        <v>2310</v>
      </c>
      <c r="I1254" s="2" t="s">
        <v>263</v>
      </c>
      <c r="J1254" s="2" t="s">
        <v>126</v>
      </c>
      <c r="K1254" t="s">
        <v>18</v>
      </c>
      <c r="L1254" t="str">
        <f>T("9791171502875")</f>
        <v>9791171502875</v>
      </c>
      <c r="M1254" t="str">
        <f t="shared" si="45"/>
        <v/>
      </c>
      <c r="N1254" t="s">
        <v>264</v>
      </c>
    </row>
    <row r="1255" spans="1:14">
      <c r="A1255" s="1">
        <v>46066.129155092596</v>
      </c>
      <c r="B1255">
        <v>301691692</v>
      </c>
      <c r="C1255" s="2" t="s">
        <v>1507</v>
      </c>
      <c r="D1255" t="s">
        <v>15</v>
      </c>
      <c r="E1255" s="5">
        <v>3500</v>
      </c>
      <c r="F1255" s="3">
        <v>3500</v>
      </c>
      <c r="G1255" s="3">
        <v>2450</v>
      </c>
      <c r="I1255" s="2" t="s">
        <v>1508</v>
      </c>
      <c r="J1255" s="2" t="s">
        <v>197</v>
      </c>
      <c r="K1255" t="s">
        <v>18</v>
      </c>
      <c r="L1255" t="str">
        <f>T("9791164092659")</f>
        <v>9791164092659</v>
      </c>
      <c r="M1255" t="str">
        <f t="shared" si="45"/>
        <v/>
      </c>
      <c r="N1255" t="s">
        <v>1509</v>
      </c>
    </row>
    <row r="1256" spans="1:14">
      <c r="A1256" s="1">
        <v>46066.137395833335</v>
      </c>
      <c r="B1256">
        <v>241312628</v>
      </c>
      <c r="C1256" s="2" t="s">
        <v>1477</v>
      </c>
      <c r="D1256" t="s">
        <v>15</v>
      </c>
      <c r="E1256" s="5">
        <v>3200</v>
      </c>
      <c r="F1256" s="3">
        <v>3200</v>
      </c>
      <c r="G1256" s="3">
        <v>2240</v>
      </c>
      <c r="I1256" s="2" t="s">
        <v>933</v>
      </c>
      <c r="J1256" s="2" t="s">
        <v>245</v>
      </c>
      <c r="K1256" t="s">
        <v>18</v>
      </c>
      <c r="L1256" t="str">
        <f>T("9791164488643")</f>
        <v>9791164488643</v>
      </c>
      <c r="M1256" t="str">
        <f t="shared" si="45"/>
        <v/>
      </c>
    </row>
    <row r="1257" spans="1:14">
      <c r="A1257" s="1">
        <v>46066.137395833335</v>
      </c>
      <c r="B1257">
        <v>241312683</v>
      </c>
      <c r="C1257" s="2" t="s">
        <v>1481</v>
      </c>
      <c r="D1257" t="s">
        <v>15</v>
      </c>
      <c r="E1257" s="5">
        <v>3200</v>
      </c>
      <c r="F1257" s="3">
        <v>3200</v>
      </c>
      <c r="G1257" s="3">
        <v>2240</v>
      </c>
      <c r="I1257" s="2" t="s">
        <v>933</v>
      </c>
      <c r="J1257" s="2" t="s">
        <v>245</v>
      </c>
      <c r="K1257" t="s">
        <v>18</v>
      </c>
      <c r="L1257" t="str">
        <f>T("9791164488674")</f>
        <v>9791164488674</v>
      </c>
      <c r="M1257" t="str">
        <f t="shared" si="45"/>
        <v/>
      </c>
    </row>
    <row r="1258" spans="1:14">
      <c r="A1258" s="1">
        <v>46066.137395833335</v>
      </c>
      <c r="B1258">
        <v>241312638</v>
      </c>
      <c r="C1258" s="2" t="s">
        <v>1480</v>
      </c>
      <c r="D1258" t="s">
        <v>15</v>
      </c>
      <c r="E1258" s="5">
        <v>3200</v>
      </c>
      <c r="F1258" s="3">
        <v>3200</v>
      </c>
      <c r="G1258" s="3">
        <v>2240</v>
      </c>
      <c r="I1258" s="2" t="s">
        <v>933</v>
      </c>
      <c r="J1258" s="2" t="s">
        <v>245</v>
      </c>
      <c r="K1258" t="s">
        <v>18</v>
      </c>
      <c r="L1258" t="str">
        <f>T("9791164488650")</f>
        <v>9791164488650</v>
      </c>
      <c r="M1258" t="str">
        <f t="shared" si="45"/>
        <v/>
      </c>
    </row>
    <row r="1259" spans="1:14">
      <c r="A1259" s="1">
        <v>46066.137395833335</v>
      </c>
      <c r="B1259">
        <v>241312649</v>
      </c>
      <c r="C1259" s="2" t="s">
        <v>1476</v>
      </c>
      <c r="D1259" t="s">
        <v>15</v>
      </c>
      <c r="E1259" s="5">
        <v>3200</v>
      </c>
      <c r="F1259" s="3">
        <v>3200</v>
      </c>
      <c r="G1259" s="3">
        <v>2240</v>
      </c>
      <c r="I1259" s="2" t="s">
        <v>933</v>
      </c>
      <c r="J1259" s="2" t="s">
        <v>245</v>
      </c>
      <c r="K1259" t="s">
        <v>18</v>
      </c>
      <c r="L1259" t="str">
        <f>T("9791164488766")</f>
        <v>9791164488766</v>
      </c>
      <c r="M1259" t="str">
        <f t="shared" si="45"/>
        <v/>
      </c>
    </row>
    <row r="1260" spans="1:14">
      <c r="A1260" s="1">
        <v>46066.137395833335</v>
      </c>
      <c r="B1260">
        <v>234101434</v>
      </c>
      <c r="C1260" s="2" t="s">
        <v>1468</v>
      </c>
      <c r="D1260" t="s">
        <v>15</v>
      </c>
      <c r="E1260" s="5">
        <v>3200</v>
      </c>
      <c r="F1260" s="3">
        <v>3200</v>
      </c>
      <c r="G1260" s="3">
        <v>2240</v>
      </c>
      <c r="I1260" s="2" t="s">
        <v>933</v>
      </c>
      <c r="J1260" s="2" t="s">
        <v>245</v>
      </c>
      <c r="K1260" t="s">
        <v>18</v>
      </c>
      <c r="L1260" t="str">
        <f>T("9791164485413")</f>
        <v>9791164485413</v>
      </c>
      <c r="M1260" t="str">
        <f t="shared" si="45"/>
        <v/>
      </c>
    </row>
    <row r="1261" spans="1:14">
      <c r="A1261" s="1">
        <v>46066.137395833335</v>
      </c>
      <c r="B1261">
        <v>234101430</v>
      </c>
      <c r="C1261" s="2" t="s">
        <v>1466</v>
      </c>
      <c r="D1261" t="s">
        <v>15</v>
      </c>
      <c r="E1261" s="5">
        <v>3200</v>
      </c>
      <c r="F1261" s="3">
        <v>3200</v>
      </c>
      <c r="G1261" s="3">
        <v>2240</v>
      </c>
      <c r="I1261" s="2" t="s">
        <v>933</v>
      </c>
      <c r="J1261" s="2" t="s">
        <v>245</v>
      </c>
      <c r="K1261" t="s">
        <v>18</v>
      </c>
      <c r="L1261" t="str">
        <f>T("9791164485390")</f>
        <v>9791164485390</v>
      </c>
      <c r="M1261" t="str">
        <f t="shared" si="45"/>
        <v/>
      </c>
    </row>
    <row r="1262" spans="1:14">
      <c r="A1262" s="1">
        <v>46066.137395833335</v>
      </c>
      <c r="B1262">
        <v>234101431</v>
      </c>
      <c r="C1262" s="2" t="s">
        <v>1467</v>
      </c>
      <c r="D1262" t="s">
        <v>15</v>
      </c>
      <c r="E1262" s="5">
        <v>3200</v>
      </c>
      <c r="F1262" s="3">
        <v>3200</v>
      </c>
      <c r="G1262" s="3">
        <v>2240</v>
      </c>
      <c r="I1262" s="2" t="s">
        <v>933</v>
      </c>
      <c r="J1262" s="2" t="s">
        <v>245</v>
      </c>
      <c r="K1262" t="s">
        <v>18</v>
      </c>
      <c r="L1262" t="str">
        <f>T("9791164485406")</f>
        <v>9791164485406</v>
      </c>
      <c r="M1262" t="str">
        <f t="shared" si="45"/>
        <v/>
      </c>
    </row>
    <row r="1263" spans="1:14">
      <c r="A1263" s="1">
        <v>46066.137395833335</v>
      </c>
      <c r="B1263">
        <v>234101444</v>
      </c>
      <c r="C1263" s="2" t="s">
        <v>1464</v>
      </c>
      <c r="D1263" t="s">
        <v>15</v>
      </c>
      <c r="E1263" s="5">
        <v>3200</v>
      </c>
      <c r="F1263" s="3">
        <v>3200</v>
      </c>
      <c r="G1263" s="3">
        <v>2240</v>
      </c>
      <c r="I1263" s="2" t="s">
        <v>933</v>
      </c>
      <c r="J1263" s="2" t="s">
        <v>245</v>
      </c>
      <c r="K1263" t="s">
        <v>18</v>
      </c>
      <c r="L1263" t="str">
        <f>T("9791164485505")</f>
        <v>9791164485505</v>
      </c>
      <c r="M1263" t="str">
        <f t="shared" si="45"/>
        <v/>
      </c>
    </row>
    <row r="1264" spans="1:14">
      <c r="A1264" s="1">
        <v>46066.137395833335</v>
      </c>
      <c r="B1264">
        <v>234101428</v>
      </c>
      <c r="C1264" s="2" t="s">
        <v>1460</v>
      </c>
      <c r="D1264" t="s">
        <v>15</v>
      </c>
      <c r="E1264" s="5">
        <v>3200</v>
      </c>
      <c r="F1264" s="3">
        <v>3200</v>
      </c>
      <c r="G1264" s="3">
        <v>2240</v>
      </c>
      <c r="I1264" s="2" t="s">
        <v>933</v>
      </c>
      <c r="J1264" s="2" t="s">
        <v>245</v>
      </c>
      <c r="K1264" t="s">
        <v>18</v>
      </c>
      <c r="L1264" t="str">
        <f>T("9791164485376")</f>
        <v>9791164485376</v>
      </c>
      <c r="M1264" t="str">
        <f t="shared" si="45"/>
        <v/>
      </c>
    </row>
    <row r="1265" spans="1:14">
      <c r="A1265" s="1">
        <v>46066.137395833335</v>
      </c>
      <c r="B1265">
        <v>234101429</v>
      </c>
      <c r="C1265" s="2" t="s">
        <v>1465</v>
      </c>
      <c r="D1265" t="s">
        <v>15</v>
      </c>
      <c r="E1265" s="5">
        <v>3200</v>
      </c>
      <c r="F1265" s="3">
        <v>3200</v>
      </c>
      <c r="G1265" s="3">
        <v>2240</v>
      </c>
      <c r="I1265" s="2" t="s">
        <v>933</v>
      </c>
      <c r="J1265" s="2" t="s">
        <v>245</v>
      </c>
      <c r="K1265" t="s">
        <v>18</v>
      </c>
      <c r="L1265" t="str">
        <f>T("9791164485383")</f>
        <v>9791164485383</v>
      </c>
      <c r="M1265" t="str">
        <f t="shared" si="45"/>
        <v/>
      </c>
    </row>
    <row r="1266" spans="1:14">
      <c r="A1266" s="1">
        <v>46066.203599537039</v>
      </c>
      <c r="B1266">
        <v>385852543</v>
      </c>
      <c r="C1266" s="2" t="s">
        <v>1200</v>
      </c>
      <c r="D1266" t="s">
        <v>15</v>
      </c>
      <c r="E1266" s="5">
        <v>3000</v>
      </c>
      <c r="F1266" s="3">
        <v>3000</v>
      </c>
      <c r="G1266" s="3">
        <v>2100</v>
      </c>
      <c r="I1266" s="2" t="s">
        <v>1198</v>
      </c>
      <c r="J1266" s="2" t="s">
        <v>21</v>
      </c>
      <c r="K1266" t="s">
        <v>18</v>
      </c>
      <c r="L1266" t="str">
        <f>T("9791175582941")</f>
        <v>9791175582941</v>
      </c>
      <c r="M1266" t="str">
        <f t="shared" si="45"/>
        <v/>
      </c>
      <c r="N1266" t="s">
        <v>1201</v>
      </c>
    </row>
    <row r="1267" spans="1:14">
      <c r="A1267" s="1">
        <v>46066.296388888892</v>
      </c>
      <c r="B1267">
        <v>380788908</v>
      </c>
      <c r="C1267" s="2" t="s">
        <v>1097</v>
      </c>
      <c r="D1267" t="s">
        <v>15</v>
      </c>
      <c r="E1267" s="5">
        <v>2900</v>
      </c>
      <c r="F1267" s="3">
        <v>2900</v>
      </c>
      <c r="G1267" s="3">
        <v>2030</v>
      </c>
      <c r="I1267" s="2" t="s">
        <v>1098</v>
      </c>
      <c r="J1267" s="2" t="s">
        <v>126</v>
      </c>
      <c r="K1267" t="s">
        <v>18</v>
      </c>
      <c r="L1267" t="str">
        <f>T("9791171502486")</f>
        <v>9791171502486</v>
      </c>
      <c r="M1267" t="str">
        <f t="shared" si="45"/>
        <v/>
      </c>
      <c r="N1267" t="s">
        <v>1099</v>
      </c>
    </row>
    <row r="1268" spans="1:14">
      <c r="A1268" s="1">
        <v>46066.319907407407</v>
      </c>
      <c r="B1268">
        <v>319978711</v>
      </c>
      <c r="C1268" s="2" t="s">
        <v>1510</v>
      </c>
      <c r="D1268" t="s">
        <v>15</v>
      </c>
      <c r="E1268" s="5">
        <v>3200</v>
      </c>
      <c r="F1268" s="3">
        <v>3200</v>
      </c>
      <c r="G1268" s="3">
        <v>2240</v>
      </c>
      <c r="I1268" s="2" t="s">
        <v>69</v>
      </c>
      <c r="J1268" s="2" t="s">
        <v>70</v>
      </c>
      <c r="K1268" t="s">
        <v>18</v>
      </c>
      <c r="L1268" t="str">
        <f>T("9791192729497")</f>
        <v>9791192729497</v>
      </c>
      <c r="M1268" t="str">
        <f t="shared" si="45"/>
        <v/>
      </c>
      <c r="N1268" t="s">
        <v>1511</v>
      </c>
    </row>
    <row r="1269" spans="1:14">
      <c r="A1269" s="1">
        <v>46066.319907407407</v>
      </c>
      <c r="B1269">
        <v>319978625</v>
      </c>
      <c r="C1269" s="2" t="s">
        <v>241</v>
      </c>
      <c r="D1269" t="s">
        <v>15</v>
      </c>
      <c r="E1269" s="4">
        <v>0</v>
      </c>
      <c r="F1269" s="2">
        <v>0</v>
      </c>
      <c r="G1269" s="2">
        <v>0</v>
      </c>
      <c r="I1269" s="2" t="s">
        <v>69</v>
      </c>
      <c r="J1269" s="2" t="s">
        <v>70</v>
      </c>
      <c r="K1269" t="s">
        <v>18</v>
      </c>
      <c r="L1269" t="str">
        <f>T("9791192729473")</f>
        <v>9791192729473</v>
      </c>
      <c r="M1269" t="str">
        <f t="shared" si="45"/>
        <v/>
      </c>
      <c r="N1269" t="s">
        <v>242</v>
      </c>
    </row>
    <row r="1270" spans="1:14">
      <c r="A1270" s="1">
        <v>46066.319907407407</v>
      </c>
      <c r="B1270">
        <v>319978591</v>
      </c>
      <c r="C1270" s="2" t="s">
        <v>67</v>
      </c>
      <c r="D1270" t="s">
        <v>15</v>
      </c>
      <c r="E1270" s="5">
        <v>3200</v>
      </c>
      <c r="F1270" s="3">
        <v>3200</v>
      </c>
      <c r="G1270" s="3">
        <v>2240</v>
      </c>
      <c r="I1270" s="2" t="s">
        <v>69</v>
      </c>
      <c r="J1270" s="2" t="s">
        <v>70</v>
      </c>
      <c r="K1270" t="s">
        <v>18</v>
      </c>
      <c r="L1270" t="str">
        <f>T("9791192729503")</f>
        <v>9791192729503</v>
      </c>
      <c r="M1270" t="str">
        <f t="shared" si="45"/>
        <v/>
      </c>
      <c r="N1270" t="s">
        <v>71</v>
      </c>
    </row>
    <row r="1271" spans="1:14">
      <c r="A1271" s="1">
        <v>46066.458275462966</v>
      </c>
      <c r="B1271">
        <v>379527576</v>
      </c>
      <c r="C1271" s="2" t="s">
        <v>150</v>
      </c>
      <c r="D1271" t="s">
        <v>15</v>
      </c>
      <c r="E1271" s="5">
        <v>1000</v>
      </c>
      <c r="F1271" s="3">
        <v>1000</v>
      </c>
      <c r="G1271" s="2">
        <v>700</v>
      </c>
      <c r="I1271" s="2" t="s">
        <v>148</v>
      </c>
      <c r="J1271" s="2" t="s">
        <v>21</v>
      </c>
      <c r="K1271" t="s">
        <v>18</v>
      </c>
      <c r="L1271" t="str">
        <f>T("9791175580541")</f>
        <v>9791175580541</v>
      </c>
      <c r="M1271" t="str">
        <f t="shared" si="45"/>
        <v/>
      </c>
      <c r="N1271" t="s">
        <v>151</v>
      </c>
    </row>
    <row r="1272" spans="1:14">
      <c r="A1272" s="1">
        <v>46066.461412037039</v>
      </c>
      <c r="B1272">
        <v>277935591</v>
      </c>
      <c r="C1272" s="2" t="s">
        <v>1512</v>
      </c>
      <c r="D1272" t="s">
        <v>15</v>
      </c>
      <c r="E1272" s="4">
        <v>100</v>
      </c>
      <c r="F1272" s="2">
        <v>100</v>
      </c>
      <c r="G1272" s="2">
        <v>70</v>
      </c>
      <c r="I1272" s="2" t="s">
        <v>64</v>
      </c>
      <c r="J1272" s="2" t="s">
        <v>65</v>
      </c>
      <c r="K1272" t="s">
        <v>18</v>
      </c>
      <c r="L1272" t="str">
        <f t="shared" ref="L1272:L1281" si="46">T("9791162589724")</f>
        <v>9791162589724</v>
      </c>
      <c r="M1272" t="str">
        <f t="shared" si="45"/>
        <v/>
      </c>
      <c r="N1272" t="s">
        <v>1513</v>
      </c>
    </row>
    <row r="1273" spans="1:14">
      <c r="A1273" s="1">
        <v>46066.461412037039</v>
      </c>
      <c r="B1273">
        <v>277935596</v>
      </c>
      <c r="C1273" s="2" t="s">
        <v>1514</v>
      </c>
      <c r="D1273" t="s">
        <v>15</v>
      </c>
      <c r="E1273" s="4">
        <v>100</v>
      </c>
      <c r="F1273" s="2">
        <v>100</v>
      </c>
      <c r="G1273" s="2">
        <v>70</v>
      </c>
      <c r="I1273" s="2" t="s">
        <v>64</v>
      </c>
      <c r="J1273" s="2" t="s">
        <v>65</v>
      </c>
      <c r="K1273" t="s">
        <v>18</v>
      </c>
      <c r="L1273" t="str">
        <f t="shared" si="46"/>
        <v>9791162589724</v>
      </c>
      <c r="M1273" t="str">
        <f t="shared" si="45"/>
        <v/>
      </c>
      <c r="N1273" t="s">
        <v>1515</v>
      </c>
    </row>
    <row r="1274" spans="1:14">
      <c r="A1274" s="1">
        <v>46066.461412037039</v>
      </c>
      <c r="B1274">
        <v>277935467</v>
      </c>
      <c r="C1274" s="2" t="s">
        <v>1516</v>
      </c>
      <c r="D1274" t="s">
        <v>15</v>
      </c>
      <c r="E1274" s="4">
        <v>100</v>
      </c>
      <c r="F1274" s="2">
        <v>100</v>
      </c>
      <c r="G1274" s="2">
        <v>70</v>
      </c>
      <c r="I1274" s="2" t="s">
        <v>64</v>
      </c>
      <c r="J1274" s="2" t="s">
        <v>65</v>
      </c>
      <c r="K1274" t="s">
        <v>18</v>
      </c>
      <c r="L1274" t="str">
        <f t="shared" si="46"/>
        <v>9791162589724</v>
      </c>
      <c r="M1274" t="str">
        <f t="shared" si="45"/>
        <v/>
      </c>
      <c r="N1274" t="s">
        <v>1517</v>
      </c>
    </row>
    <row r="1275" spans="1:14">
      <c r="A1275" s="1">
        <v>46066.461412037039</v>
      </c>
      <c r="B1275">
        <v>277935470</v>
      </c>
      <c r="C1275" s="2" t="s">
        <v>1518</v>
      </c>
      <c r="D1275" t="s">
        <v>15</v>
      </c>
      <c r="E1275" s="4">
        <v>100</v>
      </c>
      <c r="F1275" s="2">
        <v>100</v>
      </c>
      <c r="G1275" s="2">
        <v>70</v>
      </c>
      <c r="I1275" s="2" t="s">
        <v>64</v>
      </c>
      <c r="J1275" s="2" t="s">
        <v>65</v>
      </c>
      <c r="K1275" t="s">
        <v>18</v>
      </c>
      <c r="L1275" t="str">
        <f t="shared" si="46"/>
        <v>9791162589724</v>
      </c>
      <c r="M1275" t="str">
        <f t="shared" si="45"/>
        <v/>
      </c>
      <c r="N1275" t="s">
        <v>1519</v>
      </c>
    </row>
    <row r="1276" spans="1:14">
      <c r="A1276" s="1">
        <v>46066.461412037039</v>
      </c>
      <c r="B1276">
        <v>277935651</v>
      </c>
      <c r="C1276" s="2" t="s">
        <v>1520</v>
      </c>
      <c r="D1276" t="s">
        <v>15</v>
      </c>
      <c r="E1276" s="4">
        <v>100</v>
      </c>
      <c r="F1276" s="2">
        <v>100</v>
      </c>
      <c r="G1276" s="2">
        <v>70</v>
      </c>
      <c r="I1276" s="2" t="s">
        <v>64</v>
      </c>
      <c r="J1276" s="2" t="s">
        <v>65</v>
      </c>
      <c r="K1276" t="s">
        <v>18</v>
      </c>
      <c r="L1276" t="str">
        <f t="shared" si="46"/>
        <v>9791162589724</v>
      </c>
      <c r="M1276" t="str">
        <f t="shared" si="45"/>
        <v/>
      </c>
      <c r="N1276" t="s">
        <v>1521</v>
      </c>
    </row>
    <row r="1277" spans="1:14">
      <c r="A1277" s="1">
        <v>46066.461412037039</v>
      </c>
      <c r="B1277">
        <v>277935654</v>
      </c>
      <c r="C1277" s="2" t="s">
        <v>1522</v>
      </c>
      <c r="D1277" t="s">
        <v>15</v>
      </c>
      <c r="E1277" s="4">
        <v>100</v>
      </c>
      <c r="F1277" s="2">
        <v>100</v>
      </c>
      <c r="G1277" s="2">
        <v>70</v>
      </c>
      <c r="I1277" s="2" t="s">
        <v>64</v>
      </c>
      <c r="J1277" s="2" t="s">
        <v>65</v>
      </c>
      <c r="K1277" t="s">
        <v>18</v>
      </c>
      <c r="L1277" t="str">
        <f t="shared" si="46"/>
        <v>9791162589724</v>
      </c>
      <c r="M1277" t="str">
        <f t="shared" si="45"/>
        <v/>
      </c>
      <c r="N1277" t="s">
        <v>1523</v>
      </c>
    </row>
    <row r="1278" spans="1:14">
      <c r="A1278" s="1">
        <v>46066.461412037039</v>
      </c>
      <c r="B1278">
        <v>277935702</v>
      </c>
      <c r="C1278" s="2" t="s">
        <v>1524</v>
      </c>
      <c r="D1278" t="s">
        <v>15</v>
      </c>
      <c r="E1278" s="4">
        <v>100</v>
      </c>
      <c r="F1278" s="2">
        <v>100</v>
      </c>
      <c r="G1278" s="2">
        <v>70</v>
      </c>
      <c r="I1278" s="2" t="s">
        <v>64</v>
      </c>
      <c r="J1278" s="2" t="s">
        <v>65</v>
      </c>
      <c r="K1278" t="s">
        <v>18</v>
      </c>
      <c r="L1278" t="str">
        <f t="shared" si="46"/>
        <v>9791162589724</v>
      </c>
      <c r="M1278" t="str">
        <f t="shared" si="45"/>
        <v/>
      </c>
      <c r="N1278" t="s">
        <v>1525</v>
      </c>
    </row>
    <row r="1279" spans="1:14">
      <c r="A1279" s="1">
        <v>46066.461412037039</v>
      </c>
      <c r="B1279">
        <v>277935706</v>
      </c>
      <c r="C1279" s="2" t="s">
        <v>1526</v>
      </c>
      <c r="D1279" t="s">
        <v>15</v>
      </c>
      <c r="E1279" s="4">
        <v>100</v>
      </c>
      <c r="F1279" s="2">
        <v>100</v>
      </c>
      <c r="G1279" s="2">
        <v>70</v>
      </c>
      <c r="I1279" s="2" t="s">
        <v>64</v>
      </c>
      <c r="J1279" s="2" t="s">
        <v>65</v>
      </c>
      <c r="K1279" t="s">
        <v>18</v>
      </c>
      <c r="L1279" t="str">
        <f t="shared" si="46"/>
        <v>9791162589724</v>
      </c>
      <c r="M1279" t="str">
        <f t="shared" si="45"/>
        <v/>
      </c>
      <c r="N1279" t="s">
        <v>1527</v>
      </c>
    </row>
    <row r="1280" spans="1:14">
      <c r="A1280" s="1">
        <v>46066.461412037039</v>
      </c>
      <c r="B1280">
        <v>277935707</v>
      </c>
      <c r="C1280" s="2" t="s">
        <v>1528</v>
      </c>
      <c r="D1280" t="s">
        <v>15</v>
      </c>
      <c r="E1280" s="4">
        <v>100</v>
      </c>
      <c r="F1280" s="2">
        <v>100</v>
      </c>
      <c r="G1280" s="2">
        <v>70</v>
      </c>
      <c r="I1280" s="2" t="s">
        <v>64</v>
      </c>
      <c r="J1280" s="2" t="s">
        <v>65</v>
      </c>
      <c r="K1280" t="s">
        <v>18</v>
      </c>
      <c r="L1280" t="str">
        <f t="shared" si="46"/>
        <v>9791162589724</v>
      </c>
      <c r="M1280" t="str">
        <f t="shared" si="45"/>
        <v/>
      </c>
      <c r="N1280" t="s">
        <v>1529</v>
      </c>
    </row>
    <row r="1281" spans="1:14">
      <c r="A1281" s="1">
        <v>46066.461412037039</v>
      </c>
      <c r="B1281">
        <v>277935711</v>
      </c>
      <c r="C1281" s="2" t="s">
        <v>1530</v>
      </c>
      <c r="D1281" t="s">
        <v>15</v>
      </c>
      <c r="E1281" s="4">
        <v>100</v>
      </c>
      <c r="F1281" s="2">
        <v>100</v>
      </c>
      <c r="G1281" s="2">
        <v>70</v>
      </c>
      <c r="I1281" s="2" t="s">
        <v>64</v>
      </c>
      <c r="J1281" s="2" t="s">
        <v>65</v>
      </c>
      <c r="K1281" t="s">
        <v>18</v>
      </c>
      <c r="L1281" t="str">
        <f t="shared" si="46"/>
        <v>9791162589724</v>
      </c>
      <c r="M1281" t="str">
        <f t="shared" si="45"/>
        <v/>
      </c>
      <c r="N1281" t="s">
        <v>1531</v>
      </c>
    </row>
    <row r="1282" spans="1:14">
      <c r="A1282" s="1">
        <v>46066.470405092594</v>
      </c>
      <c r="B1282">
        <v>318661134</v>
      </c>
      <c r="C1282" s="2" t="s">
        <v>952</v>
      </c>
      <c r="D1282" t="s">
        <v>15</v>
      </c>
      <c r="E1282" s="5">
        <v>9450</v>
      </c>
      <c r="F1282" s="3">
        <v>9450</v>
      </c>
      <c r="G1282" s="3">
        <v>6615</v>
      </c>
      <c r="I1282" s="2" t="s">
        <v>950</v>
      </c>
      <c r="J1282" s="2" t="s">
        <v>184</v>
      </c>
      <c r="K1282" t="s">
        <v>18</v>
      </c>
      <c r="L1282" t="str">
        <f>T("9791164799695")</f>
        <v>9791164799695</v>
      </c>
      <c r="M1282" t="str">
        <f t="shared" ref="M1282:M1309" si="47">T("")</f>
        <v/>
      </c>
      <c r="N1282" t="s">
        <v>953</v>
      </c>
    </row>
    <row r="1283" spans="1:14">
      <c r="A1283" s="1">
        <v>46066.476805555554</v>
      </c>
      <c r="B1283">
        <v>384598651</v>
      </c>
      <c r="C1283" s="2" t="s">
        <v>696</v>
      </c>
      <c r="D1283" t="s">
        <v>15</v>
      </c>
      <c r="E1283" s="5">
        <v>1000</v>
      </c>
      <c r="F1283" s="3">
        <v>1000</v>
      </c>
      <c r="G1283" s="2">
        <v>700</v>
      </c>
      <c r="I1283" s="2" t="s">
        <v>28</v>
      </c>
      <c r="J1283" s="2" t="s">
        <v>21</v>
      </c>
      <c r="K1283" t="s">
        <v>18</v>
      </c>
      <c r="L1283" t="str">
        <f>T("9791175582422")</f>
        <v>9791175582422</v>
      </c>
      <c r="M1283" t="str">
        <f t="shared" si="47"/>
        <v/>
      </c>
      <c r="N1283" t="s">
        <v>697</v>
      </c>
    </row>
    <row r="1284" spans="1:14">
      <c r="A1284" s="1">
        <v>46066.481863425928</v>
      </c>
      <c r="B1284">
        <v>370130452</v>
      </c>
      <c r="C1284" s="2" t="s">
        <v>1532</v>
      </c>
      <c r="D1284" t="s">
        <v>68</v>
      </c>
      <c r="E1284" s="4">
        <v>700</v>
      </c>
      <c r="F1284" s="2">
        <v>700</v>
      </c>
      <c r="G1284" s="2">
        <v>490</v>
      </c>
      <c r="I1284" s="2" t="s">
        <v>244</v>
      </c>
      <c r="J1284" s="2" t="s">
        <v>245</v>
      </c>
      <c r="K1284" t="s">
        <v>18</v>
      </c>
      <c r="L1284" t="str">
        <f>T("9791164489121")</f>
        <v>9791164489121</v>
      </c>
      <c r="M1284" t="str">
        <f t="shared" si="47"/>
        <v/>
      </c>
      <c r="N1284" t="s">
        <v>1533</v>
      </c>
    </row>
    <row r="1285" spans="1:14">
      <c r="A1285" s="1">
        <v>46066.484351851854</v>
      </c>
      <c r="B1285">
        <v>234101442</v>
      </c>
      <c r="C1285" s="2" t="s">
        <v>1462</v>
      </c>
      <c r="D1285" t="s">
        <v>15</v>
      </c>
      <c r="E1285" s="5">
        <v>3200</v>
      </c>
      <c r="F1285" s="3">
        <v>3200</v>
      </c>
      <c r="G1285" s="3">
        <v>2240</v>
      </c>
      <c r="I1285" s="2" t="s">
        <v>933</v>
      </c>
      <c r="J1285" s="2" t="s">
        <v>245</v>
      </c>
      <c r="K1285" t="s">
        <v>18</v>
      </c>
      <c r="L1285" t="str">
        <f>T("9791164485482")</f>
        <v>9791164485482</v>
      </c>
      <c r="M1285" t="str">
        <f t="shared" si="47"/>
        <v/>
      </c>
    </row>
    <row r="1286" spans="1:14">
      <c r="A1286" s="1">
        <v>46066.484351851854</v>
      </c>
      <c r="B1286">
        <v>234101443</v>
      </c>
      <c r="C1286" s="2" t="s">
        <v>1463</v>
      </c>
      <c r="D1286" t="s">
        <v>15</v>
      </c>
      <c r="E1286" s="5">
        <v>3200</v>
      </c>
      <c r="F1286" s="3">
        <v>3200</v>
      </c>
      <c r="G1286" s="3">
        <v>2240</v>
      </c>
      <c r="I1286" s="2" t="s">
        <v>933</v>
      </c>
      <c r="J1286" s="2" t="s">
        <v>245</v>
      </c>
      <c r="K1286" t="s">
        <v>18</v>
      </c>
      <c r="L1286" t="str">
        <f>T("9791164485499")</f>
        <v>9791164485499</v>
      </c>
      <c r="M1286" t="str">
        <f t="shared" si="47"/>
        <v/>
      </c>
    </row>
    <row r="1287" spans="1:14">
      <c r="A1287" s="1">
        <v>46066.484351851854</v>
      </c>
      <c r="B1287">
        <v>234101435</v>
      </c>
      <c r="C1287" s="2" t="s">
        <v>1469</v>
      </c>
      <c r="D1287" t="s">
        <v>15</v>
      </c>
      <c r="E1287" s="5">
        <v>3200</v>
      </c>
      <c r="F1287" s="3">
        <v>3200</v>
      </c>
      <c r="G1287" s="3">
        <v>2240</v>
      </c>
      <c r="I1287" s="2" t="s">
        <v>933</v>
      </c>
      <c r="J1287" s="2" t="s">
        <v>245</v>
      </c>
      <c r="K1287" t="s">
        <v>18</v>
      </c>
      <c r="L1287" t="str">
        <f>T("9791164485420")</f>
        <v>9791164485420</v>
      </c>
      <c r="M1287" t="str">
        <f t="shared" si="47"/>
        <v/>
      </c>
    </row>
    <row r="1288" spans="1:14">
      <c r="A1288" s="1">
        <v>46066.484351851854</v>
      </c>
      <c r="B1288">
        <v>234101440</v>
      </c>
      <c r="C1288" s="2" t="s">
        <v>1472</v>
      </c>
      <c r="D1288" t="s">
        <v>15</v>
      </c>
      <c r="E1288" s="5">
        <v>3200</v>
      </c>
      <c r="F1288" s="3">
        <v>3200</v>
      </c>
      <c r="G1288" s="3">
        <v>2240</v>
      </c>
      <c r="I1288" s="2" t="s">
        <v>933</v>
      </c>
      <c r="J1288" s="2" t="s">
        <v>245</v>
      </c>
      <c r="K1288" t="s">
        <v>18</v>
      </c>
      <c r="L1288" t="str">
        <f>T("9791164485451")</f>
        <v>9791164485451</v>
      </c>
      <c r="M1288" t="str">
        <f t="shared" si="47"/>
        <v/>
      </c>
    </row>
    <row r="1289" spans="1:14">
      <c r="A1289" s="1">
        <v>46066.484351851854</v>
      </c>
      <c r="B1289">
        <v>234101441</v>
      </c>
      <c r="C1289" s="2" t="s">
        <v>1461</v>
      </c>
      <c r="D1289" t="s">
        <v>15</v>
      </c>
      <c r="E1289" s="5">
        <v>3200</v>
      </c>
      <c r="F1289" s="3">
        <v>3200</v>
      </c>
      <c r="G1289" s="3">
        <v>2240</v>
      </c>
      <c r="I1289" s="2" t="s">
        <v>933</v>
      </c>
      <c r="J1289" s="2" t="s">
        <v>245</v>
      </c>
      <c r="K1289" t="s">
        <v>18</v>
      </c>
      <c r="L1289" t="str">
        <f>T("9791164485468")</f>
        <v>9791164485468</v>
      </c>
      <c r="M1289" t="str">
        <f t="shared" si="47"/>
        <v/>
      </c>
    </row>
    <row r="1290" spans="1:14">
      <c r="A1290" s="1">
        <v>46066.484351851854</v>
      </c>
      <c r="B1290">
        <v>234101436</v>
      </c>
      <c r="C1290" s="2" t="s">
        <v>1470</v>
      </c>
      <c r="D1290" t="s">
        <v>15</v>
      </c>
      <c r="E1290" s="5">
        <v>3200</v>
      </c>
      <c r="F1290" s="3">
        <v>3200</v>
      </c>
      <c r="G1290" s="3">
        <v>2240</v>
      </c>
      <c r="I1290" s="2" t="s">
        <v>933</v>
      </c>
      <c r="J1290" s="2" t="s">
        <v>245</v>
      </c>
      <c r="K1290" t="s">
        <v>18</v>
      </c>
      <c r="L1290" t="str">
        <f>T("9791164485437")</f>
        <v>9791164485437</v>
      </c>
      <c r="M1290" t="str">
        <f t="shared" si="47"/>
        <v/>
      </c>
    </row>
    <row r="1291" spans="1:14">
      <c r="A1291" s="1">
        <v>46066.484351851854</v>
      </c>
      <c r="B1291">
        <v>234101437</v>
      </c>
      <c r="C1291" s="2" t="s">
        <v>1471</v>
      </c>
      <c r="D1291" t="s">
        <v>15</v>
      </c>
      <c r="E1291" s="5">
        <v>3200</v>
      </c>
      <c r="F1291" s="3">
        <v>3200</v>
      </c>
      <c r="G1291" s="3">
        <v>2240</v>
      </c>
      <c r="I1291" s="2" t="s">
        <v>933</v>
      </c>
      <c r="J1291" s="2" t="s">
        <v>245</v>
      </c>
      <c r="K1291" t="s">
        <v>18</v>
      </c>
      <c r="L1291" t="str">
        <f>T("9791164485444")</f>
        <v>9791164485444</v>
      </c>
      <c r="M1291" t="str">
        <f t="shared" si="47"/>
        <v/>
      </c>
    </row>
    <row r="1292" spans="1:14">
      <c r="A1292" s="1">
        <v>46066.484351851854</v>
      </c>
      <c r="B1292">
        <v>241312657</v>
      </c>
      <c r="C1292" s="2" t="s">
        <v>1473</v>
      </c>
      <c r="D1292" t="s">
        <v>15</v>
      </c>
      <c r="E1292" s="5">
        <v>3200</v>
      </c>
      <c r="F1292" s="3">
        <v>3200</v>
      </c>
      <c r="G1292" s="3">
        <v>2240</v>
      </c>
      <c r="I1292" s="2" t="s">
        <v>933</v>
      </c>
      <c r="J1292" s="2" t="s">
        <v>245</v>
      </c>
      <c r="K1292" t="s">
        <v>18</v>
      </c>
      <c r="L1292" t="str">
        <f>T("9791164488667")</f>
        <v>9791164488667</v>
      </c>
      <c r="M1292" t="str">
        <f t="shared" si="47"/>
        <v/>
      </c>
    </row>
    <row r="1293" spans="1:14">
      <c r="A1293" s="1">
        <v>46066.484351851854</v>
      </c>
      <c r="B1293">
        <v>241312669</v>
      </c>
      <c r="C1293" s="2" t="s">
        <v>1474</v>
      </c>
      <c r="D1293" t="s">
        <v>15</v>
      </c>
      <c r="E1293" s="5">
        <v>3200</v>
      </c>
      <c r="F1293" s="3">
        <v>3200</v>
      </c>
      <c r="G1293" s="3">
        <v>2240</v>
      </c>
      <c r="I1293" s="2" t="s">
        <v>933</v>
      </c>
      <c r="J1293" s="2" t="s">
        <v>245</v>
      </c>
      <c r="K1293" t="s">
        <v>18</v>
      </c>
      <c r="L1293" t="str">
        <f>T("9791164488711")</f>
        <v>9791164488711</v>
      </c>
      <c r="M1293" t="str">
        <f t="shared" si="47"/>
        <v/>
      </c>
    </row>
    <row r="1294" spans="1:14">
      <c r="A1294" s="1">
        <v>46066.484351851854</v>
      </c>
      <c r="B1294">
        <v>241312643</v>
      </c>
      <c r="C1294" s="2" t="s">
        <v>1475</v>
      </c>
      <c r="D1294" t="s">
        <v>15</v>
      </c>
      <c r="E1294" s="5">
        <v>3200</v>
      </c>
      <c r="F1294" s="3">
        <v>3200</v>
      </c>
      <c r="G1294" s="3">
        <v>2240</v>
      </c>
      <c r="I1294" s="2" t="s">
        <v>933</v>
      </c>
      <c r="J1294" s="2" t="s">
        <v>245</v>
      </c>
      <c r="K1294" t="s">
        <v>18</v>
      </c>
      <c r="L1294" t="str">
        <f>T("9791164488704")</f>
        <v>9791164488704</v>
      </c>
      <c r="M1294" t="str">
        <f t="shared" si="47"/>
        <v/>
      </c>
    </row>
    <row r="1295" spans="1:14">
      <c r="A1295" s="1">
        <v>46066.484351851854</v>
      </c>
      <c r="B1295">
        <v>241312633</v>
      </c>
      <c r="C1295" s="2" t="s">
        <v>1478</v>
      </c>
      <c r="D1295" t="s">
        <v>15</v>
      </c>
      <c r="E1295" s="5">
        <v>3200</v>
      </c>
      <c r="F1295" s="3">
        <v>3200</v>
      </c>
      <c r="G1295" s="3">
        <v>2240</v>
      </c>
      <c r="I1295" s="2" t="s">
        <v>933</v>
      </c>
      <c r="J1295" s="2" t="s">
        <v>245</v>
      </c>
      <c r="K1295" t="s">
        <v>18</v>
      </c>
      <c r="L1295" t="str">
        <f>T("9791164488698")</f>
        <v>9791164488698</v>
      </c>
      <c r="M1295" t="str">
        <f t="shared" si="47"/>
        <v/>
      </c>
    </row>
    <row r="1296" spans="1:14">
      <c r="A1296" s="1">
        <v>46066.484351851854</v>
      </c>
      <c r="B1296">
        <v>241312637</v>
      </c>
      <c r="C1296" s="2" t="s">
        <v>1479</v>
      </c>
      <c r="D1296" t="s">
        <v>15</v>
      </c>
      <c r="E1296" s="5">
        <v>3200</v>
      </c>
      <c r="F1296" s="3">
        <v>3200</v>
      </c>
      <c r="G1296" s="3">
        <v>2240</v>
      </c>
      <c r="I1296" s="2" t="s">
        <v>933</v>
      </c>
      <c r="J1296" s="2" t="s">
        <v>245</v>
      </c>
      <c r="K1296" t="s">
        <v>18</v>
      </c>
      <c r="L1296" t="str">
        <f>T("9791164488759")</f>
        <v>9791164488759</v>
      </c>
      <c r="M1296" t="str">
        <f t="shared" si="47"/>
        <v/>
      </c>
    </row>
    <row r="1297" spans="1:14">
      <c r="A1297" s="1">
        <v>46066.484351851854</v>
      </c>
      <c r="B1297">
        <v>241312700</v>
      </c>
      <c r="C1297" s="2" t="s">
        <v>1484</v>
      </c>
      <c r="D1297" t="s">
        <v>15</v>
      </c>
      <c r="E1297" s="5">
        <v>3200</v>
      </c>
      <c r="F1297" s="3">
        <v>3200</v>
      </c>
      <c r="G1297" s="3">
        <v>2240</v>
      </c>
      <c r="I1297" s="2" t="s">
        <v>933</v>
      </c>
      <c r="J1297" s="2" t="s">
        <v>245</v>
      </c>
      <c r="K1297" t="s">
        <v>18</v>
      </c>
      <c r="L1297" t="str">
        <f>T("9791164488735")</f>
        <v>9791164488735</v>
      </c>
      <c r="M1297" t="str">
        <f t="shared" si="47"/>
        <v/>
      </c>
    </row>
    <row r="1298" spans="1:14">
      <c r="A1298" s="1">
        <v>46066.484351851854</v>
      </c>
      <c r="B1298">
        <v>241312688</v>
      </c>
      <c r="C1298" s="2" t="s">
        <v>1482</v>
      </c>
      <c r="D1298" t="s">
        <v>15</v>
      </c>
      <c r="E1298" s="5">
        <v>3200</v>
      </c>
      <c r="F1298" s="3">
        <v>3200</v>
      </c>
      <c r="G1298" s="3">
        <v>2240</v>
      </c>
      <c r="I1298" s="2" t="s">
        <v>933</v>
      </c>
      <c r="J1298" s="2" t="s">
        <v>245</v>
      </c>
      <c r="K1298" t="s">
        <v>18</v>
      </c>
      <c r="L1298" t="str">
        <f>T("9791164488728")</f>
        <v>9791164488728</v>
      </c>
      <c r="M1298" t="str">
        <f t="shared" si="47"/>
        <v/>
      </c>
    </row>
    <row r="1299" spans="1:14">
      <c r="A1299" s="1">
        <v>46066.484351851854</v>
      </c>
      <c r="B1299">
        <v>241312697</v>
      </c>
      <c r="C1299" s="2" t="s">
        <v>1483</v>
      </c>
      <c r="D1299" t="s">
        <v>15</v>
      </c>
      <c r="E1299" s="5">
        <v>3200</v>
      </c>
      <c r="F1299" s="3">
        <v>3200</v>
      </c>
      <c r="G1299" s="3">
        <v>2240</v>
      </c>
      <c r="I1299" s="2" t="s">
        <v>933</v>
      </c>
      <c r="J1299" s="2" t="s">
        <v>245</v>
      </c>
      <c r="K1299" t="s">
        <v>18</v>
      </c>
      <c r="L1299" t="str">
        <f>T("9791164488681")</f>
        <v>9791164488681</v>
      </c>
      <c r="M1299" t="str">
        <f t="shared" si="47"/>
        <v/>
      </c>
    </row>
    <row r="1300" spans="1:14">
      <c r="A1300" s="1">
        <v>46066.484351851854</v>
      </c>
      <c r="B1300">
        <v>283496885</v>
      </c>
      <c r="C1300" s="2" t="s">
        <v>1491</v>
      </c>
      <c r="D1300" t="s">
        <v>15</v>
      </c>
      <c r="E1300" s="5">
        <v>3200</v>
      </c>
      <c r="F1300" s="3">
        <v>3200</v>
      </c>
      <c r="G1300" s="3">
        <v>2240</v>
      </c>
      <c r="I1300" s="2" t="s">
        <v>933</v>
      </c>
      <c r="J1300" s="2" t="s">
        <v>245</v>
      </c>
      <c r="K1300" t="s">
        <v>18</v>
      </c>
      <c r="L1300" t="str">
        <f>T("9791166000706")</f>
        <v>9791166000706</v>
      </c>
      <c r="M1300" t="str">
        <f t="shared" si="47"/>
        <v/>
      </c>
      <c r="N1300" t="s">
        <v>1492</v>
      </c>
    </row>
    <row r="1301" spans="1:14">
      <c r="A1301" s="1">
        <v>46066.484351851854</v>
      </c>
      <c r="B1301">
        <v>283496880</v>
      </c>
      <c r="C1301" s="2" t="s">
        <v>1489</v>
      </c>
      <c r="D1301" t="s">
        <v>15</v>
      </c>
      <c r="E1301" s="5">
        <v>3200</v>
      </c>
      <c r="F1301" s="3">
        <v>3200</v>
      </c>
      <c r="G1301" s="3">
        <v>2240</v>
      </c>
      <c r="I1301" s="2" t="s">
        <v>933</v>
      </c>
      <c r="J1301" s="2" t="s">
        <v>245</v>
      </c>
      <c r="K1301" t="s">
        <v>18</v>
      </c>
      <c r="L1301" t="str">
        <f>T("9791166000706")</f>
        <v>9791166000706</v>
      </c>
      <c r="M1301" t="str">
        <f t="shared" si="47"/>
        <v/>
      </c>
      <c r="N1301" t="s">
        <v>1490</v>
      </c>
    </row>
    <row r="1302" spans="1:14">
      <c r="A1302" s="1">
        <v>46066.484351851854</v>
      </c>
      <c r="B1302">
        <v>283496881</v>
      </c>
      <c r="C1302" s="2" t="s">
        <v>1485</v>
      </c>
      <c r="D1302" t="s">
        <v>15</v>
      </c>
      <c r="E1302" s="5">
        <v>3200</v>
      </c>
      <c r="F1302" s="3">
        <v>3200</v>
      </c>
      <c r="G1302" s="3">
        <v>2240</v>
      </c>
      <c r="I1302" s="2" t="s">
        <v>933</v>
      </c>
      <c r="J1302" s="2" t="s">
        <v>245</v>
      </c>
      <c r="K1302" t="s">
        <v>18</v>
      </c>
      <c r="L1302" t="str">
        <f>T("9791166000737")</f>
        <v>9791166000737</v>
      </c>
      <c r="M1302" t="str">
        <f t="shared" si="47"/>
        <v/>
      </c>
      <c r="N1302" t="s">
        <v>1486</v>
      </c>
    </row>
    <row r="1303" spans="1:14">
      <c r="A1303" s="1">
        <v>46066.484351851854</v>
      </c>
      <c r="B1303">
        <v>283496878</v>
      </c>
      <c r="C1303" s="2" t="s">
        <v>1487</v>
      </c>
      <c r="D1303" t="s">
        <v>15</v>
      </c>
      <c r="E1303" s="5">
        <v>3200</v>
      </c>
      <c r="F1303" s="3">
        <v>3200</v>
      </c>
      <c r="G1303" s="3">
        <v>2240</v>
      </c>
      <c r="I1303" s="2" t="s">
        <v>933</v>
      </c>
      <c r="J1303" s="2" t="s">
        <v>245</v>
      </c>
      <c r="K1303" t="s">
        <v>18</v>
      </c>
      <c r="L1303" t="str">
        <f>T("9791166000720")</f>
        <v>9791166000720</v>
      </c>
      <c r="M1303" t="str">
        <f t="shared" si="47"/>
        <v/>
      </c>
      <c r="N1303" t="s">
        <v>1488</v>
      </c>
    </row>
    <row r="1304" spans="1:14">
      <c r="A1304" s="1">
        <v>46066.491168981483</v>
      </c>
      <c r="B1304">
        <v>386057282</v>
      </c>
      <c r="C1304" s="2" t="s">
        <v>1534</v>
      </c>
      <c r="D1304" t="s">
        <v>68</v>
      </c>
      <c r="E1304" s="5">
        <v>12500</v>
      </c>
      <c r="F1304" s="3">
        <v>12500</v>
      </c>
      <c r="G1304" s="3">
        <v>8750</v>
      </c>
      <c r="I1304" s="2" t="s">
        <v>1535</v>
      </c>
      <c r="J1304" s="2" t="s">
        <v>1536</v>
      </c>
      <c r="K1304" t="s">
        <v>18</v>
      </c>
      <c r="L1304" t="str">
        <f>T("9791189257323")</f>
        <v>9791189257323</v>
      </c>
      <c r="M1304" t="str">
        <f t="shared" si="47"/>
        <v/>
      </c>
    </row>
    <row r="1305" spans="1:14">
      <c r="A1305" s="1">
        <v>46066.492951388886</v>
      </c>
      <c r="B1305">
        <v>328759043</v>
      </c>
      <c r="C1305" s="2" t="s">
        <v>1537</v>
      </c>
      <c r="D1305" t="s">
        <v>68</v>
      </c>
      <c r="E1305" s="4">
        <v>840</v>
      </c>
      <c r="F1305" s="2">
        <v>840</v>
      </c>
      <c r="G1305" s="2">
        <v>588</v>
      </c>
      <c r="I1305" s="2" t="s">
        <v>852</v>
      </c>
      <c r="J1305" s="2" t="s">
        <v>197</v>
      </c>
      <c r="K1305" t="s">
        <v>18</v>
      </c>
      <c r="L1305" t="str">
        <f>T("9791164099269")</f>
        <v>9791164099269</v>
      </c>
      <c r="M1305" t="str">
        <f t="shared" si="47"/>
        <v/>
      </c>
    </row>
    <row r="1306" spans="1:14">
      <c r="A1306" s="1">
        <v>46066.526967592596</v>
      </c>
      <c r="B1306">
        <v>385348455</v>
      </c>
      <c r="C1306" s="2" t="s">
        <v>255</v>
      </c>
      <c r="D1306" t="s">
        <v>68</v>
      </c>
      <c r="E1306" s="5">
        <v>12600</v>
      </c>
      <c r="F1306" s="3">
        <v>12600</v>
      </c>
      <c r="G1306" s="3">
        <v>8820</v>
      </c>
      <c r="I1306" s="2" t="s">
        <v>187</v>
      </c>
      <c r="J1306" s="2" t="s">
        <v>188</v>
      </c>
      <c r="K1306" t="s">
        <v>18</v>
      </c>
      <c r="L1306" t="str">
        <f>T("9791164835379")</f>
        <v>9791164835379</v>
      </c>
      <c r="M1306" t="str">
        <f t="shared" si="47"/>
        <v/>
      </c>
    </row>
    <row r="1307" spans="1:14">
      <c r="A1307" s="1">
        <v>46066.530752314815</v>
      </c>
      <c r="B1307">
        <v>385347797</v>
      </c>
      <c r="C1307" s="2" t="s">
        <v>195</v>
      </c>
      <c r="D1307" t="s">
        <v>15</v>
      </c>
      <c r="E1307" s="4">
        <v>700</v>
      </c>
      <c r="F1307" s="2">
        <v>630</v>
      </c>
      <c r="G1307" s="2">
        <v>441</v>
      </c>
      <c r="I1307" s="2" t="s">
        <v>196</v>
      </c>
      <c r="J1307" s="2" t="s">
        <v>197</v>
      </c>
      <c r="K1307" t="s">
        <v>18</v>
      </c>
      <c r="L1307" t="str">
        <f>T("9791172821937")</f>
        <v>9791172821937</v>
      </c>
      <c r="M1307" t="str">
        <f t="shared" si="47"/>
        <v/>
      </c>
      <c r="N1307" t="s">
        <v>198</v>
      </c>
    </row>
    <row r="1308" spans="1:14">
      <c r="A1308" s="1">
        <v>46066.531157407408</v>
      </c>
      <c r="B1308">
        <v>385347797</v>
      </c>
      <c r="C1308" s="2" t="s">
        <v>195</v>
      </c>
      <c r="D1308" t="s">
        <v>15</v>
      </c>
      <c r="E1308" s="4">
        <v>-700</v>
      </c>
      <c r="F1308" s="2">
        <v>-630</v>
      </c>
      <c r="G1308" s="2">
        <v>-441</v>
      </c>
      <c r="H1308" s="1">
        <v>46066.530752314815</v>
      </c>
      <c r="I1308" s="2" t="s">
        <v>196</v>
      </c>
      <c r="J1308" s="2" t="s">
        <v>197</v>
      </c>
      <c r="K1308" t="s">
        <v>18</v>
      </c>
      <c r="L1308" t="str">
        <f>T("9791172821937")</f>
        <v>9791172821937</v>
      </c>
      <c r="M1308" t="str">
        <f t="shared" si="47"/>
        <v/>
      </c>
      <c r="N1308" t="s">
        <v>198</v>
      </c>
    </row>
    <row r="1309" spans="1:14">
      <c r="A1309" s="1">
        <v>46066.53162037037</v>
      </c>
      <c r="B1309">
        <v>385347797</v>
      </c>
      <c r="C1309" s="2" t="s">
        <v>195</v>
      </c>
      <c r="D1309" t="s">
        <v>15</v>
      </c>
      <c r="E1309" s="4">
        <v>700</v>
      </c>
      <c r="F1309" s="2">
        <v>630</v>
      </c>
      <c r="G1309" s="2">
        <v>441</v>
      </c>
      <c r="I1309" s="2" t="s">
        <v>196</v>
      </c>
      <c r="J1309" s="2" t="s">
        <v>197</v>
      </c>
      <c r="K1309" t="s">
        <v>18</v>
      </c>
      <c r="L1309" t="str">
        <f>T("9791172821937")</f>
        <v>9791172821937</v>
      </c>
      <c r="M1309" t="str">
        <f t="shared" si="47"/>
        <v/>
      </c>
      <c r="N1309" t="s">
        <v>198</v>
      </c>
    </row>
    <row r="1310" spans="1:14">
      <c r="A1310" s="1">
        <v>46066.542858796296</v>
      </c>
      <c r="B1310">
        <v>385852478</v>
      </c>
      <c r="C1310" s="2" t="s">
        <v>1228</v>
      </c>
      <c r="D1310" t="s">
        <v>15</v>
      </c>
      <c r="E1310" s="4">
        <v>0</v>
      </c>
      <c r="F1310" s="2">
        <v>0</v>
      </c>
      <c r="G1310" s="2">
        <v>0</v>
      </c>
      <c r="I1310" s="2" t="s">
        <v>1229</v>
      </c>
      <c r="J1310" s="2" t="s">
        <v>960</v>
      </c>
      <c r="K1310" t="s">
        <v>18</v>
      </c>
      <c r="L1310" t="str">
        <f>T("")</f>
        <v/>
      </c>
      <c r="M1310" t="str">
        <f>T("G720:N+A378-20260112081.M001")</f>
        <v>G720:N+A378-20260112081.M001</v>
      </c>
      <c r="N1310" t="s">
        <v>1230</v>
      </c>
    </row>
    <row r="1311" spans="1:14">
      <c r="A1311" s="1">
        <v>46066.543680555558</v>
      </c>
      <c r="B1311">
        <v>300774143</v>
      </c>
      <c r="C1311" s="2" t="s">
        <v>1538</v>
      </c>
      <c r="D1311" t="s">
        <v>15</v>
      </c>
      <c r="E1311" s="5">
        <v>4000</v>
      </c>
      <c r="F1311" s="3">
        <v>4000</v>
      </c>
      <c r="G1311" s="3">
        <v>2800</v>
      </c>
      <c r="I1311" s="2" t="s">
        <v>266</v>
      </c>
      <c r="J1311" s="2" t="s">
        <v>126</v>
      </c>
      <c r="K1311" t="s">
        <v>18</v>
      </c>
      <c r="L1311" t="str">
        <f>T("9791164977536")</f>
        <v>9791164977536</v>
      </c>
      <c r="M1311" t="str">
        <f t="shared" ref="M1311:M1342" si="48">T("")</f>
        <v/>
      </c>
      <c r="N1311" t="s">
        <v>1539</v>
      </c>
    </row>
    <row r="1312" spans="1:14">
      <c r="A1312" s="1">
        <v>46066.545162037037</v>
      </c>
      <c r="B1312">
        <v>277935755</v>
      </c>
      <c r="C1312" s="2" t="s">
        <v>1540</v>
      </c>
      <c r="D1312" t="s">
        <v>15</v>
      </c>
      <c r="E1312" s="4">
        <v>100</v>
      </c>
      <c r="F1312" s="2">
        <v>100</v>
      </c>
      <c r="G1312" s="2">
        <v>70</v>
      </c>
      <c r="I1312" s="2" t="s">
        <v>64</v>
      </c>
      <c r="J1312" s="2" t="s">
        <v>65</v>
      </c>
      <c r="K1312" t="s">
        <v>18</v>
      </c>
      <c r="L1312" t="str">
        <f>T("9791162589724")</f>
        <v>9791162589724</v>
      </c>
      <c r="M1312" t="str">
        <f t="shared" si="48"/>
        <v/>
      </c>
      <c r="N1312" t="s">
        <v>1541</v>
      </c>
    </row>
    <row r="1313" spans="1:14">
      <c r="A1313" s="1">
        <v>46066.545162037037</v>
      </c>
      <c r="B1313">
        <v>277935808</v>
      </c>
      <c r="C1313" s="2" t="s">
        <v>1542</v>
      </c>
      <c r="D1313" t="s">
        <v>15</v>
      </c>
      <c r="E1313" s="4">
        <v>100</v>
      </c>
      <c r="F1313" s="2">
        <v>100</v>
      </c>
      <c r="G1313" s="2">
        <v>70</v>
      </c>
      <c r="I1313" s="2" t="s">
        <v>64</v>
      </c>
      <c r="J1313" s="2" t="s">
        <v>65</v>
      </c>
      <c r="K1313" t="s">
        <v>18</v>
      </c>
      <c r="L1313" t="str">
        <f>T("9791162589724")</f>
        <v>9791162589724</v>
      </c>
      <c r="M1313" t="str">
        <f t="shared" si="48"/>
        <v/>
      </c>
      <c r="N1313" t="s">
        <v>1543</v>
      </c>
    </row>
    <row r="1314" spans="1:14">
      <c r="A1314" s="1">
        <v>46066.545162037037</v>
      </c>
      <c r="B1314">
        <v>277935811</v>
      </c>
      <c r="C1314" s="2" t="s">
        <v>1544</v>
      </c>
      <c r="D1314" t="s">
        <v>15</v>
      </c>
      <c r="E1314" s="4">
        <v>100</v>
      </c>
      <c r="F1314" s="2">
        <v>100</v>
      </c>
      <c r="G1314" s="2">
        <v>70</v>
      </c>
      <c r="I1314" s="2" t="s">
        <v>64</v>
      </c>
      <c r="J1314" s="2" t="s">
        <v>65</v>
      </c>
      <c r="K1314" t="s">
        <v>18</v>
      </c>
      <c r="L1314" t="str">
        <f>T("9791162589724")</f>
        <v>9791162589724</v>
      </c>
      <c r="M1314" t="str">
        <f t="shared" si="48"/>
        <v/>
      </c>
      <c r="N1314" t="s">
        <v>1545</v>
      </c>
    </row>
    <row r="1315" spans="1:14">
      <c r="A1315" s="1">
        <v>46066.545162037037</v>
      </c>
      <c r="B1315">
        <v>277935715</v>
      </c>
      <c r="C1315" s="2" t="s">
        <v>1546</v>
      </c>
      <c r="D1315" t="s">
        <v>15</v>
      </c>
      <c r="E1315" s="4">
        <v>100</v>
      </c>
      <c r="F1315" s="2">
        <v>100</v>
      </c>
      <c r="G1315" s="2">
        <v>70</v>
      </c>
      <c r="I1315" s="2" t="s">
        <v>64</v>
      </c>
      <c r="J1315" s="2" t="s">
        <v>65</v>
      </c>
      <c r="K1315" t="s">
        <v>18</v>
      </c>
      <c r="L1315" t="str">
        <f>T("9791162589724")</f>
        <v>9791162589724</v>
      </c>
      <c r="M1315" t="str">
        <f t="shared" si="48"/>
        <v/>
      </c>
      <c r="N1315" t="s">
        <v>1547</v>
      </c>
    </row>
    <row r="1316" spans="1:14">
      <c r="A1316" s="1">
        <v>46066.545162037037</v>
      </c>
      <c r="B1316">
        <v>277935527</v>
      </c>
      <c r="C1316" s="2" t="s">
        <v>1548</v>
      </c>
      <c r="D1316" t="s">
        <v>15</v>
      </c>
      <c r="E1316" s="4">
        <v>100</v>
      </c>
      <c r="F1316" s="2">
        <v>100</v>
      </c>
      <c r="G1316" s="2">
        <v>70</v>
      </c>
      <c r="I1316" s="2" t="s">
        <v>64</v>
      </c>
      <c r="J1316" s="2" t="s">
        <v>65</v>
      </c>
      <c r="K1316" t="s">
        <v>18</v>
      </c>
      <c r="L1316" t="str">
        <f>T("9791162589724")</f>
        <v>9791162589724</v>
      </c>
      <c r="M1316" t="str">
        <f t="shared" si="48"/>
        <v/>
      </c>
      <c r="N1316" t="s">
        <v>1549</v>
      </c>
    </row>
    <row r="1317" spans="1:14">
      <c r="A1317" s="1">
        <v>46066.547280092593</v>
      </c>
      <c r="B1317">
        <v>385347792</v>
      </c>
      <c r="C1317" s="2" t="s">
        <v>306</v>
      </c>
      <c r="D1317" t="s">
        <v>15</v>
      </c>
      <c r="E1317" s="5">
        <v>1000</v>
      </c>
      <c r="F1317" s="2">
        <v>900</v>
      </c>
      <c r="G1317" s="2">
        <v>630</v>
      </c>
      <c r="I1317" s="2" t="s">
        <v>307</v>
      </c>
      <c r="J1317" s="2" t="s">
        <v>308</v>
      </c>
      <c r="K1317" t="s">
        <v>18</v>
      </c>
      <c r="L1317" t="str">
        <f>T("9791194982753")</f>
        <v>9791194982753</v>
      </c>
      <c r="M1317" t="str">
        <f t="shared" si="48"/>
        <v/>
      </c>
      <c r="N1317" t="s">
        <v>309</v>
      </c>
    </row>
    <row r="1318" spans="1:14">
      <c r="A1318" s="1">
        <v>46066.583078703705</v>
      </c>
      <c r="B1318">
        <v>354903266</v>
      </c>
      <c r="C1318" s="2" t="s">
        <v>1550</v>
      </c>
      <c r="D1318" t="s">
        <v>15</v>
      </c>
      <c r="E1318" s="5">
        <v>2800</v>
      </c>
      <c r="F1318" s="3">
        <v>2800</v>
      </c>
      <c r="G1318" s="3">
        <v>1960</v>
      </c>
      <c r="I1318" s="2" t="s">
        <v>844</v>
      </c>
      <c r="J1318" s="2" t="s">
        <v>308</v>
      </c>
      <c r="K1318" t="s">
        <v>18</v>
      </c>
      <c r="L1318" t="str">
        <f>T("9791194174240")</f>
        <v>9791194174240</v>
      </c>
      <c r="M1318" t="str">
        <f t="shared" si="48"/>
        <v/>
      </c>
      <c r="N1318" t="s">
        <v>1551</v>
      </c>
    </row>
    <row r="1319" spans="1:14">
      <c r="A1319" s="1">
        <v>46066.595138888886</v>
      </c>
      <c r="B1319">
        <v>328759043</v>
      </c>
      <c r="C1319" s="2" t="s">
        <v>1537</v>
      </c>
      <c r="D1319" t="s">
        <v>68</v>
      </c>
      <c r="E1319" s="4">
        <v>840</v>
      </c>
      <c r="F1319" s="2">
        <v>840</v>
      </c>
      <c r="G1319" s="2">
        <v>588</v>
      </c>
      <c r="I1319" s="2" t="s">
        <v>852</v>
      </c>
      <c r="J1319" s="2" t="s">
        <v>197</v>
      </c>
      <c r="K1319" t="s">
        <v>18</v>
      </c>
      <c r="L1319" t="str">
        <f>T("9791164099269")</f>
        <v>9791164099269</v>
      </c>
      <c r="M1319" t="str">
        <f t="shared" si="48"/>
        <v/>
      </c>
    </row>
    <row r="1320" spans="1:14">
      <c r="A1320" s="1">
        <v>46066.604120370372</v>
      </c>
      <c r="B1320">
        <v>341499931</v>
      </c>
      <c r="C1320" s="2" t="s">
        <v>1552</v>
      </c>
      <c r="D1320" t="s">
        <v>15</v>
      </c>
      <c r="E1320" s="5">
        <v>1000</v>
      </c>
      <c r="F1320" s="3">
        <v>1000</v>
      </c>
      <c r="G1320" s="2">
        <v>700</v>
      </c>
      <c r="I1320" s="2" t="s">
        <v>28</v>
      </c>
      <c r="J1320" s="2" t="s">
        <v>21</v>
      </c>
      <c r="K1320" t="s">
        <v>18</v>
      </c>
      <c r="L1320" t="str">
        <f>T("9791170896791")</f>
        <v>9791170896791</v>
      </c>
      <c r="M1320" t="str">
        <f t="shared" si="48"/>
        <v/>
      </c>
      <c r="N1320" t="s">
        <v>1553</v>
      </c>
    </row>
    <row r="1321" spans="1:14">
      <c r="A1321" s="1">
        <v>46066.620057870372</v>
      </c>
      <c r="B1321">
        <v>385347515</v>
      </c>
      <c r="C1321" s="2" t="s">
        <v>304</v>
      </c>
      <c r="D1321" t="s">
        <v>15</v>
      </c>
      <c r="E1321" s="5">
        <v>1300</v>
      </c>
      <c r="F1321" s="3">
        <v>1300</v>
      </c>
      <c r="G1321" s="2">
        <v>910</v>
      </c>
      <c r="I1321" s="2" t="s">
        <v>148</v>
      </c>
      <c r="J1321" s="2" t="s">
        <v>21</v>
      </c>
      <c r="K1321" t="s">
        <v>18</v>
      </c>
      <c r="L1321" t="str">
        <f>T("9791175582521")</f>
        <v>9791175582521</v>
      </c>
      <c r="M1321" t="str">
        <f t="shared" si="48"/>
        <v/>
      </c>
      <c r="N1321" t="s">
        <v>305</v>
      </c>
    </row>
    <row r="1322" spans="1:14">
      <c r="A1322" s="1">
        <v>46066.634270833332</v>
      </c>
      <c r="B1322">
        <v>355155067</v>
      </c>
      <c r="C1322" s="2" t="s">
        <v>1208</v>
      </c>
      <c r="D1322" t="s">
        <v>15</v>
      </c>
      <c r="E1322" s="5">
        <v>1000</v>
      </c>
      <c r="F1322" s="3">
        <v>1000</v>
      </c>
      <c r="G1322" s="2">
        <v>700</v>
      </c>
      <c r="I1322" s="2" t="s">
        <v>148</v>
      </c>
      <c r="J1322" s="2" t="s">
        <v>21</v>
      </c>
      <c r="K1322" t="s">
        <v>18</v>
      </c>
      <c r="L1322" t="str">
        <f>T("9791173011184")</f>
        <v>9791173011184</v>
      </c>
      <c r="M1322" t="str">
        <f t="shared" si="48"/>
        <v/>
      </c>
      <c r="N1322" t="s">
        <v>1209</v>
      </c>
    </row>
    <row r="1323" spans="1:14">
      <c r="A1323" s="1">
        <v>46066.638229166667</v>
      </c>
      <c r="B1323">
        <v>277935419</v>
      </c>
      <c r="C1323" s="2" t="s">
        <v>1554</v>
      </c>
      <c r="D1323" t="s">
        <v>15</v>
      </c>
      <c r="E1323" s="4">
        <v>100</v>
      </c>
      <c r="F1323" s="2">
        <v>100</v>
      </c>
      <c r="G1323" s="2">
        <v>70</v>
      </c>
      <c r="I1323" s="2" t="s">
        <v>64</v>
      </c>
      <c r="J1323" s="2" t="s">
        <v>65</v>
      </c>
      <c r="K1323" t="s">
        <v>18</v>
      </c>
      <c r="L1323" t="str">
        <f t="shared" ref="L1323:L1335" si="49">T("9791162589724")</f>
        <v>9791162589724</v>
      </c>
      <c r="M1323" t="str">
        <f t="shared" si="48"/>
        <v/>
      </c>
      <c r="N1323" t="s">
        <v>1555</v>
      </c>
    </row>
    <row r="1324" spans="1:14">
      <c r="A1324" s="1">
        <v>46066.638229166667</v>
      </c>
      <c r="B1324">
        <v>277935420</v>
      </c>
      <c r="C1324" s="2" t="s">
        <v>1556</v>
      </c>
      <c r="D1324" t="s">
        <v>15</v>
      </c>
      <c r="E1324" s="4">
        <v>100</v>
      </c>
      <c r="F1324" s="2">
        <v>100</v>
      </c>
      <c r="G1324" s="2">
        <v>70</v>
      </c>
      <c r="I1324" s="2" t="s">
        <v>64</v>
      </c>
      <c r="J1324" s="2" t="s">
        <v>65</v>
      </c>
      <c r="K1324" t="s">
        <v>18</v>
      </c>
      <c r="L1324" t="str">
        <f t="shared" si="49"/>
        <v>9791162589724</v>
      </c>
      <c r="M1324" t="str">
        <f t="shared" si="48"/>
        <v/>
      </c>
      <c r="N1324" t="s">
        <v>1557</v>
      </c>
    </row>
    <row r="1325" spans="1:14">
      <c r="A1325" s="1">
        <v>46066.638229166667</v>
      </c>
      <c r="B1325">
        <v>277935590</v>
      </c>
      <c r="C1325" s="2" t="s">
        <v>1558</v>
      </c>
      <c r="D1325" t="s">
        <v>15</v>
      </c>
      <c r="E1325" s="4">
        <v>100</v>
      </c>
      <c r="F1325" s="2">
        <v>100</v>
      </c>
      <c r="G1325" s="2">
        <v>70</v>
      </c>
      <c r="I1325" s="2" t="s">
        <v>64</v>
      </c>
      <c r="J1325" s="2" t="s">
        <v>65</v>
      </c>
      <c r="K1325" t="s">
        <v>18</v>
      </c>
      <c r="L1325" t="str">
        <f t="shared" si="49"/>
        <v>9791162589724</v>
      </c>
      <c r="M1325" t="str">
        <f t="shared" si="48"/>
        <v/>
      </c>
      <c r="N1325" t="s">
        <v>1559</v>
      </c>
    </row>
    <row r="1326" spans="1:14">
      <c r="A1326" s="1">
        <v>46066.638229166667</v>
      </c>
      <c r="B1326">
        <v>277935585</v>
      </c>
      <c r="C1326" s="2" t="s">
        <v>1560</v>
      </c>
      <c r="D1326" t="s">
        <v>15</v>
      </c>
      <c r="E1326" s="4">
        <v>100</v>
      </c>
      <c r="F1326" s="2">
        <v>100</v>
      </c>
      <c r="G1326" s="2">
        <v>70</v>
      </c>
      <c r="I1326" s="2" t="s">
        <v>64</v>
      </c>
      <c r="J1326" s="2" t="s">
        <v>65</v>
      </c>
      <c r="K1326" t="s">
        <v>18</v>
      </c>
      <c r="L1326" t="str">
        <f t="shared" si="49"/>
        <v>9791162589724</v>
      </c>
      <c r="M1326" t="str">
        <f t="shared" si="48"/>
        <v/>
      </c>
      <c r="N1326" t="s">
        <v>1561</v>
      </c>
    </row>
    <row r="1327" spans="1:14">
      <c r="A1327" s="1">
        <v>46066.638229166667</v>
      </c>
      <c r="B1327">
        <v>277935608</v>
      </c>
      <c r="C1327" s="2" t="s">
        <v>1562</v>
      </c>
      <c r="D1327" t="s">
        <v>15</v>
      </c>
      <c r="E1327" s="4">
        <v>0</v>
      </c>
      <c r="F1327" s="2">
        <v>0</v>
      </c>
      <c r="G1327" s="2">
        <v>0</v>
      </c>
      <c r="I1327" s="2" t="s">
        <v>64</v>
      </c>
      <c r="J1327" s="2" t="s">
        <v>65</v>
      </c>
      <c r="K1327" t="s">
        <v>18</v>
      </c>
      <c r="L1327" t="str">
        <f t="shared" si="49"/>
        <v>9791162589724</v>
      </c>
      <c r="M1327" t="str">
        <f t="shared" si="48"/>
        <v/>
      </c>
      <c r="N1327" t="s">
        <v>1563</v>
      </c>
    </row>
    <row r="1328" spans="1:14">
      <c r="A1328" s="1">
        <v>46066.638229166667</v>
      </c>
      <c r="B1328">
        <v>277935553</v>
      </c>
      <c r="C1328" s="2" t="s">
        <v>1564</v>
      </c>
      <c r="D1328" t="s">
        <v>15</v>
      </c>
      <c r="E1328" s="4">
        <v>0</v>
      </c>
      <c r="F1328" s="2">
        <v>0</v>
      </c>
      <c r="G1328" s="2">
        <v>0</v>
      </c>
      <c r="I1328" s="2" t="s">
        <v>64</v>
      </c>
      <c r="J1328" s="2" t="s">
        <v>65</v>
      </c>
      <c r="K1328" t="s">
        <v>18</v>
      </c>
      <c r="L1328" t="str">
        <f t="shared" si="49"/>
        <v>9791162589724</v>
      </c>
      <c r="M1328" t="str">
        <f t="shared" si="48"/>
        <v/>
      </c>
      <c r="N1328" t="s">
        <v>1565</v>
      </c>
    </row>
    <row r="1329" spans="1:14">
      <c r="A1329" s="1">
        <v>46066.638229166667</v>
      </c>
      <c r="B1329">
        <v>277935542</v>
      </c>
      <c r="C1329" s="2" t="s">
        <v>1566</v>
      </c>
      <c r="D1329" t="s">
        <v>15</v>
      </c>
      <c r="E1329" s="4">
        <v>100</v>
      </c>
      <c r="F1329" s="2">
        <v>100</v>
      </c>
      <c r="G1329" s="2">
        <v>70</v>
      </c>
      <c r="I1329" s="2" t="s">
        <v>64</v>
      </c>
      <c r="J1329" s="2" t="s">
        <v>65</v>
      </c>
      <c r="K1329" t="s">
        <v>18</v>
      </c>
      <c r="L1329" t="str">
        <f t="shared" si="49"/>
        <v>9791162589724</v>
      </c>
      <c r="M1329" t="str">
        <f t="shared" si="48"/>
        <v/>
      </c>
      <c r="N1329" t="s">
        <v>1567</v>
      </c>
    </row>
    <row r="1330" spans="1:14">
      <c r="A1330" s="1">
        <v>46066.638229166667</v>
      </c>
      <c r="B1330">
        <v>277935546</v>
      </c>
      <c r="C1330" s="2" t="s">
        <v>1568</v>
      </c>
      <c r="D1330" t="s">
        <v>15</v>
      </c>
      <c r="E1330" s="4">
        <v>100</v>
      </c>
      <c r="F1330" s="2">
        <v>100</v>
      </c>
      <c r="G1330" s="2">
        <v>70</v>
      </c>
      <c r="I1330" s="2" t="s">
        <v>64</v>
      </c>
      <c r="J1330" s="2" t="s">
        <v>65</v>
      </c>
      <c r="K1330" t="s">
        <v>18</v>
      </c>
      <c r="L1330" t="str">
        <f t="shared" si="49"/>
        <v>9791162589724</v>
      </c>
      <c r="M1330" t="str">
        <f t="shared" si="48"/>
        <v/>
      </c>
      <c r="N1330" t="s">
        <v>1569</v>
      </c>
    </row>
    <row r="1331" spans="1:14">
      <c r="A1331" s="1">
        <v>46066.638229166667</v>
      </c>
      <c r="B1331">
        <v>277935652</v>
      </c>
      <c r="C1331" s="2" t="s">
        <v>1570</v>
      </c>
      <c r="D1331" t="s">
        <v>15</v>
      </c>
      <c r="E1331" s="4">
        <v>100</v>
      </c>
      <c r="F1331" s="2">
        <v>100</v>
      </c>
      <c r="G1331" s="2">
        <v>70</v>
      </c>
      <c r="I1331" s="2" t="s">
        <v>64</v>
      </c>
      <c r="J1331" s="2" t="s">
        <v>65</v>
      </c>
      <c r="K1331" t="s">
        <v>18</v>
      </c>
      <c r="L1331" t="str">
        <f t="shared" si="49"/>
        <v>9791162589724</v>
      </c>
      <c r="M1331" t="str">
        <f t="shared" si="48"/>
        <v/>
      </c>
      <c r="N1331" t="s">
        <v>1571</v>
      </c>
    </row>
    <row r="1332" spans="1:14">
      <c r="A1332" s="1">
        <v>46066.638229166667</v>
      </c>
      <c r="B1332">
        <v>277935653</v>
      </c>
      <c r="C1332" s="2" t="s">
        <v>1572</v>
      </c>
      <c r="D1332" t="s">
        <v>15</v>
      </c>
      <c r="E1332" s="4">
        <v>100</v>
      </c>
      <c r="F1332" s="2">
        <v>100</v>
      </c>
      <c r="G1332" s="2">
        <v>70</v>
      </c>
      <c r="I1332" s="2" t="s">
        <v>64</v>
      </c>
      <c r="J1332" s="2" t="s">
        <v>65</v>
      </c>
      <c r="K1332" t="s">
        <v>18</v>
      </c>
      <c r="L1332" t="str">
        <f t="shared" si="49"/>
        <v>9791162589724</v>
      </c>
      <c r="M1332" t="str">
        <f t="shared" si="48"/>
        <v/>
      </c>
      <c r="N1332" t="s">
        <v>1573</v>
      </c>
    </row>
    <row r="1333" spans="1:14">
      <c r="A1333" s="1">
        <v>46066.638229166667</v>
      </c>
      <c r="B1333">
        <v>277935648</v>
      </c>
      <c r="C1333" s="2" t="s">
        <v>1574</v>
      </c>
      <c r="D1333" t="s">
        <v>15</v>
      </c>
      <c r="E1333" s="4">
        <v>100</v>
      </c>
      <c r="F1333" s="2">
        <v>100</v>
      </c>
      <c r="G1333" s="2">
        <v>70</v>
      </c>
      <c r="I1333" s="2" t="s">
        <v>64</v>
      </c>
      <c r="J1333" s="2" t="s">
        <v>65</v>
      </c>
      <c r="K1333" t="s">
        <v>18</v>
      </c>
      <c r="L1333" t="str">
        <f t="shared" si="49"/>
        <v>9791162589724</v>
      </c>
      <c r="M1333" t="str">
        <f t="shared" si="48"/>
        <v/>
      </c>
      <c r="N1333" t="s">
        <v>1575</v>
      </c>
    </row>
    <row r="1334" spans="1:14">
      <c r="A1334" s="1">
        <v>46066.638229166667</v>
      </c>
      <c r="B1334">
        <v>277935657</v>
      </c>
      <c r="C1334" s="2" t="s">
        <v>1576</v>
      </c>
      <c r="D1334" t="s">
        <v>15</v>
      </c>
      <c r="E1334" s="4">
        <v>100</v>
      </c>
      <c r="F1334" s="2">
        <v>100</v>
      </c>
      <c r="G1334" s="2">
        <v>70</v>
      </c>
      <c r="I1334" s="2" t="s">
        <v>64</v>
      </c>
      <c r="J1334" s="2" t="s">
        <v>65</v>
      </c>
      <c r="K1334" t="s">
        <v>18</v>
      </c>
      <c r="L1334" t="str">
        <f t="shared" si="49"/>
        <v>9791162589724</v>
      </c>
      <c r="M1334" t="str">
        <f t="shared" si="48"/>
        <v/>
      </c>
      <c r="N1334" t="s">
        <v>1577</v>
      </c>
    </row>
    <row r="1335" spans="1:14">
      <c r="A1335" s="1">
        <v>46066.638229166667</v>
      </c>
      <c r="B1335">
        <v>277935403</v>
      </c>
      <c r="C1335" s="2" t="s">
        <v>1578</v>
      </c>
      <c r="D1335" t="s">
        <v>15</v>
      </c>
      <c r="E1335" s="4">
        <v>0</v>
      </c>
      <c r="F1335" s="2">
        <v>0</v>
      </c>
      <c r="G1335" s="2">
        <v>0</v>
      </c>
      <c r="I1335" s="2" t="s">
        <v>64</v>
      </c>
      <c r="J1335" s="2" t="s">
        <v>65</v>
      </c>
      <c r="K1335" t="s">
        <v>18</v>
      </c>
      <c r="L1335" t="str">
        <f t="shared" si="49"/>
        <v>9791162589724</v>
      </c>
      <c r="M1335" t="str">
        <f t="shared" si="48"/>
        <v/>
      </c>
      <c r="N1335" t="s">
        <v>1579</v>
      </c>
    </row>
    <row r="1336" spans="1:14">
      <c r="A1336" s="1">
        <v>46066.641331018516</v>
      </c>
      <c r="B1336">
        <v>328037849</v>
      </c>
      <c r="C1336" s="2" t="s">
        <v>1245</v>
      </c>
      <c r="D1336" t="s">
        <v>15</v>
      </c>
      <c r="E1336" s="5">
        <v>3700</v>
      </c>
      <c r="F1336" s="3">
        <v>3700</v>
      </c>
      <c r="G1336" s="3">
        <v>2590</v>
      </c>
      <c r="I1336" s="2" t="s">
        <v>638</v>
      </c>
      <c r="J1336" s="2" t="s">
        <v>184</v>
      </c>
      <c r="K1336" t="s">
        <v>18</v>
      </c>
      <c r="L1336" t="str">
        <f>T("9791170960393")</f>
        <v>9791170960393</v>
      </c>
      <c r="M1336" t="str">
        <f t="shared" si="48"/>
        <v/>
      </c>
      <c r="N1336" t="s">
        <v>1246</v>
      </c>
    </row>
    <row r="1337" spans="1:14">
      <c r="A1337" s="1">
        <v>46066.641331018516</v>
      </c>
      <c r="B1337">
        <v>328037871</v>
      </c>
      <c r="C1337" s="2" t="s">
        <v>1241</v>
      </c>
      <c r="D1337" t="s">
        <v>15</v>
      </c>
      <c r="E1337" s="5">
        <v>1100</v>
      </c>
      <c r="F1337" s="3">
        <v>1100</v>
      </c>
      <c r="G1337" s="2">
        <v>770</v>
      </c>
      <c r="I1337" s="2" t="s">
        <v>638</v>
      </c>
      <c r="J1337" s="2" t="s">
        <v>184</v>
      </c>
      <c r="K1337" t="s">
        <v>18</v>
      </c>
      <c r="L1337" t="str">
        <f>T("9791170960416")</f>
        <v>9791170960416</v>
      </c>
      <c r="M1337" t="str">
        <f t="shared" si="48"/>
        <v/>
      </c>
      <c r="N1337" t="s">
        <v>1242</v>
      </c>
    </row>
    <row r="1338" spans="1:14">
      <c r="A1338" s="1">
        <v>46066.641331018516</v>
      </c>
      <c r="B1338">
        <v>328038027</v>
      </c>
      <c r="C1338" s="2" t="s">
        <v>1243</v>
      </c>
      <c r="D1338" t="s">
        <v>15</v>
      </c>
      <c r="E1338" s="5">
        <v>3700</v>
      </c>
      <c r="F1338" s="3">
        <v>3700</v>
      </c>
      <c r="G1338" s="3">
        <v>2590</v>
      </c>
      <c r="I1338" s="2" t="s">
        <v>638</v>
      </c>
      <c r="J1338" s="2" t="s">
        <v>184</v>
      </c>
      <c r="K1338" t="s">
        <v>18</v>
      </c>
      <c r="L1338" t="str">
        <f>T("9791170960409")</f>
        <v>9791170960409</v>
      </c>
      <c r="M1338" t="str">
        <f t="shared" si="48"/>
        <v/>
      </c>
      <c r="N1338" t="s">
        <v>1244</v>
      </c>
    </row>
    <row r="1339" spans="1:14">
      <c r="A1339" s="1">
        <v>46066.647129629629</v>
      </c>
      <c r="B1339">
        <v>328759043</v>
      </c>
      <c r="C1339" s="2" t="s">
        <v>1537</v>
      </c>
      <c r="D1339" t="s">
        <v>68</v>
      </c>
      <c r="E1339" s="4">
        <v>840</v>
      </c>
      <c r="F1339" s="2">
        <v>840</v>
      </c>
      <c r="G1339" s="2">
        <v>588</v>
      </c>
      <c r="I1339" s="2" t="s">
        <v>852</v>
      </c>
      <c r="J1339" s="2" t="s">
        <v>197</v>
      </c>
      <c r="K1339" t="s">
        <v>18</v>
      </c>
      <c r="L1339" t="str">
        <f>T("9791164099269")</f>
        <v>9791164099269</v>
      </c>
      <c r="M1339" t="str">
        <f t="shared" si="48"/>
        <v/>
      </c>
    </row>
    <row r="1340" spans="1:14">
      <c r="A1340" s="1">
        <v>46066.648969907408</v>
      </c>
      <c r="B1340">
        <v>329639665</v>
      </c>
      <c r="C1340" s="2" t="s">
        <v>1580</v>
      </c>
      <c r="D1340" t="s">
        <v>15</v>
      </c>
      <c r="E1340" s="5">
        <v>1000</v>
      </c>
      <c r="F1340" s="3">
        <v>1000</v>
      </c>
      <c r="G1340" s="2">
        <v>700</v>
      </c>
      <c r="I1340" s="2" t="s">
        <v>1581</v>
      </c>
      <c r="J1340" s="2" t="s">
        <v>21</v>
      </c>
      <c r="K1340" t="s">
        <v>18</v>
      </c>
      <c r="L1340" t="str">
        <f>T("9791170893646")</f>
        <v>9791170893646</v>
      </c>
      <c r="M1340" t="str">
        <f t="shared" si="48"/>
        <v/>
      </c>
      <c r="N1340" t="s">
        <v>1582</v>
      </c>
    </row>
    <row r="1341" spans="1:14">
      <c r="A1341" s="1">
        <v>46066.648969907408</v>
      </c>
      <c r="B1341">
        <v>329639657</v>
      </c>
      <c r="C1341" s="2" t="s">
        <v>1583</v>
      </c>
      <c r="D1341" t="s">
        <v>15</v>
      </c>
      <c r="E1341" s="5">
        <v>1000</v>
      </c>
      <c r="F1341" s="3">
        <v>1000</v>
      </c>
      <c r="G1341" s="2">
        <v>700</v>
      </c>
      <c r="I1341" s="2" t="s">
        <v>1581</v>
      </c>
      <c r="J1341" s="2" t="s">
        <v>21</v>
      </c>
      <c r="K1341" t="s">
        <v>18</v>
      </c>
      <c r="L1341" t="str">
        <f>T("9791170893639")</f>
        <v>9791170893639</v>
      </c>
      <c r="M1341" t="str">
        <f t="shared" si="48"/>
        <v/>
      </c>
      <c r="N1341" t="s">
        <v>1584</v>
      </c>
    </row>
    <row r="1342" spans="1:14">
      <c r="A1342" s="1">
        <v>46066.648969907408</v>
      </c>
      <c r="B1342">
        <v>335881140</v>
      </c>
      <c r="C1342" s="2" t="s">
        <v>1585</v>
      </c>
      <c r="D1342" t="s">
        <v>15</v>
      </c>
      <c r="E1342" s="5">
        <v>1000</v>
      </c>
      <c r="F1342" s="3">
        <v>1000</v>
      </c>
      <c r="G1342" s="2">
        <v>700</v>
      </c>
      <c r="I1342" s="2" t="s">
        <v>1581</v>
      </c>
      <c r="J1342" s="2" t="s">
        <v>21</v>
      </c>
      <c r="K1342" t="s">
        <v>18</v>
      </c>
      <c r="L1342" t="str">
        <f>T("9791170895367")</f>
        <v>9791170895367</v>
      </c>
      <c r="M1342" t="str">
        <f t="shared" si="48"/>
        <v/>
      </c>
      <c r="N1342" t="s">
        <v>1586</v>
      </c>
    </row>
    <row r="1343" spans="1:14">
      <c r="A1343" s="1">
        <v>46066.648969907408</v>
      </c>
      <c r="B1343">
        <v>336054950</v>
      </c>
      <c r="C1343" s="2" t="s">
        <v>1587</v>
      </c>
      <c r="D1343" t="s">
        <v>15</v>
      </c>
      <c r="E1343" s="5">
        <v>1000</v>
      </c>
      <c r="F1343" s="3">
        <v>1000</v>
      </c>
      <c r="G1343" s="2">
        <v>700</v>
      </c>
      <c r="I1343" s="2" t="s">
        <v>1581</v>
      </c>
      <c r="J1343" s="2" t="s">
        <v>21</v>
      </c>
      <c r="K1343" t="s">
        <v>18</v>
      </c>
      <c r="L1343" t="str">
        <f>T("9791170895893")</f>
        <v>9791170895893</v>
      </c>
      <c r="M1343" t="str">
        <f t="shared" ref="M1343:M1374" si="50">T("")</f>
        <v/>
      </c>
      <c r="N1343" t="s">
        <v>1588</v>
      </c>
    </row>
    <row r="1344" spans="1:14">
      <c r="A1344" s="1">
        <v>46066.648969907408</v>
      </c>
      <c r="B1344">
        <v>335881147</v>
      </c>
      <c r="C1344" s="2" t="s">
        <v>1589</v>
      </c>
      <c r="D1344" t="s">
        <v>15</v>
      </c>
      <c r="E1344" s="5">
        <v>1000</v>
      </c>
      <c r="F1344" s="3">
        <v>1000</v>
      </c>
      <c r="G1344" s="2">
        <v>700</v>
      </c>
      <c r="I1344" s="2" t="s">
        <v>1581</v>
      </c>
      <c r="J1344" s="2" t="s">
        <v>21</v>
      </c>
      <c r="K1344" t="s">
        <v>18</v>
      </c>
      <c r="L1344" t="str">
        <f>T("9791170895374")</f>
        <v>9791170895374</v>
      </c>
      <c r="M1344" t="str">
        <f t="shared" si="50"/>
        <v/>
      </c>
      <c r="N1344" t="s">
        <v>1590</v>
      </c>
    </row>
    <row r="1345" spans="1:14">
      <c r="A1345" s="1">
        <v>46066.652395833335</v>
      </c>
      <c r="B1345">
        <v>374549945</v>
      </c>
      <c r="C1345" s="2" t="s">
        <v>549</v>
      </c>
      <c r="D1345" t="s">
        <v>15</v>
      </c>
      <c r="E1345" s="5">
        <v>1000</v>
      </c>
      <c r="F1345" s="3">
        <v>1000</v>
      </c>
      <c r="G1345" s="2">
        <v>700</v>
      </c>
      <c r="I1345" s="2" t="s">
        <v>312</v>
      </c>
      <c r="J1345" s="2" t="s">
        <v>21</v>
      </c>
      <c r="K1345" t="s">
        <v>18</v>
      </c>
      <c r="L1345" t="str">
        <f>T("9791173018855")</f>
        <v>9791173018855</v>
      </c>
      <c r="M1345" t="str">
        <f t="shared" si="50"/>
        <v/>
      </c>
      <c r="N1345" t="s">
        <v>550</v>
      </c>
    </row>
    <row r="1346" spans="1:14">
      <c r="A1346" s="1">
        <v>46066.661608796298</v>
      </c>
      <c r="B1346">
        <v>353237597</v>
      </c>
      <c r="C1346" s="2" t="s">
        <v>1591</v>
      </c>
      <c r="D1346" t="s">
        <v>15</v>
      </c>
      <c r="E1346" s="5">
        <v>1000</v>
      </c>
      <c r="F1346" s="3">
        <v>1000</v>
      </c>
      <c r="G1346" s="2">
        <v>700</v>
      </c>
      <c r="I1346" s="2" t="s">
        <v>1592</v>
      </c>
      <c r="J1346" s="2" t="s">
        <v>21</v>
      </c>
      <c r="K1346" t="s">
        <v>18</v>
      </c>
      <c r="L1346" t="str">
        <f>T("9791173010187")</f>
        <v>9791173010187</v>
      </c>
      <c r="M1346" t="str">
        <f t="shared" si="50"/>
        <v/>
      </c>
      <c r="N1346" t="s">
        <v>1593</v>
      </c>
    </row>
    <row r="1347" spans="1:14">
      <c r="A1347" s="1">
        <v>46066.679351851853</v>
      </c>
      <c r="B1347">
        <v>379511327</v>
      </c>
      <c r="C1347" s="2" t="s">
        <v>262</v>
      </c>
      <c r="D1347" t="s">
        <v>15</v>
      </c>
      <c r="E1347" s="5">
        <v>3300</v>
      </c>
      <c r="F1347" s="3">
        <v>3300</v>
      </c>
      <c r="G1347" s="3">
        <v>2310</v>
      </c>
      <c r="I1347" s="2" t="s">
        <v>263</v>
      </c>
      <c r="J1347" s="2" t="s">
        <v>126</v>
      </c>
      <c r="K1347" t="s">
        <v>18</v>
      </c>
      <c r="L1347" t="str">
        <f>T("9791171502875")</f>
        <v>9791171502875</v>
      </c>
      <c r="M1347" t="str">
        <f t="shared" si="50"/>
        <v/>
      </c>
      <c r="N1347" t="s">
        <v>264</v>
      </c>
    </row>
    <row r="1348" spans="1:14">
      <c r="A1348" s="1">
        <v>46066.679699074077</v>
      </c>
      <c r="B1348">
        <v>370130276</v>
      </c>
      <c r="C1348" s="2" t="s">
        <v>1594</v>
      </c>
      <c r="D1348" t="s">
        <v>68</v>
      </c>
      <c r="E1348" s="4">
        <v>700</v>
      </c>
      <c r="F1348" s="2">
        <v>700</v>
      </c>
      <c r="G1348" s="2">
        <v>490</v>
      </c>
      <c r="I1348" s="2" t="s">
        <v>244</v>
      </c>
      <c r="J1348" s="2" t="s">
        <v>245</v>
      </c>
      <c r="K1348" t="s">
        <v>18</v>
      </c>
      <c r="L1348" t="str">
        <f>T("9791164489138")</f>
        <v>9791164489138</v>
      </c>
      <c r="M1348" t="str">
        <f t="shared" si="50"/>
        <v/>
      </c>
      <c r="N1348" t="s">
        <v>1595</v>
      </c>
    </row>
    <row r="1349" spans="1:14">
      <c r="A1349" s="1">
        <v>46066.730844907404</v>
      </c>
      <c r="B1349">
        <v>386057282</v>
      </c>
      <c r="C1349" s="2" t="s">
        <v>1534</v>
      </c>
      <c r="D1349" t="s">
        <v>68</v>
      </c>
      <c r="E1349" s="5">
        <v>12500</v>
      </c>
      <c r="F1349" s="3">
        <v>12500</v>
      </c>
      <c r="G1349" s="3">
        <v>8750</v>
      </c>
      <c r="I1349" s="2" t="s">
        <v>1535</v>
      </c>
      <c r="J1349" s="2" t="s">
        <v>1536</v>
      </c>
      <c r="K1349" t="s">
        <v>18</v>
      </c>
      <c r="L1349" t="str">
        <f>T("9791189257323")</f>
        <v>9791189257323</v>
      </c>
      <c r="M1349" t="str">
        <f t="shared" si="50"/>
        <v/>
      </c>
    </row>
    <row r="1350" spans="1:14">
      <c r="A1350" s="1">
        <v>46066.754687499997</v>
      </c>
      <c r="B1350">
        <v>385348455</v>
      </c>
      <c r="C1350" s="2" t="s">
        <v>255</v>
      </c>
      <c r="D1350" t="s">
        <v>68</v>
      </c>
      <c r="E1350" s="5">
        <v>12600</v>
      </c>
      <c r="F1350" s="3">
        <v>12600</v>
      </c>
      <c r="G1350" s="3">
        <v>8820</v>
      </c>
      <c r="I1350" s="2" t="s">
        <v>187</v>
      </c>
      <c r="J1350" s="2" t="s">
        <v>188</v>
      </c>
      <c r="K1350" t="s">
        <v>18</v>
      </c>
      <c r="L1350" t="str">
        <f>T("9791164835379")</f>
        <v>9791164835379</v>
      </c>
      <c r="M1350" t="str">
        <f t="shared" si="50"/>
        <v/>
      </c>
    </row>
    <row r="1351" spans="1:14">
      <c r="A1351" s="1">
        <v>46066.762129629627</v>
      </c>
      <c r="B1351">
        <v>383003764</v>
      </c>
      <c r="C1351" s="2" t="s">
        <v>350</v>
      </c>
      <c r="D1351" t="s">
        <v>15</v>
      </c>
      <c r="E1351" s="5">
        <v>1000</v>
      </c>
      <c r="F1351" s="3">
        <v>1000</v>
      </c>
      <c r="G1351" s="2">
        <v>700</v>
      </c>
      <c r="I1351" s="2" t="s">
        <v>351</v>
      </c>
      <c r="J1351" s="2" t="s">
        <v>126</v>
      </c>
      <c r="K1351" t="s">
        <v>18</v>
      </c>
      <c r="L1351" t="str">
        <f>T("9791171502783")</f>
        <v>9791171502783</v>
      </c>
      <c r="M1351" t="str">
        <f t="shared" si="50"/>
        <v/>
      </c>
      <c r="N1351" t="s">
        <v>352</v>
      </c>
    </row>
    <row r="1352" spans="1:14">
      <c r="A1352" s="1">
        <v>46066.76425925926</v>
      </c>
      <c r="B1352">
        <v>300774075</v>
      </c>
      <c r="C1352" s="2" t="s">
        <v>337</v>
      </c>
      <c r="D1352" t="s">
        <v>15</v>
      </c>
      <c r="E1352" s="5">
        <v>4500</v>
      </c>
      <c r="F1352" s="3">
        <v>4500</v>
      </c>
      <c r="G1352" s="3">
        <v>3150</v>
      </c>
      <c r="I1352" s="2" t="s">
        <v>266</v>
      </c>
      <c r="J1352" s="2" t="s">
        <v>126</v>
      </c>
      <c r="K1352" t="s">
        <v>18</v>
      </c>
      <c r="L1352" t="str">
        <f>T("9791164977550")</f>
        <v>9791164977550</v>
      </c>
      <c r="M1352" t="str">
        <f t="shared" si="50"/>
        <v/>
      </c>
      <c r="N1352" t="s">
        <v>338</v>
      </c>
    </row>
    <row r="1353" spans="1:14">
      <c r="A1353" s="1">
        <v>46066.765810185185</v>
      </c>
      <c r="B1353">
        <v>385852579</v>
      </c>
      <c r="C1353" s="2" t="s">
        <v>1202</v>
      </c>
      <c r="D1353" t="s">
        <v>15</v>
      </c>
      <c r="E1353" s="5">
        <v>1000</v>
      </c>
      <c r="F1353" s="3">
        <v>1000</v>
      </c>
      <c r="G1353" s="2">
        <v>700</v>
      </c>
      <c r="I1353" s="2" t="s">
        <v>1203</v>
      </c>
      <c r="J1353" s="2" t="s">
        <v>21</v>
      </c>
      <c r="K1353" t="s">
        <v>18</v>
      </c>
      <c r="L1353" t="str">
        <f>T("9791175582620")</f>
        <v>9791175582620</v>
      </c>
      <c r="M1353" t="str">
        <f t="shared" si="50"/>
        <v/>
      </c>
      <c r="N1353" t="s">
        <v>1204</v>
      </c>
    </row>
    <row r="1354" spans="1:14">
      <c r="A1354" s="1">
        <v>46066.807002314818</v>
      </c>
      <c r="B1354">
        <v>369306673</v>
      </c>
      <c r="C1354" s="2" t="s">
        <v>1596</v>
      </c>
      <c r="D1354" t="s">
        <v>15</v>
      </c>
      <c r="E1354" s="5">
        <v>1000</v>
      </c>
      <c r="F1354" s="3">
        <v>1000</v>
      </c>
      <c r="G1354" s="2">
        <v>700</v>
      </c>
      <c r="I1354" s="2" t="s">
        <v>166</v>
      </c>
      <c r="J1354" s="2" t="s">
        <v>21</v>
      </c>
      <c r="K1354" t="s">
        <v>18</v>
      </c>
      <c r="L1354" t="str">
        <f>T("9791173016219")</f>
        <v>9791173016219</v>
      </c>
      <c r="M1354" t="str">
        <f t="shared" si="50"/>
        <v/>
      </c>
      <c r="N1354" t="s">
        <v>1597</v>
      </c>
    </row>
    <row r="1355" spans="1:14">
      <c r="A1355" s="1">
        <v>46066.813020833331</v>
      </c>
      <c r="B1355">
        <v>371345723</v>
      </c>
      <c r="C1355" s="2" t="s">
        <v>525</v>
      </c>
      <c r="D1355" t="s">
        <v>68</v>
      </c>
      <c r="E1355" s="5">
        <v>2310</v>
      </c>
      <c r="F1355" s="3">
        <v>2310</v>
      </c>
      <c r="G1355" s="3">
        <v>1617</v>
      </c>
      <c r="I1355" s="2" t="s">
        <v>196</v>
      </c>
      <c r="J1355" s="2" t="s">
        <v>197</v>
      </c>
      <c r="K1355" t="s">
        <v>18</v>
      </c>
      <c r="L1355" t="str">
        <f>T("9791172821692")</f>
        <v>9791172821692</v>
      </c>
      <c r="M1355" t="str">
        <f t="shared" si="50"/>
        <v/>
      </c>
      <c r="N1355" t="s">
        <v>526</v>
      </c>
    </row>
    <row r="1356" spans="1:14">
      <c r="A1356" s="1">
        <v>46066.815520833334</v>
      </c>
      <c r="B1356">
        <v>277935735</v>
      </c>
      <c r="C1356" s="2" t="s">
        <v>788</v>
      </c>
      <c r="D1356" t="s">
        <v>15</v>
      </c>
      <c r="E1356" s="4">
        <v>100</v>
      </c>
      <c r="F1356" s="2">
        <v>100</v>
      </c>
      <c r="G1356" s="2">
        <v>70</v>
      </c>
      <c r="I1356" s="2" t="s">
        <v>64</v>
      </c>
      <c r="J1356" s="2" t="s">
        <v>65</v>
      </c>
      <c r="K1356" t="s">
        <v>18</v>
      </c>
      <c r="L1356" t="str">
        <f t="shared" ref="L1356:L1365" si="51">T("9791162589724")</f>
        <v>9791162589724</v>
      </c>
      <c r="M1356" t="str">
        <f t="shared" si="50"/>
        <v/>
      </c>
      <c r="N1356" t="s">
        <v>789</v>
      </c>
    </row>
    <row r="1357" spans="1:14">
      <c r="A1357" s="1">
        <v>46066.815520833334</v>
      </c>
      <c r="B1357">
        <v>277935737</v>
      </c>
      <c r="C1357" s="2" t="s">
        <v>790</v>
      </c>
      <c r="D1357" t="s">
        <v>15</v>
      </c>
      <c r="E1357" s="4">
        <v>100</v>
      </c>
      <c r="F1357" s="2">
        <v>100</v>
      </c>
      <c r="G1357" s="2">
        <v>70</v>
      </c>
      <c r="I1357" s="2" t="s">
        <v>64</v>
      </c>
      <c r="J1357" s="2" t="s">
        <v>65</v>
      </c>
      <c r="K1357" t="s">
        <v>18</v>
      </c>
      <c r="L1357" t="str">
        <f t="shared" si="51"/>
        <v>9791162589724</v>
      </c>
      <c r="M1357" t="str">
        <f t="shared" si="50"/>
        <v/>
      </c>
      <c r="N1357" t="s">
        <v>791</v>
      </c>
    </row>
    <row r="1358" spans="1:14">
      <c r="A1358" s="1">
        <v>46066.815520833334</v>
      </c>
      <c r="B1358">
        <v>277935731</v>
      </c>
      <c r="C1358" s="2" t="s">
        <v>623</v>
      </c>
      <c r="D1358" t="s">
        <v>15</v>
      </c>
      <c r="E1358" s="4">
        <v>100</v>
      </c>
      <c r="F1358" s="2">
        <v>100</v>
      </c>
      <c r="G1358" s="2">
        <v>70</v>
      </c>
      <c r="I1358" s="2" t="s">
        <v>64</v>
      </c>
      <c r="J1358" s="2" t="s">
        <v>65</v>
      </c>
      <c r="K1358" t="s">
        <v>18</v>
      </c>
      <c r="L1358" t="str">
        <f t="shared" si="51"/>
        <v>9791162589724</v>
      </c>
      <c r="M1358" t="str">
        <f t="shared" si="50"/>
        <v/>
      </c>
      <c r="N1358" t="s">
        <v>624</v>
      </c>
    </row>
    <row r="1359" spans="1:14">
      <c r="A1359" s="1">
        <v>46066.815520833334</v>
      </c>
      <c r="B1359">
        <v>277935733</v>
      </c>
      <c r="C1359" s="2" t="s">
        <v>625</v>
      </c>
      <c r="D1359" t="s">
        <v>15</v>
      </c>
      <c r="E1359" s="4">
        <v>100</v>
      </c>
      <c r="F1359" s="2">
        <v>100</v>
      </c>
      <c r="G1359" s="2">
        <v>70</v>
      </c>
      <c r="I1359" s="2" t="s">
        <v>64</v>
      </c>
      <c r="J1359" s="2" t="s">
        <v>65</v>
      </c>
      <c r="K1359" t="s">
        <v>18</v>
      </c>
      <c r="L1359" t="str">
        <f t="shared" si="51"/>
        <v>9791162589724</v>
      </c>
      <c r="M1359" t="str">
        <f t="shared" si="50"/>
        <v/>
      </c>
      <c r="N1359" t="s">
        <v>626</v>
      </c>
    </row>
    <row r="1360" spans="1:14">
      <c r="A1360" s="1">
        <v>46066.815520833334</v>
      </c>
      <c r="B1360">
        <v>277935640</v>
      </c>
      <c r="C1360" s="2" t="s">
        <v>784</v>
      </c>
      <c r="D1360" t="s">
        <v>15</v>
      </c>
      <c r="E1360" s="4">
        <v>100</v>
      </c>
      <c r="F1360" s="2">
        <v>100</v>
      </c>
      <c r="G1360" s="2">
        <v>70</v>
      </c>
      <c r="I1360" s="2" t="s">
        <v>64</v>
      </c>
      <c r="J1360" s="2" t="s">
        <v>65</v>
      </c>
      <c r="K1360" t="s">
        <v>18</v>
      </c>
      <c r="L1360" t="str">
        <f t="shared" si="51"/>
        <v>9791162589724</v>
      </c>
      <c r="M1360" t="str">
        <f t="shared" si="50"/>
        <v/>
      </c>
      <c r="N1360" t="s">
        <v>785</v>
      </c>
    </row>
    <row r="1361" spans="1:14">
      <c r="A1361" s="1">
        <v>46066.815520833334</v>
      </c>
      <c r="B1361">
        <v>277935636</v>
      </c>
      <c r="C1361" s="2" t="s">
        <v>601</v>
      </c>
      <c r="D1361" t="s">
        <v>15</v>
      </c>
      <c r="E1361" s="4">
        <v>100</v>
      </c>
      <c r="F1361" s="2">
        <v>100</v>
      </c>
      <c r="G1361" s="2">
        <v>70</v>
      </c>
      <c r="I1361" s="2" t="s">
        <v>64</v>
      </c>
      <c r="J1361" s="2" t="s">
        <v>65</v>
      </c>
      <c r="K1361" t="s">
        <v>18</v>
      </c>
      <c r="L1361" t="str">
        <f t="shared" si="51"/>
        <v>9791162589724</v>
      </c>
      <c r="M1361" t="str">
        <f t="shared" si="50"/>
        <v/>
      </c>
      <c r="N1361" t="s">
        <v>602</v>
      </c>
    </row>
    <row r="1362" spans="1:14">
      <c r="A1362" s="1">
        <v>46066.815520833334</v>
      </c>
      <c r="B1362">
        <v>277935684</v>
      </c>
      <c r="C1362" s="2" t="s">
        <v>1091</v>
      </c>
      <c r="D1362" t="s">
        <v>15</v>
      </c>
      <c r="E1362" s="4">
        <v>100</v>
      </c>
      <c r="F1362" s="2">
        <v>100</v>
      </c>
      <c r="G1362" s="2">
        <v>70</v>
      </c>
      <c r="I1362" s="2" t="s">
        <v>64</v>
      </c>
      <c r="J1362" s="2" t="s">
        <v>65</v>
      </c>
      <c r="K1362" t="s">
        <v>18</v>
      </c>
      <c r="L1362" t="str">
        <f t="shared" si="51"/>
        <v>9791162589724</v>
      </c>
      <c r="M1362" t="str">
        <f t="shared" si="50"/>
        <v/>
      </c>
      <c r="N1362" t="s">
        <v>1092</v>
      </c>
    </row>
    <row r="1363" spans="1:14">
      <c r="A1363" s="1">
        <v>46066.815520833334</v>
      </c>
      <c r="B1363">
        <v>277935681</v>
      </c>
      <c r="C1363" s="2" t="s">
        <v>607</v>
      </c>
      <c r="D1363" t="s">
        <v>15</v>
      </c>
      <c r="E1363" s="4">
        <v>100</v>
      </c>
      <c r="F1363" s="2">
        <v>100</v>
      </c>
      <c r="G1363" s="2">
        <v>70</v>
      </c>
      <c r="I1363" s="2" t="s">
        <v>64</v>
      </c>
      <c r="J1363" s="2" t="s">
        <v>65</v>
      </c>
      <c r="K1363" t="s">
        <v>18</v>
      </c>
      <c r="L1363" t="str">
        <f t="shared" si="51"/>
        <v>9791162589724</v>
      </c>
      <c r="M1363" t="str">
        <f t="shared" si="50"/>
        <v/>
      </c>
      <c r="N1363" t="s">
        <v>608</v>
      </c>
    </row>
    <row r="1364" spans="1:14">
      <c r="A1364" s="1">
        <v>46066.815520833334</v>
      </c>
      <c r="B1364">
        <v>277935484</v>
      </c>
      <c r="C1364" s="2" t="s">
        <v>1093</v>
      </c>
      <c r="D1364" t="s">
        <v>15</v>
      </c>
      <c r="E1364" s="4">
        <v>100</v>
      </c>
      <c r="F1364" s="2">
        <v>100</v>
      </c>
      <c r="G1364" s="2">
        <v>70</v>
      </c>
      <c r="I1364" s="2" t="s">
        <v>64</v>
      </c>
      <c r="J1364" s="2" t="s">
        <v>65</v>
      </c>
      <c r="K1364" t="s">
        <v>18</v>
      </c>
      <c r="L1364" t="str">
        <f t="shared" si="51"/>
        <v>9791162589724</v>
      </c>
      <c r="M1364" t="str">
        <f t="shared" si="50"/>
        <v/>
      </c>
      <c r="N1364" t="s">
        <v>1094</v>
      </c>
    </row>
    <row r="1365" spans="1:14">
      <c r="A1365" s="1">
        <v>46066.815520833334</v>
      </c>
      <c r="B1365">
        <v>277935483</v>
      </c>
      <c r="C1365" s="2" t="s">
        <v>786</v>
      </c>
      <c r="D1365" t="s">
        <v>15</v>
      </c>
      <c r="E1365" s="4">
        <v>100</v>
      </c>
      <c r="F1365" s="2">
        <v>100</v>
      </c>
      <c r="G1365" s="2">
        <v>70</v>
      </c>
      <c r="I1365" s="2" t="s">
        <v>64</v>
      </c>
      <c r="J1365" s="2" t="s">
        <v>65</v>
      </c>
      <c r="K1365" t="s">
        <v>18</v>
      </c>
      <c r="L1365" t="str">
        <f t="shared" si="51"/>
        <v>9791162589724</v>
      </c>
      <c r="M1365" t="str">
        <f t="shared" si="50"/>
        <v/>
      </c>
      <c r="N1365" t="s">
        <v>787</v>
      </c>
    </row>
    <row r="1366" spans="1:14">
      <c r="A1366" s="1">
        <v>46066.830092592594</v>
      </c>
      <c r="B1366">
        <v>281980495</v>
      </c>
      <c r="C1366" s="2" t="s">
        <v>1598</v>
      </c>
      <c r="D1366" t="s">
        <v>68</v>
      </c>
      <c r="E1366" s="5">
        <v>2250</v>
      </c>
      <c r="F1366" s="3">
        <v>2250</v>
      </c>
      <c r="G1366" s="3">
        <v>1575</v>
      </c>
      <c r="I1366" s="2" t="s">
        <v>1599</v>
      </c>
      <c r="J1366" s="2" t="s">
        <v>197</v>
      </c>
      <c r="K1366" t="s">
        <v>18</v>
      </c>
      <c r="L1366" t="str">
        <f>T("9791164093779")</f>
        <v>9791164093779</v>
      </c>
      <c r="M1366" t="str">
        <f t="shared" si="50"/>
        <v/>
      </c>
    </row>
    <row r="1367" spans="1:14">
      <c r="A1367" s="1">
        <v>46066.832870370374</v>
      </c>
      <c r="B1367">
        <v>277168529</v>
      </c>
      <c r="C1367" s="2" t="s">
        <v>46</v>
      </c>
      <c r="D1367" t="s">
        <v>15</v>
      </c>
      <c r="E1367" s="5">
        <v>1000</v>
      </c>
      <c r="F1367" s="3">
        <v>1000</v>
      </c>
      <c r="G1367" s="2">
        <v>700</v>
      </c>
      <c r="I1367" s="2" t="s">
        <v>44</v>
      </c>
      <c r="J1367" s="2" t="s">
        <v>21</v>
      </c>
      <c r="K1367" t="s">
        <v>18</v>
      </c>
      <c r="L1367" t="str">
        <f>T("9791191337853")</f>
        <v>9791191337853</v>
      </c>
      <c r="M1367" t="str">
        <f t="shared" si="50"/>
        <v/>
      </c>
    </row>
    <row r="1368" spans="1:14">
      <c r="A1368" s="1">
        <v>46066.848530092589</v>
      </c>
      <c r="B1368">
        <v>385347797</v>
      </c>
      <c r="C1368" s="2" t="s">
        <v>195</v>
      </c>
      <c r="D1368" t="s">
        <v>15</v>
      </c>
      <c r="E1368" s="4">
        <v>700</v>
      </c>
      <c r="F1368" s="2">
        <v>630</v>
      </c>
      <c r="G1368" s="2">
        <v>441</v>
      </c>
      <c r="I1368" s="2" t="s">
        <v>196</v>
      </c>
      <c r="J1368" s="2" t="s">
        <v>197</v>
      </c>
      <c r="K1368" t="s">
        <v>18</v>
      </c>
      <c r="L1368" t="str">
        <f>T("9791172821937")</f>
        <v>9791172821937</v>
      </c>
      <c r="M1368" t="str">
        <f t="shared" si="50"/>
        <v/>
      </c>
      <c r="N1368" t="s">
        <v>198</v>
      </c>
    </row>
    <row r="1369" spans="1:14">
      <c r="A1369" s="1">
        <v>46066.851469907408</v>
      </c>
      <c r="B1369">
        <v>290996837</v>
      </c>
      <c r="C1369" s="2" t="s">
        <v>726</v>
      </c>
      <c r="D1369" t="s">
        <v>15</v>
      </c>
      <c r="E1369" s="4">
        <v>100</v>
      </c>
      <c r="F1369" s="2">
        <v>100</v>
      </c>
      <c r="G1369" s="2">
        <v>70</v>
      </c>
      <c r="I1369" s="2" t="s">
        <v>64</v>
      </c>
      <c r="J1369" s="2" t="s">
        <v>65</v>
      </c>
      <c r="K1369" t="s">
        <v>18</v>
      </c>
      <c r="L1369" t="str">
        <f>T("9791162589724")</f>
        <v>9791162589724</v>
      </c>
      <c r="M1369" t="str">
        <f t="shared" si="50"/>
        <v/>
      </c>
      <c r="N1369" t="s">
        <v>727</v>
      </c>
    </row>
    <row r="1370" spans="1:14">
      <c r="A1370" s="1">
        <v>46066.851469907408</v>
      </c>
      <c r="B1370">
        <v>290996833</v>
      </c>
      <c r="C1370" s="2" t="s">
        <v>730</v>
      </c>
      <c r="D1370" t="s">
        <v>15</v>
      </c>
      <c r="E1370" s="4">
        <v>100</v>
      </c>
      <c r="F1370" s="2">
        <v>100</v>
      </c>
      <c r="G1370" s="2">
        <v>70</v>
      </c>
      <c r="I1370" s="2" t="s">
        <v>64</v>
      </c>
      <c r="J1370" s="2" t="s">
        <v>65</v>
      </c>
      <c r="K1370" t="s">
        <v>18</v>
      </c>
      <c r="L1370" t="str">
        <f>T("9791162589724")</f>
        <v>9791162589724</v>
      </c>
      <c r="M1370" t="str">
        <f t="shared" si="50"/>
        <v/>
      </c>
      <c r="N1370" t="s">
        <v>731</v>
      </c>
    </row>
    <row r="1371" spans="1:14">
      <c r="A1371" s="1">
        <v>46066.851469907408</v>
      </c>
      <c r="B1371">
        <v>291834046</v>
      </c>
      <c r="C1371" s="2" t="s">
        <v>742</v>
      </c>
      <c r="D1371" t="s">
        <v>15</v>
      </c>
      <c r="E1371" s="4">
        <v>100</v>
      </c>
      <c r="F1371" s="2">
        <v>100</v>
      </c>
      <c r="G1371" s="2">
        <v>70</v>
      </c>
      <c r="I1371" s="2" t="s">
        <v>64</v>
      </c>
      <c r="J1371" s="2" t="s">
        <v>65</v>
      </c>
      <c r="K1371" t="s">
        <v>18</v>
      </c>
      <c r="L1371" t="str">
        <f>T("9791162589724")</f>
        <v>9791162589724</v>
      </c>
      <c r="M1371" t="str">
        <f t="shared" si="50"/>
        <v/>
      </c>
      <c r="N1371" t="s">
        <v>743</v>
      </c>
    </row>
    <row r="1372" spans="1:14">
      <c r="A1372" s="1">
        <v>46066.851469907408</v>
      </c>
      <c r="B1372">
        <v>291834041</v>
      </c>
      <c r="C1372" s="2" t="s">
        <v>738</v>
      </c>
      <c r="D1372" t="s">
        <v>15</v>
      </c>
      <c r="E1372" s="4">
        <v>100</v>
      </c>
      <c r="F1372" s="2">
        <v>100</v>
      </c>
      <c r="G1372" s="2">
        <v>70</v>
      </c>
      <c r="I1372" s="2" t="s">
        <v>64</v>
      </c>
      <c r="J1372" s="2" t="s">
        <v>65</v>
      </c>
      <c r="K1372" t="s">
        <v>18</v>
      </c>
      <c r="L1372" t="str">
        <f>T("9791162589724")</f>
        <v>9791162589724</v>
      </c>
      <c r="M1372" t="str">
        <f t="shared" si="50"/>
        <v/>
      </c>
      <c r="N1372" t="s">
        <v>739</v>
      </c>
    </row>
    <row r="1373" spans="1:14">
      <c r="A1373" s="1">
        <v>46066.851469907408</v>
      </c>
      <c r="B1373">
        <v>291834043</v>
      </c>
      <c r="C1373" s="2" t="s">
        <v>734</v>
      </c>
      <c r="D1373" t="s">
        <v>15</v>
      </c>
      <c r="E1373" s="4">
        <v>100</v>
      </c>
      <c r="F1373" s="2">
        <v>100</v>
      </c>
      <c r="G1373" s="2">
        <v>70</v>
      </c>
      <c r="I1373" s="2" t="s">
        <v>64</v>
      </c>
      <c r="J1373" s="2" t="s">
        <v>65</v>
      </c>
      <c r="K1373" t="s">
        <v>18</v>
      </c>
      <c r="L1373" t="str">
        <f>T("9791162589724")</f>
        <v>9791162589724</v>
      </c>
      <c r="M1373" t="str">
        <f t="shared" si="50"/>
        <v/>
      </c>
      <c r="N1373" t="s">
        <v>735</v>
      </c>
    </row>
    <row r="1374" spans="1:14">
      <c r="A1374" s="1">
        <v>46066.867615740739</v>
      </c>
      <c r="B1374">
        <v>385347715</v>
      </c>
      <c r="C1374" s="2" t="s">
        <v>186</v>
      </c>
      <c r="D1374" t="s">
        <v>15</v>
      </c>
      <c r="E1374" s="5">
        <v>2000</v>
      </c>
      <c r="F1374" s="3">
        <v>1800</v>
      </c>
      <c r="G1374" s="3">
        <v>1260</v>
      </c>
      <c r="I1374" s="2" t="s">
        <v>187</v>
      </c>
      <c r="J1374" s="2" t="s">
        <v>188</v>
      </c>
      <c r="K1374" t="s">
        <v>18</v>
      </c>
      <c r="L1374" t="str">
        <f>T("9791164835362")</f>
        <v>9791164835362</v>
      </c>
      <c r="M1374" t="str">
        <f t="shared" si="50"/>
        <v/>
      </c>
      <c r="N1374" t="s">
        <v>189</v>
      </c>
    </row>
    <row r="1375" spans="1:14">
      <c r="A1375" s="1">
        <v>46066.869606481479</v>
      </c>
      <c r="B1375">
        <v>356461751</v>
      </c>
      <c r="C1375" s="2" t="s">
        <v>940</v>
      </c>
      <c r="D1375" t="s">
        <v>15</v>
      </c>
      <c r="E1375" s="5">
        <v>1000</v>
      </c>
      <c r="F1375" s="3">
        <v>1000</v>
      </c>
      <c r="G1375" s="2">
        <v>700</v>
      </c>
      <c r="I1375" s="2" t="s">
        <v>941</v>
      </c>
      <c r="J1375" s="2" t="s">
        <v>21</v>
      </c>
      <c r="K1375" t="s">
        <v>18</v>
      </c>
      <c r="L1375" t="str">
        <f>T("9791173012938")</f>
        <v>9791173012938</v>
      </c>
      <c r="M1375" t="str">
        <f t="shared" ref="M1375:M1396" si="52">T("")</f>
        <v/>
      </c>
      <c r="N1375" t="s">
        <v>942</v>
      </c>
    </row>
    <row r="1376" spans="1:14">
      <c r="A1376" s="1">
        <v>46066.87027777778</v>
      </c>
      <c r="B1376">
        <v>385347792</v>
      </c>
      <c r="C1376" s="2" t="s">
        <v>306</v>
      </c>
      <c r="D1376" t="s">
        <v>15</v>
      </c>
      <c r="E1376" s="5">
        <v>1000</v>
      </c>
      <c r="F1376" s="2">
        <v>900</v>
      </c>
      <c r="G1376" s="2">
        <v>630</v>
      </c>
      <c r="I1376" s="2" t="s">
        <v>307</v>
      </c>
      <c r="J1376" s="2" t="s">
        <v>308</v>
      </c>
      <c r="K1376" t="s">
        <v>18</v>
      </c>
      <c r="L1376" t="str">
        <f>T("9791194982753")</f>
        <v>9791194982753</v>
      </c>
      <c r="M1376" t="str">
        <f t="shared" si="52"/>
        <v/>
      </c>
      <c r="N1376" t="s">
        <v>309</v>
      </c>
    </row>
    <row r="1377" spans="1:14">
      <c r="A1377" s="1">
        <v>46066.870509259257</v>
      </c>
      <c r="B1377">
        <v>383435421</v>
      </c>
      <c r="C1377" s="2" t="s">
        <v>27</v>
      </c>
      <c r="D1377" t="s">
        <v>15</v>
      </c>
      <c r="E1377" s="5">
        <v>1000</v>
      </c>
      <c r="F1377" s="3">
        <v>1000</v>
      </c>
      <c r="G1377" s="2">
        <v>700</v>
      </c>
      <c r="I1377" s="2" t="s">
        <v>28</v>
      </c>
      <c r="J1377" s="2" t="s">
        <v>21</v>
      </c>
      <c r="K1377" t="s">
        <v>18</v>
      </c>
      <c r="L1377" t="str">
        <f>T("9791175582361")</f>
        <v>9791175582361</v>
      </c>
      <c r="M1377" t="str">
        <f t="shared" si="52"/>
        <v/>
      </c>
      <c r="N1377" t="s">
        <v>29</v>
      </c>
    </row>
    <row r="1378" spans="1:14">
      <c r="A1378" s="1">
        <v>46066.870532407411</v>
      </c>
      <c r="B1378">
        <v>281980495</v>
      </c>
      <c r="C1378" s="2" t="s">
        <v>1598</v>
      </c>
      <c r="D1378" t="s">
        <v>68</v>
      </c>
      <c r="E1378" s="5">
        <v>2250</v>
      </c>
      <c r="F1378" s="3">
        <v>2250</v>
      </c>
      <c r="G1378" s="3">
        <v>1575</v>
      </c>
      <c r="I1378" s="2" t="s">
        <v>1599</v>
      </c>
      <c r="J1378" s="2" t="s">
        <v>197</v>
      </c>
      <c r="K1378" t="s">
        <v>18</v>
      </c>
      <c r="L1378" t="str">
        <f>T("9791164093779")</f>
        <v>9791164093779</v>
      </c>
      <c r="M1378" t="str">
        <f t="shared" si="52"/>
        <v/>
      </c>
    </row>
    <row r="1379" spans="1:14">
      <c r="A1379" s="1">
        <v>46066.871574074074</v>
      </c>
      <c r="B1379">
        <v>385782810</v>
      </c>
      <c r="C1379" s="2" t="s">
        <v>1167</v>
      </c>
      <c r="D1379" t="s">
        <v>15</v>
      </c>
      <c r="E1379" s="5">
        <v>2000</v>
      </c>
      <c r="F1379" s="3">
        <v>1800</v>
      </c>
      <c r="G1379" s="3">
        <v>1260</v>
      </c>
      <c r="I1379" s="2" t="s">
        <v>1141</v>
      </c>
      <c r="J1379" s="2" t="s">
        <v>184</v>
      </c>
      <c r="K1379" t="s">
        <v>18</v>
      </c>
      <c r="L1379" t="str">
        <f>T("9791170965671")</f>
        <v>9791170965671</v>
      </c>
      <c r="M1379" t="str">
        <f t="shared" si="52"/>
        <v/>
      </c>
      <c r="N1379" t="s">
        <v>1168</v>
      </c>
    </row>
    <row r="1380" spans="1:14">
      <c r="A1380" s="1">
        <v>46066.880347222221</v>
      </c>
      <c r="B1380">
        <v>295395720</v>
      </c>
      <c r="C1380" s="2" t="s">
        <v>923</v>
      </c>
      <c r="D1380" t="s">
        <v>15</v>
      </c>
      <c r="E1380" s="4">
        <v>100</v>
      </c>
      <c r="F1380" s="2">
        <v>100</v>
      </c>
      <c r="G1380" s="2">
        <v>70</v>
      </c>
      <c r="I1380" s="2" t="s">
        <v>64</v>
      </c>
      <c r="J1380" s="2" t="s">
        <v>65</v>
      </c>
      <c r="K1380" t="s">
        <v>18</v>
      </c>
      <c r="L1380" t="str">
        <f>T("9791162589724")</f>
        <v>9791162589724</v>
      </c>
      <c r="M1380" t="str">
        <f t="shared" si="52"/>
        <v/>
      </c>
      <c r="N1380" t="s">
        <v>924</v>
      </c>
    </row>
    <row r="1381" spans="1:14">
      <c r="A1381" s="1">
        <v>46066.880347222221</v>
      </c>
      <c r="B1381">
        <v>296140628</v>
      </c>
      <c r="C1381" s="2" t="s">
        <v>1600</v>
      </c>
      <c r="D1381" t="s">
        <v>15</v>
      </c>
      <c r="E1381" s="4">
        <v>100</v>
      </c>
      <c r="F1381" s="2">
        <v>100</v>
      </c>
      <c r="G1381" s="2">
        <v>70</v>
      </c>
      <c r="I1381" s="2" t="s">
        <v>64</v>
      </c>
      <c r="J1381" s="2" t="s">
        <v>65</v>
      </c>
      <c r="K1381" t="s">
        <v>18</v>
      </c>
      <c r="L1381" t="str">
        <f>T("9791162589724")</f>
        <v>9791162589724</v>
      </c>
      <c r="M1381" t="str">
        <f t="shared" si="52"/>
        <v/>
      </c>
      <c r="N1381" t="s">
        <v>1601</v>
      </c>
    </row>
    <row r="1382" spans="1:14">
      <c r="A1382" s="1">
        <v>46066.880347222221</v>
      </c>
      <c r="B1382">
        <v>296140629</v>
      </c>
      <c r="C1382" s="2" t="s">
        <v>1602</v>
      </c>
      <c r="D1382" t="s">
        <v>15</v>
      </c>
      <c r="E1382" s="4">
        <v>100</v>
      </c>
      <c r="F1382" s="2">
        <v>100</v>
      </c>
      <c r="G1382" s="2">
        <v>70</v>
      </c>
      <c r="I1382" s="2" t="s">
        <v>64</v>
      </c>
      <c r="J1382" s="2" t="s">
        <v>65</v>
      </c>
      <c r="K1382" t="s">
        <v>18</v>
      </c>
      <c r="L1382" t="str">
        <f>T("9791162589724")</f>
        <v>9791162589724</v>
      </c>
      <c r="M1382" t="str">
        <f t="shared" si="52"/>
        <v/>
      </c>
      <c r="N1382" t="s">
        <v>1603</v>
      </c>
    </row>
    <row r="1383" spans="1:14">
      <c r="A1383" s="1">
        <v>46066.880347222221</v>
      </c>
      <c r="B1383">
        <v>296140630</v>
      </c>
      <c r="C1383" s="2" t="s">
        <v>1604</v>
      </c>
      <c r="D1383" t="s">
        <v>15</v>
      </c>
      <c r="E1383" s="4">
        <v>100</v>
      </c>
      <c r="F1383" s="2">
        <v>100</v>
      </c>
      <c r="G1383" s="2">
        <v>70</v>
      </c>
      <c r="I1383" s="2" t="s">
        <v>64</v>
      </c>
      <c r="J1383" s="2" t="s">
        <v>65</v>
      </c>
      <c r="K1383" t="s">
        <v>18</v>
      </c>
      <c r="L1383" t="str">
        <f>T("9791162589724")</f>
        <v>9791162589724</v>
      </c>
      <c r="M1383" t="str">
        <f t="shared" si="52"/>
        <v/>
      </c>
      <c r="N1383" t="s">
        <v>1605</v>
      </c>
    </row>
    <row r="1384" spans="1:14">
      <c r="A1384" s="1">
        <v>46066.880347222221</v>
      </c>
      <c r="B1384">
        <v>296140631</v>
      </c>
      <c r="C1384" s="2" t="s">
        <v>1606</v>
      </c>
      <c r="D1384" t="s">
        <v>15</v>
      </c>
      <c r="E1384" s="4">
        <v>100</v>
      </c>
      <c r="F1384" s="2">
        <v>100</v>
      </c>
      <c r="G1384" s="2">
        <v>70</v>
      </c>
      <c r="I1384" s="2" t="s">
        <v>64</v>
      </c>
      <c r="J1384" s="2" t="s">
        <v>65</v>
      </c>
      <c r="K1384" t="s">
        <v>18</v>
      </c>
      <c r="L1384" t="str">
        <f>T("9791162589724")</f>
        <v>9791162589724</v>
      </c>
      <c r="M1384" t="str">
        <f t="shared" si="52"/>
        <v/>
      </c>
      <c r="N1384" t="s">
        <v>1607</v>
      </c>
    </row>
    <row r="1385" spans="1:14">
      <c r="A1385" s="1">
        <v>46066.881018518521</v>
      </c>
      <c r="B1385">
        <v>377095688</v>
      </c>
      <c r="C1385" s="2" t="s">
        <v>1608</v>
      </c>
      <c r="D1385" t="s">
        <v>68</v>
      </c>
      <c r="E1385" s="5">
        <v>13600</v>
      </c>
      <c r="F1385" s="3">
        <v>13600</v>
      </c>
      <c r="G1385" s="3">
        <v>9520</v>
      </c>
      <c r="I1385" s="2" t="s">
        <v>183</v>
      </c>
      <c r="J1385" s="2" t="s">
        <v>184</v>
      </c>
      <c r="K1385" t="s">
        <v>18</v>
      </c>
      <c r="L1385" t="str">
        <f>T("9791170965244")</f>
        <v>9791170965244</v>
      </c>
      <c r="M1385" t="str">
        <f t="shared" si="52"/>
        <v/>
      </c>
    </row>
    <row r="1386" spans="1:14">
      <c r="A1386" s="1">
        <v>46066.890856481485</v>
      </c>
      <c r="B1386">
        <v>386057277</v>
      </c>
      <c r="C1386" s="2" t="s">
        <v>1609</v>
      </c>
      <c r="D1386" t="s">
        <v>68</v>
      </c>
      <c r="E1386" s="5">
        <v>3750</v>
      </c>
      <c r="F1386" s="3">
        <v>3750</v>
      </c>
      <c r="G1386" s="3">
        <v>2625</v>
      </c>
      <c r="I1386" s="2" t="s">
        <v>1610</v>
      </c>
      <c r="J1386" s="2" t="s">
        <v>197</v>
      </c>
      <c r="K1386" t="s">
        <v>18</v>
      </c>
      <c r="L1386" t="str">
        <f>T("9791164095315")</f>
        <v>9791164095315</v>
      </c>
      <c r="M1386" t="str">
        <f t="shared" si="52"/>
        <v/>
      </c>
    </row>
    <row r="1387" spans="1:14">
      <c r="A1387" s="1">
        <v>46066.904282407406</v>
      </c>
      <c r="B1387">
        <v>277935759</v>
      </c>
      <c r="C1387" s="2" t="s">
        <v>1611</v>
      </c>
      <c r="D1387" t="s">
        <v>15</v>
      </c>
      <c r="E1387" s="4">
        <v>100</v>
      </c>
      <c r="F1387" s="2">
        <v>100</v>
      </c>
      <c r="G1387" s="2">
        <v>70</v>
      </c>
      <c r="I1387" s="2" t="s">
        <v>64</v>
      </c>
      <c r="J1387" s="2" t="s">
        <v>65</v>
      </c>
      <c r="K1387" t="s">
        <v>18</v>
      </c>
      <c r="L1387" t="str">
        <f t="shared" ref="L1387:L1393" si="53">T("9791162589724")</f>
        <v>9791162589724</v>
      </c>
      <c r="M1387" t="str">
        <f t="shared" si="52"/>
        <v/>
      </c>
      <c r="N1387" t="s">
        <v>1612</v>
      </c>
    </row>
    <row r="1388" spans="1:14">
      <c r="A1388" s="1">
        <v>46066.904282407406</v>
      </c>
      <c r="B1388">
        <v>277935813</v>
      </c>
      <c r="C1388" s="2" t="s">
        <v>1613</v>
      </c>
      <c r="D1388" t="s">
        <v>15</v>
      </c>
      <c r="E1388" s="4">
        <v>100</v>
      </c>
      <c r="F1388" s="2">
        <v>100</v>
      </c>
      <c r="G1388" s="2">
        <v>70</v>
      </c>
      <c r="I1388" s="2" t="s">
        <v>64</v>
      </c>
      <c r="J1388" s="2" t="s">
        <v>65</v>
      </c>
      <c r="K1388" t="s">
        <v>18</v>
      </c>
      <c r="L1388" t="str">
        <f t="shared" si="53"/>
        <v>9791162589724</v>
      </c>
      <c r="M1388" t="str">
        <f t="shared" si="52"/>
        <v/>
      </c>
      <c r="N1388" t="s">
        <v>1614</v>
      </c>
    </row>
    <row r="1389" spans="1:14">
      <c r="A1389" s="1">
        <v>46066.904282407406</v>
      </c>
      <c r="B1389">
        <v>277935815</v>
      </c>
      <c r="C1389" s="2" t="s">
        <v>1615</v>
      </c>
      <c r="D1389" t="s">
        <v>15</v>
      </c>
      <c r="E1389" s="4">
        <v>100</v>
      </c>
      <c r="F1389" s="2">
        <v>100</v>
      </c>
      <c r="G1389" s="2">
        <v>70</v>
      </c>
      <c r="I1389" s="2" t="s">
        <v>64</v>
      </c>
      <c r="J1389" s="2" t="s">
        <v>65</v>
      </c>
      <c r="K1389" t="s">
        <v>18</v>
      </c>
      <c r="L1389" t="str">
        <f t="shared" si="53"/>
        <v>9791162589724</v>
      </c>
      <c r="M1389" t="str">
        <f t="shared" si="52"/>
        <v/>
      </c>
      <c r="N1389" t="s">
        <v>1616</v>
      </c>
    </row>
    <row r="1390" spans="1:14">
      <c r="A1390" s="1">
        <v>46066.904282407406</v>
      </c>
      <c r="B1390">
        <v>277935531</v>
      </c>
      <c r="C1390" s="2" t="s">
        <v>1617</v>
      </c>
      <c r="D1390" t="s">
        <v>15</v>
      </c>
      <c r="E1390" s="4">
        <v>100</v>
      </c>
      <c r="F1390" s="2">
        <v>100</v>
      </c>
      <c r="G1390" s="2">
        <v>70</v>
      </c>
      <c r="I1390" s="2" t="s">
        <v>64</v>
      </c>
      <c r="J1390" s="2" t="s">
        <v>65</v>
      </c>
      <c r="K1390" t="s">
        <v>18</v>
      </c>
      <c r="L1390" t="str">
        <f t="shared" si="53"/>
        <v>9791162589724</v>
      </c>
      <c r="M1390" t="str">
        <f t="shared" si="52"/>
        <v/>
      </c>
      <c r="N1390" t="s">
        <v>1618</v>
      </c>
    </row>
    <row r="1391" spans="1:14">
      <c r="A1391" s="1">
        <v>46066.904282407406</v>
      </c>
      <c r="B1391">
        <v>277935724</v>
      </c>
      <c r="C1391" s="2" t="s">
        <v>1619</v>
      </c>
      <c r="D1391" t="s">
        <v>15</v>
      </c>
      <c r="E1391" s="4">
        <v>100</v>
      </c>
      <c r="F1391" s="2">
        <v>100</v>
      </c>
      <c r="G1391" s="2">
        <v>70</v>
      </c>
      <c r="I1391" s="2" t="s">
        <v>64</v>
      </c>
      <c r="J1391" s="2" t="s">
        <v>65</v>
      </c>
      <c r="K1391" t="s">
        <v>18</v>
      </c>
      <c r="L1391" t="str">
        <f t="shared" si="53"/>
        <v>9791162589724</v>
      </c>
      <c r="M1391" t="str">
        <f t="shared" si="52"/>
        <v/>
      </c>
      <c r="N1391" t="s">
        <v>1620</v>
      </c>
    </row>
    <row r="1392" spans="1:14">
      <c r="A1392" s="1">
        <v>46066.908148148148</v>
      </c>
      <c r="B1392">
        <v>277935563</v>
      </c>
      <c r="C1392" s="2" t="s">
        <v>1621</v>
      </c>
      <c r="D1392" t="s">
        <v>15</v>
      </c>
      <c r="E1392" s="4">
        <v>100</v>
      </c>
      <c r="F1392" s="2">
        <v>100</v>
      </c>
      <c r="G1392" s="2">
        <v>70</v>
      </c>
      <c r="I1392" s="2" t="s">
        <v>64</v>
      </c>
      <c r="J1392" s="2" t="s">
        <v>65</v>
      </c>
      <c r="K1392" t="s">
        <v>18</v>
      </c>
      <c r="L1392" t="str">
        <f t="shared" si="53"/>
        <v>9791162589724</v>
      </c>
      <c r="M1392" t="str">
        <f t="shared" si="52"/>
        <v/>
      </c>
      <c r="N1392" t="s">
        <v>1622</v>
      </c>
    </row>
    <row r="1393" spans="1:14">
      <c r="A1393" s="1">
        <v>46066.908692129633</v>
      </c>
      <c r="B1393">
        <v>285428881</v>
      </c>
      <c r="C1393" s="2" t="s">
        <v>1623</v>
      </c>
      <c r="D1393" t="s">
        <v>15</v>
      </c>
      <c r="E1393" s="4">
        <v>100</v>
      </c>
      <c r="F1393" s="2">
        <v>100</v>
      </c>
      <c r="G1393" s="2">
        <v>70</v>
      </c>
      <c r="I1393" s="2" t="s">
        <v>64</v>
      </c>
      <c r="J1393" s="2" t="s">
        <v>65</v>
      </c>
      <c r="K1393" t="s">
        <v>18</v>
      </c>
      <c r="L1393" t="str">
        <f t="shared" si="53"/>
        <v>9791162589724</v>
      </c>
      <c r="M1393" t="str">
        <f t="shared" si="52"/>
        <v/>
      </c>
      <c r="N1393" t="s">
        <v>1624</v>
      </c>
    </row>
    <row r="1394" spans="1:14">
      <c r="A1394" s="1">
        <v>46066.913958333331</v>
      </c>
      <c r="B1394">
        <v>384598651</v>
      </c>
      <c r="C1394" s="2" t="s">
        <v>696</v>
      </c>
      <c r="D1394" t="s">
        <v>15</v>
      </c>
      <c r="E1394" s="5">
        <v>1000</v>
      </c>
      <c r="F1394" s="3">
        <v>1000</v>
      </c>
      <c r="G1394" s="2">
        <v>700</v>
      </c>
      <c r="I1394" s="2" t="s">
        <v>28</v>
      </c>
      <c r="J1394" s="2" t="s">
        <v>21</v>
      </c>
      <c r="K1394" t="s">
        <v>18</v>
      </c>
      <c r="L1394" t="str">
        <f>T("9791175582422")</f>
        <v>9791175582422</v>
      </c>
      <c r="M1394" t="str">
        <f t="shared" si="52"/>
        <v/>
      </c>
      <c r="N1394" t="s">
        <v>697</v>
      </c>
    </row>
    <row r="1395" spans="1:14">
      <c r="A1395" s="1">
        <v>46066.914247685185</v>
      </c>
      <c r="B1395">
        <v>384598651</v>
      </c>
      <c r="C1395" s="2" t="s">
        <v>696</v>
      </c>
      <c r="D1395" t="s">
        <v>15</v>
      </c>
      <c r="E1395" s="5">
        <v>-1000</v>
      </c>
      <c r="F1395" s="3">
        <v>-1000</v>
      </c>
      <c r="G1395" s="2">
        <v>-700</v>
      </c>
      <c r="H1395" s="1">
        <v>46066.913958333331</v>
      </c>
      <c r="I1395" s="2" t="s">
        <v>28</v>
      </c>
      <c r="J1395" s="2" t="s">
        <v>21</v>
      </c>
      <c r="K1395" t="s">
        <v>18</v>
      </c>
      <c r="L1395" t="str">
        <f>T("9791175582422")</f>
        <v>9791175582422</v>
      </c>
      <c r="M1395" t="str">
        <f t="shared" si="52"/>
        <v/>
      </c>
      <c r="N1395" t="s">
        <v>697</v>
      </c>
    </row>
    <row r="1396" spans="1:14">
      <c r="A1396" s="1">
        <v>46066.914930555555</v>
      </c>
      <c r="B1396">
        <v>384598651</v>
      </c>
      <c r="C1396" s="2" t="s">
        <v>696</v>
      </c>
      <c r="D1396" t="s">
        <v>15</v>
      </c>
      <c r="E1396" s="5">
        <v>1000</v>
      </c>
      <c r="F1396" s="3">
        <v>1000</v>
      </c>
      <c r="G1396" s="2">
        <v>700</v>
      </c>
      <c r="I1396" s="2" t="s">
        <v>28</v>
      </c>
      <c r="J1396" s="2" t="s">
        <v>21</v>
      </c>
      <c r="K1396" t="s">
        <v>18</v>
      </c>
      <c r="L1396" t="str">
        <f>T("9791175582422")</f>
        <v>9791175582422</v>
      </c>
      <c r="M1396" t="str">
        <f t="shared" si="52"/>
        <v/>
      </c>
      <c r="N1396" t="s">
        <v>697</v>
      </c>
    </row>
    <row r="1397" spans="1:14">
      <c r="A1397" s="1">
        <v>46066.92087962963</v>
      </c>
      <c r="B1397">
        <v>385852578</v>
      </c>
      <c r="C1397" s="2" t="s">
        <v>1625</v>
      </c>
      <c r="D1397" t="s">
        <v>15</v>
      </c>
      <c r="E1397" s="5">
        <v>1100</v>
      </c>
      <c r="F1397" s="3">
        <v>1100</v>
      </c>
      <c r="G1397" s="2">
        <v>770</v>
      </c>
      <c r="I1397" s="2" t="s">
        <v>166</v>
      </c>
      <c r="J1397" s="2" t="s">
        <v>21</v>
      </c>
      <c r="K1397" t="s">
        <v>18</v>
      </c>
      <c r="L1397" t="str">
        <f>T("")</f>
        <v/>
      </c>
      <c r="M1397" t="str">
        <f>T("G720:N+A31120251203017.M002")</f>
        <v>G720:N+A31120251203017.M002</v>
      </c>
      <c r="N1397" t="s">
        <v>1626</v>
      </c>
    </row>
    <row r="1398" spans="1:14">
      <c r="A1398" s="1">
        <v>46066.921840277777</v>
      </c>
      <c r="B1398">
        <v>333593015</v>
      </c>
      <c r="C1398" s="2" t="s">
        <v>826</v>
      </c>
      <c r="D1398" t="s">
        <v>15</v>
      </c>
      <c r="E1398" s="5">
        <v>3300</v>
      </c>
      <c r="F1398" s="3">
        <v>3300</v>
      </c>
      <c r="G1398" s="3">
        <v>2310</v>
      </c>
      <c r="I1398" s="2" t="s">
        <v>191</v>
      </c>
      <c r="J1398" s="2" t="s">
        <v>188</v>
      </c>
      <c r="K1398" t="s">
        <v>18</v>
      </c>
      <c r="L1398" t="str">
        <f>T("9791164834136")</f>
        <v>9791164834136</v>
      </c>
      <c r="M1398" t="str">
        <f t="shared" ref="M1398:M1424" si="54">T("")</f>
        <v/>
      </c>
      <c r="N1398" t="s">
        <v>827</v>
      </c>
    </row>
    <row r="1399" spans="1:14">
      <c r="A1399" s="1">
        <v>46066.925358796296</v>
      </c>
      <c r="B1399">
        <v>277935560</v>
      </c>
      <c r="C1399" s="2" t="s">
        <v>1627</v>
      </c>
      <c r="D1399" t="s">
        <v>15</v>
      </c>
      <c r="E1399" s="4">
        <v>100</v>
      </c>
      <c r="F1399" s="2">
        <v>100</v>
      </c>
      <c r="G1399" s="2">
        <v>70</v>
      </c>
      <c r="I1399" s="2" t="s">
        <v>64</v>
      </c>
      <c r="J1399" s="2" t="s">
        <v>65</v>
      </c>
      <c r="K1399" t="s">
        <v>18</v>
      </c>
      <c r="L1399" t="str">
        <f t="shared" ref="L1399:L1408" si="55">T("9791162589724")</f>
        <v>9791162589724</v>
      </c>
      <c r="M1399" t="str">
        <f t="shared" si="54"/>
        <v/>
      </c>
      <c r="N1399" t="s">
        <v>1628</v>
      </c>
    </row>
    <row r="1400" spans="1:14">
      <c r="A1400" s="1">
        <v>46066.925358796296</v>
      </c>
      <c r="B1400">
        <v>277935556</v>
      </c>
      <c r="C1400" s="2" t="s">
        <v>1629</v>
      </c>
      <c r="D1400" t="s">
        <v>15</v>
      </c>
      <c r="E1400" s="4">
        <v>100</v>
      </c>
      <c r="F1400" s="2">
        <v>100</v>
      </c>
      <c r="G1400" s="2">
        <v>70</v>
      </c>
      <c r="I1400" s="2" t="s">
        <v>64</v>
      </c>
      <c r="J1400" s="2" t="s">
        <v>65</v>
      </c>
      <c r="K1400" t="s">
        <v>18</v>
      </c>
      <c r="L1400" t="str">
        <f t="shared" si="55"/>
        <v>9791162589724</v>
      </c>
      <c r="M1400" t="str">
        <f t="shared" si="54"/>
        <v/>
      </c>
      <c r="N1400" t="s">
        <v>1630</v>
      </c>
    </row>
    <row r="1401" spans="1:14">
      <c r="A1401" s="1">
        <v>46066.925358796296</v>
      </c>
      <c r="B1401">
        <v>277935613</v>
      </c>
      <c r="C1401" s="2" t="s">
        <v>1631</v>
      </c>
      <c r="D1401" t="s">
        <v>15</v>
      </c>
      <c r="E1401" s="4">
        <v>100</v>
      </c>
      <c r="F1401" s="2">
        <v>100</v>
      </c>
      <c r="G1401" s="2">
        <v>70</v>
      </c>
      <c r="I1401" s="2" t="s">
        <v>64</v>
      </c>
      <c r="J1401" s="2" t="s">
        <v>65</v>
      </c>
      <c r="K1401" t="s">
        <v>18</v>
      </c>
      <c r="L1401" t="str">
        <f t="shared" si="55"/>
        <v>9791162589724</v>
      </c>
      <c r="M1401" t="str">
        <f t="shared" si="54"/>
        <v/>
      </c>
      <c r="N1401" t="s">
        <v>1632</v>
      </c>
    </row>
    <row r="1402" spans="1:14">
      <c r="A1402" s="1">
        <v>46066.925358796296</v>
      </c>
      <c r="B1402">
        <v>277935619</v>
      </c>
      <c r="C1402" s="2" t="s">
        <v>1633</v>
      </c>
      <c r="D1402" t="s">
        <v>15</v>
      </c>
      <c r="E1402" s="4">
        <v>100</v>
      </c>
      <c r="F1402" s="2">
        <v>100</v>
      </c>
      <c r="G1402" s="2">
        <v>70</v>
      </c>
      <c r="I1402" s="2" t="s">
        <v>64</v>
      </c>
      <c r="J1402" s="2" t="s">
        <v>65</v>
      </c>
      <c r="K1402" t="s">
        <v>18</v>
      </c>
      <c r="L1402" t="str">
        <f t="shared" si="55"/>
        <v>9791162589724</v>
      </c>
      <c r="M1402" t="str">
        <f t="shared" si="54"/>
        <v/>
      </c>
      <c r="N1402" t="s">
        <v>1634</v>
      </c>
    </row>
    <row r="1403" spans="1:14">
      <c r="A1403" s="1">
        <v>46066.925358796296</v>
      </c>
      <c r="B1403">
        <v>277935620</v>
      </c>
      <c r="C1403" s="2" t="s">
        <v>1635</v>
      </c>
      <c r="D1403" t="s">
        <v>15</v>
      </c>
      <c r="E1403" s="4">
        <v>100</v>
      </c>
      <c r="F1403" s="2">
        <v>100</v>
      </c>
      <c r="G1403" s="2">
        <v>70</v>
      </c>
      <c r="I1403" s="2" t="s">
        <v>64</v>
      </c>
      <c r="J1403" s="2" t="s">
        <v>65</v>
      </c>
      <c r="K1403" t="s">
        <v>18</v>
      </c>
      <c r="L1403" t="str">
        <f t="shared" si="55"/>
        <v>9791162589724</v>
      </c>
      <c r="M1403" t="str">
        <f t="shared" si="54"/>
        <v/>
      </c>
      <c r="N1403" t="s">
        <v>1636</v>
      </c>
    </row>
    <row r="1404" spans="1:14">
      <c r="A1404" s="1">
        <v>46066.925358796296</v>
      </c>
      <c r="B1404">
        <v>277935524</v>
      </c>
      <c r="C1404" s="2" t="s">
        <v>1637</v>
      </c>
      <c r="D1404" t="s">
        <v>15</v>
      </c>
      <c r="E1404" s="4">
        <v>100</v>
      </c>
      <c r="F1404" s="2">
        <v>100</v>
      </c>
      <c r="G1404" s="2">
        <v>70</v>
      </c>
      <c r="I1404" s="2" t="s">
        <v>64</v>
      </c>
      <c r="J1404" s="2" t="s">
        <v>65</v>
      </c>
      <c r="K1404" t="s">
        <v>18</v>
      </c>
      <c r="L1404" t="str">
        <f t="shared" si="55"/>
        <v>9791162589724</v>
      </c>
      <c r="M1404" t="str">
        <f t="shared" si="54"/>
        <v/>
      </c>
      <c r="N1404" t="s">
        <v>1638</v>
      </c>
    </row>
    <row r="1405" spans="1:14">
      <c r="A1405" s="1">
        <v>46066.925358796296</v>
      </c>
      <c r="B1405">
        <v>277935517</v>
      </c>
      <c r="C1405" s="2" t="s">
        <v>1639</v>
      </c>
      <c r="D1405" t="s">
        <v>15</v>
      </c>
      <c r="E1405" s="4">
        <v>100</v>
      </c>
      <c r="F1405" s="2">
        <v>100</v>
      </c>
      <c r="G1405" s="2">
        <v>70</v>
      </c>
      <c r="I1405" s="2" t="s">
        <v>64</v>
      </c>
      <c r="J1405" s="2" t="s">
        <v>65</v>
      </c>
      <c r="K1405" t="s">
        <v>18</v>
      </c>
      <c r="L1405" t="str">
        <f t="shared" si="55"/>
        <v>9791162589724</v>
      </c>
      <c r="M1405" t="str">
        <f t="shared" si="54"/>
        <v/>
      </c>
      <c r="N1405" t="s">
        <v>1640</v>
      </c>
    </row>
    <row r="1406" spans="1:14">
      <c r="A1406" s="1">
        <v>46066.925358796296</v>
      </c>
      <c r="B1406">
        <v>277935625</v>
      </c>
      <c r="C1406" s="2" t="s">
        <v>1641</v>
      </c>
      <c r="D1406" t="s">
        <v>15</v>
      </c>
      <c r="E1406" s="4">
        <v>100</v>
      </c>
      <c r="F1406" s="2">
        <v>100</v>
      </c>
      <c r="G1406" s="2">
        <v>70</v>
      </c>
      <c r="I1406" s="2" t="s">
        <v>64</v>
      </c>
      <c r="J1406" s="2" t="s">
        <v>65</v>
      </c>
      <c r="K1406" t="s">
        <v>18</v>
      </c>
      <c r="L1406" t="str">
        <f t="shared" si="55"/>
        <v>9791162589724</v>
      </c>
      <c r="M1406" t="str">
        <f t="shared" si="54"/>
        <v/>
      </c>
      <c r="N1406" t="s">
        <v>1642</v>
      </c>
    </row>
    <row r="1407" spans="1:14">
      <c r="A1407" s="1">
        <v>46066.925358796296</v>
      </c>
      <c r="B1407">
        <v>277935405</v>
      </c>
      <c r="C1407" s="2" t="s">
        <v>1643</v>
      </c>
      <c r="D1407" t="s">
        <v>15</v>
      </c>
      <c r="E1407" s="4">
        <v>100</v>
      </c>
      <c r="F1407" s="2">
        <v>100</v>
      </c>
      <c r="G1407" s="2">
        <v>70</v>
      </c>
      <c r="I1407" s="2" t="s">
        <v>64</v>
      </c>
      <c r="J1407" s="2" t="s">
        <v>65</v>
      </c>
      <c r="K1407" t="s">
        <v>18</v>
      </c>
      <c r="L1407" t="str">
        <f t="shared" si="55"/>
        <v>9791162589724</v>
      </c>
      <c r="M1407" t="str">
        <f t="shared" si="54"/>
        <v/>
      </c>
      <c r="N1407" t="s">
        <v>1644</v>
      </c>
    </row>
    <row r="1408" spans="1:14">
      <c r="A1408" s="1">
        <v>46066.925358796296</v>
      </c>
      <c r="B1408">
        <v>277935406</v>
      </c>
      <c r="C1408" s="2" t="s">
        <v>1645</v>
      </c>
      <c r="D1408" t="s">
        <v>15</v>
      </c>
      <c r="E1408" s="4">
        <v>100</v>
      </c>
      <c r="F1408" s="2">
        <v>100</v>
      </c>
      <c r="G1408" s="2">
        <v>70</v>
      </c>
      <c r="I1408" s="2" t="s">
        <v>64</v>
      </c>
      <c r="J1408" s="2" t="s">
        <v>65</v>
      </c>
      <c r="K1408" t="s">
        <v>18</v>
      </c>
      <c r="L1408" t="str">
        <f t="shared" si="55"/>
        <v>9791162589724</v>
      </c>
      <c r="M1408" t="str">
        <f t="shared" si="54"/>
        <v/>
      </c>
      <c r="N1408" t="s">
        <v>1646</v>
      </c>
    </row>
    <row r="1409" spans="1:14">
      <c r="A1409" s="1">
        <v>46066.928541666668</v>
      </c>
      <c r="B1409">
        <v>382626257</v>
      </c>
      <c r="C1409" s="2" t="s">
        <v>152</v>
      </c>
      <c r="D1409" t="s">
        <v>15</v>
      </c>
      <c r="E1409" s="5">
        <v>1000</v>
      </c>
      <c r="F1409" s="3">
        <v>1000</v>
      </c>
      <c r="G1409" s="2">
        <v>700</v>
      </c>
      <c r="I1409" s="2" t="s">
        <v>148</v>
      </c>
      <c r="J1409" s="2" t="s">
        <v>21</v>
      </c>
      <c r="K1409" t="s">
        <v>18</v>
      </c>
      <c r="L1409" t="str">
        <f>T("9791175581906")</f>
        <v>9791175581906</v>
      </c>
      <c r="M1409" t="str">
        <f t="shared" si="54"/>
        <v/>
      </c>
      <c r="N1409" t="s">
        <v>153</v>
      </c>
    </row>
    <row r="1410" spans="1:14">
      <c r="A1410" s="1">
        <v>46066.929270833331</v>
      </c>
      <c r="B1410">
        <v>336198022</v>
      </c>
      <c r="C1410" s="2" t="s">
        <v>544</v>
      </c>
      <c r="D1410" t="s">
        <v>15</v>
      </c>
      <c r="E1410" s="4">
        <v>0</v>
      </c>
      <c r="F1410" s="2">
        <v>0</v>
      </c>
      <c r="G1410" s="2">
        <v>0</v>
      </c>
      <c r="I1410" s="2" t="s">
        <v>540</v>
      </c>
      <c r="J1410" s="2" t="s">
        <v>197</v>
      </c>
      <c r="K1410" t="s">
        <v>18</v>
      </c>
      <c r="L1410" t="str">
        <f>T("9791164098859")</f>
        <v>9791164098859</v>
      </c>
      <c r="M1410" t="str">
        <f t="shared" si="54"/>
        <v/>
      </c>
      <c r="N1410" t="s">
        <v>545</v>
      </c>
    </row>
    <row r="1411" spans="1:14">
      <c r="A1411" s="1">
        <v>46066.929594907408</v>
      </c>
      <c r="B1411">
        <v>379527576</v>
      </c>
      <c r="C1411" s="2" t="s">
        <v>150</v>
      </c>
      <c r="D1411" t="s">
        <v>15</v>
      </c>
      <c r="E1411" s="5">
        <v>1000</v>
      </c>
      <c r="F1411" s="3">
        <v>1000</v>
      </c>
      <c r="G1411" s="2">
        <v>700</v>
      </c>
      <c r="I1411" s="2" t="s">
        <v>148</v>
      </c>
      <c r="J1411" s="2" t="s">
        <v>21</v>
      </c>
      <c r="K1411" t="s">
        <v>18</v>
      </c>
      <c r="L1411" t="str">
        <f>T("9791175580541")</f>
        <v>9791175580541</v>
      </c>
      <c r="M1411" t="str">
        <f t="shared" si="54"/>
        <v/>
      </c>
      <c r="N1411" t="s">
        <v>151</v>
      </c>
    </row>
    <row r="1412" spans="1:14">
      <c r="A1412" s="1">
        <v>46066.930011574077</v>
      </c>
      <c r="B1412">
        <v>374949661</v>
      </c>
      <c r="C1412" s="2" t="s">
        <v>1647</v>
      </c>
      <c r="D1412" t="s">
        <v>68</v>
      </c>
      <c r="E1412" s="5">
        <v>3360</v>
      </c>
      <c r="F1412" s="3">
        <v>3360</v>
      </c>
      <c r="G1412" s="3">
        <v>2352</v>
      </c>
      <c r="I1412" s="2" t="s">
        <v>1648</v>
      </c>
      <c r="J1412" s="2" t="s">
        <v>197</v>
      </c>
      <c r="K1412" t="s">
        <v>18</v>
      </c>
      <c r="L1412" t="str">
        <f>T("9791164098552")</f>
        <v>9791164098552</v>
      </c>
      <c r="M1412" t="str">
        <f t="shared" si="54"/>
        <v/>
      </c>
    </row>
    <row r="1413" spans="1:14">
      <c r="A1413" s="1">
        <v>46066.939583333333</v>
      </c>
      <c r="B1413">
        <v>383609229</v>
      </c>
      <c r="C1413" s="2" t="s">
        <v>1649</v>
      </c>
      <c r="D1413" t="s">
        <v>15</v>
      </c>
      <c r="E1413" s="5">
        <v>1100</v>
      </c>
      <c r="F1413" s="3">
        <v>1100</v>
      </c>
      <c r="G1413" s="2">
        <v>770</v>
      </c>
      <c r="I1413" s="2" t="s">
        <v>1650</v>
      </c>
      <c r="J1413" s="2" t="s">
        <v>197</v>
      </c>
      <c r="K1413" t="s">
        <v>18</v>
      </c>
      <c r="L1413" t="str">
        <f>T("9791172822125")</f>
        <v>9791172822125</v>
      </c>
      <c r="M1413" t="str">
        <f t="shared" si="54"/>
        <v/>
      </c>
      <c r="N1413" t="s">
        <v>1651</v>
      </c>
    </row>
    <row r="1414" spans="1:14">
      <c r="A1414" s="1">
        <v>46066.94458333333</v>
      </c>
      <c r="B1414">
        <v>383435421</v>
      </c>
      <c r="C1414" s="2" t="s">
        <v>27</v>
      </c>
      <c r="D1414" t="s">
        <v>15</v>
      </c>
      <c r="E1414" s="5">
        <v>1000</v>
      </c>
      <c r="F1414" s="3">
        <v>1000</v>
      </c>
      <c r="G1414" s="2">
        <v>700</v>
      </c>
      <c r="I1414" s="2" t="s">
        <v>28</v>
      </c>
      <c r="J1414" s="2" t="s">
        <v>21</v>
      </c>
      <c r="K1414" t="s">
        <v>18</v>
      </c>
      <c r="L1414" t="str">
        <f>T("9791175582361")</f>
        <v>9791175582361</v>
      </c>
      <c r="M1414" t="str">
        <f t="shared" si="54"/>
        <v/>
      </c>
      <c r="N1414" t="s">
        <v>29</v>
      </c>
    </row>
    <row r="1415" spans="1:14">
      <c r="A1415" s="1">
        <v>46066.94458333333</v>
      </c>
      <c r="B1415">
        <v>383952009</v>
      </c>
      <c r="C1415" s="2" t="s">
        <v>1652</v>
      </c>
      <c r="D1415" t="s">
        <v>15</v>
      </c>
      <c r="E1415" s="5">
        <v>1000</v>
      </c>
      <c r="F1415" s="3">
        <v>1000</v>
      </c>
      <c r="G1415" s="2">
        <v>700</v>
      </c>
      <c r="I1415" s="2" t="s">
        <v>1001</v>
      </c>
      <c r="J1415" s="2" t="s">
        <v>21</v>
      </c>
      <c r="K1415" t="s">
        <v>18</v>
      </c>
      <c r="L1415" t="str">
        <f>T("9791175582217")</f>
        <v>9791175582217</v>
      </c>
      <c r="M1415" t="str">
        <f t="shared" si="54"/>
        <v/>
      </c>
      <c r="N1415" t="s">
        <v>1653</v>
      </c>
    </row>
    <row r="1416" spans="1:14">
      <c r="A1416" s="1">
        <v>46066.94458333333</v>
      </c>
      <c r="B1416">
        <v>383952017</v>
      </c>
      <c r="C1416" s="2" t="s">
        <v>1654</v>
      </c>
      <c r="D1416" t="s">
        <v>15</v>
      </c>
      <c r="E1416" s="5">
        <v>1000</v>
      </c>
      <c r="F1416" s="3">
        <v>1000</v>
      </c>
      <c r="G1416" s="2">
        <v>700</v>
      </c>
      <c r="I1416" s="2" t="s">
        <v>1001</v>
      </c>
      <c r="J1416" s="2" t="s">
        <v>21</v>
      </c>
      <c r="K1416" t="s">
        <v>18</v>
      </c>
      <c r="L1416" t="str">
        <f>T("9791175582224")</f>
        <v>9791175582224</v>
      </c>
      <c r="M1416" t="str">
        <f t="shared" si="54"/>
        <v/>
      </c>
      <c r="N1416" t="s">
        <v>1655</v>
      </c>
    </row>
    <row r="1417" spans="1:14">
      <c r="A1417" s="1">
        <v>46066.94458333333</v>
      </c>
      <c r="B1417">
        <v>382626252</v>
      </c>
      <c r="C1417" s="2" t="s">
        <v>1656</v>
      </c>
      <c r="D1417" t="s">
        <v>15</v>
      </c>
      <c r="E1417" s="5">
        <v>1000</v>
      </c>
      <c r="F1417" s="3">
        <v>1000</v>
      </c>
      <c r="G1417" s="2">
        <v>700</v>
      </c>
      <c r="I1417" s="2" t="s">
        <v>166</v>
      </c>
      <c r="J1417" s="2" t="s">
        <v>21</v>
      </c>
      <c r="K1417" t="s">
        <v>18</v>
      </c>
      <c r="L1417" t="str">
        <f>T("9791175581654")</f>
        <v>9791175581654</v>
      </c>
      <c r="M1417" t="str">
        <f t="shared" si="54"/>
        <v/>
      </c>
      <c r="N1417" t="s">
        <v>1657</v>
      </c>
    </row>
    <row r="1418" spans="1:14">
      <c r="A1418" s="1">
        <v>46066.94458333333</v>
      </c>
      <c r="B1418">
        <v>379527572</v>
      </c>
      <c r="C1418" s="2" t="s">
        <v>669</v>
      </c>
      <c r="D1418" t="s">
        <v>15</v>
      </c>
      <c r="E1418" s="5">
        <v>1100</v>
      </c>
      <c r="F1418" s="3">
        <v>1100</v>
      </c>
      <c r="G1418" s="2">
        <v>770</v>
      </c>
      <c r="I1418" s="2" t="s">
        <v>211</v>
      </c>
      <c r="J1418" s="2" t="s">
        <v>21</v>
      </c>
      <c r="K1418" t="s">
        <v>18</v>
      </c>
      <c r="L1418" t="str">
        <f>T("9791175580756")</f>
        <v>9791175580756</v>
      </c>
      <c r="M1418" t="str">
        <f t="shared" si="54"/>
        <v/>
      </c>
      <c r="N1418" t="s">
        <v>670</v>
      </c>
    </row>
    <row r="1419" spans="1:14">
      <c r="A1419" s="1">
        <v>46066.94458333333</v>
      </c>
      <c r="B1419">
        <v>368002586</v>
      </c>
      <c r="C1419" s="2" t="s">
        <v>1658</v>
      </c>
      <c r="D1419" t="s">
        <v>15</v>
      </c>
      <c r="E1419" s="5">
        <v>1000</v>
      </c>
      <c r="F1419" s="3">
        <v>1000</v>
      </c>
      <c r="G1419" s="2">
        <v>700</v>
      </c>
      <c r="I1419" s="2" t="s">
        <v>166</v>
      </c>
      <c r="J1419" s="2" t="s">
        <v>21</v>
      </c>
      <c r="K1419" t="s">
        <v>18</v>
      </c>
      <c r="L1419" t="str">
        <f>T("9791173015878")</f>
        <v>9791173015878</v>
      </c>
      <c r="M1419" t="str">
        <f t="shared" si="54"/>
        <v/>
      </c>
      <c r="N1419" t="s">
        <v>1659</v>
      </c>
    </row>
    <row r="1420" spans="1:14">
      <c r="A1420" s="1">
        <v>46066.94458333333</v>
      </c>
      <c r="B1420">
        <v>368002805</v>
      </c>
      <c r="C1420" s="2" t="s">
        <v>171</v>
      </c>
      <c r="D1420" t="s">
        <v>15</v>
      </c>
      <c r="E1420" s="5">
        <v>1000</v>
      </c>
      <c r="F1420" s="3">
        <v>1000</v>
      </c>
      <c r="G1420" s="2">
        <v>700</v>
      </c>
      <c r="I1420" s="2" t="s">
        <v>166</v>
      </c>
      <c r="J1420" s="2" t="s">
        <v>21</v>
      </c>
      <c r="K1420" t="s">
        <v>18</v>
      </c>
      <c r="L1420" t="str">
        <f>T("9791173015885")</f>
        <v>9791173015885</v>
      </c>
      <c r="M1420" t="str">
        <f t="shared" si="54"/>
        <v/>
      </c>
      <c r="N1420" t="s">
        <v>172</v>
      </c>
    </row>
    <row r="1421" spans="1:14">
      <c r="A1421" s="1">
        <v>46066.94458333333</v>
      </c>
      <c r="B1421">
        <v>370351608</v>
      </c>
      <c r="C1421" s="2" t="s">
        <v>1660</v>
      </c>
      <c r="D1421" t="s">
        <v>15</v>
      </c>
      <c r="E1421" s="5">
        <v>1000</v>
      </c>
      <c r="F1421" s="3">
        <v>1000</v>
      </c>
      <c r="G1421" s="2">
        <v>700</v>
      </c>
      <c r="I1421" s="2" t="s">
        <v>166</v>
      </c>
      <c r="J1421" s="2" t="s">
        <v>21</v>
      </c>
      <c r="K1421" t="s">
        <v>18</v>
      </c>
      <c r="L1421" t="str">
        <f>T("9791173017346")</f>
        <v>9791173017346</v>
      </c>
      <c r="M1421" t="str">
        <f t="shared" si="54"/>
        <v/>
      </c>
      <c r="N1421" t="s">
        <v>1661</v>
      </c>
    </row>
    <row r="1422" spans="1:14">
      <c r="A1422" s="1">
        <v>46066.94458333333</v>
      </c>
      <c r="B1422">
        <v>370830362</v>
      </c>
      <c r="C1422" s="2" t="s">
        <v>643</v>
      </c>
      <c r="D1422" t="s">
        <v>15</v>
      </c>
      <c r="E1422" s="5">
        <v>1000</v>
      </c>
      <c r="F1422" s="3">
        <v>1000</v>
      </c>
      <c r="G1422" s="2">
        <v>700</v>
      </c>
      <c r="I1422" s="2" t="s">
        <v>166</v>
      </c>
      <c r="J1422" s="2" t="s">
        <v>21</v>
      </c>
      <c r="K1422" t="s">
        <v>18</v>
      </c>
      <c r="L1422" t="str">
        <f>T("9791173017285")</f>
        <v>9791173017285</v>
      </c>
      <c r="M1422" t="str">
        <f t="shared" si="54"/>
        <v/>
      </c>
      <c r="N1422" t="s">
        <v>644</v>
      </c>
    </row>
    <row r="1423" spans="1:14">
      <c r="A1423" s="1">
        <v>46066.94458333333</v>
      </c>
      <c r="B1423">
        <v>370614340</v>
      </c>
      <c r="C1423" s="2" t="s">
        <v>1662</v>
      </c>
      <c r="D1423" t="s">
        <v>15</v>
      </c>
      <c r="E1423" s="5">
        <v>1000</v>
      </c>
      <c r="F1423" s="3">
        <v>1000</v>
      </c>
      <c r="G1423" s="2">
        <v>700</v>
      </c>
      <c r="I1423" s="2" t="s">
        <v>1663</v>
      </c>
      <c r="J1423" s="2" t="s">
        <v>21</v>
      </c>
      <c r="K1423" t="s">
        <v>18</v>
      </c>
      <c r="L1423" t="str">
        <f>T("9791173017902")</f>
        <v>9791173017902</v>
      </c>
      <c r="M1423" t="str">
        <f t="shared" si="54"/>
        <v/>
      </c>
      <c r="N1423" t="s">
        <v>1664</v>
      </c>
    </row>
    <row r="1424" spans="1:14">
      <c r="A1424" s="1">
        <v>46066.94458333333</v>
      </c>
      <c r="B1424">
        <v>361607696</v>
      </c>
      <c r="C1424" s="2" t="s">
        <v>635</v>
      </c>
      <c r="D1424" t="s">
        <v>15</v>
      </c>
      <c r="E1424" s="5">
        <v>1100</v>
      </c>
      <c r="F1424" s="3">
        <v>1100</v>
      </c>
      <c r="G1424" s="2">
        <v>770</v>
      </c>
      <c r="I1424" s="2" t="s">
        <v>211</v>
      </c>
      <c r="J1424" s="2" t="s">
        <v>21</v>
      </c>
      <c r="K1424" t="s">
        <v>18</v>
      </c>
      <c r="L1424" t="str">
        <f>T("9791173013485")</f>
        <v>9791173013485</v>
      </c>
      <c r="M1424" t="str">
        <f t="shared" si="54"/>
        <v/>
      </c>
      <c r="N1424" t="s">
        <v>636</v>
      </c>
    </row>
    <row r="1425" spans="1:14">
      <c r="A1425" s="1">
        <v>46066.94458333333</v>
      </c>
      <c r="B1425">
        <v>385852578</v>
      </c>
      <c r="C1425" s="2" t="s">
        <v>1625</v>
      </c>
      <c r="D1425" t="s">
        <v>15</v>
      </c>
      <c r="E1425" s="5">
        <v>1100</v>
      </c>
      <c r="F1425" s="3">
        <v>1100</v>
      </c>
      <c r="G1425" s="2">
        <v>770</v>
      </c>
      <c r="I1425" s="2" t="s">
        <v>166</v>
      </c>
      <c r="J1425" s="2" t="s">
        <v>21</v>
      </c>
      <c r="K1425" t="s">
        <v>18</v>
      </c>
      <c r="L1425" t="str">
        <f>T("")</f>
        <v/>
      </c>
      <c r="M1425" t="str">
        <f>T("G720:N+A31120251203017.M002")</f>
        <v>G720:N+A31120251203017.M002</v>
      </c>
      <c r="N1425" t="s">
        <v>1626</v>
      </c>
    </row>
    <row r="1426" spans="1:14">
      <c r="A1426" s="1">
        <v>46066.94458333333</v>
      </c>
      <c r="B1426">
        <v>385517694</v>
      </c>
      <c r="C1426" s="2" t="s">
        <v>898</v>
      </c>
      <c r="D1426" t="s">
        <v>15</v>
      </c>
      <c r="E1426" s="4">
        <v>300</v>
      </c>
      <c r="F1426" s="2">
        <v>300</v>
      </c>
      <c r="G1426" s="2">
        <v>210</v>
      </c>
      <c r="I1426" s="2" t="s">
        <v>211</v>
      </c>
      <c r="J1426" s="2" t="s">
        <v>21</v>
      </c>
      <c r="K1426" t="s">
        <v>18</v>
      </c>
      <c r="L1426" t="str">
        <f>T("")</f>
        <v/>
      </c>
      <c r="M1426" t="str">
        <f>T("G720:N+A311-20251217050.M007")</f>
        <v>G720:N+A311-20251217050.M007</v>
      </c>
      <c r="N1426" t="s">
        <v>899</v>
      </c>
    </row>
    <row r="1427" spans="1:14">
      <c r="A1427" s="1">
        <v>46066.94458333333</v>
      </c>
      <c r="B1427">
        <v>385408887</v>
      </c>
      <c r="C1427" s="2" t="s">
        <v>756</v>
      </c>
      <c r="D1427" t="s">
        <v>15</v>
      </c>
      <c r="E1427" s="4">
        <v>300</v>
      </c>
      <c r="F1427" s="2">
        <v>300</v>
      </c>
      <c r="G1427" s="2">
        <v>210</v>
      </c>
      <c r="I1427" s="2" t="s">
        <v>211</v>
      </c>
      <c r="J1427" s="2" t="s">
        <v>21</v>
      </c>
      <c r="K1427" t="s">
        <v>18</v>
      </c>
      <c r="L1427" t="str">
        <f>T("")</f>
        <v/>
      </c>
      <c r="M1427" t="str">
        <f>T("G720:N+A311-20251217050.M006")</f>
        <v>G720:N+A311-20251217050.M006</v>
      </c>
      <c r="N1427" t="s">
        <v>757</v>
      </c>
    </row>
    <row r="1428" spans="1:14">
      <c r="A1428" s="1">
        <v>46066.94458333333</v>
      </c>
      <c r="B1428">
        <v>385373248</v>
      </c>
      <c r="C1428" s="2" t="s">
        <v>553</v>
      </c>
      <c r="D1428" t="s">
        <v>15</v>
      </c>
      <c r="E1428" s="5">
        <v>1100</v>
      </c>
      <c r="F1428" s="3">
        <v>1100</v>
      </c>
      <c r="G1428" s="2">
        <v>770</v>
      </c>
      <c r="I1428" s="2" t="s">
        <v>211</v>
      </c>
      <c r="J1428" s="2" t="s">
        <v>21</v>
      </c>
      <c r="K1428" t="s">
        <v>18</v>
      </c>
      <c r="L1428" t="str">
        <f>T("")</f>
        <v/>
      </c>
      <c r="M1428" t="str">
        <f>T("G720:N+A311-20251210011.M001")</f>
        <v>G720:N+A311-20251210011.M001</v>
      </c>
      <c r="N1428" t="s">
        <v>554</v>
      </c>
    </row>
    <row r="1429" spans="1:14">
      <c r="A1429" s="1">
        <v>46066.948645833334</v>
      </c>
      <c r="B1429">
        <v>328759043</v>
      </c>
      <c r="C1429" s="2" t="s">
        <v>1537</v>
      </c>
      <c r="D1429" t="s">
        <v>68</v>
      </c>
      <c r="E1429" s="4">
        <v>840</v>
      </c>
      <c r="F1429" s="2">
        <v>840</v>
      </c>
      <c r="G1429" s="2">
        <v>588</v>
      </c>
      <c r="I1429" s="2" t="s">
        <v>852</v>
      </c>
      <c r="J1429" s="2" t="s">
        <v>197</v>
      </c>
      <c r="K1429" t="s">
        <v>18</v>
      </c>
      <c r="L1429" t="str">
        <f>T("9791164099269")</f>
        <v>9791164099269</v>
      </c>
      <c r="M1429" t="str">
        <f t="shared" ref="M1429:M1460" si="56">T("")</f>
        <v/>
      </c>
    </row>
    <row r="1430" spans="1:14">
      <c r="A1430" s="1">
        <v>46066.948645833334</v>
      </c>
      <c r="B1430">
        <v>211909257</v>
      </c>
      <c r="C1430" s="2" t="s">
        <v>1665</v>
      </c>
      <c r="D1430" t="s">
        <v>68</v>
      </c>
      <c r="E1430" s="5">
        <v>4550</v>
      </c>
      <c r="F1430" s="3">
        <v>4550</v>
      </c>
      <c r="G1430" s="3">
        <v>3185</v>
      </c>
      <c r="I1430" s="2" t="s">
        <v>196</v>
      </c>
      <c r="J1430" s="2" t="s">
        <v>197</v>
      </c>
      <c r="K1430" t="s">
        <v>18</v>
      </c>
      <c r="L1430" t="str">
        <f>T("9791164090693")</f>
        <v>9791164090693</v>
      </c>
      <c r="M1430" t="str">
        <f t="shared" si="56"/>
        <v/>
      </c>
    </row>
    <row r="1431" spans="1:14">
      <c r="A1431" s="1">
        <v>46066.951678240737</v>
      </c>
      <c r="B1431">
        <v>386008650</v>
      </c>
      <c r="C1431" s="2" t="s">
        <v>1666</v>
      </c>
      <c r="D1431" t="s">
        <v>15</v>
      </c>
      <c r="E1431" s="5">
        <v>1000</v>
      </c>
      <c r="F1431" s="3">
        <v>1000</v>
      </c>
      <c r="G1431" s="2">
        <v>700</v>
      </c>
      <c r="I1431" s="2" t="s">
        <v>1667</v>
      </c>
      <c r="J1431" s="2" t="s">
        <v>21</v>
      </c>
      <c r="K1431" t="s">
        <v>18</v>
      </c>
      <c r="L1431" t="str">
        <f>T("9791175582880")</f>
        <v>9791175582880</v>
      </c>
      <c r="M1431" t="str">
        <f t="shared" si="56"/>
        <v/>
      </c>
      <c r="N1431" t="s">
        <v>1668</v>
      </c>
    </row>
    <row r="1432" spans="1:14">
      <c r="A1432" s="1">
        <v>46066.953321759262</v>
      </c>
      <c r="B1432">
        <v>279024570</v>
      </c>
      <c r="C1432" s="2" t="s">
        <v>1039</v>
      </c>
      <c r="D1432" t="s">
        <v>68</v>
      </c>
      <c r="E1432" s="5">
        <v>2000</v>
      </c>
      <c r="F1432" s="3">
        <v>2000</v>
      </c>
      <c r="G1432" s="3">
        <v>1400</v>
      </c>
      <c r="I1432" s="2" t="s">
        <v>1040</v>
      </c>
      <c r="J1432" s="2" t="s">
        <v>126</v>
      </c>
      <c r="K1432" t="s">
        <v>18</v>
      </c>
      <c r="L1432" t="str">
        <f>T("9791164974047")</f>
        <v>9791164974047</v>
      </c>
      <c r="M1432" t="str">
        <f t="shared" si="56"/>
        <v/>
      </c>
    </row>
    <row r="1433" spans="1:14">
      <c r="A1433" s="1">
        <v>46066.956296296295</v>
      </c>
      <c r="B1433">
        <v>229315688</v>
      </c>
      <c r="C1433" s="2" t="s">
        <v>1326</v>
      </c>
      <c r="D1433" t="s">
        <v>68</v>
      </c>
      <c r="E1433" s="5">
        <v>1200</v>
      </c>
      <c r="F1433" s="3">
        <v>1200</v>
      </c>
      <c r="G1433" s="2">
        <v>840</v>
      </c>
      <c r="I1433" s="2" t="s">
        <v>852</v>
      </c>
      <c r="J1433" s="2" t="s">
        <v>197</v>
      </c>
      <c r="K1433" t="s">
        <v>18</v>
      </c>
      <c r="L1433" t="str">
        <f>T("9791164090976")</f>
        <v>9791164090976</v>
      </c>
      <c r="M1433" t="str">
        <f t="shared" si="56"/>
        <v/>
      </c>
    </row>
    <row r="1434" spans="1:14">
      <c r="A1434" s="1">
        <v>46066.959502314814</v>
      </c>
      <c r="B1434">
        <v>372487137</v>
      </c>
      <c r="C1434" s="2" t="s">
        <v>147</v>
      </c>
      <c r="D1434" t="s">
        <v>15</v>
      </c>
      <c r="E1434" s="5">
        <v>1000</v>
      </c>
      <c r="F1434" s="3">
        <v>1000</v>
      </c>
      <c r="G1434" s="2">
        <v>700</v>
      </c>
      <c r="I1434" s="2" t="s">
        <v>148</v>
      </c>
      <c r="J1434" s="2" t="s">
        <v>21</v>
      </c>
      <c r="K1434" t="s">
        <v>18</v>
      </c>
      <c r="L1434" t="str">
        <f>T("9791173017797")</f>
        <v>9791173017797</v>
      </c>
      <c r="M1434" t="str">
        <f t="shared" si="56"/>
        <v/>
      </c>
      <c r="N1434" t="s">
        <v>149</v>
      </c>
    </row>
    <row r="1435" spans="1:14">
      <c r="A1435" s="1">
        <v>46066.961331018516</v>
      </c>
      <c r="B1435">
        <v>294613786</v>
      </c>
      <c r="C1435" s="2" t="s">
        <v>1669</v>
      </c>
      <c r="D1435" t="s">
        <v>15</v>
      </c>
      <c r="E1435" s="5">
        <v>1000</v>
      </c>
      <c r="F1435" s="3">
        <v>1000</v>
      </c>
      <c r="G1435" s="2">
        <v>700</v>
      </c>
      <c r="I1435" s="2" t="s">
        <v>877</v>
      </c>
      <c r="J1435" s="2" t="s">
        <v>177</v>
      </c>
      <c r="K1435" t="s">
        <v>18</v>
      </c>
      <c r="L1435" t="str">
        <f>T("9791164796090")</f>
        <v>9791164796090</v>
      </c>
      <c r="M1435" t="str">
        <f t="shared" si="56"/>
        <v/>
      </c>
      <c r="N1435" t="s">
        <v>1670</v>
      </c>
    </row>
    <row r="1436" spans="1:14">
      <c r="A1436" s="1">
        <v>46066.965462962966</v>
      </c>
      <c r="B1436">
        <v>383254085</v>
      </c>
      <c r="C1436" s="2" t="s">
        <v>1671</v>
      </c>
      <c r="D1436" t="s">
        <v>15</v>
      </c>
      <c r="E1436" s="5">
        <v>1000</v>
      </c>
      <c r="F1436" s="3">
        <v>1000</v>
      </c>
      <c r="G1436" s="2">
        <v>700</v>
      </c>
      <c r="I1436" s="2" t="s">
        <v>1672</v>
      </c>
      <c r="J1436" s="2" t="s">
        <v>1673</v>
      </c>
      <c r="K1436" t="s">
        <v>18</v>
      </c>
      <c r="L1436" t="str">
        <f>T("9791194982821")</f>
        <v>9791194982821</v>
      </c>
      <c r="M1436" t="str">
        <f t="shared" si="56"/>
        <v/>
      </c>
      <c r="N1436" t="s">
        <v>1674</v>
      </c>
    </row>
    <row r="1437" spans="1:14">
      <c r="A1437" s="1">
        <v>46066.973090277781</v>
      </c>
      <c r="B1437">
        <v>379511327</v>
      </c>
      <c r="C1437" s="2" t="s">
        <v>262</v>
      </c>
      <c r="D1437" t="s">
        <v>15</v>
      </c>
      <c r="E1437" s="5">
        <v>3300</v>
      </c>
      <c r="F1437" s="3">
        <v>3300</v>
      </c>
      <c r="G1437" s="3">
        <v>2310</v>
      </c>
      <c r="I1437" s="2" t="s">
        <v>263</v>
      </c>
      <c r="J1437" s="2" t="s">
        <v>126</v>
      </c>
      <c r="K1437" t="s">
        <v>18</v>
      </c>
      <c r="L1437" t="str">
        <f>T("9791171502875")</f>
        <v>9791171502875</v>
      </c>
      <c r="M1437" t="str">
        <f t="shared" si="56"/>
        <v/>
      </c>
      <c r="N1437" t="s">
        <v>264</v>
      </c>
    </row>
    <row r="1438" spans="1:14">
      <c r="A1438" s="1">
        <v>46066.97383101852</v>
      </c>
      <c r="B1438">
        <v>277935570</v>
      </c>
      <c r="C1438" s="2" t="s">
        <v>1675</v>
      </c>
      <c r="D1438" t="s">
        <v>15</v>
      </c>
      <c r="E1438" s="4">
        <v>100</v>
      </c>
      <c r="F1438" s="2">
        <v>100</v>
      </c>
      <c r="G1438" s="2">
        <v>70</v>
      </c>
      <c r="I1438" s="2" t="s">
        <v>64</v>
      </c>
      <c r="J1438" s="2" t="s">
        <v>65</v>
      </c>
      <c r="K1438" t="s">
        <v>18</v>
      </c>
      <c r="L1438" t="str">
        <f>T("9791162589724")</f>
        <v>9791162589724</v>
      </c>
      <c r="M1438" t="str">
        <f t="shared" si="56"/>
        <v/>
      </c>
      <c r="N1438" t="s">
        <v>1676</v>
      </c>
    </row>
    <row r="1439" spans="1:14">
      <c r="A1439" s="1">
        <v>46066.974178240744</v>
      </c>
      <c r="B1439">
        <v>385347797</v>
      </c>
      <c r="C1439" s="2" t="s">
        <v>195</v>
      </c>
      <c r="D1439" t="s">
        <v>15</v>
      </c>
      <c r="E1439" s="4">
        <v>700</v>
      </c>
      <c r="F1439" s="2">
        <v>630</v>
      </c>
      <c r="G1439" s="2">
        <v>441</v>
      </c>
      <c r="I1439" s="2" t="s">
        <v>196</v>
      </c>
      <c r="J1439" s="2" t="s">
        <v>197</v>
      </c>
      <c r="K1439" t="s">
        <v>18</v>
      </c>
      <c r="L1439" t="str">
        <f>T("9791172821937")</f>
        <v>9791172821937</v>
      </c>
      <c r="M1439" t="str">
        <f t="shared" si="56"/>
        <v/>
      </c>
      <c r="N1439" t="s">
        <v>198</v>
      </c>
    </row>
    <row r="1440" spans="1:14">
      <c r="A1440" s="1">
        <v>46066.981307870374</v>
      </c>
      <c r="B1440">
        <v>370130277</v>
      </c>
      <c r="C1440" s="2" t="s">
        <v>1677</v>
      </c>
      <c r="D1440" t="s">
        <v>68</v>
      </c>
      <c r="E1440" s="4">
        <v>700</v>
      </c>
      <c r="F1440" s="2">
        <v>700</v>
      </c>
      <c r="G1440" s="2">
        <v>490</v>
      </c>
      <c r="I1440" s="2" t="s">
        <v>244</v>
      </c>
      <c r="J1440" s="2" t="s">
        <v>245</v>
      </c>
      <c r="K1440" t="s">
        <v>18</v>
      </c>
      <c r="L1440" t="str">
        <f>T("9791164489145")</f>
        <v>9791164489145</v>
      </c>
      <c r="M1440" t="str">
        <f t="shared" si="56"/>
        <v/>
      </c>
      <c r="N1440" t="s">
        <v>1678</v>
      </c>
    </row>
    <row r="1441" spans="1:14">
      <c r="A1441" s="1">
        <v>46066.987615740742</v>
      </c>
      <c r="B1441">
        <v>338936101</v>
      </c>
      <c r="C1441" s="2" t="s">
        <v>1679</v>
      </c>
      <c r="D1441" t="s">
        <v>15</v>
      </c>
      <c r="E1441" s="5">
        <v>1600</v>
      </c>
      <c r="F1441" s="3">
        <v>1600</v>
      </c>
      <c r="G1441" s="3">
        <v>1120</v>
      </c>
      <c r="I1441" s="2" t="s">
        <v>1387</v>
      </c>
      <c r="J1441" s="2" t="s">
        <v>21</v>
      </c>
      <c r="K1441" t="s">
        <v>18</v>
      </c>
      <c r="L1441" t="str">
        <f>T("9791170896234")</f>
        <v>9791170896234</v>
      </c>
      <c r="M1441" t="str">
        <f t="shared" si="56"/>
        <v/>
      </c>
      <c r="N1441" t="s">
        <v>1680</v>
      </c>
    </row>
    <row r="1442" spans="1:14">
      <c r="A1442" s="1">
        <v>46066.988703703704</v>
      </c>
      <c r="B1442">
        <v>384598651</v>
      </c>
      <c r="C1442" s="2" t="s">
        <v>696</v>
      </c>
      <c r="D1442" t="s">
        <v>15</v>
      </c>
      <c r="E1442" s="5">
        <v>1000</v>
      </c>
      <c r="F1442" s="3">
        <v>1000</v>
      </c>
      <c r="G1442" s="2">
        <v>700</v>
      </c>
      <c r="I1442" s="2" t="s">
        <v>28</v>
      </c>
      <c r="J1442" s="2" t="s">
        <v>21</v>
      </c>
      <c r="K1442" t="s">
        <v>18</v>
      </c>
      <c r="L1442" t="str">
        <f>T("9791175582422")</f>
        <v>9791175582422</v>
      </c>
      <c r="M1442" t="str">
        <f t="shared" si="56"/>
        <v/>
      </c>
      <c r="N1442" t="s">
        <v>697</v>
      </c>
    </row>
    <row r="1443" spans="1:14">
      <c r="A1443" s="1">
        <v>46066.990497685183</v>
      </c>
      <c r="B1443">
        <v>386057276</v>
      </c>
      <c r="C1443" s="2" t="s">
        <v>1681</v>
      </c>
      <c r="D1443" t="s">
        <v>68</v>
      </c>
      <c r="E1443" s="5">
        <v>8100</v>
      </c>
      <c r="F1443" s="3">
        <v>8100</v>
      </c>
      <c r="G1443" s="3">
        <v>5670</v>
      </c>
      <c r="I1443" s="2" t="s">
        <v>1682</v>
      </c>
      <c r="J1443" s="2" t="s">
        <v>197</v>
      </c>
      <c r="K1443" t="s">
        <v>18</v>
      </c>
      <c r="L1443" t="str">
        <f>T("9791164097661")</f>
        <v>9791164097661</v>
      </c>
      <c r="M1443" t="str">
        <f t="shared" si="56"/>
        <v/>
      </c>
    </row>
    <row r="1444" spans="1:14">
      <c r="A1444" s="1">
        <v>46066.991597222222</v>
      </c>
      <c r="B1444">
        <v>385782810</v>
      </c>
      <c r="C1444" s="2" t="s">
        <v>1167</v>
      </c>
      <c r="D1444" t="s">
        <v>15</v>
      </c>
      <c r="E1444" s="5">
        <v>2000</v>
      </c>
      <c r="F1444" s="3">
        <v>1800</v>
      </c>
      <c r="G1444" s="3">
        <v>1260</v>
      </c>
      <c r="I1444" s="2" t="s">
        <v>1141</v>
      </c>
      <c r="J1444" s="2" t="s">
        <v>184</v>
      </c>
      <c r="K1444" t="s">
        <v>18</v>
      </c>
      <c r="L1444" t="str">
        <f>T("9791170965671")</f>
        <v>9791170965671</v>
      </c>
      <c r="M1444" t="str">
        <f t="shared" si="56"/>
        <v/>
      </c>
      <c r="N1444" t="s">
        <v>1168</v>
      </c>
    </row>
    <row r="1445" spans="1:14">
      <c r="A1445" s="1">
        <v>46066.993379629632</v>
      </c>
      <c r="B1445">
        <v>385347797</v>
      </c>
      <c r="C1445" s="2" t="s">
        <v>195</v>
      </c>
      <c r="D1445" t="s">
        <v>15</v>
      </c>
      <c r="E1445" s="4">
        <v>700</v>
      </c>
      <c r="F1445" s="2">
        <v>630</v>
      </c>
      <c r="G1445" s="2">
        <v>441</v>
      </c>
      <c r="I1445" s="2" t="s">
        <v>196</v>
      </c>
      <c r="J1445" s="2" t="s">
        <v>197</v>
      </c>
      <c r="K1445" t="s">
        <v>18</v>
      </c>
      <c r="L1445" t="str">
        <f>T("9791172821937")</f>
        <v>9791172821937</v>
      </c>
      <c r="M1445" t="str">
        <f t="shared" si="56"/>
        <v/>
      </c>
      <c r="N1445" t="s">
        <v>198</v>
      </c>
    </row>
    <row r="1446" spans="1:14">
      <c r="A1446" s="1">
        <v>46066.99423611111</v>
      </c>
      <c r="B1446">
        <v>357051143</v>
      </c>
      <c r="C1446" s="2" t="s">
        <v>1683</v>
      </c>
      <c r="D1446" t="s">
        <v>15</v>
      </c>
      <c r="E1446" s="5">
        <v>1000</v>
      </c>
      <c r="F1446" s="3">
        <v>1000</v>
      </c>
      <c r="G1446" s="2">
        <v>700</v>
      </c>
      <c r="I1446" s="2" t="s">
        <v>148</v>
      </c>
      <c r="J1446" s="2" t="s">
        <v>21</v>
      </c>
      <c r="K1446" t="s">
        <v>18</v>
      </c>
      <c r="L1446" t="str">
        <f>T("9791173012594")</f>
        <v>9791173012594</v>
      </c>
      <c r="M1446" t="str">
        <f t="shared" si="56"/>
        <v/>
      </c>
      <c r="N1446" t="s">
        <v>1684</v>
      </c>
    </row>
    <row r="1447" spans="1:14">
      <c r="A1447" s="1">
        <v>46066.997488425928</v>
      </c>
      <c r="B1447">
        <v>342535737</v>
      </c>
      <c r="C1447" s="2" t="s">
        <v>1685</v>
      </c>
      <c r="D1447" t="s">
        <v>15</v>
      </c>
      <c r="E1447" s="5">
        <v>1000</v>
      </c>
      <c r="F1447" s="3">
        <v>1000</v>
      </c>
      <c r="G1447" s="2">
        <v>700</v>
      </c>
      <c r="I1447" s="2" t="s">
        <v>281</v>
      </c>
      <c r="J1447" s="2" t="s">
        <v>21</v>
      </c>
      <c r="K1447" t="s">
        <v>18</v>
      </c>
      <c r="L1447" t="str">
        <f>T("9791170896982")</f>
        <v>9791170896982</v>
      </c>
      <c r="M1447" t="str">
        <f t="shared" si="56"/>
        <v/>
      </c>
      <c r="N1447" t="s">
        <v>1686</v>
      </c>
    </row>
    <row r="1448" spans="1:14">
      <c r="A1448" s="1">
        <v>46066.998287037037</v>
      </c>
      <c r="B1448">
        <v>277935812</v>
      </c>
      <c r="C1448" s="2" t="s">
        <v>1687</v>
      </c>
      <c r="D1448" t="s">
        <v>15</v>
      </c>
      <c r="E1448" s="4">
        <v>100</v>
      </c>
      <c r="F1448" s="2">
        <v>100</v>
      </c>
      <c r="G1448" s="2">
        <v>70</v>
      </c>
      <c r="I1448" s="2" t="s">
        <v>64</v>
      </c>
      <c r="J1448" s="2" t="s">
        <v>65</v>
      </c>
      <c r="K1448" t="s">
        <v>18</v>
      </c>
      <c r="L1448" t="str">
        <f>T("9791162589724")</f>
        <v>9791162589724</v>
      </c>
      <c r="M1448" t="str">
        <f t="shared" si="56"/>
        <v/>
      </c>
      <c r="N1448" t="s">
        <v>1688</v>
      </c>
    </row>
    <row r="1449" spans="1:14">
      <c r="A1449" s="1">
        <v>46066.998935185184</v>
      </c>
      <c r="B1449">
        <v>211909257</v>
      </c>
      <c r="C1449" s="2" t="s">
        <v>1665</v>
      </c>
      <c r="D1449" t="s">
        <v>68</v>
      </c>
      <c r="E1449" s="5">
        <v>4550</v>
      </c>
      <c r="F1449" s="3">
        <v>4550</v>
      </c>
      <c r="G1449" s="3">
        <v>3185</v>
      </c>
      <c r="I1449" s="2" t="s">
        <v>196</v>
      </c>
      <c r="J1449" s="2" t="s">
        <v>197</v>
      </c>
      <c r="K1449" t="s">
        <v>18</v>
      </c>
      <c r="L1449" t="str">
        <f>T("9791164090693")</f>
        <v>9791164090693</v>
      </c>
      <c r="M1449" t="str">
        <f t="shared" si="56"/>
        <v/>
      </c>
    </row>
    <row r="1450" spans="1:14">
      <c r="A1450" s="1">
        <v>46066.999247685184</v>
      </c>
      <c r="B1450">
        <v>366699561</v>
      </c>
      <c r="C1450" s="2" t="s">
        <v>156</v>
      </c>
      <c r="D1450" t="s">
        <v>15</v>
      </c>
      <c r="E1450" s="5">
        <v>1100</v>
      </c>
      <c r="F1450" s="3">
        <v>1100</v>
      </c>
      <c r="G1450" s="2">
        <v>770</v>
      </c>
      <c r="I1450" s="2" t="s">
        <v>148</v>
      </c>
      <c r="J1450" s="2" t="s">
        <v>21</v>
      </c>
      <c r="K1450" t="s">
        <v>18</v>
      </c>
      <c r="L1450" t="str">
        <f>T("9791173015137")</f>
        <v>9791173015137</v>
      </c>
      <c r="M1450" t="str">
        <f t="shared" si="56"/>
        <v/>
      </c>
      <c r="N1450" t="s">
        <v>157</v>
      </c>
    </row>
    <row r="1451" spans="1:14">
      <c r="A1451" s="1">
        <v>46066.999479166669</v>
      </c>
      <c r="B1451">
        <v>277935479</v>
      </c>
      <c r="C1451" s="2" t="s">
        <v>1689</v>
      </c>
      <c r="D1451" t="s">
        <v>15</v>
      </c>
      <c r="E1451" s="4">
        <v>100</v>
      </c>
      <c r="F1451" s="2">
        <v>100</v>
      </c>
      <c r="G1451" s="2">
        <v>70</v>
      </c>
      <c r="I1451" s="2" t="s">
        <v>64</v>
      </c>
      <c r="J1451" s="2" t="s">
        <v>65</v>
      </c>
      <c r="K1451" t="s">
        <v>18</v>
      </c>
      <c r="L1451" t="str">
        <f t="shared" ref="L1451:L1456" si="57">T("9791162589724")</f>
        <v>9791162589724</v>
      </c>
      <c r="M1451" t="str">
        <f t="shared" si="56"/>
        <v/>
      </c>
      <c r="N1451" t="s">
        <v>1690</v>
      </c>
    </row>
    <row r="1452" spans="1:14">
      <c r="A1452" s="1">
        <v>46067.006319444445</v>
      </c>
      <c r="B1452">
        <v>277935474</v>
      </c>
      <c r="C1452" s="2" t="s">
        <v>1691</v>
      </c>
      <c r="D1452" t="s">
        <v>15</v>
      </c>
      <c r="E1452" s="4">
        <v>100</v>
      </c>
      <c r="F1452" s="2">
        <v>100</v>
      </c>
      <c r="G1452" s="2">
        <v>70</v>
      </c>
      <c r="I1452" s="2" t="s">
        <v>64</v>
      </c>
      <c r="J1452" s="2" t="s">
        <v>65</v>
      </c>
      <c r="K1452" t="s">
        <v>18</v>
      </c>
      <c r="L1452" t="str">
        <f t="shared" si="57"/>
        <v>9791162589724</v>
      </c>
      <c r="M1452" t="str">
        <f t="shared" si="56"/>
        <v/>
      </c>
      <c r="N1452" t="s">
        <v>1692</v>
      </c>
    </row>
    <row r="1453" spans="1:14">
      <c r="A1453" s="1">
        <v>46067.006319444445</v>
      </c>
      <c r="B1453">
        <v>277935611</v>
      </c>
      <c r="C1453" s="2" t="s">
        <v>1693</v>
      </c>
      <c r="D1453" t="s">
        <v>15</v>
      </c>
      <c r="E1453" s="4">
        <v>100</v>
      </c>
      <c r="F1453" s="2">
        <v>100</v>
      </c>
      <c r="G1453" s="2">
        <v>70</v>
      </c>
      <c r="I1453" s="2" t="s">
        <v>64</v>
      </c>
      <c r="J1453" s="2" t="s">
        <v>65</v>
      </c>
      <c r="K1453" t="s">
        <v>18</v>
      </c>
      <c r="L1453" t="str">
        <f t="shared" si="57"/>
        <v>9791162589724</v>
      </c>
      <c r="M1453" t="str">
        <f t="shared" si="56"/>
        <v/>
      </c>
      <c r="N1453" t="s">
        <v>1694</v>
      </c>
    </row>
    <row r="1454" spans="1:14">
      <c r="A1454" s="1">
        <v>46067.006319444445</v>
      </c>
      <c r="B1454">
        <v>277935658</v>
      </c>
      <c r="C1454" s="2" t="s">
        <v>881</v>
      </c>
      <c r="D1454" t="s">
        <v>15</v>
      </c>
      <c r="E1454" s="4">
        <v>100</v>
      </c>
      <c r="F1454" s="2">
        <v>100</v>
      </c>
      <c r="G1454" s="2">
        <v>70</v>
      </c>
      <c r="I1454" s="2" t="s">
        <v>64</v>
      </c>
      <c r="J1454" s="2" t="s">
        <v>65</v>
      </c>
      <c r="K1454" t="s">
        <v>18</v>
      </c>
      <c r="L1454" t="str">
        <f t="shared" si="57"/>
        <v>9791162589724</v>
      </c>
      <c r="M1454" t="str">
        <f t="shared" si="56"/>
        <v/>
      </c>
      <c r="N1454" t="s">
        <v>882</v>
      </c>
    </row>
    <row r="1455" spans="1:14">
      <c r="A1455" s="1">
        <v>46067.006319444445</v>
      </c>
      <c r="B1455">
        <v>277935714</v>
      </c>
      <c r="C1455" s="2" t="s">
        <v>1695</v>
      </c>
      <c r="D1455" t="s">
        <v>15</v>
      </c>
      <c r="E1455" s="4">
        <v>100</v>
      </c>
      <c r="F1455" s="2">
        <v>100</v>
      </c>
      <c r="G1455" s="2">
        <v>70</v>
      </c>
      <c r="I1455" s="2" t="s">
        <v>64</v>
      </c>
      <c r="J1455" s="2" t="s">
        <v>65</v>
      </c>
      <c r="K1455" t="s">
        <v>18</v>
      </c>
      <c r="L1455" t="str">
        <f t="shared" si="57"/>
        <v>9791162589724</v>
      </c>
      <c r="M1455" t="str">
        <f t="shared" si="56"/>
        <v/>
      </c>
      <c r="N1455" t="s">
        <v>1696</v>
      </c>
    </row>
    <row r="1456" spans="1:14">
      <c r="A1456" s="1">
        <v>46067.006319444445</v>
      </c>
      <c r="B1456">
        <v>277935709</v>
      </c>
      <c r="C1456" s="2" t="s">
        <v>1697</v>
      </c>
      <c r="D1456" t="s">
        <v>15</v>
      </c>
      <c r="E1456" s="4">
        <v>100</v>
      </c>
      <c r="F1456" s="2">
        <v>100</v>
      </c>
      <c r="G1456" s="2">
        <v>70</v>
      </c>
      <c r="I1456" s="2" t="s">
        <v>64</v>
      </c>
      <c r="J1456" s="2" t="s">
        <v>65</v>
      </c>
      <c r="K1456" t="s">
        <v>18</v>
      </c>
      <c r="L1456" t="str">
        <f t="shared" si="57"/>
        <v>9791162589724</v>
      </c>
      <c r="M1456" t="str">
        <f t="shared" si="56"/>
        <v/>
      </c>
      <c r="N1456" t="s">
        <v>1698</v>
      </c>
    </row>
    <row r="1457" spans="1:14">
      <c r="A1457" s="1">
        <v>46067.00886574074</v>
      </c>
      <c r="B1457">
        <v>300774087</v>
      </c>
      <c r="C1457" s="2" t="s">
        <v>1699</v>
      </c>
      <c r="D1457" t="s">
        <v>15</v>
      </c>
      <c r="E1457" s="5">
        <v>4000</v>
      </c>
      <c r="F1457" s="3">
        <v>4000</v>
      </c>
      <c r="G1457" s="3">
        <v>2800</v>
      </c>
      <c r="I1457" s="2" t="s">
        <v>266</v>
      </c>
      <c r="J1457" s="2" t="s">
        <v>126</v>
      </c>
      <c r="K1457" t="s">
        <v>18</v>
      </c>
      <c r="L1457" t="str">
        <f>T("9791164977543")</f>
        <v>9791164977543</v>
      </c>
      <c r="M1457" t="str">
        <f t="shared" si="56"/>
        <v/>
      </c>
      <c r="N1457" t="s">
        <v>1700</v>
      </c>
    </row>
    <row r="1458" spans="1:14">
      <c r="A1458" s="1">
        <v>46067.013124999998</v>
      </c>
      <c r="B1458">
        <v>375539714</v>
      </c>
      <c r="C1458" s="2" t="s">
        <v>1701</v>
      </c>
      <c r="D1458" t="s">
        <v>15</v>
      </c>
      <c r="E1458" s="5">
        <v>1000</v>
      </c>
      <c r="F1458" s="3">
        <v>1000</v>
      </c>
      <c r="G1458" s="2">
        <v>700</v>
      </c>
      <c r="I1458" s="2" t="s">
        <v>1702</v>
      </c>
      <c r="J1458" s="2" t="s">
        <v>55</v>
      </c>
      <c r="K1458" t="s">
        <v>18</v>
      </c>
      <c r="L1458" t="str">
        <f>T("9791173018954")</f>
        <v>9791173018954</v>
      </c>
      <c r="M1458" t="str">
        <f t="shared" si="56"/>
        <v/>
      </c>
      <c r="N1458" t="s">
        <v>1703</v>
      </c>
    </row>
    <row r="1459" spans="1:14">
      <c r="A1459" s="1">
        <v>46067.02138888889</v>
      </c>
      <c r="B1459">
        <v>386008658</v>
      </c>
      <c r="C1459" s="2" t="s">
        <v>1429</v>
      </c>
      <c r="D1459" t="s">
        <v>15</v>
      </c>
      <c r="E1459" s="5">
        <v>1100</v>
      </c>
      <c r="F1459" s="3">
        <v>1100</v>
      </c>
      <c r="G1459" s="2">
        <v>770</v>
      </c>
      <c r="I1459" s="2" t="s">
        <v>148</v>
      </c>
      <c r="J1459" s="2" t="s">
        <v>21</v>
      </c>
      <c r="K1459" t="s">
        <v>18</v>
      </c>
      <c r="L1459" t="str">
        <f>T("9791175582873")</f>
        <v>9791175582873</v>
      </c>
      <c r="M1459" t="str">
        <f t="shared" si="56"/>
        <v/>
      </c>
      <c r="N1459" t="s">
        <v>1430</v>
      </c>
    </row>
    <row r="1460" spans="1:14">
      <c r="A1460" s="1">
        <v>46067.026030092595</v>
      </c>
      <c r="B1460">
        <v>280974775</v>
      </c>
      <c r="C1460" s="2" t="s">
        <v>1704</v>
      </c>
      <c r="D1460" t="s">
        <v>15</v>
      </c>
      <c r="E1460" s="4">
        <v>100</v>
      </c>
      <c r="F1460" s="2">
        <v>100</v>
      </c>
      <c r="G1460" s="2">
        <v>70</v>
      </c>
      <c r="I1460" s="2" t="s">
        <v>64</v>
      </c>
      <c r="J1460" s="2" t="s">
        <v>65</v>
      </c>
      <c r="K1460" t="s">
        <v>18</v>
      </c>
      <c r="L1460" t="str">
        <f>T("9791162589724")</f>
        <v>9791162589724</v>
      </c>
      <c r="M1460" t="str">
        <f t="shared" si="56"/>
        <v/>
      </c>
      <c r="N1460" t="s">
        <v>1705</v>
      </c>
    </row>
    <row r="1461" spans="1:14">
      <c r="A1461" s="1">
        <v>46067.026030092595</v>
      </c>
      <c r="B1461">
        <v>280974771</v>
      </c>
      <c r="C1461" s="2" t="s">
        <v>1706</v>
      </c>
      <c r="D1461" t="s">
        <v>15</v>
      </c>
      <c r="E1461" s="4">
        <v>100</v>
      </c>
      <c r="F1461" s="2">
        <v>100</v>
      </c>
      <c r="G1461" s="2">
        <v>70</v>
      </c>
      <c r="I1461" s="2" t="s">
        <v>64</v>
      </c>
      <c r="J1461" s="2" t="s">
        <v>65</v>
      </c>
      <c r="K1461" t="s">
        <v>18</v>
      </c>
      <c r="L1461" t="str">
        <f>T("9791162589724")</f>
        <v>9791162589724</v>
      </c>
      <c r="M1461" t="str">
        <f t="shared" ref="M1461:M1492" si="58">T("")</f>
        <v/>
      </c>
      <c r="N1461" t="s">
        <v>1707</v>
      </c>
    </row>
    <row r="1462" spans="1:14">
      <c r="A1462" s="1">
        <v>46067.026030092595</v>
      </c>
      <c r="B1462">
        <v>280974773</v>
      </c>
      <c r="C1462" s="2" t="s">
        <v>1708</v>
      </c>
      <c r="D1462" t="s">
        <v>15</v>
      </c>
      <c r="E1462" s="4">
        <v>100</v>
      </c>
      <c r="F1462" s="2">
        <v>100</v>
      </c>
      <c r="G1462" s="2">
        <v>70</v>
      </c>
      <c r="I1462" s="2" t="s">
        <v>64</v>
      </c>
      <c r="J1462" s="2" t="s">
        <v>65</v>
      </c>
      <c r="K1462" t="s">
        <v>18</v>
      </c>
      <c r="L1462" t="str">
        <f>T("9791162589724")</f>
        <v>9791162589724</v>
      </c>
      <c r="M1462" t="str">
        <f t="shared" si="58"/>
        <v/>
      </c>
      <c r="N1462" t="s">
        <v>1709</v>
      </c>
    </row>
    <row r="1463" spans="1:14">
      <c r="A1463" s="1">
        <v>46067.026030092595</v>
      </c>
      <c r="B1463">
        <v>280128846</v>
      </c>
      <c r="C1463" s="2" t="s">
        <v>1710</v>
      </c>
      <c r="D1463" t="s">
        <v>15</v>
      </c>
      <c r="E1463" s="4">
        <v>100</v>
      </c>
      <c r="F1463" s="2">
        <v>100</v>
      </c>
      <c r="G1463" s="2">
        <v>70</v>
      </c>
      <c r="I1463" s="2" t="s">
        <v>64</v>
      </c>
      <c r="J1463" s="2" t="s">
        <v>65</v>
      </c>
      <c r="K1463" t="s">
        <v>18</v>
      </c>
      <c r="L1463" t="str">
        <f>T("9791162589724")</f>
        <v>9791162589724</v>
      </c>
      <c r="M1463" t="str">
        <f t="shared" si="58"/>
        <v/>
      </c>
      <c r="N1463" t="s">
        <v>1711</v>
      </c>
    </row>
    <row r="1464" spans="1:14">
      <c r="A1464" s="1">
        <v>46067.026030092595</v>
      </c>
      <c r="B1464">
        <v>280974770</v>
      </c>
      <c r="C1464" s="2" t="s">
        <v>1712</v>
      </c>
      <c r="D1464" t="s">
        <v>15</v>
      </c>
      <c r="E1464" s="4">
        <v>100</v>
      </c>
      <c r="F1464" s="2">
        <v>100</v>
      </c>
      <c r="G1464" s="2">
        <v>70</v>
      </c>
      <c r="I1464" s="2" t="s">
        <v>64</v>
      </c>
      <c r="J1464" s="2" t="s">
        <v>65</v>
      </c>
      <c r="K1464" t="s">
        <v>18</v>
      </c>
      <c r="L1464" t="str">
        <f>T("9791162589724")</f>
        <v>9791162589724</v>
      </c>
      <c r="M1464" t="str">
        <f t="shared" si="58"/>
        <v/>
      </c>
      <c r="N1464" t="s">
        <v>1713</v>
      </c>
    </row>
    <row r="1465" spans="1:14">
      <c r="A1465" s="1">
        <v>46067.026076388887</v>
      </c>
      <c r="B1465">
        <v>370130226</v>
      </c>
      <c r="C1465" s="2" t="s">
        <v>1156</v>
      </c>
      <c r="D1465" t="s">
        <v>15</v>
      </c>
      <c r="E1465" s="4">
        <v>0</v>
      </c>
      <c r="F1465" s="2">
        <v>0</v>
      </c>
      <c r="G1465" s="2">
        <v>0</v>
      </c>
      <c r="I1465" s="2" t="s">
        <v>493</v>
      </c>
      <c r="J1465" s="2" t="s">
        <v>65</v>
      </c>
      <c r="K1465" t="s">
        <v>18</v>
      </c>
      <c r="L1465" t="str">
        <f>T("9791137010697")</f>
        <v>9791137010697</v>
      </c>
      <c r="M1465" t="str">
        <f t="shared" si="58"/>
        <v/>
      </c>
      <c r="N1465" t="s">
        <v>1157</v>
      </c>
    </row>
    <row r="1466" spans="1:14">
      <c r="A1466" s="1">
        <v>46067.026585648149</v>
      </c>
      <c r="B1466">
        <v>375539695</v>
      </c>
      <c r="C1466" s="2" t="s">
        <v>1397</v>
      </c>
      <c r="D1466" t="s">
        <v>15</v>
      </c>
      <c r="E1466" s="5">
        <v>1000</v>
      </c>
      <c r="F1466" s="3">
        <v>1000</v>
      </c>
      <c r="G1466" s="2">
        <v>700</v>
      </c>
      <c r="I1466" s="2" t="s">
        <v>148</v>
      </c>
      <c r="J1466" s="2" t="s">
        <v>21</v>
      </c>
      <c r="K1466" t="s">
        <v>18</v>
      </c>
      <c r="L1466" t="str">
        <f>T("9791173018770")</f>
        <v>9791173018770</v>
      </c>
      <c r="M1466" t="str">
        <f t="shared" si="58"/>
        <v/>
      </c>
      <c r="N1466" t="s">
        <v>1398</v>
      </c>
    </row>
    <row r="1467" spans="1:14">
      <c r="A1467" s="1">
        <v>46067.027418981481</v>
      </c>
      <c r="B1467">
        <v>385193750</v>
      </c>
      <c r="C1467" s="2" t="s">
        <v>311</v>
      </c>
      <c r="D1467" t="s">
        <v>15</v>
      </c>
      <c r="E1467" s="5">
        <v>1000</v>
      </c>
      <c r="F1467" s="3">
        <v>1000</v>
      </c>
      <c r="G1467" s="2">
        <v>700</v>
      </c>
      <c r="I1467" s="2" t="s">
        <v>312</v>
      </c>
      <c r="J1467" s="2" t="s">
        <v>21</v>
      </c>
      <c r="K1467" t="s">
        <v>18</v>
      </c>
      <c r="L1467" t="str">
        <f>T("9791175582484")</f>
        <v>9791175582484</v>
      </c>
      <c r="M1467" t="str">
        <f t="shared" si="58"/>
        <v/>
      </c>
      <c r="N1467" t="s">
        <v>313</v>
      </c>
    </row>
    <row r="1468" spans="1:14">
      <c r="A1468" s="1">
        <v>46067.028541666667</v>
      </c>
      <c r="B1468">
        <v>327116880</v>
      </c>
      <c r="C1468" s="2" t="s">
        <v>1714</v>
      </c>
      <c r="D1468" t="s">
        <v>15</v>
      </c>
      <c r="E1468" s="5">
        <v>1200</v>
      </c>
      <c r="F1468" s="3">
        <v>1200</v>
      </c>
      <c r="G1468" s="2">
        <v>840</v>
      </c>
      <c r="I1468" s="2" t="s">
        <v>1715</v>
      </c>
      <c r="J1468" s="2" t="s">
        <v>21</v>
      </c>
      <c r="K1468" t="s">
        <v>18</v>
      </c>
      <c r="L1468" t="str">
        <f>T("9791170891499")</f>
        <v>9791170891499</v>
      </c>
      <c r="M1468" t="str">
        <f t="shared" si="58"/>
        <v/>
      </c>
      <c r="N1468" t="s">
        <v>1716</v>
      </c>
    </row>
    <row r="1469" spans="1:14">
      <c r="A1469" s="1">
        <v>46067.032708333332</v>
      </c>
      <c r="B1469">
        <v>384664782</v>
      </c>
      <c r="C1469" s="2" t="s">
        <v>373</v>
      </c>
      <c r="D1469" t="s">
        <v>15</v>
      </c>
      <c r="E1469" s="5">
        <v>1000</v>
      </c>
      <c r="F1469" s="3">
        <v>1000</v>
      </c>
      <c r="G1469" s="2">
        <v>700</v>
      </c>
      <c r="I1469" s="2" t="s">
        <v>374</v>
      </c>
      <c r="J1469" s="2" t="s">
        <v>21</v>
      </c>
      <c r="K1469" t="s">
        <v>18</v>
      </c>
      <c r="L1469" t="str">
        <f>T("9791175582392")</f>
        <v>9791175582392</v>
      </c>
      <c r="M1469" t="str">
        <f t="shared" si="58"/>
        <v/>
      </c>
      <c r="N1469" t="s">
        <v>375</v>
      </c>
    </row>
    <row r="1470" spans="1:14">
      <c r="A1470" s="1">
        <v>46067.044386574074</v>
      </c>
      <c r="B1470">
        <v>382626185</v>
      </c>
      <c r="C1470" s="2" t="s">
        <v>34</v>
      </c>
      <c r="D1470" t="s">
        <v>15</v>
      </c>
      <c r="E1470" s="5">
        <v>1000</v>
      </c>
      <c r="F1470" s="3">
        <v>1000</v>
      </c>
      <c r="G1470" s="2">
        <v>700</v>
      </c>
      <c r="I1470" s="2" t="s">
        <v>28</v>
      </c>
      <c r="J1470" s="2" t="s">
        <v>21</v>
      </c>
      <c r="K1470" t="s">
        <v>18</v>
      </c>
      <c r="L1470" t="str">
        <f>T("9791175581463")</f>
        <v>9791175581463</v>
      </c>
      <c r="M1470" t="str">
        <f t="shared" si="58"/>
        <v/>
      </c>
      <c r="N1470" t="s">
        <v>35</v>
      </c>
    </row>
    <row r="1471" spans="1:14">
      <c r="A1471" s="1">
        <v>46067.052268518521</v>
      </c>
      <c r="B1471">
        <v>370129971</v>
      </c>
      <c r="C1471" s="2" t="s">
        <v>1717</v>
      </c>
      <c r="D1471" t="s">
        <v>15</v>
      </c>
      <c r="E1471" s="5">
        <v>3000</v>
      </c>
      <c r="F1471" s="3">
        <v>3000</v>
      </c>
      <c r="G1471" s="3">
        <v>2100</v>
      </c>
      <c r="I1471" s="2" t="s">
        <v>493</v>
      </c>
      <c r="J1471" s="2" t="s">
        <v>65</v>
      </c>
      <c r="K1471" t="s">
        <v>18</v>
      </c>
      <c r="L1471" t="str">
        <f>T("9791137010734")</f>
        <v>9791137010734</v>
      </c>
      <c r="M1471" t="str">
        <f t="shared" si="58"/>
        <v/>
      </c>
      <c r="N1471" t="s">
        <v>1718</v>
      </c>
    </row>
    <row r="1472" spans="1:14">
      <c r="A1472" s="1">
        <v>46067.052268518521</v>
      </c>
      <c r="B1472">
        <v>370129973</v>
      </c>
      <c r="C1472" s="2" t="s">
        <v>492</v>
      </c>
      <c r="D1472" t="s">
        <v>15</v>
      </c>
      <c r="E1472" s="5">
        <v>3000</v>
      </c>
      <c r="F1472" s="3">
        <v>3000</v>
      </c>
      <c r="G1472" s="3">
        <v>2100</v>
      </c>
      <c r="I1472" s="2" t="s">
        <v>493</v>
      </c>
      <c r="J1472" s="2" t="s">
        <v>65</v>
      </c>
      <c r="K1472" t="s">
        <v>18</v>
      </c>
      <c r="L1472" t="str">
        <f>T("9791137010727")</f>
        <v>9791137010727</v>
      </c>
      <c r="M1472" t="str">
        <f t="shared" si="58"/>
        <v/>
      </c>
      <c r="N1472" t="s">
        <v>494</v>
      </c>
    </row>
    <row r="1473" spans="1:14">
      <c r="A1473" s="1">
        <v>46067.052268518521</v>
      </c>
      <c r="B1473">
        <v>370129988</v>
      </c>
      <c r="C1473" s="2" t="s">
        <v>1719</v>
      </c>
      <c r="D1473" t="s">
        <v>15</v>
      </c>
      <c r="E1473" s="5">
        <v>3000</v>
      </c>
      <c r="F1473" s="3">
        <v>3000</v>
      </c>
      <c r="G1473" s="3">
        <v>2100</v>
      </c>
      <c r="I1473" s="2" t="s">
        <v>493</v>
      </c>
      <c r="J1473" s="2" t="s">
        <v>65</v>
      </c>
      <c r="K1473" t="s">
        <v>18</v>
      </c>
      <c r="L1473" t="str">
        <f>T("9791137010710")</f>
        <v>9791137010710</v>
      </c>
      <c r="M1473" t="str">
        <f t="shared" si="58"/>
        <v/>
      </c>
      <c r="N1473" t="s">
        <v>1720</v>
      </c>
    </row>
    <row r="1474" spans="1:14">
      <c r="A1474" s="1">
        <v>46067.052268518521</v>
      </c>
      <c r="B1474">
        <v>370129998</v>
      </c>
      <c r="C1474" s="2" t="s">
        <v>1721</v>
      </c>
      <c r="D1474" t="s">
        <v>15</v>
      </c>
      <c r="E1474" s="5">
        <v>3000</v>
      </c>
      <c r="F1474" s="3">
        <v>3000</v>
      </c>
      <c r="G1474" s="3">
        <v>2100</v>
      </c>
      <c r="I1474" s="2" t="s">
        <v>493</v>
      </c>
      <c r="J1474" s="2" t="s">
        <v>65</v>
      </c>
      <c r="K1474" t="s">
        <v>18</v>
      </c>
      <c r="L1474" t="str">
        <f>T("9791137010703")</f>
        <v>9791137010703</v>
      </c>
      <c r="M1474" t="str">
        <f t="shared" si="58"/>
        <v/>
      </c>
      <c r="N1474" t="s">
        <v>1722</v>
      </c>
    </row>
    <row r="1475" spans="1:14">
      <c r="A1475" s="1">
        <v>46067.078344907408</v>
      </c>
      <c r="B1475">
        <v>338596598</v>
      </c>
      <c r="C1475" s="2" t="s">
        <v>1723</v>
      </c>
      <c r="D1475" t="s">
        <v>15</v>
      </c>
      <c r="E1475" s="5">
        <v>1000</v>
      </c>
      <c r="F1475" s="3">
        <v>1000</v>
      </c>
      <c r="G1475" s="2">
        <v>700</v>
      </c>
      <c r="I1475" s="2">
        <v>5353</v>
      </c>
      <c r="J1475" s="2" t="s">
        <v>21</v>
      </c>
      <c r="K1475" t="s">
        <v>18</v>
      </c>
      <c r="L1475" t="str">
        <f>T("9791170896500")</f>
        <v>9791170896500</v>
      </c>
      <c r="M1475" t="str">
        <f t="shared" si="58"/>
        <v/>
      </c>
      <c r="N1475" t="s">
        <v>1724</v>
      </c>
    </row>
    <row r="1476" spans="1:14">
      <c r="A1476" s="1">
        <v>46067.087546296294</v>
      </c>
      <c r="B1476">
        <v>371345723</v>
      </c>
      <c r="C1476" s="2" t="s">
        <v>525</v>
      </c>
      <c r="D1476" t="s">
        <v>15</v>
      </c>
      <c r="E1476" s="5">
        <v>3300</v>
      </c>
      <c r="F1476" s="3">
        <v>2970</v>
      </c>
      <c r="G1476" s="3">
        <v>2079</v>
      </c>
      <c r="I1476" s="2" t="s">
        <v>196</v>
      </c>
      <c r="J1476" s="2" t="s">
        <v>197</v>
      </c>
      <c r="K1476" t="s">
        <v>18</v>
      </c>
      <c r="L1476" t="str">
        <f>T("9791172821692")</f>
        <v>9791172821692</v>
      </c>
      <c r="M1476" t="str">
        <f t="shared" si="58"/>
        <v/>
      </c>
      <c r="N1476" t="s">
        <v>526</v>
      </c>
    </row>
    <row r="1477" spans="1:14">
      <c r="A1477" s="1">
        <v>46067.103402777779</v>
      </c>
      <c r="B1477">
        <v>347756180</v>
      </c>
      <c r="C1477" s="2" t="s">
        <v>1725</v>
      </c>
      <c r="D1477" t="s">
        <v>15</v>
      </c>
      <c r="E1477" s="5">
        <v>1000</v>
      </c>
      <c r="F1477" s="3">
        <v>1000</v>
      </c>
      <c r="G1477" s="2">
        <v>700</v>
      </c>
      <c r="I1477" s="2" t="s">
        <v>947</v>
      </c>
      <c r="J1477" s="2" t="s">
        <v>21</v>
      </c>
      <c r="K1477" t="s">
        <v>18</v>
      </c>
      <c r="L1477" t="str">
        <f>T("9791173010682")</f>
        <v>9791173010682</v>
      </c>
      <c r="M1477" t="str">
        <f t="shared" si="58"/>
        <v/>
      </c>
      <c r="N1477" t="s">
        <v>1726</v>
      </c>
    </row>
    <row r="1478" spans="1:14">
      <c r="A1478" s="1">
        <v>46067.118217592593</v>
      </c>
      <c r="B1478">
        <v>369306673</v>
      </c>
      <c r="C1478" s="2" t="s">
        <v>1596</v>
      </c>
      <c r="D1478" t="s">
        <v>15</v>
      </c>
      <c r="E1478" s="5">
        <v>1000</v>
      </c>
      <c r="F1478" s="3">
        <v>1000</v>
      </c>
      <c r="G1478" s="2">
        <v>700</v>
      </c>
      <c r="I1478" s="2" t="s">
        <v>166</v>
      </c>
      <c r="J1478" s="2" t="s">
        <v>21</v>
      </c>
      <c r="K1478" t="s">
        <v>18</v>
      </c>
      <c r="L1478" t="str">
        <f>T("9791173016219")</f>
        <v>9791173016219</v>
      </c>
      <c r="M1478" t="str">
        <f t="shared" si="58"/>
        <v/>
      </c>
      <c r="N1478" t="s">
        <v>1597</v>
      </c>
    </row>
    <row r="1479" spans="1:14">
      <c r="A1479" s="1">
        <v>46067.140416666669</v>
      </c>
      <c r="B1479">
        <v>384598651</v>
      </c>
      <c r="C1479" s="2" t="s">
        <v>696</v>
      </c>
      <c r="D1479" t="s">
        <v>15</v>
      </c>
      <c r="E1479" s="5">
        <v>1000</v>
      </c>
      <c r="F1479" s="3">
        <v>1000</v>
      </c>
      <c r="G1479" s="2">
        <v>700</v>
      </c>
      <c r="I1479" s="2" t="s">
        <v>28</v>
      </c>
      <c r="J1479" s="2" t="s">
        <v>21</v>
      </c>
      <c r="K1479" t="s">
        <v>18</v>
      </c>
      <c r="L1479" t="str">
        <f>T("9791175582422")</f>
        <v>9791175582422</v>
      </c>
      <c r="M1479" t="str">
        <f t="shared" si="58"/>
        <v/>
      </c>
      <c r="N1479" t="s">
        <v>697</v>
      </c>
    </row>
    <row r="1480" spans="1:14">
      <c r="A1480" s="1">
        <v>46067.154398148145</v>
      </c>
      <c r="B1480">
        <v>360694024</v>
      </c>
      <c r="C1480" s="2" t="s">
        <v>1210</v>
      </c>
      <c r="D1480" t="s">
        <v>15</v>
      </c>
      <c r="E1480" s="5">
        <v>1000</v>
      </c>
      <c r="F1480" s="3">
        <v>1000</v>
      </c>
      <c r="G1480" s="2">
        <v>700</v>
      </c>
      <c r="I1480" s="2" t="s">
        <v>148</v>
      </c>
      <c r="J1480" s="2" t="s">
        <v>21</v>
      </c>
      <c r="K1480" t="s">
        <v>18</v>
      </c>
      <c r="L1480" t="str">
        <f>T("9791173013133")</f>
        <v>9791173013133</v>
      </c>
      <c r="M1480" t="str">
        <f t="shared" si="58"/>
        <v/>
      </c>
      <c r="N1480" t="s">
        <v>1211</v>
      </c>
    </row>
    <row r="1481" spans="1:14">
      <c r="A1481" s="1">
        <v>46067.157650462963</v>
      </c>
      <c r="B1481">
        <v>386008652</v>
      </c>
      <c r="C1481" s="2" t="s">
        <v>1727</v>
      </c>
      <c r="D1481" t="s">
        <v>15</v>
      </c>
      <c r="E1481" s="5">
        <v>1000</v>
      </c>
      <c r="F1481" s="3">
        <v>1000</v>
      </c>
      <c r="G1481" s="2">
        <v>700</v>
      </c>
      <c r="I1481" s="2" t="s">
        <v>1728</v>
      </c>
      <c r="J1481" s="2" t="s">
        <v>21</v>
      </c>
      <c r="K1481" t="s">
        <v>18</v>
      </c>
      <c r="L1481" t="str">
        <f>T("9791175582668")</f>
        <v>9791175582668</v>
      </c>
      <c r="M1481" t="str">
        <f t="shared" si="58"/>
        <v/>
      </c>
      <c r="N1481" t="s">
        <v>1729</v>
      </c>
    </row>
    <row r="1482" spans="1:14">
      <c r="A1482" s="1">
        <v>46067.178842592592</v>
      </c>
      <c r="B1482">
        <v>355155067</v>
      </c>
      <c r="C1482" s="2" t="s">
        <v>1208</v>
      </c>
      <c r="D1482" t="s">
        <v>15</v>
      </c>
      <c r="E1482" s="5">
        <v>1000</v>
      </c>
      <c r="F1482" s="3">
        <v>1000</v>
      </c>
      <c r="G1482" s="2">
        <v>700</v>
      </c>
      <c r="I1482" s="2" t="s">
        <v>148</v>
      </c>
      <c r="J1482" s="2" t="s">
        <v>21</v>
      </c>
      <c r="K1482" t="s">
        <v>18</v>
      </c>
      <c r="L1482" t="str">
        <f>T("9791173011184")</f>
        <v>9791173011184</v>
      </c>
      <c r="M1482" t="str">
        <f t="shared" si="58"/>
        <v/>
      </c>
      <c r="N1482" t="s">
        <v>1209</v>
      </c>
    </row>
    <row r="1483" spans="1:14">
      <c r="A1483" s="1">
        <v>46067.191817129627</v>
      </c>
      <c r="B1483">
        <v>364579911</v>
      </c>
      <c r="C1483" s="2" t="s">
        <v>1399</v>
      </c>
      <c r="D1483" t="s">
        <v>15</v>
      </c>
      <c r="E1483" s="5">
        <v>1000</v>
      </c>
      <c r="F1483" s="3">
        <v>1000</v>
      </c>
      <c r="G1483" s="2">
        <v>700</v>
      </c>
      <c r="I1483" s="2" t="s">
        <v>148</v>
      </c>
      <c r="J1483" s="2" t="s">
        <v>21</v>
      </c>
      <c r="K1483" t="s">
        <v>18</v>
      </c>
      <c r="L1483" t="str">
        <f>T("9791173014239")</f>
        <v>9791173014239</v>
      </c>
      <c r="M1483" t="str">
        <f t="shared" si="58"/>
        <v/>
      </c>
      <c r="N1483" t="s">
        <v>1400</v>
      </c>
    </row>
    <row r="1484" spans="1:14">
      <c r="A1484" s="1">
        <v>46067.230451388888</v>
      </c>
      <c r="B1484">
        <v>385347797</v>
      </c>
      <c r="C1484" s="2" t="s">
        <v>195</v>
      </c>
      <c r="D1484" t="s">
        <v>15</v>
      </c>
      <c r="E1484" s="4">
        <v>700</v>
      </c>
      <c r="F1484" s="2">
        <v>630</v>
      </c>
      <c r="G1484" s="2">
        <v>441</v>
      </c>
      <c r="I1484" s="2" t="s">
        <v>196</v>
      </c>
      <c r="J1484" s="2" t="s">
        <v>197</v>
      </c>
      <c r="K1484" t="s">
        <v>18</v>
      </c>
      <c r="L1484" t="str">
        <f>T("9791172821937")</f>
        <v>9791172821937</v>
      </c>
      <c r="M1484" t="str">
        <f t="shared" si="58"/>
        <v/>
      </c>
      <c r="N1484" t="s">
        <v>198</v>
      </c>
    </row>
    <row r="1485" spans="1:14">
      <c r="A1485" s="1">
        <v>46067.242673611108</v>
      </c>
      <c r="B1485">
        <v>379527589</v>
      </c>
      <c r="C1485" s="2" t="s">
        <v>1730</v>
      </c>
      <c r="D1485" t="s">
        <v>15</v>
      </c>
      <c r="E1485" s="5">
        <v>1000</v>
      </c>
      <c r="F1485" s="3">
        <v>1000</v>
      </c>
      <c r="G1485" s="2">
        <v>700</v>
      </c>
      <c r="I1485" s="2" t="s">
        <v>1731</v>
      </c>
      <c r="J1485" s="2" t="s">
        <v>21</v>
      </c>
      <c r="K1485" t="s">
        <v>18</v>
      </c>
      <c r="L1485" t="str">
        <f>T("9791175581395")</f>
        <v>9791175581395</v>
      </c>
      <c r="M1485" t="str">
        <f t="shared" si="58"/>
        <v/>
      </c>
      <c r="N1485" t="s">
        <v>1732</v>
      </c>
    </row>
    <row r="1486" spans="1:14">
      <c r="A1486" s="1">
        <v>46067.249537037038</v>
      </c>
      <c r="B1486">
        <v>386057280</v>
      </c>
      <c r="C1486" s="2" t="s">
        <v>1733</v>
      </c>
      <c r="D1486" t="s">
        <v>68</v>
      </c>
      <c r="E1486" s="5">
        <v>10500</v>
      </c>
      <c r="F1486" s="3">
        <v>10500</v>
      </c>
      <c r="G1486" s="3">
        <v>7350</v>
      </c>
      <c r="I1486" s="2" t="s">
        <v>1734</v>
      </c>
      <c r="J1486" s="2" t="s">
        <v>197</v>
      </c>
      <c r="K1486" t="s">
        <v>18</v>
      </c>
      <c r="L1486" t="str">
        <f>T("9791164092130")</f>
        <v>9791164092130</v>
      </c>
      <c r="M1486" t="str">
        <f t="shared" si="58"/>
        <v/>
      </c>
    </row>
    <row r="1487" spans="1:14">
      <c r="A1487" s="1">
        <v>46067.282511574071</v>
      </c>
      <c r="B1487">
        <v>371345723</v>
      </c>
      <c r="C1487" s="2" t="s">
        <v>525</v>
      </c>
      <c r="D1487" t="s">
        <v>68</v>
      </c>
      <c r="E1487" s="5">
        <v>2310</v>
      </c>
      <c r="F1487" s="3">
        <v>2310</v>
      </c>
      <c r="G1487" s="3">
        <v>1617</v>
      </c>
      <c r="I1487" s="2" t="s">
        <v>196</v>
      </c>
      <c r="J1487" s="2" t="s">
        <v>197</v>
      </c>
      <c r="K1487" t="s">
        <v>18</v>
      </c>
      <c r="L1487" t="str">
        <f>T("9791172821692")</f>
        <v>9791172821692</v>
      </c>
      <c r="M1487" t="str">
        <f t="shared" si="58"/>
        <v/>
      </c>
      <c r="N1487" t="s">
        <v>526</v>
      </c>
    </row>
    <row r="1488" spans="1:14">
      <c r="A1488" s="1">
        <v>46067.308020833334</v>
      </c>
      <c r="B1488">
        <v>318630911</v>
      </c>
      <c r="C1488" s="2" t="s">
        <v>1735</v>
      </c>
      <c r="D1488" t="s">
        <v>15</v>
      </c>
      <c r="E1488" s="4">
        <v>0</v>
      </c>
      <c r="F1488" s="2">
        <v>0</v>
      </c>
      <c r="G1488" s="2">
        <v>0</v>
      </c>
      <c r="I1488" s="2" t="s">
        <v>1535</v>
      </c>
      <c r="J1488" s="2" t="s">
        <v>1536</v>
      </c>
      <c r="K1488" t="s">
        <v>18</v>
      </c>
      <c r="L1488" t="str">
        <f>T("9791189257330")</f>
        <v>9791189257330</v>
      </c>
      <c r="M1488" t="str">
        <f t="shared" si="58"/>
        <v/>
      </c>
      <c r="N1488" t="s">
        <v>1736</v>
      </c>
    </row>
    <row r="1489" spans="1:14">
      <c r="A1489" s="1">
        <v>46067.359664351854</v>
      </c>
      <c r="B1489">
        <v>386057127</v>
      </c>
      <c r="C1489" s="2" t="s">
        <v>1737</v>
      </c>
      <c r="D1489" t="s">
        <v>68</v>
      </c>
      <c r="E1489" s="5">
        <v>15360</v>
      </c>
      <c r="F1489" s="3">
        <v>15360</v>
      </c>
      <c r="G1489" s="3">
        <v>10752</v>
      </c>
      <c r="I1489" s="2" t="s">
        <v>1738</v>
      </c>
      <c r="J1489" s="2" t="s">
        <v>856</v>
      </c>
      <c r="K1489" t="s">
        <v>18</v>
      </c>
      <c r="L1489" t="str">
        <f>T("9791171567522")</f>
        <v>9791171567522</v>
      </c>
      <c r="M1489" t="str">
        <f t="shared" si="58"/>
        <v/>
      </c>
    </row>
    <row r="1490" spans="1:14">
      <c r="A1490" s="1">
        <v>46067.376504629632</v>
      </c>
      <c r="B1490">
        <v>357214610</v>
      </c>
      <c r="C1490" s="2" t="s">
        <v>1739</v>
      </c>
      <c r="D1490" t="s">
        <v>15</v>
      </c>
      <c r="E1490" s="5">
        <v>5700</v>
      </c>
      <c r="F1490" s="3">
        <v>5700</v>
      </c>
      <c r="G1490" s="3">
        <v>3990</v>
      </c>
      <c r="I1490" s="2" t="s">
        <v>1740</v>
      </c>
      <c r="J1490" s="2" t="s">
        <v>200</v>
      </c>
      <c r="K1490" t="s">
        <v>18</v>
      </c>
      <c r="L1490" t="str">
        <f>T("9791170899150")</f>
        <v>9791170899150</v>
      </c>
      <c r="M1490" t="str">
        <f t="shared" si="58"/>
        <v/>
      </c>
    </row>
    <row r="1491" spans="1:14">
      <c r="A1491" s="1">
        <v>46067.383020833331</v>
      </c>
      <c r="B1491">
        <v>323547174</v>
      </c>
      <c r="C1491" s="2" t="s">
        <v>1741</v>
      </c>
      <c r="D1491" t="s">
        <v>15</v>
      </c>
      <c r="E1491" s="5">
        <v>3400</v>
      </c>
      <c r="F1491" s="3">
        <v>3400</v>
      </c>
      <c r="G1491" s="3">
        <v>2380</v>
      </c>
      <c r="I1491" s="2" t="s">
        <v>547</v>
      </c>
      <c r="J1491" s="2" t="s">
        <v>197</v>
      </c>
      <c r="K1491" t="s">
        <v>18</v>
      </c>
      <c r="L1491" t="str">
        <f>T("9791164098347")</f>
        <v>9791164098347</v>
      </c>
      <c r="M1491" t="str">
        <f t="shared" si="58"/>
        <v/>
      </c>
      <c r="N1491" t="s">
        <v>1742</v>
      </c>
    </row>
    <row r="1492" spans="1:14">
      <c r="A1492" s="1">
        <v>46067.383020833331</v>
      </c>
      <c r="B1492">
        <v>323547184</v>
      </c>
      <c r="C1492" s="2" t="s">
        <v>1743</v>
      </c>
      <c r="D1492" t="s">
        <v>15</v>
      </c>
      <c r="E1492" s="5">
        <v>3400</v>
      </c>
      <c r="F1492" s="3">
        <v>3400</v>
      </c>
      <c r="G1492" s="3">
        <v>2380</v>
      </c>
      <c r="I1492" s="2" t="s">
        <v>547</v>
      </c>
      <c r="J1492" s="2" t="s">
        <v>197</v>
      </c>
      <c r="K1492" t="s">
        <v>18</v>
      </c>
      <c r="L1492" t="str">
        <f>T("9791164098354")</f>
        <v>9791164098354</v>
      </c>
      <c r="M1492" t="str">
        <f t="shared" si="58"/>
        <v/>
      </c>
      <c r="N1492" t="s">
        <v>1744</v>
      </c>
    </row>
    <row r="1493" spans="1:14">
      <c r="A1493" s="1">
        <v>46067.388414351852</v>
      </c>
      <c r="B1493">
        <v>385347797</v>
      </c>
      <c r="C1493" s="2" t="s">
        <v>195</v>
      </c>
      <c r="D1493" t="s">
        <v>15</v>
      </c>
      <c r="E1493" s="4">
        <v>700</v>
      </c>
      <c r="F1493" s="2">
        <v>630</v>
      </c>
      <c r="G1493" s="2">
        <v>441</v>
      </c>
      <c r="I1493" s="2" t="s">
        <v>196</v>
      </c>
      <c r="J1493" s="2" t="s">
        <v>197</v>
      </c>
      <c r="K1493" t="s">
        <v>18</v>
      </c>
      <c r="L1493" t="str">
        <f>T("9791172821937")</f>
        <v>9791172821937</v>
      </c>
      <c r="M1493" t="str">
        <f t="shared" ref="M1493:M1524" si="59">T("")</f>
        <v/>
      </c>
      <c r="N1493" t="s">
        <v>198</v>
      </c>
    </row>
    <row r="1494" spans="1:14">
      <c r="A1494" s="1">
        <v>46067.396863425929</v>
      </c>
      <c r="B1494">
        <v>345344122</v>
      </c>
      <c r="C1494" s="2" t="s">
        <v>1745</v>
      </c>
      <c r="D1494" t="s">
        <v>15</v>
      </c>
      <c r="E1494" s="5">
        <v>1000</v>
      </c>
      <c r="F1494" s="3">
        <v>1000</v>
      </c>
      <c r="G1494" s="2">
        <v>700</v>
      </c>
      <c r="I1494" s="2" t="s">
        <v>1746</v>
      </c>
      <c r="J1494" s="2" t="s">
        <v>177</v>
      </c>
      <c r="K1494" t="s">
        <v>18</v>
      </c>
      <c r="L1494" t="str">
        <f>T("9791170962113")</f>
        <v>9791170962113</v>
      </c>
      <c r="M1494" t="str">
        <f t="shared" si="59"/>
        <v/>
      </c>
      <c r="N1494" t="s">
        <v>1747</v>
      </c>
    </row>
    <row r="1495" spans="1:14">
      <c r="A1495" s="1">
        <v>46067.408877314818</v>
      </c>
      <c r="B1495">
        <v>360694024</v>
      </c>
      <c r="C1495" s="2" t="s">
        <v>1210</v>
      </c>
      <c r="D1495" t="s">
        <v>15</v>
      </c>
      <c r="E1495" s="5">
        <v>1000</v>
      </c>
      <c r="F1495" s="3">
        <v>1000</v>
      </c>
      <c r="G1495" s="2">
        <v>700</v>
      </c>
      <c r="I1495" s="2" t="s">
        <v>148</v>
      </c>
      <c r="J1495" s="2" t="s">
        <v>21</v>
      </c>
      <c r="K1495" t="s">
        <v>18</v>
      </c>
      <c r="L1495" t="str">
        <f>T("9791173013133")</f>
        <v>9791173013133</v>
      </c>
      <c r="M1495" t="str">
        <f t="shared" si="59"/>
        <v/>
      </c>
      <c r="N1495" t="s">
        <v>1211</v>
      </c>
    </row>
    <row r="1496" spans="1:14">
      <c r="A1496" s="1">
        <v>46067.427407407406</v>
      </c>
      <c r="B1496">
        <v>383435421</v>
      </c>
      <c r="C1496" s="2" t="s">
        <v>27</v>
      </c>
      <c r="D1496" t="s">
        <v>15</v>
      </c>
      <c r="E1496" s="5">
        <v>1000</v>
      </c>
      <c r="F1496" s="3">
        <v>1000</v>
      </c>
      <c r="G1496" s="2">
        <v>700</v>
      </c>
      <c r="I1496" s="2" t="s">
        <v>28</v>
      </c>
      <c r="J1496" s="2" t="s">
        <v>21</v>
      </c>
      <c r="K1496" t="s">
        <v>18</v>
      </c>
      <c r="L1496" t="str">
        <f>T("9791175582361")</f>
        <v>9791175582361</v>
      </c>
      <c r="M1496" t="str">
        <f t="shared" si="59"/>
        <v/>
      </c>
      <c r="N1496" t="s">
        <v>29</v>
      </c>
    </row>
    <row r="1497" spans="1:14">
      <c r="A1497" s="1">
        <v>46067.430810185186</v>
      </c>
      <c r="B1497">
        <v>304630788</v>
      </c>
      <c r="C1497" s="2" t="s">
        <v>1748</v>
      </c>
      <c r="D1497" t="s">
        <v>68</v>
      </c>
      <c r="E1497" s="4">
        <v>0</v>
      </c>
      <c r="F1497" s="2">
        <v>0</v>
      </c>
      <c r="G1497" s="2">
        <v>0</v>
      </c>
      <c r="I1497" s="2" t="s">
        <v>1749</v>
      </c>
      <c r="J1497" s="2" t="s">
        <v>245</v>
      </c>
      <c r="K1497" t="s">
        <v>18</v>
      </c>
      <c r="L1497" t="str">
        <f>T("9791166007774")</f>
        <v>9791166007774</v>
      </c>
      <c r="M1497" t="str">
        <f t="shared" si="59"/>
        <v/>
      </c>
      <c r="N1497" t="s">
        <v>1750</v>
      </c>
    </row>
    <row r="1498" spans="1:14">
      <c r="A1498" s="1">
        <v>46067.43476851852</v>
      </c>
      <c r="B1498">
        <v>385347797</v>
      </c>
      <c r="C1498" s="2" t="s">
        <v>195</v>
      </c>
      <c r="D1498" t="s">
        <v>15</v>
      </c>
      <c r="E1498" s="4">
        <v>700</v>
      </c>
      <c r="F1498" s="2">
        <v>630</v>
      </c>
      <c r="G1498" s="2">
        <v>441</v>
      </c>
      <c r="I1498" s="2" t="s">
        <v>196</v>
      </c>
      <c r="J1498" s="2" t="s">
        <v>197</v>
      </c>
      <c r="K1498" t="s">
        <v>18</v>
      </c>
      <c r="L1498" t="str">
        <f>T("9791172821937")</f>
        <v>9791172821937</v>
      </c>
      <c r="M1498" t="str">
        <f t="shared" si="59"/>
        <v/>
      </c>
      <c r="N1498" t="s">
        <v>198</v>
      </c>
    </row>
    <row r="1499" spans="1:14">
      <c r="A1499" s="1">
        <v>46067.438831018517</v>
      </c>
      <c r="B1499">
        <v>385347797</v>
      </c>
      <c r="C1499" s="2" t="s">
        <v>195</v>
      </c>
      <c r="D1499" t="s">
        <v>15</v>
      </c>
      <c r="E1499" s="4">
        <v>-700</v>
      </c>
      <c r="F1499" s="2">
        <v>-630</v>
      </c>
      <c r="G1499" s="2">
        <v>-441</v>
      </c>
      <c r="H1499" s="1">
        <v>46067.43476851852</v>
      </c>
      <c r="I1499" s="2" t="s">
        <v>196</v>
      </c>
      <c r="J1499" s="2" t="s">
        <v>197</v>
      </c>
      <c r="K1499" t="s">
        <v>18</v>
      </c>
      <c r="L1499" t="str">
        <f>T("9791172821937")</f>
        <v>9791172821937</v>
      </c>
      <c r="M1499" t="str">
        <f t="shared" si="59"/>
        <v/>
      </c>
      <c r="N1499" t="s">
        <v>198</v>
      </c>
    </row>
    <row r="1500" spans="1:14">
      <c r="A1500" s="1">
        <v>46067.44023148148</v>
      </c>
      <c r="B1500">
        <v>385347797</v>
      </c>
      <c r="C1500" s="2" t="s">
        <v>195</v>
      </c>
      <c r="D1500" t="s">
        <v>15</v>
      </c>
      <c r="E1500" s="4">
        <v>700</v>
      </c>
      <c r="F1500" s="2">
        <v>630</v>
      </c>
      <c r="G1500" s="2">
        <v>441</v>
      </c>
      <c r="I1500" s="2" t="s">
        <v>196</v>
      </c>
      <c r="J1500" s="2" t="s">
        <v>197</v>
      </c>
      <c r="K1500" t="s">
        <v>18</v>
      </c>
      <c r="L1500" t="str">
        <f>T("9791172821937")</f>
        <v>9791172821937</v>
      </c>
      <c r="M1500" t="str">
        <f t="shared" si="59"/>
        <v/>
      </c>
      <c r="N1500" t="s">
        <v>198</v>
      </c>
    </row>
    <row r="1501" spans="1:14">
      <c r="A1501" s="1">
        <v>46067.470833333333</v>
      </c>
      <c r="B1501">
        <v>277935814</v>
      </c>
      <c r="C1501" s="2" t="s">
        <v>1751</v>
      </c>
      <c r="D1501" t="s">
        <v>15</v>
      </c>
      <c r="E1501" s="4">
        <v>100</v>
      </c>
      <c r="F1501" s="2">
        <v>100</v>
      </c>
      <c r="G1501" s="2">
        <v>70</v>
      </c>
      <c r="I1501" s="2" t="s">
        <v>64</v>
      </c>
      <c r="J1501" s="2" t="s">
        <v>65</v>
      </c>
      <c r="K1501" t="s">
        <v>18</v>
      </c>
      <c r="L1501" t="str">
        <f t="shared" ref="L1501:L1510" si="60">T("9791162589724")</f>
        <v>9791162589724</v>
      </c>
      <c r="M1501" t="str">
        <f t="shared" si="59"/>
        <v/>
      </c>
      <c r="N1501" t="s">
        <v>1752</v>
      </c>
    </row>
    <row r="1502" spans="1:14">
      <c r="A1502" s="1">
        <v>46067.470833333333</v>
      </c>
      <c r="B1502">
        <v>277935816</v>
      </c>
      <c r="C1502" s="2" t="s">
        <v>1753</v>
      </c>
      <c r="D1502" t="s">
        <v>15</v>
      </c>
      <c r="E1502" s="4">
        <v>100</v>
      </c>
      <c r="F1502" s="2">
        <v>100</v>
      </c>
      <c r="G1502" s="2">
        <v>70</v>
      </c>
      <c r="I1502" s="2" t="s">
        <v>64</v>
      </c>
      <c r="J1502" s="2" t="s">
        <v>65</v>
      </c>
      <c r="K1502" t="s">
        <v>18</v>
      </c>
      <c r="L1502" t="str">
        <f t="shared" si="60"/>
        <v>9791162589724</v>
      </c>
      <c r="M1502" t="str">
        <f t="shared" si="59"/>
        <v/>
      </c>
      <c r="N1502" t="s">
        <v>1754</v>
      </c>
    </row>
    <row r="1503" spans="1:14">
      <c r="A1503" s="1">
        <v>46067.470833333333</v>
      </c>
      <c r="B1503">
        <v>277935817</v>
      </c>
      <c r="C1503" s="2" t="s">
        <v>1755</v>
      </c>
      <c r="D1503" t="s">
        <v>15</v>
      </c>
      <c r="E1503" s="4">
        <v>100</v>
      </c>
      <c r="F1503" s="2">
        <v>100</v>
      </c>
      <c r="G1503" s="2">
        <v>70</v>
      </c>
      <c r="I1503" s="2" t="s">
        <v>64</v>
      </c>
      <c r="J1503" s="2" t="s">
        <v>65</v>
      </c>
      <c r="K1503" t="s">
        <v>18</v>
      </c>
      <c r="L1503" t="str">
        <f t="shared" si="60"/>
        <v>9791162589724</v>
      </c>
      <c r="M1503" t="str">
        <f t="shared" si="59"/>
        <v/>
      </c>
      <c r="N1503" t="s">
        <v>1756</v>
      </c>
    </row>
    <row r="1504" spans="1:14">
      <c r="A1504" s="1">
        <v>46067.470833333333</v>
      </c>
      <c r="B1504">
        <v>277935819</v>
      </c>
      <c r="C1504" s="2" t="s">
        <v>1757</v>
      </c>
      <c r="D1504" t="s">
        <v>15</v>
      </c>
      <c r="E1504" s="4">
        <v>100</v>
      </c>
      <c r="F1504" s="2">
        <v>100</v>
      </c>
      <c r="G1504" s="2">
        <v>70</v>
      </c>
      <c r="I1504" s="2" t="s">
        <v>64</v>
      </c>
      <c r="J1504" s="2" t="s">
        <v>65</v>
      </c>
      <c r="K1504" t="s">
        <v>18</v>
      </c>
      <c r="L1504" t="str">
        <f t="shared" si="60"/>
        <v>9791162589724</v>
      </c>
      <c r="M1504" t="str">
        <f t="shared" si="59"/>
        <v/>
      </c>
      <c r="N1504" t="s">
        <v>1758</v>
      </c>
    </row>
    <row r="1505" spans="1:14">
      <c r="A1505" s="1">
        <v>46067.470833333333</v>
      </c>
      <c r="B1505">
        <v>277935763</v>
      </c>
      <c r="C1505" s="2" t="s">
        <v>1759</v>
      </c>
      <c r="D1505" t="s">
        <v>15</v>
      </c>
      <c r="E1505" s="4">
        <v>100</v>
      </c>
      <c r="F1505" s="2">
        <v>100</v>
      </c>
      <c r="G1505" s="2">
        <v>70</v>
      </c>
      <c r="I1505" s="2" t="s">
        <v>64</v>
      </c>
      <c r="J1505" s="2" t="s">
        <v>65</v>
      </c>
      <c r="K1505" t="s">
        <v>18</v>
      </c>
      <c r="L1505" t="str">
        <f t="shared" si="60"/>
        <v>9791162589724</v>
      </c>
      <c r="M1505" t="str">
        <f t="shared" si="59"/>
        <v/>
      </c>
      <c r="N1505" t="s">
        <v>1760</v>
      </c>
    </row>
    <row r="1506" spans="1:14">
      <c r="A1506" s="1">
        <v>46067.470833333333</v>
      </c>
      <c r="B1506">
        <v>277935767</v>
      </c>
      <c r="C1506" s="2" t="s">
        <v>1761</v>
      </c>
      <c r="D1506" t="s">
        <v>15</v>
      </c>
      <c r="E1506" s="4">
        <v>100</v>
      </c>
      <c r="F1506" s="2">
        <v>100</v>
      </c>
      <c r="G1506" s="2">
        <v>70</v>
      </c>
      <c r="I1506" s="2" t="s">
        <v>64</v>
      </c>
      <c r="J1506" s="2" t="s">
        <v>65</v>
      </c>
      <c r="K1506" t="s">
        <v>18</v>
      </c>
      <c r="L1506" t="str">
        <f t="shared" si="60"/>
        <v>9791162589724</v>
      </c>
      <c r="M1506" t="str">
        <f t="shared" si="59"/>
        <v/>
      </c>
      <c r="N1506" t="s">
        <v>1762</v>
      </c>
    </row>
    <row r="1507" spans="1:14">
      <c r="A1507" s="1">
        <v>46067.470833333333</v>
      </c>
      <c r="B1507">
        <v>277935736</v>
      </c>
      <c r="C1507" s="2" t="s">
        <v>1763</v>
      </c>
      <c r="D1507" t="s">
        <v>15</v>
      </c>
      <c r="E1507" s="4">
        <v>100</v>
      </c>
      <c r="F1507" s="2">
        <v>100</v>
      </c>
      <c r="G1507" s="2">
        <v>70</v>
      </c>
      <c r="I1507" s="2" t="s">
        <v>64</v>
      </c>
      <c r="J1507" s="2" t="s">
        <v>65</v>
      </c>
      <c r="K1507" t="s">
        <v>18</v>
      </c>
      <c r="L1507" t="str">
        <f t="shared" si="60"/>
        <v>9791162589724</v>
      </c>
      <c r="M1507" t="str">
        <f t="shared" si="59"/>
        <v/>
      </c>
      <c r="N1507" t="s">
        <v>1764</v>
      </c>
    </row>
    <row r="1508" spans="1:14">
      <c r="A1508" s="1">
        <v>46067.470833333333</v>
      </c>
      <c r="B1508">
        <v>277935730</v>
      </c>
      <c r="C1508" s="2" t="s">
        <v>1765</v>
      </c>
      <c r="D1508" t="s">
        <v>15</v>
      </c>
      <c r="E1508" s="4">
        <v>100</v>
      </c>
      <c r="F1508" s="2">
        <v>100</v>
      </c>
      <c r="G1508" s="2">
        <v>70</v>
      </c>
      <c r="I1508" s="2" t="s">
        <v>64</v>
      </c>
      <c r="J1508" s="2" t="s">
        <v>65</v>
      </c>
      <c r="K1508" t="s">
        <v>18</v>
      </c>
      <c r="L1508" t="str">
        <f t="shared" si="60"/>
        <v>9791162589724</v>
      </c>
      <c r="M1508" t="str">
        <f t="shared" si="59"/>
        <v/>
      </c>
      <c r="N1508" t="s">
        <v>1766</v>
      </c>
    </row>
    <row r="1509" spans="1:14">
      <c r="A1509" s="1">
        <v>46067.470833333333</v>
      </c>
      <c r="B1509">
        <v>277935536</v>
      </c>
      <c r="C1509" s="2" t="s">
        <v>1767</v>
      </c>
      <c r="D1509" t="s">
        <v>15</v>
      </c>
      <c r="E1509" s="4">
        <v>100</v>
      </c>
      <c r="F1509" s="2">
        <v>100</v>
      </c>
      <c r="G1509" s="2">
        <v>70</v>
      </c>
      <c r="I1509" s="2" t="s">
        <v>64</v>
      </c>
      <c r="J1509" s="2" t="s">
        <v>65</v>
      </c>
      <c r="K1509" t="s">
        <v>18</v>
      </c>
      <c r="L1509" t="str">
        <f t="shared" si="60"/>
        <v>9791162589724</v>
      </c>
      <c r="M1509" t="str">
        <f t="shared" si="59"/>
        <v/>
      </c>
      <c r="N1509" t="s">
        <v>1768</v>
      </c>
    </row>
    <row r="1510" spans="1:14">
      <c r="A1510" s="1">
        <v>46067.470833333333</v>
      </c>
      <c r="B1510">
        <v>277935534</v>
      </c>
      <c r="C1510" s="2" t="s">
        <v>1769</v>
      </c>
      <c r="D1510" t="s">
        <v>15</v>
      </c>
      <c r="E1510" s="4">
        <v>100</v>
      </c>
      <c r="F1510" s="2">
        <v>100</v>
      </c>
      <c r="G1510" s="2">
        <v>70</v>
      </c>
      <c r="I1510" s="2" t="s">
        <v>64</v>
      </c>
      <c r="J1510" s="2" t="s">
        <v>65</v>
      </c>
      <c r="K1510" t="s">
        <v>18</v>
      </c>
      <c r="L1510" t="str">
        <f t="shared" si="60"/>
        <v>9791162589724</v>
      </c>
      <c r="M1510" t="str">
        <f t="shared" si="59"/>
        <v/>
      </c>
      <c r="N1510" t="s">
        <v>1770</v>
      </c>
    </row>
    <row r="1511" spans="1:14">
      <c r="A1511" s="1">
        <v>46067.472314814811</v>
      </c>
      <c r="B1511">
        <v>382626246</v>
      </c>
      <c r="C1511" s="2" t="s">
        <v>137</v>
      </c>
      <c r="D1511" t="s">
        <v>15</v>
      </c>
      <c r="E1511" s="5">
        <v>1000</v>
      </c>
      <c r="F1511" s="3">
        <v>1000</v>
      </c>
      <c r="G1511" s="2">
        <v>700</v>
      </c>
      <c r="I1511" s="2" t="s">
        <v>28</v>
      </c>
      <c r="J1511" s="2" t="s">
        <v>21</v>
      </c>
      <c r="K1511" t="s">
        <v>18</v>
      </c>
      <c r="L1511" t="str">
        <f>T("9791175581753")</f>
        <v>9791175581753</v>
      </c>
      <c r="M1511" t="str">
        <f t="shared" si="59"/>
        <v/>
      </c>
      <c r="N1511" t="s">
        <v>138</v>
      </c>
    </row>
    <row r="1512" spans="1:14">
      <c r="A1512" s="1">
        <v>46067.81925925926</v>
      </c>
      <c r="B1512">
        <v>386057282</v>
      </c>
      <c r="C1512" s="2" t="s">
        <v>1534</v>
      </c>
      <c r="D1512" t="s">
        <v>68</v>
      </c>
      <c r="E1512" s="5">
        <v>-12500</v>
      </c>
      <c r="F1512" s="3">
        <v>-12500</v>
      </c>
      <c r="G1512" s="3">
        <v>-8750</v>
      </c>
      <c r="H1512" s="1">
        <v>46067.473321759258</v>
      </c>
      <c r="I1512" s="2" t="s">
        <v>1535</v>
      </c>
      <c r="J1512" s="2" t="s">
        <v>1536</v>
      </c>
      <c r="K1512" t="s">
        <v>18</v>
      </c>
      <c r="L1512" t="str">
        <f>T("9791189257323")</f>
        <v>9791189257323</v>
      </c>
      <c r="M1512" t="str">
        <f t="shared" si="59"/>
        <v/>
      </c>
    </row>
    <row r="1513" spans="1:14">
      <c r="A1513" s="1">
        <v>46067.473321759258</v>
      </c>
      <c r="B1513">
        <v>386057282</v>
      </c>
      <c r="C1513" s="2" t="s">
        <v>1534</v>
      </c>
      <c r="D1513" t="s">
        <v>68</v>
      </c>
      <c r="E1513" s="5">
        <v>12500</v>
      </c>
      <c r="F1513" s="3">
        <v>12500</v>
      </c>
      <c r="G1513" s="3">
        <v>8750</v>
      </c>
      <c r="I1513" s="2" t="s">
        <v>1535</v>
      </c>
      <c r="J1513" s="2" t="s">
        <v>1536</v>
      </c>
      <c r="K1513" t="s">
        <v>18</v>
      </c>
      <c r="L1513" t="str">
        <f>T("9791189257323")</f>
        <v>9791189257323</v>
      </c>
      <c r="M1513" t="str">
        <f t="shared" si="59"/>
        <v/>
      </c>
    </row>
    <row r="1514" spans="1:14">
      <c r="A1514" s="1">
        <v>46067.47383101852</v>
      </c>
      <c r="B1514">
        <v>386057280</v>
      </c>
      <c r="C1514" s="2" t="s">
        <v>1733</v>
      </c>
      <c r="D1514" t="s">
        <v>68</v>
      </c>
      <c r="E1514" s="5">
        <v>10500</v>
      </c>
      <c r="F1514" s="3">
        <v>10500</v>
      </c>
      <c r="G1514" s="3">
        <v>7350</v>
      </c>
      <c r="I1514" s="2" t="s">
        <v>1734</v>
      </c>
      <c r="J1514" s="2" t="s">
        <v>197</v>
      </c>
      <c r="K1514" t="s">
        <v>18</v>
      </c>
      <c r="L1514" t="str">
        <f>T("9791164092130")</f>
        <v>9791164092130</v>
      </c>
      <c r="M1514" t="str">
        <f t="shared" si="59"/>
        <v/>
      </c>
    </row>
    <row r="1515" spans="1:14">
      <c r="A1515" s="1">
        <v>46067.474282407406</v>
      </c>
      <c r="B1515">
        <v>318630911</v>
      </c>
      <c r="C1515" s="2" t="s">
        <v>1735</v>
      </c>
      <c r="D1515" t="s">
        <v>15</v>
      </c>
      <c r="E1515" s="4">
        <v>0</v>
      </c>
      <c r="F1515" s="2">
        <v>0</v>
      </c>
      <c r="G1515" s="2">
        <v>0</v>
      </c>
      <c r="I1515" s="2" t="s">
        <v>1535</v>
      </c>
      <c r="J1515" s="2" t="s">
        <v>1536</v>
      </c>
      <c r="K1515" t="s">
        <v>18</v>
      </c>
      <c r="L1515" t="str">
        <f>T("9791189257330")</f>
        <v>9791189257330</v>
      </c>
      <c r="M1515" t="str">
        <f t="shared" si="59"/>
        <v/>
      </c>
      <c r="N1515" t="s">
        <v>1736</v>
      </c>
    </row>
    <row r="1516" spans="1:14">
      <c r="A1516" s="1">
        <v>46067.474895833337</v>
      </c>
      <c r="B1516">
        <v>257484947</v>
      </c>
      <c r="C1516" s="2" t="s">
        <v>1771</v>
      </c>
      <c r="D1516" t="s">
        <v>15</v>
      </c>
      <c r="E1516" s="4">
        <v>0</v>
      </c>
      <c r="F1516" s="2">
        <v>0</v>
      </c>
      <c r="G1516" s="2">
        <v>0</v>
      </c>
      <c r="I1516" s="2" t="s">
        <v>1772</v>
      </c>
      <c r="J1516" s="2" t="s">
        <v>197</v>
      </c>
      <c r="K1516" t="s">
        <v>18</v>
      </c>
      <c r="L1516" t="str">
        <f>T("9791164093090")</f>
        <v>9791164093090</v>
      </c>
      <c r="M1516" t="str">
        <f t="shared" si="59"/>
        <v/>
      </c>
      <c r="N1516" t="s">
        <v>1773</v>
      </c>
    </row>
    <row r="1517" spans="1:14">
      <c r="A1517" s="1">
        <v>46067.474895833337</v>
      </c>
      <c r="B1517">
        <v>257484962</v>
      </c>
      <c r="C1517" s="2" t="s">
        <v>1774</v>
      </c>
      <c r="D1517" t="s">
        <v>15</v>
      </c>
      <c r="E1517" s="4">
        <v>0</v>
      </c>
      <c r="F1517" s="2">
        <v>0</v>
      </c>
      <c r="G1517" s="2">
        <v>0</v>
      </c>
      <c r="I1517" s="2" t="s">
        <v>1772</v>
      </c>
      <c r="J1517" s="2" t="s">
        <v>197</v>
      </c>
      <c r="K1517" t="s">
        <v>18</v>
      </c>
      <c r="L1517" t="str">
        <f>T("9791164093212")</f>
        <v>9791164093212</v>
      </c>
      <c r="M1517" t="str">
        <f t="shared" si="59"/>
        <v/>
      </c>
      <c r="N1517" t="s">
        <v>1775</v>
      </c>
    </row>
    <row r="1518" spans="1:14">
      <c r="A1518" s="1">
        <v>46067.498622685183</v>
      </c>
      <c r="B1518">
        <v>383004678</v>
      </c>
      <c r="C1518" s="2" t="s">
        <v>1776</v>
      </c>
      <c r="D1518" t="s">
        <v>68</v>
      </c>
      <c r="E1518" s="5">
        <v>5760</v>
      </c>
      <c r="F1518" s="3">
        <v>5760</v>
      </c>
      <c r="G1518" s="3">
        <v>4032</v>
      </c>
      <c r="I1518" s="2" t="s">
        <v>351</v>
      </c>
      <c r="J1518" s="2" t="s">
        <v>126</v>
      </c>
      <c r="K1518" t="s">
        <v>18</v>
      </c>
      <c r="L1518" t="str">
        <f>T("9791171502950")</f>
        <v>9791171502950</v>
      </c>
      <c r="M1518" t="str">
        <f t="shared" si="59"/>
        <v/>
      </c>
    </row>
    <row r="1519" spans="1:14">
      <c r="A1519" s="1">
        <v>46067.515081018515</v>
      </c>
      <c r="B1519">
        <v>250675462</v>
      </c>
      <c r="C1519" s="2" t="s">
        <v>1777</v>
      </c>
      <c r="D1519" t="s">
        <v>15</v>
      </c>
      <c r="E1519" s="5">
        <v>7000</v>
      </c>
      <c r="F1519" s="3">
        <v>6300</v>
      </c>
      <c r="G1519" s="3">
        <v>4410</v>
      </c>
      <c r="I1519" s="2" t="s">
        <v>1778</v>
      </c>
      <c r="J1519" s="2" t="s">
        <v>476</v>
      </c>
      <c r="K1519" t="s">
        <v>18</v>
      </c>
      <c r="L1519" t="str">
        <f>T("9791157937721")</f>
        <v>9791157937721</v>
      </c>
      <c r="M1519" t="str">
        <f t="shared" si="59"/>
        <v/>
      </c>
    </row>
    <row r="1520" spans="1:14">
      <c r="A1520" s="1">
        <v>46067.517071759263</v>
      </c>
      <c r="B1520">
        <v>384024078</v>
      </c>
      <c r="C1520" s="2" t="s">
        <v>1360</v>
      </c>
      <c r="D1520" t="s">
        <v>15</v>
      </c>
      <c r="E1520" s="5">
        <v>1000</v>
      </c>
      <c r="F1520" s="3">
        <v>1000</v>
      </c>
      <c r="G1520" s="2">
        <v>700</v>
      </c>
      <c r="I1520" s="2" t="s">
        <v>1203</v>
      </c>
      <c r="J1520" s="2" t="s">
        <v>21</v>
      </c>
      <c r="K1520" t="s">
        <v>18</v>
      </c>
      <c r="L1520" t="str">
        <f>T("9791175582231")</f>
        <v>9791175582231</v>
      </c>
      <c r="M1520" t="str">
        <f t="shared" si="59"/>
        <v/>
      </c>
      <c r="N1520" t="s">
        <v>1361</v>
      </c>
    </row>
    <row r="1521" spans="1:14">
      <c r="A1521" s="1">
        <v>46067.531273148146</v>
      </c>
      <c r="B1521">
        <v>278899683</v>
      </c>
      <c r="C1521" s="2" t="s">
        <v>1779</v>
      </c>
      <c r="D1521" t="s">
        <v>15</v>
      </c>
      <c r="E1521" s="5">
        <v>1000</v>
      </c>
      <c r="F1521" s="3">
        <v>1000</v>
      </c>
      <c r="G1521" s="2">
        <v>700</v>
      </c>
      <c r="I1521" s="2" t="s">
        <v>1780</v>
      </c>
      <c r="J1521" s="2" t="s">
        <v>177</v>
      </c>
      <c r="K1521" t="s">
        <v>18</v>
      </c>
      <c r="L1521" t="str">
        <f>T("9791164794003")</f>
        <v>9791164794003</v>
      </c>
      <c r="M1521" t="str">
        <f t="shared" si="59"/>
        <v/>
      </c>
      <c r="N1521" t="s">
        <v>1781</v>
      </c>
    </row>
    <row r="1522" spans="1:14">
      <c r="A1522" s="1">
        <v>46067.536249999997</v>
      </c>
      <c r="B1522">
        <v>370129978</v>
      </c>
      <c r="C1522" s="2" t="s">
        <v>1782</v>
      </c>
      <c r="D1522" t="s">
        <v>15</v>
      </c>
      <c r="E1522" s="5">
        <v>3000</v>
      </c>
      <c r="F1522" s="3">
        <v>3000</v>
      </c>
      <c r="G1522" s="3">
        <v>2100</v>
      </c>
      <c r="I1522" s="2" t="s">
        <v>493</v>
      </c>
      <c r="J1522" s="2" t="s">
        <v>65</v>
      </c>
      <c r="K1522" t="s">
        <v>18</v>
      </c>
      <c r="L1522" t="str">
        <f>T("9791137010772")</f>
        <v>9791137010772</v>
      </c>
      <c r="M1522" t="str">
        <f t="shared" si="59"/>
        <v/>
      </c>
      <c r="N1522" t="s">
        <v>1783</v>
      </c>
    </row>
    <row r="1523" spans="1:14">
      <c r="A1523" s="1">
        <v>46067.536249999997</v>
      </c>
      <c r="B1523">
        <v>370130233</v>
      </c>
      <c r="C1523" s="2" t="s">
        <v>1784</v>
      </c>
      <c r="D1523" t="s">
        <v>15</v>
      </c>
      <c r="E1523" s="5">
        <v>3000</v>
      </c>
      <c r="F1523" s="3">
        <v>3000</v>
      </c>
      <c r="G1523" s="3">
        <v>2100</v>
      </c>
      <c r="I1523" s="2" t="s">
        <v>493</v>
      </c>
      <c r="J1523" s="2" t="s">
        <v>65</v>
      </c>
      <c r="K1523" t="s">
        <v>18</v>
      </c>
      <c r="L1523" t="str">
        <f>T("9791137010741")</f>
        <v>9791137010741</v>
      </c>
      <c r="M1523" t="str">
        <f t="shared" si="59"/>
        <v/>
      </c>
      <c r="N1523" t="s">
        <v>1785</v>
      </c>
    </row>
    <row r="1524" spans="1:14">
      <c r="A1524" s="1">
        <v>46067.536249999997</v>
      </c>
      <c r="B1524">
        <v>370129992</v>
      </c>
      <c r="C1524" s="2" t="s">
        <v>1786</v>
      </c>
      <c r="D1524" t="s">
        <v>15</v>
      </c>
      <c r="E1524" s="5">
        <v>3000</v>
      </c>
      <c r="F1524" s="3">
        <v>3000</v>
      </c>
      <c r="G1524" s="3">
        <v>2100</v>
      </c>
      <c r="I1524" s="2" t="s">
        <v>493</v>
      </c>
      <c r="J1524" s="2" t="s">
        <v>65</v>
      </c>
      <c r="K1524" t="s">
        <v>18</v>
      </c>
      <c r="L1524" t="str">
        <f>T("9791137010765")</f>
        <v>9791137010765</v>
      </c>
      <c r="M1524" t="str">
        <f t="shared" si="59"/>
        <v/>
      </c>
      <c r="N1524" t="s">
        <v>1787</v>
      </c>
    </row>
    <row r="1525" spans="1:14">
      <c r="A1525" s="1">
        <v>46067.536249999997</v>
      </c>
      <c r="B1525">
        <v>370130003</v>
      </c>
      <c r="C1525" s="2" t="s">
        <v>1788</v>
      </c>
      <c r="D1525" t="s">
        <v>15</v>
      </c>
      <c r="E1525" s="5">
        <v>3000</v>
      </c>
      <c r="F1525" s="3">
        <v>3000</v>
      </c>
      <c r="G1525" s="3">
        <v>2100</v>
      </c>
      <c r="I1525" s="2" t="s">
        <v>493</v>
      </c>
      <c r="J1525" s="2" t="s">
        <v>65</v>
      </c>
      <c r="K1525" t="s">
        <v>18</v>
      </c>
      <c r="L1525" t="str">
        <f>T("9791137010758")</f>
        <v>9791137010758</v>
      </c>
      <c r="M1525" t="str">
        <f t="shared" ref="M1525:M1556" si="61">T("")</f>
        <v/>
      </c>
      <c r="N1525" t="s">
        <v>1789</v>
      </c>
    </row>
    <row r="1526" spans="1:14">
      <c r="A1526" s="1">
        <v>46067.545358796298</v>
      </c>
      <c r="B1526">
        <v>277935595</v>
      </c>
      <c r="C1526" s="2" t="s">
        <v>1790</v>
      </c>
      <c r="D1526" t="s">
        <v>15</v>
      </c>
      <c r="E1526" s="4">
        <v>100</v>
      </c>
      <c r="F1526" s="2">
        <v>100</v>
      </c>
      <c r="G1526" s="2">
        <v>70</v>
      </c>
      <c r="I1526" s="2" t="s">
        <v>64</v>
      </c>
      <c r="J1526" s="2" t="s">
        <v>65</v>
      </c>
      <c r="K1526" t="s">
        <v>18</v>
      </c>
      <c r="L1526" t="str">
        <f>T("9791162589724")</f>
        <v>9791162589724</v>
      </c>
      <c r="M1526" t="str">
        <f t="shared" si="61"/>
        <v/>
      </c>
      <c r="N1526" t="s">
        <v>1791</v>
      </c>
    </row>
    <row r="1527" spans="1:14">
      <c r="A1527" s="1">
        <v>46067.566157407404</v>
      </c>
      <c r="B1527">
        <v>358317787</v>
      </c>
      <c r="C1527" s="2" t="s">
        <v>1792</v>
      </c>
      <c r="D1527" t="s">
        <v>15</v>
      </c>
      <c r="E1527" s="5">
        <v>1000</v>
      </c>
      <c r="F1527" s="3">
        <v>1000</v>
      </c>
      <c r="G1527" s="2">
        <v>700</v>
      </c>
      <c r="I1527" s="2" t="s">
        <v>1793</v>
      </c>
      <c r="J1527" s="2" t="s">
        <v>21</v>
      </c>
      <c r="K1527" t="s">
        <v>18</v>
      </c>
      <c r="L1527" t="str">
        <f>T("9791173013317")</f>
        <v>9791173013317</v>
      </c>
      <c r="M1527" t="str">
        <f t="shared" si="61"/>
        <v/>
      </c>
      <c r="N1527" t="s">
        <v>1794</v>
      </c>
    </row>
    <row r="1528" spans="1:14">
      <c r="A1528" s="1">
        <v>46067.570162037038</v>
      </c>
      <c r="B1528">
        <v>295771241</v>
      </c>
      <c r="C1528" s="2" t="s">
        <v>1795</v>
      </c>
      <c r="D1528" t="s">
        <v>15</v>
      </c>
      <c r="E1528" s="5">
        <v>3200</v>
      </c>
      <c r="F1528" s="3">
        <v>3200</v>
      </c>
      <c r="G1528" s="3">
        <v>2240</v>
      </c>
      <c r="I1528" s="2" t="s">
        <v>540</v>
      </c>
      <c r="J1528" s="2" t="s">
        <v>197</v>
      </c>
      <c r="K1528" t="s">
        <v>18</v>
      </c>
      <c r="L1528" t="str">
        <f>T("9791164096916")</f>
        <v>9791164096916</v>
      </c>
      <c r="M1528" t="str">
        <f t="shared" si="61"/>
        <v/>
      </c>
      <c r="N1528" t="s">
        <v>1796</v>
      </c>
    </row>
    <row r="1529" spans="1:14">
      <c r="A1529" s="1">
        <v>46067.608530092592</v>
      </c>
      <c r="B1529">
        <v>386057282</v>
      </c>
      <c r="C1529" s="2" t="s">
        <v>1534</v>
      </c>
      <c r="D1529" t="s">
        <v>68</v>
      </c>
      <c r="E1529" s="5">
        <v>12500</v>
      </c>
      <c r="F1529" s="3">
        <v>12500</v>
      </c>
      <c r="G1529" s="3">
        <v>8750</v>
      </c>
      <c r="I1529" s="2" t="s">
        <v>1535</v>
      </c>
      <c r="J1529" s="2" t="s">
        <v>1536</v>
      </c>
      <c r="K1529" t="s">
        <v>18</v>
      </c>
      <c r="L1529" t="str">
        <f>T("9791189257323")</f>
        <v>9791189257323</v>
      </c>
      <c r="M1529" t="str">
        <f t="shared" si="61"/>
        <v/>
      </c>
    </row>
    <row r="1530" spans="1:14">
      <c r="A1530" s="1">
        <v>46067.627870370372</v>
      </c>
      <c r="B1530">
        <v>385347715</v>
      </c>
      <c r="C1530" s="2" t="s">
        <v>186</v>
      </c>
      <c r="D1530" t="s">
        <v>15</v>
      </c>
      <c r="E1530" s="5">
        <v>2000</v>
      </c>
      <c r="F1530" s="3">
        <v>1800</v>
      </c>
      <c r="G1530" s="3">
        <v>1260</v>
      </c>
      <c r="I1530" s="2" t="s">
        <v>187</v>
      </c>
      <c r="J1530" s="2" t="s">
        <v>188</v>
      </c>
      <c r="K1530" t="s">
        <v>18</v>
      </c>
      <c r="L1530" t="str">
        <f>T("9791164835362")</f>
        <v>9791164835362</v>
      </c>
      <c r="M1530" t="str">
        <f t="shared" si="61"/>
        <v/>
      </c>
      <c r="N1530" t="s">
        <v>189</v>
      </c>
    </row>
    <row r="1531" spans="1:14">
      <c r="A1531" s="1">
        <v>46067.63585648148</v>
      </c>
      <c r="B1531">
        <v>386057128</v>
      </c>
      <c r="C1531" s="2" t="s">
        <v>1797</v>
      </c>
      <c r="D1531" t="s">
        <v>15</v>
      </c>
      <c r="E1531" s="5">
        <v>16800</v>
      </c>
      <c r="F1531" s="3">
        <v>16800</v>
      </c>
      <c r="G1531" s="3">
        <v>11760</v>
      </c>
      <c r="I1531" s="2" t="s">
        <v>540</v>
      </c>
      <c r="J1531" s="2" t="s">
        <v>197</v>
      </c>
      <c r="K1531" t="s">
        <v>18</v>
      </c>
      <c r="L1531" t="str">
        <f>T("9791164098934")</f>
        <v>9791164098934</v>
      </c>
      <c r="M1531" t="str">
        <f t="shared" si="61"/>
        <v/>
      </c>
    </row>
    <row r="1532" spans="1:14">
      <c r="A1532" s="1">
        <v>46068.682627314818</v>
      </c>
      <c r="B1532">
        <v>386057280</v>
      </c>
      <c r="C1532" s="2" t="s">
        <v>1733</v>
      </c>
      <c r="D1532" t="s">
        <v>68</v>
      </c>
      <c r="E1532" s="5">
        <v>-10500</v>
      </c>
      <c r="F1532" s="3">
        <v>-10500</v>
      </c>
      <c r="G1532" s="3">
        <v>-7350</v>
      </c>
      <c r="H1532" s="1">
        <v>46067.639699074076</v>
      </c>
      <c r="I1532" s="2" t="s">
        <v>1734</v>
      </c>
      <c r="J1532" s="2" t="s">
        <v>197</v>
      </c>
      <c r="K1532" t="s">
        <v>18</v>
      </c>
      <c r="L1532" t="str">
        <f>T("9791164092130")</f>
        <v>9791164092130</v>
      </c>
      <c r="M1532" t="str">
        <f t="shared" si="61"/>
        <v/>
      </c>
    </row>
    <row r="1533" spans="1:14">
      <c r="A1533" s="1">
        <v>46067.639699074076</v>
      </c>
      <c r="B1533">
        <v>386057280</v>
      </c>
      <c r="C1533" s="2" t="s">
        <v>1733</v>
      </c>
      <c r="D1533" t="s">
        <v>68</v>
      </c>
      <c r="E1533" s="5">
        <v>10500</v>
      </c>
      <c r="F1533" s="3">
        <v>10500</v>
      </c>
      <c r="G1533" s="3">
        <v>7350</v>
      </c>
      <c r="I1533" s="2" t="s">
        <v>1734</v>
      </c>
      <c r="J1533" s="2" t="s">
        <v>197</v>
      </c>
      <c r="K1533" t="s">
        <v>18</v>
      </c>
      <c r="L1533" t="str">
        <f>T("9791164092130")</f>
        <v>9791164092130</v>
      </c>
      <c r="M1533" t="str">
        <f t="shared" si="61"/>
        <v/>
      </c>
    </row>
    <row r="1534" spans="1:14">
      <c r="A1534" s="1">
        <v>46067.660671296297</v>
      </c>
      <c r="B1534">
        <v>358521369</v>
      </c>
      <c r="C1534" s="2" t="s">
        <v>1305</v>
      </c>
      <c r="D1534" t="s">
        <v>15</v>
      </c>
      <c r="E1534" s="5">
        <v>4000</v>
      </c>
      <c r="F1534" s="3">
        <v>4000</v>
      </c>
      <c r="G1534" s="3">
        <v>2800</v>
      </c>
      <c r="I1534" s="2" t="s">
        <v>1306</v>
      </c>
      <c r="J1534" s="2" t="s">
        <v>197</v>
      </c>
      <c r="K1534" t="s">
        <v>18</v>
      </c>
      <c r="L1534" t="str">
        <f>T("9791164095247")</f>
        <v>9791164095247</v>
      </c>
      <c r="M1534" t="str">
        <f t="shared" si="61"/>
        <v/>
      </c>
    </row>
    <row r="1535" spans="1:14">
      <c r="A1535" s="1">
        <v>46067.66778935185</v>
      </c>
      <c r="B1535">
        <v>386057128</v>
      </c>
      <c r="C1535" s="2" t="s">
        <v>1797</v>
      </c>
      <c r="D1535" t="s">
        <v>15</v>
      </c>
      <c r="E1535" s="5">
        <v>16800</v>
      </c>
      <c r="F1535" s="3">
        <v>16800</v>
      </c>
      <c r="G1535" s="3">
        <v>11760</v>
      </c>
      <c r="I1535" s="2" t="s">
        <v>540</v>
      </c>
      <c r="J1535" s="2" t="s">
        <v>197</v>
      </c>
      <c r="K1535" t="s">
        <v>18</v>
      </c>
      <c r="L1535" t="str">
        <f>T("9791164098934")</f>
        <v>9791164098934</v>
      </c>
      <c r="M1535" t="str">
        <f t="shared" si="61"/>
        <v/>
      </c>
    </row>
    <row r="1536" spans="1:14">
      <c r="A1536" s="1">
        <v>46067.677974537037</v>
      </c>
      <c r="B1536">
        <v>327615040</v>
      </c>
      <c r="C1536" s="2" t="s">
        <v>1798</v>
      </c>
      <c r="D1536" t="s">
        <v>15</v>
      </c>
      <c r="E1536" s="4">
        <v>0</v>
      </c>
      <c r="F1536" s="2">
        <v>0</v>
      </c>
      <c r="G1536" s="2">
        <v>0</v>
      </c>
      <c r="I1536" s="2" t="s">
        <v>1682</v>
      </c>
      <c r="J1536" s="2" t="s">
        <v>197</v>
      </c>
      <c r="K1536" t="s">
        <v>18</v>
      </c>
      <c r="L1536" t="str">
        <f>T("9791164097678")</f>
        <v>9791164097678</v>
      </c>
      <c r="M1536" t="str">
        <f t="shared" si="61"/>
        <v/>
      </c>
      <c r="N1536" t="s">
        <v>1799</v>
      </c>
    </row>
    <row r="1537" spans="1:14">
      <c r="A1537" s="1">
        <v>46067.681041666663</v>
      </c>
      <c r="B1537">
        <v>386057282</v>
      </c>
      <c r="C1537" s="2" t="s">
        <v>1534</v>
      </c>
      <c r="D1537" t="s">
        <v>68</v>
      </c>
      <c r="E1537" s="5">
        <v>12500</v>
      </c>
      <c r="F1537" s="3">
        <v>12500</v>
      </c>
      <c r="G1537" s="3">
        <v>8750</v>
      </c>
      <c r="I1537" s="2" t="s">
        <v>1535</v>
      </c>
      <c r="J1537" s="2" t="s">
        <v>1536</v>
      </c>
      <c r="K1537" t="s">
        <v>18</v>
      </c>
      <c r="L1537" t="str">
        <f>T("9791189257323")</f>
        <v>9791189257323</v>
      </c>
      <c r="M1537" t="str">
        <f t="shared" si="61"/>
        <v/>
      </c>
    </row>
    <row r="1538" spans="1:14">
      <c r="A1538" s="1">
        <v>46067.930173611108</v>
      </c>
      <c r="B1538">
        <v>323352599</v>
      </c>
      <c r="C1538" s="2" t="s">
        <v>1800</v>
      </c>
      <c r="D1538" t="s">
        <v>68</v>
      </c>
      <c r="E1538" s="5">
        <v>-2250</v>
      </c>
      <c r="F1538" s="3">
        <v>-2250</v>
      </c>
      <c r="G1538" s="3">
        <v>-1575</v>
      </c>
      <c r="H1538" s="1">
        <v>46067.683819444443</v>
      </c>
      <c r="I1538" s="2" t="s">
        <v>1801</v>
      </c>
      <c r="J1538" s="2" t="s">
        <v>126</v>
      </c>
      <c r="K1538" t="s">
        <v>18</v>
      </c>
      <c r="L1538" t="str">
        <f>T("9791171501212")</f>
        <v>9791171501212</v>
      </c>
      <c r="M1538" t="str">
        <f t="shared" si="61"/>
        <v/>
      </c>
    </row>
    <row r="1539" spans="1:14">
      <c r="A1539" s="1">
        <v>46067.683819444443</v>
      </c>
      <c r="B1539">
        <v>323352599</v>
      </c>
      <c r="C1539" s="2" t="s">
        <v>1800</v>
      </c>
      <c r="D1539" t="s">
        <v>68</v>
      </c>
      <c r="E1539" s="5">
        <v>2250</v>
      </c>
      <c r="F1539" s="3">
        <v>2250</v>
      </c>
      <c r="G1539" s="3">
        <v>1575</v>
      </c>
      <c r="I1539" s="2" t="s">
        <v>1801</v>
      </c>
      <c r="J1539" s="2" t="s">
        <v>126</v>
      </c>
      <c r="K1539" t="s">
        <v>18</v>
      </c>
      <c r="L1539" t="str">
        <f>T("9791171501212")</f>
        <v>9791171501212</v>
      </c>
      <c r="M1539" t="str">
        <f t="shared" si="61"/>
        <v/>
      </c>
    </row>
    <row r="1540" spans="1:14">
      <c r="A1540" s="1">
        <v>46067.684386574074</v>
      </c>
      <c r="B1540">
        <v>386057128</v>
      </c>
      <c r="C1540" s="2" t="s">
        <v>1797</v>
      </c>
      <c r="D1540" t="s">
        <v>15</v>
      </c>
      <c r="E1540" s="5">
        <v>16800</v>
      </c>
      <c r="F1540" s="3">
        <v>16800</v>
      </c>
      <c r="G1540" s="3">
        <v>11760</v>
      </c>
      <c r="I1540" s="2" t="s">
        <v>540</v>
      </c>
      <c r="J1540" s="2" t="s">
        <v>197</v>
      </c>
      <c r="K1540" t="s">
        <v>18</v>
      </c>
      <c r="L1540" t="str">
        <f>T("9791164098934")</f>
        <v>9791164098934</v>
      </c>
      <c r="M1540" t="str">
        <f t="shared" si="61"/>
        <v/>
      </c>
    </row>
    <row r="1541" spans="1:14">
      <c r="A1541" s="1">
        <v>46067.695613425924</v>
      </c>
      <c r="B1541">
        <v>375539688</v>
      </c>
      <c r="C1541" s="2" t="s">
        <v>1802</v>
      </c>
      <c r="D1541" t="s">
        <v>15</v>
      </c>
      <c r="E1541" s="5">
        <v>1000</v>
      </c>
      <c r="F1541" s="3">
        <v>1000</v>
      </c>
      <c r="G1541" s="2">
        <v>700</v>
      </c>
      <c r="I1541" s="2" t="s">
        <v>928</v>
      </c>
      <c r="J1541" s="2" t="s">
        <v>21</v>
      </c>
      <c r="K1541" t="s">
        <v>18</v>
      </c>
      <c r="L1541" t="str">
        <f>T("9791173019029")</f>
        <v>9791173019029</v>
      </c>
      <c r="M1541" t="str">
        <f t="shared" si="61"/>
        <v/>
      </c>
      <c r="N1541" t="s">
        <v>1803</v>
      </c>
    </row>
    <row r="1542" spans="1:14">
      <c r="A1542" s="1">
        <v>46067.695613425924</v>
      </c>
      <c r="B1542">
        <v>377162010</v>
      </c>
      <c r="C1542" s="2" t="s">
        <v>1804</v>
      </c>
      <c r="D1542" t="s">
        <v>15</v>
      </c>
      <c r="E1542" s="5">
        <v>1000</v>
      </c>
      <c r="F1542" s="3">
        <v>1000</v>
      </c>
      <c r="G1542" s="2">
        <v>700</v>
      </c>
      <c r="I1542" s="2" t="s">
        <v>928</v>
      </c>
      <c r="J1542" s="2" t="s">
        <v>21</v>
      </c>
      <c r="K1542" t="s">
        <v>18</v>
      </c>
      <c r="L1542" t="str">
        <f>T("9791173019357")</f>
        <v>9791173019357</v>
      </c>
      <c r="M1542" t="str">
        <f t="shared" si="61"/>
        <v/>
      </c>
      <c r="N1542" t="s">
        <v>1805</v>
      </c>
    </row>
    <row r="1543" spans="1:14">
      <c r="A1543" s="1">
        <v>46067.695613425924</v>
      </c>
      <c r="B1543">
        <v>379921095</v>
      </c>
      <c r="C1543" s="2" t="s">
        <v>927</v>
      </c>
      <c r="D1543" t="s">
        <v>15</v>
      </c>
      <c r="E1543" s="5">
        <v>1000</v>
      </c>
      <c r="F1543" s="3">
        <v>1000</v>
      </c>
      <c r="G1543" s="2">
        <v>700</v>
      </c>
      <c r="I1543" s="2" t="s">
        <v>928</v>
      </c>
      <c r="J1543" s="2" t="s">
        <v>21</v>
      </c>
      <c r="K1543" t="s">
        <v>18</v>
      </c>
      <c r="L1543" t="str">
        <f>T("9791175581319")</f>
        <v>9791175581319</v>
      </c>
      <c r="M1543" t="str">
        <f t="shared" si="61"/>
        <v/>
      </c>
      <c r="N1543" t="s">
        <v>929</v>
      </c>
    </row>
    <row r="1544" spans="1:14">
      <c r="A1544" s="1">
        <v>46067.701620370368</v>
      </c>
      <c r="B1544">
        <v>385347797</v>
      </c>
      <c r="C1544" s="2" t="s">
        <v>195</v>
      </c>
      <c r="D1544" t="s">
        <v>15</v>
      </c>
      <c r="E1544" s="4">
        <v>700</v>
      </c>
      <c r="F1544" s="2">
        <v>630</v>
      </c>
      <c r="G1544" s="2">
        <v>441</v>
      </c>
      <c r="I1544" s="2" t="s">
        <v>196</v>
      </c>
      <c r="J1544" s="2" t="s">
        <v>197</v>
      </c>
      <c r="K1544" t="s">
        <v>18</v>
      </c>
      <c r="L1544" t="str">
        <f>T("9791172821937")</f>
        <v>9791172821937</v>
      </c>
      <c r="M1544" t="str">
        <f t="shared" si="61"/>
        <v/>
      </c>
      <c r="N1544" t="s">
        <v>198</v>
      </c>
    </row>
    <row r="1545" spans="1:14">
      <c r="A1545" s="1">
        <v>46067.708668981482</v>
      </c>
      <c r="B1545">
        <v>386057278</v>
      </c>
      <c r="C1545" s="2" t="s">
        <v>1806</v>
      </c>
      <c r="D1545" t="s">
        <v>68</v>
      </c>
      <c r="E1545" s="5">
        <v>5000</v>
      </c>
      <c r="F1545" s="3">
        <v>5000</v>
      </c>
      <c r="G1545" s="3">
        <v>3500</v>
      </c>
      <c r="I1545" s="2" t="s">
        <v>1772</v>
      </c>
      <c r="J1545" s="2" t="s">
        <v>197</v>
      </c>
      <c r="K1545" t="s">
        <v>18</v>
      </c>
      <c r="L1545" t="str">
        <f>T("9791164093281")</f>
        <v>9791164093281</v>
      </c>
      <c r="M1545" t="str">
        <f t="shared" si="61"/>
        <v/>
      </c>
    </row>
    <row r="1546" spans="1:14">
      <c r="A1546" s="1">
        <v>46067.710300925923</v>
      </c>
      <c r="B1546">
        <v>379527576</v>
      </c>
      <c r="C1546" s="2" t="s">
        <v>150</v>
      </c>
      <c r="D1546" t="s">
        <v>15</v>
      </c>
      <c r="E1546" s="5">
        <v>1000</v>
      </c>
      <c r="F1546" s="3">
        <v>1000</v>
      </c>
      <c r="G1546" s="2">
        <v>700</v>
      </c>
      <c r="I1546" s="2" t="s">
        <v>148</v>
      </c>
      <c r="J1546" s="2" t="s">
        <v>21</v>
      </c>
      <c r="K1546" t="s">
        <v>18</v>
      </c>
      <c r="L1546" t="str">
        <f>T("9791175580541")</f>
        <v>9791175580541</v>
      </c>
      <c r="M1546" t="str">
        <f t="shared" si="61"/>
        <v/>
      </c>
      <c r="N1546" t="s">
        <v>151</v>
      </c>
    </row>
    <row r="1547" spans="1:14">
      <c r="A1547" s="1">
        <v>46067.719351851854</v>
      </c>
      <c r="B1547">
        <v>370130007</v>
      </c>
      <c r="C1547" s="2" t="s">
        <v>1807</v>
      </c>
      <c r="D1547" t="s">
        <v>15</v>
      </c>
      <c r="E1547" s="5">
        <v>3000</v>
      </c>
      <c r="F1547" s="3">
        <v>3000</v>
      </c>
      <c r="G1547" s="3">
        <v>2100</v>
      </c>
      <c r="I1547" s="2" t="s">
        <v>493</v>
      </c>
      <c r="J1547" s="2" t="s">
        <v>65</v>
      </c>
      <c r="K1547" t="s">
        <v>18</v>
      </c>
      <c r="L1547" t="str">
        <f>T("9791137010796")</f>
        <v>9791137010796</v>
      </c>
      <c r="M1547" t="str">
        <f t="shared" si="61"/>
        <v/>
      </c>
      <c r="N1547" t="s">
        <v>1808</v>
      </c>
    </row>
    <row r="1548" spans="1:14">
      <c r="A1548" s="1">
        <v>46067.719351851854</v>
      </c>
      <c r="B1548">
        <v>370129980</v>
      </c>
      <c r="C1548" s="2" t="s">
        <v>1809</v>
      </c>
      <c r="D1548" t="s">
        <v>15</v>
      </c>
      <c r="E1548" s="5">
        <v>3200</v>
      </c>
      <c r="F1548" s="3">
        <v>3200</v>
      </c>
      <c r="G1548" s="3">
        <v>2240</v>
      </c>
      <c r="I1548" s="2" t="s">
        <v>493</v>
      </c>
      <c r="J1548" s="2" t="s">
        <v>65</v>
      </c>
      <c r="K1548" t="s">
        <v>18</v>
      </c>
      <c r="L1548" t="str">
        <f>T("9791137010826")</f>
        <v>9791137010826</v>
      </c>
      <c r="M1548" t="str">
        <f t="shared" si="61"/>
        <v/>
      </c>
      <c r="N1548" t="s">
        <v>1810</v>
      </c>
    </row>
    <row r="1549" spans="1:14">
      <c r="A1549" s="1">
        <v>46067.719351851854</v>
      </c>
      <c r="B1549">
        <v>370129983</v>
      </c>
      <c r="C1549" s="2" t="s">
        <v>1811</v>
      </c>
      <c r="D1549" t="s">
        <v>15</v>
      </c>
      <c r="E1549" s="5">
        <v>3200</v>
      </c>
      <c r="F1549" s="3">
        <v>3200</v>
      </c>
      <c r="G1549" s="3">
        <v>2240</v>
      </c>
      <c r="I1549" s="2" t="s">
        <v>493</v>
      </c>
      <c r="J1549" s="2" t="s">
        <v>65</v>
      </c>
      <c r="K1549" t="s">
        <v>18</v>
      </c>
      <c r="L1549" t="str">
        <f>T("9791137010819")</f>
        <v>9791137010819</v>
      </c>
      <c r="M1549" t="str">
        <f t="shared" si="61"/>
        <v/>
      </c>
      <c r="N1549" t="s">
        <v>1812</v>
      </c>
    </row>
    <row r="1550" spans="1:14">
      <c r="A1550" s="1">
        <v>46067.719351851854</v>
      </c>
      <c r="B1550">
        <v>370129976</v>
      </c>
      <c r="C1550" s="2" t="s">
        <v>1813</v>
      </c>
      <c r="D1550" t="s">
        <v>15</v>
      </c>
      <c r="E1550" s="5">
        <v>3000</v>
      </c>
      <c r="F1550" s="3">
        <v>3000</v>
      </c>
      <c r="G1550" s="3">
        <v>2100</v>
      </c>
      <c r="I1550" s="2" t="s">
        <v>493</v>
      </c>
      <c r="J1550" s="2" t="s">
        <v>65</v>
      </c>
      <c r="K1550" t="s">
        <v>18</v>
      </c>
      <c r="L1550" t="str">
        <f>T("9791137010789")</f>
        <v>9791137010789</v>
      </c>
      <c r="M1550" t="str">
        <f t="shared" si="61"/>
        <v/>
      </c>
      <c r="N1550" t="s">
        <v>1814</v>
      </c>
    </row>
    <row r="1551" spans="1:14">
      <c r="A1551" s="1">
        <v>46067.719351851854</v>
      </c>
      <c r="B1551">
        <v>370129999</v>
      </c>
      <c r="C1551" s="2" t="s">
        <v>1815</v>
      </c>
      <c r="D1551" t="s">
        <v>15</v>
      </c>
      <c r="E1551" s="5">
        <v>3000</v>
      </c>
      <c r="F1551" s="3">
        <v>3000</v>
      </c>
      <c r="G1551" s="3">
        <v>2100</v>
      </c>
      <c r="I1551" s="2" t="s">
        <v>493</v>
      </c>
      <c r="J1551" s="2" t="s">
        <v>65</v>
      </c>
      <c r="K1551" t="s">
        <v>18</v>
      </c>
      <c r="L1551" t="str">
        <f>T("9791137010802")</f>
        <v>9791137010802</v>
      </c>
      <c r="M1551" t="str">
        <f t="shared" si="61"/>
        <v/>
      </c>
      <c r="N1551" t="s">
        <v>1816</v>
      </c>
    </row>
    <row r="1552" spans="1:14">
      <c r="A1552" s="1">
        <v>46067.730451388888</v>
      </c>
      <c r="B1552">
        <v>386057277</v>
      </c>
      <c r="C1552" s="2" t="s">
        <v>1609</v>
      </c>
      <c r="D1552" t="s">
        <v>68</v>
      </c>
      <c r="E1552" s="5">
        <v>3750</v>
      </c>
      <c r="F1552" s="3">
        <v>3750</v>
      </c>
      <c r="G1552" s="3">
        <v>2625</v>
      </c>
      <c r="I1552" s="2" t="s">
        <v>1610</v>
      </c>
      <c r="J1552" s="2" t="s">
        <v>197</v>
      </c>
      <c r="K1552" t="s">
        <v>18</v>
      </c>
      <c r="L1552" t="str">
        <f>T("9791164095315")</f>
        <v>9791164095315</v>
      </c>
      <c r="M1552" t="str">
        <f t="shared" si="61"/>
        <v/>
      </c>
    </row>
    <row r="1553" spans="1:14">
      <c r="A1553" s="1">
        <v>46067.736192129632</v>
      </c>
      <c r="B1553">
        <v>384101020</v>
      </c>
      <c r="C1553" s="2" t="s">
        <v>1817</v>
      </c>
      <c r="D1553" t="s">
        <v>15</v>
      </c>
      <c r="E1553" s="5">
        <v>1000</v>
      </c>
      <c r="F1553" s="3">
        <v>1000</v>
      </c>
      <c r="G1553" s="2">
        <v>700</v>
      </c>
      <c r="I1553" s="2" t="s">
        <v>1818</v>
      </c>
      <c r="J1553" s="2" t="s">
        <v>1673</v>
      </c>
      <c r="K1553" t="s">
        <v>18</v>
      </c>
      <c r="L1553" t="str">
        <f>T("9791124141045")</f>
        <v>9791124141045</v>
      </c>
      <c r="M1553" t="str">
        <f t="shared" si="61"/>
        <v/>
      </c>
      <c r="N1553" t="s">
        <v>1819</v>
      </c>
    </row>
    <row r="1554" spans="1:14">
      <c r="A1554" s="1">
        <v>46067.741597222222</v>
      </c>
      <c r="B1554">
        <v>386057277</v>
      </c>
      <c r="C1554" s="2" t="s">
        <v>1609</v>
      </c>
      <c r="D1554" t="s">
        <v>68</v>
      </c>
      <c r="E1554" s="5">
        <v>3750</v>
      </c>
      <c r="F1554" s="3">
        <v>3750</v>
      </c>
      <c r="G1554" s="3">
        <v>2625</v>
      </c>
      <c r="I1554" s="2" t="s">
        <v>1610</v>
      </c>
      <c r="J1554" s="2" t="s">
        <v>197</v>
      </c>
      <c r="K1554" t="s">
        <v>18</v>
      </c>
      <c r="L1554" t="str">
        <f>T("9791164095315")</f>
        <v>9791164095315</v>
      </c>
      <c r="M1554" t="str">
        <f t="shared" si="61"/>
        <v/>
      </c>
    </row>
    <row r="1555" spans="1:14">
      <c r="A1555" s="1">
        <v>46067.741597222222</v>
      </c>
      <c r="B1555">
        <v>386057276</v>
      </c>
      <c r="C1555" s="2" t="s">
        <v>1681</v>
      </c>
      <c r="D1555" t="s">
        <v>68</v>
      </c>
      <c r="E1555" s="5">
        <v>8100</v>
      </c>
      <c r="F1555" s="3">
        <v>8100</v>
      </c>
      <c r="G1555" s="3">
        <v>5670</v>
      </c>
      <c r="I1555" s="2" t="s">
        <v>1682</v>
      </c>
      <c r="J1555" s="2" t="s">
        <v>197</v>
      </c>
      <c r="K1555" t="s">
        <v>18</v>
      </c>
      <c r="L1555" t="str">
        <f>T("9791164097661")</f>
        <v>9791164097661</v>
      </c>
      <c r="M1555" t="str">
        <f t="shared" si="61"/>
        <v/>
      </c>
    </row>
    <row r="1556" spans="1:14">
      <c r="A1556" s="1">
        <v>46067.741909722223</v>
      </c>
      <c r="B1556">
        <v>375045084</v>
      </c>
      <c r="C1556" s="2" t="s">
        <v>1820</v>
      </c>
      <c r="D1556" t="s">
        <v>15</v>
      </c>
      <c r="E1556" s="4">
        <v>500</v>
      </c>
      <c r="F1556" s="2">
        <v>500</v>
      </c>
      <c r="G1556" s="2">
        <v>350</v>
      </c>
      <c r="I1556" s="2" t="s">
        <v>1821</v>
      </c>
      <c r="J1556" s="2" t="s">
        <v>126</v>
      </c>
      <c r="K1556" t="s">
        <v>18</v>
      </c>
      <c r="L1556" t="str">
        <f>T("9791171502653")</f>
        <v>9791171502653</v>
      </c>
      <c r="M1556" t="str">
        <f t="shared" si="61"/>
        <v/>
      </c>
      <c r="N1556" t="s">
        <v>1822</v>
      </c>
    </row>
    <row r="1557" spans="1:14">
      <c r="A1557" s="1">
        <v>46067.748356481483</v>
      </c>
      <c r="B1557">
        <v>298689777</v>
      </c>
      <c r="C1557" s="2" t="s">
        <v>1823</v>
      </c>
      <c r="D1557" t="s">
        <v>15</v>
      </c>
      <c r="E1557" s="5">
        <v>3300</v>
      </c>
      <c r="F1557" s="3">
        <v>3300</v>
      </c>
      <c r="G1557" s="3">
        <v>2310</v>
      </c>
      <c r="I1557" s="2" t="s">
        <v>1824</v>
      </c>
      <c r="J1557" s="2" t="s">
        <v>197</v>
      </c>
      <c r="K1557" t="s">
        <v>18</v>
      </c>
      <c r="L1557" t="str">
        <f>T("9791164097067")</f>
        <v>9791164097067</v>
      </c>
      <c r="M1557" t="str">
        <f t="shared" ref="M1557:M1588" si="62">T("")</f>
        <v/>
      </c>
      <c r="N1557" t="s">
        <v>1825</v>
      </c>
    </row>
    <row r="1558" spans="1:14">
      <c r="A1558" s="1">
        <v>46067.755023148151</v>
      </c>
      <c r="B1558">
        <v>385347797</v>
      </c>
      <c r="C1558" s="2" t="s">
        <v>195</v>
      </c>
      <c r="D1558" t="s">
        <v>15</v>
      </c>
      <c r="E1558" s="4">
        <v>700</v>
      </c>
      <c r="F1558" s="2">
        <v>630</v>
      </c>
      <c r="G1558" s="2">
        <v>441</v>
      </c>
      <c r="I1558" s="2" t="s">
        <v>196</v>
      </c>
      <c r="J1558" s="2" t="s">
        <v>197</v>
      </c>
      <c r="K1558" t="s">
        <v>18</v>
      </c>
      <c r="L1558" t="str">
        <f>T("9791172821937")</f>
        <v>9791172821937</v>
      </c>
      <c r="M1558" t="str">
        <f t="shared" si="62"/>
        <v/>
      </c>
      <c r="N1558" t="s">
        <v>198</v>
      </c>
    </row>
    <row r="1559" spans="1:14">
      <c r="A1559" s="1">
        <v>46067.755347222221</v>
      </c>
      <c r="B1559">
        <v>384664766</v>
      </c>
      <c r="C1559" s="2" t="s">
        <v>1826</v>
      </c>
      <c r="D1559" t="s">
        <v>15</v>
      </c>
      <c r="E1559" s="5">
        <v>3100</v>
      </c>
      <c r="F1559" s="3">
        <v>2790</v>
      </c>
      <c r="G1559" s="3">
        <v>1953</v>
      </c>
      <c r="I1559" s="2" t="s">
        <v>921</v>
      </c>
      <c r="J1559" s="2" t="s">
        <v>126</v>
      </c>
      <c r="K1559" t="s">
        <v>18</v>
      </c>
      <c r="L1559" t="str">
        <f>T("9791171502981")</f>
        <v>9791171502981</v>
      </c>
      <c r="M1559" t="str">
        <f t="shared" si="62"/>
        <v/>
      </c>
      <c r="N1559" t="s">
        <v>1827</v>
      </c>
    </row>
    <row r="1560" spans="1:14">
      <c r="A1560" s="1">
        <v>46067.77003472222</v>
      </c>
      <c r="B1560">
        <v>378390230</v>
      </c>
      <c r="C1560" s="2" t="s">
        <v>285</v>
      </c>
      <c r="D1560" t="s">
        <v>15</v>
      </c>
      <c r="E1560" s="5">
        <v>1000</v>
      </c>
      <c r="F1560" s="3">
        <v>1000</v>
      </c>
      <c r="G1560" s="2">
        <v>700</v>
      </c>
      <c r="I1560" s="2" t="s">
        <v>286</v>
      </c>
      <c r="J1560" s="2" t="s">
        <v>21</v>
      </c>
      <c r="K1560" t="s">
        <v>18</v>
      </c>
      <c r="L1560" t="str">
        <f>T("9791175580459")</f>
        <v>9791175580459</v>
      </c>
      <c r="M1560" t="str">
        <f t="shared" si="62"/>
        <v/>
      </c>
      <c r="N1560" t="s">
        <v>287</v>
      </c>
    </row>
    <row r="1561" spans="1:14">
      <c r="A1561" s="1">
        <v>46067.770590277774</v>
      </c>
      <c r="B1561">
        <v>357743950</v>
      </c>
      <c r="C1561" s="2" t="s">
        <v>1828</v>
      </c>
      <c r="D1561" t="s">
        <v>15</v>
      </c>
      <c r="E1561" s="5">
        <v>3200</v>
      </c>
      <c r="F1561" s="3">
        <v>3200</v>
      </c>
      <c r="G1561" s="3">
        <v>2240</v>
      </c>
      <c r="I1561" s="2" t="s">
        <v>1738</v>
      </c>
      <c r="J1561" s="2" t="s">
        <v>856</v>
      </c>
      <c r="K1561" t="s">
        <v>18</v>
      </c>
      <c r="L1561" t="str">
        <f>T("9791171567256")</f>
        <v>9791171567256</v>
      </c>
      <c r="M1561" t="str">
        <f t="shared" si="62"/>
        <v/>
      </c>
      <c r="N1561" t="s">
        <v>1829</v>
      </c>
    </row>
    <row r="1562" spans="1:14">
      <c r="A1562" s="1">
        <v>46067.771226851852</v>
      </c>
      <c r="B1562">
        <v>277935769</v>
      </c>
      <c r="C1562" s="2" t="s">
        <v>1830</v>
      </c>
      <c r="D1562" t="s">
        <v>15</v>
      </c>
      <c r="E1562" s="4">
        <v>100</v>
      </c>
      <c r="F1562" s="2">
        <v>100</v>
      </c>
      <c r="G1562" s="2">
        <v>70</v>
      </c>
      <c r="I1562" s="2" t="s">
        <v>64</v>
      </c>
      <c r="J1562" s="2" t="s">
        <v>65</v>
      </c>
      <c r="K1562" t="s">
        <v>18</v>
      </c>
      <c r="L1562" t="str">
        <f>T("9791162589724")</f>
        <v>9791162589724</v>
      </c>
      <c r="M1562" t="str">
        <f t="shared" si="62"/>
        <v/>
      </c>
      <c r="N1562" t="s">
        <v>1831</v>
      </c>
    </row>
    <row r="1563" spans="1:14">
      <c r="A1563" s="1">
        <v>46067.806076388886</v>
      </c>
      <c r="B1563">
        <v>378350315</v>
      </c>
      <c r="C1563" s="2" t="s">
        <v>769</v>
      </c>
      <c r="D1563" t="s">
        <v>15</v>
      </c>
      <c r="E1563" s="5">
        <v>3300</v>
      </c>
      <c r="F1563" s="3">
        <v>2970</v>
      </c>
      <c r="G1563" s="3">
        <v>2079</v>
      </c>
      <c r="I1563" s="2" t="s">
        <v>307</v>
      </c>
      <c r="J1563" s="2" t="s">
        <v>308</v>
      </c>
      <c r="K1563" t="s">
        <v>18</v>
      </c>
      <c r="L1563" t="str">
        <f>T("9791194982517")</f>
        <v>9791194982517</v>
      </c>
      <c r="M1563" t="str">
        <f t="shared" si="62"/>
        <v/>
      </c>
      <c r="N1563" t="s">
        <v>770</v>
      </c>
    </row>
    <row r="1564" spans="1:14">
      <c r="A1564" s="1">
        <v>46067.808252314811</v>
      </c>
      <c r="B1564">
        <v>386057121</v>
      </c>
      <c r="C1564" s="2" t="s">
        <v>1832</v>
      </c>
      <c r="D1564" t="s">
        <v>15</v>
      </c>
      <c r="E1564" s="5">
        <v>5760</v>
      </c>
      <c r="F1564" s="3">
        <v>5760</v>
      </c>
      <c r="G1564" s="3">
        <v>4032</v>
      </c>
      <c r="I1564" s="2" t="s">
        <v>1833</v>
      </c>
      <c r="J1564" s="2" t="s">
        <v>21</v>
      </c>
      <c r="K1564" t="s">
        <v>18</v>
      </c>
      <c r="L1564" t="str">
        <f>T("9791175581562")</f>
        <v>9791175581562</v>
      </c>
      <c r="M1564" t="str">
        <f t="shared" si="62"/>
        <v/>
      </c>
    </row>
    <row r="1565" spans="1:14">
      <c r="A1565" s="1">
        <v>46067.810763888891</v>
      </c>
      <c r="B1565">
        <v>386057128</v>
      </c>
      <c r="C1565" s="2" t="s">
        <v>1797</v>
      </c>
      <c r="D1565" t="s">
        <v>15</v>
      </c>
      <c r="E1565" s="5">
        <v>16800</v>
      </c>
      <c r="F1565" s="3">
        <v>16800</v>
      </c>
      <c r="G1565" s="3">
        <v>11760</v>
      </c>
      <c r="I1565" s="2" t="s">
        <v>540</v>
      </c>
      <c r="J1565" s="2" t="s">
        <v>197</v>
      </c>
      <c r="K1565" t="s">
        <v>18</v>
      </c>
      <c r="L1565" t="str">
        <f>T("9791164098934")</f>
        <v>9791164098934</v>
      </c>
      <c r="M1565" t="str">
        <f t="shared" si="62"/>
        <v/>
      </c>
    </row>
    <row r="1566" spans="1:14">
      <c r="A1566" s="1">
        <v>46067.81627314815</v>
      </c>
      <c r="B1566">
        <v>279350397</v>
      </c>
      <c r="C1566" s="2" t="s">
        <v>1834</v>
      </c>
      <c r="D1566" t="s">
        <v>15</v>
      </c>
      <c r="E1566" s="4">
        <v>100</v>
      </c>
      <c r="F1566" s="2">
        <v>100</v>
      </c>
      <c r="G1566" s="2">
        <v>70</v>
      </c>
      <c r="I1566" s="2" t="s">
        <v>64</v>
      </c>
      <c r="J1566" s="2" t="s">
        <v>65</v>
      </c>
      <c r="K1566" t="s">
        <v>18</v>
      </c>
      <c r="L1566" t="str">
        <f t="shared" ref="L1566:L1585" si="63">T("9791162589724")</f>
        <v>9791162589724</v>
      </c>
      <c r="M1566" t="str">
        <f t="shared" si="62"/>
        <v/>
      </c>
      <c r="N1566" t="s">
        <v>1835</v>
      </c>
    </row>
    <row r="1567" spans="1:14">
      <c r="A1567" s="1">
        <v>46067.81627314815</v>
      </c>
      <c r="B1567">
        <v>279350411</v>
      </c>
      <c r="C1567" s="2" t="s">
        <v>1836</v>
      </c>
      <c r="D1567" t="s">
        <v>15</v>
      </c>
      <c r="E1567" s="4">
        <v>100</v>
      </c>
      <c r="F1567" s="2">
        <v>100</v>
      </c>
      <c r="G1567" s="2">
        <v>70</v>
      </c>
      <c r="I1567" s="2" t="s">
        <v>64</v>
      </c>
      <c r="J1567" s="2" t="s">
        <v>65</v>
      </c>
      <c r="K1567" t="s">
        <v>18</v>
      </c>
      <c r="L1567" t="str">
        <f t="shared" si="63"/>
        <v>9791162589724</v>
      </c>
      <c r="M1567" t="str">
        <f t="shared" si="62"/>
        <v/>
      </c>
      <c r="N1567" t="s">
        <v>1837</v>
      </c>
    </row>
    <row r="1568" spans="1:14">
      <c r="A1568" s="1">
        <v>46067.81627314815</v>
      </c>
      <c r="B1568">
        <v>279380372</v>
      </c>
      <c r="C1568" s="2" t="s">
        <v>1838</v>
      </c>
      <c r="D1568" t="s">
        <v>15</v>
      </c>
      <c r="E1568" s="4">
        <v>100</v>
      </c>
      <c r="F1568" s="2">
        <v>100</v>
      </c>
      <c r="G1568" s="2">
        <v>70</v>
      </c>
      <c r="I1568" s="2" t="s">
        <v>64</v>
      </c>
      <c r="J1568" s="2" t="s">
        <v>65</v>
      </c>
      <c r="K1568" t="s">
        <v>18</v>
      </c>
      <c r="L1568" t="str">
        <f t="shared" si="63"/>
        <v>9791162589724</v>
      </c>
      <c r="M1568" t="str">
        <f t="shared" si="62"/>
        <v/>
      </c>
      <c r="N1568" t="s">
        <v>1839</v>
      </c>
    </row>
    <row r="1569" spans="1:14">
      <c r="A1569" s="1">
        <v>46067.81627314815</v>
      </c>
      <c r="B1569">
        <v>280974770</v>
      </c>
      <c r="C1569" s="2" t="s">
        <v>1712</v>
      </c>
      <c r="D1569" t="s">
        <v>15</v>
      </c>
      <c r="E1569" s="4">
        <v>100</v>
      </c>
      <c r="F1569" s="2">
        <v>100</v>
      </c>
      <c r="G1569" s="2">
        <v>70</v>
      </c>
      <c r="I1569" s="2" t="s">
        <v>64</v>
      </c>
      <c r="J1569" s="2" t="s">
        <v>65</v>
      </c>
      <c r="K1569" t="s">
        <v>18</v>
      </c>
      <c r="L1569" t="str">
        <f t="shared" si="63"/>
        <v>9791162589724</v>
      </c>
      <c r="M1569" t="str">
        <f t="shared" si="62"/>
        <v/>
      </c>
      <c r="N1569" t="s">
        <v>1713</v>
      </c>
    </row>
    <row r="1570" spans="1:14">
      <c r="A1570" s="1">
        <v>46067.81627314815</v>
      </c>
      <c r="B1570">
        <v>280974771</v>
      </c>
      <c r="C1570" s="2" t="s">
        <v>1706</v>
      </c>
      <c r="D1570" t="s">
        <v>15</v>
      </c>
      <c r="E1570" s="4">
        <v>100</v>
      </c>
      <c r="F1570" s="2">
        <v>100</v>
      </c>
      <c r="G1570" s="2">
        <v>70</v>
      </c>
      <c r="I1570" s="2" t="s">
        <v>64</v>
      </c>
      <c r="J1570" s="2" t="s">
        <v>65</v>
      </c>
      <c r="K1570" t="s">
        <v>18</v>
      </c>
      <c r="L1570" t="str">
        <f t="shared" si="63"/>
        <v>9791162589724</v>
      </c>
      <c r="M1570" t="str">
        <f t="shared" si="62"/>
        <v/>
      </c>
      <c r="N1570" t="s">
        <v>1707</v>
      </c>
    </row>
    <row r="1571" spans="1:14">
      <c r="A1571" s="1">
        <v>46067.81627314815</v>
      </c>
      <c r="B1571">
        <v>279768850</v>
      </c>
      <c r="C1571" s="2" t="s">
        <v>1840</v>
      </c>
      <c r="D1571" t="s">
        <v>15</v>
      </c>
      <c r="E1571" s="4">
        <v>100</v>
      </c>
      <c r="F1571" s="2">
        <v>100</v>
      </c>
      <c r="G1571" s="2">
        <v>70</v>
      </c>
      <c r="I1571" s="2" t="s">
        <v>64</v>
      </c>
      <c r="J1571" s="2" t="s">
        <v>65</v>
      </c>
      <c r="K1571" t="s">
        <v>18</v>
      </c>
      <c r="L1571" t="str">
        <f t="shared" si="63"/>
        <v>9791162589724</v>
      </c>
      <c r="M1571" t="str">
        <f t="shared" si="62"/>
        <v/>
      </c>
      <c r="N1571" t="s">
        <v>1841</v>
      </c>
    </row>
    <row r="1572" spans="1:14">
      <c r="A1572" s="1">
        <v>46067.81627314815</v>
      </c>
      <c r="B1572">
        <v>280128845</v>
      </c>
      <c r="C1572" s="2" t="s">
        <v>1842</v>
      </c>
      <c r="D1572" t="s">
        <v>15</v>
      </c>
      <c r="E1572" s="4">
        <v>100</v>
      </c>
      <c r="F1572" s="2">
        <v>100</v>
      </c>
      <c r="G1572" s="2">
        <v>70</v>
      </c>
      <c r="I1572" s="2" t="s">
        <v>64</v>
      </c>
      <c r="J1572" s="2" t="s">
        <v>65</v>
      </c>
      <c r="K1572" t="s">
        <v>18</v>
      </c>
      <c r="L1572" t="str">
        <f t="shared" si="63"/>
        <v>9791162589724</v>
      </c>
      <c r="M1572" t="str">
        <f t="shared" si="62"/>
        <v/>
      </c>
      <c r="N1572" t="s">
        <v>1843</v>
      </c>
    </row>
    <row r="1573" spans="1:14">
      <c r="A1573" s="1">
        <v>46067.81627314815</v>
      </c>
      <c r="B1573">
        <v>280128846</v>
      </c>
      <c r="C1573" s="2" t="s">
        <v>1710</v>
      </c>
      <c r="D1573" t="s">
        <v>15</v>
      </c>
      <c r="E1573" s="4">
        <v>100</v>
      </c>
      <c r="F1573" s="2">
        <v>100</v>
      </c>
      <c r="G1573" s="2">
        <v>70</v>
      </c>
      <c r="I1573" s="2" t="s">
        <v>64</v>
      </c>
      <c r="J1573" s="2" t="s">
        <v>65</v>
      </c>
      <c r="K1573" t="s">
        <v>18</v>
      </c>
      <c r="L1573" t="str">
        <f t="shared" si="63"/>
        <v>9791162589724</v>
      </c>
      <c r="M1573" t="str">
        <f t="shared" si="62"/>
        <v/>
      </c>
      <c r="N1573" t="s">
        <v>1711</v>
      </c>
    </row>
    <row r="1574" spans="1:14">
      <c r="A1574" s="1">
        <v>46067.81627314815</v>
      </c>
      <c r="B1574">
        <v>279768848</v>
      </c>
      <c r="C1574" s="2" t="s">
        <v>1844</v>
      </c>
      <c r="D1574" t="s">
        <v>15</v>
      </c>
      <c r="E1574" s="4">
        <v>100</v>
      </c>
      <c r="F1574" s="2">
        <v>100</v>
      </c>
      <c r="G1574" s="2">
        <v>70</v>
      </c>
      <c r="I1574" s="2" t="s">
        <v>64</v>
      </c>
      <c r="J1574" s="2" t="s">
        <v>65</v>
      </c>
      <c r="K1574" t="s">
        <v>18</v>
      </c>
      <c r="L1574" t="str">
        <f t="shared" si="63"/>
        <v>9791162589724</v>
      </c>
      <c r="M1574" t="str">
        <f t="shared" si="62"/>
        <v/>
      </c>
      <c r="N1574" t="s">
        <v>1845</v>
      </c>
    </row>
    <row r="1575" spans="1:14">
      <c r="A1575" s="1">
        <v>46067.81627314815</v>
      </c>
      <c r="B1575">
        <v>279768849</v>
      </c>
      <c r="C1575" s="2" t="s">
        <v>1846</v>
      </c>
      <c r="D1575" t="s">
        <v>15</v>
      </c>
      <c r="E1575" s="4">
        <v>100</v>
      </c>
      <c r="F1575" s="2">
        <v>100</v>
      </c>
      <c r="G1575" s="2">
        <v>70</v>
      </c>
      <c r="I1575" s="2" t="s">
        <v>64</v>
      </c>
      <c r="J1575" s="2" t="s">
        <v>65</v>
      </c>
      <c r="K1575" t="s">
        <v>18</v>
      </c>
      <c r="L1575" t="str">
        <f t="shared" si="63"/>
        <v>9791162589724</v>
      </c>
      <c r="M1575" t="str">
        <f t="shared" si="62"/>
        <v/>
      </c>
      <c r="N1575" t="s">
        <v>1847</v>
      </c>
    </row>
    <row r="1576" spans="1:14">
      <c r="A1576" s="1">
        <v>46067.81627314815</v>
      </c>
      <c r="B1576">
        <v>280128843</v>
      </c>
      <c r="C1576" s="2" t="s">
        <v>1848</v>
      </c>
      <c r="D1576" t="s">
        <v>15</v>
      </c>
      <c r="E1576" s="4">
        <v>100</v>
      </c>
      <c r="F1576" s="2">
        <v>100</v>
      </c>
      <c r="G1576" s="2">
        <v>70</v>
      </c>
      <c r="I1576" s="2" t="s">
        <v>64</v>
      </c>
      <c r="J1576" s="2" t="s">
        <v>65</v>
      </c>
      <c r="K1576" t="s">
        <v>18</v>
      </c>
      <c r="L1576" t="str">
        <f t="shared" si="63"/>
        <v>9791162589724</v>
      </c>
      <c r="M1576" t="str">
        <f t="shared" si="62"/>
        <v/>
      </c>
      <c r="N1576" t="s">
        <v>1849</v>
      </c>
    </row>
    <row r="1577" spans="1:14">
      <c r="A1577" s="1">
        <v>46067.81627314815</v>
      </c>
      <c r="B1577">
        <v>280128844</v>
      </c>
      <c r="C1577" s="2" t="s">
        <v>1850</v>
      </c>
      <c r="D1577" t="s">
        <v>15</v>
      </c>
      <c r="E1577" s="4">
        <v>100</v>
      </c>
      <c r="F1577" s="2">
        <v>100</v>
      </c>
      <c r="G1577" s="2">
        <v>70</v>
      </c>
      <c r="I1577" s="2" t="s">
        <v>64</v>
      </c>
      <c r="J1577" s="2" t="s">
        <v>65</v>
      </c>
      <c r="K1577" t="s">
        <v>18</v>
      </c>
      <c r="L1577" t="str">
        <f t="shared" si="63"/>
        <v>9791162589724</v>
      </c>
      <c r="M1577" t="str">
        <f t="shared" si="62"/>
        <v/>
      </c>
      <c r="N1577" t="s">
        <v>1851</v>
      </c>
    </row>
    <row r="1578" spans="1:14">
      <c r="A1578" s="1">
        <v>46067.81627314815</v>
      </c>
      <c r="B1578">
        <v>280974773</v>
      </c>
      <c r="C1578" s="2" t="s">
        <v>1708</v>
      </c>
      <c r="D1578" t="s">
        <v>15</v>
      </c>
      <c r="E1578" s="4">
        <v>100</v>
      </c>
      <c r="F1578" s="2">
        <v>100</v>
      </c>
      <c r="G1578" s="2">
        <v>70</v>
      </c>
      <c r="I1578" s="2" t="s">
        <v>64</v>
      </c>
      <c r="J1578" s="2" t="s">
        <v>65</v>
      </c>
      <c r="K1578" t="s">
        <v>18</v>
      </c>
      <c r="L1578" t="str">
        <f t="shared" si="63"/>
        <v>9791162589724</v>
      </c>
      <c r="M1578" t="str">
        <f t="shared" si="62"/>
        <v/>
      </c>
      <c r="N1578" t="s">
        <v>1709</v>
      </c>
    </row>
    <row r="1579" spans="1:14">
      <c r="A1579" s="1">
        <v>46067.81627314815</v>
      </c>
      <c r="B1579">
        <v>280974775</v>
      </c>
      <c r="C1579" s="2" t="s">
        <v>1704</v>
      </c>
      <c r="D1579" t="s">
        <v>15</v>
      </c>
      <c r="E1579" s="4">
        <v>100</v>
      </c>
      <c r="F1579" s="2">
        <v>100</v>
      </c>
      <c r="G1579" s="2">
        <v>70</v>
      </c>
      <c r="I1579" s="2" t="s">
        <v>64</v>
      </c>
      <c r="J1579" s="2" t="s">
        <v>65</v>
      </c>
      <c r="K1579" t="s">
        <v>18</v>
      </c>
      <c r="L1579" t="str">
        <f t="shared" si="63"/>
        <v>9791162589724</v>
      </c>
      <c r="M1579" t="str">
        <f t="shared" si="62"/>
        <v/>
      </c>
      <c r="N1579" t="s">
        <v>1705</v>
      </c>
    </row>
    <row r="1580" spans="1:14">
      <c r="A1580" s="1">
        <v>46067.81627314815</v>
      </c>
      <c r="B1580">
        <v>280974781</v>
      </c>
      <c r="C1580" s="2" t="s">
        <v>1113</v>
      </c>
      <c r="D1580" t="s">
        <v>15</v>
      </c>
      <c r="E1580" s="4">
        <v>100</v>
      </c>
      <c r="F1580" s="2">
        <v>100</v>
      </c>
      <c r="G1580" s="2">
        <v>70</v>
      </c>
      <c r="I1580" s="2" t="s">
        <v>64</v>
      </c>
      <c r="J1580" s="2" t="s">
        <v>65</v>
      </c>
      <c r="K1580" t="s">
        <v>18</v>
      </c>
      <c r="L1580" t="str">
        <f t="shared" si="63"/>
        <v>9791162589724</v>
      </c>
      <c r="M1580" t="str">
        <f t="shared" si="62"/>
        <v/>
      </c>
      <c r="N1580" t="s">
        <v>1114</v>
      </c>
    </row>
    <row r="1581" spans="1:14">
      <c r="A1581" s="1">
        <v>46067.81627314815</v>
      </c>
      <c r="B1581">
        <v>281331135</v>
      </c>
      <c r="C1581" s="2" t="s">
        <v>1115</v>
      </c>
      <c r="D1581" t="s">
        <v>15</v>
      </c>
      <c r="E1581" s="4">
        <v>100</v>
      </c>
      <c r="F1581" s="2">
        <v>100</v>
      </c>
      <c r="G1581" s="2">
        <v>70</v>
      </c>
      <c r="I1581" s="2" t="s">
        <v>64</v>
      </c>
      <c r="J1581" s="2" t="s">
        <v>65</v>
      </c>
      <c r="K1581" t="s">
        <v>18</v>
      </c>
      <c r="L1581" t="str">
        <f t="shared" si="63"/>
        <v>9791162589724</v>
      </c>
      <c r="M1581" t="str">
        <f t="shared" si="62"/>
        <v/>
      </c>
      <c r="N1581" t="s">
        <v>1116</v>
      </c>
    </row>
    <row r="1582" spans="1:14">
      <c r="A1582" s="1">
        <v>46067.81627314815</v>
      </c>
      <c r="B1582">
        <v>281331136</v>
      </c>
      <c r="C1582" s="2" t="s">
        <v>1089</v>
      </c>
      <c r="D1582" t="s">
        <v>15</v>
      </c>
      <c r="E1582" s="4">
        <v>100</v>
      </c>
      <c r="F1582" s="2">
        <v>100</v>
      </c>
      <c r="G1582" s="2">
        <v>70</v>
      </c>
      <c r="I1582" s="2" t="s">
        <v>64</v>
      </c>
      <c r="J1582" s="2" t="s">
        <v>65</v>
      </c>
      <c r="K1582" t="s">
        <v>18</v>
      </c>
      <c r="L1582" t="str">
        <f t="shared" si="63"/>
        <v>9791162589724</v>
      </c>
      <c r="M1582" t="str">
        <f t="shared" si="62"/>
        <v/>
      </c>
      <c r="N1582" t="s">
        <v>1090</v>
      </c>
    </row>
    <row r="1583" spans="1:14">
      <c r="A1583" s="1">
        <v>46067.81627314815</v>
      </c>
      <c r="B1583">
        <v>281331137</v>
      </c>
      <c r="C1583" s="2" t="s">
        <v>1111</v>
      </c>
      <c r="D1583" t="s">
        <v>15</v>
      </c>
      <c r="E1583" s="4">
        <v>100</v>
      </c>
      <c r="F1583" s="2">
        <v>100</v>
      </c>
      <c r="G1583" s="2">
        <v>70</v>
      </c>
      <c r="I1583" s="2" t="s">
        <v>64</v>
      </c>
      <c r="J1583" s="2" t="s">
        <v>65</v>
      </c>
      <c r="K1583" t="s">
        <v>18</v>
      </c>
      <c r="L1583" t="str">
        <f t="shared" si="63"/>
        <v>9791162589724</v>
      </c>
      <c r="M1583" t="str">
        <f t="shared" si="62"/>
        <v/>
      </c>
      <c r="N1583" t="s">
        <v>1112</v>
      </c>
    </row>
    <row r="1584" spans="1:14">
      <c r="A1584" s="1">
        <v>46067.81627314815</v>
      </c>
      <c r="B1584">
        <v>281745112</v>
      </c>
      <c r="C1584" s="2" t="s">
        <v>1117</v>
      </c>
      <c r="D1584" t="s">
        <v>15</v>
      </c>
      <c r="E1584" s="4">
        <v>100</v>
      </c>
      <c r="F1584" s="2">
        <v>100</v>
      </c>
      <c r="G1584" s="2">
        <v>70</v>
      </c>
      <c r="I1584" s="2" t="s">
        <v>64</v>
      </c>
      <c r="J1584" s="2" t="s">
        <v>65</v>
      </c>
      <c r="K1584" t="s">
        <v>18</v>
      </c>
      <c r="L1584" t="str">
        <f t="shared" si="63"/>
        <v>9791162589724</v>
      </c>
      <c r="M1584" t="str">
        <f t="shared" si="62"/>
        <v/>
      </c>
      <c r="N1584" t="s">
        <v>1118</v>
      </c>
    </row>
    <row r="1585" spans="1:14">
      <c r="A1585" s="1">
        <v>46067.81627314815</v>
      </c>
      <c r="B1585">
        <v>281745113</v>
      </c>
      <c r="C1585" s="2" t="s">
        <v>845</v>
      </c>
      <c r="D1585" t="s">
        <v>15</v>
      </c>
      <c r="E1585" s="4">
        <v>100</v>
      </c>
      <c r="F1585" s="2">
        <v>100</v>
      </c>
      <c r="G1585" s="2">
        <v>70</v>
      </c>
      <c r="I1585" s="2" t="s">
        <v>64</v>
      </c>
      <c r="J1585" s="2" t="s">
        <v>65</v>
      </c>
      <c r="K1585" t="s">
        <v>18</v>
      </c>
      <c r="L1585" t="str">
        <f t="shared" si="63"/>
        <v>9791162589724</v>
      </c>
      <c r="M1585" t="str">
        <f t="shared" si="62"/>
        <v/>
      </c>
      <c r="N1585" t="s">
        <v>846</v>
      </c>
    </row>
    <row r="1586" spans="1:14">
      <c r="A1586" s="1">
        <v>46067.824907407405</v>
      </c>
      <c r="B1586">
        <v>386057282</v>
      </c>
      <c r="C1586" s="2" t="s">
        <v>1534</v>
      </c>
      <c r="D1586" t="s">
        <v>68</v>
      </c>
      <c r="E1586" s="5">
        <v>-12500</v>
      </c>
      <c r="F1586" s="3">
        <v>-12500</v>
      </c>
      <c r="G1586" s="3">
        <v>-8750</v>
      </c>
      <c r="H1586" s="1">
        <v>46067.820671296293</v>
      </c>
      <c r="I1586" s="2" t="s">
        <v>1535</v>
      </c>
      <c r="J1586" s="2" t="s">
        <v>1536</v>
      </c>
      <c r="K1586" t="s">
        <v>18</v>
      </c>
      <c r="L1586" t="str">
        <f>T("9791189257323")</f>
        <v>9791189257323</v>
      </c>
      <c r="M1586" t="str">
        <f t="shared" si="62"/>
        <v/>
      </c>
    </row>
    <row r="1587" spans="1:14">
      <c r="A1587" s="1">
        <v>46067.820671296293</v>
      </c>
      <c r="B1587">
        <v>386057282</v>
      </c>
      <c r="C1587" s="2" t="s">
        <v>1534</v>
      </c>
      <c r="D1587" t="s">
        <v>68</v>
      </c>
      <c r="E1587" s="5">
        <v>12500</v>
      </c>
      <c r="F1587" s="3">
        <v>12500</v>
      </c>
      <c r="G1587" s="3">
        <v>8750</v>
      </c>
      <c r="I1587" s="2" t="s">
        <v>1535</v>
      </c>
      <c r="J1587" s="2" t="s">
        <v>1536</v>
      </c>
      <c r="K1587" t="s">
        <v>18</v>
      </c>
      <c r="L1587" t="str">
        <f>T("9791189257323")</f>
        <v>9791189257323</v>
      </c>
      <c r="M1587" t="str">
        <f t="shared" si="62"/>
        <v/>
      </c>
    </row>
    <row r="1588" spans="1:14">
      <c r="A1588" s="1">
        <v>46067.823969907404</v>
      </c>
      <c r="B1588">
        <v>357743942</v>
      </c>
      <c r="C1588" s="2" t="s">
        <v>1852</v>
      </c>
      <c r="D1588" t="s">
        <v>15</v>
      </c>
      <c r="E1588" s="5">
        <v>3200</v>
      </c>
      <c r="F1588" s="3">
        <v>3200</v>
      </c>
      <c r="G1588" s="3">
        <v>2240</v>
      </c>
      <c r="I1588" s="2" t="s">
        <v>1738</v>
      </c>
      <c r="J1588" s="2" t="s">
        <v>856</v>
      </c>
      <c r="K1588" t="s">
        <v>18</v>
      </c>
      <c r="L1588" t="str">
        <f>T("9791171567263")</f>
        <v>9791171567263</v>
      </c>
      <c r="M1588" t="str">
        <f t="shared" si="62"/>
        <v/>
      </c>
      <c r="N1588" t="s">
        <v>1853</v>
      </c>
    </row>
    <row r="1589" spans="1:14">
      <c r="A1589" s="1">
        <v>46067.826944444445</v>
      </c>
      <c r="B1589">
        <v>380789530</v>
      </c>
      <c r="C1589" s="2" t="s">
        <v>1854</v>
      </c>
      <c r="D1589" t="s">
        <v>68</v>
      </c>
      <c r="E1589" s="5">
        <v>4640</v>
      </c>
      <c r="F1589" s="3">
        <v>4640</v>
      </c>
      <c r="G1589" s="3">
        <v>3248</v>
      </c>
      <c r="I1589" s="2" t="s">
        <v>1098</v>
      </c>
      <c r="J1589" s="2" t="s">
        <v>126</v>
      </c>
      <c r="K1589" t="s">
        <v>18</v>
      </c>
      <c r="L1589" t="str">
        <f>T("9791171502462")</f>
        <v>9791171502462</v>
      </c>
      <c r="M1589" t="str">
        <f t="shared" ref="M1589:M1613" si="64">T("")</f>
        <v/>
      </c>
    </row>
    <row r="1590" spans="1:14">
      <c r="A1590" s="1">
        <v>46067.828321759262</v>
      </c>
      <c r="B1590">
        <v>328759043</v>
      </c>
      <c r="C1590" s="2" t="s">
        <v>1537</v>
      </c>
      <c r="D1590" t="s">
        <v>68</v>
      </c>
      <c r="E1590" s="4">
        <v>840</v>
      </c>
      <c r="F1590" s="2">
        <v>840</v>
      </c>
      <c r="G1590" s="2">
        <v>588</v>
      </c>
      <c r="I1590" s="2" t="s">
        <v>852</v>
      </c>
      <c r="J1590" s="2" t="s">
        <v>197</v>
      </c>
      <c r="K1590" t="s">
        <v>18</v>
      </c>
      <c r="L1590" t="str">
        <f>T("9791164099269")</f>
        <v>9791164099269</v>
      </c>
      <c r="M1590" t="str">
        <f t="shared" si="64"/>
        <v/>
      </c>
    </row>
    <row r="1591" spans="1:14">
      <c r="A1591" s="1">
        <v>46067.839699074073</v>
      </c>
      <c r="B1591">
        <v>385347797</v>
      </c>
      <c r="C1591" s="2" t="s">
        <v>195</v>
      </c>
      <c r="D1591" t="s">
        <v>15</v>
      </c>
      <c r="E1591" s="4">
        <v>700</v>
      </c>
      <c r="F1591" s="2">
        <v>630</v>
      </c>
      <c r="G1591" s="2">
        <v>441</v>
      </c>
      <c r="I1591" s="2" t="s">
        <v>196</v>
      </c>
      <c r="J1591" s="2" t="s">
        <v>197</v>
      </c>
      <c r="K1591" t="s">
        <v>18</v>
      </c>
      <c r="L1591" t="str">
        <f>T("9791172821937")</f>
        <v>9791172821937</v>
      </c>
      <c r="M1591" t="str">
        <f t="shared" si="64"/>
        <v/>
      </c>
      <c r="N1591" t="s">
        <v>198</v>
      </c>
    </row>
    <row r="1592" spans="1:14">
      <c r="A1592" s="1">
        <v>46067.844837962963</v>
      </c>
      <c r="B1592">
        <v>324263742</v>
      </c>
      <c r="C1592" s="2" t="s">
        <v>1855</v>
      </c>
      <c r="D1592" t="s">
        <v>15</v>
      </c>
      <c r="E1592" s="5">
        <v>1000</v>
      </c>
      <c r="F1592" s="3">
        <v>1000</v>
      </c>
      <c r="G1592" s="2">
        <v>700</v>
      </c>
      <c r="I1592" s="2" t="s">
        <v>44</v>
      </c>
      <c r="J1592" s="2" t="s">
        <v>21</v>
      </c>
      <c r="K1592" t="s">
        <v>18</v>
      </c>
      <c r="L1592" t="str">
        <f>T("9791170890836")</f>
        <v>9791170890836</v>
      </c>
      <c r="M1592" t="str">
        <f t="shared" si="64"/>
        <v/>
      </c>
      <c r="N1592" t="s">
        <v>1856</v>
      </c>
    </row>
    <row r="1593" spans="1:14">
      <c r="A1593" s="1">
        <v>46067.853738425925</v>
      </c>
      <c r="B1593">
        <v>220680108</v>
      </c>
      <c r="C1593" s="2" t="s">
        <v>1857</v>
      </c>
      <c r="D1593" t="s">
        <v>15</v>
      </c>
      <c r="E1593" s="5">
        <v>2200</v>
      </c>
      <c r="F1593" s="3">
        <v>2200</v>
      </c>
      <c r="G1593" s="3">
        <v>1540</v>
      </c>
      <c r="I1593" s="2" t="s">
        <v>1858</v>
      </c>
      <c r="J1593" s="2" t="s">
        <v>188</v>
      </c>
      <c r="K1593" t="s">
        <v>18</v>
      </c>
      <c r="L1593" t="str">
        <f>T("9791164830848")</f>
        <v>9791164830848</v>
      </c>
      <c r="M1593" t="str">
        <f t="shared" si="64"/>
        <v/>
      </c>
    </row>
    <row r="1594" spans="1:14">
      <c r="A1594" s="1">
        <v>46067.856851851851</v>
      </c>
      <c r="B1594">
        <v>223268465</v>
      </c>
      <c r="C1594" s="2" t="s">
        <v>1859</v>
      </c>
      <c r="D1594" t="s">
        <v>68</v>
      </c>
      <c r="E1594" s="5">
        <v>1200</v>
      </c>
      <c r="F1594" s="3">
        <v>1200</v>
      </c>
      <c r="G1594" s="2">
        <v>840</v>
      </c>
      <c r="I1594" s="2" t="s">
        <v>852</v>
      </c>
      <c r="J1594" s="2" t="s">
        <v>197</v>
      </c>
      <c r="K1594" t="s">
        <v>18</v>
      </c>
      <c r="L1594" t="str">
        <f>T("9791164090822")</f>
        <v>9791164090822</v>
      </c>
      <c r="M1594" t="str">
        <f t="shared" si="64"/>
        <v/>
      </c>
    </row>
    <row r="1595" spans="1:14">
      <c r="A1595" s="1">
        <v>46067.859560185185</v>
      </c>
      <c r="B1595">
        <v>277935514</v>
      </c>
      <c r="C1595" s="2" t="s">
        <v>1860</v>
      </c>
      <c r="D1595" t="s">
        <v>15</v>
      </c>
      <c r="E1595" s="4">
        <v>100</v>
      </c>
      <c r="F1595" s="2">
        <v>100</v>
      </c>
      <c r="G1595" s="2">
        <v>70</v>
      </c>
      <c r="I1595" s="2" t="s">
        <v>64</v>
      </c>
      <c r="J1595" s="2" t="s">
        <v>65</v>
      </c>
      <c r="K1595" t="s">
        <v>18</v>
      </c>
      <c r="L1595" t="str">
        <f>T("9791162589724")</f>
        <v>9791162589724</v>
      </c>
      <c r="M1595" t="str">
        <f t="shared" si="64"/>
        <v/>
      </c>
      <c r="N1595" t="s">
        <v>1861</v>
      </c>
    </row>
    <row r="1596" spans="1:14">
      <c r="A1596" s="1">
        <v>46067.872453703705</v>
      </c>
      <c r="B1596">
        <v>301691599</v>
      </c>
      <c r="C1596" s="2" t="s">
        <v>1388</v>
      </c>
      <c r="D1596" t="s">
        <v>15</v>
      </c>
      <c r="E1596" s="5">
        <v>1000</v>
      </c>
      <c r="F1596" s="3">
        <v>1000</v>
      </c>
      <c r="G1596" s="2">
        <v>700</v>
      </c>
      <c r="I1596" s="2" t="s">
        <v>293</v>
      </c>
      <c r="J1596" s="2" t="s">
        <v>21</v>
      </c>
      <c r="K1596" t="s">
        <v>18</v>
      </c>
      <c r="L1596" t="str">
        <f>T("9791167834317")</f>
        <v>9791167834317</v>
      </c>
      <c r="M1596" t="str">
        <f t="shared" si="64"/>
        <v/>
      </c>
    </row>
    <row r="1597" spans="1:14">
      <c r="A1597" s="1">
        <v>46067.880833333336</v>
      </c>
      <c r="B1597">
        <v>350528574</v>
      </c>
      <c r="C1597" s="2" t="s">
        <v>1862</v>
      </c>
      <c r="D1597" t="s">
        <v>15</v>
      </c>
      <c r="E1597" s="5">
        <v>1200</v>
      </c>
      <c r="F1597" s="3">
        <v>1200</v>
      </c>
      <c r="G1597" s="2">
        <v>840</v>
      </c>
      <c r="I1597" s="2" t="s">
        <v>128</v>
      </c>
      <c r="J1597" s="2" t="s">
        <v>21</v>
      </c>
      <c r="K1597" t="s">
        <v>18</v>
      </c>
      <c r="L1597" t="str">
        <f>T("9791170899747")</f>
        <v>9791170899747</v>
      </c>
      <c r="M1597" t="str">
        <f t="shared" si="64"/>
        <v/>
      </c>
      <c r="N1597" t="s">
        <v>1863</v>
      </c>
    </row>
    <row r="1598" spans="1:14">
      <c r="A1598" s="1">
        <v>46067.884340277778</v>
      </c>
      <c r="B1598">
        <v>374549963</v>
      </c>
      <c r="C1598" s="2" t="s">
        <v>834</v>
      </c>
      <c r="D1598" t="s">
        <v>15</v>
      </c>
      <c r="E1598" s="5">
        <v>1000</v>
      </c>
      <c r="F1598" s="3">
        <v>1000</v>
      </c>
      <c r="G1598" s="2">
        <v>700</v>
      </c>
      <c r="I1598" s="2" t="s">
        <v>835</v>
      </c>
      <c r="J1598" s="2" t="s">
        <v>21</v>
      </c>
      <c r="K1598" t="s">
        <v>18</v>
      </c>
      <c r="L1598" t="str">
        <f>T("9791173018961")</f>
        <v>9791173018961</v>
      </c>
      <c r="M1598" t="str">
        <f t="shared" si="64"/>
        <v/>
      </c>
      <c r="N1598" t="s">
        <v>836</v>
      </c>
    </row>
    <row r="1599" spans="1:14">
      <c r="A1599" s="1">
        <v>46067.884375000001</v>
      </c>
      <c r="B1599">
        <v>385347715</v>
      </c>
      <c r="C1599" s="2" t="s">
        <v>186</v>
      </c>
      <c r="D1599" t="s">
        <v>15</v>
      </c>
      <c r="E1599" s="5">
        <v>2000</v>
      </c>
      <c r="F1599" s="3">
        <v>1800</v>
      </c>
      <c r="G1599" s="3">
        <v>1260</v>
      </c>
      <c r="I1599" s="2" t="s">
        <v>187</v>
      </c>
      <c r="J1599" s="2" t="s">
        <v>188</v>
      </c>
      <c r="K1599" t="s">
        <v>18</v>
      </c>
      <c r="L1599" t="str">
        <f>T("9791164835362")</f>
        <v>9791164835362</v>
      </c>
      <c r="M1599" t="str">
        <f t="shared" si="64"/>
        <v/>
      </c>
      <c r="N1599" t="s">
        <v>189</v>
      </c>
    </row>
    <row r="1600" spans="1:14">
      <c r="A1600" s="1">
        <v>46067.896597222221</v>
      </c>
      <c r="B1600">
        <v>276483565</v>
      </c>
      <c r="C1600" s="2" t="s">
        <v>1864</v>
      </c>
      <c r="D1600" t="s">
        <v>15</v>
      </c>
      <c r="E1600" s="4">
        <v>0</v>
      </c>
      <c r="F1600" s="2">
        <v>0</v>
      </c>
      <c r="G1600" s="2">
        <v>0</v>
      </c>
      <c r="I1600" s="2" t="s">
        <v>1610</v>
      </c>
      <c r="J1600" s="2" t="s">
        <v>197</v>
      </c>
      <c r="K1600" t="s">
        <v>18</v>
      </c>
      <c r="L1600" t="str">
        <f>T("9791164095322")</f>
        <v>9791164095322</v>
      </c>
      <c r="M1600" t="str">
        <f t="shared" si="64"/>
        <v/>
      </c>
      <c r="N1600" t="s">
        <v>1865</v>
      </c>
    </row>
    <row r="1601" spans="1:14">
      <c r="A1601" s="1">
        <v>46067.896620370368</v>
      </c>
      <c r="B1601">
        <v>351175078</v>
      </c>
      <c r="C1601" s="2" t="s">
        <v>1866</v>
      </c>
      <c r="D1601" t="s">
        <v>15</v>
      </c>
      <c r="E1601" s="5">
        <v>3300</v>
      </c>
      <c r="F1601" s="3">
        <v>3300</v>
      </c>
      <c r="G1601" s="3">
        <v>2310</v>
      </c>
      <c r="I1601" s="2" t="s">
        <v>1867</v>
      </c>
      <c r="J1601" s="2" t="s">
        <v>126</v>
      </c>
      <c r="K1601" t="s">
        <v>18</v>
      </c>
      <c r="L1601" t="str">
        <f>T("9791171501021")</f>
        <v>9791171501021</v>
      </c>
      <c r="M1601" t="str">
        <f t="shared" si="64"/>
        <v/>
      </c>
      <c r="N1601" t="s">
        <v>1868</v>
      </c>
    </row>
    <row r="1602" spans="1:14">
      <c r="A1602" s="1">
        <v>46067.896874999999</v>
      </c>
      <c r="B1602">
        <v>371345723</v>
      </c>
      <c r="C1602" s="2" t="s">
        <v>525</v>
      </c>
      <c r="D1602" t="s">
        <v>68</v>
      </c>
      <c r="E1602" s="5">
        <v>2310</v>
      </c>
      <c r="F1602" s="3">
        <v>2310</v>
      </c>
      <c r="G1602" s="3">
        <v>1617</v>
      </c>
      <c r="I1602" s="2" t="s">
        <v>196</v>
      </c>
      <c r="J1602" s="2" t="s">
        <v>197</v>
      </c>
      <c r="K1602" t="s">
        <v>18</v>
      </c>
      <c r="L1602" t="str">
        <f>T("9791172821692")</f>
        <v>9791172821692</v>
      </c>
      <c r="M1602" t="str">
        <f t="shared" si="64"/>
        <v/>
      </c>
      <c r="N1602" t="s">
        <v>526</v>
      </c>
    </row>
    <row r="1603" spans="1:14">
      <c r="A1603" s="1">
        <v>46067.902766203704</v>
      </c>
      <c r="B1603">
        <v>385347797</v>
      </c>
      <c r="C1603" s="2" t="s">
        <v>195</v>
      </c>
      <c r="D1603" t="s">
        <v>15</v>
      </c>
      <c r="E1603" s="4">
        <v>700</v>
      </c>
      <c r="F1603" s="2">
        <v>630</v>
      </c>
      <c r="G1603" s="2">
        <v>441</v>
      </c>
      <c r="I1603" s="2" t="s">
        <v>196</v>
      </c>
      <c r="J1603" s="2" t="s">
        <v>197</v>
      </c>
      <c r="K1603" t="s">
        <v>18</v>
      </c>
      <c r="L1603" t="str">
        <f>T("9791172821937")</f>
        <v>9791172821937</v>
      </c>
      <c r="M1603" t="str">
        <f t="shared" si="64"/>
        <v/>
      </c>
      <c r="N1603" t="s">
        <v>198</v>
      </c>
    </row>
    <row r="1604" spans="1:14">
      <c r="A1604" s="1">
        <v>46067.907465277778</v>
      </c>
      <c r="B1604">
        <v>354903138</v>
      </c>
      <c r="C1604" s="2" t="s">
        <v>1869</v>
      </c>
      <c r="D1604" t="s">
        <v>15</v>
      </c>
      <c r="E1604" s="5">
        <v>2800</v>
      </c>
      <c r="F1604" s="3">
        <v>2800</v>
      </c>
      <c r="G1604" s="3">
        <v>1960</v>
      </c>
      <c r="I1604" s="2" t="s">
        <v>844</v>
      </c>
      <c r="J1604" s="2" t="s">
        <v>308</v>
      </c>
      <c r="K1604" t="s">
        <v>18</v>
      </c>
      <c r="L1604" t="str">
        <f>T("9791194174257")</f>
        <v>9791194174257</v>
      </c>
      <c r="M1604" t="str">
        <f t="shared" si="64"/>
        <v/>
      </c>
      <c r="N1604" t="s">
        <v>1870</v>
      </c>
    </row>
    <row r="1605" spans="1:14">
      <c r="A1605" s="1">
        <v>46067.919791666667</v>
      </c>
      <c r="B1605">
        <v>277935522</v>
      </c>
      <c r="C1605" s="2" t="s">
        <v>1871</v>
      </c>
      <c r="D1605" t="s">
        <v>15</v>
      </c>
      <c r="E1605" s="4">
        <v>100</v>
      </c>
      <c r="F1605" s="2">
        <v>100</v>
      </c>
      <c r="G1605" s="2">
        <v>70</v>
      </c>
      <c r="I1605" s="2" t="s">
        <v>64</v>
      </c>
      <c r="J1605" s="2" t="s">
        <v>65</v>
      </c>
      <c r="K1605" t="s">
        <v>18</v>
      </c>
      <c r="L1605" t="str">
        <f>T("9791162589724")</f>
        <v>9791162589724</v>
      </c>
      <c r="M1605" t="str">
        <f t="shared" si="64"/>
        <v/>
      </c>
      <c r="N1605" t="s">
        <v>1872</v>
      </c>
    </row>
    <row r="1606" spans="1:14">
      <c r="A1606" s="1">
        <v>46067.919791666667</v>
      </c>
      <c r="B1606">
        <v>277935705</v>
      </c>
      <c r="C1606" s="2" t="s">
        <v>1873</v>
      </c>
      <c r="D1606" t="s">
        <v>15</v>
      </c>
      <c r="E1606" s="4">
        <v>100</v>
      </c>
      <c r="F1606" s="2">
        <v>100</v>
      </c>
      <c r="G1606" s="2">
        <v>70</v>
      </c>
      <c r="I1606" s="2" t="s">
        <v>64</v>
      </c>
      <c r="J1606" s="2" t="s">
        <v>65</v>
      </c>
      <c r="K1606" t="s">
        <v>18</v>
      </c>
      <c r="L1606" t="str">
        <f>T("9791162589724")</f>
        <v>9791162589724</v>
      </c>
      <c r="M1606" t="str">
        <f t="shared" si="64"/>
        <v/>
      </c>
      <c r="N1606" t="s">
        <v>1874</v>
      </c>
    </row>
    <row r="1607" spans="1:14">
      <c r="A1607" s="1">
        <v>46067.919791666667</v>
      </c>
      <c r="B1607">
        <v>277935798</v>
      </c>
      <c r="C1607" s="2" t="s">
        <v>1875</v>
      </c>
      <c r="D1607" t="s">
        <v>15</v>
      </c>
      <c r="E1607" s="4">
        <v>100</v>
      </c>
      <c r="F1607" s="2">
        <v>100</v>
      </c>
      <c r="G1607" s="2">
        <v>70</v>
      </c>
      <c r="I1607" s="2" t="s">
        <v>64</v>
      </c>
      <c r="J1607" s="2" t="s">
        <v>65</v>
      </c>
      <c r="K1607" t="s">
        <v>18</v>
      </c>
      <c r="L1607" t="str">
        <f>T("9791162589724")</f>
        <v>9791162589724</v>
      </c>
      <c r="M1607" t="str">
        <f t="shared" si="64"/>
        <v/>
      </c>
      <c r="N1607" t="s">
        <v>1876</v>
      </c>
    </row>
    <row r="1608" spans="1:14">
      <c r="A1608" s="1">
        <v>46067.919791666667</v>
      </c>
      <c r="B1608">
        <v>277935800</v>
      </c>
      <c r="C1608" s="2" t="s">
        <v>1877</v>
      </c>
      <c r="D1608" t="s">
        <v>15</v>
      </c>
      <c r="E1608" s="4">
        <v>100</v>
      </c>
      <c r="F1608" s="2">
        <v>100</v>
      </c>
      <c r="G1608" s="2">
        <v>70</v>
      </c>
      <c r="I1608" s="2" t="s">
        <v>64</v>
      </c>
      <c r="J1608" s="2" t="s">
        <v>65</v>
      </c>
      <c r="K1608" t="s">
        <v>18</v>
      </c>
      <c r="L1608" t="str">
        <f>T("9791162589724")</f>
        <v>9791162589724</v>
      </c>
      <c r="M1608" t="str">
        <f t="shared" si="64"/>
        <v/>
      </c>
      <c r="N1608" t="s">
        <v>1878</v>
      </c>
    </row>
    <row r="1609" spans="1:14">
      <c r="A1609" s="1">
        <v>46067.919791666667</v>
      </c>
      <c r="B1609">
        <v>277935745</v>
      </c>
      <c r="C1609" s="2" t="s">
        <v>1879</v>
      </c>
      <c r="D1609" t="s">
        <v>15</v>
      </c>
      <c r="E1609" s="4">
        <v>100</v>
      </c>
      <c r="F1609" s="2">
        <v>100</v>
      </c>
      <c r="G1609" s="2">
        <v>70</v>
      </c>
      <c r="I1609" s="2" t="s">
        <v>64</v>
      </c>
      <c r="J1609" s="2" t="s">
        <v>65</v>
      </c>
      <c r="K1609" t="s">
        <v>18</v>
      </c>
      <c r="L1609" t="str">
        <f>T("9791162589724")</f>
        <v>9791162589724</v>
      </c>
      <c r="M1609" t="str">
        <f t="shared" si="64"/>
        <v/>
      </c>
      <c r="N1609" t="s">
        <v>1880</v>
      </c>
    </row>
    <row r="1610" spans="1:14">
      <c r="A1610" s="1">
        <v>46067.920486111114</v>
      </c>
      <c r="B1610">
        <v>382626257</v>
      </c>
      <c r="C1610" s="2" t="s">
        <v>152</v>
      </c>
      <c r="D1610" t="s">
        <v>15</v>
      </c>
      <c r="E1610" s="5">
        <v>1000</v>
      </c>
      <c r="F1610" s="3">
        <v>1000</v>
      </c>
      <c r="G1610" s="2">
        <v>700</v>
      </c>
      <c r="I1610" s="2" t="s">
        <v>148</v>
      </c>
      <c r="J1610" s="2" t="s">
        <v>21</v>
      </c>
      <c r="K1610" t="s">
        <v>18</v>
      </c>
      <c r="L1610" t="str">
        <f>T("9791175581906")</f>
        <v>9791175581906</v>
      </c>
      <c r="M1610" t="str">
        <f t="shared" si="64"/>
        <v/>
      </c>
      <c r="N1610" t="s">
        <v>153</v>
      </c>
    </row>
    <row r="1611" spans="1:14">
      <c r="A1611" s="1">
        <v>46067.927060185182</v>
      </c>
      <c r="B1611">
        <v>162342873</v>
      </c>
      <c r="C1611" s="2" t="s">
        <v>1881</v>
      </c>
      <c r="D1611" t="s">
        <v>15</v>
      </c>
      <c r="E1611" s="5">
        <v>1000</v>
      </c>
      <c r="F1611" s="3">
        <v>1000</v>
      </c>
      <c r="G1611" s="2">
        <v>700</v>
      </c>
      <c r="I1611" s="2" t="s">
        <v>799</v>
      </c>
      <c r="J1611" s="2" t="s">
        <v>227</v>
      </c>
      <c r="K1611" t="s">
        <v>18</v>
      </c>
      <c r="L1611" t="str">
        <f>T("9791160396270")</f>
        <v>9791160396270</v>
      </c>
      <c r="M1611" t="str">
        <f t="shared" si="64"/>
        <v/>
      </c>
    </row>
    <row r="1612" spans="1:14">
      <c r="A1612" s="1">
        <v>46067.927060185182</v>
      </c>
      <c r="B1612">
        <v>162342857</v>
      </c>
      <c r="C1612" s="2" t="s">
        <v>1882</v>
      </c>
      <c r="D1612" t="s">
        <v>15</v>
      </c>
      <c r="E1612" s="5">
        <v>1000</v>
      </c>
      <c r="F1612" s="3">
        <v>1000</v>
      </c>
      <c r="G1612" s="2">
        <v>700</v>
      </c>
      <c r="I1612" s="2" t="s">
        <v>799</v>
      </c>
      <c r="J1612" s="2" t="s">
        <v>227</v>
      </c>
      <c r="K1612" t="s">
        <v>18</v>
      </c>
      <c r="L1612" t="str">
        <f>T("9791160396126")</f>
        <v>9791160396126</v>
      </c>
      <c r="M1612" t="str">
        <f t="shared" si="64"/>
        <v/>
      </c>
    </row>
    <row r="1613" spans="1:14">
      <c r="A1613" s="1">
        <v>46067.927060185182</v>
      </c>
      <c r="B1613">
        <v>162342858</v>
      </c>
      <c r="C1613" s="2" t="s">
        <v>1883</v>
      </c>
      <c r="D1613" t="s">
        <v>15</v>
      </c>
      <c r="E1613" s="5">
        <v>1000</v>
      </c>
      <c r="F1613" s="3">
        <v>1000</v>
      </c>
      <c r="G1613" s="2">
        <v>700</v>
      </c>
      <c r="I1613" s="2" t="s">
        <v>799</v>
      </c>
      <c r="J1613" s="2" t="s">
        <v>227</v>
      </c>
      <c r="K1613" t="s">
        <v>18</v>
      </c>
      <c r="L1613" t="str">
        <f>T("9791160396133")</f>
        <v>9791160396133</v>
      </c>
      <c r="M1613" t="str">
        <f t="shared" si="64"/>
        <v/>
      </c>
    </row>
    <row r="1614" spans="1:14">
      <c r="A1614" s="1">
        <v>46067.929293981484</v>
      </c>
      <c r="B1614">
        <v>386104561</v>
      </c>
      <c r="C1614" s="2" t="s">
        <v>1884</v>
      </c>
      <c r="D1614" t="s">
        <v>15</v>
      </c>
      <c r="E1614" s="5">
        <v>2500</v>
      </c>
      <c r="F1614" s="3">
        <v>2500</v>
      </c>
      <c r="G1614" s="3">
        <v>1750</v>
      </c>
      <c r="I1614" s="2" t="s">
        <v>1885</v>
      </c>
      <c r="J1614" s="2" t="s">
        <v>960</v>
      </c>
      <c r="K1614" t="s">
        <v>18</v>
      </c>
      <c r="L1614" t="str">
        <f>T("")</f>
        <v/>
      </c>
      <c r="M1614" t="str">
        <f>T("G720:N+A378-20260106335.M001")</f>
        <v>G720:N+A378-20260106335.M001</v>
      </c>
      <c r="N1614" t="s">
        <v>1886</v>
      </c>
    </row>
    <row r="1615" spans="1:14">
      <c r="A1615" s="1">
        <v>46067.931203703702</v>
      </c>
      <c r="B1615">
        <v>361589057</v>
      </c>
      <c r="C1615" s="2" t="s">
        <v>1887</v>
      </c>
      <c r="D1615" t="s">
        <v>15</v>
      </c>
      <c r="E1615" s="4">
        <v>0</v>
      </c>
      <c r="F1615" s="2">
        <v>0</v>
      </c>
      <c r="G1615" s="2">
        <v>0</v>
      </c>
      <c r="I1615" s="2" t="s">
        <v>1888</v>
      </c>
      <c r="J1615" s="2" t="s">
        <v>74</v>
      </c>
      <c r="K1615" t="s">
        <v>18</v>
      </c>
      <c r="L1615" t="str">
        <f>T("9791194711230")</f>
        <v>9791194711230</v>
      </c>
      <c r="M1615" t="str">
        <f t="shared" ref="M1615:M1646" si="65">T("")</f>
        <v/>
      </c>
      <c r="N1615" t="s">
        <v>1889</v>
      </c>
    </row>
    <row r="1616" spans="1:14">
      <c r="A1616" s="1">
        <v>46067.93141203704</v>
      </c>
      <c r="B1616">
        <v>361589219</v>
      </c>
      <c r="C1616" s="2" t="s">
        <v>1890</v>
      </c>
      <c r="D1616" t="s">
        <v>15</v>
      </c>
      <c r="E1616" s="4">
        <v>0</v>
      </c>
      <c r="F1616" s="2">
        <v>0</v>
      </c>
      <c r="G1616" s="2">
        <v>0</v>
      </c>
      <c r="I1616" s="2" t="s">
        <v>1888</v>
      </c>
      <c r="J1616" s="2" t="s">
        <v>74</v>
      </c>
      <c r="K1616" t="s">
        <v>18</v>
      </c>
      <c r="L1616" t="str">
        <f>T("9791194711711")</f>
        <v>9791194711711</v>
      </c>
      <c r="M1616" t="str">
        <f t="shared" si="65"/>
        <v/>
      </c>
      <c r="N1616" t="s">
        <v>1891</v>
      </c>
    </row>
    <row r="1617" spans="1:14">
      <c r="A1617" s="1">
        <v>46067.931608796294</v>
      </c>
      <c r="B1617">
        <v>323352599</v>
      </c>
      <c r="C1617" s="2" t="s">
        <v>1800</v>
      </c>
      <c r="D1617" t="s">
        <v>68</v>
      </c>
      <c r="E1617" s="5">
        <v>2250</v>
      </c>
      <c r="F1617" s="3">
        <v>2250</v>
      </c>
      <c r="G1617" s="3">
        <v>1575</v>
      </c>
      <c r="I1617" s="2" t="s">
        <v>1801</v>
      </c>
      <c r="J1617" s="2" t="s">
        <v>126</v>
      </c>
      <c r="K1617" t="s">
        <v>18</v>
      </c>
      <c r="L1617" t="str">
        <f>T("9791171501212")</f>
        <v>9791171501212</v>
      </c>
      <c r="M1617" t="str">
        <f t="shared" si="65"/>
        <v/>
      </c>
    </row>
    <row r="1618" spans="1:14">
      <c r="A1618" s="1">
        <v>46067.93167824074</v>
      </c>
      <c r="B1618">
        <v>361588940</v>
      </c>
      <c r="C1618" s="2" t="s">
        <v>1892</v>
      </c>
      <c r="D1618" t="s">
        <v>15</v>
      </c>
      <c r="E1618" s="4">
        <v>0</v>
      </c>
      <c r="F1618" s="2">
        <v>0</v>
      </c>
      <c r="G1618" s="2">
        <v>0</v>
      </c>
      <c r="I1618" s="2" t="s">
        <v>1888</v>
      </c>
      <c r="J1618" s="2" t="s">
        <v>74</v>
      </c>
      <c r="K1618" t="s">
        <v>18</v>
      </c>
      <c r="L1618" t="str">
        <f>T("9791192729893")</f>
        <v>9791192729893</v>
      </c>
      <c r="M1618" t="str">
        <f t="shared" si="65"/>
        <v/>
      </c>
      <c r="N1618" t="s">
        <v>1893</v>
      </c>
    </row>
    <row r="1619" spans="1:14">
      <c r="A1619" s="1">
        <v>46067.931875000002</v>
      </c>
      <c r="B1619">
        <v>361589180</v>
      </c>
      <c r="C1619" s="2" t="s">
        <v>1894</v>
      </c>
      <c r="D1619" t="s">
        <v>15</v>
      </c>
      <c r="E1619" s="4">
        <v>0</v>
      </c>
      <c r="F1619" s="2">
        <v>0</v>
      </c>
      <c r="G1619" s="2">
        <v>0</v>
      </c>
      <c r="I1619" s="2" t="s">
        <v>1888</v>
      </c>
      <c r="J1619" s="2" t="s">
        <v>74</v>
      </c>
      <c r="K1619" t="s">
        <v>18</v>
      </c>
      <c r="L1619" t="str">
        <f>T("9791194711575")</f>
        <v>9791194711575</v>
      </c>
      <c r="M1619" t="str">
        <f t="shared" si="65"/>
        <v/>
      </c>
      <c r="N1619" t="s">
        <v>1895</v>
      </c>
    </row>
    <row r="1620" spans="1:14">
      <c r="A1620" s="1">
        <v>46067.932152777779</v>
      </c>
      <c r="B1620">
        <v>361589215</v>
      </c>
      <c r="C1620" s="2" t="s">
        <v>1896</v>
      </c>
      <c r="D1620" t="s">
        <v>15</v>
      </c>
      <c r="E1620" s="4">
        <v>0</v>
      </c>
      <c r="F1620" s="2">
        <v>0</v>
      </c>
      <c r="G1620" s="2">
        <v>0</v>
      </c>
      <c r="I1620" s="2" t="s">
        <v>1888</v>
      </c>
      <c r="J1620" s="2" t="s">
        <v>74</v>
      </c>
      <c r="K1620" t="s">
        <v>18</v>
      </c>
      <c r="L1620" t="str">
        <f>T("9791194711841")</f>
        <v>9791194711841</v>
      </c>
      <c r="M1620" t="str">
        <f t="shared" si="65"/>
        <v/>
      </c>
      <c r="N1620" t="s">
        <v>1897</v>
      </c>
    </row>
    <row r="1621" spans="1:14">
      <c r="A1621" s="1">
        <v>46067.932256944441</v>
      </c>
      <c r="B1621">
        <v>361589159</v>
      </c>
      <c r="C1621" s="2" t="s">
        <v>1898</v>
      </c>
      <c r="D1621" t="s">
        <v>15</v>
      </c>
      <c r="E1621" s="4">
        <v>0</v>
      </c>
      <c r="F1621" s="2">
        <v>0</v>
      </c>
      <c r="G1621" s="2">
        <v>0</v>
      </c>
      <c r="I1621" s="2" t="s">
        <v>1888</v>
      </c>
      <c r="J1621" s="2" t="s">
        <v>74</v>
      </c>
      <c r="K1621" t="s">
        <v>18</v>
      </c>
      <c r="L1621" t="str">
        <f>T("9791194711469")</f>
        <v>9791194711469</v>
      </c>
      <c r="M1621" t="str">
        <f t="shared" si="65"/>
        <v/>
      </c>
      <c r="N1621" t="s">
        <v>1899</v>
      </c>
    </row>
    <row r="1622" spans="1:14">
      <c r="A1622" s="1">
        <v>46067.932337962964</v>
      </c>
      <c r="B1622">
        <v>361589228</v>
      </c>
      <c r="C1622" s="2" t="s">
        <v>1900</v>
      </c>
      <c r="D1622" t="s">
        <v>15</v>
      </c>
      <c r="E1622" s="4">
        <v>0</v>
      </c>
      <c r="F1622" s="2">
        <v>0</v>
      </c>
      <c r="G1622" s="2">
        <v>0</v>
      </c>
      <c r="I1622" s="2" t="s">
        <v>1888</v>
      </c>
      <c r="J1622" s="2" t="s">
        <v>74</v>
      </c>
      <c r="K1622" t="s">
        <v>18</v>
      </c>
      <c r="L1622" t="str">
        <f>T("9791194711803")</f>
        <v>9791194711803</v>
      </c>
      <c r="M1622" t="str">
        <f t="shared" si="65"/>
        <v/>
      </c>
      <c r="N1622" t="s">
        <v>1901</v>
      </c>
    </row>
    <row r="1623" spans="1:14">
      <c r="A1623" s="1">
        <v>46067.93246527778</v>
      </c>
      <c r="B1623">
        <v>361589210</v>
      </c>
      <c r="C1623" s="2" t="s">
        <v>1902</v>
      </c>
      <c r="D1623" t="s">
        <v>15</v>
      </c>
      <c r="E1623" s="4">
        <v>0</v>
      </c>
      <c r="F1623" s="2">
        <v>0</v>
      </c>
      <c r="G1623" s="2">
        <v>0</v>
      </c>
      <c r="I1623" s="2" t="s">
        <v>1888</v>
      </c>
      <c r="J1623" s="2" t="s">
        <v>74</v>
      </c>
      <c r="K1623" t="s">
        <v>18</v>
      </c>
      <c r="L1623" t="str">
        <f>T("9791194711650")</f>
        <v>9791194711650</v>
      </c>
      <c r="M1623" t="str">
        <f t="shared" si="65"/>
        <v/>
      </c>
      <c r="N1623" t="s">
        <v>1903</v>
      </c>
    </row>
    <row r="1624" spans="1:14">
      <c r="A1624" s="1">
        <v>46067.932627314818</v>
      </c>
      <c r="B1624">
        <v>361589224</v>
      </c>
      <c r="C1624" s="2" t="s">
        <v>1904</v>
      </c>
      <c r="D1624" t="s">
        <v>15</v>
      </c>
      <c r="E1624" s="4">
        <v>0</v>
      </c>
      <c r="F1624" s="2">
        <v>0</v>
      </c>
      <c r="G1624" s="2">
        <v>0</v>
      </c>
      <c r="I1624" s="2" t="s">
        <v>1888</v>
      </c>
      <c r="J1624" s="2" t="s">
        <v>74</v>
      </c>
      <c r="K1624" t="s">
        <v>18</v>
      </c>
      <c r="L1624" t="str">
        <f>T("9791194711902")</f>
        <v>9791194711902</v>
      </c>
      <c r="M1624" t="str">
        <f t="shared" si="65"/>
        <v/>
      </c>
      <c r="N1624" t="s">
        <v>1905</v>
      </c>
    </row>
    <row r="1625" spans="1:14">
      <c r="A1625" s="1">
        <v>46067.933668981481</v>
      </c>
      <c r="B1625">
        <v>277935838</v>
      </c>
      <c r="C1625" s="2" t="s">
        <v>1906</v>
      </c>
      <c r="D1625" t="s">
        <v>15</v>
      </c>
      <c r="E1625" s="4">
        <v>100</v>
      </c>
      <c r="F1625" s="2">
        <v>100</v>
      </c>
      <c r="G1625" s="2">
        <v>70</v>
      </c>
      <c r="I1625" s="2" t="s">
        <v>64</v>
      </c>
      <c r="J1625" s="2" t="s">
        <v>65</v>
      </c>
      <c r="K1625" t="s">
        <v>18</v>
      </c>
      <c r="L1625" t="str">
        <f>T("9791162589724")</f>
        <v>9791162589724</v>
      </c>
      <c r="M1625" t="str">
        <f t="shared" si="65"/>
        <v/>
      </c>
      <c r="N1625" t="s">
        <v>1907</v>
      </c>
    </row>
    <row r="1626" spans="1:14">
      <c r="A1626" s="1">
        <v>46067.939004629632</v>
      </c>
      <c r="B1626">
        <v>385347797</v>
      </c>
      <c r="C1626" s="2" t="s">
        <v>195</v>
      </c>
      <c r="D1626" t="s">
        <v>15</v>
      </c>
      <c r="E1626" s="4">
        <v>700</v>
      </c>
      <c r="F1626" s="2">
        <v>630</v>
      </c>
      <c r="G1626" s="2">
        <v>441</v>
      </c>
      <c r="I1626" s="2" t="s">
        <v>196</v>
      </c>
      <c r="J1626" s="2" t="s">
        <v>197</v>
      </c>
      <c r="K1626" t="s">
        <v>18</v>
      </c>
      <c r="L1626" t="str">
        <f>T("9791172821937")</f>
        <v>9791172821937</v>
      </c>
      <c r="M1626" t="str">
        <f t="shared" si="65"/>
        <v/>
      </c>
      <c r="N1626" t="s">
        <v>198</v>
      </c>
    </row>
    <row r="1627" spans="1:14">
      <c r="A1627" s="1">
        <v>46067.945300925923</v>
      </c>
      <c r="B1627">
        <v>372487137</v>
      </c>
      <c r="C1627" s="2" t="s">
        <v>147</v>
      </c>
      <c r="D1627" t="s">
        <v>15</v>
      </c>
      <c r="E1627" s="5">
        <v>1000</v>
      </c>
      <c r="F1627" s="3">
        <v>1000</v>
      </c>
      <c r="G1627" s="2">
        <v>700</v>
      </c>
      <c r="I1627" s="2" t="s">
        <v>148</v>
      </c>
      <c r="J1627" s="2" t="s">
        <v>21</v>
      </c>
      <c r="K1627" t="s">
        <v>18</v>
      </c>
      <c r="L1627" t="str">
        <f>T("9791173017797")</f>
        <v>9791173017797</v>
      </c>
      <c r="M1627" t="str">
        <f t="shared" si="65"/>
        <v/>
      </c>
      <c r="N1627" t="s">
        <v>149</v>
      </c>
    </row>
    <row r="1628" spans="1:14">
      <c r="A1628" s="1">
        <v>46067.9531712963</v>
      </c>
      <c r="B1628">
        <v>383004678</v>
      </c>
      <c r="C1628" s="2" t="s">
        <v>1776</v>
      </c>
      <c r="D1628" t="s">
        <v>68</v>
      </c>
      <c r="E1628" s="5">
        <v>5760</v>
      </c>
      <c r="F1628" s="3">
        <v>5760</v>
      </c>
      <c r="G1628" s="3">
        <v>4032</v>
      </c>
      <c r="I1628" s="2" t="s">
        <v>351</v>
      </c>
      <c r="J1628" s="2" t="s">
        <v>126</v>
      </c>
      <c r="K1628" t="s">
        <v>18</v>
      </c>
      <c r="L1628" t="str">
        <f>T("9791171502950")</f>
        <v>9791171502950</v>
      </c>
      <c r="M1628" t="str">
        <f t="shared" si="65"/>
        <v/>
      </c>
    </row>
    <row r="1629" spans="1:14">
      <c r="A1629" s="1">
        <v>46067.9531712963</v>
      </c>
      <c r="B1629">
        <v>211909257</v>
      </c>
      <c r="C1629" s="2" t="s">
        <v>1665</v>
      </c>
      <c r="D1629" t="s">
        <v>68</v>
      </c>
      <c r="E1629" s="5">
        <v>4550</v>
      </c>
      <c r="F1629" s="3">
        <v>4550</v>
      </c>
      <c r="G1629" s="3">
        <v>3185</v>
      </c>
      <c r="I1629" s="2" t="s">
        <v>196</v>
      </c>
      <c r="J1629" s="2" t="s">
        <v>197</v>
      </c>
      <c r="K1629" t="s">
        <v>18</v>
      </c>
      <c r="L1629" t="str">
        <f>T("9791164090693")</f>
        <v>9791164090693</v>
      </c>
      <c r="M1629" t="str">
        <f t="shared" si="65"/>
        <v/>
      </c>
    </row>
    <row r="1630" spans="1:14">
      <c r="A1630" s="1">
        <v>46067.954976851855</v>
      </c>
      <c r="B1630">
        <v>385347797</v>
      </c>
      <c r="C1630" s="2" t="s">
        <v>195</v>
      </c>
      <c r="D1630" t="s">
        <v>15</v>
      </c>
      <c r="E1630" s="4">
        <v>700</v>
      </c>
      <c r="F1630" s="2">
        <v>630</v>
      </c>
      <c r="G1630" s="2">
        <v>441</v>
      </c>
      <c r="I1630" s="2" t="s">
        <v>196</v>
      </c>
      <c r="J1630" s="2" t="s">
        <v>197</v>
      </c>
      <c r="K1630" t="s">
        <v>18</v>
      </c>
      <c r="L1630" t="str">
        <f>T("9791172821937")</f>
        <v>9791172821937</v>
      </c>
      <c r="M1630" t="str">
        <f t="shared" si="65"/>
        <v/>
      </c>
      <c r="N1630" t="s">
        <v>198</v>
      </c>
    </row>
    <row r="1631" spans="1:14">
      <c r="A1631" s="1">
        <v>46067.96193287037</v>
      </c>
      <c r="B1631">
        <v>334115237</v>
      </c>
      <c r="C1631" s="2" t="s">
        <v>1908</v>
      </c>
      <c r="D1631" t="s">
        <v>15</v>
      </c>
      <c r="E1631" s="5">
        <v>13300</v>
      </c>
      <c r="F1631" s="3">
        <v>13300</v>
      </c>
      <c r="G1631" s="3">
        <v>9310</v>
      </c>
      <c r="I1631" s="2" t="s">
        <v>1909</v>
      </c>
      <c r="J1631" s="2" t="s">
        <v>1910</v>
      </c>
      <c r="K1631" t="s">
        <v>18</v>
      </c>
      <c r="L1631" t="str">
        <f>T("9791198362858")</f>
        <v>9791198362858</v>
      </c>
      <c r="M1631" t="str">
        <f t="shared" si="65"/>
        <v/>
      </c>
      <c r="N1631" t="s">
        <v>1911</v>
      </c>
    </row>
    <row r="1632" spans="1:14">
      <c r="A1632" s="1">
        <v>46067.967476851853</v>
      </c>
      <c r="B1632">
        <v>361955747</v>
      </c>
      <c r="C1632" s="2" t="s">
        <v>1912</v>
      </c>
      <c r="D1632" t="s">
        <v>15</v>
      </c>
      <c r="E1632" s="5">
        <v>1200</v>
      </c>
      <c r="F1632" s="3">
        <v>1200</v>
      </c>
      <c r="G1632" s="2">
        <v>840</v>
      </c>
      <c r="I1632" s="2" t="s">
        <v>169</v>
      </c>
      <c r="J1632" s="2" t="s">
        <v>21</v>
      </c>
      <c r="K1632" t="s">
        <v>18</v>
      </c>
      <c r="L1632" t="str">
        <f>T("9791173013607")</f>
        <v>9791173013607</v>
      </c>
      <c r="M1632" t="str">
        <f t="shared" si="65"/>
        <v/>
      </c>
      <c r="N1632" t="s">
        <v>1913</v>
      </c>
    </row>
    <row r="1633" spans="1:14">
      <c r="A1633" s="1">
        <v>46067.967476851853</v>
      </c>
      <c r="B1633">
        <v>362753443</v>
      </c>
      <c r="C1633" s="2" t="s">
        <v>1914</v>
      </c>
      <c r="D1633" t="s">
        <v>15</v>
      </c>
      <c r="E1633" s="5">
        <v>1000</v>
      </c>
      <c r="F1633" s="3">
        <v>1000</v>
      </c>
      <c r="G1633" s="2">
        <v>700</v>
      </c>
      <c r="I1633" s="2" t="s">
        <v>169</v>
      </c>
      <c r="J1633" s="2" t="s">
        <v>21</v>
      </c>
      <c r="K1633" t="s">
        <v>18</v>
      </c>
      <c r="L1633" t="str">
        <f>T("9791173013812")</f>
        <v>9791173013812</v>
      </c>
      <c r="M1633" t="str">
        <f t="shared" si="65"/>
        <v/>
      </c>
      <c r="N1633" t="s">
        <v>1915</v>
      </c>
    </row>
    <row r="1634" spans="1:14">
      <c r="A1634" s="1">
        <v>46067.967476851853</v>
      </c>
      <c r="B1634">
        <v>365291611</v>
      </c>
      <c r="C1634" s="2" t="s">
        <v>1916</v>
      </c>
      <c r="D1634" t="s">
        <v>15</v>
      </c>
      <c r="E1634" s="5">
        <v>1000</v>
      </c>
      <c r="F1634" s="3">
        <v>1000</v>
      </c>
      <c r="G1634" s="2">
        <v>700</v>
      </c>
      <c r="I1634" s="2" t="s">
        <v>61</v>
      </c>
      <c r="J1634" s="2" t="s">
        <v>21</v>
      </c>
      <c r="K1634" t="s">
        <v>18</v>
      </c>
      <c r="L1634" t="str">
        <f>T("9791173014741")</f>
        <v>9791173014741</v>
      </c>
      <c r="M1634" t="str">
        <f t="shared" si="65"/>
        <v/>
      </c>
      <c r="N1634" t="s">
        <v>1917</v>
      </c>
    </row>
    <row r="1635" spans="1:14">
      <c r="A1635" s="1">
        <v>46067.967476851853</v>
      </c>
      <c r="B1635">
        <v>365291613</v>
      </c>
      <c r="C1635" s="2" t="s">
        <v>1918</v>
      </c>
      <c r="D1635" t="s">
        <v>15</v>
      </c>
      <c r="E1635" s="5">
        <v>1000</v>
      </c>
      <c r="F1635" s="3">
        <v>1000</v>
      </c>
      <c r="G1635" s="2">
        <v>700</v>
      </c>
      <c r="I1635" s="2" t="s">
        <v>61</v>
      </c>
      <c r="J1635" s="2" t="s">
        <v>21</v>
      </c>
      <c r="K1635" t="s">
        <v>18</v>
      </c>
      <c r="L1635" t="str">
        <f>T("9791173014758")</f>
        <v>9791173014758</v>
      </c>
      <c r="M1635" t="str">
        <f t="shared" si="65"/>
        <v/>
      </c>
      <c r="N1635" t="s">
        <v>1919</v>
      </c>
    </row>
    <row r="1636" spans="1:14">
      <c r="A1636" s="1">
        <v>46067.967476851853</v>
      </c>
      <c r="B1636">
        <v>370129834</v>
      </c>
      <c r="C1636" s="2" t="s">
        <v>1920</v>
      </c>
      <c r="D1636" t="s">
        <v>15</v>
      </c>
      <c r="E1636" s="5">
        <v>1000</v>
      </c>
      <c r="F1636" s="3">
        <v>1000</v>
      </c>
      <c r="G1636" s="2">
        <v>700</v>
      </c>
      <c r="I1636" s="2" t="s">
        <v>312</v>
      </c>
      <c r="J1636" s="2" t="s">
        <v>21</v>
      </c>
      <c r="K1636" t="s">
        <v>18</v>
      </c>
      <c r="L1636" t="str">
        <f>T("9791173017674")</f>
        <v>9791173017674</v>
      </c>
      <c r="M1636" t="str">
        <f t="shared" si="65"/>
        <v/>
      </c>
      <c r="N1636" t="s">
        <v>1921</v>
      </c>
    </row>
    <row r="1637" spans="1:14">
      <c r="A1637" s="1">
        <v>46067.968194444446</v>
      </c>
      <c r="B1637">
        <v>277935720</v>
      </c>
      <c r="C1637" s="2" t="s">
        <v>1922</v>
      </c>
      <c r="D1637" t="s">
        <v>15</v>
      </c>
      <c r="E1637" s="4">
        <v>100</v>
      </c>
      <c r="F1637" s="2">
        <v>100</v>
      </c>
      <c r="G1637" s="2">
        <v>70</v>
      </c>
      <c r="I1637" s="2" t="s">
        <v>64</v>
      </c>
      <c r="J1637" s="2" t="s">
        <v>65</v>
      </c>
      <c r="K1637" t="s">
        <v>18</v>
      </c>
      <c r="L1637" t="str">
        <f>T("9791162589724")</f>
        <v>9791162589724</v>
      </c>
      <c r="M1637" t="str">
        <f t="shared" si="65"/>
        <v/>
      </c>
      <c r="N1637" t="s">
        <v>1923</v>
      </c>
    </row>
    <row r="1638" spans="1:14">
      <c r="A1638" s="1">
        <v>46067.968194444446</v>
      </c>
      <c r="B1638">
        <v>277935531</v>
      </c>
      <c r="C1638" s="2" t="s">
        <v>1617</v>
      </c>
      <c r="D1638" t="s">
        <v>15</v>
      </c>
      <c r="E1638" s="4">
        <v>100</v>
      </c>
      <c r="F1638" s="2">
        <v>100</v>
      </c>
      <c r="G1638" s="2">
        <v>70</v>
      </c>
      <c r="I1638" s="2" t="s">
        <v>64</v>
      </c>
      <c r="J1638" s="2" t="s">
        <v>65</v>
      </c>
      <c r="K1638" t="s">
        <v>18</v>
      </c>
      <c r="L1638" t="str">
        <f>T("9791162589724")</f>
        <v>9791162589724</v>
      </c>
      <c r="M1638" t="str">
        <f t="shared" si="65"/>
        <v/>
      </c>
      <c r="N1638" t="s">
        <v>1618</v>
      </c>
    </row>
    <row r="1639" spans="1:14">
      <c r="A1639" s="1">
        <v>46067.968194444446</v>
      </c>
      <c r="B1639">
        <v>277935759</v>
      </c>
      <c r="C1639" s="2" t="s">
        <v>1611</v>
      </c>
      <c r="D1639" t="s">
        <v>15</v>
      </c>
      <c r="E1639" s="4">
        <v>100</v>
      </c>
      <c r="F1639" s="2">
        <v>100</v>
      </c>
      <c r="G1639" s="2">
        <v>70</v>
      </c>
      <c r="I1639" s="2" t="s">
        <v>64</v>
      </c>
      <c r="J1639" s="2" t="s">
        <v>65</v>
      </c>
      <c r="K1639" t="s">
        <v>18</v>
      </c>
      <c r="L1639" t="str">
        <f>T("9791162589724")</f>
        <v>9791162589724</v>
      </c>
      <c r="M1639" t="str">
        <f t="shared" si="65"/>
        <v/>
      </c>
      <c r="N1639" t="s">
        <v>1612</v>
      </c>
    </row>
    <row r="1640" spans="1:14">
      <c r="A1640" s="1">
        <v>46067.968194444446</v>
      </c>
      <c r="B1640">
        <v>277935813</v>
      </c>
      <c r="C1640" s="2" t="s">
        <v>1613</v>
      </c>
      <c r="D1640" t="s">
        <v>15</v>
      </c>
      <c r="E1640" s="4">
        <v>100</v>
      </c>
      <c r="F1640" s="2">
        <v>100</v>
      </c>
      <c r="G1640" s="2">
        <v>70</v>
      </c>
      <c r="I1640" s="2" t="s">
        <v>64</v>
      </c>
      <c r="J1640" s="2" t="s">
        <v>65</v>
      </c>
      <c r="K1640" t="s">
        <v>18</v>
      </c>
      <c r="L1640" t="str">
        <f>T("9791162589724")</f>
        <v>9791162589724</v>
      </c>
      <c r="M1640" t="str">
        <f t="shared" si="65"/>
        <v/>
      </c>
      <c r="N1640" t="s">
        <v>1614</v>
      </c>
    </row>
    <row r="1641" spans="1:14">
      <c r="A1641" s="1">
        <v>46067.968194444446</v>
      </c>
      <c r="B1641">
        <v>277935815</v>
      </c>
      <c r="C1641" s="2" t="s">
        <v>1615</v>
      </c>
      <c r="D1641" t="s">
        <v>15</v>
      </c>
      <c r="E1641" s="4">
        <v>100</v>
      </c>
      <c r="F1641" s="2">
        <v>100</v>
      </c>
      <c r="G1641" s="2">
        <v>70</v>
      </c>
      <c r="I1641" s="2" t="s">
        <v>64</v>
      </c>
      <c r="J1641" s="2" t="s">
        <v>65</v>
      </c>
      <c r="K1641" t="s">
        <v>18</v>
      </c>
      <c r="L1641" t="str">
        <f>T("9791162589724")</f>
        <v>9791162589724</v>
      </c>
      <c r="M1641" t="str">
        <f t="shared" si="65"/>
        <v/>
      </c>
      <c r="N1641" t="s">
        <v>1616</v>
      </c>
    </row>
    <row r="1642" spans="1:14">
      <c r="A1642" s="1">
        <v>46067.973043981481</v>
      </c>
      <c r="B1642">
        <v>323352597</v>
      </c>
      <c r="C1642" s="2" t="s">
        <v>1924</v>
      </c>
      <c r="D1642" t="s">
        <v>68</v>
      </c>
      <c r="E1642" s="5">
        <v>3150</v>
      </c>
      <c r="F1642" s="3">
        <v>3150</v>
      </c>
      <c r="G1642" s="3">
        <v>2205</v>
      </c>
      <c r="I1642" s="2" t="s">
        <v>938</v>
      </c>
      <c r="J1642" s="2" t="s">
        <v>126</v>
      </c>
      <c r="K1642" t="s">
        <v>18</v>
      </c>
      <c r="L1642" t="str">
        <f>T("9791164977581")</f>
        <v>9791164977581</v>
      </c>
      <c r="M1642" t="str">
        <f t="shared" si="65"/>
        <v/>
      </c>
    </row>
    <row r="1643" spans="1:14">
      <c r="A1643" s="1">
        <v>46067.977766203701</v>
      </c>
      <c r="B1643">
        <v>281980495</v>
      </c>
      <c r="C1643" s="2" t="s">
        <v>1598</v>
      </c>
      <c r="D1643" t="s">
        <v>68</v>
      </c>
      <c r="E1643" s="5">
        <v>2250</v>
      </c>
      <c r="F1643" s="3">
        <v>2250</v>
      </c>
      <c r="G1643" s="3">
        <v>1575</v>
      </c>
      <c r="I1643" s="2" t="s">
        <v>1599</v>
      </c>
      <c r="J1643" s="2" t="s">
        <v>197</v>
      </c>
      <c r="K1643" t="s">
        <v>18</v>
      </c>
      <c r="L1643" t="str">
        <f>T("9791164093779")</f>
        <v>9791164093779</v>
      </c>
      <c r="M1643" t="str">
        <f t="shared" si="65"/>
        <v/>
      </c>
    </row>
    <row r="1644" spans="1:14">
      <c r="A1644" s="1">
        <v>46067.97923611111</v>
      </c>
      <c r="B1644">
        <v>297523321</v>
      </c>
      <c r="C1644" s="2" t="s">
        <v>1925</v>
      </c>
      <c r="D1644" t="s">
        <v>15</v>
      </c>
      <c r="E1644" s="4">
        <v>100</v>
      </c>
      <c r="F1644" s="2">
        <v>100</v>
      </c>
      <c r="G1644" s="2">
        <v>70</v>
      </c>
      <c r="I1644" s="2" t="s">
        <v>64</v>
      </c>
      <c r="J1644" s="2" t="s">
        <v>65</v>
      </c>
      <c r="K1644" t="s">
        <v>18</v>
      </c>
      <c r="L1644" t="str">
        <f t="shared" ref="L1644:L1658" si="66">T("9791162589724")</f>
        <v>9791162589724</v>
      </c>
      <c r="M1644" t="str">
        <f t="shared" si="65"/>
        <v/>
      </c>
      <c r="N1644" t="s">
        <v>1926</v>
      </c>
    </row>
    <row r="1645" spans="1:14">
      <c r="A1645" s="1">
        <v>46067.97923611111</v>
      </c>
      <c r="B1645">
        <v>297523314</v>
      </c>
      <c r="C1645" s="2" t="s">
        <v>1927</v>
      </c>
      <c r="D1645" t="s">
        <v>15</v>
      </c>
      <c r="E1645" s="4">
        <v>100</v>
      </c>
      <c r="F1645" s="2">
        <v>100</v>
      </c>
      <c r="G1645" s="2">
        <v>70</v>
      </c>
      <c r="I1645" s="2" t="s">
        <v>64</v>
      </c>
      <c r="J1645" s="2" t="s">
        <v>65</v>
      </c>
      <c r="K1645" t="s">
        <v>18</v>
      </c>
      <c r="L1645" t="str">
        <f t="shared" si="66"/>
        <v>9791162589724</v>
      </c>
      <c r="M1645" t="str">
        <f t="shared" si="65"/>
        <v/>
      </c>
      <c r="N1645" t="s">
        <v>1928</v>
      </c>
    </row>
    <row r="1646" spans="1:14">
      <c r="A1646" s="1">
        <v>46067.97923611111</v>
      </c>
      <c r="B1646">
        <v>297523316</v>
      </c>
      <c r="C1646" s="2" t="s">
        <v>1929</v>
      </c>
      <c r="D1646" t="s">
        <v>15</v>
      </c>
      <c r="E1646" s="4">
        <v>100</v>
      </c>
      <c r="F1646" s="2">
        <v>100</v>
      </c>
      <c r="G1646" s="2">
        <v>70</v>
      </c>
      <c r="I1646" s="2" t="s">
        <v>64</v>
      </c>
      <c r="J1646" s="2" t="s">
        <v>65</v>
      </c>
      <c r="K1646" t="s">
        <v>18</v>
      </c>
      <c r="L1646" t="str">
        <f t="shared" si="66"/>
        <v>9791162589724</v>
      </c>
      <c r="M1646" t="str">
        <f t="shared" si="65"/>
        <v/>
      </c>
      <c r="N1646" t="s">
        <v>1930</v>
      </c>
    </row>
    <row r="1647" spans="1:14">
      <c r="A1647" s="1">
        <v>46067.97923611111</v>
      </c>
      <c r="B1647">
        <v>296552047</v>
      </c>
      <c r="C1647" s="2" t="s">
        <v>1931</v>
      </c>
      <c r="D1647" t="s">
        <v>15</v>
      </c>
      <c r="E1647" s="4">
        <v>100</v>
      </c>
      <c r="F1647" s="2">
        <v>100</v>
      </c>
      <c r="G1647" s="2">
        <v>70</v>
      </c>
      <c r="I1647" s="2" t="s">
        <v>64</v>
      </c>
      <c r="J1647" s="2" t="s">
        <v>65</v>
      </c>
      <c r="K1647" t="s">
        <v>18</v>
      </c>
      <c r="L1647" t="str">
        <f t="shared" si="66"/>
        <v>9791162589724</v>
      </c>
      <c r="M1647" t="str">
        <f t="shared" ref="M1647:M1678" si="67">T("")</f>
        <v/>
      </c>
      <c r="N1647" t="s">
        <v>1932</v>
      </c>
    </row>
    <row r="1648" spans="1:14">
      <c r="A1648" s="1">
        <v>46067.97923611111</v>
      </c>
      <c r="B1648">
        <v>296589024</v>
      </c>
      <c r="C1648" s="2" t="s">
        <v>1933</v>
      </c>
      <c r="D1648" t="s">
        <v>15</v>
      </c>
      <c r="E1648" s="4">
        <v>100</v>
      </c>
      <c r="F1648" s="2">
        <v>100</v>
      </c>
      <c r="G1648" s="2">
        <v>70</v>
      </c>
      <c r="I1648" s="2" t="s">
        <v>64</v>
      </c>
      <c r="J1648" s="2" t="s">
        <v>65</v>
      </c>
      <c r="K1648" t="s">
        <v>18</v>
      </c>
      <c r="L1648" t="str">
        <f t="shared" si="66"/>
        <v>9791162589724</v>
      </c>
      <c r="M1648" t="str">
        <f t="shared" si="67"/>
        <v/>
      </c>
      <c r="N1648" t="s">
        <v>1934</v>
      </c>
    </row>
    <row r="1649" spans="1:14">
      <c r="A1649" s="1">
        <v>46067.97923611111</v>
      </c>
      <c r="B1649">
        <v>296928848</v>
      </c>
      <c r="C1649" s="2" t="s">
        <v>1935</v>
      </c>
      <c r="D1649" t="s">
        <v>15</v>
      </c>
      <c r="E1649" s="4">
        <v>100</v>
      </c>
      <c r="F1649" s="2">
        <v>100</v>
      </c>
      <c r="G1649" s="2">
        <v>70</v>
      </c>
      <c r="I1649" s="2" t="s">
        <v>64</v>
      </c>
      <c r="J1649" s="2" t="s">
        <v>65</v>
      </c>
      <c r="K1649" t="s">
        <v>18</v>
      </c>
      <c r="L1649" t="str">
        <f t="shared" si="66"/>
        <v>9791162589724</v>
      </c>
      <c r="M1649" t="str">
        <f t="shared" si="67"/>
        <v/>
      </c>
      <c r="N1649" t="s">
        <v>1936</v>
      </c>
    </row>
    <row r="1650" spans="1:14">
      <c r="A1650" s="1">
        <v>46067.97923611111</v>
      </c>
      <c r="B1650">
        <v>296928858</v>
      </c>
      <c r="C1650" s="2" t="s">
        <v>1937</v>
      </c>
      <c r="D1650" t="s">
        <v>15</v>
      </c>
      <c r="E1650" s="4">
        <v>100</v>
      </c>
      <c r="F1650" s="2">
        <v>100</v>
      </c>
      <c r="G1650" s="2">
        <v>70</v>
      </c>
      <c r="I1650" s="2" t="s">
        <v>64</v>
      </c>
      <c r="J1650" s="2" t="s">
        <v>65</v>
      </c>
      <c r="K1650" t="s">
        <v>18</v>
      </c>
      <c r="L1650" t="str">
        <f t="shared" si="66"/>
        <v>9791162589724</v>
      </c>
      <c r="M1650" t="str">
        <f t="shared" si="67"/>
        <v/>
      </c>
      <c r="N1650" t="s">
        <v>1938</v>
      </c>
    </row>
    <row r="1651" spans="1:14">
      <c r="A1651" s="1">
        <v>46067.97923611111</v>
      </c>
      <c r="B1651">
        <v>296928861</v>
      </c>
      <c r="C1651" s="2" t="s">
        <v>1939</v>
      </c>
      <c r="D1651" t="s">
        <v>15</v>
      </c>
      <c r="E1651" s="4">
        <v>100</v>
      </c>
      <c r="F1651" s="2">
        <v>100</v>
      </c>
      <c r="G1651" s="2">
        <v>70</v>
      </c>
      <c r="I1651" s="2" t="s">
        <v>64</v>
      </c>
      <c r="J1651" s="2" t="s">
        <v>65</v>
      </c>
      <c r="K1651" t="s">
        <v>18</v>
      </c>
      <c r="L1651" t="str">
        <f t="shared" si="66"/>
        <v>9791162589724</v>
      </c>
      <c r="M1651" t="str">
        <f t="shared" si="67"/>
        <v/>
      </c>
      <c r="N1651" t="s">
        <v>1940</v>
      </c>
    </row>
    <row r="1652" spans="1:14">
      <c r="A1652" s="1">
        <v>46067.97923611111</v>
      </c>
      <c r="B1652">
        <v>297293489</v>
      </c>
      <c r="C1652" s="2" t="s">
        <v>1941</v>
      </c>
      <c r="D1652" t="s">
        <v>15</v>
      </c>
      <c r="E1652" s="4">
        <v>100</v>
      </c>
      <c r="F1652" s="2">
        <v>100</v>
      </c>
      <c r="G1652" s="2">
        <v>70</v>
      </c>
      <c r="I1652" s="2" t="s">
        <v>64</v>
      </c>
      <c r="J1652" s="2" t="s">
        <v>65</v>
      </c>
      <c r="K1652" t="s">
        <v>18</v>
      </c>
      <c r="L1652" t="str">
        <f t="shared" si="66"/>
        <v>9791162589724</v>
      </c>
      <c r="M1652" t="str">
        <f t="shared" si="67"/>
        <v/>
      </c>
      <c r="N1652" t="s">
        <v>1942</v>
      </c>
    </row>
    <row r="1653" spans="1:14">
      <c r="A1653" s="1">
        <v>46067.97923611111</v>
      </c>
      <c r="B1653">
        <v>297293516</v>
      </c>
      <c r="C1653" s="2" t="s">
        <v>1943</v>
      </c>
      <c r="D1653" t="s">
        <v>15</v>
      </c>
      <c r="E1653" s="4">
        <v>100</v>
      </c>
      <c r="F1653" s="2">
        <v>100</v>
      </c>
      <c r="G1653" s="2">
        <v>70</v>
      </c>
      <c r="I1653" s="2" t="s">
        <v>64</v>
      </c>
      <c r="J1653" s="2" t="s">
        <v>65</v>
      </c>
      <c r="K1653" t="s">
        <v>18</v>
      </c>
      <c r="L1653" t="str">
        <f t="shared" si="66"/>
        <v>9791162589724</v>
      </c>
      <c r="M1653" t="str">
        <f t="shared" si="67"/>
        <v/>
      </c>
      <c r="N1653" t="s">
        <v>1944</v>
      </c>
    </row>
    <row r="1654" spans="1:14">
      <c r="A1654" s="1">
        <v>46067.980266203704</v>
      </c>
      <c r="B1654">
        <v>277935740</v>
      </c>
      <c r="C1654" s="2" t="s">
        <v>1437</v>
      </c>
      <c r="D1654" t="s">
        <v>15</v>
      </c>
      <c r="E1654" s="4">
        <v>100</v>
      </c>
      <c r="F1654" s="2">
        <v>100</v>
      </c>
      <c r="G1654" s="2">
        <v>70</v>
      </c>
      <c r="I1654" s="2" t="s">
        <v>64</v>
      </c>
      <c r="J1654" s="2" t="s">
        <v>65</v>
      </c>
      <c r="K1654" t="s">
        <v>18</v>
      </c>
      <c r="L1654" t="str">
        <f t="shared" si="66"/>
        <v>9791162589724</v>
      </c>
      <c r="M1654" t="str">
        <f t="shared" si="67"/>
        <v/>
      </c>
      <c r="N1654" t="s">
        <v>1438</v>
      </c>
    </row>
    <row r="1655" spans="1:14">
      <c r="A1655" s="1">
        <v>46067.980266203704</v>
      </c>
      <c r="B1655">
        <v>277935743</v>
      </c>
      <c r="C1655" s="2" t="s">
        <v>1095</v>
      </c>
      <c r="D1655" t="s">
        <v>15</v>
      </c>
      <c r="E1655" s="4">
        <v>100</v>
      </c>
      <c r="F1655" s="2">
        <v>100</v>
      </c>
      <c r="G1655" s="2">
        <v>70</v>
      </c>
      <c r="I1655" s="2" t="s">
        <v>64</v>
      </c>
      <c r="J1655" s="2" t="s">
        <v>65</v>
      </c>
      <c r="K1655" t="s">
        <v>18</v>
      </c>
      <c r="L1655" t="str">
        <f t="shared" si="66"/>
        <v>9791162589724</v>
      </c>
      <c r="M1655" t="str">
        <f t="shared" si="67"/>
        <v/>
      </c>
      <c r="N1655" t="s">
        <v>1096</v>
      </c>
    </row>
    <row r="1656" spans="1:14">
      <c r="A1656" s="1">
        <v>46067.980266203704</v>
      </c>
      <c r="B1656">
        <v>277935487</v>
      </c>
      <c r="C1656" s="2" t="s">
        <v>1443</v>
      </c>
      <c r="D1656" t="s">
        <v>15</v>
      </c>
      <c r="E1656" s="4">
        <v>100</v>
      </c>
      <c r="F1656" s="2">
        <v>100</v>
      </c>
      <c r="G1656" s="2">
        <v>70</v>
      </c>
      <c r="I1656" s="2" t="s">
        <v>64</v>
      </c>
      <c r="J1656" s="2" t="s">
        <v>65</v>
      </c>
      <c r="K1656" t="s">
        <v>18</v>
      </c>
      <c r="L1656" t="str">
        <f t="shared" si="66"/>
        <v>9791162589724</v>
      </c>
      <c r="M1656" t="str">
        <f t="shared" si="67"/>
        <v/>
      </c>
      <c r="N1656" t="s">
        <v>1444</v>
      </c>
    </row>
    <row r="1657" spans="1:14">
      <c r="A1657" s="1">
        <v>46067.980266203704</v>
      </c>
      <c r="B1657">
        <v>277935689</v>
      </c>
      <c r="C1657" s="2" t="s">
        <v>1441</v>
      </c>
      <c r="D1657" t="s">
        <v>15</v>
      </c>
      <c r="E1657" s="4">
        <v>100</v>
      </c>
      <c r="F1657" s="2">
        <v>100</v>
      </c>
      <c r="G1657" s="2">
        <v>70</v>
      </c>
      <c r="I1657" s="2" t="s">
        <v>64</v>
      </c>
      <c r="J1657" s="2" t="s">
        <v>65</v>
      </c>
      <c r="K1657" t="s">
        <v>18</v>
      </c>
      <c r="L1657" t="str">
        <f t="shared" si="66"/>
        <v>9791162589724</v>
      </c>
      <c r="M1657" t="str">
        <f t="shared" si="67"/>
        <v/>
      </c>
      <c r="N1657" t="s">
        <v>1442</v>
      </c>
    </row>
    <row r="1658" spans="1:14">
      <c r="A1658" s="1">
        <v>46067.980266203704</v>
      </c>
      <c r="B1658">
        <v>277935645</v>
      </c>
      <c r="C1658" s="2" t="s">
        <v>1439</v>
      </c>
      <c r="D1658" t="s">
        <v>15</v>
      </c>
      <c r="E1658" s="4">
        <v>100</v>
      </c>
      <c r="F1658" s="2">
        <v>100</v>
      </c>
      <c r="G1658" s="2">
        <v>70</v>
      </c>
      <c r="I1658" s="2" t="s">
        <v>64</v>
      </c>
      <c r="J1658" s="2" t="s">
        <v>65</v>
      </c>
      <c r="K1658" t="s">
        <v>18</v>
      </c>
      <c r="L1658" t="str">
        <f t="shared" si="66"/>
        <v>9791162589724</v>
      </c>
      <c r="M1658" t="str">
        <f t="shared" si="67"/>
        <v/>
      </c>
      <c r="N1658" t="s">
        <v>1440</v>
      </c>
    </row>
    <row r="1659" spans="1:14">
      <c r="A1659" s="1">
        <v>46067.982048611113</v>
      </c>
      <c r="B1659">
        <v>379527576</v>
      </c>
      <c r="C1659" s="2" t="s">
        <v>150</v>
      </c>
      <c r="D1659" t="s">
        <v>15</v>
      </c>
      <c r="E1659" s="5">
        <v>1000</v>
      </c>
      <c r="F1659" s="3">
        <v>1000</v>
      </c>
      <c r="G1659" s="2">
        <v>700</v>
      </c>
      <c r="I1659" s="2" t="s">
        <v>148</v>
      </c>
      <c r="J1659" s="2" t="s">
        <v>21</v>
      </c>
      <c r="K1659" t="s">
        <v>18</v>
      </c>
      <c r="L1659" t="str">
        <f>T("9791175580541")</f>
        <v>9791175580541</v>
      </c>
      <c r="M1659" t="str">
        <f t="shared" si="67"/>
        <v/>
      </c>
      <c r="N1659" t="s">
        <v>151</v>
      </c>
    </row>
    <row r="1660" spans="1:14">
      <c r="A1660" s="1">
        <v>46067.982418981483</v>
      </c>
      <c r="B1660">
        <v>384598651</v>
      </c>
      <c r="C1660" s="2" t="s">
        <v>696</v>
      </c>
      <c r="D1660" t="s">
        <v>15</v>
      </c>
      <c r="E1660" s="5">
        <v>1000</v>
      </c>
      <c r="F1660" s="3">
        <v>1000</v>
      </c>
      <c r="G1660" s="2">
        <v>700</v>
      </c>
      <c r="I1660" s="2" t="s">
        <v>28</v>
      </c>
      <c r="J1660" s="2" t="s">
        <v>21</v>
      </c>
      <c r="K1660" t="s">
        <v>18</v>
      </c>
      <c r="L1660" t="str">
        <f>T("9791175582422")</f>
        <v>9791175582422</v>
      </c>
      <c r="M1660" t="str">
        <f t="shared" si="67"/>
        <v/>
      </c>
      <c r="N1660" t="s">
        <v>697</v>
      </c>
    </row>
    <row r="1661" spans="1:14">
      <c r="A1661" s="1">
        <v>46067.98265046296</v>
      </c>
      <c r="B1661">
        <v>277935585</v>
      </c>
      <c r="C1661" s="2" t="s">
        <v>1560</v>
      </c>
      <c r="D1661" t="s">
        <v>15</v>
      </c>
      <c r="E1661" s="4">
        <v>100</v>
      </c>
      <c r="F1661" s="2">
        <v>100</v>
      </c>
      <c r="G1661" s="2">
        <v>70</v>
      </c>
      <c r="I1661" s="2" t="s">
        <v>64</v>
      </c>
      <c r="J1661" s="2" t="s">
        <v>65</v>
      </c>
      <c r="K1661" t="s">
        <v>18</v>
      </c>
      <c r="L1661" t="str">
        <f>T("9791162589724")</f>
        <v>9791162589724</v>
      </c>
      <c r="M1661" t="str">
        <f t="shared" si="67"/>
        <v/>
      </c>
      <c r="N1661" t="s">
        <v>1561</v>
      </c>
    </row>
    <row r="1662" spans="1:14">
      <c r="A1662" s="1">
        <v>46067.987025462964</v>
      </c>
      <c r="B1662">
        <v>385347715</v>
      </c>
      <c r="C1662" s="2" t="s">
        <v>186</v>
      </c>
      <c r="D1662" t="s">
        <v>15</v>
      </c>
      <c r="E1662" s="5">
        <v>2000</v>
      </c>
      <c r="F1662" s="3">
        <v>1800</v>
      </c>
      <c r="G1662" s="3">
        <v>1260</v>
      </c>
      <c r="I1662" s="2" t="s">
        <v>187</v>
      </c>
      <c r="J1662" s="2" t="s">
        <v>188</v>
      </c>
      <c r="K1662" t="s">
        <v>18</v>
      </c>
      <c r="L1662" t="str">
        <f>T("9791164835362")</f>
        <v>9791164835362</v>
      </c>
      <c r="M1662" t="str">
        <f t="shared" si="67"/>
        <v/>
      </c>
      <c r="N1662" t="s">
        <v>189</v>
      </c>
    </row>
    <row r="1663" spans="1:14">
      <c r="A1663" s="1">
        <v>46067.987523148149</v>
      </c>
      <c r="B1663">
        <v>374949661</v>
      </c>
      <c r="C1663" s="2" t="s">
        <v>1647</v>
      </c>
      <c r="D1663" t="s">
        <v>68</v>
      </c>
      <c r="E1663" s="5">
        <v>3360</v>
      </c>
      <c r="F1663" s="3">
        <v>3360</v>
      </c>
      <c r="G1663" s="3">
        <v>2352</v>
      </c>
      <c r="I1663" s="2" t="s">
        <v>1648</v>
      </c>
      <c r="J1663" s="2" t="s">
        <v>197</v>
      </c>
      <c r="K1663" t="s">
        <v>18</v>
      </c>
      <c r="L1663" t="str">
        <f>T("9791164098552")</f>
        <v>9791164098552</v>
      </c>
      <c r="M1663" t="str">
        <f t="shared" si="67"/>
        <v/>
      </c>
    </row>
    <row r="1664" spans="1:14">
      <c r="A1664" s="1">
        <v>46067.992986111109</v>
      </c>
      <c r="B1664">
        <v>325730710</v>
      </c>
      <c r="C1664" s="2" t="s">
        <v>542</v>
      </c>
      <c r="D1664" t="s">
        <v>15</v>
      </c>
      <c r="E1664" s="5">
        <v>3000</v>
      </c>
      <c r="F1664" s="3">
        <v>3000</v>
      </c>
      <c r="G1664" s="3">
        <v>2100</v>
      </c>
      <c r="I1664" s="2" t="s">
        <v>540</v>
      </c>
      <c r="J1664" s="2" t="s">
        <v>197</v>
      </c>
      <c r="K1664" t="s">
        <v>18</v>
      </c>
      <c r="L1664" t="str">
        <f>T("9791164098521")</f>
        <v>9791164098521</v>
      </c>
      <c r="M1664" t="str">
        <f t="shared" si="67"/>
        <v/>
      </c>
      <c r="N1664" t="s">
        <v>543</v>
      </c>
    </row>
    <row r="1665" spans="1:14">
      <c r="A1665" s="1">
        <v>46067.994895833333</v>
      </c>
      <c r="B1665">
        <v>297523321</v>
      </c>
      <c r="C1665" s="2" t="s">
        <v>1925</v>
      </c>
      <c r="D1665" t="s">
        <v>15</v>
      </c>
      <c r="E1665" s="4">
        <v>100</v>
      </c>
      <c r="F1665" s="2">
        <v>100</v>
      </c>
      <c r="G1665" s="2">
        <v>70</v>
      </c>
      <c r="I1665" s="2" t="s">
        <v>64</v>
      </c>
      <c r="J1665" s="2" t="s">
        <v>65</v>
      </c>
      <c r="K1665" t="s">
        <v>18</v>
      </c>
      <c r="L1665" t="str">
        <f>T("9791162589724")</f>
        <v>9791162589724</v>
      </c>
      <c r="M1665" t="str">
        <f t="shared" si="67"/>
        <v/>
      </c>
      <c r="N1665" t="s">
        <v>1926</v>
      </c>
    </row>
    <row r="1666" spans="1:14">
      <c r="A1666" s="1">
        <v>46067.995752314811</v>
      </c>
      <c r="B1666">
        <v>384623947</v>
      </c>
      <c r="C1666" s="2" t="s">
        <v>37</v>
      </c>
      <c r="D1666" t="s">
        <v>15</v>
      </c>
      <c r="E1666" s="5">
        <v>1000</v>
      </c>
      <c r="F1666" s="3">
        <v>1000</v>
      </c>
      <c r="G1666" s="2">
        <v>700</v>
      </c>
      <c r="I1666" s="2" t="s">
        <v>38</v>
      </c>
      <c r="J1666" s="2" t="s">
        <v>21</v>
      </c>
      <c r="K1666" t="s">
        <v>18</v>
      </c>
      <c r="L1666" t="str">
        <f>T("9791175582187")</f>
        <v>9791175582187</v>
      </c>
      <c r="M1666" t="str">
        <f t="shared" si="67"/>
        <v/>
      </c>
      <c r="N1666" t="s">
        <v>39</v>
      </c>
    </row>
    <row r="1667" spans="1:14">
      <c r="A1667" s="1">
        <v>46067.999513888892</v>
      </c>
      <c r="B1667">
        <v>382628157</v>
      </c>
      <c r="C1667" s="2" t="s">
        <v>462</v>
      </c>
      <c r="D1667" t="s">
        <v>15</v>
      </c>
      <c r="E1667" s="5">
        <v>1000</v>
      </c>
      <c r="F1667" s="3">
        <v>1000</v>
      </c>
      <c r="G1667" s="2">
        <v>700</v>
      </c>
      <c r="I1667" s="2" t="s">
        <v>28</v>
      </c>
      <c r="J1667" s="2" t="s">
        <v>21</v>
      </c>
      <c r="K1667" t="s">
        <v>18</v>
      </c>
      <c r="L1667" t="str">
        <f>T("9791175581739")</f>
        <v>9791175581739</v>
      </c>
      <c r="M1667" t="str">
        <f t="shared" si="67"/>
        <v/>
      </c>
      <c r="N1667" t="s">
        <v>463</v>
      </c>
    </row>
    <row r="1668" spans="1:14">
      <c r="A1668" s="1">
        <v>46068.004930555559</v>
      </c>
      <c r="B1668">
        <v>277935655</v>
      </c>
      <c r="C1668" s="2" t="s">
        <v>1945</v>
      </c>
      <c r="D1668" t="s">
        <v>15</v>
      </c>
      <c r="E1668" s="4">
        <v>100</v>
      </c>
      <c r="F1668" s="2">
        <v>100</v>
      </c>
      <c r="G1668" s="2">
        <v>70</v>
      </c>
      <c r="I1668" s="2" t="s">
        <v>64</v>
      </c>
      <c r="J1668" s="2" t="s">
        <v>65</v>
      </c>
      <c r="K1668" t="s">
        <v>18</v>
      </c>
      <c r="L1668" t="str">
        <f t="shared" ref="L1668:L1673" si="68">T("9791162589724")</f>
        <v>9791162589724</v>
      </c>
      <c r="M1668" t="str">
        <f t="shared" si="67"/>
        <v/>
      </c>
      <c r="N1668" t="s">
        <v>1946</v>
      </c>
    </row>
    <row r="1669" spans="1:14">
      <c r="A1669" s="1">
        <v>46068.006944444445</v>
      </c>
      <c r="B1669">
        <v>277935540</v>
      </c>
      <c r="C1669" s="2" t="s">
        <v>1947</v>
      </c>
      <c r="D1669" t="s">
        <v>15</v>
      </c>
      <c r="E1669" s="4">
        <v>100</v>
      </c>
      <c r="F1669" s="2">
        <v>100</v>
      </c>
      <c r="G1669" s="2">
        <v>70</v>
      </c>
      <c r="I1669" s="2" t="s">
        <v>64</v>
      </c>
      <c r="J1669" s="2" t="s">
        <v>65</v>
      </c>
      <c r="K1669" t="s">
        <v>18</v>
      </c>
      <c r="L1669" t="str">
        <f t="shared" si="68"/>
        <v>9791162589724</v>
      </c>
      <c r="M1669" t="str">
        <f t="shared" si="67"/>
        <v/>
      </c>
      <c r="N1669" t="s">
        <v>1948</v>
      </c>
    </row>
    <row r="1670" spans="1:14">
      <c r="A1670" s="1">
        <v>46068.006944444445</v>
      </c>
      <c r="B1670">
        <v>277935739</v>
      </c>
      <c r="C1670" s="2" t="s">
        <v>1949</v>
      </c>
      <c r="D1670" t="s">
        <v>15</v>
      </c>
      <c r="E1670" s="4">
        <v>100</v>
      </c>
      <c r="F1670" s="2">
        <v>100</v>
      </c>
      <c r="G1670" s="2">
        <v>70</v>
      </c>
      <c r="I1670" s="2" t="s">
        <v>64</v>
      </c>
      <c r="J1670" s="2" t="s">
        <v>65</v>
      </c>
      <c r="K1670" t="s">
        <v>18</v>
      </c>
      <c r="L1670" t="str">
        <f t="shared" si="68"/>
        <v>9791162589724</v>
      </c>
      <c r="M1670" t="str">
        <f t="shared" si="67"/>
        <v/>
      </c>
      <c r="N1670" t="s">
        <v>1950</v>
      </c>
    </row>
    <row r="1671" spans="1:14">
      <c r="A1671" s="1">
        <v>46068.006944444445</v>
      </c>
      <c r="B1671">
        <v>277935818</v>
      </c>
      <c r="C1671" s="2" t="s">
        <v>1951</v>
      </c>
      <c r="D1671" t="s">
        <v>15</v>
      </c>
      <c r="E1671" s="4">
        <v>100</v>
      </c>
      <c r="F1671" s="2">
        <v>100</v>
      </c>
      <c r="G1671" s="2">
        <v>70</v>
      </c>
      <c r="I1671" s="2" t="s">
        <v>64</v>
      </c>
      <c r="J1671" s="2" t="s">
        <v>65</v>
      </c>
      <c r="K1671" t="s">
        <v>18</v>
      </c>
      <c r="L1671" t="str">
        <f t="shared" si="68"/>
        <v>9791162589724</v>
      </c>
      <c r="M1671" t="str">
        <f t="shared" si="67"/>
        <v/>
      </c>
      <c r="N1671" t="s">
        <v>1952</v>
      </c>
    </row>
    <row r="1672" spans="1:14">
      <c r="A1672" s="1">
        <v>46068.006944444445</v>
      </c>
      <c r="B1672">
        <v>277935822</v>
      </c>
      <c r="C1672" s="2" t="s">
        <v>1953</v>
      </c>
      <c r="D1672" t="s">
        <v>15</v>
      </c>
      <c r="E1672" s="4">
        <v>100</v>
      </c>
      <c r="F1672" s="2">
        <v>100</v>
      </c>
      <c r="G1672" s="2">
        <v>70</v>
      </c>
      <c r="I1672" s="2" t="s">
        <v>64</v>
      </c>
      <c r="J1672" s="2" t="s">
        <v>65</v>
      </c>
      <c r="K1672" t="s">
        <v>18</v>
      </c>
      <c r="L1672" t="str">
        <f t="shared" si="68"/>
        <v>9791162589724</v>
      </c>
      <c r="M1672" t="str">
        <f t="shared" si="67"/>
        <v/>
      </c>
      <c r="N1672" t="s">
        <v>1954</v>
      </c>
    </row>
    <row r="1673" spans="1:14">
      <c r="A1673" s="1">
        <v>46068.006944444445</v>
      </c>
      <c r="B1673">
        <v>277935771</v>
      </c>
      <c r="C1673" s="2" t="s">
        <v>1955</v>
      </c>
      <c r="D1673" t="s">
        <v>15</v>
      </c>
      <c r="E1673" s="4">
        <v>100</v>
      </c>
      <c r="F1673" s="2">
        <v>100</v>
      </c>
      <c r="G1673" s="2">
        <v>70</v>
      </c>
      <c r="I1673" s="2" t="s">
        <v>64</v>
      </c>
      <c r="J1673" s="2" t="s">
        <v>65</v>
      </c>
      <c r="K1673" t="s">
        <v>18</v>
      </c>
      <c r="L1673" t="str">
        <f t="shared" si="68"/>
        <v>9791162589724</v>
      </c>
      <c r="M1673" t="str">
        <f t="shared" si="67"/>
        <v/>
      </c>
      <c r="N1673" t="s">
        <v>1956</v>
      </c>
    </row>
    <row r="1674" spans="1:14">
      <c r="A1674" s="1">
        <v>46068.007731481484</v>
      </c>
      <c r="B1674">
        <v>379527579</v>
      </c>
      <c r="C1674" s="2" t="s">
        <v>1957</v>
      </c>
      <c r="D1674" t="s">
        <v>15</v>
      </c>
      <c r="E1674" s="5">
        <v>1000</v>
      </c>
      <c r="F1674" s="3">
        <v>1000</v>
      </c>
      <c r="G1674" s="2">
        <v>700</v>
      </c>
      <c r="I1674" s="2" t="s">
        <v>1958</v>
      </c>
      <c r="J1674" s="2" t="s">
        <v>21</v>
      </c>
      <c r="K1674" t="s">
        <v>18</v>
      </c>
      <c r="L1674" t="str">
        <f>T("9791175581555")</f>
        <v>9791175581555</v>
      </c>
      <c r="M1674" t="str">
        <f t="shared" si="67"/>
        <v/>
      </c>
      <c r="N1674" t="s">
        <v>1959</v>
      </c>
    </row>
    <row r="1675" spans="1:14">
      <c r="A1675" s="1">
        <v>46068.0078587963</v>
      </c>
      <c r="B1675">
        <v>302552125</v>
      </c>
      <c r="C1675" s="2" t="s">
        <v>1960</v>
      </c>
      <c r="D1675" t="s">
        <v>15</v>
      </c>
      <c r="E1675" s="5">
        <v>1500</v>
      </c>
      <c r="F1675" s="3">
        <v>1500</v>
      </c>
      <c r="G1675" s="3">
        <v>1050</v>
      </c>
      <c r="I1675" s="2" t="s">
        <v>266</v>
      </c>
      <c r="J1675" s="2" t="s">
        <v>126</v>
      </c>
      <c r="K1675" t="s">
        <v>18</v>
      </c>
      <c r="L1675" t="str">
        <f>T("9791164977703")</f>
        <v>9791164977703</v>
      </c>
      <c r="M1675" t="str">
        <f t="shared" si="67"/>
        <v/>
      </c>
      <c r="N1675" t="s">
        <v>1961</v>
      </c>
    </row>
    <row r="1676" spans="1:14">
      <c r="A1676" s="1">
        <v>46068.010069444441</v>
      </c>
      <c r="B1676">
        <v>385782810</v>
      </c>
      <c r="C1676" s="2" t="s">
        <v>1167</v>
      </c>
      <c r="D1676" t="s">
        <v>15</v>
      </c>
      <c r="E1676" s="5">
        <v>2000</v>
      </c>
      <c r="F1676" s="3">
        <v>1800</v>
      </c>
      <c r="G1676" s="3">
        <v>1260</v>
      </c>
      <c r="I1676" s="2" t="s">
        <v>1141</v>
      </c>
      <c r="J1676" s="2" t="s">
        <v>184</v>
      </c>
      <c r="K1676" t="s">
        <v>18</v>
      </c>
      <c r="L1676" t="str">
        <f>T("9791170965671")</f>
        <v>9791170965671</v>
      </c>
      <c r="M1676" t="str">
        <f t="shared" si="67"/>
        <v/>
      </c>
      <c r="N1676" t="s">
        <v>1168</v>
      </c>
    </row>
    <row r="1677" spans="1:14">
      <c r="A1677" s="1">
        <v>46068.019965277781</v>
      </c>
      <c r="B1677">
        <v>229315688</v>
      </c>
      <c r="C1677" s="2" t="s">
        <v>1326</v>
      </c>
      <c r="D1677" t="s">
        <v>15</v>
      </c>
      <c r="E1677" s="5">
        <v>2400</v>
      </c>
      <c r="F1677" s="3">
        <v>2400</v>
      </c>
      <c r="G1677" s="3">
        <v>1680</v>
      </c>
      <c r="I1677" s="2" t="s">
        <v>852</v>
      </c>
      <c r="J1677" s="2" t="s">
        <v>197</v>
      </c>
      <c r="K1677" t="s">
        <v>18</v>
      </c>
      <c r="L1677" t="str">
        <f>T("9791164090976")</f>
        <v>9791164090976</v>
      </c>
      <c r="M1677" t="str">
        <f t="shared" si="67"/>
        <v/>
      </c>
    </row>
    <row r="1678" spans="1:14">
      <c r="A1678" s="1">
        <v>46068.030289351853</v>
      </c>
      <c r="B1678">
        <v>385347797</v>
      </c>
      <c r="C1678" s="2" t="s">
        <v>195</v>
      </c>
      <c r="D1678" t="s">
        <v>15</v>
      </c>
      <c r="E1678" s="4">
        <v>700</v>
      </c>
      <c r="F1678" s="2">
        <v>630</v>
      </c>
      <c r="G1678" s="2">
        <v>441</v>
      </c>
      <c r="I1678" s="2" t="s">
        <v>196</v>
      </c>
      <c r="J1678" s="2" t="s">
        <v>197</v>
      </c>
      <c r="K1678" t="s">
        <v>18</v>
      </c>
      <c r="L1678" t="str">
        <f>T("9791172821937")</f>
        <v>9791172821937</v>
      </c>
      <c r="M1678" t="str">
        <f t="shared" si="67"/>
        <v/>
      </c>
      <c r="N1678" t="s">
        <v>198</v>
      </c>
    </row>
    <row r="1679" spans="1:14">
      <c r="A1679" s="1">
        <v>46068.034351851849</v>
      </c>
      <c r="B1679">
        <v>318768787</v>
      </c>
      <c r="C1679" s="2" t="s">
        <v>1962</v>
      </c>
      <c r="D1679" t="s">
        <v>15</v>
      </c>
      <c r="E1679" s="5">
        <v>1000</v>
      </c>
      <c r="F1679" s="3">
        <v>1000</v>
      </c>
      <c r="G1679" s="2">
        <v>700</v>
      </c>
      <c r="I1679" s="2" t="s">
        <v>1963</v>
      </c>
      <c r="J1679" s="2" t="s">
        <v>177</v>
      </c>
      <c r="K1679" t="s">
        <v>18</v>
      </c>
      <c r="L1679" t="str">
        <f>T("9791164799350")</f>
        <v>9791164799350</v>
      </c>
      <c r="M1679" t="str">
        <f t="shared" ref="M1679:M1699" si="69">T("")</f>
        <v/>
      </c>
      <c r="N1679" t="s">
        <v>1964</v>
      </c>
    </row>
    <row r="1680" spans="1:14">
      <c r="A1680" s="1">
        <v>46068.040648148148</v>
      </c>
      <c r="B1680">
        <v>327615040</v>
      </c>
      <c r="C1680" s="2" t="s">
        <v>1798</v>
      </c>
      <c r="D1680" t="s">
        <v>15</v>
      </c>
      <c r="E1680" s="4">
        <v>0</v>
      </c>
      <c r="F1680" s="2">
        <v>0</v>
      </c>
      <c r="G1680" s="2">
        <v>0</v>
      </c>
      <c r="I1680" s="2" t="s">
        <v>1682</v>
      </c>
      <c r="J1680" s="2" t="s">
        <v>197</v>
      </c>
      <c r="K1680" t="s">
        <v>18</v>
      </c>
      <c r="L1680" t="str">
        <f>T("9791164097678")</f>
        <v>9791164097678</v>
      </c>
      <c r="M1680" t="str">
        <f t="shared" si="69"/>
        <v/>
      </c>
      <c r="N1680" t="s">
        <v>1799</v>
      </c>
    </row>
    <row r="1681" spans="1:14">
      <c r="A1681" s="1">
        <v>46068.041435185187</v>
      </c>
      <c r="B1681">
        <v>276483565</v>
      </c>
      <c r="C1681" s="2" t="s">
        <v>1864</v>
      </c>
      <c r="D1681" t="s">
        <v>15</v>
      </c>
      <c r="E1681" s="4">
        <v>0</v>
      </c>
      <c r="F1681" s="2">
        <v>0</v>
      </c>
      <c r="G1681" s="2">
        <v>0</v>
      </c>
      <c r="I1681" s="2" t="s">
        <v>1610</v>
      </c>
      <c r="J1681" s="2" t="s">
        <v>197</v>
      </c>
      <c r="K1681" t="s">
        <v>18</v>
      </c>
      <c r="L1681" t="str">
        <f>T("9791164095322")</f>
        <v>9791164095322</v>
      </c>
      <c r="M1681" t="str">
        <f t="shared" si="69"/>
        <v/>
      </c>
      <c r="N1681" t="s">
        <v>1865</v>
      </c>
    </row>
    <row r="1682" spans="1:14">
      <c r="A1682" s="1">
        <v>46068.041550925926</v>
      </c>
      <c r="B1682">
        <v>277935523</v>
      </c>
      <c r="C1682" s="2" t="s">
        <v>1965</v>
      </c>
      <c r="D1682" t="s">
        <v>15</v>
      </c>
      <c r="E1682" s="4">
        <v>100</v>
      </c>
      <c r="F1682" s="2">
        <v>100</v>
      </c>
      <c r="G1682" s="2">
        <v>70</v>
      </c>
      <c r="I1682" s="2" t="s">
        <v>64</v>
      </c>
      <c r="J1682" s="2" t="s">
        <v>65</v>
      </c>
      <c r="K1682" t="s">
        <v>18</v>
      </c>
      <c r="L1682" t="str">
        <f>T("9791162589724")</f>
        <v>9791162589724</v>
      </c>
      <c r="M1682" t="str">
        <f t="shared" si="69"/>
        <v/>
      </c>
      <c r="N1682" t="s">
        <v>1966</v>
      </c>
    </row>
    <row r="1683" spans="1:14">
      <c r="A1683" s="1">
        <v>46068.041550925926</v>
      </c>
      <c r="B1683">
        <v>277935525</v>
      </c>
      <c r="C1683" s="2" t="s">
        <v>1967</v>
      </c>
      <c r="D1683" t="s">
        <v>15</v>
      </c>
      <c r="E1683" s="4">
        <v>100</v>
      </c>
      <c r="F1683" s="2">
        <v>100</v>
      </c>
      <c r="G1683" s="2">
        <v>70</v>
      </c>
      <c r="I1683" s="2" t="s">
        <v>64</v>
      </c>
      <c r="J1683" s="2" t="s">
        <v>65</v>
      </c>
      <c r="K1683" t="s">
        <v>18</v>
      </c>
      <c r="L1683" t="str">
        <f>T("9791162589724")</f>
        <v>9791162589724</v>
      </c>
      <c r="M1683" t="str">
        <f t="shared" si="69"/>
        <v/>
      </c>
      <c r="N1683" t="s">
        <v>1968</v>
      </c>
    </row>
    <row r="1684" spans="1:14">
      <c r="A1684" s="1">
        <v>46068.041550925926</v>
      </c>
      <c r="B1684">
        <v>277935710</v>
      </c>
      <c r="C1684" s="2" t="s">
        <v>1969</v>
      </c>
      <c r="D1684" t="s">
        <v>15</v>
      </c>
      <c r="E1684" s="4">
        <v>100</v>
      </c>
      <c r="F1684" s="2">
        <v>100</v>
      </c>
      <c r="G1684" s="2">
        <v>70</v>
      </c>
      <c r="I1684" s="2" t="s">
        <v>64</v>
      </c>
      <c r="J1684" s="2" t="s">
        <v>65</v>
      </c>
      <c r="K1684" t="s">
        <v>18</v>
      </c>
      <c r="L1684" t="str">
        <f>T("9791162589724")</f>
        <v>9791162589724</v>
      </c>
      <c r="M1684" t="str">
        <f t="shared" si="69"/>
        <v/>
      </c>
      <c r="N1684" t="s">
        <v>1970</v>
      </c>
    </row>
    <row r="1685" spans="1:14">
      <c r="A1685" s="1">
        <v>46068.041550925926</v>
      </c>
      <c r="B1685">
        <v>277935803</v>
      </c>
      <c r="C1685" s="2" t="s">
        <v>1971</v>
      </c>
      <c r="D1685" t="s">
        <v>15</v>
      </c>
      <c r="E1685" s="4">
        <v>100</v>
      </c>
      <c r="F1685" s="2">
        <v>100</v>
      </c>
      <c r="G1685" s="2">
        <v>70</v>
      </c>
      <c r="I1685" s="2" t="s">
        <v>64</v>
      </c>
      <c r="J1685" s="2" t="s">
        <v>65</v>
      </c>
      <c r="K1685" t="s">
        <v>18</v>
      </c>
      <c r="L1685" t="str">
        <f>T("9791162589724")</f>
        <v>9791162589724</v>
      </c>
      <c r="M1685" t="str">
        <f t="shared" si="69"/>
        <v/>
      </c>
      <c r="N1685" t="s">
        <v>1972</v>
      </c>
    </row>
    <row r="1686" spans="1:14">
      <c r="A1686" s="1">
        <v>46068.041550925926</v>
      </c>
      <c r="B1686">
        <v>277935752</v>
      </c>
      <c r="C1686" s="2" t="s">
        <v>1973</v>
      </c>
      <c r="D1686" t="s">
        <v>15</v>
      </c>
      <c r="E1686" s="4">
        <v>100</v>
      </c>
      <c r="F1686" s="2">
        <v>100</v>
      </c>
      <c r="G1686" s="2">
        <v>70</v>
      </c>
      <c r="I1686" s="2" t="s">
        <v>64</v>
      </c>
      <c r="J1686" s="2" t="s">
        <v>65</v>
      </c>
      <c r="K1686" t="s">
        <v>18</v>
      </c>
      <c r="L1686" t="str">
        <f>T("9791162589724")</f>
        <v>9791162589724</v>
      </c>
      <c r="M1686" t="str">
        <f t="shared" si="69"/>
        <v/>
      </c>
      <c r="N1686" t="s">
        <v>1974</v>
      </c>
    </row>
    <row r="1687" spans="1:14">
      <c r="A1687" s="1">
        <v>46068.047546296293</v>
      </c>
      <c r="B1687">
        <v>257484947</v>
      </c>
      <c r="C1687" s="2" t="s">
        <v>1771</v>
      </c>
      <c r="D1687" t="s">
        <v>15</v>
      </c>
      <c r="E1687" s="4">
        <v>0</v>
      </c>
      <c r="F1687" s="2">
        <v>0</v>
      </c>
      <c r="G1687" s="2">
        <v>0</v>
      </c>
      <c r="I1687" s="2" t="s">
        <v>1772</v>
      </c>
      <c r="J1687" s="2" t="s">
        <v>197</v>
      </c>
      <c r="K1687" t="s">
        <v>18</v>
      </c>
      <c r="L1687" t="str">
        <f>T("9791164093090")</f>
        <v>9791164093090</v>
      </c>
      <c r="M1687" t="str">
        <f t="shared" si="69"/>
        <v/>
      </c>
      <c r="N1687" t="s">
        <v>1773</v>
      </c>
    </row>
    <row r="1688" spans="1:14">
      <c r="A1688" s="1">
        <v>46068.048078703701</v>
      </c>
      <c r="B1688">
        <v>362204418</v>
      </c>
      <c r="C1688" s="2" t="s">
        <v>1975</v>
      </c>
      <c r="D1688" t="s">
        <v>15</v>
      </c>
      <c r="E1688" s="5">
        <v>2500</v>
      </c>
      <c r="F1688" s="3">
        <v>2500</v>
      </c>
      <c r="G1688" s="3">
        <v>1750</v>
      </c>
      <c r="I1688" s="2" t="s">
        <v>1976</v>
      </c>
      <c r="J1688" s="2" t="s">
        <v>308</v>
      </c>
      <c r="K1688" t="s">
        <v>18</v>
      </c>
      <c r="L1688" t="str">
        <f>T("9791194726265")</f>
        <v>9791194726265</v>
      </c>
      <c r="M1688" t="str">
        <f t="shared" si="69"/>
        <v/>
      </c>
      <c r="N1688" t="s">
        <v>1977</v>
      </c>
    </row>
    <row r="1689" spans="1:14">
      <c r="A1689" s="1">
        <v>46068.06045138889</v>
      </c>
      <c r="B1689">
        <v>291834043</v>
      </c>
      <c r="C1689" s="2" t="s">
        <v>734</v>
      </c>
      <c r="D1689" t="s">
        <v>15</v>
      </c>
      <c r="E1689" s="4">
        <v>100</v>
      </c>
      <c r="F1689" s="2">
        <v>100</v>
      </c>
      <c r="G1689" s="2">
        <v>70</v>
      </c>
      <c r="I1689" s="2" t="s">
        <v>64</v>
      </c>
      <c r="J1689" s="2" t="s">
        <v>65</v>
      </c>
      <c r="K1689" t="s">
        <v>18</v>
      </c>
      <c r="L1689" t="str">
        <f>T("9791162589724")</f>
        <v>9791162589724</v>
      </c>
      <c r="M1689" t="str">
        <f t="shared" si="69"/>
        <v/>
      </c>
      <c r="N1689" t="s">
        <v>735</v>
      </c>
    </row>
    <row r="1690" spans="1:14">
      <c r="A1690" s="1">
        <v>46068.061342592591</v>
      </c>
      <c r="B1690">
        <v>328759043</v>
      </c>
      <c r="C1690" s="2" t="s">
        <v>1537</v>
      </c>
      <c r="D1690" t="s">
        <v>68</v>
      </c>
      <c r="E1690" s="4">
        <v>840</v>
      </c>
      <c r="F1690" s="2">
        <v>840</v>
      </c>
      <c r="G1690" s="2">
        <v>588</v>
      </c>
      <c r="I1690" s="2" t="s">
        <v>852</v>
      </c>
      <c r="J1690" s="2" t="s">
        <v>197</v>
      </c>
      <c r="K1690" t="s">
        <v>18</v>
      </c>
      <c r="L1690" t="str">
        <f>T("9791164099269")</f>
        <v>9791164099269</v>
      </c>
      <c r="M1690" t="str">
        <f t="shared" si="69"/>
        <v/>
      </c>
    </row>
    <row r="1691" spans="1:14">
      <c r="A1691" s="1">
        <v>46068.074629629627</v>
      </c>
      <c r="B1691">
        <v>303466892</v>
      </c>
      <c r="C1691" s="2" t="s">
        <v>758</v>
      </c>
      <c r="D1691" t="s">
        <v>15</v>
      </c>
      <c r="E1691" s="5">
        <v>3000</v>
      </c>
      <c r="F1691" s="3">
        <v>2700</v>
      </c>
      <c r="G1691" s="3">
        <v>1890</v>
      </c>
      <c r="I1691" s="2" t="s">
        <v>187</v>
      </c>
      <c r="J1691" s="2" t="s">
        <v>188</v>
      </c>
      <c r="K1691" t="s">
        <v>18</v>
      </c>
      <c r="L1691" t="str">
        <f>T("9791164833573")</f>
        <v>9791164833573</v>
      </c>
      <c r="M1691" t="str">
        <f t="shared" si="69"/>
        <v/>
      </c>
      <c r="N1691" t="s">
        <v>759</v>
      </c>
    </row>
    <row r="1692" spans="1:14">
      <c r="A1692" s="1">
        <v>46068.096574074072</v>
      </c>
      <c r="B1692">
        <v>366699561</v>
      </c>
      <c r="C1692" s="2" t="s">
        <v>156</v>
      </c>
      <c r="D1692" t="s">
        <v>15</v>
      </c>
      <c r="E1692" s="5">
        <v>1100</v>
      </c>
      <c r="F1692" s="3">
        <v>1100</v>
      </c>
      <c r="G1692" s="2">
        <v>770</v>
      </c>
      <c r="I1692" s="2" t="s">
        <v>148</v>
      </c>
      <c r="J1692" s="2" t="s">
        <v>21</v>
      </c>
      <c r="K1692" t="s">
        <v>18</v>
      </c>
      <c r="L1692" t="str">
        <f>T("9791173015137")</f>
        <v>9791173015137</v>
      </c>
      <c r="M1692" t="str">
        <f t="shared" si="69"/>
        <v/>
      </c>
      <c r="N1692" t="s">
        <v>157</v>
      </c>
    </row>
    <row r="1693" spans="1:14">
      <c r="A1693" s="1">
        <v>46068.112361111111</v>
      </c>
      <c r="B1693">
        <v>341723882</v>
      </c>
      <c r="C1693" s="2" t="s">
        <v>270</v>
      </c>
      <c r="D1693" t="s">
        <v>15</v>
      </c>
      <c r="E1693" s="5">
        <v>2500</v>
      </c>
      <c r="F1693" s="3">
        <v>2500</v>
      </c>
      <c r="G1693" s="3">
        <v>1750</v>
      </c>
      <c r="I1693" s="2" t="s">
        <v>89</v>
      </c>
      <c r="J1693" s="2" t="s">
        <v>200</v>
      </c>
      <c r="K1693" t="s">
        <v>18</v>
      </c>
      <c r="L1693" t="str">
        <f>T("9791170896630")</f>
        <v>9791170896630</v>
      </c>
      <c r="M1693" t="str">
        <f t="shared" si="69"/>
        <v/>
      </c>
      <c r="N1693" t="s">
        <v>271</v>
      </c>
    </row>
    <row r="1694" spans="1:14">
      <c r="A1694" s="1">
        <v>46068.113703703704</v>
      </c>
      <c r="B1694">
        <v>360694024</v>
      </c>
      <c r="C1694" s="2" t="s">
        <v>1210</v>
      </c>
      <c r="D1694" t="s">
        <v>15</v>
      </c>
      <c r="E1694" s="5">
        <v>1000</v>
      </c>
      <c r="F1694" s="3">
        <v>1000</v>
      </c>
      <c r="G1694" s="2">
        <v>700</v>
      </c>
      <c r="I1694" s="2" t="s">
        <v>148</v>
      </c>
      <c r="J1694" s="2" t="s">
        <v>21</v>
      </c>
      <c r="K1694" t="s">
        <v>18</v>
      </c>
      <c r="L1694" t="str">
        <f>T("9791173013133")</f>
        <v>9791173013133</v>
      </c>
      <c r="M1694" t="str">
        <f t="shared" si="69"/>
        <v/>
      </c>
      <c r="N1694" t="s">
        <v>1211</v>
      </c>
    </row>
    <row r="1695" spans="1:14">
      <c r="A1695" s="1">
        <v>46068.14298611111</v>
      </c>
      <c r="B1695">
        <v>297670495</v>
      </c>
      <c r="C1695" s="2" t="s">
        <v>265</v>
      </c>
      <c r="D1695" t="s">
        <v>15</v>
      </c>
      <c r="E1695" s="5">
        <v>4000</v>
      </c>
      <c r="F1695" s="3">
        <v>4000</v>
      </c>
      <c r="G1695" s="3">
        <v>2800</v>
      </c>
      <c r="I1695" s="2" t="s">
        <v>266</v>
      </c>
      <c r="J1695" s="2" t="s">
        <v>126</v>
      </c>
      <c r="K1695" t="s">
        <v>18</v>
      </c>
      <c r="L1695" t="str">
        <f>T("9791164977215")</f>
        <v>9791164977215</v>
      </c>
      <c r="M1695" t="str">
        <f t="shared" si="69"/>
        <v/>
      </c>
      <c r="N1695" t="s">
        <v>267</v>
      </c>
    </row>
    <row r="1696" spans="1:14">
      <c r="A1696" s="1">
        <v>46068.14912037037</v>
      </c>
      <c r="B1696">
        <v>374549999</v>
      </c>
      <c r="C1696" s="2" t="s">
        <v>1978</v>
      </c>
      <c r="D1696" t="s">
        <v>15</v>
      </c>
      <c r="E1696" s="5">
        <v>1000</v>
      </c>
      <c r="F1696" s="3">
        <v>1000</v>
      </c>
      <c r="G1696" s="2">
        <v>700</v>
      </c>
      <c r="I1696" s="2" t="s">
        <v>446</v>
      </c>
      <c r="J1696" s="2" t="s">
        <v>21</v>
      </c>
      <c r="K1696" t="s">
        <v>18</v>
      </c>
      <c r="L1696" t="str">
        <f>T("9791173019722")</f>
        <v>9791173019722</v>
      </c>
      <c r="M1696" t="str">
        <f t="shared" si="69"/>
        <v/>
      </c>
      <c r="N1696" t="s">
        <v>1979</v>
      </c>
    </row>
    <row r="1697" spans="1:14">
      <c r="A1697" s="1">
        <v>46068.153865740744</v>
      </c>
      <c r="B1697">
        <v>386008658</v>
      </c>
      <c r="C1697" s="2" t="s">
        <v>1429</v>
      </c>
      <c r="D1697" t="s">
        <v>15</v>
      </c>
      <c r="E1697" s="5">
        <v>1100</v>
      </c>
      <c r="F1697" s="3">
        <v>1100</v>
      </c>
      <c r="G1697" s="2">
        <v>770</v>
      </c>
      <c r="I1697" s="2" t="s">
        <v>148</v>
      </c>
      <c r="J1697" s="2" t="s">
        <v>21</v>
      </c>
      <c r="K1697" t="s">
        <v>18</v>
      </c>
      <c r="L1697" t="str">
        <f>T("9791175582873")</f>
        <v>9791175582873</v>
      </c>
      <c r="M1697" t="str">
        <f t="shared" si="69"/>
        <v/>
      </c>
      <c r="N1697" t="s">
        <v>1430</v>
      </c>
    </row>
    <row r="1698" spans="1:14">
      <c r="A1698" s="1">
        <v>46068.177060185182</v>
      </c>
      <c r="B1698">
        <v>380789530</v>
      </c>
      <c r="C1698" s="2" t="s">
        <v>1854</v>
      </c>
      <c r="D1698" t="s">
        <v>68</v>
      </c>
      <c r="E1698" s="5">
        <v>4640</v>
      </c>
      <c r="F1698" s="3">
        <v>4640</v>
      </c>
      <c r="G1698" s="3">
        <v>3248</v>
      </c>
      <c r="I1698" s="2" t="s">
        <v>1098</v>
      </c>
      <c r="J1698" s="2" t="s">
        <v>126</v>
      </c>
      <c r="K1698" t="s">
        <v>18</v>
      </c>
      <c r="L1698" t="str">
        <f>T("9791171502462")</f>
        <v>9791171502462</v>
      </c>
      <c r="M1698" t="str">
        <f t="shared" si="69"/>
        <v/>
      </c>
    </row>
    <row r="1699" spans="1:14">
      <c r="A1699" s="1">
        <v>46068.225266203706</v>
      </c>
      <c r="B1699">
        <v>223268465</v>
      </c>
      <c r="C1699" s="2" t="s">
        <v>1859</v>
      </c>
      <c r="D1699" t="s">
        <v>68</v>
      </c>
      <c r="E1699" s="5">
        <v>1200</v>
      </c>
      <c r="F1699" s="3">
        <v>1200</v>
      </c>
      <c r="G1699" s="2">
        <v>840</v>
      </c>
      <c r="I1699" s="2" t="s">
        <v>852</v>
      </c>
      <c r="J1699" s="2" t="s">
        <v>197</v>
      </c>
      <c r="K1699" t="s">
        <v>18</v>
      </c>
      <c r="L1699" t="str">
        <f>T("9791164090822")</f>
        <v>9791164090822</v>
      </c>
      <c r="M1699" t="str">
        <f t="shared" si="69"/>
        <v/>
      </c>
    </row>
    <row r="1700" spans="1:14">
      <c r="A1700" s="1">
        <v>46068.231585648151</v>
      </c>
      <c r="B1700">
        <v>385852478</v>
      </c>
      <c r="C1700" s="2" t="s">
        <v>1228</v>
      </c>
      <c r="D1700" t="s">
        <v>68</v>
      </c>
      <c r="E1700" s="4">
        <v>0</v>
      </c>
      <c r="F1700" s="2">
        <v>0</v>
      </c>
      <c r="G1700" s="2">
        <v>0</v>
      </c>
      <c r="I1700" s="2" t="s">
        <v>1229</v>
      </c>
      <c r="J1700" s="2" t="s">
        <v>960</v>
      </c>
      <c r="K1700" t="s">
        <v>18</v>
      </c>
      <c r="L1700" t="str">
        <f t="shared" ref="L1700:L1710" si="70">T("")</f>
        <v/>
      </c>
      <c r="M1700" t="str">
        <f>T("G720:N+A378-20260112081.M001")</f>
        <v>G720:N+A378-20260112081.M001</v>
      </c>
      <c r="N1700" t="s">
        <v>1230</v>
      </c>
    </row>
    <row r="1701" spans="1:14">
      <c r="A1701" s="1">
        <v>46068.231585648151</v>
      </c>
      <c r="B1701">
        <v>385852479</v>
      </c>
      <c r="C1701" s="2" t="s">
        <v>1333</v>
      </c>
      <c r="D1701" t="s">
        <v>68</v>
      </c>
      <c r="E1701" s="4">
        <v>900</v>
      </c>
      <c r="F1701" s="2">
        <v>900</v>
      </c>
      <c r="G1701" s="2">
        <v>630</v>
      </c>
      <c r="I1701" s="2" t="s">
        <v>1229</v>
      </c>
      <c r="J1701" s="2" t="s">
        <v>960</v>
      </c>
      <c r="K1701" t="s">
        <v>18</v>
      </c>
      <c r="L1701" t="str">
        <f t="shared" si="70"/>
        <v/>
      </c>
      <c r="M1701" t="str">
        <f>T("G720:N+A378-20260112081.M007")</f>
        <v>G720:N+A378-20260112081.M007</v>
      </c>
      <c r="N1701" t="s">
        <v>1334</v>
      </c>
    </row>
    <row r="1702" spans="1:14">
      <c r="A1702" s="1">
        <v>46068.231585648151</v>
      </c>
      <c r="B1702">
        <v>385852480</v>
      </c>
      <c r="C1702" s="2" t="s">
        <v>1337</v>
      </c>
      <c r="D1702" t="s">
        <v>68</v>
      </c>
      <c r="E1702" s="4">
        <v>900</v>
      </c>
      <c r="F1702" s="2">
        <v>900</v>
      </c>
      <c r="G1702" s="2">
        <v>630</v>
      </c>
      <c r="I1702" s="2" t="s">
        <v>1229</v>
      </c>
      <c r="J1702" s="2" t="s">
        <v>960</v>
      </c>
      <c r="K1702" t="s">
        <v>18</v>
      </c>
      <c r="L1702" t="str">
        <f t="shared" si="70"/>
        <v/>
      </c>
      <c r="M1702" t="str">
        <f>T("G720:N+A378-20260112081.M003")</f>
        <v>G720:N+A378-20260112081.M003</v>
      </c>
      <c r="N1702" t="s">
        <v>1338</v>
      </c>
    </row>
    <row r="1703" spans="1:14">
      <c r="A1703" s="1">
        <v>46068.231585648151</v>
      </c>
      <c r="B1703">
        <v>385852482</v>
      </c>
      <c r="C1703" s="2" t="s">
        <v>1335</v>
      </c>
      <c r="D1703" t="s">
        <v>68</v>
      </c>
      <c r="E1703" s="4">
        <v>900</v>
      </c>
      <c r="F1703" s="2">
        <v>900</v>
      </c>
      <c r="G1703" s="2">
        <v>630</v>
      </c>
      <c r="I1703" s="2" t="s">
        <v>1229</v>
      </c>
      <c r="J1703" s="2" t="s">
        <v>960</v>
      </c>
      <c r="K1703" t="s">
        <v>18</v>
      </c>
      <c r="L1703" t="str">
        <f t="shared" si="70"/>
        <v/>
      </c>
      <c r="M1703" t="str">
        <f>T("G720:N+A378-20260112081.M009")</f>
        <v>G720:N+A378-20260112081.M009</v>
      </c>
      <c r="N1703" t="s">
        <v>1336</v>
      </c>
    </row>
    <row r="1704" spans="1:14">
      <c r="A1704" s="1">
        <v>46068.231585648151</v>
      </c>
      <c r="B1704">
        <v>385852492</v>
      </c>
      <c r="C1704" s="2" t="s">
        <v>1339</v>
      </c>
      <c r="D1704" t="s">
        <v>68</v>
      </c>
      <c r="E1704" s="4">
        <v>900</v>
      </c>
      <c r="F1704" s="2">
        <v>900</v>
      </c>
      <c r="G1704" s="2">
        <v>630</v>
      </c>
      <c r="I1704" s="2" t="s">
        <v>1229</v>
      </c>
      <c r="J1704" s="2" t="s">
        <v>960</v>
      </c>
      <c r="K1704" t="s">
        <v>18</v>
      </c>
      <c r="L1704" t="str">
        <f t="shared" si="70"/>
        <v/>
      </c>
      <c r="M1704" t="str">
        <f>T("G720:N+A378-20260112081.M005")</f>
        <v>G720:N+A378-20260112081.M005</v>
      </c>
      <c r="N1704" t="s">
        <v>1340</v>
      </c>
    </row>
    <row r="1705" spans="1:14">
      <c r="A1705" s="1">
        <v>46068.231585648151</v>
      </c>
      <c r="B1705">
        <v>385852496</v>
      </c>
      <c r="C1705" s="2" t="s">
        <v>1341</v>
      </c>
      <c r="D1705" t="s">
        <v>68</v>
      </c>
      <c r="E1705" s="4">
        <v>900</v>
      </c>
      <c r="F1705" s="2">
        <v>900</v>
      </c>
      <c r="G1705" s="2">
        <v>630</v>
      </c>
      <c r="I1705" s="2" t="s">
        <v>1229</v>
      </c>
      <c r="J1705" s="2" t="s">
        <v>960</v>
      </c>
      <c r="K1705" t="s">
        <v>18</v>
      </c>
      <c r="L1705" t="str">
        <f t="shared" si="70"/>
        <v/>
      </c>
      <c r="M1705" t="str">
        <f>T("G720:N+A378-20260112081.M010")</f>
        <v>G720:N+A378-20260112081.M010</v>
      </c>
      <c r="N1705" t="s">
        <v>1342</v>
      </c>
    </row>
    <row r="1706" spans="1:14">
      <c r="A1706" s="1">
        <v>46068.231585648151</v>
      </c>
      <c r="B1706">
        <v>385852498</v>
      </c>
      <c r="C1706" s="2" t="s">
        <v>1343</v>
      </c>
      <c r="D1706" t="s">
        <v>68</v>
      </c>
      <c r="E1706" s="4">
        <v>900</v>
      </c>
      <c r="F1706" s="2">
        <v>900</v>
      </c>
      <c r="G1706" s="2">
        <v>630</v>
      </c>
      <c r="I1706" s="2" t="s">
        <v>1229</v>
      </c>
      <c r="J1706" s="2" t="s">
        <v>960</v>
      </c>
      <c r="K1706" t="s">
        <v>18</v>
      </c>
      <c r="L1706" t="str">
        <f t="shared" si="70"/>
        <v/>
      </c>
      <c r="M1706" t="str">
        <f>T("G720:N+A378-20260112081.M004")</f>
        <v>G720:N+A378-20260112081.M004</v>
      </c>
      <c r="N1706" t="s">
        <v>1344</v>
      </c>
    </row>
    <row r="1707" spans="1:14">
      <c r="A1707" s="1">
        <v>46068.231585648151</v>
      </c>
      <c r="B1707">
        <v>385852499</v>
      </c>
      <c r="C1707" s="2" t="s">
        <v>1345</v>
      </c>
      <c r="D1707" t="s">
        <v>68</v>
      </c>
      <c r="E1707" s="4">
        <v>900</v>
      </c>
      <c r="F1707" s="2">
        <v>900</v>
      </c>
      <c r="G1707" s="2">
        <v>630</v>
      </c>
      <c r="I1707" s="2" t="s">
        <v>1229</v>
      </c>
      <c r="J1707" s="2" t="s">
        <v>960</v>
      </c>
      <c r="K1707" t="s">
        <v>18</v>
      </c>
      <c r="L1707" t="str">
        <f t="shared" si="70"/>
        <v/>
      </c>
      <c r="M1707" t="str">
        <f>T("G720:N+A378-20260112081.M008")</f>
        <v>G720:N+A378-20260112081.M008</v>
      </c>
      <c r="N1707" t="s">
        <v>1346</v>
      </c>
    </row>
    <row r="1708" spans="1:14">
      <c r="A1708" s="1">
        <v>46068.231585648151</v>
      </c>
      <c r="B1708">
        <v>385852504</v>
      </c>
      <c r="C1708" s="2" t="s">
        <v>1331</v>
      </c>
      <c r="D1708" t="s">
        <v>68</v>
      </c>
      <c r="E1708" s="4">
        <v>900</v>
      </c>
      <c r="F1708" s="2">
        <v>900</v>
      </c>
      <c r="G1708" s="2">
        <v>630</v>
      </c>
      <c r="I1708" s="2" t="s">
        <v>1229</v>
      </c>
      <c r="J1708" s="2" t="s">
        <v>960</v>
      </c>
      <c r="K1708" t="s">
        <v>18</v>
      </c>
      <c r="L1708" t="str">
        <f t="shared" si="70"/>
        <v/>
      </c>
      <c r="M1708" t="str">
        <f>T("G720:N+A378-20260112081.M011")</f>
        <v>G720:N+A378-20260112081.M011</v>
      </c>
      <c r="N1708" t="s">
        <v>1332</v>
      </c>
    </row>
    <row r="1709" spans="1:14">
      <c r="A1709" s="1">
        <v>46068.231585648151</v>
      </c>
      <c r="B1709">
        <v>385852476</v>
      </c>
      <c r="C1709" s="2" t="s">
        <v>1327</v>
      </c>
      <c r="D1709" t="s">
        <v>68</v>
      </c>
      <c r="E1709" s="4">
        <v>900</v>
      </c>
      <c r="F1709" s="2">
        <v>900</v>
      </c>
      <c r="G1709" s="2">
        <v>630</v>
      </c>
      <c r="I1709" s="2" t="s">
        <v>1229</v>
      </c>
      <c r="J1709" s="2" t="s">
        <v>960</v>
      </c>
      <c r="K1709" t="s">
        <v>18</v>
      </c>
      <c r="L1709" t="str">
        <f t="shared" si="70"/>
        <v/>
      </c>
      <c r="M1709" t="str">
        <f>T("G720:N+A378-20260112081.M006")</f>
        <v>G720:N+A378-20260112081.M006</v>
      </c>
      <c r="N1709" t="s">
        <v>1328</v>
      </c>
    </row>
    <row r="1710" spans="1:14">
      <c r="A1710" s="1">
        <v>46068.231585648151</v>
      </c>
      <c r="B1710">
        <v>385852477</v>
      </c>
      <c r="C1710" s="2" t="s">
        <v>1329</v>
      </c>
      <c r="D1710" t="s">
        <v>68</v>
      </c>
      <c r="E1710" s="4">
        <v>900</v>
      </c>
      <c r="F1710" s="2">
        <v>900</v>
      </c>
      <c r="G1710" s="2">
        <v>630</v>
      </c>
      <c r="I1710" s="2" t="s">
        <v>1229</v>
      </c>
      <c r="J1710" s="2" t="s">
        <v>960</v>
      </c>
      <c r="K1710" t="s">
        <v>18</v>
      </c>
      <c r="L1710" t="str">
        <f t="shared" si="70"/>
        <v/>
      </c>
      <c r="M1710" t="str">
        <f>T("G720:N+A378-20260112081.M002")</f>
        <v>G720:N+A378-20260112081.M002</v>
      </c>
      <c r="N1710" t="s">
        <v>1330</v>
      </c>
    </row>
    <row r="1711" spans="1:14">
      <c r="A1711" s="1">
        <v>46068.313692129632</v>
      </c>
      <c r="B1711">
        <v>220680108</v>
      </c>
      <c r="C1711" s="2" t="s">
        <v>1857</v>
      </c>
      <c r="D1711" t="s">
        <v>15</v>
      </c>
      <c r="E1711" s="5">
        <v>2200</v>
      </c>
      <c r="F1711" s="3">
        <v>2200</v>
      </c>
      <c r="G1711" s="3">
        <v>1540</v>
      </c>
      <c r="I1711" s="2" t="s">
        <v>1858</v>
      </c>
      <c r="J1711" s="2" t="s">
        <v>188</v>
      </c>
      <c r="K1711" t="s">
        <v>18</v>
      </c>
      <c r="L1711" t="str">
        <f>T("9791164830848")</f>
        <v>9791164830848</v>
      </c>
      <c r="M1711" t="str">
        <f>T("")</f>
        <v/>
      </c>
    </row>
    <row r="1712" spans="1:14">
      <c r="A1712" s="1">
        <v>46068.315254629626</v>
      </c>
      <c r="B1712">
        <v>385408887</v>
      </c>
      <c r="C1712" s="2" t="s">
        <v>756</v>
      </c>
      <c r="D1712" t="s">
        <v>15</v>
      </c>
      <c r="E1712" s="4">
        <v>300</v>
      </c>
      <c r="F1712" s="2">
        <v>300</v>
      </c>
      <c r="G1712" s="2">
        <v>210</v>
      </c>
      <c r="I1712" s="2" t="s">
        <v>211</v>
      </c>
      <c r="J1712" s="2" t="s">
        <v>21</v>
      </c>
      <c r="K1712" t="s">
        <v>18</v>
      </c>
      <c r="L1712" t="str">
        <f>T("")</f>
        <v/>
      </c>
      <c r="M1712" t="str">
        <f>T("G720:N+A311-20251217050.M006")</f>
        <v>G720:N+A311-20251217050.M006</v>
      </c>
      <c r="N1712" t="s">
        <v>757</v>
      </c>
    </row>
    <row r="1713" spans="1:14">
      <c r="A1713" s="1">
        <v>46068.319849537038</v>
      </c>
      <c r="B1713">
        <v>385517694</v>
      </c>
      <c r="C1713" s="2" t="s">
        <v>898</v>
      </c>
      <c r="D1713" t="s">
        <v>15</v>
      </c>
      <c r="E1713" s="4">
        <v>300</v>
      </c>
      <c r="F1713" s="2">
        <v>300</v>
      </c>
      <c r="G1713" s="2">
        <v>210</v>
      </c>
      <c r="I1713" s="2" t="s">
        <v>211</v>
      </c>
      <c r="J1713" s="2" t="s">
        <v>21</v>
      </c>
      <c r="K1713" t="s">
        <v>18</v>
      </c>
      <c r="L1713" t="str">
        <f>T("")</f>
        <v/>
      </c>
      <c r="M1713" t="str">
        <f>T("G720:N+A311-20251217050.M007")</f>
        <v>G720:N+A311-20251217050.M007</v>
      </c>
      <c r="N1713" t="s">
        <v>899</v>
      </c>
    </row>
    <row r="1714" spans="1:14">
      <c r="A1714" s="1">
        <v>46068.323599537034</v>
      </c>
      <c r="B1714">
        <v>294075245</v>
      </c>
      <c r="C1714" s="2" t="s">
        <v>1271</v>
      </c>
      <c r="D1714" t="s">
        <v>15</v>
      </c>
      <c r="E1714" s="4">
        <v>0</v>
      </c>
      <c r="F1714" s="2">
        <v>0</v>
      </c>
      <c r="G1714" s="2">
        <v>0</v>
      </c>
      <c r="I1714" s="2" t="s">
        <v>833</v>
      </c>
      <c r="J1714" s="2" t="s">
        <v>65</v>
      </c>
      <c r="K1714" t="s">
        <v>18</v>
      </c>
      <c r="L1714" t="str">
        <f>T("9791137006850")</f>
        <v>9791137006850</v>
      </c>
      <c r="M1714" t="str">
        <f t="shared" ref="M1714:M1745" si="71">T("")</f>
        <v/>
      </c>
      <c r="N1714" t="s">
        <v>1272</v>
      </c>
    </row>
    <row r="1715" spans="1:14">
      <c r="A1715" s="1">
        <v>46068.352766203701</v>
      </c>
      <c r="B1715">
        <v>384100968</v>
      </c>
      <c r="C1715" s="2" t="s">
        <v>1980</v>
      </c>
      <c r="D1715" t="s">
        <v>15</v>
      </c>
      <c r="E1715" s="5">
        <v>1000</v>
      </c>
      <c r="F1715" s="3">
        <v>1000</v>
      </c>
      <c r="G1715" s="2">
        <v>700</v>
      </c>
      <c r="I1715" s="2" t="s">
        <v>1818</v>
      </c>
      <c r="J1715" s="2" t="s">
        <v>1673</v>
      </c>
      <c r="K1715" t="s">
        <v>18</v>
      </c>
      <c r="L1715" t="str">
        <f>T("9791124141052")</f>
        <v>9791124141052</v>
      </c>
      <c r="M1715" t="str">
        <f t="shared" si="71"/>
        <v/>
      </c>
      <c r="N1715" t="s">
        <v>1981</v>
      </c>
    </row>
    <row r="1716" spans="1:14">
      <c r="A1716" s="1">
        <v>46068.389328703706</v>
      </c>
      <c r="B1716">
        <v>383609104</v>
      </c>
      <c r="C1716" s="2" t="s">
        <v>237</v>
      </c>
      <c r="D1716" t="s">
        <v>15</v>
      </c>
      <c r="E1716" s="4">
        <v>700</v>
      </c>
      <c r="F1716" s="2">
        <v>700</v>
      </c>
      <c r="G1716" s="2">
        <v>490</v>
      </c>
      <c r="I1716" s="2" t="s">
        <v>238</v>
      </c>
      <c r="J1716" s="2" t="s">
        <v>239</v>
      </c>
      <c r="K1716" t="s">
        <v>18</v>
      </c>
      <c r="L1716" t="str">
        <f>T("9791124141397")</f>
        <v>9791124141397</v>
      </c>
      <c r="M1716" t="str">
        <f t="shared" si="71"/>
        <v/>
      </c>
      <c r="N1716" t="s">
        <v>240</v>
      </c>
    </row>
    <row r="1717" spans="1:14">
      <c r="A1717" s="1">
        <v>46068.391388888886</v>
      </c>
      <c r="B1717">
        <v>383004678</v>
      </c>
      <c r="C1717" s="2" t="s">
        <v>1776</v>
      </c>
      <c r="D1717" t="s">
        <v>68</v>
      </c>
      <c r="E1717" s="5">
        <v>5760</v>
      </c>
      <c r="F1717" s="3">
        <v>5760</v>
      </c>
      <c r="G1717" s="3">
        <v>4032</v>
      </c>
      <c r="I1717" s="2" t="s">
        <v>351</v>
      </c>
      <c r="J1717" s="2" t="s">
        <v>126</v>
      </c>
      <c r="K1717" t="s">
        <v>18</v>
      </c>
      <c r="L1717" t="str">
        <f>T("9791171502950")</f>
        <v>9791171502950</v>
      </c>
      <c r="M1717" t="str">
        <f t="shared" si="71"/>
        <v/>
      </c>
    </row>
    <row r="1718" spans="1:14">
      <c r="A1718" s="1">
        <v>46068.402361111112</v>
      </c>
      <c r="B1718">
        <v>380788908</v>
      </c>
      <c r="C1718" s="2" t="s">
        <v>1097</v>
      </c>
      <c r="D1718" t="s">
        <v>15</v>
      </c>
      <c r="E1718" s="5">
        <v>2900</v>
      </c>
      <c r="F1718" s="3">
        <v>2900</v>
      </c>
      <c r="G1718" s="3">
        <v>2030</v>
      </c>
      <c r="I1718" s="2" t="s">
        <v>1098</v>
      </c>
      <c r="J1718" s="2" t="s">
        <v>126</v>
      </c>
      <c r="K1718" t="s">
        <v>18</v>
      </c>
      <c r="L1718" t="str">
        <f>T("9791171502486")</f>
        <v>9791171502486</v>
      </c>
      <c r="M1718" t="str">
        <f t="shared" si="71"/>
        <v/>
      </c>
      <c r="N1718" t="s">
        <v>1099</v>
      </c>
    </row>
    <row r="1719" spans="1:14">
      <c r="A1719" s="1">
        <v>46068.402361111112</v>
      </c>
      <c r="B1719">
        <v>380788887</v>
      </c>
      <c r="C1719" s="2" t="s">
        <v>1982</v>
      </c>
      <c r="D1719" t="s">
        <v>15</v>
      </c>
      <c r="E1719" s="5">
        <v>2900</v>
      </c>
      <c r="F1719" s="3">
        <v>2900</v>
      </c>
      <c r="G1719" s="3">
        <v>2030</v>
      </c>
      <c r="I1719" s="2" t="s">
        <v>1098</v>
      </c>
      <c r="J1719" s="2" t="s">
        <v>126</v>
      </c>
      <c r="K1719" t="s">
        <v>18</v>
      </c>
      <c r="L1719" t="str">
        <f>T("9791171502479")</f>
        <v>9791171502479</v>
      </c>
      <c r="M1719" t="str">
        <f t="shared" si="71"/>
        <v/>
      </c>
      <c r="N1719" t="s">
        <v>1983</v>
      </c>
    </row>
    <row r="1720" spans="1:14">
      <c r="A1720" s="1">
        <v>46068.403645833336</v>
      </c>
      <c r="B1720">
        <v>385347955</v>
      </c>
      <c r="C1720" s="2" t="s">
        <v>504</v>
      </c>
      <c r="D1720" t="s">
        <v>68</v>
      </c>
      <c r="E1720" s="4">
        <v>900</v>
      </c>
      <c r="F1720" s="2">
        <v>900</v>
      </c>
      <c r="G1720" s="2">
        <v>630</v>
      </c>
      <c r="I1720" s="2" t="s">
        <v>213</v>
      </c>
      <c r="J1720" s="2" t="s">
        <v>161</v>
      </c>
      <c r="K1720" t="s">
        <v>18</v>
      </c>
      <c r="L1720" t="str">
        <f>T("9791173261947")</f>
        <v>9791173261947</v>
      </c>
      <c r="M1720" t="str">
        <f t="shared" si="71"/>
        <v/>
      </c>
      <c r="N1720" t="s">
        <v>505</v>
      </c>
    </row>
    <row r="1721" spans="1:14">
      <c r="A1721" s="1">
        <v>46068.405023148145</v>
      </c>
      <c r="B1721">
        <v>362753625</v>
      </c>
      <c r="C1721" s="2" t="s">
        <v>268</v>
      </c>
      <c r="D1721" t="s">
        <v>15</v>
      </c>
      <c r="E1721" s="5">
        <v>1000</v>
      </c>
      <c r="F1721" s="3">
        <v>1000</v>
      </c>
      <c r="G1721" s="2">
        <v>700</v>
      </c>
      <c r="I1721" s="2" t="s">
        <v>148</v>
      </c>
      <c r="J1721" s="2" t="s">
        <v>21</v>
      </c>
      <c r="K1721" t="s">
        <v>18</v>
      </c>
      <c r="L1721" t="str">
        <f>T("9791173014116")</f>
        <v>9791173014116</v>
      </c>
      <c r="M1721" t="str">
        <f t="shared" si="71"/>
        <v/>
      </c>
      <c r="N1721" t="s">
        <v>269</v>
      </c>
    </row>
    <row r="1722" spans="1:14">
      <c r="A1722" s="1">
        <v>46068.41070601852</v>
      </c>
      <c r="B1722">
        <v>277935728</v>
      </c>
      <c r="C1722" s="2" t="s">
        <v>613</v>
      </c>
      <c r="D1722" t="s">
        <v>15</v>
      </c>
      <c r="E1722" s="4">
        <v>100</v>
      </c>
      <c r="F1722" s="2">
        <v>100</v>
      </c>
      <c r="G1722" s="2">
        <v>70</v>
      </c>
      <c r="I1722" s="2" t="s">
        <v>64</v>
      </c>
      <c r="J1722" s="2" t="s">
        <v>65</v>
      </c>
      <c r="K1722" t="s">
        <v>18</v>
      </c>
      <c r="L1722" t="str">
        <f t="shared" ref="L1722:L1731" si="72">T("9791162589724")</f>
        <v>9791162589724</v>
      </c>
      <c r="M1722" t="str">
        <f t="shared" si="71"/>
        <v/>
      </c>
      <c r="N1722" t="s">
        <v>614</v>
      </c>
    </row>
    <row r="1723" spans="1:14">
      <c r="A1723" s="1">
        <v>46068.41070601852</v>
      </c>
      <c r="B1723">
        <v>277935729</v>
      </c>
      <c r="C1723" s="2" t="s">
        <v>621</v>
      </c>
      <c r="D1723" t="s">
        <v>15</v>
      </c>
      <c r="E1723" s="4">
        <v>100</v>
      </c>
      <c r="F1723" s="2">
        <v>100</v>
      </c>
      <c r="G1723" s="2">
        <v>70</v>
      </c>
      <c r="I1723" s="2" t="s">
        <v>64</v>
      </c>
      <c r="J1723" s="2" t="s">
        <v>65</v>
      </c>
      <c r="K1723" t="s">
        <v>18</v>
      </c>
      <c r="L1723" t="str">
        <f t="shared" si="72"/>
        <v>9791162589724</v>
      </c>
      <c r="M1723" t="str">
        <f t="shared" si="71"/>
        <v/>
      </c>
      <c r="N1723" t="s">
        <v>622</v>
      </c>
    </row>
    <row r="1724" spans="1:14">
      <c r="A1724" s="1">
        <v>46068.41070601852</v>
      </c>
      <c r="B1724">
        <v>277935731</v>
      </c>
      <c r="C1724" s="2" t="s">
        <v>623</v>
      </c>
      <c r="D1724" t="s">
        <v>15</v>
      </c>
      <c r="E1724" s="4">
        <v>100</v>
      </c>
      <c r="F1724" s="2">
        <v>100</v>
      </c>
      <c r="G1724" s="2">
        <v>70</v>
      </c>
      <c r="I1724" s="2" t="s">
        <v>64</v>
      </c>
      <c r="J1724" s="2" t="s">
        <v>65</v>
      </c>
      <c r="K1724" t="s">
        <v>18</v>
      </c>
      <c r="L1724" t="str">
        <f t="shared" si="72"/>
        <v>9791162589724</v>
      </c>
      <c r="M1724" t="str">
        <f t="shared" si="71"/>
        <v/>
      </c>
      <c r="N1724" t="s">
        <v>624</v>
      </c>
    </row>
    <row r="1725" spans="1:14">
      <c r="A1725" s="1">
        <v>46068.41070601852</v>
      </c>
      <c r="B1725">
        <v>277935726</v>
      </c>
      <c r="C1725" s="2" t="s">
        <v>611</v>
      </c>
      <c r="D1725" t="s">
        <v>15</v>
      </c>
      <c r="E1725" s="4">
        <v>100</v>
      </c>
      <c r="F1725" s="2">
        <v>100</v>
      </c>
      <c r="G1725" s="2">
        <v>70</v>
      </c>
      <c r="I1725" s="2" t="s">
        <v>64</v>
      </c>
      <c r="J1725" s="2" t="s">
        <v>65</v>
      </c>
      <c r="K1725" t="s">
        <v>18</v>
      </c>
      <c r="L1725" t="str">
        <f t="shared" si="72"/>
        <v>9791162589724</v>
      </c>
      <c r="M1725" t="str">
        <f t="shared" si="71"/>
        <v/>
      </c>
      <c r="N1725" t="s">
        <v>612</v>
      </c>
    </row>
    <row r="1726" spans="1:14">
      <c r="A1726" s="1">
        <v>46068.41070601852</v>
      </c>
      <c r="B1726">
        <v>277935675</v>
      </c>
      <c r="C1726" s="2" t="s">
        <v>605</v>
      </c>
      <c r="D1726" t="s">
        <v>15</v>
      </c>
      <c r="E1726" s="4">
        <v>100</v>
      </c>
      <c r="F1726" s="2">
        <v>100</v>
      </c>
      <c r="G1726" s="2">
        <v>70</v>
      </c>
      <c r="I1726" s="2" t="s">
        <v>64</v>
      </c>
      <c r="J1726" s="2" t="s">
        <v>65</v>
      </c>
      <c r="K1726" t="s">
        <v>18</v>
      </c>
      <c r="L1726" t="str">
        <f t="shared" si="72"/>
        <v>9791162589724</v>
      </c>
      <c r="M1726" t="str">
        <f t="shared" si="71"/>
        <v/>
      </c>
      <c r="N1726" t="s">
        <v>606</v>
      </c>
    </row>
    <row r="1727" spans="1:14">
      <c r="A1727" s="1">
        <v>46068.41070601852</v>
      </c>
      <c r="B1727">
        <v>277935627</v>
      </c>
      <c r="C1727" s="2" t="s">
        <v>619</v>
      </c>
      <c r="D1727" t="s">
        <v>15</v>
      </c>
      <c r="E1727" s="4">
        <v>100</v>
      </c>
      <c r="F1727" s="2">
        <v>100</v>
      </c>
      <c r="G1727" s="2">
        <v>70</v>
      </c>
      <c r="I1727" s="2" t="s">
        <v>64</v>
      </c>
      <c r="J1727" s="2" t="s">
        <v>65</v>
      </c>
      <c r="K1727" t="s">
        <v>18</v>
      </c>
      <c r="L1727" t="str">
        <f t="shared" si="72"/>
        <v>9791162589724</v>
      </c>
      <c r="M1727" t="str">
        <f t="shared" si="71"/>
        <v/>
      </c>
      <c r="N1727" t="s">
        <v>620</v>
      </c>
    </row>
    <row r="1728" spans="1:14">
      <c r="A1728" s="1">
        <v>46068.41070601852</v>
      </c>
      <c r="B1728">
        <v>277935633</v>
      </c>
      <c r="C1728" s="2" t="s">
        <v>599</v>
      </c>
      <c r="D1728" t="s">
        <v>15</v>
      </c>
      <c r="E1728" s="4">
        <v>100</v>
      </c>
      <c r="F1728" s="2">
        <v>100</v>
      </c>
      <c r="G1728" s="2">
        <v>70</v>
      </c>
      <c r="I1728" s="2" t="s">
        <v>64</v>
      </c>
      <c r="J1728" s="2" t="s">
        <v>65</v>
      </c>
      <c r="K1728" t="s">
        <v>18</v>
      </c>
      <c r="L1728" t="str">
        <f t="shared" si="72"/>
        <v>9791162589724</v>
      </c>
      <c r="M1728" t="str">
        <f t="shared" si="71"/>
        <v/>
      </c>
      <c r="N1728" t="s">
        <v>600</v>
      </c>
    </row>
    <row r="1729" spans="1:14">
      <c r="A1729" s="1">
        <v>46068.41070601852</v>
      </c>
      <c r="B1729">
        <v>277935671</v>
      </c>
      <c r="C1729" s="2" t="s">
        <v>603</v>
      </c>
      <c r="D1729" t="s">
        <v>15</v>
      </c>
      <c r="E1729" s="4">
        <v>100</v>
      </c>
      <c r="F1729" s="2">
        <v>100</v>
      </c>
      <c r="G1729" s="2">
        <v>70</v>
      </c>
      <c r="I1729" s="2" t="s">
        <v>64</v>
      </c>
      <c r="J1729" s="2" t="s">
        <v>65</v>
      </c>
      <c r="K1729" t="s">
        <v>18</v>
      </c>
      <c r="L1729" t="str">
        <f t="shared" si="72"/>
        <v>9791162589724</v>
      </c>
      <c r="M1729" t="str">
        <f t="shared" si="71"/>
        <v/>
      </c>
      <c r="N1729" t="s">
        <v>604</v>
      </c>
    </row>
    <row r="1730" spans="1:14">
      <c r="A1730" s="1">
        <v>46068.41070601852</v>
      </c>
      <c r="B1730">
        <v>277935482</v>
      </c>
      <c r="C1730" s="2" t="s">
        <v>617</v>
      </c>
      <c r="D1730" t="s">
        <v>15</v>
      </c>
      <c r="E1730" s="4">
        <v>100</v>
      </c>
      <c r="F1730" s="2">
        <v>100</v>
      </c>
      <c r="G1730" s="2">
        <v>70</v>
      </c>
      <c r="I1730" s="2" t="s">
        <v>64</v>
      </c>
      <c r="J1730" s="2" t="s">
        <v>65</v>
      </c>
      <c r="K1730" t="s">
        <v>18</v>
      </c>
      <c r="L1730" t="str">
        <f t="shared" si="72"/>
        <v>9791162589724</v>
      </c>
      <c r="M1730" t="str">
        <f t="shared" si="71"/>
        <v/>
      </c>
      <c r="N1730" t="s">
        <v>618</v>
      </c>
    </row>
    <row r="1731" spans="1:14">
      <c r="A1731" s="1">
        <v>46068.41070601852</v>
      </c>
      <c r="B1731">
        <v>277935480</v>
      </c>
      <c r="C1731" s="2" t="s">
        <v>615</v>
      </c>
      <c r="D1731" t="s">
        <v>15</v>
      </c>
      <c r="E1731" s="4">
        <v>100</v>
      </c>
      <c r="F1731" s="2">
        <v>100</v>
      </c>
      <c r="G1731" s="2">
        <v>70</v>
      </c>
      <c r="I1731" s="2" t="s">
        <v>64</v>
      </c>
      <c r="J1731" s="2" t="s">
        <v>65</v>
      </c>
      <c r="K1731" t="s">
        <v>18</v>
      </c>
      <c r="L1731" t="str">
        <f t="shared" si="72"/>
        <v>9791162589724</v>
      </c>
      <c r="M1731" t="str">
        <f t="shared" si="71"/>
        <v/>
      </c>
      <c r="N1731" t="s">
        <v>616</v>
      </c>
    </row>
    <row r="1732" spans="1:14">
      <c r="A1732" s="1">
        <v>46068.425775462965</v>
      </c>
      <c r="B1732">
        <v>368640530</v>
      </c>
      <c r="C1732" s="2" t="s">
        <v>480</v>
      </c>
      <c r="D1732" t="s">
        <v>15</v>
      </c>
      <c r="E1732" s="5">
        <v>12950</v>
      </c>
      <c r="F1732" s="3">
        <v>12950</v>
      </c>
      <c r="G1732" s="3">
        <v>9065</v>
      </c>
      <c r="I1732" s="2" t="s">
        <v>481</v>
      </c>
      <c r="J1732" s="2" t="s">
        <v>184</v>
      </c>
      <c r="K1732" t="s">
        <v>18</v>
      </c>
      <c r="L1732" t="str">
        <f>T("9791170964636")</f>
        <v>9791170964636</v>
      </c>
      <c r="M1732" t="str">
        <f t="shared" si="71"/>
        <v/>
      </c>
      <c r="N1732" t="s">
        <v>482</v>
      </c>
    </row>
    <row r="1733" spans="1:14">
      <c r="A1733" s="1">
        <v>46068.480578703704</v>
      </c>
      <c r="B1733">
        <v>211909257</v>
      </c>
      <c r="C1733" s="2" t="s">
        <v>1665</v>
      </c>
      <c r="D1733" t="s">
        <v>68</v>
      </c>
      <c r="E1733" s="5">
        <v>4550</v>
      </c>
      <c r="F1733" s="3">
        <v>4550</v>
      </c>
      <c r="G1733" s="3">
        <v>3185</v>
      </c>
      <c r="I1733" s="2" t="s">
        <v>196</v>
      </c>
      <c r="J1733" s="2" t="s">
        <v>197</v>
      </c>
      <c r="K1733" t="s">
        <v>18</v>
      </c>
      <c r="L1733" t="str">
        <f>T("9791164090693")</f>
        <v>9791164090693</v>
      </c>
      <c r="M1733" t="str">
        <f t="shared" si="71"/>
        <v/>
      </c>
    </row>
    <row r="1734" spans="1:14">
      <c r="A1734" s="1">
        <v>46068.518159722225</v>
      </c>
      <c r="B1734">
        <v>379511327</v>
      </c>
      <c r="C1734" s="2" t="s">
        <v>262</v>
      </c>
      <c r="D1734" t="s">
        <v>15</v>
      </c>
      <c r="E1734" s="5">
        <v>3300</v>
      </c>
      <c r="F1734" s="3">
        <v>3300</v>
      </c>
      <c r="G1734" s="3">
        <v>2310</v>
      </c>
      <c r="I1734" s="2" t="s">
        <v>263</v>
      </c>
      <c r="J1734" s="2" t="s">
        <v>126</v>
      </c>
      <c r="K1734" t="s">
        <v>18</v>
      </c>
      <c r="L1734" t="str">
        <f>T("9791171502875")</f>
        <v>9791171502875</v>
      </c>
      <c r="M1734" t="str">
        <f t="shared" si="71"/>
        <v/>
      </c>
      <c r="N1734" t="s">
        <v>264</v>
      </c>
    </row>
    <row r="1735" spans="1:14">
      <c r="A1735" s="1">
        <v>46068.521805555552</v>
      </c>
      <c r="B1735">
        <v>385348455</v>
      </c>
      <c r="C1735" s="2" t="s">
        <v>255</v>
      </c>
      <c r="D1735" t="s">
        <v>15</v>
      </c>
      <c r="E1735" s="5">
        <v>14000</v>
      </c>
      <c r="F1735" s="3">
        <v>12600</v>
      </c>
      <c r="G1735" s="3">
        <v>8820</v>
      </c>
      <c r="I1735" s="2" t="s">
        <v>187</v>
      </c>
      <c r="J1735" s="2" t="s">
        <v>188</v>
      </c>
      <c r="K1735" t="s">
        <v>18</v>
      </c>
      <c r="L1735" t="str">
        <f>T("9791164835379")</f>
        <v>9791164835379</v>
      </c>
      <c r="M1735" t="str">
        <f t="shared" si="71"/>
        <v/>
      </c>
    </row>
    <row r="1736" spans="1:14">
      <c r="A1736" s="1">
        <v>46068.521805555552</v>
      </c>
      <c r="B1736">
        <v>386057126</v>
      </c>
      <c r="C1736" s="2" t="s">
        <v>1984</v>
      </c>
      <c r="D1736" t="s">
        <v>15</v>
      </c>
      <c r="E1736" s="5">
        <v>7800</v>
      </c>
      <c r="F1736" s="3">
        <v>7800</v>
      </c>
      <c r="G1736" s="3">
        <v>5460</v>
      </c>
      <c r="I1736" s="2" t="s">
        <v>335</v>
      </c>
      <c r="J1736" s="2" t="s">
        <v>239</v>
      </c>
      <c r="K1736" t="s">
        <v>18</v>
      </c>
      <c r="L1736" t="str">
        <f>T("9791194174943")</f>
        <v>9791194174943</v>
      </c>
      <c r="M1736" t="str">
        <f t="shared" si="71"/>
        <v/>
      </c>
    </row>
    <row r="1737" spans="1:14">
      <c r="A1737" s="1">
        <v>46068.533182870371</v>
      </c>
      <c r="B1737">
        <v>283741679</v>
      </c>
      <c r="C1737" s="2" t="s">
        <v>1985</v>
      </c>
      <c r="D1737" t="s">
        <v>15</v>
      </c>
      <c r="E1737" s="5">
        <v>1000</v>
      </c>
      <c r="F1737" s="3">
        <v>1000</v>
      </c>
      <c r="G1737" s="2">
        <v>700</v>
      </c>
      <c r="I1737" s="2" t="s">
        <v>1986</v>
      </c>
      <c r="J1737" s="2" t="s">
        <v>21</v>
      </c>
      <c r="K1737" t="s">
        <v>18</v>
      </c>
      <c r="L1737" t="str">
        <f>T("9791167830586")</f>
        <v>9791167830586</v>
      </c>
      <c r="M1737" t="str">
        <f t="shared" si="71"/>
        <v/>
      </c>
    </row>
    <row r="1738" spans="1:14">
      <c r="A1738" s="1">
        <v>46068.533599537041</v>
      </c>
      <c r="B1738">
        <v>382626257</v>
      </c>
      <c r="C1738" s="2" t="s">
        <v>152</v>
      </c>
      <c r="D1738" t="s">
        <v>15</v>
      </c>
      <c r="E1738" s="5">
        <v>1000</v>
      </c>
      <c r="F1738" s="3">
        <v>1000</v>
      </c>
      <c r="G1738" s="2">
        <v>700</v>
      </c>
      <c r="I1738" s="2" t="s">
        <v>148</v>
      </c>
      <c r="J1738" s="2" t="s">
        <v>21</v>
      </c>
      <c r="K1738" t="s">
        <v>18</v>
      </c>
      <c r="L1738" t="str">
        <f>T("9791175581906")</f>
        <v>9791175581906</v>
      </c>
      <c r="M1738" t="str">
        <f t="shared" si="71"/>
        <v/>
      </c>
      <c r="N1738" t="s">
        <v>153</v>
      </c>
    </row>
    <row r="1739" spans="1:14">
      <c r="A1739" s="1">
        <v>46068.549074074072</v>
      </c>
      <c r="B1739">
        <v>355155067</v>
      </c>
      <c r="C1739" s="2" t="s">
        <v>1208</v>
      </c>
      <c r="D1739" t="s">
        <v>15</v>
      </c>
      <c r="E1739" s="5">
        <v>1000</v>
      </c>
      <c r="F1739" s="3">
        <v>1000</v>
      </c>
      <c r="G1739" s="2">
        <v>700</v>
      </c>
      <c r="I1739" s="2" t="s">
        <v>148</v>
      </c>
      <c r="J1739" s="2" t="s">
        <v>21</v>
      </c>
      <c r="K1739" t="s">
        <v>18</v>
      </c>
      <c r="L1739" t="str">
        <f>T("9791173011184")</f>
        <v>9791173011184</v>
      </c>
      <c r="M1739" t="str">
        <f t="shared" si="71"/>
        <v/>
      </c>
      <c r="N1739" t="s">
        <v>1209</v>
      </c>
    </row>
    <row r="1740" spans="1:14">
      <c r="A1740" s="1">
        <v>46068.549988425926</v>
      </c>
      <c r="B1740">
        <v>355155067</v>
      </c>
      <c r="C1740" s="2" t="s">
        <v>1208</v>
      </c>
      <c r="D1740" t="s">
        <v>15</v>
      </c>
      <c r="E1740" s="5">
        <v>-1000</v>
      </c>
      <c r="F1740" s="3">
        <v>-1000</v>
      </c>
      <c r="G1740" s="2">
        <v>-700</v>
      </c>
      <c r="H1740" s="1">
        <v>46068.549074074072</v>
      </c>
      <c r="I1740" s="2" t="s">
        <v>148</v>
      </c>
      <c r="J1740" s="2" t="s">
        <v>21</v>
      </c>
      <c r="K1740" t="s">
        <v>18</v>
      </c>
      <c r="L1740" t="str">
        <f>T("9791173011184")</f>
        <v>9791173011184</v>
      </c>
      <c r="M1740" t="str">
        <f t="shared" si="71"/>
        <v/>
      </c>
      <c r="N1740" t="s">
        <v>1209</v>
      </c>
    </row>
    <row r="1741" spans="1:14">
      <c r="A1741" s="1">
        <v>46068.550844907404</v>
      </c>
      <c r="B1741">
        <v>355155067</v>
      </c>
      <c r="C1741" s="2" t="s">
        <v>1208</v>
      </c>
      <c r="D1741" t="s">
        <v>15</v>
      </c>
      <c r="E1741" s="5">
        <v>1000</v>
      </c>
      <c r="F1741" s="3">
        <v>1000</v>
      </c>
      <c r="G1741" s="2">
        <v>700</v>
      </c>
      <c r="I1741" s="2" t="s">
        <v>148</v>
      </c>
      <c r="J1741" s="2" t="s">
        <v>21</v>
      </c>
      <c r="K1741" t="s">
        <v>18</v>
      </c>
      <c r="L1741" t="str">
        <f>T("9791173011184")</f>
        <v>9791173011184</v>
      </c>
      <c r="M1741" t="str">
        <f t="shared" si="71"/>
        <v/>
      </c>
      <c r="N1741" t="s">
        <v>1209</v>
      </c>
    </row>
    <row r="1742" spans="1:14">
      <c r="A1742" s="1">
        <v>46068.556261574071</v>
      </c>
      <c r="B1742">
        <v>277935858</v>
      </c>
      <c r="C1742" s="2" t="s">
        <v>1987</v>
      </c>
      <c r="D1742" t="s">
        <v>15</v>
      </c>
      <c r="E1742" s="4">
        <v>100</v>
      </c>
      <c r="F1742" s="2">
        <v>100</v>
      </c>
      <c r="G1742" s="2">
        <v>70</v>
      </c>
      <c r="I1742" s="2" t="s">
        <v>64</v>
      </c>
      <c r="J1742" s="2" t="s">
        <v>65</v>
      </c>
      <c r="K1742" t="s">
        <v>18</v>
      </c>
      <c r="L1742" t="str">
        <f>T("9791162589724")</f>
        <v>9791162589724</v>
      </c>
      <c r="M1742" t="str">
        <f t="shared" si="71"/>
        <v/>
      </c>
      <c r="N1742" t="s">
        <v>1988</v>
      </c>
    </row>
    <row r="1743" spans="1:14">
      <c r="A1743" s="1">
        <v>46068.558506944442</v>
      </c>
      <c r="B1743">
        <v>365291648</v>
      </c>
      <c r="C1743" s="2" t="s">
        <v>1989</v>
      </c>
      <c r="D1743" t="s">
        <v>15</v>
      </c>
      <c r="E1743" s="5">
        <v>1000</v>
      </c>
      <c r="F1743" s="3">
        <v>1000</v>
      </c>
      <c r="G1743" s="2">
        <v>700</v>
      </c>
      <c r="I1743" s="2" t="s">
        <v>1793</v>
      </c>
      <c r="J1743" s="2" t="s">
        <v>21</v>
      </c>
      <c r="K1743" t="s">
        <v>18</v>
      </c>
      <c r="L1743" t="str">
        <f>T("9791173014918")</f>
        <v>9791173014918</v>
      </c>
      <c r="M1743" t="str">
        <f t="shared" si="71"/>
        <v/>
      </c>
      <c r="N1743" t="s">
        <v>1990</v>
      </c>
    </row>
    <row r="1744" spans="1:14">
      <c r="A1744" s="1">
        <v>46068.561331018522</v>
      </c>
      <c r="B1744">
        <v>362753625</v>
      </c>
      <c r="C1744" s="2" t="s">
        <v>268</v>
      </c>
      <c r="D1744" t="s">
        <v>15</v>
      </c>
      <c r="E1744" s="5">
        <v>1000</v>
      </c>
      <c r="F1744" s="3">
        <v>1000</v>
      </c>
      <c r="G1744" s="2">
        <v>700</v>
      </c>
      <c r="I1744" s="2" t="s">
        <v>148</v>
      </c>
      <c r="J1744" s="2" t="s">
        <v>21</v>
      </c>
      <c r="K1744" t="s">
        <v>18</v>
      </c>
      <c r="L1744" t="str">
        <f>T("9791173014116")</f>
        <v>9791173014116</v>
      </c>
      <c r="M1744" t="str">
        <f t="shared" si="71"/>
        <v/>
      </c>
      <c r="N1744" t="s">
        <v>269</v>
      </c>
    </row>
    <row r="1745" spans="1:14">
      <c r="A1745" s="1">
        <v>46068.566030092596</v>
      </c>
      <c r="B1745">
        <v>364579911</v>
      </c>
      <c r="C1745" s="2" t="s">
        <v>1399</v>
      </c>
      <c r="D1745" t="s">
        <v>15</v>
      </c>
      <c r="E1745" s="5">
        <v>1000</v>
      </c>
      <c r="F1745" s="3">
        <v>1000</v>
      </c>
      <c r="G1745" s="2">
        <v>700</v>
      </c>
      <c r="I1745" s="2" t="s">
        <v>148</v>
      </c>
      <c r="J1745" s="2" t="s">
        <v>21</v>
      </c>
      <c r="K1745" t="s">
        <v>18</v>
      </c>
      <c r="L1745" t="str">
        <f>T("9791173014239")</f>
        <v>9791173014239</v>
      </c>
      <c r="M1745" t="str">
        <f t="shared" si="71"/>
        <v/>
      </c>
      <c r="N1745" t="s">
        <v>1400</v>
      </c>
    </row>
    <row r="1746" spans="1:14">
      <c r="A1746" s="1">
        <v>46068.566030092596</v>
      </c>
      <c r="B1746">
        <v>362753625</v>
      </c>
      <c r="C1746" s="2" t="s">
        <v>268</v>
      </c>
      <c r="D1746" t="s">
        <v>15</v>
      </c>
      <c r="E1746" s="5">
        <v>1000</v>
      </c>
      <c r="F1746" s="3">
        <v>1000</v>
      </c>
      <c r="G1746" s="2">
        <v>700</v>
      </c>
      <c r="I1746" s="2" t="s">
        <v>148</v>
      </c>
      <c r="J1746" s="2" t="s">
        <v>21</v>
      </c>
      <c r="K1746" t="s">
        <v>18</v>
      </c>
      <c r="L1746" t="str">
        <f>T("9791173014116")</f>
        <v>9791173014116</v>
      </c>
      <c r="M1746" t="str">
        <f t="shared" ref="M1746:M1777" si="73">T("")</f>
        <v/>
      </c>
      <c r="N1746" t="s">
        <v>269</v>
      </c>
    </row>
    <row r="1747" spans="1:14">
      <c r="A1747" s="1">
        <v>46068.566030092596</v>
      </c>
      <c r="B1747">
        <v>360694024</v>
      </c>
      <c r="C1747" s="2" t="s">
        <v>1210</v>
      </c>
      <c r="D1747" t="s">
        <v>15</v>
      </c>
      <c r="E1747" s="5">
        <v>1000</v>
      </c>
      <c r="F1747" s="3">
        <v>1000</v>
      </c>
      <c r="G1747" s="2">
        <v>700</v>
      </c>
      <c r="I1747" s="2" t="s">
        <v>148</v>
      </c>
      <c r="J1747" s="2" t="s">
        <v>21</v>
      </c>
      <c r="K1747" t="s">
        <v>18</v>
      </c>
      <c r="L1747" t="str">
        <f>T("9791173013133")</f>
        <v>9791173013133</v>
      </c>
      <c r="M1747" t="str">
        <f t="shared" si="73"/>
        <v/>
      </c>
      <c r="N1747" t="s">
        <v>1211</v>
      </c>
    </row>
    <row r="1748" spans="1:14">
      <c r="A1748" s="1">
        <v>46068.567627314813</v>
      </c>
      <c r="B1748">
        <v>378946689</v>
      </c>
      <c r="C1748" s="2" t="s">
        <v>1991</v>
      </c>
      <c r="D1748" t="s">
        <v>15</v>
      </c>
      <c r="E1748" s="5">
        <v>1000</v>
      </c>
      <c r="F1748" s="3">
        <v>1000</v>
      </c>
      <c r="G1748" s="2">
        <v>700</v>
      </c>
      <c r="I1748" s="2" t="s">
        <v>1105</v>
      </c>
      <c r="J1748" s="2" t="s">
        <v>197</v>
      </c>
      <c r="K1748" t="s">
        <v>18</v>
      </c>
      <c r="L1748" t="str">
        <f>T("9791172822026")</f>
        <v>9791172822026</v>
      </c>
      <c r="M1748" t="str">
        <f t="shared" si="73"/>
        <v/>
      </c>
      <c r="N1748" t="s">
        <v>1992</v>
      </c>
    </row>
    <row r="1749" spans="1:14">
      <c r="A1749" s="1">
        <v>46068.567766203705</v>
      </c>
      <c r="B1749">
        <v>379511327</v>
      </c>
      <c r="C1749" s="2" t="s">
        <v>262</v>
      </c>
      <c r="D1749" t="s">
        <v>15</v>
      </c>
      <c r="E1749" s="5">
        <v>3300</v>
      </c>
      <c r="F1749" s="3">
        <v>3300</v>
      </c>
      <c r="G1749" s="3">
        <v>2310</v>
      </c>
      <c r="I1749" s="2" t="s">
        <v>263</v>
      </c>
      <c r="J1749" s="2" t="s">
        <v>126</v>
      </c>
      <c r="K1749" t="s">
        <v>18</v>
      </c>
      <c r="L1749" t="str">
        <f>T("9791171502875")</f>
        <v>9791171502875</v>
      </c>
      <c r="M1749" t="str">
        <f t="shared" si="73"/>
        <v/>
      </c>
      <c r="N1749" t="s">
        <v>264</v>
      </c>
    </row>
    <row r="1750" spans="1:14">
      <c r="A1750" s="1">
        <v>46068.577928240738</v>
      </c>
      <c r="B1750">
        <v>268443410</v>
      </c>
      <c r="C1750" s="2" t="s">
        <v>665</v>
      </c>
      <c r="D1750" t="s">
        <v>15</v>
      </c>
      <c r="E1750" s="5">
        <v>2500</v>
      </c>
      <c r="F1750" s="3">
        <v>2500</v>
      </c>
      <c r="G1750" s="3">
        <v>1750</v>
      </c>
      <c r="I1750" s="2" t="s">
        <v>666</v>
      </c>
      <c r="J1750" s="2" t="s">
        <v>21</v>
      </c>
      <c r="K1750" t="s">
        <v>18</v>
      </c>
      <c r="L1750" t="str">
        <f>T("9791191337228")</f>
        <v>9791191337228</v>
      </c>
      <c r="M1750" t="str">
        <f t="shared" si="73"/>
        <v/>
      </c>
    </row>
    <row r="1751" spans="1:14">
      <c r="A1751" s="1">
        <v>46068.600949074076</v>
      </c>
      <c r="B1751">
        <v>328759043</v>
      </c>
      <c r="C1751" s="2" t="s">
        <v>1537</v>
      </c>
      <c r="D1751" t="s">
        <v>68</v>
      </c>
      <c r="E1751" s="4">
        <v>840</v>
      </c>
      <c r="F1751" s="2">
        <v>840</v>
      </c>
      <c r="G1751" s="2">
        <v>588</v>
      </c>
      <c r="I1751" s="2" t="s">
        <v>852</v>
      </c>
      <c r="J1751" s="2" t="s">
        <v>197</v>
      </c>
      <c r="K1751" t="s">
        <v>18</v>
      </c>
      <c r="L1751" t="str">
        <f>T("9791164099269")</f>
        <v>9791164099269</v>
      </c>
      <c r="M1751" t="str">
        <f t="shared" si="73"/>
        <v/>
      </c>
    </row>
    <row r="1752" spans="1:14">
      <c r="A1752" s="1">
        <v>46068.6096412037</v>
      </c>
      <c r="B1752">
        <v>328759043</v>
      </c>
      <c r="C1752" s="2" t="s">
        <v>1537</v>
      </c>
      <c r="D1752" t="s">
        <v>68</v>
      </c>
      <c r="E1752" s="4">
        <v>840</v>
      </c>
      <c r="F1752" s="2">
        <v>840</v>
      </c>
      <c r="G1752" s="2">
        <v>588</v>
      </c>
      <c r="I1752" s="2" t="s">
        <v>852</v>
      </c>
      <c r="J1752" s="2" t="s">
        <v>197</v>
      </c>
      <c r="K1752" t="s">
        <v>18</v>
      </c>
      <c r="L1752" t="str">
        <f>T("9791164099269")</f>
        <v>9791164099269</v>
      </c>
      <c r="M1752" t="str">
        <f t="shared" si="73"/>
        <v/>
      </c>
    </row>
    <row r="1753" spans="1:14">
      <c r="A1753" s="1">
        <v>46068.632141203707</v>
      </c>
      <c r="B1753">
        <v>366699561</v>
      </c>
      <c r="C1753" s="2" t="s">
        <v>156</v>
      </c>
      <c r="D1753" t="s">
        <v>15</v>
      </c>
      <c r="E1753" s="5">
        <v>1100</v>
      </c>
      <c r="F1753" s="3">
        <v>1100</v>
      </c>
      <c r="G1753" s="2">
        <v>770</v>
      </c>
      <c r="I1753" s="2" t="s">
        <v>148</v>
      </c>
      <c r="J1753" s="2" t="s">
        <v>21</v>
      </c>
      <c r="K1753" t="s">
        <v>18</v>
      </c>
      <c r="L1753" t="str">
        <f>T("9791173015137")</f>
        <v>9791173015137</v>
      </c>
      <c r="M1753" t="str">
        <f t="shared" si="73"/>
        <v/>
      </c>
      <c r="N1753" t="s">
        <v>157</v>
      </c>
    </row>
    <row r="1754" spans="1:14">
      <c r="A1754" s="1">
        <v>46068.632141203707</v>
      </c>
      <c r="B1754">
        <v>379527576</v>
      </c>
      <c r="C1754" s="2" t="s">
        <v>150</v>
      </c>
      <c r="D1754" t="s">
        <v>15</v>
      </c>
      <c r="E1754" s="5">
        <v>1000</v>
      </c>
      <c r="F1754" s="3">
        <v>1000</v>
      </c>
      <c r="G1754" s="2">
        <v>700</v>
      </c>
      <c r="I1754" s="2" t="s">
        <v>148</v>
      </c>
      <c r="J1754" s="2" t="s">
        <v>21</v>
      </c>
      <c r="K1754" t="s">
        <v>18</v>
      </c>
      <c r="L1754" t="str">
        <f>T("9791175580541")</f>
        <v>9791175580541</v>
      </c>
      <c r="M1754" t="str">
        <f t="shared" si="73"/>
        <v/>
      </c>
      <c r="N1754" t="s">
        <v>151</v>
      </c>
    </row>
    <row r="1755" spans="1:14">
      <c r="A1755" s="1">
        <v>46068.632141203707</v>
      </c>
      <c r="B1755">
        <v>382626257</v>
      </c>
      <c r="C1755" s="2" t="s">
        <v>152</v>
      </c>
      <c r="D1755" t="s">
        <v>15</v>
      </c>
      <c r="E1755" s="5">
        <v>1000</v>
      </c>
      <c r="F1755" s="3">
        <v>1000</v>
      </c>
      <c r="G1755" s="2">
        <v>700</v>
      </c>
      <c r="I1755" s="2" t="s">
        <v>148</v>
      </c>
      <c r="J1755" s="2" t="s">
        <v>21</v>
      </c>
      <c r="K1755" t="s">
        <v>18</v>
      </c>
      <c r="L1755" t="str">
        <f>T("9791175581906")</f>
        <v>9791175581906</v>
      </c>
      <c r="M1755" t="str">
        <f t="shared" si="73"/>
        <v/>
      </c>
      <c r="N1755" t="s">
        <v>153</v>
      </c>
    </row>
    <row r="1756" spans="1:14">
      <c r="A1756" s="1">
        <v>46068.632141203707</v>
      </c>
      <c r="B1756">
        <v>372487137</v>
      </c>
      <c r="C1756" s="2" t="s">
        <v>147</v>
      </c>
      <c r="D1756" t="s">
        <v>15</v>
      </c>
      <c r="E1756" s="5">
        <v>1000</v>
      </c>
      <c r="F1756" s="3">
        <v>1000</v>
      </c>
      <c r="G1756" s="2">
        <v>700</v>
      </c>
      <c r="I1756" s="2" t="s">
        <v>148</v>
      </c>
      <c r="J1756" s="2" t="s">
        <v>21</v>
      </c>
      <c r="K1756" t="s">
        <v>18</v>
      </c>
      <c r="L1756" t="str">
        <f>T("9791173017797")</f>
        <v>9791173017797</v>
      </c>
      <c r="M1756" t="str">
        <f t="shared" si="73"/>
        <v/>
      </c>
      <c r="N1756" t="s">
        <v>149</v>
      </c>
    </row>
    <row r="1757" spans="1:14">
      <c r="A1757" s="1">
        <v>46068.671967592592</v>
      </c>
      <c r="B1757">
        <v>385347773</v>
      </c>
      <c r="C1757" s="2" t="s">
        <v>229</v>
      </c>
      <c r="D1757" t="s">
        <v>68</v>
      </c>
      <c r="E1757" s="4">
        <v>0</v>
      </c>
      <c r="F1757" s="2">
        <v>0</v>
      </c>
      <c r="G1757" s="2">
        <v>0</v>
      </c>
      <c r="I1757" s="2" t="s">
        <v>230</v>
      </c>
      <c r="J1757" s="2" t="s">
        <v>161</v>
      </c>
      <c r="K1757" t="s">
        <v>18</v>
      </c>
      <c r="L1757" t="str">
        <f>T("9791173261091")</f>
        <v>9791173261091</v>
      </c>
      <c r="M1757" t="str">
        <f t="shared" si="73"/>
        <v/>
      </c>
      <c r="N1757" t="s">
        <v>231</v>
      </c>
    </row>
    <row r="1758" spans="1:14">
      <c r="A1758" s="1">
        <v>46068.67690972222</v>
      </c>
      <c r="B1758">
        <v>379527576</v>
      </c>
      <c r="C1758" s="2" t="s">
        <v>150</v>
      </c>
      <c r="D1758" t="s">
        <v>15</v>
      </c>
      <c r="E1758" s="5">
        <v>1000</v>
      </c>
      <c r="F1758" s="3">
        <v>1000</v>
      </c>
      <c r="G1758" s="2">
        <v>700</v>
      </c>
      <c r="I1758" s="2" t="s">
        <v>148</v>
      </c>
      <c r="J1758" s="2" t="s">
        <v>21</v>
      </c>
      <c r="K1758" t="s">
        <v>18</v>
      </c>
      <c r="L1758" t="str">
        <f>T("9791175580541")</f>
        <v>9791175580541</v>
      </c>
      <c r="M1758" t="str">
        <f t="shared" si="73"/>
        <v/>
      </c>
      <c r="N1758" t="s">
        <v>151</v>
      </c>
    </row>
    <row r="1759" spans="1:14">
      <c r="A1759" s="1">
        <v>46068.678472222222</v>
      </c>
      <c r="B1759">
        <v>297949802</v>
      </c>
      <c r="C1759" s="2" t="s">
        <v>1993</v>
      </c>
      <c r="D1759" t="s">
        <v>15</v>
      </c>
      <c r="E1759" s="5">
        <v>3300</v>
      </c>
      <c r="F1759" s="3">
        <v>3300</v>
      </c>
      <c r="G1759" s="3">
        <v>2310</v>
      </c>
      <c r="I1759" s="2" t="s">
        <v>1994</v>
      </c>
      <c r="J1759" s="2" t="s">
        <v>126</v>
      </c>
      <c r="K1759" t="s">
        <v>18</v>
      </c>
      <c r="L1759" t="str">
        <f>T("9791164977130")</f>
        <v>9791164977130</v>
      </c>
      <c r="M1759" t="str">
        <f t="shared" si="73"/>
        <v/>
      </c>
      <c r="N1759" t="s">
        <v>1995</v>
      </c>
    </row>
    <row r="1760" spans="1:14">
      <c r="A1760" s="1">
        <v>46068.678472222222</v>
      </c>
      <c r="B1760">
        <v>297949805</v>
      </c>
      <c r="C1760" s="2" t="s">
        <v>1996</v>
      </c>
      <c r="D1760" t="s">
        <v>15</v>
      </c>
      <c r="E1760" s="5">
        <v>4100</v>
      </c>
      <c r="F1760" s="3">
        <v>4100</v>
      </c>
      <c r="G1760" s="3">
        <v>2870</v>
      </c>
      <c r="I1760" s="2" t="s">
        <v>1994</v>
      </c>
      <c r="J1760" s="2" t="s">
        <v>126</v>
      </c>
      <c r="K1760" t="s">
        <v>18</v>
      </c>
      <c r="L1760" t="str">
        <f>T("9791164977154")</f>
        <v>9791164977154</v>
      </c>
      <c r="M1760" t="str">
        <f t="shared" si="73"/>
        <v/>
      </c>
      <c r="N1760" t="s">
        <v>1997</v>
      </c>
    </row>
    <row r="1761" spans="1:14">
      <c r="A1761" s="1">
        <v>46068.678472222222</v>
      </c>
      <c r="B1761">
        <v>297949780</v>
      </c>
      <c r="C1761" s="2" t="s">
        <v>1998</v>
      </c>
      <c r="D1761" t="s">
        <v>15</v>
      </c>
      <c r="E1761" s="5">
        <v>3100</v>
      </c>
      <c r="F1761" s="3">
        <v>3100</v>
      </c>
      <c r="G1761" s="3">
        <v>2170</v>
      </c>
      <c r="I1761" s="2" t="s">
        <v>1994</v>
      </c>
      <c r="J1761" s="2" t="s">
        <v>126</v>
      </c>
      <c r="K1761" t="s">
        <v>18</v>
      </c>
      <c r="L1761" t="str">
        <f>T("9791164977147")</f>
        <v>9791164977147</v>
      </c>
      <c r="M1761" t="str">
        <f t="shared" si="73"/>
        <v/>
      </c>
      <c r="N1761" t="s">
        <v>1999</v>
      </c>
    </row>
    <row r="1762" spans="1:14">
      <c r="A1762" s="1">
        <v>46068.684907407405</v>
      </c>
      <c r="B1762">
        <v>386057280</v>
      </c>
      <c r="C1762" s="2" t="s">
        <v>1733</v>
      </c>
      <c r="D1762" t="s">
        <v>68</v>
      </c>
      <c r="E1762" s="5">
        <v>10500</v>
      </c>
      <c r="F1762" s="3">
        <v>10500</v>
      </c>
      <c r="G1762" s="3">
        <v>7350</v>
      </c>
      <c r="I1762" s="2" t="s">
        <v>1734</v>
      </c>
      <c r="J1762" s="2" t="s">
        <v>197</v>
      </c>
      <c r="K1762" t="s">
        <v>18</v>
      </c>
      <c r="L1762" t="str">
        <f>T("9791164092130")</f>
        <v>9791164092130</v>
      </c>
      <c r="M1762" t="str">
        <f t="shared" si="73"/>
        <v/>
      </c>
    </row>
    <row r="1763" spans="1:14">
      <c r="A1763" s="1">
        <v>46068.690509259257</v>
      </c>
      <c r="B1763">
        <v>277935478</v>
      </c>
      <c r="C1763" s="2" t="s">
        <v>2000</v>
      </c>
      <c r="D1763" t="s">
        <v>15</v>
      </c>
      <c r="E1763" s="4">
        <v>100</v>
      </c>
      <c r="F1763" s="2">
        <v>100</v>
      </c>
      <c r="G1763" s="2">
        <v>70</v>
      </c>
      <c r="I1763" s="2" t="s">
        <v>64</v>
      </c>
      <c r="J1763" s="2" t="s">
        <v>65</v>
      </c>
      <c r="K1763" t="s">
        <v>18</v>
      </c>
      <c r="L1763" t="str">
        <f t="shared" ref="L1763:L1772" si="74">T("9791162589724")</f>
        <v>9791162589724</v>
      </c>
      <c r="M1763" t="str">
        <f t="shared" si="73"/>
        <v/>
      </c>
      <c r="N1763" t="s">
        <v>2001</v>
      </c>
    </row>
    <row r="1764" spans="1:14">
      <c r="A1764" s="1">
        <v>46068.690509259257</v>
      </c>
      <c r="B1764">
        <v>277935479</v>
      </c>
      <c r="C1764" s="2" t="s">
        <v>1689</v>
      </c>
      <c r="D1764" t="s">
        <v>15</v>
      </c>
      <c r="E1764" s="4">
        <v>100</v>
      </c>
      <c r="F1764" s="2">
        <v>100</v>
      </c>
      <c r="G1764" s="2">
        <v>70</v>
      </c>
      <c r="I1764" s="2" t="s">
        <v>64</v>
      </c>
      <c r="J1764" s="2" t="s">
        <v>65</v>
      </c>
      <c r="K1764" t="s">
        <v>18</v>
      </c>
      <c r="L1764" t="str">
        <f t="shared" si="74"/>
        <v>9791162589724</v>
      </c>
      <c r="M1764" t="str">
        <f t="shared" si="73"/>
        <v/>
      </c>
      <c r="N1764" t="s">
        <v>1690</v>
      </c>
    </row>
    <row r="1765" spans="1:14">
      <c r="A1765" s="1">
        <v>46068.690509259257</v>
      </c>
      <c r="B1765">
        <v>277935616</v>
      </c>
      <c r="C1765" s="2" t="s">
        <v>2002</v>
      </c>
      <c r="D1765" t="s">
        <v>15</v>
      </c>
      <c r="E1765" s="4">
        <v>100</v>
      </c>
      <c r="F1765" s="2">
        <v>100</v>
      </c>
      <c r="G1765" s="2">
        <v>70</v>
      </c>
      <c r="I1765" s="2" t="s">
        <v>64</v>
      </c>
      <c r="J1765" s="2" t="s">
        <v>65</v>
      </c>
      <c r="K1765" t="s">
        <v>18</v>
      </c>
      <c r="L1765" t="str">
        <f t="shared" si="74"/>
        <v>9791162589724</v>
      </c>
      <c r="M1765" t="str">
        <f t="shared" si="73"/>
        <v/>
      </c>
      <c r="N1765" t="s">
        <v>2003</v>
      </c>
    </row>
    <row r="1766" spans="1:14">
      <c r="A1766" s="1">
        <v>46068.690509259257</v>
      </c>
      <c r="B1766">
        <v>277935622</v>
      </c>
      <c r="C1766" s="2" t="s">
        <v>1062</v>
      </c>
      <c r="D1766" t="s">
        <v>15</v>
      </c>
      <c r="E1766" s="4">
        <v>100</v>
      </c>
      <c r="F1766" s="2">
        <v>100</v>
      </c>
      <c r="G1766" s="2">
        <v>70</v>
      </c>
      <c r="I1766" s="2" t="s">
        <v>64</v>
      </c>
      <c r="J1766" s="2" t="s">
        <v>65</v>
      </c>
      <c r="K1766" t="s">
        <v>18</v>
      </c>
      <c r="L1766" t="str">
        <f t="shared" si="74"/>
        <v>9791162589724</v>
      </c>
      <c r="M1766" t="str">
        <f t="shared" si="73"/>
        <v/>
      </c>
      <c r="N1766" t="s">
        <v>1063</v>
      </c>
    </row>
    <row r="1767" spans="1:14">
      <c r="A1767" s="1">
        <v>46068.690509259257</v>
      </c>
      <c r="B1767">
        <v>277935666</v>
      </c>
      <c r="C1767" s="2" t="s">
        <v>1409</v>
      </c>
      <c r="D1767" t="s">
        <v>15</v>
      </c>
      <c r="E1767" s="4">
        <v>100</v>
      </c>
      <c r="F1767" s="2">
        <v>100</v>
      </c>
      <c r="G1767" s="2">
        <v>70</v>
      </c>
      <c r="I1767" s="2" t="s">
        <v>64</v>
      </c>
      <c r="J1767" s="2" t="s">
        <v>65</v>
      </c>
      <c r="K1767" t="s">
        <v>18</v>
      </c>
      <c r="L1767" t="str">
        <f t="shared" si="74"/>
        <v>9791162589724</v>
      </c>
      <c r="M1767" t="str">
        <f t="shared" si="73"/>
        <v/>
      </c>
      <c r="N1767" t="s">
        <v>1410</v>
      </c>
    </row>
    <row r="1768" spans="1:14">
      <c r="A1768" s="1">
        <v>46068.690509259257</v>
      </c>
      <c r="B1768">
        <v>277935662</v>
      </c>
      <c r="C1768" s="2" t="s">
        <v>2004</v>
      </c>
      <c r="D1768" t="s">
        <v>15</v>
      </c>
      <c r="E1768" s="4">
        <v>100</v>
      </c>
      <c r="F1768" s="2">
        <v>100</v>
      </c>
      <c r="G1768" s="2">
        <v>70</v>
      </c>
      <c r="I1768" s="2" t="s">
        <v>64</v>
      </c>
      <c r="J1768" s="2" t="s">
        <v>65</v>
      </c>
      <c r="K1768" t="s">
        <v>18</v>
      </c>
      <c r="L1768" t="str">
        <f t="shared" si="74"/>
        <v>9791162589724</v>
      </c>
      <c r="M1768" t="str">
        <f t="shared" si="73"/>
        <v/>
      </c>
      <c r="N1768" t="s">
        <v>2005</v>
      </c>
    </row>
    <row r="1769" spans="1:14">
      <c r="A1769" s="1">
        <v>46068.690509259257</v>
      </c>
      <c r="B1769">
        <v>277935718</v>
      </c>
      <c r="C1769" s="2" t="s">
        <v>2006</v>
      </c>
      <c r="D1769" t="s">
        <v>15</v>
      </c>
      <c r="E1769" s="4">
        <v>100</v>
      </c>
      <c r="F1769" s="2">
        <v>100</v>
      </c>
      <c r="G1769" s="2">
        <v>70</v>
      </c>
      <c r="I1769" s="2" t="s">
        <v>64</v>
      </c>
      <c r="J1769" s="2" t="s">
        <v>65</v>
      </c>
      <c r="K1769" t="s">
        <v>18</v>
      </c>
      <c r="L1769" t="str">
        <f t="shared" si="74"/>
        <v>9791162589724</v>
      </c>
      <c r="M1769" t="str">
        <f t="shared" si="73"/>
        <v/>
      </c>
      <c r="N1769" t="s">
        <v>2007</v>
      </c>
    </row>
    <row r="1770" spans="1:14">
      <c r="A1770" s="1">
        <v>46068.690509259257</v>
      </c>
      <c r="B1770">
        <v>277935723</v>
      </c>
      <c r="C1770" s="2" t="s">
        <v>700</v>
      </c>
      <c r="D1770" t="s">
        <v>15</v>
      </c>
      <c r="E1770" s="4">
        <v>100</v>
      </c>
      <c r="F1770" s="2">
        <v>100</v>
      </c>
      <c r="G1770" s="2">
        <v>70</v>
      </c>
      <c r="I1770" s="2" t="s">
        <v>64</v>
      </c>
      <c r="J1770" s="2" t="s">
        <v>65</v>
      </c>
      <c r="K1770" t="s">
        <v>18</v>
      </c>
      <c r="L1770" t="str">
        <f t="shared" si="74"/>
        <v>9791162589724</v>
      </c>
      <c r="M1770" t="str">
        <f t="shared" si="73"/>
        <v/>
      </c>
      <c r="N1770" t="s">
        <v>701</v>
      </c>
    </row>
    <row r="1771" spans="1:14">
      <c r="A1771" s="1">
        <v>46068.690509259257</v>
      </c>
      <c r="B1771">
        <v>277935712</v>
      </c>
      <c r="C1771" s="2" t="s">
        <v>2008</v>
      </c>
      <c r="D1771" t="s">
        <v>15</v>
      </c>
      <c r="E1771" s="4">
        <v>100</v>
      </c>
      <c r="F1771" s="2">
        <v>100</v>
      </c>
      <c r="G1771" s="2">
        <v>70</v>
      </c>
      <c r="I1771" s="2" t="s">
        <v>64</v>
      </c>
      <c r="J1771" s="2" t="s">
        <v>65</v>
      </c>
      <c r="K1771" t="s">
        <v>18</v>
      </c>
      <c r="L1771" t="str">
        <f t="shared" si="74"/>
        <v>9791162589724</v>
      </c>
      <c r="M1771" t="str">
        <f t="shared" si="73"/>
        <v/>
      </c>
      <c r="N1771" t="s">
        <v>2009</v>
      </c>
    </row>
    <row r="1772" spans="1:14">
      <c r="A1772" s="1">
        <v>46068.690509259257</v>
      </c>
      <c r="B1772">
        <v>277935717</v>
      </c>
      <c r="C1772" s="2" t="s">
        <v>702</v>
      </c>
      <c r="D1772" t="s">
        <v>15</v>
      </c>
      <c r="E1772" s="4">
        <v>100</v>
      </c>
      <c r="F1772" s="2">
        <v>100</v>
      </c>
      <c r="G1772" s="2">
        <v>70</v>
      </c>
      <c r="I1772" s="2" t="s">
        <v>64</v>
      </c>
      <c r="J1772" s="2" t="s">
        <v>65</v>
      </c>
      <c r="K1772" t="s">
        <v>18</v>
      </c>
      <c r="L1772" t="str">
        <f t="shared" si="74"/>
        <v>9791162589724</v>
      </c>
      <c r="M1772" t="str">
        <f t="shared" si="73"/>
        <v/>
      </c>
      <c r="N1772" t="s">
        <v>703</v>
      </c>
    </row>
    <row r="1773" spans="1:14">
      <c r="A1773" s="1">
        <v>46068.710335648146</v>
      </c>
      <c r="B1773">
        <v>378947390</v>
      </c>
      <c r="C1773" s="2" t="s">
        <v>1104</v>
      </c>
      <c r="D1773" t="s">
        <v>68</v>
      </c>
      <c r="E1773" s="5">
        <v>3360</v>
      </c>
      <c r="F1773" s="3">
        <v>3360</v>
      </c>
      <c r="G1773" s="3">
        <v>2352</v>
      </c>
      <c r="I1773" s="2" t="s">
        <v>1105</v>
      </c>
      <c r="J1773" s="2" t="s">
        <v>197</v>
      </c>
      <c r="K1773" t="s">
        <v>18</v>
      </c>
      <c r="L1773" t="str">
        <f>T("9791172822002")</f>
        <v>9791172822002</v>
      </c>
      <c r="M1773" t="str">
        <f t="shared" si="73"/>
        <v/>
      </c>
    </row>
    <row r="1774" spans="1:14">
      <c r="A1774" s="1">
        <v>46068.748969907407</v>
      </c>
      <c r="B1774">
        <v>301691602</v>
      </c>
      <c r="C1774" s="2" t="s">
        <v>210</v>
      </c>
      <c r="D1774" t="s">
        <v>15</v>
      </c>
      <c r="E1774" s="5">
        <v>1300</v>
      </c>
      <c r="F1774" s="3">
        <v>1300</v>
      </c>
      <c r="G1774" s="2">
        <v>910</v>
      </c>
      <c r="I1774" s="2" t="s">
        <v>211</v>
      </c>
      <c r="J1774" s="2" t="s">
        <v>21</v>
      </c>
      <c r="K1774" t="s">
        <v>18</v>
      </c>
      <c r="L1774" t="str">
        <f>T("9791167834294")</f>
        <v>9791167834294</v>
      </c>
      <c r="M1774" t="str">
        <f t="shared" si="73"/>
        <v/>
      </c>
    </row>
    <row r="1775" spans="1:14">
      <c r="A1775" s="1">
        <v>46068.772523148145</v>
      </c>
      <c r="B1775">
        <v>371345723</v>
      </c>
      <c r="C1775" s="2" t="s">
        <v>525</v>
      </c>
      <c r="D1775" t="s">
        <v>15</v>
      </c>
      <c r="E1775" s="5">
        <v>3300</v>
      </c>
      <c r="F1775" s="3">
        <v>2970</v>
      </c>
      <c r="G1775" s="3">
        <v>2079</v>
      </c>
      <c r="I1775" s="2" t="s">
        <v>196</v>
      </c>
      <c r="J1775" s="2" t="s">
        <v>197</v>
      </c>
      <c r="K1775" t="s">
        <v>18</v>
      </c>
      <c r="L1775" t="str">
        <f>T("9791172821692")</f>
        <v>9791172821692</v>
      </c>
      <c r="M1775" t="str">
        <f t="shared" si="73"/>
        <v/>
      </c>
      <c r="N1775" t="s">
        <v>526</v>
      </c>
    </row>
    <row r="1776" spans="1:14">
      <c r="A1776" s="1">
        <v>46068.772557870368</v>
      </c>
      <c r="B1776">
        <v>385347797</v>
      </c>
      <c r="C1776" s="2" t="s">
        <v>195</v>
      </c>
      <c r="D1776" t="s">
        <v>15</v>
      </c>
      <c r="E1776" s="4">
        <v>700</v>
      </c>
      <c r="F1776" s="2">
        <v>630</v>
      </c>
      <c r="G1776" s="2">
        <v>441</v>
      </c>
      <c r="I1776" s="2" t="s">
        <v>196</v>
      </c>
      <c r="J1776" s="2" t="s">
        <v>197</v>
      </c>
      <c r="K1776" t="s">
        <v>18</v>
      </c>
      <c r="L1776" t="str">
        <f>T("9791172821937")</f>
        <v>9791172821937</v>
      </c>
      <c r="M1776" t="str">
        <f t="shared" si="73"/>
        <v/>
      </c>
      <c r="N1776" t="s">
        <v>198</v>
      </c>
    </row>
    <row r="1777" spans="1:14">
      <c r="A1777" s="1">
        <v>46068.774641203701</v>
      </c>
      <c r="B1777">
        <v>374946701</v>
      </c>
      <c r="C1777" s="2" t="s">
        <v>2010</v>
      </c>
      <c r="D1777" t="s">
        <v>15</v>
      </c>
      <c r="E1777" s="5">
        <v>3200</v>
      </c>
      <c r="F1777" s="3">
        <v>3200</v>
      </c>
      <c r="G1777" s="3">
        <v>2240</v>
      </c>
      <c r="I1777" s="2" t="s">
        <v>16</v>
      </c>
      <c r="J1777" s="2" t="s">
        <v>17</v>
      </c>
      <c r="K1777" t="s">
        <v>18</v>
      </c>
      <c r="L1777" t="str">
        <f>T("9791189360634")</f>
        <v>9791189360634</v>
      </c>
      <c r="M1777" t="str">
        <f t="shared" si="73"/>
        <v/>
      </c>
      <c r="N1777" t="s">
        <v>2011</v>
      </c>
    </row>
    <row r="1778" spans="1:14">
      <c r="A1778" s="1">
        <v>46068.774641203701</v>
      </c>
      <c r="B1778">
        <v>374946737</v>
      </c>
      <c r="C1778" s="2" t="s">
        <v>2012</v>
      </c>
      <c r="D1778" t="s">
        <v>15</v>
      </c>
      <c r="E1778" s="5">
        <v>3200</v>
      </c>
      <c r="F1778" s="3">
        <v>3200</v>
      </c>
      <c r="G1778" s="3">
        <v>2240</v>
      </c>
      <c r="I1778" s="2" t="s">
        <v>16</v>
      </c>
      <c r="J1778" s="2" t="s">
        <v>17</v>
      </c>
      <c r="K1778" t="s">
        <v>18</v>
      </c>
      <c r="L1778" t="str">
        <f>T("9791189360641")</f>
        <v>9791189360641</v>
      </c>
      <c r="M1778" t="str">
        <f t="shared" ref="M1778:M1809" si="75">T("")</f>
        <v/>
      </c>
      <c r="N1778" t="s">
        <v>2013</v>
      </c>
    </row>
    <row r="1779" spans="1:14">
      <c r="A1779" s="1">
        <v>46068.785555555558</v>
      </c>
      <c r="B1779">
        <v>379511327</v>
      </c>
      <c r="C1779" s="2" t="s">
        <v>262</v>
      </c>
      <c r="D1779" t="s">
        <v>15</v>
      </c>
      <c r="E1779" s="5">
        <v>3300</v>
      </c>
      <c r="F1779" s="3">
        <v>3300</v>
      </c>
      <c r="G1779" s="3">
        <v>2310</v>
      </c>
      <c r="I1779" s="2" t="s">
        <v>263</v>
      </c>
      <c r="J1779" s="2" t="s">
        <v>126</v>
      </c>
      <c r="K1779" t="s">
        <v>18</v>
      </c>
      <c r="L1779" t="str">
        <f>T("9791171502875")</f>
        <v>9791171502875</v>
      </c>
      <c r="M1779" t="str">
        <f t="shared" si="75"/>
        <v/>
      </c>
      <c r="N1779" t="s">
        <v>264</v>
      </c>
    </row>
    <row r="1780" spans="1:14">
      <c r="A1780" s="1">
        <v>46068.789942129632</v>
      </c>
      <c r="B1780">
        <v>277935800</v>
      </c>
      <c r="C1780" s="2" t="s">
        <v>1877</v>
      </c>
      <c r="D1780" t="s">
        <v>15</v>
      </c>
      <c r="E1780" s="4">
        <v>100</v>
      </c>
      <c r="F1780" s="2">
        <v>100</v>
      </c>
      <c r="G1780" s="2">
        <v>70</v>
      </c>
      <c r="I1780" s="2" t="s">
        <v>64</v>
      </c>
      <c r="J1780" s="2" t="s">
        <v>65</v>
      </c>
      <c r="K1780" t="s">
        <v>18</v>
      </c>
      <c r="L1780" t="str">
        <f>T("9791162589724")</f>
        <v>9791162589724</v>
      </c>
      <c r="M1780" t="str">
        <f t="shared" si="75"/>
        <v/>
      </c>
      <c r="N1780" t="s">
        <v>1878</v>
      </c>
    </row>
    <row r="1781" spans="1:14">
      <c r="A1781" s="1">
        <v>46068.789942129632</v>
      </c>
      <c r="B1781">
        <v>277935798</v>
      </c>
      <c r="C1781" s="2" t="s">
        <v>1875</v>
      </c>
      <c r="D1781" t="s">
        <v>15</v>
      </c>
      <c r="E1781" s="4">
        <v>100</v>
      </c>
      <c r="F1781" s="2">
        <v>100</v>
      </c>
      <c r="G1781" s="2">
        <v>70</v>
      </c>
      <c r="I1781" s="2" t="s">
        <v>64</v>
      </c>
      <c r="J1781" s="2" t="s">
        <v>65</v>
      </c>
      <c r="K1781" t="s">
        <v>18</v>
      </c>
      <c r="L1781" t="str">
        <f>T("9791162589724")</f>
        <v>9791162589724</v>
      </c>
      <c r="M1781" t="str">
        <f t="shared" si="75"/>
        <v/>
      </c>
      <c r="N1781" t="s">
        <v>1876</v>
      </c>
    </row>
    <row r="1782" spans="1:14">
      <c r="A1782" s="1">
        <v>46068.789942129632</v>
      </c>
      <c r="B1782">
        <v>277935705</v>
      </c>
      <c r="C1782" s="2" t="s">
        <v>1873</v>
      </c>
      <c r="D1782" t="s">
        <v>15</v>
      </c>
      <c r="E1782" s="4">
        <v>100</v>
      </c>
      <c r="F1782" s="2">
        <v>100</v>
      </c>
      <c r="G1782" s="2">
        <v>70</v>
      </c>
      <c r="I1782" s="2" t="s">
        <v>64</v>
      </c>
      <c r="J1782" s="2" t="s">
        <v>65</v>
      </c>
      <c r="K1782" t="s">
        <v>18</v>
      </c>
      <c r="L1782" t="str">
        <f>T("9791162589724")</f>
        <v>9791162589724</v>
      </c>
      <c r="M1782" t="str">
        <f t="shared" si="75"/>
        <v/>
      </c>
      <c r="N1782" t="s">
        <v>1874</v>
      </c>
    </row>
    <row r="1783" spans="1:14">
      <c r="A1783" s="1">
        <v>46068.819930555554</v>
      </c>
      <c r="B1783">
        <v>271933174</v>
      </c>
      <c r="C1783" s="2" t="s">
        <v>45</v>
      </c>
      <c r="D1783" t="s">
        <v>15</v>
      </c>
      <c r="E1783" s="5">
        <v>3000</v>
      </c>
      <c r="F1783" s="3">
        <v>3000</v>
      </c>
      <c r="G1783" s="3">
        <v>2100</v>
      </c>
      <c r="I1783" s="2" t="s">
        <v>44</v>
      </c>
      <c r="J1783" s="2" t="s">
        <v>21</v>
      </c>
      <c r="K1783" t="s">
        <v>18</v>
      </c>
      <c r="L1783" t="str">
        <f>T("9791191337068")</f>
        <v>9791191337068</v>
      </c>
      <c r="M1783" t="str">
        <f t="shared" si="75"/>
        <v/>
      </c>
    </row>
    <row r="1784" spans="1:14">
      <c r="A1784" s="1">
        <v>46068.820127314815</v>
      </c>
      <c r="B1784">
        <v>366269724</v>
      </c>
      <c r="C1784" s="2" t="s">
        <v>2014</v>
      </c>
      <c r="D1784" t="s">
        <v>15</v>
      </c>
      <c r="E1784" s="5">
        <v>4200</v>
      </c>
      <c r="F1784" s="3">
        <v>4200</v>
      </c>
      <c r="G1784" s="3">
        <v>2940</v>
      </c>
      <c r="I1784" s="2" t="s">
        <v>2015</v>
      </c>
      <c r="J1784" s="2" t="s">
        <v>21</v>
      </c>
      <c r="K1784" t="s">
        <v>18</v>
      </c>
      <c r="L1784" t="str">
        <f>T("9791170895275")</f>
        <v>9791170895275</v>
      </c>
      <c r="M1784" t="str">
        <f t="shared" si="75"/>
        <v/>
      </c>
    </row>
    <row r="1785" spans="1:14">
      <c r="A1785" s="1">
        <v>46068.824386574073</v>
      </c>
      <c r="B1785">
        <v>360411017</v>
      </c>
      <c r="C1785" s="2" t="s">
        <v>2016</v>
      </c>
      <c r="D1785" t="s">
        <v>15</v>
      </c>
      <c r="E1785" s="5">
        <v>1000</v>
      </c>
      <c r="F1785" s="3">
        <v>1000</v>
      </c>
      <c r="G1785" s="2">
        <v>700</v>
      </c>
      <c r="I1785" s="2" t="s">
        <v>2017</v>
      </c>
      <c r="J1785" s="2" t="s">
        <v>21</v>
      </c>
      <c r="K1785" t="s">
        <v>18</v>
      </c>
      <c r="L1785" t="str">
        <f>T("9791173013126")</f>
        <v>9791173013126</v>
      </c>
      <c r="M1785" t="str">
        <f t="shared" si="75"/>
        <v/>
      </c>
      <c r="N1785" t="s">
        <v>2018</v>
      </c>
    </row>
    <row r="1786" spans="1:14">
      <c r="A1786" s="1">
        <v>46068.833634259259</v>
      </c>
      <c r="B1786">
        <v>379511327</v>
      </c>
      <c r="C1786" s="2" t="s">
        <v>262</v>
      </c>
      <c r="D1786" t="s">
        <v>15</v>
      </c>
      <c r="E1786" s="5">
        <v>3300</v>
      </c>
      <c r="F1786" s="3">
        <v>3300</v>
      </c>
      <c r="G1786" s="3">
        <v>2310</v>
      </c>
      <c r="I1786" s="2" t="s">
        <v>263</v>
      </c>
      <c r="J1786" s="2" t="s">
        <v>126</v>
      </c>
      <c r="K1786" t="s">
        <v>18</v>
      </c>
      <c r="L1786" t="str">
        <f>T("9791171502875")</f>
        <v>9791171502875</v>
      </c>
      <c r="M1786" t="str">
        <f t="shared" si="75"/>
        <v/>
      </c>
      <c r="N1786" t="s">
        <v>264</v>
      </c>
    </row>
    <row r="1787" spans="1:14">
      <c r="A1787" s="1">
        <v>46068.845983796295</v>
      </c>
      <c r="B1787">
        <v>386057128</v>
      </c>
      <c r="C1787" s="2" t="s">
        <v>1797</v>
      </c>
      <c r="D1787" t="s">
        <v>15</v>
      </c>
      <c r="E1787" s="5">
        <v>16800</v>
      </c>
      <c r="F1787" s="3">
        <v>16800</v>
      </c>
      <c r="G1787" s="3">
        <v>11760</v>
      </c>
      <c r="I1787" s="2" t="s">
        <v>540</v>
      </c>
      <c r="J1787" s="2" t="s">
        <v>197</v>
      </c>
      <c r="K1787" t="s">
        <v>18</v>
      </c>
      <c r="L1787" t="str">
        <f>T("9791164098934")</f>
        <v>9791164098934</v>
      </c>
      <c r="M1787" t="str">
        <f t="shared" si="75"/>
        <v/>
      </c>
    </row>
    <row r="1788" spans="1:14">
      <c r="A1788" s="1">
        <v>46068.851215277777</v>
      </c>
      <c r="B1788">
        <v>385782810</v>
      </c>
      <c r="C1788" s="2" t="s">
        <v>1167</v>
      </c>
      <c r="D1788" t="s">
        <v>15</v>
      </c>
      <c r="E1788" s="5">
        <v>2000</v>
      </c>
      <c r="F1788" s="3">
        <v>1800</v>
      </c>
      <c r="G1788" s="3">
        <v>1260</v>
      </c>
      <c r="I1788" s="2" t="s">
        <v>1141</v>
      </c>
      <c r="J1788" s="2" t="s">
        <v>184</v>
      </c>
      <c r="K1788" t="s">
        <v>18</v>
      </c>
      <c r="L1788" t="str">
        <f>T("9791170965671")</f>
        <v>9791170965671</v>
      </c>
      <c r="M1788" t="str">
        <f t="shared" si="75"/>
        <v/>
      </c>
      <c r="N1788" t="s">
        <v>1168</v>
      </c>
    </row>
    <row r="1789" spans="1:14">
      <c r="A1789" s="1">
        <v>46068.856851851851</v>
      </c>
      <c r="B1789">
        <v>277935697</v>
      </c>
      <c r="C1789" s="2" t="s">
        <v>2019</v>
      </c>
      <c r="D1789" t="s">
        <v>15</v>
      </c>
      <c r="E1789" s="4">
        <v>100</v>
      </c>
      <c r="F1789" s="2">
        <v>100</v>
      </c>
      <c r="G1789" s="2">
        <v>70</v>
      </c>
      <c r="I1789" s="2" t="s">
        <v>64</v>
      </c>
      <c r="J1789" s="2" t="s">
        <v>65</v>
      </c>
      <c r="K1789" t="s">
        <v>18</v>
      </c>
      <c r="L1789" t="str">
        <f t="shared" ref="L1789:L1798" si="76">T("9791162589724")</f>
        <v>9791162589724</v>
      </c>
      <c r="M1789" t="str">
        <f t="shared" si="75"/>
        <v/>
      </c>
      <c r="N1789" t="s">
        <v>2020</v>
      </c>
    </row>
    <row r="1790" spans="1:14">
      <c r="A1790" s="1">
        <v>46068.856851851851</v>
      </c>
      <c r="B1790">
        <v>277935693</v>
      </c>
      <c r="C1790" s="2" t="s">
        <v>2021</v>
      </c>
      <c r="D1790" t="s">
        <v>15</v>
      </c>
      <c r="E1790" s="4">
        <v>100</v>
      </c>
      <c r="F1790" s="2">
        <v>100</v>
      </c>
      <c r="G1790" s="2">
        <v>70</v>
      </c>
      <c r="I1790" s="2" t="s">
        <v>64</v>
      </c>
      <c r="J1790" s="2" t="s">
        <v>65</v>
      </c>
      <c r="K1790" t="s">
        <v>18</v>
      </c>
      <c r="L1790" t="str">
        <f t="shared" si="76"/>
        <v>9791162589724</v>
      </c>
      <c r="M1790" t="str">
        <f t="shared" si="75"/>
        <v/>
      </c>
      <c r="N1790" t="s">
        <v>2022</v>
      </c>
    </row>
    <row r="1791" spans="1:14">
      <c r="A1791" s="1">
        <v>46068.856851851851</v>
      </c>
      <c r="B1791">
        <v>277935655</v>
      </c>
      <c r="C1791" s="2" t="s">
        <v>1945</v>
      </c>
      <c r="D1791" t="s">
        <v>15</v>
      </c>
      <c r="E1791" s="4">
        <v>100</v>
      </c>
      <c r="F1791" s="2">
        <v>100</v>
      </c>
      <c r="G1791" s="2">
        <v>70</v>
      </c>
      <c r="I1791" s="2" t="s">
        <v>64</v>
      </c>
      <c r="J1791" s="2" t="s">
        <v>65</v>
      </c>
      <c r="K1791" t="s">
        <v>18</v>
      </c>
      <c r="L1791" t="str">
        <f t="shared" si="76"/>
        <v>9791162589724</v>
      </c>
      <c r="M1791" t="str">
        <f t="shared" si="75"/>
        <v/>
      </c>
      <c r="N1791" t="s">
        <v>1946</v>
      </c>
    </row>
    <row r="1792" spans="1:14">
      <c r="A1792" s="1">
        <v>46068.856851851851</v>
      </c>
      <c r="B1792">
        <v>277935650</v>
      </c>
      <c r="C1792" s="2" t="s">
        <v>2023</v>
      </c>
      <c r="D1792" t="s">
        <v>15</v>
      </c>
      <c r="E1792" s="4">
        <v>100</v>
      </c>
      <c r="F1792" s="2">
        <v>100</v>
      </c>
      <c r="G1792" s="2">
        <v>70</v>
      </c>
      <c r="I1792" s="2" t="s">
        <v>64</v>
      </c>
      <c r="J1792" s="2" t="s">
        <v>65</v>
      </c>
      <c r="K1792" t="s">
        <v>18</v>
      </c>
      <c r="L1792" t="str">
        <f t="shared" si="76"/>
        <v>9791162589724</v>
      </c>
      <c r="M1792" t="str">
        <f t="shared" si="75"/>
        <v/>
      </c>
      <c r="N1792" t="s">
        <v>2024</v>
      </c>
    </row>
    <row r="1793" spans="1:14">
      <c r="A1793" s="1">
        <v>46068.856851851851</v>
      </c>
      <c r="B1793">
        <v>277935489</v>
      </c>
      <c r="C1793" s="2" t="s">
        <v>2025</v>
      </c>
      <c r="D1793" t="s">
        <v>15</v>
      </c>
      <c r="E1793" s="4">
        <v>100</v>
      </c>
      <c r="F1793" s="2">
        <v>100</v>
      </c>
      <c r="G1793" s="2">
        <v>70</v>
      </c>
      <c r="I1793" s="2" t="s">
        <v>64</v>
      </c>
      <c r="J1793" s="2" t="s">
        <v>65</v>
      </c>
      <c r="K1793" t="s">
        <v>18</v>
      </c>
      <c r="L1793" t="str">
        <f t="shared" si="76"/>
        <v>9791162589724</v>
      </c>
      <c r="M1793" t="str">
        <f t="shared" si="75"/>
        <v/>
      </c>
      <c r="N1793" t="s">
        <v>2026</v>
      </c>
    </row>
    <row r="1794" spans="1:14">
      <c r="A1794" s="1">
        <v>46068.856851851851</v>
      </c>
      <c r="B1794">
        <v>277935491</v>
      </c>
      <c r="C1794" s="2" t="s">
        <v>2027</v>
      </c>
      <c r="D1794" t="s">
        <v>15</v>
      </c>
      <c r="E1794" s="4">
        <v>100</v>
      </c>
      <c r="F1794" s="2">
        <v>100</v>
      </c>
      <c r="G1794" s="2">
        <v>70</v>
      </c>
      <c r="I1794" s="2" t="s">
        <v>64</v>
      </c>
      <c r="J1794" s="2" t="s">
        <v>65</v>
      </c>
      <c r="K1794" t="s">
        <v>18</v>
      </c>
      <c r="L1794" t="str">
        <f t="shared" si="76"/>
        <v>9791162589724</v>
      </c>
      <c r="M1794" t="str">
        <f t="shared" si="75"/>
        <v/>
      </c>
      <c r="N1794" t="s">
        <v>2028</v>
      </c>
    </row>
    <row r="1795" spans="1:14">
      <c r="A1795" s="1">
        <v>46068.856851851851</v>
      </c>
      <c r="B1795">
        <v>277935754</v>
      </c>
      <c r="C1795" s="2" t="s">
        <v>1011</v>
      </c>
      <c r="D1795" t="s">
        <v>15</v>
      </c>
      <c r="E1795" s="4">
        <v>100</v>
      </c>
      <c r="F1795" s="2">
        <v>100</v>
      </c>
      <c r="G1795" s="2">
        <v>70</v>
      </c>
      <c r="I1795" s="2" t="s">
        <v>64</v>
      </c>
      <c r="J1795" s="2" t="s">
        <v>65</v>
      </c>
      <c r="K1795" t="s">
        <v>18</v>
      </c>
      <c r="L1795" t="str">
        <f t="shared" si="76"/>
        <v>9791162589724</v>
      </c>
      <c r="M1795" t="str">
        <f t="shared" si="75"/>
        <v/>
      </c>
      <c r="N1795" t="s">
        <v>1012</v>
      </c>
    </row>
    <row r="1796" spans="1:14">
      <c r="A1796" s="1">
        <v>46068.856851851851</v>
      </c>
      <c r="B1796">
        <v>277935751</v>
      </c>
      <c r="C1796" s="2" t="s">
        <v>2029</v>
      </c>
      <c r="D1796" t="s">
        <v>15</v>
      </c>
      <c r="E1796" s="4">
        <v>100</v>
      </c>
      <c r="F1796" s="2">
        <v>100</v>
      </c>
      <c r="G1796" s="2">
        <v>70</v>
      </c>
      <c r="I1796" s="2" t="s">
        <v>64</v>
      </c>
      <c r="J1796" s="2" t="s">
        <v>65</v>
      </c>
      <c r="K1796" t="s">
        <v>18</v>
      </c>
      <c r="L1796" t="str">
        <f t="shared" si="76"/>
        <v>9791162589724</v>
      </c>
      <c r="M1796" t="str">
        <f t="shared" si="75"/>
        <v/>
      </c>
      <c r="N1796" t="s">
        <v>2030</v>
      </c>
    </row>
    <row r="1797" spans="1:14">
      <c r="A1797" s="1">
        <v>46068.856851851851</v>
      </c>
      <c r="B1797">
        <v>277935750</v>
      </c>
      <c r="C1797" s="2" t="s">
        <v>2031</v>
      </c>
      <c r="D1797" t="s">
        <v>15</v>
      </c>
      <c r="E1797" s="4">
        <v>100</v>
      </c>
      <c r="F1797" s="2">
        <v>100</v>
      </c>
      <c r="G1797" s="2">
        <v>70</v>
      </c>
      <c r="I1797" s="2" t="s">
        <v>64</v>
      </c>
      <c r="J1797" s="2" t="s">
        <v>65</v>
      </c>
      <c r="K1797" t="s">
        <v>18</v>
      </c>
      <c r="L1797" t="str">
        <f t="shared" si="76"/>
        <v>9791162589724</v>
      </c>
      <c r="M1797" t="str">
        <f t="shared" si="75"/>
        <v/>
      </c>
      <c r="N1797" t="s">
        <v>2032</v>
      </c>
    </row>
    <row r="1798" spans="1:14">
      <c r="A1798" s="1">
        <v>46068.856851851851</v>
      </c>
      <c r="B1798">
        <v>277935744</v>
      </c>
      <c r="C1798" s="2" t="s">
        <v>2033</v>
      </c>
      <c r="D1798" t="s">
        <v>15</v>
      </c>
      <c r="E1798" s="4">
        <v>100</v>
      </c>
      <c r="F1798" s="2">
        <v>100</v>
      </c>
      <c r="G1798" s="2">
        <v>70</v>
      </c>
      <c r="I1798" s="2" t="s">
        <v>64</v>
      </c>
      <c r="J1798" s="2" t="s">
        <v>65</v>
      </c>
      <c r="K1798" t="s">
        <v>18</v>
      </c>
      <c r="L1798" t="str">
        <f t="shared" si="76"/>
        <v>9791162589724</v>
      </c>
      <c r="M1798" t="str">
        <f t="shared" si="75"/>
        <v/>
      </c>
      <c r="N1798" t="s">
        <v>2034</v>
      </c>
    </row>
    <row r="1799" spans="1:14">
      <c r="A1799" s="1">
        <v>46068.867858796293</v>
      </c>
      <c r="B1799">
        <v>383004678</v>
      </c>
      <c r="C1799" s="2" t="s">
        <v>1776</v>
      </c>
      <c r="D1799" t="s">
        <v>68</v>
      </c>
      <c r="E1799" s="5">
        <v>5760</v>
      </c>
      <c r="F1799" s="3">
        <v>5760</v>
      </c>
      <c r="G1799" s="3">
        <v>4032</v>
      </c>
      <c r="I1799" s="2" t="s">
        <v>351</v>
      </c>
      <c r="J1799" s="2" t="s">
        <v>126</v>
      </c>
      <c r="K1799" t="s">
        <v>18</v>
      </c>
      <c r="L1799" t="str">
        <f>T("9791171502950")</f>
        <v>9791171502950</v>
      </c>
      <c r="M1799" t="str">
        <f t="shared" si="75"/>
        <v/>
      </c>
    </row>
    <row r="1800" spans="1:14">
      <c r="A1800" s="1">
        <v>46068.881898148145</v>
      </c>
      <c r="B1800">
        <v>229315688</v>
      </c>
      <c r="C1800" s="2" t="s">
        <v>1326</v>
      </c>
      <c r="D1800" t="s">
        <v>68</v>
      </c>
      <c r="E1800" s="5">
        <v>1200</v>
      </c>
      <c r="F1800" s="3">
        <v>1200</v>
      </c>
      <c r="G1800" s="2">
        <v>840</v>
      </c>
      <c r="I1800" s="2" t="s">
        <v>852</v>
      </c>
      <c r="J1800" s="2" t="s">
        <v>197</v>
      </c>
      <c r="K1800" t="s">
        <v>18</v>
      </c>
      <c r="L1800" t="str">
        <f>T("9791164090976")</f>
        <v>9791164090976</v>
      </c>
      <c r="M1800" t="str">
        <f t="shared" si="75"/>
        <v/>
      </c>
    </row>
    <row r="1801" spans="1:14">
      <c r="A1801" s="1">
        <v>46068.886990740742</v>
      </c>
      <c r="B1801">
        <v>277935663</v>
      </c>
      <c r="C1801" s="2" t="s">
        <v>2035</v>
      </c>
      <c r="D1801" t="s">
        <v>15</v>
      </c>
      <c r="E1801" s="4">
        <v>100</v>
      </c>
      <c r="F1801" s="2">
        <v>100</v>
      </c>
      <c r="G1801" s="2">
        <v>70</v>
      </c>
      <c r="I1801" s="2" t="s">
        <v>64</v>
      </c>
      <c r="J1801" s="2" t="s">
        <v>65</v>
      </c>
      <c r="K1801" t="s">
        <v>18</v>
      </c>
      <c r="L1801" t="str">
        <f>T("9791162589724")</f>
        <v>9791162589724</v>
      </c>
      <c r="M1801" t="str">
        <f t="shared" si="75"/>
        <v/>
      </c>
      <c r="N1801" t="s">
        <v>2036</v>
      </c>
    </row>
    <row r="1802" spans="1:14">
      <c r="A1802" s="1">
        <v>46068.88857638889</v>
      </c>
      <c r="B1802">
        <v>211909257</v>
      </c>
      <c r="C1802" s="2" t="s">
        <v>1665</v>
      </c>
      <c r="D1802" t="s">
        <v>15</v>
      </c>
      <c r="E1802" s="5">
        <v>6500</v>
      </c>
      <c r="F1802" s="3">
        <v>6500</v>
      </c>
      <c r="G1802" s="3">
        <v>4550</v>
      </c>
      <c r="I1802" s="2" t="s">
        <v>196</v>
      </c>
      <c r="J1802" s="2" t="s">
        <v>197</v>
      </c>
      <c r="K1802" t="s">
        <v>18</v>
      </c>
      <c r="L1802" t="str">
        <f>T("9791164090693")</f>
        <v>9791164090693</v>
      </c>
      <c r="M1802" t="str">
        <f t="shared" si="75"/>
        <v/>
      </c>
    </row>
    <row r="1803" spans="1:14">
      <c r="A1803" s="1">
        <v>46068.895104166666</v>
      </c>
      <c r="B1803">
        <v>355920115</v>
      </c>
      <c r="C1803" s="2" t="s">
        <v>2037</v>
      </c>
      <c r="D1803" t="s">
        <v>15</v>
      </c>
      <c r="E1803" s="5">
        <v>2500</v>
      </c>
      <c r="F1803" s="3">
        <v>2500</v>
      </c>
      <c r="G1803" s="3">
        <v>1750</v>
      </c>
      <c r="I1803" s="2" t="s">
        <v>2038</v>
      </c>
      <c r="J1803" s="2" t="s">
        <v>2039</v>
      </c>
      <c r="K1803" t="s">
        <v>18</v>
      </c>
      <c r="L1803" t="str">
        <f>T("9791173011702")</f>
        <v>9791173011702</v>
      </c>
      <c r="M1803" t="str">
        <f t="shared" si="75"/>
        <v/>
      </c>
      <c r="N1803" t="s">
        <v>2040</v>
      </c>
    </row>
    <row r="1804" spans="1:14">
      <c r="A1804" s="1">
        <v>46068.89634259259</v>
      </c>
      <c r="B1804">
        <v>384623951</v>
      </c>
      <c r="C1804" s="2" t="s">
        <v>295</v>
      </c>
      <c r="D1804" t="s">
        <v>15</v>
      </c>
      <c r="E1804" s="5">
        <v>1000</v>
      </c>
      <c r="F1804" s="3">
        <v>1000</v>
      </c>
      <c r="G1804" s="2">
        <v>700</v>
      </c>
      <c r="I1804" s="2" t="s">
        <v>296</v>
      </c>
      <c r="J1804" s="2" t="s">
        <v>21</v>
      </c>
      <c r="K1804" t="s">
        <v>18</v>
      </c>
      <c r="L1804" t="str">
        <f>T("9791175582323")</f>
        <v>9791175582323</v>
      </c>
      <c r="M1804" t="str">
        <f t="shared" si="75"/>
        <v/>
      </c>
      <c r="N1804" t="s">
        <v>297</v>
      </c>
    </row>
    <row r="1805" spans="1:14">
      <c r="A1805" s="1">
        <v>46068.89644675926</v>
      </c>
      <c r="B1805">
        <v>304630791</v>
      </c>
      <c r="C1805" s="2" t="s">
        <v>2041</v>
      </c>
      <c r="D1805" t="s">
        <v>68</v>
      </c>
      <c r="E1805" s="4">
        <v>900</v>
      </c>
      <c r="F1805" s="2">
        <v>900</v>
      </c>
      <c r="G1805" s="2">
        <v>630</v>
      </c>
      <c r="I1805" s="2" t="s">
        <v>1749</v>
      </c>
      <c r="J1805" s="2" t="s">
        <v>245</v>
      </c>
      <c r="K1805" t="s">
        <v>18</v>
      </c>
      <c r="L1805" t="str">
        <f>T("9791166007781")</f>
        <v>9791166007781</v>
      </c>
      <c r="M1805" t="str">
        <f t="shared" si="75"/>
        <v/>
      </c>
      <c r="N1805" t="s">
        <v>2042</v>
      </c>
    </row>
    <row r="1806" spans="1:14">
      <c r="A1806" s="1">
        <v>46068.899178240739</v>
      </c>
      <c r="B1806">
        <v>386057128</v>
      </c>
      <c r="C1806" s="2" t="s">
        <v>1797</v>
      </c>
      <c r="D1806" t="s">
        <v>15</v>
      </c>
      <c r="E1806" s="5">
        <v>16800</v>
      </c>
      <c r="F1806" s="3">
        <v>16800</v>
      </c>
      <c r="G1806" s="3">
        <v>11760</v>
      </c>
      <c r="I1806" s="2" t="s">
        <v>540</v>
      </c>
      <c r="J1806" s="2" t="s">
        <v>197</v>
      </c>
      <c r="K1806" t="s">
        <v>18</v>
      </c>
      <c r="L1806" t="str">
        <f>T("9791164098934")</f>
        <v>9791164098934</v>
      </c>
      <c r="M1806" t="str">
        <f t="shared" si="75"/>
        <v/>
      </c>
    </row>
    <row r="1807" spans="1:14">
      <c r="A1807" s="1">
        <v>46068.899548611109</v>
      </c>
      <c r="B1807">
        <v>212448198</v>
      </c>
      <c r="C1807" s="2" t="s">
        <v>2043</v>
      </c>
      <c r="D1807" t="s">
        <v>15</v>
      </c>
      <c r="E1807" s="4">
        <v>0</v>
      </c>
      <c r="F1807" s="2">
        <v>0</v>
      </c>
      <c r="G1807" s="2">
        <v>0</v>
      </c>
      <c r="I1807" s="2" t="s">
        <v>2044</v>
      </c>
      <c r="J1807" s="2" t="s">
        <v>960</v>
      </c>
      <c r="K1807" t="s">
        <v>18</v>
      </c>
      <c r="L1807" t="str">
        <f>T("9791164942145")</f>
        <v>9791164942145</v>
      </c>
      <c r="M1807" t="str">
        <f t="shared" si="75"/>
        <v/>
      </c>
    </row>
    <row r="1808" spans="1:14">
      <c r="A1808" s="1">
        <v>46068.899548611109</v>
      </c>
      <c r="B1808">
        <v>248920362</v>
      </c>
      <c r="C1808" s="2" t="s">
        <v>2045</v>
      </c>
      <c r="D1808" t="s">
        <v>15</v>
      </c>
      <c r="E1808" s="4">
        <v>0</v>
      </c>
      <c r="F1808" s="2">
        <v>0</v>
      </c>
      <c r="G1808" s="2">
        <v>0</v>
      </c>
      <c r="I1808" s="2" t="s">
        <v>2046</v>
      </c>
      <c r="J1808" s="2" t="s">
        <v>476</v>
      </c>
      <c r="K1808" t="s">
        <v>18</v>
      </c>
      <c r="L1808" t="str">
        <f>T("9791157937509")</f>
        <v>9791157937509</v>
      </c>
      <c r="M1808" t="str">
        <f t="shared" si="75"/>
        <v/>
      </c>
    </row>
    <row r="1809" spans="1:14">
      <c r="A1809" s="1">
        <v>46068.908854166664</v>
      </c>
      <c r="B1809">
        <v>365949633</v>
      </c>
      <c r="C1809" s="2" t="s">
        <v>637</v>
      </c>
      <c r="D1809" t="s">
        <v>15</v>
      </c>
      <c r="E1809" s="5">
        <v>1000</v>
      </c>
      <c r="F1809" s="3">
        <v>1000</v>
      </c>
      <c r="G1809" s="2">
        <v>700</v>
      </c>
      <c r="I1809" s="2" t="s">
        <v>638</v>
      </c>
      <c r="J1809" s="2" t="s">
        <v>184</v>
      </c>
      <c r="K1809" t="s">
        <v>18</v>
      </c>
      <c r="L1809" t="str">
        <f>T("9791170964056")</f>
        <v>9791170964056</v>
      </c>
      <c r="M1809" t="str">
        <f t="shared" si="75"/>
        <v/>
      </c>
      <c r="N1809" t="s">
        <v>639</v>
      </c>
    </row>
    <row r="1810" spans="1:14">
      <c r="A1810" s="1">
        <v>46068.90966435185</v>
      </c>
      <c r="B1810">
        <v>386008658</v>
      </c>
      <c r="C1810" s="2" t="s">
        <v>1429</v>
      </c>
      <c r="D1810" t="s">
        <v>15</v>
      </c>
      <c r="E1810" s="5">
        <v>1100</v>
      </c>
      <c r="F1810" s="3">
        <v>1100</v>
      </c>
      <c r="G1810" s="2">
        <v>770</v>
      </c>
      <c r="I1810" s="2" t="s">
        <v>148</v>
      </c>
      <c r="J1810" s="2" t="s">
        <v>21</v>
      </c>
      <c r="K1810" t="s">
        <v>18</v>
      </c>
      <c r="L1810" t="str">
        <f>T("9791175582873")</f>
        <v>9791175582873</v>
      </c>
      <c r="M1810" t="str">
        <f t="shared" ref="M1810:M1831" si="77">T("")</f>
        <v/>
      </c>
      <c r="N1810" t="s">
        <v>1430</v>
      </c>
    </row>
    <row r="1811" spans="1:14">
      <c r="A1811" s="1">
        <v>46068.913506944446</v>
      </c>
      <c r="B1811">
        <v>372487137</v>
      </c>
      <c r="C1811" s="2" t="s">
        <v>147</v>
      </c>
      <c r="D1811" t="s">
        <v>15</v>
      </c>
      <c r="E1811" s="5">
        <v>1000</v>
      </c>
      <c r="F1811" s="3">
        <v>1000</v>
      </c>
      <c r="G1811" s="2">
        <v>700</v>
      </c>
      <c r="I1811" s="2" t="s">
        <v>148</v>
      </c>
      <c r="J1811" s="2" t="s">
        <v>21</v>
      </c>
      <c r="K1811" t="s">
        <v>18</v>
      </c>
      <c r="L1811" t="str">
        <f>T("9791173017797")</f>
        <v>9791173017797</v>
      </c>
      <c r="M1811" t="str">
        <f t="shared" si="77"/>
        <v/>
      </c>
      <c r="N1811" t="s">
        <v>149</v>
      </c>
    </row>
    <row r="1812" spans="1:14">
      <c r="A1812" s="1">
        <v>46068.915937500002</v>
      </c>
      <c r="B1812">
        <v>365291517</v>
      </c>
      <c r="C1812" s="2" t="s">
        <v>163</v>
      </c>
      <c r="D1812" t="s">
        <v>15</v>
      </c>
      <c r="E1812" s="5">
        <v>1000</v>
      </c>
      <c r="F1812" s="3">
        <v>1000</v>
      </c>
      <c r="G1812" s="2">
        <v>700</v>
      </c>
      <c r="I1812" s="2" t="s">
        <v>148</v>
      </c>
      <c r="J1812" s="2" t="s">
        <v>21</v>
      </c>
      <c r="K1812" t="s">
        <v>18</v>
      </c>
      <c r="L1812" t="str">
        <f>T("9791173014130")</f>
        <v>9791173014130</v>
      </c>
      <c r="M1812" t="str">
        <f t="shared" si="77"/>
        <v/>
      </c>
      <c r="N1812" t="s">
        <v>164</v>
      </c>
    </row>
    <row r="1813" spans="1:14">
      <c r="A1813" s="1">
        <v>46068.917638888888</v>
      </c>
      <c r="B1813">
        <v>378390230</v>
      </c>
      <c r="C1813" s="2" t="s">
        <v>285</v>
      </c>
      <c r="D1813" t="s">
        <v>15</v>
      </c>
      <c r="E1813" s="5">
        <v>1000</v>
      </c>
      <c r="F1813" s="3">
        <v>1000</v>
      </c>
      <c r="G1813" s="2">
        <v>700</v>
      </c>
      <c r="I1813" s="2" t="s">
        <v>286</v>
      </c>
      <c r="J1813" s="2" t="s">
        <v>21</v>
      </c>
      <c r="K1813" t="s">
        <v>18</v>
      </c>
      <c r="L1813" t="str">
        <f>T("9791175580459")</f>
        <v>9791175580459</v>
      </c>
      <c r="M1813" t="str">
        <f t="shared" si="77"/>
        <v/>
      </c>
      <c r="N1813" t="s">
        <v>287</v>
      </c>
    </row>
    <row r="1814" spans="1:14">
      <c r="A1814" s="1">
        <v>46068.922407407408</v>
      </c>
      <c r="B1814">
        <v>277935568</v>
      </c>
      <c r="C1814" s="2" t="s">
        <v>2047</v>
      </c>
      <c r="D1814" t="s">
        <v>15</v>
      </c>
      <c r="E1814" s="4">
        <v>100</v>
      </c>
      <c r="F1814" s="2">
        <v>100</v>
      </c>
      <c r="G1814" s="2">
        <v>70</v>
      </c>
      <c r="I1814" s="2" t="s">
        <v>64</v>
      </c>
      <c r="J1814" s="2" t="s">
        <v>65</v>
      </c>
      <c r="K1814" t="s">
        <v>18</v>
      </c>
      <c r="L1814" t="str">
        <f>T("9791162589724")</f>
        <v>9791162589724</v>
      </c>
      <c r="M1814" t="str">
        <f t="shared" si="77"/>
        <v/>
      </c>
      <c r="N1814" t="s">
        <v>2048</v>
      </c>
    </row>
    <row r="1815" spans="1:14">
      <c r="A1815" s="1">
        <v>46068.931469907409</v>
      </c>
      <c r="B1815">
        <v>296745957</v>
      </c>
      <c r="C1815" s="2" t="s">
        <v>907</v>
      </c>
      <c r="D1815" t="s">
        <v>15</v>
      </c>
      <c r="E1815" s="5">
        <v>1000</v>
      </c>
      <c r="F1815" s="3">
        <v>1000</v>
      </c>
      <c r="G1815" s="2">
        <v>700</v>
      </c>
      <c r="I1815" s="2" t="s">
        <v>908</v>
      </c>
      <c r="J1815" s="2" t="s">
        <v>21</v>
      </c>
      <c r="K1815" t="s">
        <v>18</v>
      </c>
      <c r="L1815" t="str">
        <f>T("9791167833136")</f>
        <v>9791167833136</v>
      </c>
      <c r="M1815" t="str">
        <f t="shared" si="77"/>
        <v/>
      </c>
    </row>
    <row r="1816" spans="1:14">
      <c r="A1816" s="1">
        <v>46068.93277777778</v>
      </c>
      <c r="B1816">
        <v>235894716</v>
      </c>
      <c r="C1816" s="2" t="s">
        <v>2049</v>
      </c>
      <c r="D1816" t="s">
        <v>15</v>
      </c>
      <c r="E1816" s="5">
        <v>4300</v>
      </c>
      <c r="F1816" s="3">
        <v>4300</v>
      </c>
      <c r="G1816" s="3">
        <v>3010</v>
      </c>
      <c r="I1816" s="2" t="s">
        <v>552</v>
      </c>
      <c r="J1816" s="2" t="s">
        <v>197</v>
      </c>
      <c r="K1816" t="s">
        <v>18</v>
      </c>
      <c r="L1816" t="str">
        <f>T("9791164091539")</f>
        <v>9791164091539</v>
      </c>
      <c r="M1816" t="str">
        <f t="shared" si="77"/>
        <v/>
      </c>
    </row>
    <row r="1817" spans="1:14">
      <c r="A1817" s="1">
        <v>46068.933333333334</v>
      </c>
      <c r="B1817">
        <v>385852575</v>
      </c>
      <c r="C1817" s="2" t="s">
        <v>2050</v>
      </c>
      <c r="D1817" t="s">
        <v>15</v>
      </c>
      <c r="E1817" s="5">
        <v>1000</v>
      </c>
      <c r="F1817" s="3">
        <v>1000</v>
      </c>
      <c r="G1817" s="2">
        <v>700</v>
      </c>
      <c r="I1817" s="2" t="s">
        <v>296</v>
      </c>
      <c r="J1817" s="2" t="s">
        <v>21</v>
      </c>
      <c r="K1817" t="s">
        <v>18</v>
      </c>
      <c r="L1817" t="str">
        <f>T("9791175582606")</f>
        <v>9791175582606</v>
      </c>
      <c r="M1817" t="str">
        <f t="shared" si="77"/>
        <v/>
      </c>
      <c r="N1817" t="s">
        <v>2051</v>
      </c>
    </row>
    <row r="1818" spans="1:14">
      <c r="A1818" s="1">
        <v>46068.940069444441</v>
      </c>
      <c r="B1818">
        <v>328759043</v>
      </c>
      <c r="C1818" s="2" t="s">
        <v>1537</v>
      </c>
      <c r="D1818" t="s">
        <v>68</v>
      </c>
      <c r="E1818" s="4">
        <v>840</v>
      </c>
      <c r="F1818" s="2">
        <v>840</v>
      </c>
      <c r="G1818" s="2">
        <v>588</v>
      </c>
      <c r="I1818" s="2" t="s">
        <v>852</v>
      </c>
      <c r="J1818" s="2" t="s">
        <v>197</v>
      </c>
      <c r="K1818" t="s">
        <v>18</v>
      </c>
      <c r="L1818" t="str">
        <f>T("9791164099269")</f>
        <v>9791164099269</v>
      </c>
      <c r="M1818" t="str">
        <f t="shared" si="77"/>
        <v/>
      </c>
    </row>
    <row r="1819" spans="1:14">
      <c r="A1819" s="1">
        <v>46068.942164351851</v>
      </c>
      <c r="B1819">
        <v>277935688</v>
      </c>
      <c r="C1819" s="2" t="s">
        <v>2052</v>
      </c>
      <c r="D1819" t="s">
        <v>15</v>
      </c>
      <c r="E1819" s="4">
        <v>100</v>
      </c>
      <c r="F1819" s="2">
        <v>100</v>
      </c>
      <c r="G1819" s="2">
        <v>70</v>
      </c>
      <c r="I1819" s="2" t="s">
        <v>64</v>
      </c>
      <c r="J1819" s="2" t="s">
        <v>65</v>
      </c>
      <c r="K1819" t="s">
        <v>18</v>
      </c>
      <c r="L1819" t="str">
        <f>T("9791162589724")</f>
        <v>9791162589724</v>
      </c>
      <c r="M1819" t="str">
        <f t="shared" si="77"/>
        <v/>
      </c>
      <c r="N1819" t="s">
        <v>2053</v>
      </c>
    </row>
    <row r="1820" spans="1:14">
      <c r="A1820" s="1">
        <v>46068.953032407408</v>
      </c>
      <c r="B1820">
        <v>383004678</v>
      </c>
      <c r="C1820" s="2" t="s">
        <v>1776</v>
      </c>
      <c r="D1820" t="s">
        <v>68</v>
      </c>
      <c r="E1820" s="5">
        <v>5760</v>
      </c>
      <c r="F1820" s="3">
        <v>5760</v>
      </c>
      <c r="G1820" s="3">
        <v>4032</v>
      </c>
      <c r="I1820" s="2" t="s">
        <v>351</v>
      </c>
      <c r="J1820" s="2" t="s">
        <v>126</v>
      </c>
      <c r="K1820" t="s">
        <v>18</v>
      </c>
      <c r="L1820" t="str">
        <f>T("9791171502950")</f>
        <v>9791171502950</v>
      </c>
      <c r="M1820" t="str">
        <f t="shared" si="77"/>
        <v/>
      </c>
    </row>
    <row r="1821" spans="1:14">
      <c r="A1821" s="1">
        <v>46068.95380787037</v>
      </c>
      <c r="B1821">
        <v>385347797</v>
      </c>
      <c r="C1821" s="2" t="s">
        <v>195</v>
      </c>
      <c r="D1821" t="s">
        <v>15</v>
      </c>
      <c r="E1821" s="4">
        <v>700</v>
      </c>
      <c r="F1821" s="2">
        <v>630</v>
      </c>
      <c r="G1821" s="2">
        <v>441</v>
      </c>
      <c r="I1821" s="2" t="s">
        <v>196</v>
      </c>
      <c r="J1821" s="2" t="s">
        <v>197</v>
      </c>
      <c r="K1821" t="s">
        <v>18</v>
      </c>
      <c r="L1821" t="str">
        <f>T("9791172821937")</f>
        <v>9791172821937</v>
      </c>
      <c r="M1821" t="str">
        <f t="shared" si="77"/>
        <v/>
      </c>
      <c r="N1821" t="s">
        <v>198</v>
      </c>
    </row>
    <row r="1822" spans="1:14">
      <c r="A1822" s="1">
        <v>46068.958819444444</v>
      </c>
      <c r="B1822">
        <v>379527586</v>
      </c>
      <c r="C1822" s="2" t="s">
        <v>530</v>
      </c>
      <c r="D1822" t="s">
        <v>15</v>
      </c>
      <c r="E1822" s="5">
        <v>1000</v>
      </c>
      <c r="F1822" s="3">
        <v>1000</v>
      </c>
      <c r="G1822" s="2">
        <v>700</v>
      </c>
      <c r="I1822" s="2" t="s">
        <v>531</v>
      </c>
      <c r="J1822" s="2" t="s">
        <v>21</v>
      </c>
      <c r="K1822" t="s">
        <v>18</v>
      </c>
      <c r="L1822" t="str">
        <f>T("9791175581142")</f>
        <v>9791175581142</v>
      </c>
      <c r="M1822" t="str">
        <f t="shared" si="77"/>
        <v/>
      </c>
      <c r="N1822" t="s">
        <v>532</v>
      </c>
    </row>
    <row r="1823" spans="1:14">
      <c r="A1823" s="1">
        <v>46068.964259259257</v>
      </c>
      <c r="B1823">
        <v>277935523</v>
      </c>
      <c r="C1823" s="2" t="s">
        <v>1965</v>
      </c>
      <c r="D1823" t="s">
        <v>15</v>
      </c>
      <c r="E1823" s="4">
        <v>100</v>
      </c>
      <c r="F1823" s="2">
        <v>100</v>
      </c>
      <c r="G1823" s="2">
        <v>70</v>
      </c>
      <c r="I1823" s="2" t="s">
        <v>64</v>
      </c>
      <c r="J1823" s="2" t="s">
        <v>65</v>
      </c>
      <c r="K1823" t="s">
        <v>18</v>
      </c>
      <c r="L1823" t="str">
        <f>T("9791162589724")</f>
        <v>9791162589724</v>
      </c>
      <c r="M1823" t="str">
        <f t="shared" si="77"/>
        <v/>
      </c>
      <c r="N1823" t="s">
        <v>1966</v>
      </c>
    </row>
    <row r="1824" spans="1:14">
      <c r="A1824" s="1">
        <v>46068.964259259257</v>
      </c>
      <c r="B1824">
        <v>297523317</v>
      </c>
      <c r="C1824" s="2" t="s">
        <v>1021</v>
      </c>
      <c r="D1824" t="s">
        <v>15</v>
      </c>
      <c r="E1824" s="4">
        <v>100</v>
      </c>
      <c r="F1824" s="2">
        <v>100</v>
      </c>
      <c r="G1824" s="2">
        <v>70</v>
      </c>
      <c r="I1824" s="2" t="s">
        <v>64</v>
      </c>
      <c r="J1824" s="2" t="s">
        <v>65</v>
      </c>
      <c r="K1824" t="s">
        <v>18</v>
      </c>
      <c r="L1824" t="str">
        <f>T("9791162589724")</f>
        <v>9791162589724</v>
      </c>
      <c r="M1824" t="str">
        <f t="shared" si="77"/>
        <v/>
      </c>
      <c r="N1824" t="s">
        <v>1022</v>
      </c>
    </row>
    <row r="1825" spans="1:14">
      <c r="A1825" s="1">
        <v>46068.964259259257</v>
      </c>
      <c r="B1825">
        <v>297523315</v>
      </c>
      <c r="C1825" s="2" t="s">
        <v>2054</v>
      </c>
      <c r="D1825" t="s">
        <v>15</v>
      </c>
      <c r="E1825" s="4">
        <v>100</v>
      </c>
      <c r="F1825" s="2">
        <v>100</v>
      </c>
      <c r="G1825" s="2">
        <v>70</v>
      </c>
      <c r="I1825" s="2" t="s">
        <v>64</v>
      </c>
      <c r="J1825" s="2" t="s">
        <v>65</v>
      </c>
      <c r="K1825" t="s">
        <v>18</v>
      </c>
      <c r="L1825" t="str">
        <f>T("9791162589724")</f>
        <v>9791162589724</v>
      </c>
      <c r="M1825" t="str">
        <f t="shared" si="77"/>
        <v/>
      </c>
      <c r="N1825" t="s">
        <v>2055</v>
      </c>
    </row>
    <row r="1826" spans="1:14">
      <c r="A1826" s="1">
        <v>46068.964259259257</v>
      </c>
      <c r="B1826">
        <v>277935745</v>
      </c>
      <c r="C1826" s="2" t="s">
        <v>1879</v>
      </c>
      <c r="D1826" t="s">
        <v>15</v>
      </c>
      <c r="E1826" s="4">
        <v>100</v>
      </c>
      <c r="F1826" s="2">
        <v>100</v>
      </c>
      <c r="G1826" s="2">
        <v>70</v>
      </c>
      <c r="I1826" s="2" t="s">
        <v>64</v>
      </c>
      <c r="J1826" s="2" t="s">
        <v>65</v>
      </c>
      <c r="K1826" t="s">
        <v>18</v>
      </c>
      <c r="L1826" t="str">
        <f>T("9791162589724")</f>
        <v>9791162589724</v>
      </c>
      <c r="M1826" t="str">
        <f t="shared" si="77"/>
        <v/>
      </c>
      <c r="N1826" t="s">
        <v>1880</v>
      </c>
    </row>
    <row r="1827" spans="1:14">
      <c r="A1827" s="1">
        <v>46068.964259259257</v>
      </c>
      <c r="B1827">
        <v>277935803</v>
      </c>
      <c r="C1827" s="2" t="s">
        <v>1971</v>
      </c>
      <c r="D1827" t="s">
        <v>15</v>
      </c>
      <c r="E1827" s="4">
        <v>100</v>
      </c>
      <c r="F1827" s="2">
        <v>100</v>
      </c>
      <c r="G1827" s="2">
        <v>70</v>
      </c>
      <c r="I1827" s="2" t="s">
        <v>64</v>
      </c>
      <c r="J1827" s="2" t="s">
        <v>65</v>
      </c>
      <c r="K1827" t="s">
        <v>18</v>
      </c>
      <c r="L1827" t="str">
        <f>T("9791162589724")</f>
        <v>9791162589724</v>
      </c>
      <c r="M1827" t="str">
        <f t="shared" si="77"/>
        <v/>
      </c>
      <c r="N1827" t="s">
        <v>1972</v>
      </c>
    </row>
    <row r="1828" spans="1:14">
      <c r="A1828" s="1">
        <v>46068.964375000003</v>
      </c>
      <c r="B1828">
        <v>385347715</v>
      </c>
      <c r="C1828" s="2" t="s">
        <v>186</v>
      </c>
      <c r="D1828" t="s">
        <v>15</v>
      </c>
      <c r="E1828" s="5">
        <v>2000</v>
      </c>
      <c r="F1828" s="3">
        <v>1800</v>
      </c>
      <c r="G1828" s="3">
        <v>1260</v>
      </c>
      <c r="I1828" s="2" t="s">
        <v>187</v>
      </c>
      <c r="J1828" s="2" t="s">
        <v>188</v>
      </c>
      <c r="K1828" t="s">
        <v>18</v>
      </c>
      <c r="L1828" t="str">
        <f>T("9791164835362")</f>
        <v>9791164835362</v>
      </c>
      <c r="M1828" t="str">
        <f t="shared" si="77"/>
        <v/>
      </c>
      <c r="N1828" t="s">
        <v>189</v>
      </c>
    </row>
    <row r="1829" spans="1:14">
      <c r="A1829" s="1">
        <v>46068.965162037035</v>
      </c>
      <c r="B1829">
        <v>386008654</v>
      </c>
      <c r="C1829" s="2" t="s">
        <v>2056</v>
      </c>
      <c r="D1829" t="s">
        <v>15</v>
      </c>
      <c r="E1829" s="5">
        <v>1000</v>
      </c>
      <c r="F1829" s="3">
        <v>1000</v>
      </c>
      <c r="G1829" s="2">
        <v>700</v>
      </c>
      <c r="I1829" s="2" t="s">
        <v>1728</v>
      </c>
      <c r="J1829" s="2" t="s">
        <v>21</v>
      </c>
      <c r="K1829" t="s">
        <v>18</v>
      </c>
      <c r="L1829" t="str">
        <f>T("9791175582651")</f>
        <v>9791175582651</v>
      </c>
      <c r="M1829" t="str">
        <f t="shared" si="77"/>
        <v/>
      </c>
      <c r="N1829" t="s">
        <v>2057</v>
      </c>
    </row>
    <row r="1830" spans="1:14">
      <c r="A1830" s="1">
        <v>46068.965162037035</v>
      </c>
      <c r="B1830">
        <v>386008652</v>
      </c>
      <c r="C1830" s="2" t="s">
        <v>1727</v>
      </c>
      <c r="D1830" t="s">
        <v>15</v>
      </c>
      <c r="E1830" s="5">
        <v>1000</v>
      </c>
      <c r="F1830" s="3">
        <v>1000</v>
      </c>
      <c r="G1830" s="2">
        <v>700</v>
      </c>
      <c r="I1830" s="2" t="s">
        <v>1728</v>
      </c>
      <c r="J1830" s="2" t="s">
        <v>21</v>
      </c>
      <c r="K1830" t="s">
        <v>18</v>
      </c>
      <c r="L1830" t="str">
        <f>T("9791175582668")</f>
        <v>9791175582668</v>
      </c>
      <c r="M1830" t="str">
        <f t="shared" si="77"/>
        <v/>
      </c>
      <c r="N1830" t="s">
        <v>1729</v>
      </c>
    </row>
    <row r="1831" spans="1:14">
      <c r="A1831" s="1">
        <v>46068.965162037035</v>
      </c>
      <c r="B1831">
        <v>386008653</v>
      </c>
      <c r="C1831" s="2" t="s">
        <v>2058</v>
      </c>
      <c r="D1831" t="s">
        <v>15</v>
      </c>
      <c r="E1831" s="5">
        <v>1000</v>
      </c>
      <c r="F1831" s="3">
        <v>1000</v>
      </c>
      <c r="G1831" s="2">
        <v>700</v>
      </c>
      <c r="I1831" s="2" t="s">
        <v>1728</v>
      </c>
      <c r="J1831" s="2" t="s">
        <v>21</v>
      </c>
      <c r="K1831" t="s">
        <v>18</v>
      </c>
      <c r="L1831" t="str">
        <f>T("9791175582644")</f>
        <v>9791175582644</v>
      </c>
      <c r="M1831" t="str">
        <f t="shared" si="77"/>
        <v/>
      </c>
      <c r="N1831" t="s">
        <v>2059</v>
      </c>
    </row>
    <row r="1832" spans="1:14">
      <c r="A1832" s="1">
        <v>46068.971099537041</v>
      </c>
      <c r="B1832">
        <v>385852477</v>
      </c>
      <c r="C1832" s="2" t="s">
        <v>1329</v>
      </c>
      <c r="D1832" t="s">
        <v>15</v>
      </c>
      <c r="E1832" s="5">
        <v>2500</v>
      </c>
      <c r="F1832" s="3">
        <v>2500</v>
      </c>
      <c r="G1832" s="3">
        <v>1750</v>
      </c>
      <c r="I1832" s="2" t="s">
        <v>1229</v>
      </c>
      <c r="J1832" s="2" t="s">
        <v>960</v>
      </c>
      <c r="K1832" t="s">
        <v>18</v>
      </c>
      <c r="L1832" t="str">
        <f>T("")</f>
        <v/>
      </c>
      <c r="M1832" t="str">
        <f>T("G720:N+A378-20260112081.M002")</f>
        <v>G720:N+A378-20260112081.M002</v>
      </c>
      <c r="N1832" t="s">
        <v>1330</v>
      </c>
    </row>
    <row r="1833" spans="1:14">
      <c r="A1833" s="1">
        <v>46068.975821759261</v>
      </c>
      <c r="B1833">
        <v>303466891</v>
      </c>
      <c r="C1833" s="2" t="s">
        <v>654</v>
      </c>
      <c r="D1833" t="s">
        <v>15</v>
      </c>
      <c r="E1833" s="5">
        <v>3000</v>
      </c>
      <c r="F1833" s="3">
        <v>2700</v>
      </c>
      <c r="G1833" s="3">
        <v>1890</v>
      </c>
      <c r="I1833" s="2" t="s">
        <v>187</v>
      </c>
      <c r="J1833" s="2" t="s">
        <v>188</v>
      </c>
      <c r="K1833" t="s">
        <v>18</v>
      </c>
      <c r="L1833" t="str">
        <f>T("9791164833566")</f>
        <v>9791164833566</v>
      </c>
      <c r="M1833" t="str">
        <f t="shared" ref="M1833:M1864" si="78">T("")</f>
        <v/>
      </c>
      <c r="N1833" t="s">
        <v>655</v>
      </c>
    </row>
    <row r="1834" spans="1:14">
      <c r="A1834" s="1">
        <v>46068.979548611111</v>
      </c>
      <c r="B1834">
        <v>371345723</v>
      </c>
      <c r="C1834" s="2" t="s">
        <v>525</v>
      </c>
      <c r="D1834" t="s">
        <v>68</v>
      </c>
      <c r="E1834" s="5">
        <v>2310</v>
      </c>
      <c r="F1834" s="3">
        <v>2310</v>
      </c>
      <c r="G1834" s="3">
        <v>1617</v>
      </c>
      <c r="I1834" s="2" t="s">
        <v>196</v>
      </c>
      <c r="J1834" s="2" t="s">
        <v>197</v>
      </c>
      <c r="K1834" t="s">
        <v>18</v>
      </c>
      <c r="L1834" t="str">
        <f>T("9791172821692")</f>
        <v>9791172821692</v>
      </c>
      <c r="M1834" t="str">
        <f t="shared" si="78"/>
        <v/>
      </c>
      <c r="N1834" t="s">
        <v>526</v>
      </c>
    </row>
    <row r="1835" spans="1:14">
      <c r="A1835" s="1">
        <v>46068.982731481483</v>
      </c>
      <c r="B1835">
        <v>355920119</v>
      </c>
      <c r="C1835" s="2" t="s">
        <v>2060</v>
      </c>
      <c r="D1835" t="s">
        <v>15</v>
      </c>
      <c r="E1835" s="5">
        <v>2500</v>
      </c>
      <c r="F1835" s="3">
        <v>2500</v>
      </c>
      <c r="G1835" s="3">
        <v>1750</v>
      </c>
      <c r="I1835" s="2" t="s">
        <v>2038</v>
      </c>
      <c r="J1835" s="2" t="s">
        <v>2039</v>
      </c>
      <c r="K1835" t="s">
        <v>18</v>
      </c>
      <c r="L1835" t="str">
        <f>T("9791173011757")</f>
        <v>9791173011757</v>
      </c>
      <c r="M1835" t="str">
        <f t="shared" si="78"/>
        <v/>
      </c>
      <c r="N1835" t="s">
        <v>2061</v>
      </c>
    </row>
    <row r="1836" spans="1:14">
      <c r="A1836" s="1">
        <v>46068.983194444445</v>
      </c>
      <c r="B1836">
        <v>378947390</v>
      </c>
      <c r="C1836" s="2" t="s">
        <v>1104</v>
      </c>
      <c r="D1836" t="s">
        <v>68</v>
      </c>
      <c r="E1836" s="5">
        <v>3360</v>
      </c>
      <c r="F1836" s="3">
        <v>3360</v>
      </c>
      <c r="G1836" s="3">
        <v>2352</v>
      </c>
      <c r="I1836" s="2" t="s">
        <v>1105</v>
      </c>
      <c r="J1836" s="2" t="s">
        <v>197</v>
      </c>
      <c r="K1836" t="s">
        <v>18</v>
      </c>
      <c r="L1836" t="str">
        <f>T("9791172822002")</f>
        <v>9791172822002</v>
      </c>
      <c r="M1836" t="str">
        <f t="shared" si="78"/>
        <v/>
      </c>
    </row>
    <row r="1837" spans="1:14">
      <c r="A1837" s="1">
        <v>46068.984166666669</v>
      </c>
      <c r="B1837">
        <v>377095688</v>
      </c>
      <c r="C1837" s="2" t="s">
        <v>1608</v>
      </c>
      <c r="D1837" t="s">
        <v>68</v>
      </c>
      <c r="E1837" s="5">
        <v>13600</v>
      </c>
      <c r="F1837" s="3">
        <v>13600</v>
      </c>
      <c r="G1837" s="3">
        <v>9520</v>
      </c>
      <c r="I1837" s="2" t="s">
        <v>183</v>
      </c>
      <c r="J1837" s="2" t="s">
        <v>184</v>
      </c>
      <c r="K1837" t="s">
        <v>18</v>
      </c>
      <c r="L1837" t="str">
        <f>T("9791170965244")</f>
        <v>9791170965244</v>
      </c>
      <c r="M1837" t="str">
        <f t="shared" si="78"/>
        <v/>
      </c>
    </row>
    <row r="1838" spans="1:14">
      <c r="A1838" s="1">
        <v>46068.985300925924</v>
      </c>
      <c r="B1838">
        <v>371345723</v>
      </c>
      <c r="C1838" s="2" t="s">
        <v>525</v>
      </c>
      <c r="D1838" t="s">
        <v>68</v>
      </c>
      <c r="E1838" s="5">
        <v>2310</v>
      </c>
      <c r="F1838" s="3">
        <v>2310</v>
      </c>
      <c r="G1838" s="3">
        <v>1617</v>
      </c>
      <c r="I1838" s="2" t="s">
        <v>196</v>
      </c>
      <c r="J1838" s="2" t="s">
        <v>197</v>
      </c>
      <c r="K1838" t="s">
        <v>18</v>
      </c>
      <c r="L1838" t="str">
        <f>T("9791172821692")</f>
        <v>9791172821692</v>
      </c>
      <c r="M1838" t="str">
        <f t="shared" si="78"/>
        <v/>
      </c>
      <c r="N1838" t="s">
        <v>526</v>
      </c>
    </row>
    <row r="1839" spans="1:14">
      <c r="A1839" s="1">
        <v>46068.994293981479</v>
      </c>
      <c r="B1839">
        <v>385347792</v>
      </c>
      <c r="C1839" s="2" t="s">
        <v>306</v>
      </c>
      <c r="D1839" t="s">
        <v>15</v>
      </c>
      <c r="E1839" s="5">
        <v>1000</v>
      </c>
      <c r="F1839" s="2">
        <v>900</v>
      </c>
      <c r="G1839" s="2">
        <v>630</v>
      </c>
      <c r="I1839" s="2" t="s">
        <v>307</v>
      </c>
      <c r="J1839" s="2" t="s">
        <v>308</v>
      </c>
      <c r="K1839" t="s">
        <v>18</v>
      </c>
      <c r="L1839" t="str">
        <f>T("9791194982753")</f>
        <v>9791194982753</v>
      </c>
      <c r="M1839" t="str">
        <f t="shared" si="78"/>
        <v/>
      </c>
      <c r="N1839" t="s">
        <v>309</v>
      </c>
    </row>
    <row r="1840" spans="1:14">
      <c r="A1840" s="1">
        <v>46068.994560185187</v>
      </c>
      <c r="B1840">
        <v>381924150</v>
      </c>
      <c r="C1840" s="2" t="s">
        <v>1505</v>
      </c>
      <c r="D1840" t="s">
        <v>15</v>
      </c>
      <c r="E1840" s="4">
        <v>800</v>
      </c>
      <c r="F1840" s="2">
        <v>800</v>
      </c>
      <c r="G1840" s="2">
        <v>560</v>
      </c>
      <c r="I1840" s="2" t="s">
        <v>368</v>
      </c>
      <c r="J1840" s="2" t="s">
        <v>308</v>
      </c>
      <c r="K1840" t="s">
        <v>18</v>
      </c>
      <c r="L1840" t="str">
        <f>T("9791194982746")</f>
        <v>9791194982746</v>
      </c>
      <c r="M1840" t="str">
        <f t="shared" si="78"/>
        <v/>
      </c>
      <c r="N1840" t="s">
        <v>1506</v>
      </c>
    </row>
    <row r="1841" spans="1:14">
      <c r="A1841" s="1">
        <v>46068.996655092589</v>
      </c>
      <c r="B1841">
        <v>279024570</v>
      </c>
      <c r="C1841" s="2" t="s">
        <v>1039</v>
      </c>
      <c r="D1841" t="s">
        <v>68</v>
      </c>
      <c r="E1841" s="5">
        <v>2000</v>
      </c>
      <c r="F1841" s="3">
        <v>2000</v>
      </c>
      <c r="G1841" s="3">
        <v>1400</v>
      </c>
      <c r="I1841" s="2" t="s">
        <v>1040</v>
      </c>
      <c r="J1841" s="2" t="s">
        <v>126</v>
      </c>
      <c r="K1841" t="s">
        <v>18</v>
      </c>
      <c r="L1841" t="str">
        <f>T("9791164974047")</f>
        <v>9791164974047</v>
      </c>
      <c r="M1841" t="str">
        <f t="shared" si="78"/>
        <v/>
      </c>
    </row>
    <row r="1842" spans="1:14">
      <c r="A1842" s="1">
        <v>46068.996967592589</v>
      </c>
      <c r="B1842">
        <v>382626185</v>
      </c>
      <c r="C1842" s="2" t="s">
        <v>34</v>
      </c>
      <c r="D1842" t="s">
        <v>15</v>
      </c>
      <c r="E1842" s="5">
        <v>1000</v>
      </c>
      <c r="F1842" s="3">
        <v>1000</v>
      </c>
      <c r="G1842" s="2">
        <v>700</v>
      </c>
      <c r="I1842" s="2" t="s">
        <v>28</v>
      </c>
      <c r="J1842" s="2" t="s">
        <v>21</v>
      </c>
      <c r="K1842" t="s">
        <v>18</v>
      </c>
      <c r="L1842" t="str">
        <f>T("9791175581463")</f>
        <v>9791175581463</v>
      </c>
      <c r="M1842" t="str">
        <f t="shared" si="78"/>
        <v/>
      </c>
      <c r="N1842" t="s">
        <v>35</v>
      </c>
    </row>
    <row r="1843" spans="1:14">
      <c r="A1843" s="1">
        <v>46068.997488425928</v>
      </c>
      <c r="B1843">
        <v>369491692</v>
      </c>
      <c r="C1843" s="2" t="s">
        <v>533</v>
      </c>
      <c r="D1843" t="s">
        <v>15</v>
      </c>
      <c r="E1843" s="5">
        <v>1000</v>
      </c>
      <c r="F1843" s="3">
        <v>1000</v>
      </c>
      <c r="G1843" s="2">
        <v>700</v>
      </c>
      <c r="I1843" s="2" t="s">
        <v>528</v>
      </c>
      <c r="J1843" s="2" t="s">
        <v>21</v>
      </c>
      <c r="K1843" t="s">
        <v>18</v>
      </c>
      <c r="L1843" t="str">
        <f>T("9791173016264")</f>
        <v>9791173016264</v>
      </c>
      <c r="M1843" t="str">
        <f t="shared" si="78"/>
        <v/>
      </c>
      <c r="N1843" t="s">
        <v>534</v>
      </c>
    </row>
    <row r="1844" spans="1:14">
      <c r="A1844" s="1">
        <v>46068.998240740744</v>
      </c>
      <c r="B1844">
        <v>341292421</v>
      </c>
      <c r="C1844" s="2" t="s">
        <v>2062</v>
      </c>
      <c r="D1844" t="s">
        <v>15</v>
      </c>
      <c r="E1844" s="4">
        <v>500</v>
      </c>
      <c r="F1844" s="2">
        <v>500</v>
      </c>
      <c r="G1844" s="2">
        <v>350</v>
      </c>
      <c r="I1844" s="2" t="s">
        <v>211</v>
      </c>
      <c r="J1844" s="2" t="s">
        <v>21</v>
      </c>
      <c r="K1844" t="s">
        <v>18</v>
      </c>
      <c r="L1844" t="str">
        <f>T("9791170897101")</f>
        <v>9791170897101</v>
      </c>
      <c r="M1844" t="str">
        <f t="shared" si="78"/>
        <v/>
      </c>
      <c r="N1844" t="s">
        <v>2063</v>
      </c>
    </row>
    <row r="1845" spans="1:14">
      <c r="A1845" s="1">
        <v>46068.998240740744</v>
      </c>
      <c r="B1845">
        <v>330041659</v>
      </c>
      <c r="C1845" s="2" t="s">
        <v>2064</v>
      </c>
      <c r="D1845" t="s">
        <v>15</v>
      </c>
      <c r="E1845" s="5">
        <v>1100</v>
      </c>
      <c r="F1845" s="3">
        <v>1100</v>
      </c>
      <c r="G1845" s="2">
        <v>770</v>
      </c>
      <c r="I1845" s="2" t="s">
        <v>211</v>
      </c>
      <c r="J1845" s="2" t="s">
        <v>21</v>
      </c>
      <c r="K1845" t="s">
        <v>18</v>
      </c>
      <c r="L1845" t="str">
        <f>T("9791170894537")</f>
        <v>9791170894537</v>
      </c>
      <c r="M1845" t="str">
        <f t="shared" si="78"/>
        <v/>
      </c>
      <c r="N1845" t="s">
        <v>2065</v>
      </c>
    </row>
    <row r="1846" spans="1:14">
      <c r="A1846" s="1">
        <v>46068.998240740744</v>
      </c>
      <c r="B1846">
        <v>330041660</v>
      </c>
      <c r="C1846" s="2" t="s">
        <v>2066</v>
      </c>
      <c r="D1846" t="s">
        <v>15</v>
      </c>
      <c r="E1846" s="5">
        <v>1100</v>
      </c>
      <c r="F1846" s="3">
        <v>1100</v>
      </c>
      <c r="G1846" s="2">
        <v>770</v>
      </c>
      <c r="I1846" s="2" t="s">
        <v>211</v>
      </c>
      <c r="J1846" s="2" t="s">
        <v>21</v>
      </c>
      <c r="K1846" t="s">
        <v>18</v>
      </c>
      <c r="L1846" t="str">
        <f>T("9791170894544")</f>
        <v>9791170894544</v>
      </c>
      <c r="M1846" t="str">
        <f t="shared" si="78"/>
        <v/>
      </c>
      <c r="N1846" t="s">
        <v>2067</v>
      </c>
    </row>
    <row r="1847" spans="1:14">
      <c r="A1847" s="1">
        <v>46068.999907407408</v>
      </c>
      <c r="B1847">
        <v>386057276</v>
      </c>
      <c r="C1847" s="2" t="s">
        <v>1681</v>
      </c>
      <c r="D1847" t="s">
        <v>68</v>
      </c>
      <c r="E1847" s="5">
        <v>-8100</v>
      </c>
      <c r="F1847" s="3">
        <v>-8100</v>
      </c>
      <c r="G1847" s="3">
        <v>-5670</v>
      </c>
      <c r="H1847" s="1">
        <v>46068.999456018515</v>
      </c>
      <c r="I1847" s="2" t="s">
        <v>1682</v>
      </c>
      <c r="J1847" s="2" t="s">
        <v>197</v>
      </c>
      <c r="K1847" t="s">
        <v>18</v>
      </c>
      <c r="L1847" t="str">
        <f>T("9791164097661")</f>
        <v>9791164097661</v>
      </c>
      <c r="M1847" t="str">
        <f t="shared" si="78"/>
        <v/>
      </c>
    </row>
    <row r="1848" spans="1:14">
      <c r="A1848" s="1">
        <v>46068.999456018515</v>
      </c>
      <c r="B1848">
        <v>386057276</v>
      </c>
      <c r="C1848" s="2" t="s">
        <v>1681</v>
      </c>
      <c r="D1848" t="s">
        <v>68</v>
      </c>
      <c r="E1848" s="5">
        <v>8100</v>
      </c>
      <c r="F1848" s="3">
        <v>8100</v>
      </c>
      <c r="G1848" s="3">
        <v>5670</v>
      </c>
      <c r="I1848" s="2" t="s">
        <v>1682</v>
      </c>
      <c r="J1848" s="2" t="s">
        <v>197</v>
      </c>
      <c r="K1848" t="s">
        <v>18</v>
      </c>
      <c r="L1848" t="str">
        <f>T("9791164097661")</f>
        <v>9791164097661</v>
      </c>
      <c r="M1848" t="str">
        <f t="shared" si="78"/>
        <v/>
      </c>
    </row>
    <row r="1849" spans="1:14">
      <c r="A1849" s="1">
        <v>46069.002268518518</v>
      </c>
      <c r="B1849">
        <v>372487137</v>
      </c>
      <c r="C1849" s="2" t="s">
        <v>147</v>
      </c>
      <c r="D1849" t="s">
        <v>15</v>
      </c>
      <c r="E1849" s="5">
        <v>1000</v>
      </c>
      <c r="F1849" s="3">
        <v>1000</v>
      </c>
      <c r="G1849" s="2">
        <v>700</v>
      </c>
      <c r="I1849" s="2" t="s">
        <v>148</v>
      </c>
      <c r="J1849" s="2" t="s">
        <v>21</v>
      </c>
      <c r="K1849" t="s">
        <v>18</v>
      </c>
      <c r="L1849" t="str">
        <f>T("9791173017797")</f>
        <v>9791173017797</v>
      </c>
      <c r="M1849" t="str">
        <f t="shared" si="78"/>
        <v/>
      </c>
      <c r="N1849" t="s">
        <v>149</v>
      </c>
    </row>
    <row r="1850" spans="1:14">
      <c r="A1850" s="1">
        <v>46069.003865740742</v>
      </c>
      <c r="B1850">
        <v>383435421</v>
      </c>
      <c r="C1850" s="2" t="s">
        <v>27</v>
      </c>
      <c r="D1850" t="s">
        <v>15</v>
      </c>
      <c r="E1850" s="5">
        <v>1000</v>
      </c>
      <c r="F1850" s="3">
        <v>1000</v>
      </c>
      <c r="G1850" s="2">
        <v>700</v>
      </c>
      <c r="I1850" s="2" t="s">
        <v>28</v>
      </c>
      <c r="J1850" s="2" t="s">
        <v>21</v>
      </c>
      <c r="K1850" t="s">
        <v>18</v>
      </c>
      <c r="L1850" t="str">
        <f>T("9791175582361")</f>
        <v>9791175582361</v>
      </c>
      <c r="M1850" t="str">
        <f t="shared" si="78"/>
        <v/>
      </c>
      <c r="N1850" t="s">
        <v>29</v>
      </c>
    </row>
    <row r="1851" spans="1:14">
      <c r="A1851" s="1">
        <v>46069.011678240742</v>
      </c>
      <c r="B1851">
        <v>382626257</v>
      </c>
      <c r="C1851" s="2" t="s">
        <v>152</v>
      </c>
      <c r="D1851" t="s">
        <v>15</v>
      </c>
      <c r="E1851" s="5">
        <v>1000</v>
      </c>
      <c r="F1851" s="3">
        <v>1000</v>
      </c>
      <c r="G1851" s="2">
        <v>700</v>
      </c>
      <c r="I1851" s="2" t="s">
        <v>148</v>
      </c>
      <c r="J1851" s="2" t="s">
        <v>21</v>
      </c>
      <c r="K1851" t="s">
        <v>18</v>
      </c>
      <c r="L1851" t="str">
        <f>T("9791175581906")</f>
        <v>9791175581906</v>
      </c>
      <c r="M1851" t="str">
        <f t="shared" si="78"/>
        <v/>
      </c>
      <c r="N1851" t="s">
        <v>153</v>
      </c>
    </row>
    <row r="1852" spans="1:14">
      <c r="A1852" s="1">
        <v>46069.012395833335</v>
      </c>
      <c r="B1852">
        <v>371096984</v>
      </c>
      <c r="C1852" s="2" t="s">
        <v>2068</v>
      </c>
      <c r="D1852" t="s">
        <v>15</v>
      </c>
      <c r="E1852" s="5">
        <v>1000</v>
      </c>
      <c r="F1852" s="3">
        <v>1000</v>
      </c>
      <c r="G1852" s="2">
        <v>700</v>
      </c>
      <c r="I1852" s="2" t="s">
        <v>1963</v>
      </c>
      <c r="J1852" s="2" t="s">
        <v>177</v>
      </c>
      <c r="K1852" t="s">
        <v>18</v>
      </c>
      <c r="L1852" t="str">
        <f>T("9791170964339")</f>
        <v>9791170964339</v>
      </c>
      <c r="M1852" t="str">
        <f t="shared" si="78"/>
        <v/>
      </c>
      <c r="N1852" t="s">
        <v>2069</v>
      </c>
    </row>
    <row r="1853" spans="1:14">
      <c r="A1853" s="1">
        <v>46069.013935185183</v>
      </c>
      <c r="B1853">
        <v>342332833</v>
      </c>
      <c r="C1853" s="2" t="s">
        <v>2070</v>
      </c>
      <c r="D1853" t="s">
        <v>15</v>
      </c>
      <c r="E1853" s="5">
        <v>1000</v>
      </c>
      <c r="F1853" s="3">
        <v>1000</v>
      </c>
      <c r="G1853" s="2">
        <v>700</v>
      </c>
      <c r="I1853" s="2" t="s">
        <v>2071</v>
      </c>
      <c r="J1853" s="2" t="s">
        <v>21</v>
      </c>
      <c r="K1853" t="s">
        <v>18</v>
      </c>
      <c r="L1853" t="str">
        <f>T("9791170897361")</f>
        <v>9791170897361</v>
      </c>
      <c r="M1853" t="str">
        <f t="shared" si="78"/>
        <v/>
      </c>
      <c r="N1853" t="s">
        <v>2072</v>
      </c>
    </row>
    <row r="1854" spans="1:14">
      <c r="A1854" s="1">
        <v>46069.015856481485</v>
      </c>
      <c r="B1854">
        <v>277935777</v>
      </c>
      <c r="C1854" s="2" t="s">
        <v>2073</v>
      </c>
      <c r="D1854" t="s">
        <v>15</v>
      </c>
      <c r="E1854" s="4">
        <v>100</v>
      </c>
      <c r="F1854" s="2">
        <v>100</v>
      </c>
      <c r="G1854" s="2">
        <v>70</v>
      </c>
      <c r="I1854" s="2" t="s">
        <v>64</v>
      </c>
      <c r="J1854" s="2" t="s">
        <v>65</v>
      </c>
      <c r="K1854" t="s">
        <v>18</v>
      </c>
      <c r="L1854" t="str">
        <f>T("9791162589724")</f>
        <v>9791162589724</v>
      </c>
      <c r="M1854" t="str">
        <f t="shared" si="78"/>
        <v/>
      </c>
      <c r="N1854" t="s">
        <v>2074</v>
      </c>
    </row>
    <row r="1855" spans="1:14">
      <c r="A1855" s="1">
        <v>46069.019363425927</v>
      </c>
      <c r="B1855">
        <v>353237660</v>
      </c>
      <c r="C1855" s="2" t="s">
        <v>2075</v>
      </c>
      <c r="D1855" t="s">
        <v>15</v>
      </c>
      <c r="E1855" s="5">
        <v>1000</v>
      </c>
      <c r="F1855" s="3">
        <v>1000</v>
      </c>
      <c r="G1855" s="2">
        <v>700</v>
      </c>
      <c r="I1855" s="2" t="s">
        <v>2076</v>
      </c>
      <c r="J1855" s="2" t="s">
        <v>21</v>
      </c>
      <c r="K1855" t="s">
        <v>18</v>
      </c>
      <c r="L1855" t="str">
        <f>T("9791173010873")</f>
        <v>9791173010873</v>
      </c>
      <c r="M1855" t="str">
        <f t="shared" si="78"/>
        <v/>
      </c>
      <c r="N1855" t="s">
        <v>2077</v>
      </c>
    </row>
    <row r="1856" spans="1:14">
      <c r="A1856" s="1">
        <v>46069.019618055558</v>
      </c>
      <c r="B1856">
        <v>352542524</v>
      </c>
      <c r="C1856" s="2" t="s">
        <v>2078</v>
      </c>
      <c r="D1856" t="s">
        <v>15</v>
      </c>
      <c r="E1856" s="5">
        <v>1000</v>
      </c>
      <c r="F1856" s="3">
        <v>1000</v>
      </c>
      <c r="G1856" s="2">
        <v>700</v>
      </c>
      <c r="I1856" s="2" t="s">
        <v>2071</v>
      </c>
      <c r="J1856" s="2" t="s">
        <v>21</v>
      </c>
      <c r="K1856" t="s">
        <v>18</v>
      </c>
      <c r="L1856" t="str">
        <f>T("9791173011085")</f>
        <v>9791173011085</v>
      </c>
      <c r="M1856" t="str">
        <f t="shared" si="78"/>
        <v/>
      </c>
      <c r="N1856" t="s">
        <v>2079</v>
      </c>
    </row>
    <row r="1857" spans="1:14">
      <c r="A1857" s="1">
        <v>46069.020416666666</v>
      </c>
      <c r="B1857">
        <v>277935811</v>
      </c>
      <c r="C1857" s="2" t="s">
        <v>1544</v>
      </c>
      <c r="D1857" t="s">
        <v>15</v>
      </c>
      <c r="E1857" s="4">
        <v>100</v>
      </c>
      <c r="F1857" s="2">
        <v>100</v>
      </c>
      <c r="G1857" s="2">
        <v>70</v>
      </c>
      <c r="I1857" s="2" t="s">
        <v>64</v>
      </c>
      <c r="J1857" s="2" t="s">
        <v>65</v>
      </c>
      <c r="K1857" t="s">
        <v>18</v>
      </c>
      <c r="L1857" t="str">
        <f t="shared" ref="L1857:L1866" si="79">T("9791162589724")</f>
        <v>9791162589724</v>
      </c>
      <c r="M1857" t="str">
        <f t="shared" si="78"/>
        <v/>
      </c>
      <c r="N1857" t="s">
        <v>1545</v>
      </c>
    </row>
    <row r="1858" spans="1:14">
      <c r="A1858" s="1">
        <v>46069.020416666666</v>
      </c>
      <c r="B1858">
        <v>277935813</v>
      </c>
      <c r="C1858" s="2" t="s">
        <v>1613</v>
      </c>
      <c r="D1858" t="s">
        <v>15</v>
      </c>
      <c r="E1858" s="4">
        <v>100</v>
      </c>
      <c r="F1858" s="2">
        <v>100</v>
      </c>
      <c r="G1858" s="2">
        <v>70</v>
      </c>
      <c r="I1858" s="2" t="s">
        <v>64</v>
      </c>
      <c r="J1858" s="2" t="s">
        <v>65</v>
      </c>
      <c r="K1858" t="s">
        <v>18</v>
      </c>
      <c r="L1858" t="str">
        <f t="shared" si="79"/>
        <v>9791162589724</v>
      </c>
      <c r="M1858" t="str">
        <f t="shared" si="78"/>
        <v/>
      </c>
      <c r="N1858" t="s">
        <v>1614</v>
      </c>
    </row>
    <row r="1859" spans="1:14">
      <c r="A1859" s="1">
        <v>46069.020416666666</v>
      </c>
      <c r="B1859">
        <v>277935808</v>
      </c>
      <c r="C1859" s="2" t="s">
        <v>1542</v>
      </c>
      <c r="D1859" t="s">
        <v>15</v>
      </c>
      <c r="E1859" s="4">
        <v>100</v>
      </c>
      <c r="F1859" s="2">
        <v>100</v>
      </c>
      <c r="G1859" s="2">
        <v>70</v>
      </c>
      <c r="I1859" s="2" t="s">
        <v>64</v>
      </c>
      <c r="J1859" s="2" t="s">
        <v>65</v>
      </c>
      <c r="K1859" t="s">
        <v>18</v>
      </c>
      <c r="L1859" t="str">
        <f t="shared" si="79"/>
        <v>9791162589724</v>
      </c>
      <c r="M1859" t="str">
        <f t="shared" si="78"/>
        <v/>
      </c>
      <c r="N1859" t="s">
        <v>1543</v>
      </c>
    </row>
    <row r="1860" spans="1:14">
      <c r="A1860" s="1">
        <v>46069.020416666666</v>
      </c>
      <c r="B1860">
        <v>277935815</v>
      </c>
      <c r="C1860" s="2" t="s">
        <v>1615</v>
      </c>
      <c r="D1860" t="s">
        <v>15</v>
      </c>
      <c r="E1860" s="4">
        <v>100</v>
      </c>
      <c r="F1860" s="2">
        <v>100</v>
      </c>
      <c r="G1860" s="2">
        <v>70</v>
      </c>
      <c r="I1860" s="2" t="s">
        <v>64</v>
      </c>
      <c r="J1860" s="2" t="s">
        <v>65</v>
      </c>
      <c r="K1860" t="s">
        <v>18</v>
      </c>
      <c r="L1860" t="str">
        <f t="shared" si="79"/>
        <v>9791162589724</v>
      </c>
      <c r="M1860" t="str">
        <f t="shared" si="78"/>
        <v/>
      </c>
      <c r="N1860" t="s">
        <v>1616</v>
      </c>
    </row>
    <row r="1861" spans="1:14">
      <c r="A1861" s="1">
        <v>46069.020416666666</v>
      </c>
      <c r="B1861">
        <v>277935759</v>
      </c>
      <c r="C1861" s="2" t="s">
        <v>1611</v>
      </c>
      <c r="D1861" t="s">
        <v>15</v>
      </c>
      <c r="E1861" s="4">
        <v>100</v>
      </c>
      <c r="F1861" s="2">
        <v>100</v>
      </c>
      <c r="G1861" s="2">
        <v>70</v>
      </c>
      <c r="I1861" s="2" t="s">
        <v>64</v>
      </c>
      <c r="J1861" s="2" t="s">
        <v>65</v>
      </c>
      <c r="K1861" t="s">
        <v>18</v>
      </c>
      <c r="L1861" t="str">
        <f t="shared" si="79"/>
        <v>9791162589724</v>
      </c>
      <c r="M1861" t="str">
        <f t="shared" si="78"/>
        <v/>
      </c>
      <c r="N1861" t="s">
        <v>1612</v>
      </c>
    </row>
    <row r="1862" spans="1:14">
      <c r="A1862" s="1">
        <v>46069.020416666666</v>
      </c>
      <c r="B1862">
        <v>277935755</v>
      </c>
      <c r="C1862" s="2" t="s">
        <v>1540</v>
      </c>
      <c r="D1862" t="s">
        <v>15</v>
      </c>
      <c r="E1862" s="4">
        <v>100</v>
      </c>
      <c r="F1862" s="2">
        <v>100</v>
      </c>
      <c r="G1862" s="2">
        <v>70</v>
      </c>
      <c r="I1862" s="2" t="s">
        <v>64</v>
      </c>
      <c r="J1862" s="2" t="s">
        <v>65</v>
      </c>
      <c r="K1862" t="s">
        <v>18</v>
      </c>
      <c r="L1862" t="str">
        <f t="shared" si="79"/>
        <v>9791162589724</v>
      </c>
      <c r="M1862" t="str">
        <f t="shared" si="78"/>
        <v/>
      </c>
      <c r="N1862" t="s">
        <v>1541</v>
      </c>
    </row>
    <row r="1863" spans="1:14">
      <c r="A1863" s="1">
        <v>46069.020416666666</v>
      </c>
      <c r="B1863">
        <v>277935527</v>
      </c>
      <c r="C1863" s="2" t="s">
        <v>1548</v>
      </c>
      <c r="D1863" t="s">
        <v>15</v>
      </c>
      <c r="E1863" s="4">
        <v>100</v>
      </c>
      <c r="F1863" s="2">
        <v>100</v>
      </c>
      <c r="G1863" s="2">
        <v>70</v>
      </c>
      <c r="I1863" s="2" t="s">
        <v>64</v>
      </c>
      <c r="J1863" s="2" t="s">
        <v>65</v>
      </c>
      <c r="K1863" t="s">
        <v>18</v>
      </c>
      <c r="L1863" t="str">
        <f t="shared" si="79"/>
        <v>9791162589724</v>
      </c>
      <c r="M1863" t="str">
        <f t="shared" si="78"/>
        <v/>
      </c>
      <c r="N1863" t="s">
        <v>1549</v>
      </c>
    </row>
    <row r="1864" spans="1:14">
      <c r="A1864" s="1">
        <v>46069.020416666666</v>
      </c>
      <c r="B1864">
        <v>277935531</v>
      </c>
      <c r="C1864" s="2" t="s">
        <v>1617</v>
      </c>
      <c r="D1864" t="s">
        <v>15</v>
      </c>
      <c r="E1864" s="4">
        <v>100</v>
      </c>
      <c r="F1864" s="2">
        <v>100</v>
      </c>
      <c r="G1864" s="2">
        <v>70</v>
      </c>
      <c r="I1864" s="2" t="s">
        <v>64</v>
      </c>
      <c r="J1864" s="2" t="s">
        <v>65</v>
      </c>
      <c r="K1864" t="s">
        <v>18</v>
      </c>
      <c r="L1864" t="str">
        <f t="shared" si="79"/>
        <v>9791162589724</v>
      </c>
      <c r="M1864" t="str">
        <f t="shared" si="78"/>
        <v/>
      </c>
      <c r="N1864" t="s">
        <v>1618</v>
      </c>
    </row>
    <row r="1865" spans="1:14">
      <c r="A1865" s="1">
        <v>46069.020416666666</v>
      </c>
      <c r="B1865">
        <v>277935715</v>
      </c>
      <c r="C1865" s="2" t="s">
        <v>1546</v>
      </c>
      <c r="D1865" t="s">
        <v>15</v>
      </c>
      <c r="E1865" s="4">
        <v>100</v>
      </c>
      <c r="F1865" s="2">
        <v>100</v>
      </c>
      <c r="G1865" s="2">
        <v>70</v>
      </c>
      <c r="I1865" s="2" t="s">
        <v>64</v>
      </c>
      <c r="J1865" s="2" t="s">
        <v>65</v>
      </c>
      <c r="K1865" t="s">
        <v>18</v>
      </c>
      <c r="L1865" t="str">
        <f t="shared" si="79"/>
        <v>9791162589724</v>
      </c>
      <c r="M1865" t="str">
        <f t="shared" ref="M1865:M1896" si="80">T("")</f>
        <v/>
      </c>
      <c r="N1865" t="s">
        <v>1547</v>
      </c>
    </row>
    <row r="1866" spans="1:14">
      <c r="A1866" s="1">
        <v>46069.020416666666</v>
      </c>
      <c r="B1866">
        <v>277935720</v>
      </c>
      <c r="C1866" s="2" t="s">
        <v>1922</v>
      </c>
      <c r="D1866" t="s">
        <v>15</v>
      </c>
      <c r="E1866" s="4">
        <v>100</v>
      </c>
      <c r="F1866" s="2">
        <v>100</v>
      </c>
      <c r="G1866" s="2">
        <v>70</v>
      </c>
      <c r="I1866" s="2" t="s">
        <v>64</v>
      </c>
      <c r="J1866" s="2" t="s">
        <v>65</v>
      </c>
      <c r="K1866" t="s">
        <v>18</v>
      </c>
      <c r="L1866" t="str">
        <f t="shared" si="79"/>
        <v>9791162589724</v>
      </c>
      <c r="M1866" t="str">
        <f t="shared" si="80"/>
        <v/>
      </c>
      <c r="N1866" t="s">
        <v>1923</v>
      </c>
    </row>
    <row r="1867" spans="1:14">
      <c r="A1867" s="1">
        <v>46069.021597222221</v>
      </c>
      <c r="B1867">
        <v>302552125</v>
      </c>
      <c r="C1867" s="2" t="s">
        <v>1960</v>
      </c>
      <c r="D1867" t="s">
        <v>15</v>
      </c>
      <c r="E1867" s="5">
        <v>1500</v>
      </c>
      <c r="F1867" s="3">
        <v>1500</v>
      </c>
      <c r="G1867" s="3">
        <v>1050</v>
      </c>
      <c r="I1867" s="2" t="s">
        <v>266</v>
      </c>
      <c r="J1867" s="2" t="s">
        <v>126</v>
      </c>
      <c r="K1867" t="s">
        <v>18</v>
      </c>
      <c r="L1867" t="str">
        <f>T("9791164977703")</f>
        <v>9791164977703</v>
      </c>
      <c r="M1867" t="str">
        <f t="shared" si="80"/>
        <v/>
      </c>
      <c r="N1867" t="s">
        <v>1961</v>
      </c>
    </row>
    <row r="1868" spans="1:14">
      <c r="A1868" s="1">
        <v>46069.889050925929</v>
      </c>
      <c r="B1868">
        <v>302552125</v>
      </c>
      <c r="C1868" s="2" t="s">
        <v>1960</v>
      </c>
      <c r="D1868" t="s">
        <v>15</v>
      </c>
      <c r="E1868" s="5">
        <v>-1500</v>
      </c>
      <c r="F1868" s="3">
        <v>-1500</v>
      </c>
      <c r="G1868" s="3">
        <v>-1050</v>
      </c>
      <c r="H1868" s="1">
        <v>46069.021597222221</v>
      </c>
      <c r="I1868" s="2" t="s">
        <v>266</v>
      </c>
      <c r="J1868" s="2" t="s">
        <v>126</v>
      </c>
      <c r="K1868" t="s">
        <v>18</v>
      </c>
      <c r="L1868" t="str">
        <f>T("9791164977703")</f>
        <v>9791164977703</v>
      </c>
      <c r="M1868" t="str">
        <f t="shared" si="80"/>
        <v/>
      </c>
      <c r="N1868" t="s">
        <v>1961</v>
      </c>
    </row>
    <row r="1869" spans="1:14">
      <c r="A1869" s="1">
        <v>46069.029560185183</v>
      </c>
      <c r="B1869">
        <v>385347797</v>
      </c>
      <c r="C1869" s="2" t="s">
        <v>195</v>
      </c>
      <c r="D1869" t="s">
        <v>15</v>
      </c>
      <c r="E1869" s="4">
        <v>700</v>
      </c>
      <c r="F1869" s="2">
        <v>630</v>
      </c>
      <c r="G1869" s="2">
        <v>441</v>
      </c>
      <c r="I1869" s="2" t="s">
        <v>196</v>
      </c>
      <c r="J1869" s="2" t="s">
        <v>197</v>
      </c>
      <c r="K1869" t="s">
        <v>18</v>
      </c>
      <c r="L1869" t="str">
        <f>T("9791172821937")</f>
        <v>9791172821937</v>
      </c>
      <c r="M1869" t="str">
        <f t="shared" si="80"/>
        <v/>
      </c>
      <c r="N1869" t="s">
        <v>198</v>
      </c>
    </row>
    <row r="1870" spans="1:14">
      <c r="A1870" s="1">
        <v>46069.043043981481</v>
      </c>
      <c r="B1870">
        <v>210168956</v>
      </c>
      <c r="C1870" s="2" t="s">
        <v>2080</v>
      </c>
      <c r="D1870" t="s">
        <v>15</v>
      </c>
      <c r="E1870" s="5">
        <v>2200</v>
      </c>
      <c r="F1870" s="3">
        <v>2200</v>
      </c>
      <c r="G1870" s="3">
        <v>1540</v>
      </c>
      <c r="I1870" s="2" t="s">
        <v>2081</v>
      </c>
      <c r="J1870" s="2" t="s">
        <v>184</v>
      </c>
      <c r="K1870" t="s">
        <v>18</v>
      </c>
      <c r="L1870" t="str">
        <f>T("9791164790173")</f>
        <v>9791164790173</v>
      </c>
      <c r="M1870" t="str">
        <f t="shared" si="80"/>
        <v/>
      </c>
    </row>
    <row r="1871" spans="1:14">
      <c r="A1871" s="1">
        <v>46069.076261574075</v>
      </c>
      <c r="B1871">
        <v>365291610</v>
      </c>
      <c r="C1871" s="2" t="s">
        <v>2082</v>
      </c>
      <c r="D1871" t="s">
        <v>15</v>
      </c>
      <c r="E1871" s="5">
        <v>1000</v>
      </c>
      <c r="F1871" s="3">
        <v>1000</v>
      </c>
      <c r="G1871" s="2">
        <v>700</v>
      </c>
      <c r="I1871" s="2" t="s">
        <v>941</v>
      </c>
      <c r="J1871" s="2" t="s">
        <v>21</v>
      </c>
      <c r="K1871" t="s">
        <v>18</v>
      </c>
      <c r="L1871" t="str">
        <f>T("9791173014819")</f>
        <v>9791173014819</v>
      </c>
      <c r="M1871" t="str">
        <f t="shared" si="80"/>
        <v/>
      </c>
      <c r="N1871" t="s">
        <v>2083</v>
      </c>
    </row>
    <row r="1872" spans="1:14">
      <c r="A1872" s="1">
        <v>46069.077280092592</v>
      </c>
      <c r="B1872">
        <v>360321643</v>
      </c>
      <c r="C1872" s="2" t="s">
        <v>2084</v>
      </c>
      <c r="D1872" t="s">
        <v>15</v>
      </c>
      <c r="E1872" s="5">
        <v>1000</v>
      </c>
      <c r="F1872" s="3">
        <v>1000</v>
      </c>
      <c r="G1872" s="2">
        <v>700</v>
      </c>
      <c r="I1872" s="2" t="s">
        <v>148</v>
      </c>
      <c r="J1872" s="2" t="s">
        <v>21</v>
      </c>
      <c r="K1872" t="s">
        <v>18</v>
      </c>
      <c r="L1872" t="str">
        <f>T("9791173012907")</f>
        <v>9791173012907</v>
      </c>
      <c r="M1872" t="str">
        <f t="shared" si="80"/>
        <v/>
      </c>
      <c r="N1872" t="s">
        <v>2085</v>
      </c>
    </row>
    <row r="1873" spans="1:14">
      <c r="A1873" s="1">
        <v>46069.077280092592</v>
      </c>
      <c r="B1873">
        <v>353237662</v>
      </c>
      <c r="C1873" s="2" t="s">
        <v>2086</v>
      </c>
      <c r="D1873" t="s">
        <v>15</v>
      </c>
      <c r="E1873" s="5">
        <v>1000</v>
      </c>
      <c r="F1873" s="3">
        <v>1000</v>
      </c>
      <c r="G1873" s="2">
        <v>700</v>
      </c>
      <c r="I1873" s="2" t="s">
        <v>148</v>
      </c>
      <c r="J1873" s="2" t="s">
        <v>21</v>
      </c>
      <c r="K1873" t="s">
        <v>18</v>
      </c>
      <c r="L1873" t="str">
        <f>T("9791173011061")</f>
        <v>9791173011061</v>
      </c>
      <c r="M1873" t="str">
        <f t="shared" si="80"/>
        <v/>
      </c>
      <c r="N1873" t="s">
        <v>2087</v>
      </c>
    </row>
    <row r="1874" spans="1:14">
      <c r="A1874" s="1">
        <v>46069.077280092592</v>
      </c>
      <c r="B1874">
        <v>375539695</v>
      </c>
      <c r="C1874" s="2" t="s">
        <v>1397</v>
      </c>
      <c r="D1874" t="s">
        <v>15</v>
      </c>
      <c r="E1874" s="5">
        <v>1000</v>
      </c>
      <c r="F1874" s="3">
        <v>1000</v>
      </c>
      <c r="G1874" s="2">
        <v>700</v>
      </c>
      <c r="I1874" s="2" t="s">
        <v>148</v>
      </c>
      <c r="J1874" s="2" t="s">
        <v>21</v>
      </c>
      <c r="K1874" t="s">
        <v>18</v>
      </c>
      <c r="L1874" t="str">
        <f>T("9791173018770")</f>
        <v>9791173018770</v>
      </c>
      <c r="M1874" t="str">
        <f t="shared" si="80"/>
        <v/>
      </c>
      <c r="N1874" t="s">
        <v>1398</v>
      </c>
    </row>
    <row r="1875" spans="1:14">
      <c r="A1875" s="1">
        <v>46069.077280092592</v>
      </c>
      <c r="B1875">
        <v>382626257</v>
      </c>
      <c r="C1875" s="2" t="s">
        <v>152</v>
      </c>
      <c r="D1875" t="s">
        <v>15</v>
      </c>
      <c r="E1875" s="5">
        <v>1000</v>
      </c>
      <c r="F1875" s="3">
        <v>1000</v>
      </c>
      <c r="G1875" s="2">
        <v>700</v>
      </c>
      <c r="I1875" s="2" t="s">
        <v>148</v>
      </c>
      <c r="J1875" s="2" t="s">
        <v>21</v>
      </c>
      <c r="K1875" t="s">
        <v>18</v>
      </c>
      <c r="L1875" t="str">
        <f>T("9791175581906")</f>
        <v>9791175581906</v>
      </c>
      <c r="M1875" t="str">
        <f t="shared" si="80"/>
        <v/>
      </c>
      <c r="N1875" t="s">
        <v>153</v>
      </c>
    </row>
    <row r="1876" spans="1:14">
      <c r="A1876" s="1">
        <v>46069.077280092592</v>
      </c>
      <c r="B1876">
        <v>379527576</v>
      </c>
      <c r="C1876" s="2" t="s">
        <v>150</v>
      </c>
      <c r="D1876" t="s">
        <v>15</v>
      </c>
      <c r="E1876" s="5">
        <v>1000</v>
      </c>
      <c r="F1876" s="3">
        <v>1000</v>
      </c>
      <c r="G1876" s="2">
        <v>700</v>
      </c>
      <c r="I1876" s="2" t="s">
        <v>148</v>
      </c>
      <c r="J1876" s="2" t="s">
        <v>21</v>
      </c>
      <c r="K1876" t="s">
        <v>18</v>
      </c>
      <c r="L1876" t="str">
        <f>T("9791175580541")</f>
        <v>9791175580541</v>
      </c>
      <c r="M1876" t="str">
        <f t="shared" si="80"/>
        <v/>
      </c>
      <c r="N1876" t="s">
        <v>151</v>
      </c>
    </row>
    <row r="1877" spans="1:14">
      <c r="A1877" s="1">
        <v>46069.077280092592</v>
      </c>
      <c r="B1877">
        <v>386008658</v>
      </c>
      <c r="C1877" s="2" t="s">
        <v>1429</v>
      </c>
      <c r="D1877" t="s">
        <v>15</v>
      </c>
      <c r="E1877" s="5">
        <v>1100</v>
      </c>
      <c r="F1877" s="3">
        <v>1100</v>
      </c>
      <c r="G1877" s="2">
        <v>770</v>
      </c>
      <c r="I1877" s="2" t="s">
        <v>148</v>
      </c>
      <c r="J1877" s="2" t="s">
        <v>21</v>
      </c>
      <c r="K1877" t="s">
        <v>18</v>
      </c>
      <c r="L1877" t="str">
        <f>T("9791175582873")</f>
        <v>9791175582873</v>
      </c>
      <c r="M1877" t="str">
        <f t="shared" si="80"/>
        <v/>
      </c>
      <c r="N1877" t="s">
        <v>1430</v>
      </c>
    </row>
    <row r="1878" spans="1:14">
      <c r="A1878" s="1">
        <v>46069.088750000003</v>
      </c>
      <c r="B1878">
        <v>330365846</v>
      </c>
      <c r="C1878" s="2" t="s">
        <v>2088</v>
      </c>
      <c r="D1878" t="s">
        <v>15</v>
      </c>
      <c r="E1878" s="5">
        <v>2500</v>
      </c>
      <c r="F1878" s="3">
        <v>2500</v>
      </c>
      <c r="G1878" s="3">
        <v>1750</v>
      </c>
      <c r="I1878" s="2" t="s">
        <v>266</v>
      </c>
      <c r="J1878" s="2" t="s">
        <v>126</v>
      </c>
      <c r="K1878" t="s">
        <v>18</v>
      </c>
      <c r="L1878" t="str">
        <f>T("9791171500123")</f>
        <v>9791171500123</v>
      </c>
      <c r="M1878" t="str">
        <f t="shared" si="80"/>
        <v/>
      </c>
      <c r="N1878" t="s">
        <v>2089</v>
      </c>
    </row>
    <row r="1879" spans="1:14">
      <c r="A1879" s="1">
        <v>46069.093472222223</v>
      </c>
      <c r="B1879">
        <v>385347797</v>
      </c>
      <c r="C1879" s="2" t="s">
        <v>195</v>
      </c>
      <c r="D1879" t="s">
        <v>15</v>
      </c>
      <c r="E1879" s="4">
        <v>700</v>
      </c>
      <c r="F1879" s="2">
        <v>630</v>
      </c>
      <c r="G1879" s="2">
        <v>441</v>
      </c>
      <c r="I1879" s="2" t="s">
        <v>196</v>
      </c>
      <c r="J1879" s="2" t="s">
        <v>197</v>
      </c>
      <c r="K1879" t="s">
        <v>18</v>
      </c>
      <c r="L1879" t="str">
        <f>T("9791172821937")</f>
        <v>9791172821937</v>
      </c>
      <c r="M1879" t="str">
        <f t="shared" si="80"/>
        <v/>
      </c>
      <c r="N1879" t="s">
        <v>198</v>
      </c>
    </row>
    <row r="1880" spans="1:14">
      <c r="A1880" s="1">
        <v>46069.144293981481</v>
      </c>
      <c r="B1880">
        <v>290946006</v>
      </c>
      <c r="C1880" s="2" t="s">
        <v>712</v>
      </c>
      <c r="D1880" t="s">
        <v>15</v>
      </c>
      <c r="E1880" s="4">
        <v>100</v>
      </c>
      <c r="F1880" s="2">
        <v>100</v>
      </c>
      <c r="G1880" s="2">
        <v>70</v>
      </c>
      <c r="I1880" s="2" t="s">
        <v>64</v>
      </c>
      <c r="J1880" s="2" t="s">
        <v>65</v>
      </c>
      <c r="K1880" t="s">
        <v>18</v>
      </c>
      <c r="L1880" t="str">
        <f>T("9791162589724")</f>
        <v>9791162589724</v>
      </c>
      <c r="M1880" t="str">
        <f t="shared" si="80"/>
        <v/>
      </c>
      <c r="N1880" t="s">
        <v>713</v>
      </c>
    </row>
    <row r="1881" spans="1:14">
      <c r="A1881" s="1">
        <v>46069.144293981481</v>
      </c>
      <c r="B1881">
        <v>290946008</v>
      </c>
      <c r="C1881" s="2" t="s">
        <v>728</v>
      </c>
      <c r="D1881" t="s">
        <v>15</v>
      </c>
      <c r="E1881" s="4">
        <v>100</v>
      </c>
      <c r="F1881" s="2">
        <v>100</v>
      </c>
      <c r="G1881" s="2">
        <v>70</v>
      </c>
      <c r="I1881" s="2" t="s">
        <v>64</v>
      </c>
      <c r="J1881" s="2" t="s">
        <v>65</v>
      </c>
      <c r="K1881" t="s">
        <v>18</v>
      </c>
      <c r="L1881" t="str">
        <f>T("9791162589724")</f>
        <v>9791162589724</v>
      </c>
      <c r="M1881" t="str">
        <f t="shared" si="80"/>
        <v/>
      </c>
      <c r="N1881" t="s">
        <v>729</v>
      </c>
    </row>
    <row r="1882" spans="1:14">
      <c r="A1882" s="1">
        <v>46069.144293981481</v>
      </c>
      <c r="B1882">
        <v>290946004</v>
      </c>
      <c r="C1882" s="2" t="s">
        <v>708</v>
      </c>
      <c r="D1882" t="s">
        <v>15</v>
      </c>
      <c r="E1882" s="4">
        <v>100</v>
      </c>
      <c r="F1882" s="2">
        <v>100</v>
      </c>
      <c r="G1882" s="2">
        <v>70</v>
      </c>
      <c r="I1882" s="2" t="s">
        <v>64</v>
      </c>
      <c r="J1882" s="2" t="s">
        <v>65</v>
      </c>
      <c r="K1882" t="s">
        <v>18</v>
      </c>
      <c r="L1882" t="str">
        <f>T("9791162589724")</f>
        <v>9791162589724</v>
      </c>
      <c r="M1882" t="str">
        <f t="shared" si="80"/>
        <v/>
      </c>
      <c r="N1882" t="s">
        <v>709</v>
      </c>
    </row>
    <row r="1883" spans="1:14">
      <c r="A1883" s="1">
        <v>46069.144293981481</v>
      </c>
      <c r="B1883">
        <v>290946005</v>
      </c>
      <c r="C1883" s="2" t="s">
        <v>710</v>
      </c>
      <c r="D1883" t="s">
        <v>15</v>
      </c>
      <c r="E1883" s="4">
        <v>100</v>
      </c>
      <c r="F1883" s="2">
        <v>100</v>
      </c>
      <c r="G1883" s="2">
        <v>70</v>
      </c>
      <c r="I1883" s="2" t="s">
        <v>64</v>
      </c>
      <c r="J1883" s="2" t="s">
        <v>65</v>
      </c>
      <c r="K1883" t="s">
        <v>18</v>
      </c>
      <c r="L1883" t="str">
        <f>T("9791162589724")</f>
        <v>9791162589724</v>
      </c>
      <c r="M1883" t="str">
        <f t="shared" si="80"/>
        <v/>
      </c>
      <c r="N1883" t="s">
        <v>711</v>
      </c>
    </row>
    <row r="1884" spans="1:14">
      <c r="A1884" s="1">
        <v>46069.144293981481</v>
      </c>
      <c r="B1884">
        <v>290996834</v>
      </c>
      <c r="C1884" s="2" t="s">
        <v>724</v>
      </c>
      <c r="D1884" t="s">
        <v>15</v>
      </c>
      <c r="E1884" s="4">
        <v>100</v>
      </c>
      <c r="F1884" s="2">
        <v>100</v>
      </c>
      <c r="G1884" s="2">
        <v>70</v>
      </c>
      <c r="I1884" s="2" t="s">
        <v>64</v>
      </c>
      <c r="J1884" s="2" t="s">
        <v>65</v>
      </c>
      <c r="K1884" t="s">
        <v>18</v>
      </c>
      <c r="L1884" t="str">
        <f>T("9791162589724")</f>
        <v>9791162589724</v>
      </c>
      <c r="M1884" t="str">
        <f t="shared" si="80"/>
        <v/>
      </c>
      <c r="N1884" t="s">
        <v>725</v>
      </c>
    </row>
    <row r="1885" spans="1:14">
      <c r="A1885" s="1">
        <v>46069.146724537037</v>
      </c>
      <c r="B1885">
        <v>384623944</v>
      </c>
      <c r="C1885" s="2" t="s">
        <v>319</v>
      </c>
      <c r="D1885" t="s">
        <v>15</v>
      </c>
      <c r="E1885" s="5">
        <v>1000</v>
      </c>
      <c r="F1885" s="3">
        <v>1000</v>
      </c>
      <c r="G1885" s="2">
        <v>700</v>
      </c>
      <c r="I1885" s="2" t="s">
        <v>312</v>
      </c>
      <c r="J1885" s="2" t="s">
        <v>21</v>
      </c>
      <c r="K1885" t="s">
        <v>18</v>
      </c>
      <c r="L1885" t="str">
        <f>T("9791175582330")</f>
        <v>9791175582330</v>
      </c>
      <c r="M1885" t="str">
        <f t="shared" si="80"/>
        <v/>
      </c>
      <c r="N1885" t="s">
        <v>320</v>
      </c>
    </row>
    <row r="1886" spans="1:14">
      <c r="A1886" s="1">
        <v>46069.201886574076</v>
      </c>
      <c r="B1886">
        <v>385852525</v>
      </c>
      <c r="C1886" s="2" t="s">
        <v>1235</v>
      </c>
      <c r="D1886" t="s">
        <v>15</v>
      </c>
      <c r="E1886" s="5">
        <v>2600</v>
      </c>
      <c r="F1886" s="3">
        <v>2600</v>
      </c>
      <c r="G1886" s="3">
        <v>1820</v>
      </c>
      <c r="I1886" s="2" t="s">
        <v>1236</v>
      </c>
      <c r="J1886" s="2" t="s">
        <v>960</v>
      </c>
      <c r="K1886" t="s">
        <v>18</v>
      </c>
      <c r="L1886" t="str">
        <f>T("9791171846115")</f>
        <v>9791171846115</v>
      </c>
      <c r="M1886" t="str">
        <f t="shared" si="80"/>
        <v/>
      </c>
      <c r="N1886" t="s">
        <v>1237</v>
      </c>
    </row>
    <row r="1887" spans="1:14">
      <c r="A1887" s="1">
        <v>46069.201886574076</v>
      </c>
      <c r="B1887">
        <v>385852536</v>
      </c>
      <c r="C1887" s="2" t="s">
        <v>2090</v>
      </c>
      <c r="D1887" t="s">
        <v>15</v>
      </c>
      <c r="E1887" s="5">
        <v>2600</v>
      </c>
      <c r="F1887" s="3">
        <v>2600</v>
      </c>
      <c r="G1887" s="3">
        <v>1820</v>
      </c>
      <c r="I1887" s="2" t="s">
        <v>1236</v>
      </c>
      <c r="J1887" s="2" t="s">
        <v>960</v>
      </c>
      <c r="K1887" t="s">
        <v>18</v>
      </c>
      <c r="L1887" t="str">
        <f>T("9791171846146")</f>
        <v>9791171846146</v>
      </c>
      <c r="M1887" t="str">
        <f t="shared" si="80"/>
        <v/>
      </c>
      <c r="N1887" t="s">
        <v>2091</v>
      </c>
    </row>
    <row r="1888" spans="1:14">
      <c r="A1888" s="1">
        <v>46069.201886574076</v>
      </c>
      <c r="B1888">
        <v>385852539</v>
      </c>
      <c r="C1888" s="2" t="s">
        <v>2092</v>
      </c>
      <c r="D1888" t="s">
        <v>15</v>
      </c>
      <c r="E1888" s="5">
        <v>2600</v>
      </c>
      <c r="F1888" s="3">
        <v>2600</v>
      </c>
      <c r="G1888" s="3">
        <v>1820</v>
      </c>
      <c r="I1888" s="2" t="s">
        <v>1236</v>
      </c>
      <c r="J1888" s="2" t="s">
        <v>960</v>
      </c>
      <c r="K1888" t="s">
        <v>18</v>
      </c>
      <c r="L1888" t="str">
        <f>T("9791171846153")</f>
        <v>9791171846153</v>
      </c>
      <c r="M1888" t="str">
        <f t="shared" si="80"/>
        <v/>
      </c>
      <c r="N1888" t="s">
        <v>2093</v>
      </c>
    </row>
    <row r="1889" spans="1:14">
      <c r="A1889" s="1">
        <v>46069.201886574076</v>
      </c>
      <c r="B1889">
        <v>385852508</v>
      </c>
      <c r="C1889" s="2" t="s">
        <v>2094</v>
      </c>
      <c r="D1889" t="s">
        <v>15</v>
      </c>
      <c r="E1889" s="5">
        <v>2600</v>
      </c>
      <c r="F1889" s="3">
        <v>2600</v>
      </c>
      <c r="G1889" s="3">
        <v>1820</v>
      </c>
      <c r="I1889" s="2" t="s">
        <v>1236</v>
      </c>
      <c r="J1889" s="2" t="s">
        <v>960</v>
      </c>
      <c r="K1889" t="s">
        <v>18</v>
      </c>
      <c r="L1889" t="str">
        <f>T("9791171846160")</f>
        <v>9791171846160</v>
      </c>
      <c r="M1889" t="str">
        <f t="shared" si="80"/>
        <v/>
      </c>
      <c r="N1889" t="s">
        <v>2095</v>
      </c>
    </row>
    <row r="1890" spans="1:14">
      <c r="A1890" s="1">
        <v>46069.201886574076</v>
      </c>
      <c r="B1890">
        <v>385852505</v>
      </c>
      <c r="C1890" s="2" t="s">
        <v>2096</v>
      </c>
      <c r="D1890" t="s">
        <v>15</v>
      </c>
      <c r="E1890" s="5">
        <v>2600</v>
      </c>
      <c r="F1890" s="3">
        <v>2600</v>
      </c>
      <c r="G1890" s="3">
        <v>1820</v>
      </c>
      <c r="I1890" s="2" t="s">
        <v>1236</v>
      </c>
      <c r="J1890" s="2" t="s">
        <v>960</v>
      </c>
      <c r="K1890" t="s">
        <v>18</v>
      </c>
      <c r="L1890" t="str">
        <f>T("9791171846139")</f>
        <v>9791171846139</v>
      </c>
      <c r="M1890" t="str">
        <f t="shared" si="80"/>
        <v/>
      </c>
      <c r="N1890" t="s">
        <v>2097</v>
      </c>
    </row>
    <row r="1891" spans="1:14">
      <c r="A1891" s="1">
        <v>46069.201886574076</v>
      </c>
      <c r="B1891">
        <v>385852501</v>
      </c>
      <c r="C1891" s="2" t="s">
        <v>2098</v>
      </c>
      <c r="D1891" t="s">
        <v>15</v>
      </c>
      <c r="E1891" s="5">
        <v>2600</v>
      </c>
      <c r="F1891" s="3">
        <v>2600</v>
      </c>
      <c r="G1891" s="3">
        <v>1820</v>
      </c>
      <c r="I1891" s="2" t="s">
        <v>1236</v>
      </c>
      <c r="J1891" s="2" t="s">
        <v>960</v>
      </c>
      <c r="K1891" t="s">
        <v>18</v>
      </c>
      <c r="L1891" t="str">
        <f>T("9791171846122")</f>
        <v>9791171846122</v>
      </c>
      <c r="M1891" t="str">
        <f t="shared" si="80"/>
        <v/>
      </c>
      <c r="N1891" t="s">
        <v>2099</v>
      </c>
    </row>
    <row r="1892" spans="1:14">
      <c r="A1892" s="1">
        <v>46069.239895833336</v>
      </c>
      <c r="B1892">
        <v>271933174</v>
      </c>
      <c r="C1892" s="2" t="s">
        <v>45</v>
      </c>
      <c r="D1892" t="s">
        <v>15</v>
      </c>
      <c r="E1892" s="5">
        <v>3000</v>
      </c>
      <c r="F1892" s="3">
        <v>3000</v>
      </c>
      <c r="G1892" s="3">
        <v>2100</v>
      </c>
      <c r="I1892" s="2" t="s">
        <v>44</v>
      </c>
      <c r="J1892" s="2" t="s">
        <v>21</v>
      </c>
      <c r="K1892" t="s">
        <v>18</v>
      </c>
      <c r="L1892" t="str">
        <f>T("9791191337068")</f>
        <v>9791191337068</v>
      </c>
      <c r="M1892" t="str">
        <f t="shared" si="80"/>
        <v/>
      </c>
    </row>
    <row r="1893" spans="1:14">
      <c r="A1893" s="1">
        <v>46069.269942129627</v>
      </c>
      <c r="B1893">
        <v>323406744</v>
      </c>
      <c r="C1893" s="2" t="s">
        <v>2100</v>
      </c>
      <c r="D1893" t="s">
        <v>15</v>
      </c>
      <c r="E1893" s="5">
        <v>1000</v>
      </c>
      <c r="F1893" s="3">
        <v>1000</v>
      </c>
      <c r="G1893" s="2">
        <v>700</v>
      </c>
      <c r="I1893" s="2" t="s">
        <v>1144</v>
      </c>
      <c r="J1893" s="2" t="s">
        <v>177</v>
      </c>
      <c r="K1893" t="s">
        <v>18</v>
      </c>
      <c r="L1893" t="str">
        <f>T("9791170960027")</f>
        <v>9791170960027</v>
      </c>
      <c r="M1893" t="str">
        <f t="shared" si="80"/>
        <v/>
      </c>
      <c r="N1893" t="s">
        <v>2101</v>
      </c>
    </row>
    <row r="1894" spans="1:14">
      <c r="A1894" s="1">
        <v>46069.304467592592</v>
      </c>
      <c r="B1894">
        <v>379258534</v>
      </c>
      <c r="C1894" s="2" t="s">
        <v>232</v>
      </c>
      <c r="D1894" t="s">
        <v>15</v>
      </c>
      <c r="E1894" s="5">
        <v>2000</v>
      </c>
      <c r="F1894" s="3">
        <v>2000</v>
      </c>
      <c r="G1894" s="3">
        <v>1400</v>
      </c>
      <c r="I1894" s="2" t="s">
        <v>233</v>
      </c>
      <c r="J1894" s="2" t="s">
        <v>55</v>
      </c>
      <c r="K1894" t="s">
        <v>18</v>
      </c>
      <c r="L1894" t="str">
        <f>T("9791175582590")</f>
        <v>9791175582590</v>
      </c>
      <c r="M1894" t="str">
        <f t="shared" si="80"/>
        <v/>
      </c>
      <c r="N1894" t="s">
        <v>234</v>
      </c>
    </row>
    <row r="1895" spans="1:14">
      <c r="A1895" s="1">
        <v>46069.342488425929</v>
      </c>
      <c r="B1895">
        <v>328759043</v>
      </c>
      <c r="C1895" s="2" t="s">
        <v>1537</v>
      </c>
      <c r="D1895" t="s">
        <v>68</v>
      </c>
      <c r="E1895" s="4">
        <v>840</v>
      </c>
      <c r="F1895" s="2">
        <v>840</v>
      </c>
      <c r="G1895" s="2">
        <v>588</v>
      </c>
      <c r="I1895" s="2" t="s">
        <v>852</v>
      </c>
      <c r="J1895" s="2" t="s">
        <v>197</v>
      </c>
      <c r="K1895" t="s">
        <v>18</v>
      </c>
      <c r="L1895" t="str">
        <f>T("9791164099269")</f>
        <v>9791164099269</v>
      </c>
      <c r="M1895" t="str">
        <f t="shared" si="80"/>
        <v/>
      </c>
    </row>
    <row r="1896" spans="1:14">
      <c r="A1896" s="1">
        <v>46069.370740740742</v>
      </c>
      <c r="B1896">
        <v>364579911</v>
      </c>
      <c r="C1896" s="2" t="s">
        <v>1399</v>
      </c>
      <c r="D1896" t="s">
        <v>15</v>
      </c>
      <c r="E1896" s="5">
        <v>1000</v>
      </c>
      <c r="F1896" s="3">
        <v>1000</v>
      </c>
      <c r="G1896" s="2">
        <v>700</v>
      </c>
      <c r="I1896" s="2" t="s">
        <v>148</v>
      </c>
      <c r="J1896" s="2" t="s">
        <v>21</v>
      </c>
      <c r="K1896" t="s">
        <v>18</v>
      </c>
      <c r="L1896" t="str">
        <f>T("9791173014239")</f>
        <v>9791173014239</v>
      </c>
      <c r="M1896" t="str">
        <f t="shared" si="80"/>
        <v/>
      </c>
      <c r="N1896" t="s">
        <v>1400</v>
      </c>
    </row>
    <row r="1897" spans="1:14">
      <c r="A1897" s="1">
        <v>46069.429236111115</v>
      </c>
      <c r="B1897">
        <v>368846988</v>
      </c>
      <c r="C1897" s="2" t="s">
        <v>2102</v>
      </c>
      <c r="D1897" t="s">
        <v>15</v>
      </c>
      <c r="E1897" s="5">
        <v>1000</v>
      </c>
      <c r="F1897" s="3">
        <v>1000</v>
      </c>
      <c r="G1897" s="2">
        <v>700</v>
      </c>
      <c r="I1897" s="2" t="s">
        <v>312</v>
      </c>
      <c r="J1897" s="2" t="s">
        <v>21</v>
      </c>
      <c r="K1897" t="s">
        <v>18</v>
      </c>
      <c r="L1897" t="str">
        <f>T("9791173017247")</f>
        <v>9791173017247</v>
      </c>
      <c r="M1897" t="str">
        <f t="shared" ref="M1897:M1907" si="81">T("")</f>
        <v/>
      </c>
      <c r="N1897" t="s">
        <v>2103</v>
      </c>
    </row>
    <row r="1898" spans="1:14">
      <c r="A1898" s="1">
        <v>46069.433807870373</v>
      </c>
      <c r="B1898">
        <v>358317890</v>
      </c>
      <c r="C1898" s="2" t="s">
        <v>588</v>
      </c>
      <c r="D1898" t="s">
        <v>15</v>
      </c>
      <c r="E1898" s="5">
        <v>1000</v>
      </c>
      <c r="F1898" s="3">
        <v>1000</v>
      </c>
      <c r="G1898" s="2">
        <v>700</v>
      </c>
      <c r="I1898" s="2" t="s">
        <v>41</v>
      </c>
      <c r="J1898" s="2" t="s">
        <v>21</v>
      </c>
      <c r="K1898" t="s">
        <v>18</v>
      </c>
      <c r="L1898" t="str">
        <f>T("9791173013294")</f>
        <v>9791173013294</v>
      </c>
      <c r="M1898" t="str">
        <f t="shared" si="81"/>
        <v/>
      </c>
      <c r="N1898" t="s">
        <v>589</v>
      </c>
    </row>
    <row r="1899" spans="1:14">
      <c r="A1899" s="1">
        <v>46069.452418981484</v>
      </c>
      <c r="B1899">
        <v>366329775</v>
      </c>
      <c r="C1899" s="2" t="s">
        <v>2104</v>
      </c>
      <c r="D1899" t="s">
        <v>15</v>
      </c>
      <c r="E1899" s="5">
        <v>1100</v>
      </c>
      <c r="F1899" s="3">
        <v>1100</v>
      </c>
      <c r="G1899" s="2">
        <v>770</v>
      </c>
      <c r="I1899" s="2" t="s">
        <v>148</v>
      </c>
      <c r="J1899" s="2" t="s">
        <v>21</v>
      </c>
      <c r="K1899" t="s">
        <v>18</v>
      </c>
      <c r="L1899" t="str">
        <f>T("9791173014833")</f>
        <v>9791173014833</v>
      </c>
      <c r="M1899" t="str">
        <f t="shared" si="81"/>
        <v/>
      </c>
      <c r="N1899" t="s">
        <v>2105</v>
      </c>
    </row>
    <row r="1900" spans="1:14">
      <c r="A1900" s="1">
        <v>46069.456006944441</v>
      </c>
      <c r="B1900">
        <v>366329775</v>
      </c>
      <c r="C1900" s="2" t="s">
        <v>2104</v>
      </c>
      <c r="D1900" t="s">
        <v>15</v>
      </c>
      <c r="E1900" s="5">
        <v>-1100</v>
      </c>
      <c r="F1900" s="3">
        <v>-1100</v>
      </c>
      <c r="G1900" s="2">
        <v>-770</v>
      </c>
      <c r="H1900" s="1">
        <v>46069.452418981484</v>
      </c>
      <c r="I1900" s="2" t="s">
        <v>148</v>
      </c>
      <c r="J1900" s="2" t="s">
        <v>21</v>
      </c>
      <c r="K1900" t="s">
        <v>18</v>
      </c>
      <c r="L1900" t="str">
        <f>T("9791173014833")</f>
        <v>9791173014833</v>
      </c>
      <c r="M1900" t="str">
        <f t="shared" si="81"/>
        <v/>
      </c>
      <c r="N1900" t="s">
        <v>2105</v>
      </c>
    </row>
    <row r="1901" spans="1:14">
      <c r="A1901" s="1">
        <v>46069.457106481481</v>
      </c>
      <c r="B1901">
        <v>366329775</v>
      </c>
      <c r="C1901" s="2" t="s">
        <v>2104</v>
      </c>
      <c r="D1901" t="s">
        <v>15</v>
      </c>
      <c r="E1901" s="5">
        <v>1100</v>
      </c>
      <c r="F1901" s="3">
        <v>1100</v>
      </c>
      <c r="G1901" s="2">
        <v>770</v>
      </c>
      <c r="I1901" s="2" t="s">
        <v>148</v>
      </c>
      <c r="J1901" s="2" t="s">
        <v>21</v>
      </c>
      <c r="K1901" t="s">
        <v>18</v>
      </c>
      <c r="L1901" t="str">
        <f>T("9791173014833")</f>
        <v>9791173014833</v>
      </c>
      <c r="M1901" t="str">
        <f t="shared" si="81"/>
        <v/>
      </c>
      <c r="N1901" t="s">
        <v>2105</v>
      </c>
    </row>
    <row r="1902" spans="1:14">
      <c r="A1902" s="1">
        <v>46069.46303240741</v>
      </c>
      <c r="B1902">
        <v>279024570</v>
      </c>
      <c r="C1902" s="2" t="s">
        <v>1039</v>
      </c>
      <c r="D1902" t="s">
        <v>68</v>
      </c>
      <c r="E1902" s="5">
        <v>2000</v>
      </c>
      <c r="F1902" s="3">
        <v>2000</v>
      </c>
      <c r="G1902" s="3">
        <v>1400</v>
      </c>
      <c r="I1902" s="2" t="s">
        <v>1040</v>
      </c>
      <c r="J1902" s="2" t="s">
        <v>126</v>
      </c>
      <c r="K1902" t="s">
        <v>18</v>
      </c>
      <c r="L1902" t="str">
        <f>T("9791164974047")</f>
        <v>9791164974047</v>
      </c>
      <c r="M1902" t="str">
        <f t="shared" si="81"/>
        <v/>
      </c>
    </row>
    <row r="1903" spans="1:14">
      <c r="A1903" s="1">
        <v>46069.466307870367</v>
      </c>
      <c r="B1903">
        <v>386057121</v>
      </c>
      <c r="C1903" s="2" t="s">
        <v>1832</v>
      </c>
      <c r="D1903" t="s">
        <v>15</v>
      </c>
      <c r="E1903" s="5">
        <v>5760</v>
      </c>
      <c r="F1903" s="3">
        <v>5760</v>
      </c>
      <c r="G1903" s="3">
        <v>4032</v>
      </c>
      <c r="I1903" s="2" t="s">
        <v>1833</v>
      </c>
      <c r="J1903" s="2" t="s">
        <v>21</v>
      </c>
      <c r="K1903" t="s">
        <v>18</v>
      </c>
      <c r="L1903" t="str">
        <f>T("9791175581562")</f>
        <v>9791175581562</v>
      </c>
      <c r="M1903" t="str">
        <f t="shared" si="81"/>
        <v/>
      </c>
    </row>
    <row r="1904" spans="1:14">
      <c r="A1904" s="1">
        <v>46069.469942129632</v>
      </c>
      <c r="B1904">
        <v>335256168</v>
      </c>
      <c r="C1904" s="2" t="s">
        <v>2106</v>
      </c>
      <c r="D1904" t="s">
        <v>15</v>
      </c>
      <c r="E1904" s="5">
        <v>3200</v>
      </c>
      <c r="F1904" s="3">
        <v>3200</v>
      </c>
      <c r="G1904" s="3">
        <v>2240</v>
      </c>
      <c r="I1904" s="2" t="s">
        <v>1648</v>
      </c>
      <c r="J1904" s="2" t="s">
        <v>197</v>
      </c>
      <c r="K1904" t="s">
        <v>18</v>
      </c>
      <c r="L1904" t="str">
        <f>T("9791164099856")</f>
        <v>9791164099856</v>
      </c>
      <c r="M1904" t="str">
        <f t="shared" si="81"/>
        <v/>
      </c>
      <c r="N1904" t="s">
        <v>2107</v>
      </c>
    </row>
    <row r="1905" spans="1:14">
      <c r="A1905" s="1">
        <v>46069.479791666665</v>
      </c>
      <c r="B1905">
        <v>364013691</v>
      </c>
      <c r="C1905" s="2" t="s">
        <v>2108</v>
      </c>
      <c r="D1905" t="s">
        <v>15</v>
      </c>
      <c r="E1905" s="5">
        <v>2800</v>
      </c>
      <c r="F1905" s="3">
        <v>2800</v>
      </c>
      <c r="G1905" s="3">
        <v>1960</v>
      </c>
      <c r="I1905" s="2" t="s">
        <v>335</v>
      </c>
      <c r="J1905" s="2" t="s">
        <v>239</v>
      </c>
      <c r="K1905" t="s">
        <v>18</v>
      </c>
      <c r="L1905" t="str">
        <f>T("9791194174929")</f>
        <v>9791194174929</v>
      </c>
      <c r="M1905" t="str">
        <f t="shared" si="81"/>
        <v/>
      </c>
      <c r="N1905" t="s">
        <v>2109</v>
      </c>
    </row>
    <row r="1906" spans="1:14">
      <c r="A1906" s="1">
        <v>46069.490335648145</v>
      </c>
      <c r="B1906">
        <v>277935751</v>
      </c>
      <c r="C1906" s="2" t="s">
        <v>2029</v>
      </c>
      <c r="D1906" t="s">
        <v>15</v>
      </c>
      <c r="E1906" s="4">
        <v>100</v>
      </c>
      <c r="F1906" s="2">
        <v>100</v>
      </c>
      <c r="G1906" s="2">
        <v>70</v>
      </c>
      <c r="I1906" s="2" t="s">
        <v>64</v>
      </c>
      <c r="J1906" s="2" t="s">
        <v>65</v>
      </c>
      <c r="K1906" t="s">
        <v>18</v>
      </c>
      <c r="L1906" t="str">
        <f>T("9791162589724")</f>
        <v>9791162589724</v>
      </c>
      <c r="M1906" t="str">
        <f t="shared" si="81"/>
        <v/>
      </c>
      <c r="N1906" t="s">
        <v>2030</v>
      </c>
    </row>
    <row r="1907" spans="1:14">
      <c r="A1907" s="1">
        <v>46069.497916666667</v>
      </c>
      <c r="B1907">
        <v>277935721</v>
      </c>
      <c r="C1907" s="2" t="s">
        <v>609</v>
      </c>
      <c r="D1907" t="s">
        <v>15</v>
      </c>
      <c r="E1907" s="4">
        <v>100</v>
      </c>
      <c r="F1907" s="2">
        <v>100</v>
      </c>
      <c r="G1907" s="2">
        <v>70</v>
      </c>
      <c r="I1907" s="2" t="s">
        <v>64</v>
      </c>
      <c r="J1907" s="2" t="s">
        <v>65</v>
      </c>
      <c r="K1907" t="s">
        <v>18</v>
      </c>
      <c r="L1907" t="str">
        <f>T("9791162589724")</f>
        <v>9791162589724</v>
      </c>
      <c r="M1907" t="str">
        <f t="shared" si="81"/>
        <v/>
      </c>
      <c r="N1907" t="s">
        <v>610</v>
      </c>
    </row>
    <row r="1908" spans="1:14">
      <c r="A1908" s="1">
        <v>46069.50675925926</v>
      </c>
      <c r="B1908">
        <v>385852480</v>
      </c>
      <c r="C1908" s="2" t="s">
        <v>1337</v>
      </c>
      <c r="D1908" t="s">
        <v>15</v>
      </c>
      <c r="E1908" s="5">
        <v>2500</v>
      </c>
      <c r="F1908" s="3">
        <v>2500</v>
      </c>
      <c r="G1908" s="3">
        <v>1750</v>
      </c>
      <c r="I1908" s="2" t="s">
        <v>1229</v>
      </c>
      <c r="J1908" s="2" t="s">
        <v>960</v>
      </c>
      <c r="K1908" t="s">
        <v>18</v>
      </c>
      <c r="L1908" t="str">
        <f>T("")</f>
        <v/>
      </c>
      <c r="M1908" t="str">
        <f>T("G720:N+A378-20260112081.M003")</f>
        <v>G720:N+A378-20260112081.M003</v>
      </c>
      <c r="N1908" t="s">
        <v>1338</v>
      </c>
    </row>
    <row r="1909" spans="1:14">
      <c r="A1909" s="1">
        <v>46069.523587962962</v>
      </c>
      <c r="B1909">
        <v>386057128</v>
      </c>
      <c r="C1909" s="2" t="s">
        <v>1797</v>
      </c>
      <c r="D1909" t="s">
        <v>15</v>
      </c>
      <c r="E1909" s="5">
        <v>16800</v>
      </c>
      <c r="F1909" s="3">
        <v>16800</v>
      </c>
      <c r="G1909" s="3">
        <v>11760</v>
      </c>
      <c r="I1909" s="2" t="s">
        <v>540</v>
      </c>
      <c r="J1909" s="2" t="s">
        <v>197</v>
      </c>
      <c r="K1909" t="s">
        <v>18</v>
      </c>
      <c r="L1909" t="str">
        <f>T("9791164098934")</f>
        <v>9791164098934</v>
      </c>
      <c r="M1909" t="str">
        <f t="shared" ref="M1909:M1940" si="82">T("")</f>
        <v/>
      </c>
    </row>
    <row r="1910" spans="1:14">
      <c r="A1910" s="1">
        <v>46069.527060185188</v>
      </c>
      <c r="B1910">
        <v>355155067</v>
      </c>
      <c r="C1910" s="2" t="s">
        <v>1208</v>
      </c>
      <c r="D1910" t="s">
        <v>15</v>
      </c>
      <c r="E1910" s="5">
        <v>1000</v>
      </c>
      <c r="F1910" s="3">
        <v>1000</v>
      </c>
      <c r="G1910" s="2">
        <v>700</v>
      </c>
      <c r="I1910" s="2" t="s">
        <v>148</v>
      </c>
      <c r="J1910" s="2" t="s">
        <v>21</v>
      </c>
      <c r="K1910" t="s">
        <v>18</v>
      </c>
      <c r="L1910" t="str">
        <f>T("9791173011184")</f>
        <v>9791173011184</v>
      </c>
      <c r="M1910" t="str">
        <f t="shared" si="82"/>
        <v/>
      </c>
      <c r="N1910" t="s">
        <v>1209</v>
      </c>
    </row>
    <row r="1911" spans="1:14">
      <c r="A1911" s="1">
        <v>46069.536921296298</v>
      </c>
      <c r="B1911">
        <v>382627433</v>
      </c>
      <c r="C1911" s="2" t="s">
        <v>986</v>
      </c>
      <c r="D1911" t="s">
        <v>15</v>
      </c>
      <c r="E1911" s="5">
        <v>1000</v>
      </c>
      <c r="F1911" s="3">
        <v>1000</v>
      </c>
      <c r="G1911" s="2">
        <v>700</v>
      </c>
      <c r="I1911" s="2" t="s">
        <v>487</v>
      </c>
      <c r="J1911" s="2" t="s">
        <v>21</v>
      </c>
      <c r="K1911" t="s">
        <v>18</v>
      </c>
      <c r="L1911" t="str">
        <f>T("9791175581692")</f>
        <v>9791175581692</v>
      </c>
      <c r="M1911" t="str">
        <f t="shared" si="82"/>
        <v/>
      </c>
      <c r="N1911" t="s">
        <v>987</v>
      </c>
    </row>
    <row r="1912" spans="1:14">
      <c r="A1912" s="1">
        <v>46069.550162037034</v>
      </c>
      <c r="B1912">
        <v>328759043</v>
      </c>
      <c r="C1912" s="2" t="s">
        <v>1537</v>
      </c>
      <c r="D1912" t="s">
        <v>68</v>
      </c>
      <c r="E1912" s="4">
        <v>840</v>
      </c>
      <c r="F1912" s="2">
        <v>840</v>
      </c>
      <c r="G1912" s="2">
        <v>588</v>
      </c>
      <c r="I1912" s="2" t="s">
        <v>852</v>
      </c>
      <c r="J1912" s="2" t="s">
        <v>197</v>
      </c>
      <c r="K1912" t="s">
        <v>18</v>
      </c>
      <c r="L1912" t="str">
        <f>T("9791164099269")</f>
        <v>9791164099269</v>
      </c>
      <c r="M1912" t="str">
        <f t="shared" si="82"/>
        <v/>
      </c>
    </row>
    <row r="1913" spans="1:14">
      <c r="A1913" s="1">
        <v>46069.552060185182</v>
      </c>
      <c r="B1913">
        <v>277935576</v>
      </c>
      <c r="C1913" s="2" t="s">
        <v>2110</v>
      </c>
      <c r="D1913" t="s">
        <v>15</v>
      </c>
      <c r="E1913" s="4">
        <v>100</v>
      </c>
      <c r="F1913" s="2">
        <v>100</v>
      </c>
      <c r="G1913" s="2">
        <v>70</v>
      </c>
      <c r="I1913" s="2" t="s">
        <v>64</v>
      </c>
      <c r="J1913" s="2" t="s">
        <v>65</v>
      </c>
      <c r="K1913" t="s">
        <v>18</v>
      </c>
      <c r="L1913" t="str">
        <f>T("9791162589724")</f>
        <v>9791162589724</v>
      </c>
      <c r="M1913" t="str">
        <f t="shared" si="82"/>
        <v/>
      </c>
      <c r="N1913" t="s">
        <v>2111</v>
      </c>
    </row>
    <row r="1914" spans="1:14">
      <c r="A1914" s="1">
        <v>46069.552060185182</v>
      </c>
      <c r="B1914">
        <v>277935841</v>
      </c>
      <c r="C1914" s="2" t="s">
        <v>2112</v>
      </c>
      <c r="D1914" t="s">
        <v>15</v>
      </c>
      <c r="E1914" s="4">
        <v>100</v>
      </c>
      <c r="F1914" s="2">
        <v>100</v>
      </c>
      <c r="G1914" s="2">
        <v>70</v>
      </c>
      <c r="I1914" s="2" t="s">
        <v>64</v>
      </c>
      <c r="J1914" s="2" t="s">
        <v>65</v>
      </c>
      <c r="K1914" t="s">
        <v>18</v>
      </c>
      <c r="L1914" t="str">
        <f>T("9791162589724")</f>
        <v>9791162589724</v>
      </c>
      <c r="M1914" t="str">
        <f t="shared" si="82"/>
        <v/>
      </c>
      <c r="N1914" t="s">
        <v>2113</v>
      </c>
    </row>
    <row r="1915" spans="1:14">
      <c r="A1915" s="1">
        <v>46069.556828703702</v>
      </c>
      <c r="B1915">
        <v>386057128</v>
      </c>
      <c r="C1915" s="2" t="s">
        <v>1797</v>
      </c>
      <c r="D1915" t="s">
        <v>15</v>
      </c>
      <c r="E1915" s="5">
        <v>16800</v>
      </c>
      <c r="F1915" s="3">
        <v>16800</v>
      </c>
      <c r="G1915" s="3">
        <v>11760</v>
      </c>
      <c r="I1915" s="2" t="s">
        <v>540</v>
      </c>
      <c r="J1915" s="2" t="s">
        <v>197</v>
      </c>
      <c r="K1915" t="s">
        <v>18</v>
      </c>
      <c r="L1915" t="str">
        <f>T("9791164098934")</f>
        <v>9791164098934</v>
      </c>
      <c r="M1915" t="str">
        <f t="shared" si="82"/>
        <v/>
      </c>
    </row>
    <row r="1916" spans="1:14">
      <c r="A1916" s="1">
        <v>46069.590115740742</v>
      </c>
      <c r="B1916">
        <v>382628157</v>
      </c>
      <c r="C1916" s="2" t="s">
        <v>462</v>
      </c>
      <c r="D1916" t="s">
        <v>15</v>
      </c>
      <c r="E1916" s="5">
        <v>1000</v>
      </c>
      <c r="F1916" s="3">
        <v>1000</v>
      </c>
      <c r="G1916" s="2">
        <v>700</v>
      </c>
      <c r="I1916" s="2" t="s">
        <v>28</v>
      </c>
      <c r="J1916" s="2" t="s">
        <v>21</v>
      </c>
      <c r="K1916" t="s">
        <v>18</v>
      </c>
      <c r="L1916" t="str">
        <f>T("9791175581739")</f>
        <v>9791175581739</v>
      </c>
      <c r="M1916" t="str">
        <f t="shared" si="82"/>
        <v/>
      </c>
      <c r="N1916" t="s">
        <v>463</v>
      </c>
    </row>
    <row r="1917" spans="1:14">
      <c r="A1917" s="1">
        <v>46069.595763888887</v>
      </c>
      <c r="B1917">
        <v>331405403</v>
      </c>
      <c r="C1917" s="2" t="s">
        <v>2114</v>
      </c>
      <c r="D1917" t="s">
        <v>15</v>
      </c>
      <c r="E1917" s="5">
        <v>1000</v>
      </c>
      <c r="F1917" s="3">
        <v>1000</v>
      </c>
      <c r="G1917" s="2">
        <v>700</v>
      </c>
      <c r="I1917" s="2" t="s">
        <v>2115</v>
      </c>
      <c r="J1917" s="2" t="s">
        <v>21</v>
      </c>
      <c r="K1917" t="s">
        <v>18</v>
      </c>
      <c r="L1917" t="str">
        <f>T("9791170894421")</f>
        <v>9791170894421</v>
      </c>
      <c r="M1917" t="str">
        <f t="shared" si="82"/>
        <v/>
      </c>
      <c r="N1917" t="s">
        <v>2116</v>
      </c>
    </row>
    <row r="1918" spans="1:14">
      <c r="A1918" s="1">
        <v>46069.607534722221</v>
      </c>
      <c r="B1918">
        <v>386057276</v>
      </c>
      <c r="C1918" s="2" t="s">
        <v>1681</v>
      </c>
      <c r="D1918" t="s">
        <v>68</v>
      </c>
      <c r="E1918" s="5">
        <v>8100</v>
      </c>
      <c r="F1918" s="3">
        <v>8100</v>
      </c>
      <c r="G1918" s="3">
        <v>5670</v>
      </c>
      <c r="I1918" s="2" t="s">
        <v>1682</v>
      </c>
      <c r="J1918" s="2" t="s">
        <v>197</v>
      </c>
      <c r="K1918" t="s">
        <v>18</v>
      </c>
      <c r="L1918" t="str">
        <f>T("9791164097661")</f>
        <v>9791164097661</v>
      </c>
      <c r="M1918" t="str">
        <f t="shared" si="82"/>
        <v/>
      </c>
    </row>
    <row r="1919" spans="1:14">
      <c r="A1919" s="1">
        <v>46069.607534722221</v>
      </c>
      <c r="B1919">
        <v>386057277</v>
      </c>
      <c r="C1919" s="2" t="s">
        <v>1609</v>
      </c>
      <c r="D1919" t="s">
        <v>68</v>
      </c>
      <c r="E1919" s="5">
        <v>3750</v>
      </c>
      <c r="F1919" s="3">
        <v>3750</v>
      </c>
      <c r="G1919" s="3">
        <v>2625</v>
      </c>
      <c r="I1919" s="2" t="s">
        <v>1610</v>
      </c>
      <c r="J1919" s="2" t="s">
        <v>197</v>
      </c>
      <c r="K1919" t="s">
        <v>18</v>
      </c>
      <c r="L1919" t="str">
        <f>T("9791164095315")</f>
        <v>9791164095315</v>
      </c>
      <c r="M1919" t="str">
        <f t="shared" si="82"/>
        <v/>
      </c>
    </row>
    <row r="1920" spans="1:14">
      <c r="A1920" s="1">
        <v>46069.61041666667</v>
      </c>
      <c r="B1920">
        <v>385347715</v>
      </c>
      <c r="C1920" s="2" t="s">
        <v>186</v>
      </c>
      <c r="D1920" t="s">
        <v>15</v>
      </c>
      <c r="E1920" s="5">
        <v>2000</v>
      </c>
      <c r="F1920" s="3">
        <v>1800</v>
      </c>
      <c r="G1920" s="3">
        <v>1260</v>
      </c>
      <c r="I1920" s="2" t="s">
        <v>187</v>
      </c>
      <c r="J1920" s="2" t="s">
        <v>188</v>
      </c>
      <c r="K1920" t="s">
        <v>18</v>
      </c>
      <c r="L1920" t="str">
        <f>T("9791164835362")</f>
        <v>9791164835362</v>
      </c>
      <c r="M1920" t="str">
        <f t="shared" si="82"/>
        <v/>
      </c>
      <c r="N1920" t="s">
        <v>189</v>
      </c>
    </row>
    <row r="1921" spans="1:14">
      <c r="A1921" s="1">
        <v>46069.616666666669</v>
      </c>
      <c r="B1921">
        <v>360872719</v>
      </c>
      <c r="C1921" s="2" t="s">
        <v>301</v>
      </c>
      <c r="D1921" t="s">
        <v>15</v>
      </c>
      <c r="E1921" s="5">
        <v>3000</v>
      </c>
      <c r="F1921" s="3">
        <v>3000</v>
      </c>
      <c r="G1921" s="3">
        <v>2100</v>
      </c>
      <c r="I1921" s="2" t="s">
        <v>302</v>
      </c>
      <c r="J1921" s="2" t="s">
        <v>200</v>
      </c>
      <c r="K1921" t="s">
        <v>18</v>
      </c>
      <c r="L1921" t="str">
        <f>T("9791173014550")</f>
        <v>9791173014550</v>
      </c>
      <c r="M1921" t="str">
        <f t="shared" si="82"/>
        <v/>
      </c>
      <c r="N1921" t="s">
        <v>303</v>
      </c>
    </row>
    <row r="1922" spans="1:14">
      <c r="A1922" s="1">
        <v>46069.63144675926</v>
      </c>
      <c r="B1922">
        <v>361955390</v>
      </c>
      <c r="C1922" s="2" t="s">
        <v>2117</v>
      </c>
      <c r="D1922" t="s">
        <v>15</v>
      </c>
      <c r="E1922" s="4">
        <v>0</v>
      </c>
      <c r="F1922" s="2">
        <v>0</v>
      </c>
      <c r="G1922" s="2">
        <v>0</v>
      </c>
      <c r="I1922" s="2" t="s">
        <v>2118</v>
      </c>
      <c r="J1922" s="2" t="s">
        <v>245</v>
      </c>
      <c r="K1922" t="s">
        <v>18</v>
      </c>
      <c r="L1922" t="str">
        <f>T("9791170937814")</f>
        <v>9791170937814</v>
      </c>
      <c r="M1922" t="str">
        <f t="shared" si="82"/>
        <v/>
      </c>
      <c r="N1922" t="s">
        <v>2119</v>
      </c>
    </row>
    <row r="1923" spans="1:14">
      <c r="A1923" s="1">
        <v>46069.636770833335</v>
      </c>
      <c r="B1923">
        <v>277935555</v>
      </c>
      <c r="C1923" s="2" t="s">
        <v>2120</v>
      </c>
      <c r="D1923" t="s">
        <v>15</v>
      </c>
      <c r="E1923" s="4">
        <v>100</v>
      </c>
      <c r="F1923" s="2">
        <v>100</v>
      </c>
      <c r="G1923" s="2">
        <v>70</v>
      </c>
      <c r="I1923" s="2" t="s">
        <v>64</v>
      </c>
      <c r="J1923" s="2" t="s">
        <v>65</v>
      </c>
      <c r="K1923" t="s">
        <v>18</v>
      </c>
      <c r="L1923" t="str">
        <f>T("9791162589724")</f>
        <v>9791162589724</v>
      </c>
      <c r="M1923" t="str">
        <f t="shared" si="82"/>
        <v/>
      </c>
      <c r="N1923" t="s">
        <v>2121</v>
      </c>
    </row>
    <row r="1924" spans="1:14">
      <c r="A1924" s="1">
        <v>46069.636770833335</v>
      </c>
      <c r="B1924">
        <v>277935607</v>
      </c>
      <c r="C1924" s="2" t="s">
        <v>2122</v>
      </c>
      <c r="D1924" t="s">
        <v>15</v>
      </c>
      <c r="E1924" s="4">
        <v>100</v>
      </c>
      <c r="F1924" s="2">
        <v>100</v>
      </c>
      <c r="G1924" s="2">
        <v>70</v>
      </c>
      <c r="I1924" s="2" t="s">
        <v>64</v>
      </c>
      <c r="J1924" s="2" t="s">
        <v>65</v>
      </c>
      <c r="K1924" t="s">
        <v>18</v>
      </c>
      <c r="L1924" t="str">
        <f>T("9791162589724")</f>
        <v>9791162589724</v>
      </c>
      <c r="M1924" t="str">
        <f t="shared" si="82"/>
        <v/>
      </c>
      <c r="N1924" t="s">
        <v>2123</v>
      </c>
    </row>
    <row r="1925" spans="1:14">
      <c r="A1925" s="1">
        <v>46069.636770833335</v>
      </c>
      <c r="B1925">
        <v>277935427</v>
      </c>
      <c r="C1925" s="2" t="s">
        <v>2124</v>
      </c>
      <c r="D1925" t="s">
        <v>15</v>
      </c>
      <c r="E1925" s="4">
        <v>100</v>
      </c>
      <c r="F1925" s="2">
        <v>100</v>
      </c>
      <c r="G1925" s="2">
        <v>70</v>
      </c>
      <c r="I1925" s="2" t="s">
        <v>64</v>
      </c>
      <c r="J1925" s="2" t="s">
        <v>65</v>
      </c>
      <c r="K1925" t="s">
        <v>18</v>
      </c>
      <c r="L1925" t="str">
        <f>T("9791162589724")</f>
        <v>9791162589724</v>
      </c>
      <c r="M1925" t="str">
        <f t="shared" si="82"/>
        <v/>
      </c>
      <c r="N1925" t="s">
        <v>2125</v>
      </c>
    </row>
    <row r="1926" spans="1:14">
      <c r="A1926" s="1">
        <v>46069.636770833335</v>
      </c>
      <c r="B1926">
        <v>277935669</v>
      </c>
      <c r="C1926" s="2" t="s">
        <v>2126</v>
      </c>
      <c r="D1926" t="s">
        <v>15</v>
      </c>
      <c r="E1926" s="4">
        <v>100</v>
      </c>
      <c r="F1926" s="2">
        <v>100</v>
      </c>
      <c r="G1926" s="2">
        <v>70</v>
      </c>
      <c r="I1926" s="2" t="s">
        <v>64</v>
      </c>
      <c r="J1926" s="2" t="s">
        <v>65</v>
      </c>
      <c r="K1926" t="s">
        <v>18</v>
      </c>
      <c r="L1926" t="str">
        <f>T("9791162589724")</f>
        <v>9791162589724</v>
      </c>
      <c r="M1926" t="str">
        <f t="shared" si="82"/>
        <v/>
      </c>
      <c r="N1926" t="s">
        <v>2127</v>
      </c>
    </row>
    <row r="1927" spans="1:14">
      <c r="A1927" s="1">
        <v>46069.658796296295</v>
      </c>
      <c r="B1927">
        <v>183923286</v>
      </c>
      <c r="C1927" s="2" t="s">
        <v>2128</v>
      </c>
      <c r="D1927" t="s">
        <v>15</v>
      </c>
      <c r="E1927" s="4">
        <v>0</v>
      </c>
      <c r="F1927" s="2">
        <v>0</v>
      </c>
      <c r="G1927" s="2">
        <v>0</v>
      </c>
      <c r="I1927" s="2" t="s">
        <v>2129</v>
      </c>
      <c r="J1927" s="2" t="s">
        <v>126</v>
      </c>
      <c r="K1927" t="s">
        <v>18</v>
      </c>
      <c r="L1927" t="str">
        <f>T("9791189698362")</f>
        <v>9791189698362</v>
      </c>
      <c r="M1927" t="str">
        <f t="shared" si="82"/>
        <v/>
      </c>
    </row>
    <row r="1928" spans="1:14">
      <c r="A1928" s="1">
        <v>46069.676874999997</v>
      </c>
      <c r="B1928">
        <v>275076000</v>
      </c>
      <c r="C1928" s="2" t="s">
        <v>310</v>
      </c>
      <c r="D1928" t="s">
        <v>15</v>
      </c>
      <c r="E1928" s="5">
        <v>1000</v>
      </c>
      <c r="F1928" s="3">
        <v>1000</v>
      </c>
      <c r="G1928" s="2">
        <v>700</v>
      </c>
      <c r="I1928" s="2" t="s">
        <v>31</v>
      </c>
      <c r="J1928" s="2" t="s">
        <v>21</v>
      </c>
      <c r="K1928" t="s">
        <v>18</v>
      </c>
      <c r="L1928" t="str">
        <f>T("9791191337655")</f>
        <v>9791191337655</v>
      </c>
      <c r="M1928" t="str">
        <f t="shared" si="82"/>
        <v/>
      </c>
    </row>
    <row r="1929" spans="1:14">
      <c r="A1929" s="1">
        <v>46069.676874999997</v>
      </c>
      <c r="B1929">
        <v>277097599</v>
      </c>
      <c r="C1929" s="2" t="s">
        <v>314</v>
      </c>
      <c r="D1929" t="s">
        <v>15</v>
      </c>
      <c r="E1929" s="5">
        <v>1000</v>
      </c>
      <c r="F1929" s="3">
        <v>1000</v>
      </c>
      <c r="G1929" s="2">
        <v>700</v>
      </c>
      <c r="I1929" s="2" t="s">
        <v>31</v>
      </c>
      <c r="J1929" s="2" t="s">
        <v>21</v>
      </c>
      <c r="K1929" t="s">
        <v>18</v>
      </c>
      <c r="L1929" t="str">
        <f>T("9791191337846")</f>
        <v>9791191337846</v>
      </c>
      <c r="M1929" t="str">
        <f t="shared" si="82"/>
        <v/>
      </c>
    </row>
    <row r="1930" spans="1:14">
      <c r="A1930" s="1">
        <v>46069.676874999997</v>
      </c>
      <c r="B1930">
        <v>278962390</v>
      </c>
      <c r="C1930" s="2" t="s">
        <v>2130</v>
      </c>
      <c r="D1930" t="s">
        <v>15</v>
      </c>
      <c r="E1930" s="5">
        <v>1000</v>
      </c>
      <c r="F1930" s="3">
        <v>1000</v>
      </c>
      <c r="G1930" s="2">
        <v>700</v>
      </c>
      <c r="I1930" s="2" t="s">
        <v>31</v>
      </c>
      <c r="J1930" s="2" t="s">
        <v>21</v>
      </c>
      <c r="K1930" t="s">
        <v>18</v>
      </c>
      <c r="L1930" t="str">
        <f>T("9791167830005")</f>
        <v>9791167830005</v>
      </c>
      <c r="M1930" t="str">
        <f t="shared" si="82"/>
        <v/>
      </c>
    </row>
    <row r="1931" spans="1:14">
      <c r="A1931" s="1">
        <v>46069.676874999997</v>
      </c>
      <c r="B1931">
        <v>284468238</v>
      </c>
      <c r="C1931" s="2" t="s">
        <v>2131</v>
      </c>
      <c r="D1931" t="s">
        <v>15</v>
      </c>
      <c r="E1931" s="5">
        <v>1000</v>
      </c>
      <c r="F1931" s="3">
        <v>1000</v>
      </c>
      <c r="G1931" s="2">
        <v>700</v>
      </c>
      <c r="I1931" s="2" t="s">
        <v>31</v>
      </c>
      <c r="J1931" s="2" t="s">
        <v>21</v>
      </c>
      <c r="K1931" t="s">
        <v>18</v>
      </c>
      <c r="L1931" t="str">
        <f>T("9791167830647")</f>
        <v>9791167830647</v>
      </c>
      <c r="M1931" t="str">
        <f t="shared" si="82"/>
        <v/>
      </c>
    </row>
    <row r="1932" spans="1:14">
      <c r="A1932" s="1">
        <v>46069.676874999997</v>
      </c>
      <c r="B1932">
        <v>298689715</v>
      </c>
      <c r="C1932" s="2" t="s">
        <v>2132</v>
      </c>
      <c r="D1932" t="s">
        <v>15</v>
      </c>
      <c r="E1932" s="5">
        <v>1000</v>
      </c>
      <c r="F1932" s="3">
        <v>1000</v>
      </c>
      <c r="G1932" s="2">
        <v>700</v>
      </c>
      <c r="I1932" s="2" t="s">
        <v>31</v>
      </c>
      <c r="J1932" s="2" t="s">
        <v>21</v>
      </c>
      <c r="K1932" t="s">
        <v>18</v>
      </c>
      <c r="L1932" t="str">
        <f>T("9791167833648")</f>
        <v>9791167833648</v>
      </c>
      <c r="M1932" t="str">
        <f t="shared" si="82"/>
        <v/>
      </c>
    </row>
    <row r="1933" spans="1:14">
      <c r="A1933" s="1">
        <v>46069.676874999997</v>
      </c>
      <c r="B1933">
        <v>298689742</v>
      </c>
      <c r="C1933" s="2" t="s">
        <v>2133</v>
      </c>
      <c r="D1933" t="s">
        <v>15</v>
      </c>
      <c r="E1933" s="5">
        <v>1000</v>
      </c>
      <c r="F1933" s="3">
        <v>1000</v>
      </c>
      <c r="G1933" s="2">
        <v>700</v>
      </c>
      <c r="I1933" s="2" t="s">
        <v>31</v>
      </c>
      <c r="J1933" s="2" t="s">
        <v>21</v>
      </c>
      <c r="K1933" t="s">
        <v>18</v>
      </c>
      <c r="L1933" t="str">
        <f>T("9791167833655")</f>
        <v>9791167833655</v>
      </c>
      <c r="M1933" t="str">
        <f t="shared" si="82"/>
        <v/>
      </c>
    </row>
    <row r="1934" spans="1:14">
      <c r="A1934" s="1">
        <v>46069.678472222222</v>
      </c>
      <c r="B1934">
        <v>384024070</v>
      </c>
      <c r="C1934" s="2" t="s">
        <v>2134</v>
      </c>
      <c r="D1934" t="s">
        <v>15</v>
      </c>
      <c r="E1934" s="5">
        <v>2500</v>
      </c>
      <c r="F1934" s="3">
        <v>2500</v>
      </c>
      <c r="G1934" s="3">
        <v>1750</v>
      </c>
      <c r="I1934" s="2" t="s">
        <v>848</v>
      </c>
      <c r="J1934" s="2" t="s">
        <v>188</v>
      </c>
      <c r="K1934" t="s">
        <v>18</v>
      </c>
      <c r="L1934" t="str">
        <f>T("9791164835331")</f>
        <v>9791164835331</v>
      </c>
      <c r="M1934" t="str">
        <f t="shared" si="82"/>
        <v/>
      </c>
      <c r="N1934" t="s">
        <v>2135</v>
      </c>
    </row>
    <row r="1935" spans="1:14">
      <c r="A1935" s="1">
        <v>46069.683715277781</v>
      </c>
      <c r="B1935">
        <v>366115165</v>
      </c>
      <c r="C1935" s="2" t="s">
        <v>2136</v>
      </c>
      <c r="D1935" t="s">
        <v>15</v>
      </c>
      <c r="E1935" s="5">
        <v>1000</v>
      </c>
      <c r="F1935" s="3">
        <v>1000</v>
      </c>
      <c r="G1935" s="2">
        <v>700</v>
      </c>
      <c r="I1935" s="2" t="s">
        <v>1986</v>
      </c>
      <c r="J1935" s="2" t="s">
        <v>21</v>
      </c>
      <c r="K1935" t="s">
        <v>18</v>
      </c>
      <c r="L1935" t="str">
        <f>T("9791173014901")</f>
        <v>9791173014901</v>
      </c>
      <c r="M1935" t="str">
        <f t="shared" si="82"/>
        <v/>
      </c>
      <c r="N1935" t="s">
        <v>2137</v>
      </c>
    </row>
    <row r="1936" spans="1:14">
      <c r="A1936" s="1">
        <v>46069.683715277781</v>
      </c>
      <c r="B1936">
        <v>353238582</v>
      </c>
      <c r="C1936" s="2" t="s">
        <v>2138</v>
      </c>
      <c r="D1936" t="s">
        <v>15</v>
      </c>
      <c r="E1936" s="5">
        <v>3000</v>
      </c>
      <c r="F1936" s="3">
        <v>3000</v>
      </c>
      <c r="G1936" s="3">
        <v>2100</v>
      </c>
      <c r="I1936" s="2" t="s">
        <v>2139</v>
      </c>
      <c r="J1936" s="2" t="s">
        <v>21</v>
      </c>
      <c r="K1936" t="s">
        <v>18</v>
      </c>
      <c r="L1936" t="str">
        <f>T("9791173010675")</f>
        <v>9791173010675</v>
      </c>
      <c r="M1936" t="str">
        <f t="shared" si="82"/>
        <v/>
      </c>
    </row>
    <row r="1937" spans="1:14">
      <c r="A1937" s="1">
        <v>46069.683715277781</v>
      </c>
      <c r="B1937">
        <v>353710193</v>
      </c>
      <c r="C1937" s="2" t="s">
        <v>2140</v>
      </c>
      <c r="D1937" t="s">
        <v>15</v>
      </c>
      <c r="E1937" s="5">
        <v>3000</v>
      </c>
      <c r="F1937" s="3">
        <v>3000</v>
      </c>
      <c r="G1937" s="3">
        <v>2100</v>
      </c>
      <c r="I1937" s="2" t="s">
        <v>2139</v>
      </c>
      <c r="J1937" s="2" t="s">
        <v>177</v>
      </c>
      <c r="K1937" t="s">
        <v>18</v>
      </c>
      <c r="L1937" t="str">
        <f>T("9791170960652")</f>
        <v>9791170960652</v>
      </c>
      <c r="M1937" t="str">
        <f t="shared" si="82"/>
        <v/>
      </c>
    </row>
    <row r="1938" spans="1:14">
      <c r="A1938" s="1">
        <v>46069.683715277781</v>
      </c>
      <c r="B1938">
        <v>308166870</v>
      </c>
      <c r="C1938" s="2" t="s">
        <v>2141</v>
      </c>
      <c r="D1938" t="s">
        <v>15</v>
      </c>
      <c r="E1938" s="5">
        <v>1000</v>
      </c>
      <c r="F1938" s="3">
        <v>1000</v>
      </c>
      <c r="G1938" s="2">
        <v>700</v>
      </c>
      <c r="I1938" s="2" t="s">
        <v>2139</v>
      </c>
      <c r="J1938" s="2" t="s">
        <v>21</v>
      </c>
      <c r="K1938" t="s">
        <v>18</v>
      </c>
      <c r="L1938" t="str">
        <f>T("9791167836069")</f>
        <v>9791167836069</v>
      </c>
      <c r="M1938" t="str">
        <f t="shared" si="82"/>
        <v/>
      </c>
      <c r="N1938" t="s">
        <v>2142</v>
      </c>
    </row>
    <row r="1939" spans="1:14">
      <c r="A1939" s="1">
        <v>46069.728888888887</v>
      </c>
      <c r="B1939">
        <v>369728477</v>
      </c>
      <c r="C1939" s="2" t="s">
        <v>2143</v>
      </c>
      <c r="D1939" t="s">
        <v>68</v>
      </c>
      <c r="E1939" s="5">
        <v>3200</v>
      </c>
      <c r="F1939" s="3">
        <v>3200</v>
      </c>
      <c r="G1939" s="3">
        <v>2240</v>
      </c>
      <c r="I1939" s="2" t="s">
        <v>2144</v>
      </c>
      <c r="J1939" s="2" t="s">
        <v>308</v>
      </c>
      <c r="K1939" t="s">
        <v>18</v>
      </c>
      <c r="L1939" t="str">
        <f>T("9791194726913")</f>
        <v>9791194726913</v>
      </c>
      <c r="M1939" t="str">
        <f t="shared" si="82"/>
        <v/>
      </c>
    </row>
    <row r="1940" spans="1:14">
      <c r="A1940" s="1">
        <v>46069.728888888887</v>
      </c>
      <c r="B1940">
        <v>374804844</v>
      </c>
      <c r="C1940" s="2" t="s">
        <v>2145</v>
      </c>
      <c r="D1940" t="s">
        <v>68</v>
      </c>
      <c r="E1940" s="5">
        <v>5280</v>
      </c>
      <c r="F1940" s="3">
        <v>5280</v>
      </c>
      <c r="G1940" s="3">
        <v>3696</v>
      </c>
      <c r="I1940" s="2" t="s">
        <v>2146</v>
      </c>
      <c r="J1940" s="2" t="s">
        <v>308</v>
      </c>
      <c r="K1940" t="s">
        <v>18</v>
      </c>
      <c r="L1940" t="str">
        <f>T("9791194726982")</f>
        <v>9791194726982</v>
      </c>
      <c r="M1940" t="str">
        <f t="shared" si="82"/>
        <v/>
      </c>
    </row>
    <row r="1941" spans="1:14">
      <c r="A1941" s="1">
        <v>46069.731840277775</v>
      </c>
      <c r="B1941">
        <v>384024073</v>
      </c>
      <c r="C1941" s="2" t="s">
        <v>2147</v>
      </c>
      <c r="D1941" t="s">
        <v>15</v>
      </c>
      <c r="E1941" s="5">
        <v>2900</v>
      </c>
      <c r="F1941" s="3">
        <v>2900</v>
      </c>
      <c r="G1941" s="3">
        <v>2030</v>
      </c>
      <c r="I1941" s="2" t="s">
        <v>848</v>
      </c>
      <c r="J1941" s="2" t="s">
        <v>188</v>
      </c>
      <c r="K1941" t="s">
        <v>18</v>
      </c>
      <c r="L1941" t="str">
        <f>T("9791164835348")</f>
        <v>9791164835348</v>
      </c>
      <c r="M1941" t="str">
        <f t="shared" ref="M1941:M1972" si="83">T("")</f>
        <v/>
      </c>
      <c r="N1941" t="s">
        <v>2148</v>
      </c>
    </row>
    <row r="1942" spans="1:14">
      <c r="A1942" s="1">
        <v>46069.735173611109</v>
      </c>
      <c r="B1942">
        <v>379527574</v>
      </c>
      <c r="C1942" s="2" t="s">
        <v>837</v>
      </c>
      <c r="D1942" t="s">
        <v>15</v>
      </c>
      <c r="E1942" s="5">
        <v>1000</v>
      </c>
      <c r="F1942" s="3">
        <v>1000</v>
      </c>
      <c r="G1942" s="2">
        <v>700</v>
      </c>
      <c r="I1942" s="2" t="s">
        <v>835</v>
      </c>
      <c r="J1942" s="2" t="s">
        <v>21</v>
      </c>
      <c r="K1942" t="s">
        <v>18</v>
      </c>
      <c r="L1942" t="str">
        <f>T("9791175581685")</f>
        <v>9791175581685</v>
      </c>
      <c r="M1942" t="str">
        <f t="shared" si="83"/>
        <v/>
      </c>
      <c r="N1942" t="s">
        <v>838</v>
      </c>
    </row>
    <row r="1943" spans="1:14">
      <c r="A1943" s="1">
        <v>46069.739722222221</v>
      </c>
      <c r="B1943">
        <v>336198022</v>
      </c>
      <c r="C1943" s="2" t="s">
        <v>544</v>
      </c>
      <c r="D1943" t="s">
        <v>15</v>
      </c>
      <c r="E1943" s="4">
        <v>0</v>
      </c>
      <c r="F1943" s="2">
        <v>0</v>
      </c>
      <c r="G1943" s="2">
        <v>0</v>
      </c>
      <c r="I1943" s="2" t="s">
        <v>540</v>
      </c>
      <c r="J1943" s="2" t="s">
        <v>197</v>
      </c>
      <c r="K1943" t="s">
        <v>18</v>
      </c>
      <c r="L1943" t="str">
        <f>T("9791164098859")</f>
        <v>9791164098859</v>
      </c>
      <c r="M1943" t="str">
        <f t="shared" si="83"/>
        <v/>
      </c>
      <c r="N1943" t="s">
        <v>545</v>
      </c>
    </row>
    <row r="1944" spans="1:14">
      <c r="A1944" s="1">
        <v>46069.739722222221</v>
      </c>
      <c r="B1944">
        <v>325730673</v>
      </c>
      <c r="C1944" s="2" t="s">
        <v>539</v>
      </c>
      <c r="D1944" t="s">
        <v>15</v>
      </c>
      <c r="E1944" s="5">
        <v>3000</v>
      </c>
      <c r="F1944" s="3">
        <v>3000</v>
      </c>
      <c r="G1944" s="3">
        <v>2100</v>
      </c>
      <c r="I1944" s="2" t="s">
        <v>540</v>
      </c>
      <c r="J1944" s="2" t="s">
        <v>197</v>
      </c>
      <c r="K1944" t="s">
        <v>18</v>
      </c>
      <c r="L1944" t="str">
        <f>T("9791164098538")</f>
        <v>9791164098538</v>
      </c>
      <c r="M1944" t="str">
        <f t="shared" si="83"/>
        <v/>
      </c>
      <c r="N1944" t="s">
        <v>541</v>
      </c>
    </row>
    <row r="1945" spans="1:14">
      <c r="A1945" s="1">
        <v>46069.739722222221</v>
      </c>
      <c r="B1945">
        <v>325730710</v>
      </c>
      <c r="C1945" s="2" t="s">
        <v>542</v>
      </c>
      <c r="D1945" t="s">
        <v>15</v>
      </c>
      <c r="E1945" s="5">
        <v>3000</v>
      </c>
      <c r="F1945" s="3">
        <v>3000</v>
      </c>
      <c r="G1945" s="3">
        <v>2100</v>
      </c>
      <c r="I1945" s="2" t="s">
        <v>540</v>
      </c>
      <c r="J1945" s="2" t="s">
        <v>197</v>
      </c>
      <c r="K1945" t="s">
        <v>18</v>
      </c>
      <c r="L1945" t="str">
        <f>T("9791164098521")</f>
        <v>9791164098521</v>
      </c>
      <c r="M1945" t="str">
        <f t="shared" si="83"/>
        <v/>
      </c>
      <c r="N1945" t="s">
        <v>543</v>
      </c>
    </row>
    <row r="1946" spans="1:14">
      <c r="A1946" s="1">
        <v>46069.739722222221</v>
      </c>
      <c r="B1946">
        <v>271275616</v>
      </c>
      <c r="C1946" s="2" t="s">
        <v>2149</v>
      </c>
      <c r="D1946" t="s">
        <v>15</v>
      </c>
      <c r="E1946" s="5">
        <v>3000</v>
      </c>
      <c r="F1946" s="3">
        <v>3000</v>
      </c>
      <c r="G1946" s="3">
        <v>2100</v>
      </c>
      <c r="I1946" s="2" t="s">
        <v>540</v>
      </c>
      <c r="J1946" s="2" t="s">
        <v>197</v>
      </c>
      <c r="K1946" t="s">
        <v>18</v>
      </c>
      <c r="L1946" t="str">
        <f>T("9791164094332")</f>
        <v>9791164094332</v>
      </c>
      <c r="M1946" t="str">
        <f t="shared" si="83"/>
        <v/>
      </c>
      <c r="N1946" t="s">
        <v>2150</v>
      </c>
    </row>
    <row r="1947" spans="1:14">
      <c r="A1947" s="1">
        <v>46069.739722222221</v>
      </c>
      <c r="B1947">
        <v>271275606</v>
      </c>
      <c r="C1947" s="2" t="s">
        <v>2151</v>
      </c>
      <c r="D1947" t="s">
        <v>15</v>
      </c>
      <c r="E1947" s="5">
        <v>3000</v>
      </c>
      <c r="F1947" s="3">
        <v>3000</v>
      </c>
      <c r="G1947" s="3">
        <v>2100</v>
      </c>
      <c r="I1947" s="2" t="s">
        <v>540</v>
      </c>
      <c r="J1947" s="2" t="s">
        <v>197</v>
      </c>
      <c r="K1947" t="s">
        <v>18</v>
      </c>
      <c r="L1947" t="str">
        <f>T("9791164094325")</f>
        <v>9791164094325</v>
      </c>
      <c r="M1947" t="str">
        <f t="shared" si="83"/>
        <v/>
      </c>
      <c r="N1947" t="s">
        <v>2152</v>
      </c>
    </row>
    <row r="1948" spans="1:14">
      <c r="A1948" s="1">
        <v>46069.758368055554</v>
      </c>
      <c r="B1948">
        <v>385347797</v>
      </c>
      <c r="C1948" s="2" t="s">
        <v>195</v>
      </c>
      <c r="D1948" t="s">
        <v>15</v>
      </c>
      <c r="E1948" s="4">
        <v>700</v>
      </c>
      <c r="F1948" s="2">
        <v>630</v>
      </c>
      <c r="G1948" s="2">
        <v>441</v>
      </c>
      <c r="I1948" s="2" t="s">
        <v>196</v>
      </c>
      <c r="J1948" s="2" t="s">
        <v>197</v>
      </c>
      <c r="K1948" t="s">
        <v>18</v>
      </c>
      <c r="L1948" t="str">
        <f>T("9791172821937")</f>
        <v>9791172821937</v>
      </c>
      <c r="M1948" t="str">
        <f t="shared" si="83"/>
        <v/>
      </c>
      <c r="N1948" t="s">
        <v>198</v>
      </c>
    </row>
    <row r="1949" spans="1:14">
      <c r="A1949" s="1">
        <v>46069.770381944443</v>
      </c>
      <c r="B1949">
        <v>361818876</v>
      </c>
      <c r="C1949" s="2" t="s">
        <v>2153</v>
      </c>
      <c r="D1949" t="s">
        <v>15</v>
      </c>
      <c r="E1949" s="5">
        <v>1500</v>
      </c>
      <c r="F1949" s="3">
        <v>1500</v>
      </c>
      <c r="G1949" s="3">
        <v>1050</v>
      </c>
      <c r="I1949" s="2">
        <v>5353</v>
      </c>
      <c r="J1949" s="2" t="s">
        <v>21</v>
      </c>
      <c r="K1949" t="s">
        <v>18</v>
      </c>
      <c r="L1949" t="str">
        <f>T("9791173013720")</f>
        <v>9791173013720</v>
      </c>
      <c r="M1949" t="str">
        <f t="shared" si="83"/>
        <v/>
      </c>
      <c r="N1949" t="s">
        <v>2154</v>
      </c>
    </row>
    <row r="1950" spans="1:14">
      <c r="A1950" s="1">
        <v>46069.792199074072</v>
      </c>
      <c r="B1950">
        <v>234101470</v>
      </c>
      <c r="C1950" s="2" t="s">
        <v>2155</v>
      </c>
      <c r="D1950" t="s">
        <v>15</v>
      </c>
      <c r="E1950" s="4">
        <v>0</v>
      </c>
      <c r="F1950" s="2">
        <v>0</v>
      </c>
      <c r="G1950" s="2">
        <v>0</v>
      </c>
      <c r="I1950" s="2" t="s">
        <v>933</v>
      </c>
      <c r="J1950" s="2" t="s">
        <v>245</v>
      </c>
      <c r="K1950" t="s">
        <v>18</v>
      </c>
      <c r="L1950" t="str">
        <f>T("9791164485864")</f>
        <v>9791164485864</v>
      </c>
      <c r="M1950" t="str">
        <f t="shared" si="83"/>
        <v/>
      </c>
    </row>
    <row r="1951" spans="1:14">
      <c r="A1951" s="1">
        <v>46069.796296296299</v>
      </c>
      <c r="B1951">
        <v>319978625</v>
      </c>
      <c r="C1951" s="2" t="s">
        <v>241</v>
      </c>
      <c r="D1951" t="s">
        <v>68</v>
      </c>
      <c r="E1951" s="4">
        <v>0</v>
      </c>
      <c r="F1951" s="2">
        <v>0</v>
      </c>
      <c r="G1951" s="2">
        <v>0</v>
      </c>
      <c r="I1951" s="2" t="s">
        <v>69</v>
      </c>
      <c r="J1951" s="2" t="s">
        <v>70</v>
      </c>
      <c r="K1951" t="s">
        <v>18</v>
      </c>
      <c r="L1951" t="str">
        <f>T("9791192729473")</f>
        <v>9791192729473</v>
      </c>
      <c r="M1951" t="str">
        <f t="shared" si="83"/>
        <v/>
      </c>
      <c r="N1951" t="s">
        <v>242</v>
      </c>
    </row>
    <row r="1952" spans="1:14">
      <c r="A1952" s="1">
        <v>46069.797395833331</v>
      </c>
      <c r="B1952">
        <v>328759043</v>
      </c>
      <c r="C1952" s="2" t="s">
        <v>1537</v>
      </c>
      <c r="D1952" t="s">
        <v>68</v>
      </c>
      <c r="E1952" s="4">
        <v>840</v>
      </c>
      <c r="F1952" s="2">
        <v>840</v>
      </c>
      <c r="G1952" s="2">
        <v>588</v>
      </c>
      <c r="I1952" s="2" t="s">
        <v>852</v>
      </c>
      <c r="J1952" s="2" t="s">
        <v>197</v>
      </c>
      <c r="K1952" t="s">
        <v>18</v>
      </c>
      <c r="L1952" t="str">
        <f>T("9791164099269")</f>
        <v>9791164099269</v>
      </c>
      <c r="M1952" t="str">
        <f t="shared" si="83"/>
        <v/>
      </c>
    </row>
    <row r="1953" spans="1:14">
      <c r="A1953" s="1">
        <v>46069.802916666667</v>
      </c>
      <c r="B1953">
        <v>379921095</v>
      </c>
      <c r="C1953" s="2" t="s">
        <v>927</v>
      </c>
      <c r="D1953" t="s">
        <v>15</v>
      </c>
      <c r="E1953" s="5">
        <v>1000</v>
      </c>
      <c r="F1953" s="3">
        <v>1000</v>
      </c>
      <c r="G1953" s="2">
        <v>700</v>
      </c>
      <c r="I1953" s="2" t="s">
        <v>928</v>
      </c>
      <c r="J1953" s="2" t="s">
        <v>21</v>
      </c>
      <c r="K1953" t="s">
        <v>18</v>
      </c>
      <c r="L1953" t="str">
        <f>T("9791175581319")</f>
        <v>9791175581319</v>
      </c>
      <c r="M1953" t="str">
        <f t="shared" si="83"/>
        <v/>
      </c>
      <c r="N1953" t="s">
        <v>929</v>
      </c>
    </row>
    <row r="1954" spans="1:14">
      <c r="A1954" s="1">
        <v>46069.813078703701</v>
      </c>
      <c r="B1954">
        <v>386057276</v>
      </c>
      <c r="C1954" s="2" t="s">
        <v>1681</v>
      </c>
      <c r="D1954" t="s">
        <v>68</v>
      </c>
      <c r="E1954" s="5">
        <v>8100</v>
      </c>
      <c r="F1954" s="3">
        <v>8100</v>
      </c>
      <c r="G1954" s="3">
        <v>5670</v>
      </c>
      <c r="I1954" s="2" t="s">
        <v>1682</v>
      </c>
      <c r="J1954" s="2" t="s">
        <v>197</v>
      </c>
      <c r="K1954" t="s">
        <v>18</v>
      </c>
      <c r="L1954" t="str">
        <f>T("9791164097661")</f>
        <v>9791164097661</v>
      </c>
      <c r="M1954" t="str">
        <f t="shared" si="83"/>
        <v/>
      </c>
    </row>
    <row r="1955" spans="1:14">
      <c r="A1955" s="1">
        <v>46069.831805555557</v>
      </c>
      <c r="B1955">
        <v>311047220</v>
      </c>
      <c r="C1955" s="2" t="s">
        <v>451</v>
      </c>
      <c r="D1955" t="s">
        <v>15</v>
      </c>
      <c r="E1955" s="5">
        <v>11200</v>
      </c>
      <c r="F1955" s="3">
        <v>11200</v>
      </c>
      <c r="G1955" s="3">
        <v>7840</v>
      </c>
      <c r="I1955" s="2" t="s">
        <v>452</v>
      </c>
      <c r="J1955" s="2" t="s">
        <v>184</v>
      </c>
      <c r="K1955" t="s">
        <v>18</v>
      </c>
      <c r="L1955" t="str">
        <f>T("9791164798919")</f>
        <v>9791164798919</v>
      </c>
      <c r="M1955" t="str">
        <f t="shared" si="83"/>
        <v/>
      </c>
      <c r="N1955" t="s">
        <v>453</v>
      </c>
    </row>
    <row r="1956" spans="1:14">
      <c r="A1956" s="1">
        <v>46069.832812499997</v>
      </c>
      <c r="B1956">
        <v>324195704</v>
      </c>
      <c r="C1956" s="2" t="s">
        <v>2156</v>
      </c>
      <c r="D1956" t="s">
        <v>15</v>
      </c>
      <c r="E1956" s="5">
        <v>1100</v>
      </c>
      <c r="F1956" s="3">
        <v>1100</v>
      </c>
      <c r="G1956" s="2">
        <v>770</v>
      </c>
      <c r="I1956" s="2" t="s">
        <v>465</v>
      </c>
      <c r="J1956" s="2" t="s">
        <v>21</v>
      </c>
      <c r="K1956" t="s">
        <v>18</v>
      </c>
      <c r="L1956" t="str">
        <f>T("9791167838032")</f>
        <v>9791167838032</v>
      </c>
      <c r="M1956" t="str">
        <f t="shared" si="83"/>
        <v/>
      </c>
      <c r="N1956" t="s">
        <v>2157</v>
      </c>
    </row>
    <row r="1957" spans="1:14">
      <c r="A1957" s="1">
        <v>46069.832812499997</v>
      </c>
      <c r="B1957">
        <v>324195708</v>
      </c>
      <c r="C1957" s="2" t="s">
        <v>2158</v>
      </c>
      <c r="D1957" t="s">
        <v>15</v>
      </c>
      <c r="E1957" s="5">
        <v>1200</v>
      </c>
      <c r="F1957" s="3">
        <v>1200</v>
      </c>
      <c r="G1957" s="2">
        <v>840</v>
      </c>
      <c r="I1957" s="2" t="s">
        <v>465</v>
      </c>
      <c r="J1957" s="2" t="s">
        <v>21</v>
      </c>
      <c r="K1957" t="s">
        <v>18</v>
      </c>
      <c r="L1957" t="str">
        <f>T("9791167839503")</f>
        <v>9791167839503</v>
      </c>
      <c r="M1957" t="str">
        <f t="shared" si="83"/>
        <v/>
      </c>
      <c r="N1957" t="s">
        <v>2159</v>
      </c>
    </row>
    <row r="1958" spans="1:14">
      <c r="A1958" s="1">
        <v>46069.860381944447</v>
      </c>
      <c r="B1958">
        <v>385347797</v>
      </c>
      <c r="C1958" s="2" t="s">
        <v>195</v>
      </c>
      <c r="D1958" t="s">
        <v>15</v>
      </c>
      <c r="E1958" s="4">
        <v>700</v>
      </c>
      <c r="F1958" s="2">
        <v>630</v>
      </c>
      <c r="G1958" s="2">
        <v>441</v>
      </c>
      <c r="I1958" s="2" t="s">
        <v>196</v>
      </c>
      <c r="J1958" s="2" t="s">
        <v>197</v>
      </c>
      <c r="K1958" t="s">
        <v>18</v>
      </c>
      <c r="L1958" t="str">
        <f>T("9791172821937")</f>
        <v>9791172821937</v>
      </c>
      <c r="M1958" t="str">
        <f t="shared" si="83"/>
        <v/>
      </c>
      <c r="N1958" t="s">
        <v>198</v>
      </c>
    </row>
    <row r="1959" spans="1:14">
      <c r="A1959" s="1">
        <v>46069.862812500003</v>
      </c>
      <c r="B1959">
        <v>323352599</v>
      </c>
      <c r="C1959" s="2" t="s">
        <v>1800</v>
      </c>
      <c r="D1959" t="s">
        <v>68</v>
      </c>
      <c r="E1959" s="5">
        <v>2250</v>
      </c>
      <c r="F1959" s="3">
        <v>2250</v>
      </c>
      <c r="G1959" s="3">
        <v>1575</v>
      </c>
      <c r="I1959" s="2" t="s">
        <v>1801</v>
      </c>
      <c r="J1959" s="2" t="s">
        <v>126</v>
      </c>
      <c r="K1959" t="s">
        <v>18</v>
      </c>
      <c r="L1959" t="str">
        <f>T("9791171501212")</f>
        <v>9791171501212</v>
      </c>
      <c r="M1959" t="str">
        <f t="shared" si="83"/>
        <v/>
      </c>
    </row>
    <row r="1960" spans="1:14">
      <c r="A1960" s="1">
        <v>46069.86582175926</v>
      </c>
      <c r="B1960">
        <v>379511327</v>
      </c>
      <c r="C1960" s="2" t="s">
        <v>262</v>
      </c>
      <c r="D1960" t="s">
        <v>15</v>
      </c>
      <c r="E1960" s="5">
        <v>3300</v>
      </c>
      <c r="F1960" s="3">
        <v>3300</v>
      </c>
      <c r="G1960" s="3">
        <v>2310</v>
      </c>
      <c r="I1960" s="2" t="s">
        <v>263</v>
      </c>
      <c r="J1960" s="2" t="s">
        <v>126</v>
      </c>
      <c r="K1960" t="s">
        <v>18</v>
      </c>
      <c r="L1960" t="str">
        <f>T("9791171502875")</f>
        <v>9791171502875</v>
      </c>
      <c r="M1960" t="str">
        <f t="shared" si="83"/>
        <v/>
      </c>
      <c r="N1960" t="s">
        <v>264</v>
      </c>
    </row>
    <row r="1961" spans="1:14">
      <c r="A1961" s="1">
        <v>46069.868969907409</v>
      </c>
      <c r="B1961">
        <v>384664782</v>
      </c>
      <c r="C1961" s="2" t="s">
        <v>373</v>
      </c>
      <c r="D1961" t="s">
        <v>15</v>
      </c>
      <c r="E1961" s="5">
        <v>1000</v>
      </c>
      <c r="F1961" s="3">
        <v>1000</v>
      </c>
      <c r="G1961" s="2">
        <v>700</v>
      </c>
      <c r="I1961" s="2" t="s">
        <v>374</v>
      </c>
      <c r="J1961" s="2" t="s">
        <v>21</v>
      </c>
      <c r="K1961" t="s">
        <v>18</v>
      </c>
      <c r="L1961" t="str">
        <f>T("9791175582392")</f>
        <v>9791175582392</v>
      </c>
      <c r="M1961" t="str">
        <f t="shared" si="83"/>
        <v/>
      </c>
      <c r="N1961" t="s">
        <v>375</v>
      </c>
    </row>
    <row r="1962" spans="1:14">
      <c r="A1962" s="1">
        <v>46069.871423611112</v>
      </c>
      <c r="B1962">
        <v>332860180</v>
      </c>
      <c r="C1962" s="2" t="s">
        <v>199</v>
      </c>
      <c r="D1962" t="s">
        <v>15</v>
      </c>
      <c r="E1962" s="5">
        <v>3100</v>
      </c>
      <c r="F1962" s="3">
        <v>3100</v>
      </c>
      <c r="G1962" s="3">
        <v>2170</v>
      </c>
      <c r="I1962" s="2" t="s">
        <v>89</v>
      </c>
      <c r="J1962" s="2" t="s">
        <v>200</v>
      </c>
      <c r="K1962" t="s">
        <v>18</v>
      </c>
      <c r="L1962" t="str">
        <f>T("9791170892113")</f>
        <v>9791170892113</v>
      </c>
      <c r="M1962" t="str">
        <f t="shared" si="83"/>
        <v/>
      </c>
      <c r="N1962" t="s">
        <v>201</v>
      </c>
    </row>
    <row r="1963" spans="1:14">
      <c r="A1963" s="1">
        <v>46069.875243055554</v>
      </c>
      <c r="B1963">
        <v>365291517</v>
      </c>
      <c r="C1963" s="2" t="s">
        <v>163</v>
      </c>
      <c r="D1963" t="s">
        <v>15</v>
      </c>
      <c r="E1963" s="5">
        <v>1000</v>
      </c>
      <c r="F1963" s="3">
        <v>1000</v>
      </c>
      <c r="G1963" s="2">
        <v>700</v>
      </c>
      <c r="I1963" s="2" t="s">
        <v>148</v>
      </c>
      <c r="J1963" s="2" t="s">
        <v>21</v>
      </c>
      <c r="K1963" t="s">
        <v>18</v>
      </c>
      <c r="L1963" t="str">
        <f>T("9791173014130")</f>
        <v>9791173014130</v>
      </c>
      <c r="M1963" t="str">
        <f t="shared" si="83"/>
        <v/>
      </c>
      <c r="N1963" t="s">
        <v>164</v>
      </c>
    </row>
    <row r="1964" spans="1:14">
      <c r="A1964" s="1">
        <v>46069.882997685185</v>
      </c>
      <c r="B1964">
        <v>348085016</v>
      </c>
      <c r="C1964" s="2" t="s">
        <v>977</v>
      </c>
      <c r="D1964" t="s">
        <v>15</v>
      </c>
      <c r="E1964" s="5">
        <v>2500</v>
      </c>
      <c r="F1964" s="3">
        <v>2500</v>
      </c>
      <c r="G1964" s="3">
        <v>1750</v>
      </c>
      <c r="I1964" s="2" t="s">
        <v>266</v>
      </c>
      <c r="J1964" s="2" t="s">
        <v>126</v>
      </c>
      <c r="K1964" t="s">
        <v>18</v>
      </c>
      <c r="L1964" t="str">
        <f>T("9791171501151")</f>
        <v>9791171501151</v>
      </c>
      <c r="M1964" t="str">
        <f t="shared" si="83"/>
        <v/>
      </c>
      <c r="N1964" t="s">
        <v>978</v>
      </c>
    </row>
    <row r="1965" spans="1:14">
      <c r="A1965" s="1">
        <v>46069.894444444442</v>
      </c>
      <c r="B1965">
        <v>348085016</v>
      </c>
      <c r="C1965" s="2" t="s">
        <v>977</v>
      </c>
      <c r="D1965" t="s">
        <v>15</v>
      </c>
      <c r="E1965" s="5">
        <v>2500</v>
      </c>
      <c r="F1965" s="3">
        <v>2500</v>
      </c>
      <c r="G1965" s="3">
        <v>1750</v>
      </c>
      <c r="I1965" s="2" t="s">
        <v>266</v>
      </c>
      <c r="J1965" s="2" t="s">
        <v>126</v>
      </c>
      <c r="K1965" t="s">
        <v>18</v>
      </c>
      <c r="L1965" t="str">
        <f>T("9791171501151")</f>
        <v>9791171501151</v>
      </c>
      <c r="M1965" t="str">
        <f t="shared" si="83"/>
        <v/>
      </c>
      <c r="N1965" t="s">
        <v>978</v>
      </c>
    </row>
    <row r="1966" spans="1:14">
      <c r="A1966" s="1">
        <v>46069.894444444442</v>
      </c>
      <c r="B1966">
        <v>330365846</v>
      </c>
      <c r="C1966" s="2" t="s">
        <v>2088</v>
      </c>
      <c r="D1966" t="s">
        <v>15</v>
      </c>
      <c r="E1966" s="5">
        <v>2500</v>
      </c>
      <c r="F1966" s="3">
        <v>2500</v>
      </c>
      <c r="G1966" s="3">
        <v>1750</v>
      </c>
      <c r="I1966" s="2" t="s">
        <v>266</v>
      </c>
      <c r="J1966" s="2" t="s">
        <v>126</v>
      </c>
      <c r="K1966" t="s">
        <v>18</v>
      </c>
      <c r="L1966" t="str">
        <f>T("9791171500123")</f>
        <v>9791171500123</v>
      </c>
      <c r="M1966" t="str">
        <f t="shared" si="83"/>
        <v/>
      </c>
      <c r="N1966" t="s">
        <v>2089</v>
      </c>
    </row>
    <row r="1967" spans="1:14">
      <c r="A1967" s="1">
        <v>46069.894444444442</v>
      </c>
      <c r="B1967">
        <v>306127856</v>
      </c>
      <c r="C1967" s="2" t="s">
        <v>2160</v>
      </c>
      <c r="D1967" t="s">
        <v>15</v>
      </c>
      <c r="E1967" s="5">
        <v>2500</v>
      </c>
      <c r="F1967" s="3">
        <v>2500</v>
      </c>
      <c r="G1967" s="3">
        <v>1750</v>
      </c>
      <c r="I1967" s="2" t="s">
        <v>266</v>
      </c>
      <c r="J1967" s="2" t="s">
        <v>126</v>
      </c>
      <c r="K1967" t="s">
        <v>18</v>
      </c>
      <c r="L1967" t="str">
        <f>T("9791164977925")</f>
        <v>9791164977925</v>
      </c>
      <c r="M1967" t="str">
        <f t="shared" si="83"/>
        <v/>
      </c>
      <c r="N1967" t="s">
        <v>2161</v>
      </c>
    </row>
    <row r="1968" spans="1:14">
      <c r="A1968" s="1">
        <v>46069.905509259261</v>
      </c>
      <c r="B1968">
        <v>385347773</v>
      </c>
      <c r="C1968" s="2" t="s">
        <v>229</v>
      </c>
      <c r="D1968" t="s">
        <v>15</v>
      </c>
      <c r="E1968" s="4">
        <v>0</v>
      </c>
      <c r="F1968" s="2">
        <v>0</v>
      </c>
      <c r="G1968" s="2">
        <v>0</v>
      </c>
      <c r="I1968" s="2" t="s">
        <v>230</v>
      </c>
      <c r="J1968" s="2" t="s">
        <v>161</v>
      </c>
      <c r="K1968" t="s">
        <v>18</v>
      </c>
      <c r="L1968" t="str">
        <f>T("9791173261091")</f>
        <v>9791173261091</v>
      </c>
      <c r="M1968" t="str">
        <f t="shared" si="83"/>
        <v/>
      </c>
      <c r="N1968" t="s">
        <v>231</v>
      </c>
    </row>
    <row r="1969" spans="1:14">
      <c r="A1969" s="1">
        <v>46069.90625</v>
      </c>
      <c r="B1969">
        <v>385347797</v>
      </c>
      <c r="C1969" s="2" t="s">
        <v>195</v>
      </c>
      <c r="D1969" t="s">
        <v>15</v>
      </c>
      <c r="E1969" s="4">
        <v>700</v>
      </c>
      <c r="F1969" s="2">
        <v>630</v>
      </c>
      <c r="G1969" s="2">
        <v>441</v>
      </c>
      <c r="I1969" s="2" t="s">
        <v>196</v>
      </c>
      <c r="J1969" s="2" t="s">
        <v>197</v>
      </c>
      <c r="K1969" t="s">
        <v>18</v>
      </c>
      <c r="L1969" t="str">
        <f>T("9791172821937")</f>
        <v>9791172821937</v>
      </c>
      <c r="M1969" t="str">
        <f t="shared" si="83"/>
        <v/>
      </c>
      <c r="N1969" t="s">
        <v>198</v>
      </c>
    </row>
    <row r="1970" spans="1:14">
      <c r="A1970" s="1">
        <v>46069.912002314813</v>
      </c>
      <c r="B1970">
        <v>278541270</v>
      </c>
      <c r="C1970" s="2" t="s">
        <v>2162</v>
      </c>
      <c r="D1970" t="s">
        <v>15</v>
      </c>
      <c r="E1970" s="4">
        <v>100</v>
      </c>
      <c r="F1970" s="2">
        <v>100</v>
      </c>
      <c r="G1970" s="2">
        <v>70</v>
      </c>
      <c r="I1970" s="2" t="s">
        <v>64</v>
      </c>
      <c r="J1970" s="2" t="s">
        <v>65</v>
      </c>
      <c r="K1970" t="s">
        <v>18</v>
      </c>
      <c r="L1970" t="str">
        <f>T("9791162589724")</f>
        <v>9791162589724</v>
      </c>
      <c r="M1970" t="str">
        <f t="shared" si="83"/>
        <v/>
      </c>
      <c r="N1970" t="s">
        <v>2163</v>
      </c>
    </row>
    <row r="1971" spans="1:14">
      <c r="A1971" s="1">
        <v>46069.912002314813</v>
      </c>
      <c r="B1971">
        <v>279044036</v>
      </c>
      <c r="C1971" s="2" t="s">
        <v>2164</v>
      </c>
      <c r="D1971" t="s">
        <v>15</v>
      </c>
      <c r="E1971" s="4">
        <v>100</v>
      </c>
      <c r="F1971" s="2">
        <v>100</v>
      </c>
      <c r="G1971" s="2">
        <v>70</v>
      </c>
      <c r="I1971" s="2" t="s">
        <v>64</v>
      </c>
      <c r="J1971" s="2" t="s">
        <v>65</v>
      </c>
      <c r="K1971" t="s">
        <v>18</v>
      </c>
      <c r="L1971" t="str">
        <f>T("9791162589724")</f>
        <v>9791162589724</v>
      </c>
      <c r="M1971" t="str">
        <f t="shared" si="83"/>
        <v/>
      </c>
      <c r="N1971" t="s">
        <v>2165</v>
      </c>
    </row>
    <row r="1972" spans="1:14">
      <c r="A1972" s="1">
        <v>46069.912002314813</v>
      </c>
      <c r="B1972">
        <v>279044040</v>
      </c>
      <c r="C1972" s="2" t="s">
        <v>2166</v>
      </c>
      <c r="D1972" t="s">
        <v>15</v>
      </c>
      <c r="E1972" s="4">
        <v>100</v>
      </c>
      <c r="F1972" s="2">
        <v>100</v>
      </c>
      <c r="G1972" s="2">
        <v>70</v>
      </c>
      <c r="I1972" s="2" t="s">
        <v>64</v>
      </c>
      <c r="J1972" s="2" t="s">
        <v>65</v>
      </c>
      <c r="K1972" t="s">
        <v>18</v>
      </c>
      <c r="L1972" t="str">
        <f>T("9791162589724")</f>
        <v>9791162589724</v>
      </c>
      <c r="M1972" t="str">
        <f t="shared" si="83"/>
        <v/>
      </c>
      <c r="N1972" t="s">
        <v>2167</v>
      </c>
    </row>
    <row r="1973" spans="1:14">
      <c r="A1973" s="1">
        <v>46069.912002314813</v>
      </c>
      <c r="B1973">
        <v>279044045</v>
      </c>
      <c r="C1973" s="2" t="s">
        <v>2168</v>
      </c>
      <c r="D1973" t="s">
        <v>15</v>
      </c>
      <c r="E1973" s="4">
        <v>100</v>
      </c>
      <c r="F1973" s="2">
        <v>100</v>
      </c>
      <c r="G1973" s="2">
        <v>70</v>
      </c>
      <c r="I1973" s="2" t="s">
        <v>64</v>
      </c>
      <c r="J1973" s="2" t="s">
        <v>65</v>
      </c>
      <c r="K1973" t="s">
        <v>18</v>
      </c>
      <c r="L1973" t="str">
        <f>T("9791162589724")</f>
        <v>9791162589724</v>
      </c>
      <c r="M1973" t="str">
        <f t="shared" ref="M1973:M1995" si="84">T("")</f>
        <v/>
      </c>
      <c r="N1973" t="s">
        <v>2169</v>
      </c>
    </row>
    <row r="1974" spans="1:14">
      <c r="A1974" s="1">
        <v>46069.912002314813</v>
      </c>
      <c r="B1974">
        <v>278541305</v>
      </c>
      <c r="C1974" s="2" t="s">
        <v>2170</v>
      </c>
      <c r="D1974" t="s">
        <v>15</v>
      </c>
      <c r="E1974" s="4">
        <v>100</v>
      </c>
      <c r="F1974" s="2">
        <v>100</v>
      </c>
      <c r="G1974" s="2">
        <v>70</v>
      </c>
      <c r="I1974" s="2" t="s">
        <v>64</v>
      </c>
      <c r="J1974" s="2" t="s">
        <v>65</v>
      </c>
      <c r="K1974" t="s">
        <v>18</v>
      </c>
      <c r="L1974" t="str">
        <f>T("9791162589724")</f>
        <v>9791162589724</v>
      </c>
      <c r="M1974" t="str">
        <f t="shared" si="84"/>
        <v/>
      </c>
      <c r="N1974" t="s">
        <v>2171</v>
      </c>
    </row>
    <row r="1975" spans="1:14">
      <c r="A1975" s="1">
        <v>46069.921331018515</v>
      </c>
      <c r="B1975">
        <v>277095085</v>
      </c>
      <c r="C1975" s="2" t="s">
        <v>2172</v>
      </c>
      <c r="D1975" t="s">
        <v>15</v>
      </c>
      <c r="E1975" s="5">
        <v>1000</v>
      </c>
      <c r="F1975" s="3">
        <v>1000</v>
      </c>
      <c r="G1975" s="2">
        <v>700</v>
      </c>
      <c r="I1975" s="2" t="s">
        <v>877</v>
      </c>
      <c r="J1975" s="2" t="s">
        <v>184</v>
      </c>
      <c r="K1975" t="s">
        <v>18</v>
      </c>
      <c r="L1975" t="str">
        <f>T("9791164793747")</f>
        <v>9791164793747</v>
      </c>
      <c r="M1975" t="str">
        <f t="shared" si="84"/>
        <v/>
      </c>
      <c r="N1975" t="s">
        <v>2173</v>
      </c>
    </row>
    <row r="1976" spans="1:14">
      <c r="A1976" s="1">
        <v>46069.922777777778</v>
      </c>
      <c r="B1976">
        <v>119448112</v>
      </c>
      <c r="C1976" s="2" t="s">
        <v>2174</v>
      </c>
      <c r="D1976" t="s">
        <v>15</v>
      </c>
      <c r="E1976" s="4">
        <v>500</v>
      </c>
      <c r="F1976" s="2">
        <v>500</v>
      </c>
      <c r="G1976" s="2">
        <v>350</v>
      </c>
      <c r="I1976" s="2" t="s">
        <v>2175</v>
      </c>
      <c r="J1976" s="2" t="s">
        <v>2176</v>
      </c>
      <c r="K1976" t="s">
        <v>18</v>
      </c>
      <c r="L1976" t="str">
        <f>T("9791157105922")</f>
        <v>9791157105922</v>
      </c>
      <c r="M1976" t="str">
        <f t="shared" si="84"/>
        <v/>
      </c>
    </row>
    <row r="1977" spans="1:14">
      <c r="A1977" s="1">
        <v>46069.932118055556</v>
      </c>
      <c r="B1977">
        <v>328759043</v>
      </c>
      <c r="C1977" s="2" t="s">
        <v>1537</v>
      </c>
      <c r="D1977" t="s">
        <v>68</v>
      </c>
      <c r="E1977" s="4">
        <v>840</v>
      </c>
      <c r="F1977" s="2">
        <v>840</v>
      </c>
      <c r="G1977" s="2">
        <v>588</v>
      </c>
      <c r="I1977" s="2" t="s">
        <v>852</v>
      </c>
      <c r="J1977" s="2" t="s">
        <v>197</v>
      </c>
      <c r="K1977" t="s">
        <v>18</v>
      </c>
      <c r="L1977" t="str">
        <f>T("9791164099269")</f>
        <v>9791164099269</v>
      </c>
      <c r="M1977" t="str">
        <f t="shared" si="84"/>
        <v/>
      </c>
    </row>
    <row r="1978" spans="1:14">
      <c r="A1978" s="1">
        <v>46069.932800925926</v>
      </c>
      <c r="B1978">
        <v>386057276</v>
      </c>
      <c r="C1978" s="2" t="s">
        <v>1681</v>
      </c>
      <c r="D1978" t="s">
        <v>68</v>
      </c>
      <c r="E1978" s="5">
        <v>8100</v>
      </c>
      <c r="F1978" s="3">
        <v>8100</v>
      </c>
      <c r="G1978" s="3">
        <v>5670</v>
      </c>
      <c r="I1978" s="2" t="s">
        <v>1682</v>
      </c>
      <c r="J1978" s="2" t="s">
        <v>197</v>
      </c>
      <c r="K1978" t="s">
        <v>18</v>
      </c>
      <c r="L1978" t="str">
        <f>T("9791164097661")</f>
        <v>9791164097661</v>
      </c>
      <c r="M1978" t="str">
        <f t="shared" si="84"/>
        <v/>
      </c>
    </row>
    <row r="1979" spans="1:14">
      <c r="A1979" s="1">
        <v>46069.942627314813</v>
      </c>
      <c r="B1979">
        <v>374549942</v>
      </c>
      <c r="C1979" s="2" t="s">
        <v>2177</v>
      </c>
      <c r="D1979" t="s">
        <v>15</v>
      </c>
      <c r="E1979" s="5">
        <v>1000</v>
      </c>
      <c r="F1979" s="3">
        <v>1000</v>
      </c>
      <c r="G1979" s="2">
        <v>700</v>
      </c>
      <c r="I1979" s="2" t="s">
        <v>2076</v>
      </c>
      <c r="J1979" s="2" t="s">
        <v>21</v>
      </c>
      <c r="K1979" t="s">
        <v>18</v>
      </c>
      <c r="L1979" t="str">
        <f>T("9791173018848")</f>
        <v>9791173018848</v>
      </c>
      <c r="M1979" t="str">
        <f t="shared" si="84"/>
        <v/>
      </c>
      <c r="N1979" t="s">
        <v>2178</v>
      </c>
    </row>
    <row r="1980" spans="1:14">
      <c r="A1980" s="1">
        <v>46069.948958333334</v>
      </c>
      <c r="B1980">
        <v>211909257</v>
      </c>
      <c r="C1980" s="2" t="s">
        <v>1665</v>
      </c>
      <c r="D1980" t="s">
        <v>68</v>
      </c>
      <c r="E1980" s="5">
        <v>-4550</v>
      </c>
      <c r="F1980" s="3">
        <v>-4550</v>
      </c>
      <c r="G1980" s="3">
        <v>-3185</v>
      </c>
      <c r="H1980" s="1">
        <v>46069.947175925925</v>
      </c>
      <c r="I1980" s="2" t="s">
        <v>196</v>
      </c>
      <c r="J1980" s="2" t="s">
        <v>197</v>
      </c>
      <c r="K1980" t="s">
        <v>18</v>
      </c>
      <c r="L1980" t="str">
        <f>T("9791164090693")</f>
        <v>9791164090693</v>
      </c>
      <c r="M1980" t="str">
        <f t="shared" si="84"/>
        <v/>
      </c>
    </row>
    <row r="1981" spans="1:14">
      <c r="A1981" s="1">
        <v>46069.947175925925</v>
      </c>
      <c r="B1981">
        <v>211909257</v>
      </c>
      <c r="C1981" s="2" t="s">
        <v>1665</v>
      </c>
      <c r="D1981" t="s">
        <v>68</v>
      </c>
      <c r="E1981" s="5">
        <v>4550</v>
      </c>
      <c r="F1981" s="3">
        <v>4550</v>
      </c>
      <c r="G1981" s="3">
        <v>3185</v>
      </c>
      <c r="I1981" s="2" t="s">
        <v>196</v>
      </c>
      <c r="J1981" s="2" t="s">
        <v>197</v>
      </c>
      <c r="K1981" t="s">
        <v>18</v>
      </c>
      <c r="L1981" t="str">
        <f>T("9791164090693")</f>
        <v>9791164090693</v>
      </c>
      <c r="M1981" t="str">
        <f t="shared" si="84"/>
        <v/>
      </c>
    </row>
    <row r="1982" spans="1:14">
      <c r="A1982" s="1">
        <v>46069.948773148149</v>
      </c>
      <c r="B1982">
        <v>328759043</v>
      </c>
      <c r="C1982" s="2" t="s">
        <v>1537</v>
      </c>
      <c r="D1982" t="s">
        <v>68</v>
      </c>
      <c r="E1982" s="4">
        <v>840</v>
      </c>
      <c r="F1982" s="2">
        <v>840</v>
      </c>
      <c r="G1982" s="2">
        <v>588</v>
      </c>
      <c r="I1982" s="2" t="s">
        <v>852</v>
      </c>
      <c r="J1982" s="2" t="s">
        <v>197</v>
      </c>
      <c r="K1982" t="s">
        <v>18</v>
      </c>
      <c r="L1982" t="str">
        <f>T("9791164099269")</f>
        <v>9791164099269</v>
      </c>
      <c r="M1982" t="str">
        <f t="shared" si="84"/>
        <v/>
      </c>
    </row>
    <row r="1983" spans="1:14">
      <c r="A1983" s="1">
        <v>46069.950729166667</v>
      </c>
      <c r="B1983">
        <v>379527576</v>
      </c>
      <c r="C1983" s="2" t="s">
        <v>150</v>
      </c>
      <c r="D1983" t="s">
        <v>15</v>
      </c>
      <c r="E1983" s="5">
        <v>1000</v>
      </c>
      <c r="F1983" s="3">
        <v>1000</v>
      </c>
      <c r="G1983" s="2">
        <v>700</v>
      </c>
      <c r="I1983" s="2" t="s">
        <v>148</v>
      </c>
      <c r="J1983" s="2" t="s">
        <v>21</v>
      </c>
      <c r="K1983" t="s">
        <v>18</v>
      </c>
      <c r="L1983" t="str">
        <f>T("9791175580541")</f>
        <v>9791175580541</v>
      </c>
      <c r="M1983" t="str">
        <f t="shared" si="84"/>
        <v/>
      </c>
      <c r="N1983" t="s">
        <v>151</v>
      </c>
    </row>
    <row r="1984" spans="1:14">
      <c r="A1984" s="1">
        <v>46069.961793981478</v>
      </c>
      <c r="B1984">
        <v>385347797</v>
      </c>
      <c r="C1984" s="2" t="s">
        <v>195</v>
      </c>
      <c r="D1984" t="s">
        <v>15</v>
      </c>
      <c r="E1984" s="4">
        <v>700</v>
      </c>
      <c r="F1984" s="2">
        <v>630</v>
      </c>
      <c r="G1984" s="2">
        <v>441</v>
      </c>
      <c r="I1984" s="2" t="s">
        <v>196</v>
      </c>
      <c r="J1984" s="2" t="s">
        <v>197</v>
      </c>
      <c r="K1984" t="s">
        <v>18</v>
      </c>
      <c r="L1984" t="str">
        <f>T("9791172821937")</f>
        <v>9791172821937</v>
      </c>
      <c r="M1984" t="str">
        <f t="shared" si="84"/>
        <v/>
      </c>
      <c r="N1984" t="s">
        <v>198</v>
      </c>
    </row>
    <row r="1985" spans="1:14">
      <c r="A1985" s="1">
        <v>46069.962175925924</v>
      </c>
      <c r="B1985">
        <v>277935617</v>
      </c>
      <c r="C1985" s="2" t="s">
        <v>2179</v>
      </c>
      <c r="D1985" t="s">
        <v>15</v>
      </c>
      <c r="E1985" s="4">
        <v>100</v>
      </c>
      <c r="F1985" s="2">
        <v>100</v>
      </c>
      <c r="G1985" s="2">
        <v>70</v>
      </c>
      <c r="I1985" s="2" t="s">
        <v>64</v>
      </c>
      <c r="J1985" s="2" t="s">
        <v>65</v>
      </c>
      <c r="K1985" t="s">
        <v>18</v>
      </c>
      <c r="L1985" t="str">
        <f>T("9791162589724")</f>
        <v>9791162589724</v>
      </c>
      <c r="M1985" t="str">
        <f t="shared" si="84"/>
        <v/>
      </c>
      <c r="N1985" t="s">
        <v>2180</v>
      </c>
    </row>
    <row r="1986" spans="1:14">
      <c r="A1986" s="1">
        <v>46069.970393518517</v>
      </c>
      <c r="B1986">
        <v>235894716</v>
      </c>
      <c r="C1986" s="2" t="s">
        <v>2049</v>
      </c>
      <c r="D1986" t="s">
        <v>68</v>
      </c>
      <c r="E1986" s="5">
        <v>2150</v>
      </c>
      <c r="F1986" s="3">
        <v>2150</v>
      </c>
      <c r="G1986" s="3">
        <v>1505</v>
      </c>
      <c r="I1986" s="2" t="s">
        <v>552</v>
      </c>
      <c r="J1986" s="2" t="s">
        <v>197</v>
      </c>
      <c r="K1986" t="s">
        <v>18</v>
      </c>
      <c r="L1986" t="str">
        <f>T("9791164091539")</f>
        <v>9791164091539</v>
      </c>
      <c r="M1986" t="str">
        <f t="shared" si="84"/>
        <v/>
      </c>
    </row>
    <row r="1987" spans="1:14">
      <c r="A1987" s="1">
        <v>46069.97824074074</v>
      </c>
      <c r="B1987">
        <v>346107455</v>
      </c>
      <c r="C1987" s="2" t="s">
        <v>2181</v>
      </c>
      <c r="D1987" t="s">
        <v>15</v>
      </c>
      <c r="E1987" s="5">
        <v>3400</v>
      </c>
      <c r="F1987" s="3">
        <v>3400</v>
      </c>
      <c r="G1987" s="3">
        <v>2380</v>
      </c>
      <c r="I1987" s="2" t="s">
        <v>2182</v>
      </c>
      <c r="J1987" s="2" t="s">
        <v>197</v>
      </c>
      <c r="K1987" t="s">
        <v>18</v>
      </c>
      <c r="L1987" t="str">
        <f>T("9791172820312")</f>
        <v>9791172820312</v>
      </c>
      <c r="M1987" t="str">
        <f t="shared" si="84"/>
        <v/>
      </c>
      <c r="N1987" t="s">
        <v>2183</v>
      </c>
    </row>
    <row r="1988" spans="1:14">
      <c r="A1988" s="1">
        <v>46069.983368055553</v>
      </c>
      <c r="B1988">
        <v>371345723</v>
      </c>
      <c r="C1988" s="2" t="s">
        <v>525</v>
      </c>
      <c r="D1988" t="s">
        <v>68</v>
      </c>
      <c r="E1988" s="5">
        <v>2310</v>
      </c>
      <c r="F1988" s="3">
        <v>2310</v>
      </c>
      <c r="G1988" s="3">
        <v>1617</v>
      </c>
      <c r="I1988" s="2" t="s">
        <v>196</v>
      </c>
      <c r="J1988" s="2" t="s">
        <v>197</v>
      </c>
      <c r="K1988" t="s">
        <v>18</v>
      </c>
      <c r="L1988" t="str">
        <f>T("9791172821692")</f>
        <v>9791172821692</v>
      </c>
      <c r="M1988" t="str">
        <f t="shared" si="84"/>
        <v/>
      </c>
      <c r="N1988" t="s">
        <v>526</v>
      </c>
    </row>
    <row r="1989" spans="1:14">
      <c r="A1989" s="1">
        <v>46069.987835648149</v>
      </c>
      <c r="B1989">
        <v>386057278</v>
      </c>
      <c r="C1989" s="2" t="s">
        <v>1806</v>
      </c>
      <c r="D1989" t="s">
        <v>68</v>
      </c>
      <c r="E1989" s="5">
        <v>5000</v>
      </c>
      <c r="F1989" s="3">
        <v>5000</v>
      </c>
      <c r="G1989" s="3">
        <v>3500</v>
      </c>
      <c r="I1989" s="2" t="s">
        <v>1772</v>
      </c>
      <c r="J1989" s="2" t="s">
        <v>197</v>
      </c>
      <c r="K1989" t="s">
        <v>18</v>
      </c>
      <c r="L1989" t="str">
        <f>T("9791164093281")</f>
        <v>9791164093281</v>
      </c>
      <c r="M1989" t="str">
        <f t="shared" si="84"/>
        <v/>
      </c>
    </row>
    <row r="1990" spans="1:14">
      <c r="A1990" s="1">
        <v>46069.987835648149</v>
      </c>
      <c r="B1990">
        <v>386057281</v>
      </c>
      <c r="C1990" s="2" t="s">
        <v>2184</v>
      </c>
      <c r="D1990" t="s">
        <v>68</v>
      </c>
      <c r="E1990" s="5">
        <v>7500</v>
      </c>
      <c r="F1990" s="3">
        <v>7500</v>
      </c>
      <c r="G1990" s="3">
        <v>5250</v>
      </c>
      <c r="I1990" s="2" t="s">
        <v>1772</v>
      </c>
      <c r="J1990" s="2" t="s">
        <v>197</v>
      </c>
      <c r="K1990" t="s">
        <v>18</v>
      </c>
      <c r="L1990" t="str">
        <f>T("9791164093298")</f>
        <v>9791164093298</v>
      </c>
      <c r="M1990" t="str">
        <f t="shared" si="84"/>
        <v/>
      </c>
    </row>
    <row r="1991" spans="1:14">
      <c r="A1991" s="1">
        <v>46069.991435185184</v>
      </c>
      <c r="B1991">
        <v>277935522</v>
      </c>
      <c r="C1991" s="2" t="s">
        <v>1871</v>
      </c>
      <c r="D1991" t="s">
        <v>15</v>
      </c>
      <c r="E1991" s="4">
        <v>100</v>
      </c>
      <c r="F1991" s="2">
        <v>100</v>
      </c>
      <c r="G1991" s="2">
        <v>70</v>
      </c>
      <c r="I1991" s="2" t="s">
        <v>64</v>
      </c>
      <c r="J1991" s="2" t="s">
        <v>65</v>
      </c>
      <c r="K1991" t="s">
        <v>18</v>
      </c>
      <c r="L1991" t="str">
        <f>T("9791162589724")</f>
        <v>9791162589724</v>
      </c>
      <c r="M1991" t="str">
        <f t="shared" si="84"/>
        <v/>
      </c>
      <c r="N1991" t="s">
        <v>1872</v>
      </c>
    </row>
    <row r="1992" spans="1:14">
      <c r="A1992" s="1">
        <v>46069.991435185184</v>
      </c>
      <c r="B1992">
        <v>277935705</v>
      </c>
      <c r="C1992" s="2" t="s">
        <v>1873</v>
      </c>
      <c r="D1992" t="s">
        <v>15</v>
      </c>
      <c r="E1992" s="4">
        <v>100</v>
      </c>
      <c r="F1992" s="2">
        <v>100</v>
      </c>
      <c r="G1992" s="2">
        <v>70</v>
      </c>
      <c r="I1992" s="2" t="s">
        <v>64</v>
      </c>
      <c r="J1992" s="2" t="s">
        <v>65</v>
      </c>
      <c r="K1992" t="s">
        <v>18</v>
      </c>
      <c r="L1992" t="str">
        <f>T("9791162589724")</f>
        <v>9791162589724</v>
      </c>
      <c r="M1992" t="str">
        <f t="shared" si="84"/>
        <v/>
      </c>
      <c r="N1992" t="s">
        <v>1874</v>
      </c>
    </row>
    <row r="1993" spans="1:14">
      <c r="A1993" s="1">
        <v>46069.991435185184</v>
      </c>
      <c r="B1993">
        <v>277935741</v>
      </c>
      <c r="C1993" s="2" t="s">
        <v>2185</v>
      </c>
      <c r="D1993" t="s">
        <v>15</v>
      </c>
      <c r="E1993" s="4">
        <v>100</v>
      </c>
      <c r="F1993" s="2">
        <v>100</v>
      </c>
      <c r="G1993" s="2">
        <v>70</v>
      </c>
      <c r="I1993" s="2" t="s">
        <v>64</v>
      </c>
      <c r="J1993" s="2" t="s">
        <v>65</v>
      </c>
      <c r="K1993" t="s">
        <v>18</v>
      </c>
      <c r="L1993" t="str">
        <f>T("9791162589724")</f>
        <v>9791162589724</v>
      </c>
      <c r="M1993" t="str">
        <f t="shared" si="84"/>
        <v/>
      </c>
      <c r="N1993" t="s">
        <v>2186</v>
      </c>
    </row>
    <row r="1994" spans="1:14">
      <c r="A1994" s="1">
        <v>46069.991435185184</v>
      </c>
      <c r="B1994">
        <v>277935800</v>
      </c>
      <c r="C1994" s="2" t="s">
        <v>1877</v>
      </c>
      <c r="D1994" t="s">
        <v>15</v>
      </c>
      <c r="E1994" s="4">
        <v>100</v>
      </c>
      <c r="F1994" s="2">
        <v>100</v>
      </c>
      <c r="G1994" s="2">
        <v>70</v>
      </c>
      <c r="I1994" s="2" t="s">
        <v>64</v>
      </c>
      <c r="J1994" s="2" t="s">
        <v>65</v>
      </c>
      <c r="K1994" t="s">
        <v>18</v>
      </c>
      <c r="L1994" t="str">
        <f>T("9791162589724")</f>
        <v>9791162589724</v>
      </c>
      <c r="M1994" t="str">
        <f t="shared" si="84"/>
        <v/>
      </c>
      <c r="N1994" t="s">
        <v>1878</v>
      </c>
    </row>
    <row r="1995" spans="1:14">
      <c r="A1995" s="1">
        <v>46069.991435185184</v>
      </c>
      <c r="B1995">
        <v>277935798</v>
      </c>
      <c r="C1995" s="2" t="s">
        <v>1875</v>
      </c>
      <c r="D1995" t="s">
        <v>15</v>
      </c>
      <c r="E1995" s="4">
        <v>100</v>
      </c>
      <c r="F1995" s="2">
        <v>100</v>
      </c>
      <c r="G1995" s="2">
        <v>70</v>
      </c>
      <c r="I1995" s="2" t="s">
        <v>64</v>
      </c>
      <c r="J1995" s="2" t="s">
        <v>65</v>
      </c>
      <c r="K1995" t="s">
        <v>18</v>
      </c>
      <c r="L1995" t="str">
        <f>T("9791162589724")</f>
        <v>9791162589724</v>
      </c>
      <c r="M1995" t="str">
        <f t="shared" si="84"/>
        <v/>
      </c>
      <c r="N1995" t="s">
        <v>1876</v>
      </c>
    </row>
    <row r="1996" spans="1:14">
      <c r="A1996" s="1">
        <v>46069.992210648146</v>
      </c>
      <c r="B1996">
        <v>385943855</v>
      </c>
      <c r="C1996" s="2" t="s">
        <v>2187</v>
      </c>
      <c r="D1996" t="s">
        <v>15</v>
      </c>
      <c r="E1996" s="5">
        <v>1000</v>
      </c>
      <c r="F1996" s="3">
        <v>1000</v>
      </c>
      <c r="G1996" s="2">
        <v>700</v>
      </c>
      <c r="I1996" s="2" t="s">
        <v>2188</v>
      </c>
      <c r="J1996" s="2" t="s">
        <v>2189</v>
      </c>
      <c r="K1996" t="s">
        <v>18</v>
      </c>
      <c r="L1996" t="str">
        <f>T("")</f>
        <v/>
      </c>
      <c r="M1996" t="str">
        <f>T("G720:N+A319-20260130066.M001")</f>
        <v>G720:N+A319-20260130066.M001</v>
      </c>
      <c r="N1996" t="s">
        <v>2190</v>
      </c>
    </row>
    <row r="1997" spans="1:14">
      <c r="A1997" s="1">
        <v>46069.992523148147</v>
      </c>
      <c r="B1997">
        <v>381924113</v>
      </c>
      <c r="C1997" s="2" t="s">
        <v>367</v>
      </c>
      <c r="D1997" t="s">
        <v>15</v>
      </c>
      <c r="E1997" s="5">
        <v>2800</v>
      </c>
      <c r="F1997" s="3">
        <v>2800</v>
      </c>
      <c r="G1997" s="3">
        <v>1960</v>
      </c>
      <c r="I1997" s="2" t="s">
        <v>368</v>
      </c>
      <c r="J1997" s="2" t="s">
        <v>308</v>
      </c>
      <c r="K1997" t="s">
        <v>18</v>
      </c>
      <c r="L1997" t="str">
        <f>T("9791194982739")</f>
        <v>9791194982739</v>
      </c>
      <c r="M1997" t="str">
        <f>T("")</f>
        <v/>
      </c>
      <c r="N1997" t="s">
        <v>369</v>
      </c>
    </row>
    <row r="1998" spans="1:14">
      <c r="A1998" s="1">
        <v>46069.993287037039</v>
      </c>
      <c r="B1998">
        <v>312661148</v>
      </c>
      <c r="C1998" s="2" t="s">
        <v>2191</v>
      </c>
      <c r="D1998" t="s">
        <v>15</v>
      </c>
      <c r="E1998" s="5">
        <v>1000</v>
      </c>
      <c r="F1998" s="3">
        <v>1000</v>
      </c>
      <c r="G1998" s="2">
        <v>700</v>
      </c>
      <c r="I1998" s="2" t="s">
        <v>877</v>
      </c>
      <c r="J1998" s="2" t="s">
        <v>177</v>
      </c>
      <c r="K1998" t="s">
        <v>18</v>
      </c>
      <c r="L1998" t="str">
        <f>T("9791164798773")</f>
        <v>9791164798773</v>
      </c>
      <c r="M1998" t="str">
        <f>T("")</f>
        <v/>
      </c>
      <c r="N1998" t="s">
        <v>2192</v>
      </c>
    </row>
    <row r="1999" spans="1:14">
      <c r="A1999" s="1">
        <v>46069.994340277779</v>
      </c>
      <c r="B1999">
        <v>385347797</v>
      </c>
      <c r="C1999" s="2" t="s">
        <v>195</v>
      </c>
      <c r="D1999" t="s">
        <v>15</v>
      </c>
      <c r="E1999" s="4">
        <v>700</v>
      </c>
      <c r="F1999" s="2">
        <v>630</v>
      </c>
      <c r="G1999" s="2">
        <v>441</v>
      </c>
      <c r="I1999" s="2" t="s">
        <v>196</v>
      </c>
      <c r="J1999" s="2" t="s">
        <v>197</v>
      </c>
      <c r="K1999" t="s">
        <v>18</v>
      </c>
      <c r="L1999" t="str">
        <f>T("9791172821937")</f>
        <v>9791172821937</v>
      </c>
      <c r="M1999" t="str">
        <f>T("")</f>
        <v/>
      </c>
      <c r="N1999" t="s">
        <v>198</v>
      </c>
    </row>
    <row r="2000" spans="1:14">
      <c r="A2000" s="1">
        <v>46069.99759259259</v>
      </c>
      <c r="B2000">
        <v>386104561</v>
      </c>
      <c r="C2000" s="2" t="s">
        <v>1884</v>
      </c>
      <c r="D2000" t="s">
        <v>15</v>
      </c>
      <c r="E2000" s="5">
        <v>2500</v>
      </c>
      <c r="F2000" s="3">
        <v>2500</v>
      </c>
      <c r="G2000" s="3">
        <v>1750</v>
      </c>
      <c r="I2000" s="2" t="s">
        <v>1885</v>
      </c>
      <c r="J2000" s="2" t="s">
        <v>960</v>
      </c>
      <c r="K2000" t="s">
        <v>18</v>
      </c>
      <c r="L2000" t="str">
        <f>T("")</f>
        <v/>
      </c>
      <c r="M2000" t="str">
        <f>T("G720:N+A378-20260106335.M001")</f>
        <v>G720:N+A378-20260106335.M001</v>
      </c>
      <c r="N2000" t="s">
        <v>1886</v>
      </c>
    </row>
    <row r="2001" spans="1:14">
      <c r="A2001" s="1">
        <v>46069.99759259259</v>
      </c>
      <c r="B2001">
        <v>386104562</v>
      </c>
      <c r="C2001" s="2" t="s">
        <v>2193</v>
      </c>
      <c r="D2001" t="s">
        <v>15</v>
      </c>
      <c r="E2001" s="5">
        <v>2500</v>
      </c>
      <c r="F2001" s="3">
        <v>2500</v>
      </c>
      <c r="G2001" s="3">
        <v>1750</v>
      </c>
      <c r="I2001" s="2" t="s">
        <v>1885</v>
      </c>
      <c r="J2001" s="2" t="s">
        <v>960</v>
      </c>
      <c r="K2001" t="s">
        <v>18</v>
      </c>
      <c r="L2001" t="str">
        <f>T("")</f>
        <v/>
      </c>
      <c r="M2001" t="str">
        <f>T("G720:N+A378-20260106335.M004")</f>
        <v>G720:N+A378-20260106335.M004</v>
      </c>
      <c r="N2001" t="s">
        <v>2194</v>
      </c>
    </row>
    <row r="2002" spans="1:14">
      <c r="A2002" s="1">
        <v>46069.99759259259</v>
      </c>
      <c r="B2002">
        <v>386104566</v>
      </c>
      <c r="C2002" s="2" t="s">
        <v>2195</v>
      </c>
      <c r="D2002" t="s">
        <v>15</v>
      </c>
      <c r="E2002" s="5">
        <v>2500</v>
      </c>
      <c r="F2002" s="3">
        <v>2500</v>
      </c>
      <c r="G2002" s="3">
        <v>1750</v>
      </c>
      <c r="I2002" s="2" t="s">
        <v>1885</v>
      </c>
      <c r="J2002" s="2" t="s">
        <v>960</v>
      </c>
      <c r="K2002" t="s">
        <v>18</v>
      </c>
      <c r="L2002" t="str">
        <f>T("")</f>
        <v/>
      </c>
      <c r="M2002" t="str">
        <f>T("G720:N+A378-20260106335.M002")</f>
        <v>G720:N+A378-20260106335.M002</v>
      </c>
      <c r="N2002" t="s">
        <v>2196</v>
      </c>
    </row>
    <row r="2003" spans="1:14">
      <c r="A2003" s="1">
        <v>46069.99759259259</v>
      </c>
      <c r="B2003">
        <v>386104570</v>
      </c>
      <c r="C2003" s="2" t="s">
        <v>2197</v>
      </c>
      <c r="D2003" t="s">
        <v>15</v>
      </c>
      <c r="E2003" s="5">
        <v>2500</v>
      </c>
      <c r="F2003" s="3">
        <v>2500</v>
      </c>
      <c r="G2003" s="3">
        <v>1750</v>
      </c>
      <c r="I2003" s="2" t="s">
        <v>1885</v>
      </c>
      <c r="J2003" s="2" t="s">
        <v>960</v>
      </c>
      <c r="K2003" t="s">
        <v>18</v>
      </c>
      <c r="L2003" t="str">
        <f>T("")</f>
        <v/>
      </c>
      <c r="M2003" t="str">
        <f>T("G720:N+A378-20260106335.M003")</f>
        <v>G720:N+A378-20260106335.M003</v>
      </c>
      <c r="N2003" t="s">
        <v>2198</v>
      </c>
    </row>
    <row r="2004" spans="1:14">
      <c r="A2004" s="1">
        <v>46069.99759259259</v>
      </c>
      <c r="B2004">
        <v>386104573</v>
      </c>
      <c r="C2004" s="2" t="s">
        <v>2199</v>
      </c>
      <c r="D2004" t="s">
        <v>15</v>
      </c>
      <c r="E2004" s="5">
        <v>2500</v>
      </c>
      <c r="F2004" s="3">
        <v>2500</v>
      </c>
      <c r="G2004" s="3">
        <v>1750</v>
      </c>
      <c r="I2004" s="2" t="s">
        <v>1885</v>
      </c>
      <c r="J2004" s="2" t="s">
        <v>960</v>
      </c>
      <c r="K2004" t="s">
        <v>18</v>
      </c>
      <c r="L2004" t="str">
        <f>T("")</f>
        <v/>
      </c>
      <c r="M2004" t="str">
        <f>T("G720:N+A378-20260106335.M005")</f>
        <v>G720:N+A378-20260106335.M005</v>
      </c>
      <c r="N2004" t="s">
        <v>2200</v>
      </c>
    </row>
    <row r="2005" spans="1:14">
      <c r="A2005" s="1">
        <v>46069.999409722222</v>
      </c>
      <c r="B2005">
        <v>379527588</v>
      </c>
      <c r="C2005" s="2" t="s">
        <v>2201</v>
      </c>
      <c r="D2005" t="s">
        <v>15</v>
      </c>
      <c r="E2005" s="5">
        <v>1000</v>
      </c>
      <c r="F2005" s="3">
        <v>1000</v>
      </c>
      <c r="G2005" s="2">
        <v>700</v>
      </c>
      <c r="I2005" s="2" t="s">
        <v>2202</v>
      </c>
      <c r="J2005" s="2" t="s">
        <v>21</v>
      </c>
      <c r="K2005" t="s">
        <v>18</v>
      </c>
      <c r="L2005" t="str">
        <f>T("9791175581111")</f>
        <v>9791175581111</v>
      </c>
      <c r="M2005" t="str">
        <f t="shared" ref="M2005:M2036" si="85">T("")</f>
        <v/>
      </c>
      <c r="N2005" t="s">
        <v>2203</v>
      </c>
    </row>
    <row r="2006" spans="1:14">
      <c r="A2006" s="1">
        <v>46069.999502314815</v>
      </c>
      <c r="B2006">
        <v>341499933</v>
      </c>
      <c r="C2006" s="2" t="s">
        <v>2204</v>
      </c>
      <c r="D2006" t="s">
        <v>15</v>
      </c>
      <c r="E2006" s="5">
        <v>1000</v>
      </c>
      <c r="F2006" s="3">
        <v>1000</v>
      </c>
      <c r="G2006" s="2">
        <v>700</v>
      </c>
      <c r="I2006" s="2" t="s">
        <v>2205</v>
      </c>
      <c r="J2006" s="2" t="s">
        <v>21</v>
      </c>
      <c r="K2006" t="s">
        <v>18</v>
      </c>
      <c r="L2006" t="str">
        <f>T("9791170896715")</f>
        <v>9791170896715</v>
      </c>
      <c r="M2006" t="str">
        <f t="shared" si="85"/>
        <v/>
      </c>
      <c r="N2006" t="s">
        <v>2206</v>
      </c>
    </row>
    <row r="2007" spans="1:14">
      <c r="A2007" s="1">
        <v>46070.001261574071</v>
      </c>
      <c r="B2007">
        <v>377094239</v>
      </c>
      <c r="C2007" s="2" t="s">
        <v>2207</v>
      </c>
      <c r="D2007" t="s">
        <v>15</v>
      </c>
      <c r="E2007" s="5">
        <v>3400</v>
      </c>
      <c r="F2007" s="3">
        <v>3400</v>
      </c>
      <c r="G2007" s="3">
        <v>2380</v>
      </c>
      <c r="I2007" s="2" t="s">
        <v>183</v>
      </c>
      <c r="J2007" s="2" t="s">
        <v>184</v>
      </c>
      <c r="K2007" t="s">
        <v>18</v>
      </c>
      <c r="L2007" t="str">
        <f>T("9791170965299")</f>
        <v>9791170965299</v>
      </c>
      <c r="M2007" t="str">
        <f t="shared" si="85"/>
        <v/>
      </c>
      <c r="N2007" t="s">
        <v>2208</v>
      </c>
    </row>
    <row r="2008" spans="1:14">
      <c r="A2008" s="1">
        <v>46070.001840277779</v>
      </c>
      <c r="B2008">
        <v>292632670</v>
      </c>
      <c r="C2008" s="2" t="s">
        <v>909</v>
      </c>
      <c r="D2008" t="s">
        <v>15</v>
      </c>
      <c r="E2008" s="5">
        <v>1000</v>
      </c>
      <c r="F2008" s="3">
        <v>1000</v>
      </c>
      <c r="G2008" s="2">
        <v>700</v>
      </c>
      <c r="I2008" s="2" t="s">
        <v>89</v>
      </c>
      <c r="J2008" s="2" t="s">
        <v>21</v>
      </c>
      <c r="K2008" t="s">
        <v>18</v>
      </c>
      <c r="L2008" t="str">
        <f>T("9791167831873")</f>
        <v>9791167831873</v>
      </c>
      <c r="M2008" t="str">
        <f t="shared" si="85"/>
        <v/>
      </c>
    </row>
    <row r="2009" spans="1:14">
      <c r="A2009" s="1">
        <v>46070.004965277774</v>
      </c>
      <c r="B2009">
        <v>277935655</v>
      </c>
      <c r="C2009" s="2" t="s">
        <v>1945</v>
      </c>
      <c r="D2009" t="s">
        <v>15</v>
      </c>
      <c r="E2009" s="4">
        <v>100</v>
      </c>
      <c r="F2009" s="2">
        <v>100</v>
      </c>
      <c r="G2009" s="2">
        <v>70</v>
      </c>
      <c r="I2009" s="2" t="s">
        <v>64</v>
      </c>
      <c r="J2009" s="2" t="s">
        <v>65</v>
      </c>
      <c r="K2009" t="s">
        <v>18</v>
      </c>
      <c r="L2009" t="str">
        <f>T("9791162589724")</f>
        <v>9791162589724</v>
      </c>
      <c r="M2009" t="str">
        <f t="shared" si="85"/>
        <v/>
      </c>
      <c r="N2009" t="s">
        <v>1946</v>
      </c>
    </row>
    <row r="2010" spans="1:14">
      <c r="A2010" s="1">
        <v>46070.005231481482</v>
      </c>
      <c r="B2010">
        <v>382628198</v>
      </c>
      <c r="C2010" s="2" t="s">
        <v>32</v>
      </c>
      <c r="D2010" t="s">
        <v>15</v>
      </c>
      <c r="E2010" s="5">
        <v>1000</v>
      </c>
      <c r="F2010" s="3">
        <v>1000</v>
      </c>
      <c r="G2010" s="2">
        <v>700</v>
      </c>
      <c r="I2010" s="2" t="s">
        <v>28</v>
      </c>
      <c r="J2010" s="2" t="s">
        <v>21</v>
      </c>
      <c r="K2010" t="s">
        <v>18</v>
      </c>
      <c r="L2010" t="str">
        <f>T("9791175581470")</f>
        <v>9791175581470</v>
      </c>
      <c r="M2010" t="str">
        <f t="shared" si="85"/>
        <v/>
      </c>
      <c r="N2010" t="s">
        <v>33</v>
      </c>
    </row>
    <row r="2011" spans="1:14">
      <c r="A2011" s="1">
        <v>46070.014317129629</v>
      </c>
      <c r="B2011">
        <v>370351637</v>
      </c>
      <c r="C2011" s="2" t="s">
        <v>2209</v>
      </c>
      <c r="D2011" t="s">
        <v>15</v>
      </c>
      <c r="E2011" s="5">
        <v>1000</v>
      </c>
      <c r="F2011" s="3">
        <v>1000</v>
      </c>
      <c r="G2011" s="2">
        <v>700</v>
      </c>
      <c r="I2011" s="2" t="s">
        <v>38</v>
      </c>
      <c r="J2011" s="2" t="s">
        <v>55</v>
      </c>
      <c r="K2011" t="s">
        <v>18</v>
      </c>
      <c r="L2011" t="str">
        <f>T("9791173017193")</f>
        <v>9791173017193</v>
      </c>
      <c r="M2011" t="str">
        <f t="shared" si="85"/>
        <v/>
      </c>
      <c r="N2011" t="s">
        <v>2210</v>
      </c>
    </row>
    <row r="2012" spans="1:14">
      <c r="A2012" s="1">
        <v>46070.01971064815</v>
      </c>
      <c r="B2012">
        <v>369306673</v>
      </c>
      <c r="C2012" s="2" t="s">
        <v>1596</v>
      </c>
      <c r="D2012" t="s">
        <v>15</v>
      </c>
      <c r="E2012" s="5">
        <v>1000</v>
      </c>
      <c r="F2012" s="3">
        <v>1000</v>
      </c>
      <c r="G2012" s="2">
        <v>700</v>
      </c>
      <c r="I2012" s="2" t="s">
        <v>166</v>
      </c>
      <c r="J2012" s="2" t="s">
        <v>21</v>
      </c>
      <c r="K2012" t="s">
        <v>18</v>
      </c>
      <c r="L2012" t="str">
        <f>T("9791173016219")</f>
        <v>9791173016219</v>
      </c>
      <c r="M2012" t="str">
        <f t="shared" si="85"/>
        <v/>
      </c>
      <c r="N2012" t="s">
        <v>1597</v>
      </c>
    </row>
    <row r="2013" spans="1:14">
      <c r="A2013" s="1">
        <v>46070.020358796297</v>
      </c>
      <c r="B2013">
        <v>353237597</v>
      </c>
      <c r="C2013" s="2" t="s">
        <v>1591</v>
      </c>
      <c r="D2013" t="s">
        <v>15</v>
      </c>
      <c r="E2013" s="5">
        <v>1000</v>
      </c>
      <c r="F2013" s="3">
        <v>1000</v>
      </c>
      <c r="G2013" s="2">
        <v>700</v>
      </c>
      <c r="I2013" s="2" t="s">
        <v>1592</v>
      </c>
      <c r="J2013" s="2" t="s">
        <v>21</v>
      </c>
      <c r="K2013" t="s">
        <v>18</v>
      </c>
      <c r="L2013" t="str">
        <f>T("9791173010187")</f>
        <v>9791173010187</v>
      </c>
      <c r="M2013" t="str">
        <f t="shared" si="85"/>
        <v/>
      </c>
      <c r="N2013" t="s">
        <v>1593</v>
      </c>
    </row>
    <row r="2014" spans="1:14">
      <c r="A2014" s="1">
        <v>46070.026655092595</v>
      </c>
      <c r="B2014">
        <v>379527576</v>
      </c>
      <c r="C2014" s="2" t="s">
        <v>150</v>
      </c>
      <c r="D2014" t="s">
        <v>15</v>
      </c>
      <c r="E2014" s="5">
        <v>1000</v>
      </c>
      <c r="F2014" s="3">
        <v>1000</v>
      </c>
      <c r="G2014" s="2">
        <v>700</v>
      </c>
      <c r="I2014" s="2" t="s">
        <v>148</v>
      </c>
      <c r="J2014" s="2" t="s">
        <v>21</v>
      </c>
      <c r="K2014" t="s">
        <v>18</v>
      </c>
      <c r="L2014" t="str">
        <f>T("9791175580541")</f>
        <v>9791175580541</v>
      </c>
      <c r="M2014" t="str">
        <f t="shared" si="85"/>
        <v/>
      </c>
      <c r="N2014" t="s">
        <v>151</v>
      </c>
    </row>
    <row r="2015" spans="1:14">
      <c r="A2015" s="1">
        <v>46070.488240740742</v>
      </c>
      <c r="B2015">
        <v>385348456</v>
      </c>
      <c r="C2015" s="2" t="s">
        <v>1023</v>
      </c>
      <c r="D2015" t="s">
        <v>15</v>
      </c>
      <c r="E2015" s="5">
        <v>-4000</v>
      </c>
      <c r="F2015" s="3">
        <v>-3600</v>
      </c>
      <c r="G2015" s="3">
        <v>-2520</v>
      </c>
      <c r="H2015" s="1">
        <v>46070.028831018521</v>
      </c>
      <c r="I2015" s="2" t="s">
        <v>196</v>
      </c>
      <c r="J2015" s="2" t="s">
        <v>197</v>
      </c>
      <c r="K2015" t="s">
        <v>18</v>
      </c>
      <c r="L2015" t="str">
        <f>T("9791172821944")</f>
        <v>9791172821944</v>
      </c>
      <c r="M2015" t="str">
        <f t="shared" si="85"/>
        <v/>
      </c>
    </row>
    <row r="2016" spans="1:14">
      <c r="A2016" s="1">
        <v>46070.028831018521</v>
      </c>
      <c r="B2016">
        <v>385348456</v>
      </c>
      <c r="C2016" s="2" t="s">
        <v>1023</v>
      </c>
      <c r="D2016" t="s">
        <v>15</v>
      </c>
      <c r="E2016" s="5">
        <v>4000</v>
      </c>
      <c r="F2016" s="3">
        <v>3600</v>
      </c>
      <c r="G2016" s="3">
        <v>2520</v>
      </c>
      <c r="I2016" s="2" t="s">
        <v>196</v>
      </c>
      <c r="J2016" s="2" t="s">
        <v>197</v>
      </c>
      <c r="K2016" t="s">
        <v>18</v>
      </c>
      <c r="L2016" t="str">
        <f>T("9791172821944")</f>
        <v>9791172821944</v>
      </c>
      <c r="M2016" t="str">
        <f t="shared" si="85"/>
        <v/>
      </c>
    </row>
    <row r="2017" spans="1:14">
      <c r="A2017" s="1">
        <v>46070.035578703704</v>
      </c>
      <c r="B2017">
        <v>365961958</v>
      </c>
      <c r="C2017" s="2" t="s">
        <v>2211</v>
      </c>
      <c r="D2017" t="s">
        <v>15</v>
      </c>
      <c r="E2017" s="5">
        <v>1000</v>
      </c>
      <c r="F2017" s="3">
        <v>1000</v>
      </c>
      <c r="G2017" s="2">
        <v>700</v>
      </c>
      <c r="I2017" s="2" t="s">
        <v>2188</v>
      </c>
      <c r="J2017" s="2" t="s">
        <v>2189</v>
      </c>
      <c r="K2017" t="s">
        <v>18</v>
      </c>
      <c r="L2017" t="str">
        <f>T("9791189350918")</f>
        <v>9791189350918</v>
      </c>
      <c r="M2017" t="str">
        <f t="shared" si="85"/>
        <v/>
      </c>
      <c r="N2017" t="s">
        <v>2212</v>
      </c>
    </row>
    <row r="2018" spans="1:14">
      <c r="A2018" s="1">
        <v>46070.036539351851</v>
      </c>
      <c r="B2018">
        <v>277935656</v>
      </c>
      <c r="C2018" s="2" t="s">
        <v>2213</v>
      </c>
      <c r="D2018" t="s">
        <v>15</v>
      </c>
      <c r="E2018" s="4">
        <v>100</v>
      </c>
      <c r="F2018" s="2">
        <v>100</v>
      </c>
      <c r="G2018" s="2">
        <v>70</v>
      </c>
      <c r="I2018" s="2" t="s">
        <v>64</v>
      </c>
      <c r="J2018" s="2" t="s">
        <v>65</v>
      </c>
      <c r="K2018" t="s">
        <v>18</v>
      </c>
      <c r="L2018" t="str">
        <f>T("9791162589724")</f>
        <v>9791162589724</v>
      </c>
      <c r="M2018" t="str">
        <f t="shared" si="85"/>
        <v/>
      </c>
      <c r="N2018" t="s">
        <v>2214</v>
      </c>
    </row>
    <row r="2019" spans="1:14">
      <c r="A2019" s="1">
        <v>46070.036539351851</v>
      </c>
      <c r="B2019">
        <v>277935657</v>
      </c>
      <c r="C2019" s="2" t="s">
        <v>1576</v>
      </c>
      <c r="D2019" t="s">
        <v>15</v>
      </c>
      <c r="E2019" s="4">
        <v>100</v>
      </c>
      <c r="F2019" s="2">
        <v>100</v>
      </c>
      <c r="G2019" s="2">
        <v>70</v>
      </c>
      <c r="I2019" s="2" t="s">
        <v>64</v>
      </c>
      <c r="J2019" s="2" t="s">
        <v>65</v>
      </c>
      <c r="K2019" t="s">
        <v>18</v>
      </c>
      <c r="L2019" t="str">
        <f>T("9791162589724")</f>
        <v>9791162589724</v>
      </c>
      <c r="M2019" t="str">
        <f t="shared" si="85"/>
        <v/>
      </c>
      <c r="N2019" t="s">
        <v>1577</v>
      </c>
    </row>
    <row r="2020" spans="1:14">
      <c r="A2020" s="1">
        <v>46070.036539351851</v>
      </c>
      <c r="B2020">
        <v>277935422</v>
      </c>
      <c r="C2020" s="2" t="s">
        <v>2215</v>
      </c>
      <c r="D2020" t="s">
        <v>15</v>
      </c>
      <c r="E2020" s="4">
        <v>100</v>
      </c>
      <c r="F2020" s="2">
        <v>100</v>
      </c>
      <c r="G2020" s="2">
        <v>70</v>
      </c>
      <c r="I2020" s="2" t="s">
        <v>64</v>
      </c>
      <c r="J2020" s="2" t="s">
        <v>65</v>
      </c>
      <c r="K2020" t="s">
        <v>18</v>
      </c>
      <c r="L2020" t="str">
        <f>T("9791162589724")</f>
        <v>9791162589724</v>
      </c>
      <c r="M2020" t="str">
        <f t="shared" si="85"/>
        <v/>
      </c>
      <c r="N2020" t="s">
        <v>2216</v>
      </c>
    </row>
    <row r="2021" spans="1:14">
      <c r="A2021" s="1">
        <v>46070.036539351851</v>
      </c>
      <c r="B2021">
        <v>277935595</v>
      </c>
      <c r="C2021" s="2" t="s">
        <v>1790</v>
      </c>
      <c r="D2021" t="s">
        <v>15</v>
      </c>
      <c r="E2021" s="4">
        <v>100</v>
      </c>
      <c r="F2021" s="2">
        <v>100</v>
      </c>
      <c r="G2021" s="2">
        <v>70</v>
      </c>
      <c r="I2021" s="2" t="s">
        <v>64</v>
      </c>
      <c r="J2021" s="2" t="s">
        <v>65</v>
      </c>
      <c r="K2021" t="s">
        <v>18</v>
      </c>
      <c r="L2021" t="str">
        <f>T("9791162589724")</f>
        <v>9791162589724</v>
      </c>
      <c r="M2021" t="str">
        <f t="shared" si="85"/>
        <v/>
      </c>
      <c r="N2021" t="s">
        <v>1791</v>
      </c>
    </row>
    <row r="2022" spans="1:14">
      <c r="A2022" s="1">
        <v>46070.036539351851</v>
      </c>
      <c r="B2022">
        <v>277935546</v>
      </c>
      <c r="C2022" s="2" t="s">
        <v>1568</v>
      </c>
      <c r="D2022" t="s">
        <v>15</v>
      </c>
      <c r="E2022" s="4">
        <v>100</v>
      </c>
      <c r="F2022" s="2">
        <v>100</v>
      </c>
      <c r="G2022" s="2">
        <v>70</v>
      </c>
      <c r="I2022" s="2" t="s">
        <v>64</v>
      </c>
      <c r="J2022" s="2" t="s">
        <v>65</v>
      </c>
      <c r="K2022" t="s">
        <v>18</v>
      </c>
      <c r="L2022" t="str">
        <f>T("9791162589724")</f>
        <v>9791162589724</v>
      </c>
      <c r="M2022" t="str">
        <f t="shared" si="85"/>
        <v/>
      </c>
      <c r="N2022" t="s">
        <v>1569</v>
      </c>
    </row>
    <row r="2023" spans="1:14">
      <c r="A2023" s="1">
        <v>46070.043773148151</v>
      </c>
      <c r="B2023">
        <v>331217793</v>
      </c>
      <c r="C2023" s="2" t="s">
        <v>988</v>
      </c>
      <c r="D2023" t="s">
        <v>15</v>
      </c>
      <c r="E2023" s="5">
        <v>11760</v>
      </c>
      <c r="F2023" s="3">
        <v>11760</v>
      </c>
      <c r="G2023" s="3">
        <v>8232</v>
      </c>
      <c r="I2023" s="2" t="s">
        <v>989</v>
      </c>
      <c r="J2023" s="2" t="s">
        <v>184</v>
      </c>
      <c r="K2023" t="s">
        <v>18</v>
      </c>
      <c r="L2023" t="str">
        <f>T("9791170960843")</f>
        <v>9791170960843</v>
      </c>
      <c r="M2023" t="str">
        <f t="shared" si="85"/>
        <v/>
      </c>
      <c r="N2023" t="s">
        <v>990</v>
      </c>
    </row>
    <row r="2024" spans="1:14">
      <c r="A2024" s="1">
        <v>46070.050462962965</v>
      </c>
      <c r="B2024">
        <v>280128844</v>
      </c>
      <c r="C2024" s="2" t="s">
        <v>1850</v>
      </c>
      <c r="D2024" t="s">
        <v>15</v>
      </c>
      <c r="E2024" s="4">
        <v>100</v>
      </c>
      <c r="F2024" s="2">
        <v>100</v>
      </c>
      <c r="G2024" s="2">
        <v>70</v>
      </c>
      <c r="I2024" s="2" t="s">
        <v>64</v>
      </c>
      <c r="J2024" s="2" t="s">
        <v>65</v>
      </c>
      <c r="K2024" t="s">
        <v>18</v>
      </c>
      <c r="L2024" t="str">
        <f>T("9791162589724")</f>
        <v>9791162589724</v>
      </c>
      <c r="M2024" t="str">
        <f t="shared" si="85"/>
        <v/>
      </c>
      <c r="N2024" t="s">
        <v>1851</v>
      </c>
    </row>
    <row r="2025" spans="1:14">
      <c r="A2025" s="1">
        <v>46070.050462962965</v>
      </c>
      <c r="B2025">
        <v>280128845</v>
      </c>
      <c r="C2025" s="2" t="s">
        <v>1842</v>
      </c>
      <c r="D2025" t="s">
        <v>15</v>
      </c>
      <c r="E2025" s="4">
        <v>100</v>
      </c>
      <c r="F2025" s="2">
        <v>100</v>
      </c>
      <c r="G2025" s="2">
        <v>70</v>
      </c>
      <c r="I2025" s="2" t="s">
        <v>64</v>
      </c>
      <c r="J2025" s="2" t="s">
        <v>65</v>
      </c>
      <c r="K2025" t="s">
        <v>18</v>
      </c>
      <c r="L2025" t="str">
        <f>T("9791162589724")</f>
        <v>9791162589724</v>
      </c>
      <c r="M2025" t="str">
        <f t="shared" si="85"/>
        <v/>
      </c>
      <c r="N2025" t="s">
        <v>1843</v>
      </c>
    </row>
    <row r="2026" spans="1:14">
      <c r="A2026" s="1">
        <v>46070.050462962965</v>
      </c>
      <c r="B2026">
        <v>279768848</v>
      </c>
      <c r="C2026" s="2" t="s">
        <v>1844</v>
      </c>
      <c r="D2026" t="s">
        <v>15</v>
      </c>
      <c r="E2026" s="4">
        <v>100</v>
      </c>
      <c r="F2026" s="2">
        <v>100</v>
      </c>
      <c r="G2026" s="2">
        <v>70</v>
      </c>
      <c r="I2026" s="2" t="s">
        <v>64</v>
      </c>
      <c r="J2026" s="2" t="s">
        <v>65</v>
      </c>
      <c r="K2026" t="s">
        <v>18</v>
      </c>
      <c r="L2026" t="str">
        <f>T("9791162589724")</f>
        <v>9791162589724</v>
      </c>
      <c r="M2026" t="str">
        <f t="shared" si="85"/>
        <v/>
      </c>
      <c r="N2026" t="s">
        <v>1845</v>
      </c>
    </row>
    <row r="2027" spans="1:14">
      <c r="A2027" s="1">
        <v>46070.050462962965</v>
      </c>
      <c r="B2027">
        <v>279768850</v>
      </c>
      <c r="C2027" s="2" t="s">
        <v>1840</v>
      </c>
      <c r="D2027" t="s">
        <v>15</v>
      </c>
      <c r="E2027" s="4">
        <v>100</v>
      </c>
      <c r="F2027" s="2">
        <v>100</v>
      </c>
      <c r="G2027" s="2">
        <v>70</v>
      </c>
      <c r="I2027" s="2" t="s">
        <v>64</v>
      </c>
      <c r="J2027" s="2" t="s">
        <v>65</v>
      </c>
      <c r="K2027" t="s">
        <v>18</v>
      </c>
      <c r="L2027" t="str">
        <f>T("9791162589724")</f>
        <v>9791162589724</v>
      </c>
      <c r="M2027" t="str">
        <f t="shared" si="85"/>
        <v/>
      </c>
      <c r="N2027" t="s">
        <v>1841</v>
      </c>
    </row>
    <row r="2028" spans="1:14">
      <c r="A2028" s="1">
        <v>46070.050462962965</v>
      </c>
      <c r="B2028">
        <v>280128843</v>
      </c>
      <c r="C2028" s="2" t="s">
        <v>1848</v>
      </c>
      <c r="D2028" t="s">
        <v>15</v>
      </c>
      <c r="E2028" s="4">
        <v>100</v>
      </c>
      <c r="F2028" s="2">
        <v>100</v>
      </c>
      <c r="G2028" s="2">
        <v>70</v>
      </c>
      <c r="I2028" s="2" t="s">
        <v>64</v>
      </c>
      <c r="J2028" s="2" t="s">
        <v>65</v>
      </c>
      <c r="K2028" t="s">
        <v>18</v>
      </c>
      <c r="L2028" t="str">
        <f>T("9791162589724")</f>
        <v>9791162589724</v>
      </c>
      <c r="M2028" t="str">
        <f t="shared" si="85"/>
        <v/>
      </c>
      <c r="N2028" t="s">
        <v>1849</v>
      </c>
    </row>
    <row r="2029" spans="1:14">
      <c r="A2029" s="1">
        <v>46070.054085648146</v>
      </c>
      <c r="B2029">
        <v>229315688</v>
      </c>
      <c r="C2029" s="2" t="s">
        <v>1326</v>
      </c>
      <c r="D2029" t="s">
        <v>68</v>
      </c>
      <c r="E2029" s="5">
        <v>1200</v>
      </c>
      <c r="F2029" s="3">
        <v>1200</v>
      </c>
      <c r="G2029" s="2">
        <v>840</v>
      </c>
      <c r="I2029" s="2" t="s">
        <v>852</v>
      </c>
      <c r="J2029" s="2" t="s">
        <v>197</v>
      </c>
      <c r="K2029" t="s">
        <v>18</v>
      </c>
      <c r="L2029" t="str">
        <f>T("9791164090976")</f>
        <v>9791164090976</v>
      </c>
      <c r="M2029" t="str">
        <f t="shared" si="85"/>
        <v/>
      </c>
    </row>
    <row r="2030" spans="1:14">
      <c r="A2030" s="1">
        <v>46070.054085648146</v>
      </c>
      <c r="B2030">
        <v>378947390</v>
      </c>
      <c r="C2030" s="2" t="s">
        <v>1104</v>
      </c>
      <c r="D2030" t="s">
        <v>68</v>
      </c>
      <c r="E2030" s="5">
        <v>3360</v>
      </c>
      <c r="F2030" s="3">
        <v>3360</v>
      </c>
      <c r="G2030" s="3">
        <v>2352</v>
      </c>
      <c r="I2030" s="2" t="s">
        <v>1105</v>
      </c>
      <c r="J2030" s="2" t="s">
        <v>197</v>
      </c>
      <c r="K2030" t="s">
        <v>18</v>
      </c>
      <c r="L2030" t="str">
        <f>T("9791172822002")</f>
        <v>9791172822002</v>
      </c>
      <c r="M2030" t="str">
        <f t="shared" si="85"/>
        <v/>
      </c>
    </row>
    <row r="2031" spans="1:14">
      <c r="A2031" s="1">
        <v>46070.054618055554</v>
      </c>
      <c r="B2031">
        <v>277935480</v>
      </c>
      <c r="C2031" s="2" t="s">
        <v>615</v>
      </c>
      <c r="D2031" t="s">
        <v>15</v>
      </c>
      <c r="E2031" s="4">
        <v>100</v>
      </c>
      <c r="F2031" s="2">
        <v>100</v>
      </c>
      <c r="G2031" s="2">
        <v>70</v>
      </c>
      <c r="I2031" s="2" t="s">
        <v>64</v>
      </c>
      <c r="J2031" s="2" t="s">
        <v>65</v>
      </c>
      <c r="K2031" t="s">
        <v>18</v>
      </c>
      <c r="L2031" t="str">
        <f t="shared" ref="L2031:L2040" si="86">T("9791162589724")</f>
        <v>9791162589724</v>
      </c>
      <c r="M2031" t="str">
        <f t="shared" si="85"/>
        <v/>
      </c>
      <c r="N2031" t="s">
        <v>616</v>
      </c>
    </row>
    <row r="2032" spans="1:14">
      <c r="A2032" s="1">
        <v>46070.054618055554</v>
      </c>
      <c r="B2032">
        <v>277935482</v>
      </c>
      <c r="C2032" s="2" t="s">
        <v>617</v>
      </c>
      <c r="D2032" t="s">
        <v>15</v>
      </c>
      <c r="E2032" s="4">
        <v>100</v>
      </c>
      <c r="F2032" s="2">
        <v>100</v>
      </c>
      <c r="G2032" s="2">
        <v>70</v>
      </c>
      <c r="I2032" s="2" t="s">
        <v>64</v>
      </c>
      <c r="J2032" s="2" t="s">
        <v>65</v>
      </c>
      <c r="K2032" t="s">
        <v>18</v>
      </c>
      <c r="L2032" t="str">
        <f t="shared" si="86"/>
        <v>9791162589724</v>
      </c>
      <c r="M2032" t="str">
        <f t="shared" si="85"/>
        <v/>
      </c>
      <c r="N2032" t="s">
        <v>618</v>
      </c>
    </row>
    <row r="2033" spans="1:14">
      <c r="A2033" s="1">
        <v>46070.054618055554</v>
      </c>
      <c r="B2033">
        <v>277935671</v>
      </c>
      <c r="C2033" s="2" t="s">
        <v>603</v>
      </c>
      <c r="D2033" t="s">
        <v>15</v>
      </c>
      <c r="E2033" s="4">
        <v>100</v>
      </c>
      <c r="F2033" s="2">
        <v>100</v>
      </c>
      <c r="G2033" s="2">
        <v>70</v>
      </c>
      <c r="I2033" s="2" t="s">
        <v>64</v>
      </c>
      <c r="J2033" s="2" t="s">
        <v>65</v>
      </c>
      <c r="K2033" t="s">
        <v>18</v>
      </c>
      <c r="L2033" t="str">
        <f t="shared" si="86"/>
        <v>9791162589724</v>
      </c>
      <c r="M2033" t="str">
        <f t="shared" si="85"/>
        <v/>
      </c>
      <c r="N2033" t="s">
        <v>604</v>
      </c>
    </row>
    <row r="2034" spans="1:14">
      <c r="A2034" s="1">
        <v>46070.054618055554</v>
      </c>
      <c r="B2034">
        <v>277935627</v>
      </c>
      <c r="C2034" s="2" t="s">
        <v>619</v>
      </c>
      <c r="D2034" t="s">
        <v>15</v>
      </c>
      <c r="E2034" s="4">
        <v>100</v>
      </c>
      <c r="F2034" s="2">
        <v>100</v>
      </c>
      <c r="G2034" s="2">
        <v>70</v>
      </c>
      <c r="I2034" s="2" t="s">
        <v>64</v>
      </c>
      <c r="J2034" s="2" t="s">
        <v>65</v>
      </c>
      <c r="K2034" t="s">
        <v>18</v>
      </c>
      <c r="L2034" t="str">
        <f t="shared" si="86"/>
        <v>9791162589724</v>
      </c>
      <c r="M2034" t="str">
        <f t="shared" si="85"/>
        <v/>
      </c>
      <c r="N2034" t="s">
        <v>620</v>
      </c>
    </row>
    <row r="2035" spans="1:14">
      <c r="A2035" s="1">
        <v>46070.054618055554</v>
      </c>
      <c r="B2035">
        <v>277935633</v>
      </c>
      <c r="C2035" s="2" t="s">
        <v>599</v>
      </c>
      <c r="D2035" t="s">
        <v>15</v>
      </c>
      <c r="E2035" s="4">
        <v>100</v>
      </c>
      <c r="F2035" s="2">
        <v>100</v>
      </c>
      <c r="G2035" s="2">
        <v>70</v>
      </c>
      <c r="I2035" s="2" t="s">
        <v>64</v>
      </c>
      <c r="J2035" s="2" t="s">
        <v>65</v>
      </c>
      <c r="K2035" t="s">
        <v>18</v>
      </c>
      <c r="L2035" t="str">
        <f t="shared" si="86"/>
        <v>9791162589724</v>
      </c>
      <c r="M2035" t="str">
        <f t="shared" si="85"/>
        <v/>
      </c>
      <c r="N2035" t="s">
        <v>600</v>
      </c>
    </row>
    <row r="2036" spans="1:14">
      <c r="A2036" s="1">
        <v>46070.054618055554</v>
      </c>
      <c r="B2036">
        <v>277935726</v>
      </c>
      <c r="C2036" s="2" t="s">
        <v>611</v>
      </c>
      <c r="D2036" t="s">
        <v>15</v>
      </c>
      <c r="E2036" s="4">
        <v>100</v>
      </c>
      <c r="F2036" s="2">
        <v>100</v>
      </c>
      <c r="G2036" s="2">
        <v>70</v>
      </c>
      <c r="I2036" s="2" t="s">
        <v>64</v>
      </c>
      <c r="J2036" s="2" t="s">
        <v>65</v>
      </c>
      <c r="K2036" t="s">
        <v>18</v>
      </c>
      <c r="L2036" t="str">
        <f t="shared" si="86"/>
        <v>9791162589724</v>
      </c>
      <c r="M2036" t="str">
        <f t="shared" si="85"/>
        <v/>
      </c>
      <c r="N2036" t="s">
        <v>612</v>
      </c>
    </row>
    <row r="2037" spans="1:14">
      <c r="A2037" s="1">
        <v>46070.054618055554</v>
      </c>
      <c r="B2037">
        <v>277935728</v>
      </c>
      <c r="C2037" s="2" t="s">
        <v>613</v>
      </c>
      <c r="D2037" t="s">
        <v>15</v>
      </c>
      <c r="E2037" s="4">
        <v>100</v>
      </c>
      <c r="F2037" s="2">
        <v>100</v>
      </c>
      <c r="G2037" s="2">
        <v>70</v>
      </c>
      <c r="I2037" s="2" t="s">
        <v>64</v>
      </c>
      <c r="J2037" s="2" t="s">
        <v>65</v>
      </c>
      <c r="K2037" t="s">
        <v>18</v>
      </c>
      <c r="L2037" t="str">
        <f t="shared" si="86"/>
        <v>9791162589724</v>
      </c>
      <c r="M2037" t="str">
        <f t="shared" ref="M2037:M2068" si="87">T("")</f>
        <v/>
      </c>
      <c r="N2037" t="s">
        <v>614</v>
      </c>
    </row>
    <row r="2038" spans="1:14">
      <c r="A2038" s="1">
        <v>46070.054618055554</v>
      </c>
      <c r="B2038">
        <v>277935675</v>
      </c>
      <c r="C2038" s="2" t="s">
        <v>605</v>
      </c>
      <c r="D2038" t="s">
        <v>15</v>
      </c>
      <c r="E2038" s="4">
        <v>100</v>
      </c>
      <c r="F2038" s="2">
        <v>100</v>
      </c>
      <c r="G2038" s="2">
        <v>70</v>
      </c>
      <c r="I2038" s="2" t="s">
        <v>64</v>
      </c>
      <c r="J2038" s="2" t="s">
        <v>65</v>
      </c>
      <c r="K2038" t="s">
        <v>18</v>
      </c>
      <c r="L2038" t="str">
        <f t="shared" si="86"/>
        <v>9791162589724</v>
      </c>
      <c r="M2038" t="str">
        <f t="shared" si="87"/>
        <v/>
      </c>
      <c r="N2038" t="s">
        <v>606</v>
      </c>
    </row>
    <row r="2039" spans="1:14">
      <c r="A2039" s="1">
        <v>46070.054618055554</v>
      </c>
      <c r="B2039">
        <v>277935729</v>
      </c>
      <c r="C2039" s="2" t="s">
        <v>621</v>
      </c>
      <c r="D2039" t="s">
        <v>15</v>
      </c>
      <c r="E2039" s="4">
        <v>100</v>
      </c>
      <c r="F2039" s="2">
        <v>100</v>
      </c>
      <c r="G2039" s="2">
        <v>70</v>
      </c>
      <c r="I2039" s="2" t="s">
        <v>64</v>
      </c>
      <c r="J2039" s="2" t="s">
        <v>65</v>
      </c>
      <c r="K2039" t="s">
        <v>18</v>
      </c>
      <c r="L2039" t="str">
        <f t="shared" si="86"/>
        <v>9791162589724</v>
      </c>
      <c r="M2039" t="str">
        <f t="shared" si="87"/>
        <v/>
      </c>
      <c r="N2039" t="s">
        <v>622</v>
      </c>
    </row>
    <row r="2040" spans="1:14">
      <c r="A2040" s="1">
        <v>46070.054618055554</v>
      </c>
      <c r="B2040">
        <v>277935731</v>
      </c>
      <c r="C2040" s="2" t="s">
        <v>623</v>
      </c>
      <c r="D2040" t="s">
        <v>15</v>
      </c>
      <c r="E2040" s="4">
        <v>100</v>
      </c>
      <c r="F2040" s="2">
        <v>100</v>
      </c>
      <c r="G2040" s="2">
        <v>70</v>
      </c>
      <c r="I2040" s="2" t="s">
        <v>64</v>
      </c>
      <c r="J2040" s="2" t="s">
        <v>65</v>
      </c>
      <c r="K2040" t="s">
        <v>18</v>
      </c>
      <c r="L2040" t="str">
        <f t="shared" si="86"/>
        <v>9791162589724</v>
      </c>
      <c r="M2040" t="str">
        <f t="shared" si="87"/>
        <v/>
      </c>
      <c r="N2040" t="s">
        <v>624</v>
      </c>
    </row>
    <row r="2041" spans="1:14">
      <c r="A2041" s="1">
        <v>46070.063761574071</v>
      </c>
      <c r="B2041">
        <v>377093867</v>
      </c>
      <c r="C2041" s="2" t="s">
        <v>2217</v>
      </c>
      <c r="D2041" t="s">
        <v>15</v>
      </c>
      <c r="E2041" s="5">
        <v>1000</v>
      </c>
      <c r="F2041" s="3">
        <v>1000</v>
      </c>
      <c r="G2041" s="2">
        <v>700</v>
      </c>
      <c r="I2041" s="2" t="s">
        <v>1105</v>
      </c>
      <c r="J2041" s="2" t="s">
        <v>197</v>
      </c>
      <c r="K2041" t="s">
        <v>18</v>
      </c>
      <c r="L2041" t="str">
        <f>T("9791172821982")</f>
        <v>9791172821982</v>
      </c>
      <c r="M2041" t="str">
        <f t="shared" si="87"/>
        <v/>
      </c>
      <c r="N2041" t="s">
        <v>2218</v>
      </c>
    </row>
    <row r="2042" spans="1:14">
      <c r="A2042" s="1">
        <v>46070.072465277779</v>
      </c>
      <c r="B2042">
        <v>283913970</v>
      </c>
      <c r="C2042" s="2" t="s">
        <v>2219</v>
      </c>
      <c r="D2042" t="s">
        <v>15</v>
      </c>
      <c r="E2042" s="5">
        <v>3000</v>
      </c>
      <c r="F2042" s="3">
        <v>3000</v>
      </c>
      <c r="G2042" s="3">
        <v>2100</v>
      </c>
      <c r="I2042" s="2" t="s">
        <v>2220</v>
      </c>
      <c r="J2042" s="2" t="s">
        <v>184</v>
      </c>
      <c r="K2042" t="s">
        <v>18</v>
      </c>
      <c r="L2042" t="str">
        <f>T("9791164794478")</f>
        <v>9791164794478</v>
      </c>
      <c r="M2042" t="str">
        <f t="shared" si="87"/>
        <v/>
      </c>
      <c r="N2042" t="s">
        <v>2221</v>
      </c>
    </row>
    <row r="2043" spans="1:14">
      <c r="A2043" s="1">
        <v>46070.082777777781</v>
      </c>
      <c r="B2043">
        <v>383435420</v>
      </c>
      <c r="C2043" s="2" t="s">
        <v>2222</v>
      </c>
      <c r="D2043" t="s">
        <v>15</v>
      </c>
      <c r="E2043" s="5">
        <v>1000</v>
      </c>
      <c r="F2043" s="3">
        <v>1000</v>
      </c>
      <c r="G2043" s="2">
        <v>700</v>
      </c>
      <c r="I2043" s="2" t="s">
        <v>296</v>
      </c>
      <c r="J2043" s="2" t="s">
        <v>21</v>
      </c>
      <c r="K2043" t="s">
        <v>18</v>
      </c>
      <c r="L2043" t="str">
        <f>T("9791175582163")</f>
        <v>9791175582163</v>
      </c>
      <c r="M2043" t="str">
        <f t="shared" si="87"/>
        <v/>
      </c>
      <c r="N2043" t="s">
        <v>2223</v>
      </c>
    </row>
    <row r="2044" spans="1:14">
      <c r="A2044" s="1">
        <v>46070.083865740744</v>
      </c>
      <c r="B2044">
        <v>362753625</v>
      </c>
      <c r="C2044" s="2" t="s">
        <v>268</v>
      </c>
      <c r="D2044" t="s">
        <v>15</v>
      </c>
      <c r="E2044" s="5">
        <v>1000</v>
      </c>
      <c r="F2044" s="3">
        <v>1000</v>
      </c>
      <c r="G2044" s="2">
        <v>700</v>
      </c>
      <c r="I2044" s="2" t="s">
        <v>148</v>
      </c>
      <c r="J2044" s="2" t="s">
        <v>21</v>
      </c>
      <c r="K2044" t="s">
        <v>18</v>
      </c>
      <c r="L2044" t="str">
        <f>T("9791173014116")</f>
        <v>9791173014116</v>
      </c>
      <c r="M2044" t="str">
        <f t="shared" si="87"/>
        <v/>
      </c>
      <c r="N2044" t="s">
        <v>269</v>
      </c>
    </row>
    <row r="2045" spans="1:14">
      <c r="A2045" s="1">
        <v>46070.088506944441</v>
      </c>
      <c r="B2045">
        <v>277935743</v>
      </c>
      <c r="C2045" s="2" t="s">
        <v>1095</v>
      </c>
      <c r="D2045" t="s">
        <v>15</v>
      </c>
      <c r="E2045" s="4">
        <v>100</v>
      </c>
      <c r="F2045" s="2">
        <v>100</v>
      </c>
      <c r="G2045" s="2">
        <v>70</v>
      </c>
      <c r="I2045" s="2" t="s">
        <v>64</v>
      </c>
      <c r="J2045" s="2" t="s">
        <v>65</v>
      </c>
      <c r="K2045" t="s">
        <v>18</v>
      </c>
      <c r="L2045" t="str">
        <f t="shared" ref="L2045:L2054" si="88">T("9791162589724")</f>
        <v>9791162589724</v>
      </c>
      <c r="M2045" t="str">
        <f t="shared" si="87"/>
        <v/>
      </c>
      <c r="N2045" t="s">
        <v>1096</v>
      </c>
    </row>
    <row r="2046" spans="1:14">
      <c r="A2046" s="1">
        <v>46070.088506944441</v>
      </c>
      <c r="B2046">
        <v>277935754</v>
      </c>
      <c r="C2046" s="2" t="s">
        <v>1011</v>
      </c>
      <c r="D2046" t="s">
        <v>15</v>
      </c>
      <c r="E2046" s="4">
        <v>100</v>
      </c>
      <c r="F2046" s="2">
        <v>100</v>
      </c>
      <c r="G2046" s="2">
        <v>70</v>
      </c>
      <c r="I2046" s="2" t="s">
        <v>64</v>
      </c>
      <c r="J2046" s="2" t="s">
        <v>65</v>
      </c>
      <c r="K2046" t="s">
        <v>18</v>
      </c>
      <c r="L2046" t="str">
        <f t="shared" si="88"/>
        <v>9791162589724</v>
      </c>
      <c r="M2046" t="str">
        <f t="shared" si="87"/>
        <v/>
      </c>
      <c r="N2046" t="s">
        <v>1012</v>
      </c>
    </row>
    <row r="2047" spans="1:14">
      <c r="A2047" s="1">
        <v>46070.088506944441</v>
      </c>
      <c r="B2047">
        <v>277935750</v>
      </c>
      <c r="C2047" s="2" t="s">
        <v>2031</v>
      </c>
      <c r="D2047" t="s">
        <v>15</v>
      </c>
      <c r="E2047" s="4">
        <v>100</v>
      </c>
      <c r="F2047" s="2">
        <v>100</v>
      </c>
      <c r="G2047" s="2">
        <v>70</v>
      </c>
      <c r="I2047" s="2" t="s">
        <v>64</v>
      </c>
      <c r="J2047" s="2" t="s">
        <v>65</v>
      </c>
      <c r="K2047" t="s">
        <v>18</v>
      </c>
      <c r="L2047" t="str">
        <f t="shared" si="88"/>
        <v>9791162589724</v>
      </c>
      <c r="M2047" t="str">
        <f t="shared" si="87"/>
        <v/>
      </c>
      <c r="N2047" t="s">
        <v>2032</v>
      </c>
    </row>
    <row r="2048" spans="1:14">
      <c r="A2048" s="1">
        <v>46070.088506944441</v>
      </c>
      <c r="B2048">
        <v>277935744</v>
      </c>
      <c r="C2048" s="2" t="s">
        <v>2033</v>
      </c>
      <c r="D2048" t="s">
        <v>15</v>
      </c>
      <c r="E2048" s="4">
        <v>100</v>
      </c>
      <c r="F2048" s="2">
        <v>100</v>
      </c>
      <c r="G2048" s="2">
        <v>70</v>
      </c>
      <c r="I2048" s="2" t="s">
        <v>64</v>
      </c>
      <c r="J2048" s="2" t="s">
        <v>65</v>
      </c>
      <c r="K2048" t="s">
        <v>18</v>
      </c>
      <c r="L2048" t="str">
        <f t="shared" si="88"/>
        <v>9791162589724</v>
      </c>
      <c r="M2048" t="str">
        <f t="shared" si="87"/>
        <v/>
      </c>
      <c r="N2048" t="s">
        <v>2034</v>
      </c>
    </row>
    <row r="2049" spans="1:14">
      <c r="A2049" s="1">
        <v>46070.088506944441</v>
      </c>
      <c r="B2049">
        <v>277935689</v>
      </c>
      <c r="C2049" s="2" t="s">
        <v>1441</v>
      </c>
      <c r="D2049" t="s">
        <v>15</v>
      </c>
      <c r="E2049" s="4">
        <v>100</v>
      </c>
      <c r="F2049" s="2">
        <v>100</v>
      </c>
      <c r="G2049" s="2">
        <v>70</v>
      </c>
      <c r="I2049" s="2" t="s">
        <v>64</v>
      </c>
      <c r="J2049" s="2" t="s">
        <v>65</v>
      </c>
      <c r="K2049" t="s">
        <v>18</v>
      </c>
      <c r="L2049" t="str">
        <f t="shared" si="88"/>
        <v>9791162589724</v>
      </c>
      <c r="M2049" t="str">
        <f t="shared" si="87"/>
        <v/>
      </c>
      <c r="N2049" t="s">
        <v>1442</v>
      </c>
    </row>
    <row r="2050" spans="1:14">
      <c r="A2050" s="1">
        <v>46070.088506944441</v>
      </c>
      <c r="B2050">
        <v>277935693</v>
      </c>
      <c r="C2050" s="2" t="s">
        <v>2021</v>
      </c>
      <c r="D2050" t="s">
        <v>15</v>
      </c>
      <c r="E2050" s="4">
        <v>100</v>
      </c>
      <c r="F2050" s="2">
        <v>100</v>
      </c>
      <c r="G2050" s="2">
        <v>70</v>
      </c>
      <c r="I2050" s="2" t="s">
        <v>64</v>
      </c>
      <c r="J2050" s="2" t="s">
        <v>65</v>
      </c>
      <c r="K2050" t="s">
        <v>18</v>
      </c>
      <c r="L2050" t="str">
        <f t="shared" si="88"/>
        <v>9791162589724</v>
      </c>
      <c r="M2050" t="str">
        <f t="shared" si="87"/>
        <v/>
      </c>
      <c r="N2050" t="s">
        <v>2022</v>
      </c>
    </row>
    <row r="2051" spans="1:14">
      <c r="A2051" s="1">
        <v>46070.088506944441</v>
      </c>
      <c r="B2051">
        <v>277935650</v>
      </c>
      <c r="C2051" s="2" t="s">
        <v>2023</v>
      </c>
      <c r="D2051" t="s">
        <v>15</v>
      </c>
      <c r="E2051" s="4">
        <v>100</v>
      </c>
      <c r="F2051" s="2">
        <v>100</v>
      </c>
      <c r="G2051" s="2">
        <v>70</v>
      </c>
      <c r="I2051" s="2" t="s">
        <v>64</v>
      </c>
      <c r="J2051" s="2" t="s">
        <v>65</v>
      </c>
      <c r="K2051" t="s">
        <v>18</v>
      </c>
      <c r="L2051" t="str">
        <f t="shared" si="88"/>
        <v>9791162589724</v>
      </c>
      <c r="M2051" t="str">
        <f t="shared" si="87"/>
        <v/>
      </c>
      <c r="N2051" t="s">
        <v>2024</v>
      </c>
    </row>
    <row r="2052" spans="1:14">
      <c r="A2052" s="1">
        <v>46070.088506944441</v>
      </c>
      <c r="B2052">
        <v>277935645</v>
      </c>
      <c r="C2052" s="2" t="s">
        <v>1439</v>
      </c>
      <c r="D2052" t="s">
        <v>15</v>
      </c>
      <c r="E2052" s="4">
        <v>100</v>
      </c>
      <c r="F2052" s="2">
        <v>100</v>
      </c>
      <c r="G2052" s="2">
        <v>70</v>
      </c>
      <c r="I2052" s="2" t="s">
        <v>64</v>
      </c>
      <c r="J2052" s="2" t="s">
        <v>65</v>
      </c>
      <c r="K2052" t="s">
        <v>18</v>
      </c>
      <c r="L2052" t="str">
        <f t="shared" si="88"/>
        <v>9791162589724</v>
      </c>
      <c r="M2052" t="str">
        <f t="shared" si="87"/>
        <v/>
      </c>
      <c r="N2052" t="s">
        <v>1440</v>
      </c>
    </row>
    <row r="2053" spans="1:14">
      <c r="A2053" s="1">
        <v>46070.088506944441</v>
      </c>
      <c r="B2053">
        <v>277935487</v>
      </c>
      <c r="C2053" s="2" t="s">
        <v>1443</v>
      </c>
      <c r="D2053" t="s">
        <v>15</v>
      </c>
      <c r="E2053" s="4">
        <v>100</v>
      </c>
      <c r="F2053" s="2">
        <v>100</v>
      </c>
      <c r="G2053" s="2">
        <v>70</v>
      </c>
      <c r="I2053" s="2" t="s">
        <v>64</v>
      </c>
      <c r="J2053" s="2" t="s">
        <v>65</v>
      </c>
      <c r="K2053" t="s">
        <v>18</v>
      </c>
      <c r="L2053" t="str">
        <f t="shared" si="88"/>
        <v>9791162589724</v>
      </c>
      <c r="M2053" t="str">
        <f t="shared" si="87"/>
        <v/>
      </c>
      <c r="N2053" t="s">
        <v>1444</v>
      </c>
    </row>
    <row r="2054" spans="1:14">
      <c r="A2054" s="1">
        <v>46070.088506944441</v>
      </c>
      <c r="B2054">
        <v>277935489</v>
      </c>
      <c r="C2054" s="2" t="s">
        <v>2025</v>
      </c>
      <c r="D2054" t="s">
        <v>15</v>
      </c>
      <c r="E2054" s="4">
        <v>100</v>
      </c>
      <c r="F2054" s="2">
        <v>100</v>
      </c>
      <c r="G2054" s="2">
        <v>70</v>
      </c>
      <c r="I2054" s="2" t="s">
        <v>64</v>
      </c>
      <c r="J2054" s="2" t="s">
        <v>65</v>
      </c>
      <c r="K2054" t="s">
        <v>18</v>
      </c>
      <c r="L2054" t="str">
        <f t="shared" si="88"/>
        <v>9791162589724</v>
      </c>
      <c r="M2054" t="str">
        <f t="shared" si="87"/>
        <v/>
      </c>
      <c r="N2054" t="s">
        <v>2026</v>
      </c>
    </row>
    <row r="2055" spans="1:14">
      <c r="A2055" s="1">
        <v>46070.098715277774</v>
      </c>
      <c r="B2055">
        <v>324195709</v>
      </c>
      <c r="C2055" s="2" t="s">
        <v>2224</v>
      </c>
      <c r="D2055" t="s">
        <v>15</v>
      </c>
      <c r="E2055" s="5">
        <v>1000</v>
      </c>
      <c r="F2055" s="3">
        <v>1000</v>
      </c>
      <c r="G2055" s="2">
        <v>700</v>
      </c>
      <c r="I2055" s="2" t="s">
        <v>465</v>
      </c>
      <c r="J2055" s="2" t="s">
        <v>21</v>
      </c>
      <c r="K2055" t="s">
        <v>18</v>
      </c>
      <c r="L2055" t="str">
        <f>T("9791170890539")</f>
        <v>9791170890539</v>
      </c>
      <c r="M2055" t="str">
        <f t="shared" si="87"/>
        <v/>
      </c>
      <c r="N2055" t="s">
        <v>2225</v>
      </c>
    </row>
    <row r="2056" spans="1:14">
      <c r="A2056" s="1">
        <v>46070.098912037036</v>
      </c>
      <c r="B2056">
        <v>386057128</v>
      </c>
      <c r="C2056" s="2" t="s">
        <v>1797</v>
      </c>
      <c r="D2056" t="s">
        <v>15</v>
      </c>
      <c r="E2056" s="5">
        <v>16800</v>
      </c>
      <c r="F2056" s="3">
        <v>16800</v>
      </c>
      <c r="G2056" s="3">
        <v>11760</v>
      </c>
      <c r="I2056" s="2" t="s">
        <v>540</v>
      </c>
      <c r="J2056" s="2" t="s">
        <v>197</v>
      </c>
      <c r="K2056" t="s">
        <v>18</v>
      </c>
      <c r="L2056" t="str">
        <f>T("9791164098934")</f>
        <v>9791164098934</v>
      </c>
      <c r="M2056" t="str">
        <f t="shared" si="87"/>
        <v/>
      </c>
    </row>
    <row r="2057" spans="1:14">
      <c r="A2057" s="1">
        <v>46070.125011574077</v>
      </c>
      <c r="B2057">
        <v>302552125</v>
      </c>
      <c r="C2057" s="2" t="s">
        <v>1960</v>
      </c>
      <c r="D2057" t="s">
        <v>15</v>
      </c>
      <c r="E2057" s="5">
        <v>1500</v>
      </c>
      <c r="F2057" s="3">
        <v>1500</v>
      </c>
      <c r="G2057" s="3">
        <v>1050</v>
      </c>
      <c r="I2057" s="2" t="s">
        <v>266</v>
      </c>
      <c r="J2057" s="2" t="s">
        <v>126</v>
      </c>
      <c r="K2057" t="s">
        <v>18</v>
      </c>
      <c r="L2057" t="str">
        <f>T("9791164977703")</f>
        <v>9791164977703</v>
      </c>
      <c r="M2057" t="str">
        <f t="shared" si="87"/>
        <v/>
      </c>
      <c r="N2057" t="s">
        <v>1961</v>
      </c>
    </row>
    <row r="2058" spans="1:14">
      <c r="A2058" s="1">
        <v>46070.16510416667</v>
      </c>
      <c r="B2058">
        <v>277935730</v>
      </c>
      <c r="C2058" s="2" t="s">
        <v>1765</v>
      </c>
      <c r="D2058" t="s">
        <v>15</v>
      </c>
      <c r="E2058" s="4">
        <v>100</v>
      </c>
      <c r="F2058" s="2">
        <v>100</v>
      </c>
      <c r="G2058" s="2">
        <v>70</v>
      </c>
      <c r="I2058" s="2" t="s">
        <v>64</v>
      </c>
      <c r="J2058" s="2" t="s">
        <v>65</v>
      </c>
      <c r="K2058" t="s">
        <v>18</v>
      </c>
      <c r="L2058" t="str">
        <f t="shared" ref="L2058:L2077" si="89">T("9791162589724")</f>
        <v>9791162589724</v>
      </c>
      <c r="M2058" t="str">
        <f t="shared" si="87"/>
        <v/>
      </c>
      <c r="N2058" t="s">
        <v>1766</v>
      </c>
    </row>
    <row r="2059" spans="1:14">
      <c r="A2059" s="1">
        <v>46070.16510416667</v>
      </c>
      <c r="B2059">
        <v>277935767</v>
      </c>
      <c r="C2059" s="2" t="s">
        <v>1761</v>
      </c>
      <c r="D2059" t="s">
        <v>15</v>
      </c>
      <c r="E2059" s="4">
        <v>100</v>
      </c>
      <c r="F2059" s="2">
        <v>100</v>
      </c>
      <c r="G2059" s="2">
        <v>70</v>
      </c>
      <c r="I2059" s="2" t="s">
        <v>64</v>
      </c>
      <c r="J2059" s="2" t="s">
        <v>65</v>
      </c>
      <c r="K2059" t="s">
        <v>18</v>
      </c>
      <c r="L2059" t="str">
        <f t="shared" si="89"/>
        <v>9791162589724</v>
      </c>
      <c r="M2059" t="str">
        <f t="shared" si="87"/>
        <v/>
      </c>
      <c r="N2059" t="s">
        <v>1762</v>
      </c>
    </row>
    <row r="2060" spans="1:14">
      <c r="A2060" s="1">
        <v>46070.16510416667</v>
      </c>
      <c r="B2060">
        <v>277935763</v>
      </c>
      <c r="C2060" s="2" t="s">
        <v>1759</v>
      </c>
      <c r="D2060" t="s">
        <v>15</v>
      </c>
      <c r="E2060" s="4">
        <v>100</v>
      </c>
      <c r="F2060" s="2">
        <v>100</v>
      </c>
      <c r="G2060" s="2">
        <v>70</v>
      </c>
      <c r="I2060" s="2" t="s">
        <v>64</v>
      </c>
      <c r="J2060" s="2" t="s">
        <v>65</v>
      </c>
      <c r="K2060" t="s">
        <v>18</v>
      </c>
      <c r="L2060" t="str">
        <f t="shared" si="89"/>
        <v>9791162589724</v>
      </c>
      <c r="M2060" t="str">
        <f t="shared" si="87"/>
        <v/>
      </c>
      <c r="N2060" t="s">
        <v>1760</v>
      </c>
    </row>
    <row r="2061" spans="1:14">
      <c r="A2061" s="1">
        <v>46070.16510416667</v>
      </c>
      <c r="B2061">
        <v>277935814</v>
      </c>
      <c r="C2061" s="2" t="s">
        <v>1751</v>
      </c>
      <c r="D2061" t="s">
        <v>15</v>
      </c>
      <c r="E2061" s="4">
        <v>100</v>
      </c>
      <c r="F2061" s="2">
        <v>100</v>
      </c>
      <c r="G2061" s="2">
        <v>70</v>
      </c>
      <c r="I2061" s="2" t="s">
        <v>64</v>
      </c>
      <c r="J2061" s="2" t="s">
        <v>65</v>
      </c>
      <c r="K2061" t="s">
        <v>18</v>
      </c>
      <c r="L2061" t="str">
        <f t="shared" si="89"/>
        <v>9791162589724</v>
      </c>
      <c r="M2061" t="str">
        <f t="shared" si="87"/>
        <v/>
      </c>
      <c r="N2061" t="s">
        <v>1752</v>
      </c>
    </row>
    <row r="2062" spans="1:14">
      <c r="A2062" s="1">
        <v>46070.16510416667</v>
      </c>
      <c r="B2062">
        <v>277935816</v>
      </c>
      <c r="C2062" s="2" t="s">
        <v>1753</v>
      </c>
      <c r="D2062" t="s">
        <v>15</v>
      </c>
      <c r="E2062" s="4">
        <v>100</v>
      </c>
      <c r="F2062" s="2">
        <v>100</v>
      </c>
      <c r="G2062" s="2">
        <v>70</v>
      </c>
      <c r="I2062" s="2" t="s">
        <v>64</v>
      </c>
      <c r="J2062" s="2" t="s">
        <v>65</v>
      </c>
      <c r="K2062" t="s">
        <v>18</v>
      </c>
      <c r="L2062" t="str">
        <f t="shared" si="89"/>
        <v>9791162589724</v>
      </c>
      <c r="M2062" t="str">
        <f t="shared" si="87"/>
        <v/>
      </c>
      <c r="N2062" t="s">
        <v>1754</v>
      </c>
    </row>
    <row r="2063" spans="1:14">
      <c r="A2063" s="1">
        <v>46070.16510416667</v>
      </c>
      <c r="B2063">
        <v>277935817</v>
      </c>
      <c r="C2063" s="2" t="s">
        <v>1755</v>
      </c>
      <c r="D2063" t="s">
        <v>15</v>
      </c>
      <c r="E2063" s="4">
        <v>100</v>
      </c>
      <c r="F2063" s="2">
        <v>100</v>
      </c>
      <c r="G2063" s="2">
        <v>70</v>
      </c>
      <c r="I2063" s="2" t="s">
        <v>64</v>
      </c>
      <c r="J2063" s="2" t="s">
        <v>65</v>
      </c>
      <c r="K2063" t="s">
        <v>18</v>
      </c>
      <c r="L2063" t="str">
        <f t="shared" si="89"/>
        <v>9791162589724</v>
      </c>
      <c r="M2063" t="str">
        <f t="shared" si="87"/>
        <v/>
      </c>
      <c r="N2063" t="s">
        <v>1756</v>
      </c>
    </row>
    <row r="2064" spans="1:14">
      <c r="A2064" s="1">
        <v>46070.16510416667</v>
      </c>
      <c r="B2064">
        <v>277935819</v>
      </c>
      <c r="C2064" s="2" t="s">
        <v>1757</v>
      </c>
      <c r="D2064" t="s">
        <v>15</v>
      </c>
      <c r="E2064" s="4">
        <v>100</v>
      </c>
      <c r="F2064" s="2">
        <v>100</v>
      </c>
      <c r="G2064" s="2">
        <v>70</v>
      </c>
      <c r="I2064" s="2" t="s">
        <v>64</v>
      </c>
      <c r="J2064" s="2" t="s">
        <v>65</v>
      </c>
      <c r="K2064" t="s">
        <v>18</v>
      </c>
      <c r="L2064" t="str">
        <f t="shared" si="89"/>
        <v>9791162589724</v>
      </c>
      <c r="M2064" t="str">
        <f t="shared" si="87"/>
        <v/>
      </c>
      <c r="N2064" t="s">
        <v>1758</v>
      </c>
    </row>
    <row r="2065" spans="1:14">
      <c r="A2065" s="1">
        <v>46070.16510416667</v>
      </c>
      <c r="B2065">
        <v>277935534</v>
      </c>
      <c r="C2065" s="2" t="s">
        <v>1769</v>
      </c>
      <c r="D2065" t="s">
        <v>15</v>
      </c>
      <c r="E2065" s="4">
        <v>100</v>
      </c>
      <c r="F2065" s="2">
        <v>100</v>
      </c>
      <c r="G2065" s="2">
        <v>70</v>
      </c>
      <c r="I2065" s="2" t="s">
        <v>64</v>
      </c>
      <c r="J2065" s="2" t="s">
        <v>65</v>
      </c>
      <c r="K2065" t="s">
        <v>18</v>
      </c>
      <c r="L2065" t="str">
        <f t="shared" si="89"/>
        <v>9791162589724</v>
      </c>
      <c r="M2065" t="str">
        <f t="shared" si="87"/>
        <v/>
      </c>
      <c r="N2065" t="s">
        <v>1770</v>
      </c>
    </row>
    <row r="2066" spans="1:14">
      <c r="A2066" s="1">
        <v>46070.16510416667</v>
      </c>
      <c r="B2066">
        <v>277935536</v>
      </c>
      <c r="C2066" s="2" t="s">
        <v>1767</v>
      </c>
      <c r="D2066" t="s">
        <v>15</v>
      </c>
      <c r="E2066" s="4">
        <v>100</v>
      </c>
      <c r="F2066" s="2">
        <v>100</v>
      </c>
      <c r="G2066" s="2">
        <v>70</v>
      </c>
      <c r="I2066" s="2" t="s">
        <v>64</v>
      </c>
      <c r="J2066" s="2" t="s">
        <v>65</v>
      </c>
      <c r="K2066" t="s">
        <v>18</v>
      </c>
      <c r="L2066" t="str">
        <f t="shared" si="89"/>
        <v>9791162589724</v>
      </c>
      <c r="M2066" t="str">
        <f t="shared" si="87"/>
        <v/>
      </c>
      <c r="N2066" t="s">
        <v>1768</v>
      </c>
    </row>
    <row r="2067" spans="1:14">
      <c r="A2067" s="1">
        <v>46070.16510416667</v>
      </c>
      <c r="B2067">
        <v>277935724</v>
      </c>
      <c r="C2067" s="2" t="s">
        <v>1619</v>
      </c>
      <c r="D2067" t="s">
        <v>15</v>
      </c>
      <c r="E2067" s="4">
        <v>100</v>
      </c>
      <c r="F2067" s="2">
        <v>100</v>
      </c>
      <c r="G2067" s="2">
        <v>70</v>
      </c>
      <c r="I2067" s="2" t="s">
        <v>64</v>
      </c>
      <c r="J2067" s="2" t="s">
        <v>65</v>
      </c>
      <c r="K2067" t="s">
        <v>18</v>
      </c>
      <c r="L2067" t="str">
        <f t="shared" si="89"/>
        <v>9791162589724</v>
      </c>
      <c r="M2067" t="str">
        <f t="shared" si="87"/>
        <v/>
      </c>
      <c r="N2067" t="s">
        <v>1620</v>
      </c>
    </row>
    <row r="2068" spans="1:14">
      <c r="A2068" s="1">
        <v>46070.188750000001</v>
      </c>
      <c r="B2068">
        <v>277935624</v>
      </c>
      <c r="C2068" s="2" t="s">
        <v>2226</v>
      </c>
      <c r="D2068" t="s">
        <v>15</v>
      </c>
      <c r="E2068" s="4">
        <v>100</v>
      </c>
      <c r="F2068" s="2">
        <v>100</v>
      </c>
      <c r="G2068" s="2">
        <v>70</v>
      </c>
      <c r="I2068" s="2" t="s">
        <v>64</v>
      </c>
      <c r="J2068" s="2" t="s">
        <v>65</v>
      </c>
      <c r="K2068" t="s">
        <v>18</v>
      </c>
      <c r="L2068" t="str">
        <f t="shared" si="89"/>
        <v>9791162589724</v>
      </c>
      <c r="M2068" t="str">
        <f t="shared" si="87"/>
        <v/>
      </c>
      <c r="N2068" t="s">
        <v>2227</v>
      </c>
    </row>
    <row r="2069" spans="1:14">
      <c r="A2069" s="1">
        <v>46070.188750000001</v>
      </c>
      <c r="B2069">
        <v>277935628</v>
      </c>
      <c r="C2069" s="2" t="s">
        <v>1501</v>
      </c>
      <c r="D2069" t="s">
        <v>15</v>
      </c>
      <c r="E2069" s="4">
        <v>100</v>
      </c>
      <c r="F2069" s="2">
        <v>100</v>
      </c>
      <c r="G2069" s="2">
        <v>70</v>
      </c>
      <c r="I2069" s="2" t="s">
        <v>64</v>
      </c>
      <c r="J2069" s="2" t="s">
        <v>65</v>
      </c>
      <c r="K2069" t="s">
        <v>18</v>
      </c>
      <c r="L2069" t="str">
        <f t="shared" si="89"/>
        <v>9791162589724</v>
      </c>
      <c r="M2069" t="str">
        <f t="shared" ref="M2069:M2087" si="90">T("")</f>
        <v/>
      </c>
      <c r="N2069" t="s">
        <v>1502</v>
      </c>
    </row>
    <row r="2070" spans="1:14">
      <c r="A2070" s="1">
        <v>46070.188750000001</v>
      </c>
      <c r="B2070">
        <v>277935812</v>
      </c>
      <c r="C2070" s="2" t="s">
        <v>1687</v>
      </c>
      <c r="D2070" t="s">
        <v>15</v>
      </c>
      <c r="E2070" s="4">
        <v>100</v>
      </c>
      <c r="F2070" s="2">
        <v>100</v>
      </c>
      <c r="G2070" s="2">
        <v>70</v>
      </c>
      <c r="I2070" s="2" t="s">
        <v>64</v>
      </c>
      <c r="J2070" s="2" t="s">
        <v>65</v>
      </c>
      <c r="K2070" t="s">
        <v>18</v>
      </c>
      <c r="L2070" t="str">
        <f t="shared" si="89"/>
        <v>9791162589724</v>
      </c>
      <c r="M2070" t="str">
        <f t="shared" si="90"/>
        <v/>
      </c>
      <c r="N2070" t="s">
        <v>1688</v>
      </c>
    </row>
    <row r="2071" spans="1:14">
      <c r="A2071" s="1">
        <v>46070.188750000001</v>
      </c>
      <c r="B2071">
        <v>278541283</v>
      </c>
      <c r="C2071" s="2" t="s">
        <v>2228</v>
      </c>
      <c r="D2071" t="s">
        <v>15</v>
      </c>
      <c r="E2071" s="4">
        <v>100</v>
      </c>
      <c r="F2071" s="2">
        <v>100</v>
      </c>
      <c r="G2071" s="2">
        <v>70</v>
      </c>
      <c r="I2071" s="2" t="s">
        <v>64</v>
      </c>
      <c r="J2071" s="2" t="s">
        <v>65</v>
      </c>
      <c r="K2071" t="s">
        <v>18</v>
      </c>
      <c r="L2071" t="str">
        <f t="shared" si="89"/>
        <v>9791162589724</v>
      </c>
      <c r="M2071" t="str">
        <f t="shared" si="90"/>
        <v/>
      </c>
      <c r="N2071" t="s">
        <v>2229</v>
      </c>
    </row>
    <row r="2072" spans="1:14">
      <c r="A2072" s="1">
        <v>46070.188750000001</v>
      </c>
      <c r="B2072">
        <v>278040337</v>
      </c>
      <c r="C2072" s="2" t="s">
        <v>2230</v>
      </c>
      <c r="D2072" t="s">
        <v>15</v>
      </c>
      <c r="E2072" s="4">
        <v>100</v>
      </c>
      <c r="F2072" s="2">
        <v>100</v>
      </c>
      <c r="G2072" s="2">
        <v>70</v>
      </c>
      <c r="I2072" s="2" t="s">
        <v>64</v>
      </c>
      <c r="J2072" s="2" t="s">
        <v>65</v>
      </c>
      <c r="K2072" t="s">
        <v>18</v>
      </c>
      <c r="L2072" t="str">
        <f t="shared" si="89"/>
        <v>9791162589724</v>
      </c>
      <c r="M2072" t="str">
        <f t="shared" si="90"/>
        <v/>
      </c>
      <c r="N2072" t="s">
        <v>2231</v>
      </c>
    </row>
    <row r="2073" spans="1:14">
      <c r="A2073" s="1">
        <v>46070.188750000001</v>
      </c>
      <c r="B2073">
        <v>278040338</v>
      </c>
      <c r="C2073" s="2" t="s">
        <v>2232</v>
      </c>
      <c r="D2073" t="s">
        <v>15</v>
      </c>
      <c r="E2073" s="4">
        <v>100</v>
      </c>
      <c r="F2073" s="2">
        <v>100</v>
      </c>
      <c r="G2073" s="2">
        <v>70</v>
      </c>
      <c r="I2073" s="2" t="s">
        <v>64</v>
      </c>
      <c r="J2073" s="2" t="s">
        <v>65</v>
      </c>
      <c r="K2073" t="s">
        <v>18</v>
      </c>
      <c r="L2073" t="str">
        <f t="shared" si="89"/>
        <v>9791162589724</v>
      </c>
      <c r="M2073" t="str">
        <f t="shared" si="90"/>
        <v/>
      </c>
      <c r="N2073" t="s">
        <v>2233</v>
      </c>
    </row>
    <row r="2074" spans="1:14">
      <c r="A2074" s="1">
        <v>46070.188750000001</v>
      </c>
      <c r="B2074">
        <v>277935869</v>
      </c>
      <c r="C2074" s="2" t="s">
        <v>2234</v>
      </c>
      <c r="D2074" t="s">
        <v>15</v>
      </c>
      <c r="E2074" s="4">
        <v>100</v>
      </c>
      <c r="F2074" s="2">
        <v>100</v>
      </c>
      <c r="G2074" s="2">
        <v>70</v>
      </c>
      <c r="I2074" s="2" t="s">
        <v>64</v>
      </c>
      <c r="J2074" s="2" t="s">
        <v>65</v>
      </c>
      <c r="K2074" t="s">
        <v>18</v>
      </c>
      <c r="L2074" t="str">
        <f t="shared" si="89"/>
        <v>9791162589724</v>
      </c>
      <c r="M2074" t="str">
        <f t="shared" si="90"/>
        <v/>
      </c>
      <c r="N2074" t="s">
        <v>2235</v>
      </c>
    </row>
    <row r="2075" spans="1:14">
      <c r="A2075" s="1">
        <v>46070.188750000001</v>
      </c>
      <c r="B2075">
        <v>277935880</v>
      </c>
      <c r="C2075" s="2" t="s">
        <v>2236</v>
      </c>
      <c r="D2075" t="s">
        <v>15</v>
      </c>
      <c r="E2075" s="4">
        <v>100</v>
      </c>
      <c r="F2075" s="2">
        <v>100</v>
      </c>
      <c r="G2075" s="2">
        <v>70</v>
      </c>
      <c r="I2075" s="2" t="s">
        <v>64</v>
      </c>
      <c r="J2075" s="2" t="s">
        <v>65</v>
      </c>
      <c r="K2075" t="s">
        <v>18</v>
      </c>
      <c r="L2075" t="str">
        <f t="shared" si="89"/>
        <v>9791162589724</v>
      </c>
      <c r="M2075" t="str">
        <f t="shared" si="90"/>
        <v/>
      </c>
      <c r="N2075" t="s">
        <v>2237</v>
      </c>
    </row>
    <row r="2076" spans="1:14">
      <c r="A2076" s="1">
        <v>46070.188750000001</v>
      </c>
      <c r="B2076">
        <v>277935882</v>
      </c>
      <c r="C2076" s="2" t="s">
        <v>1503</v>
      </c>
      <c r="D2076" t="s">
        <v>15</v>
      </c>
      <c r="E2076" s="4">
        <v>100</v>
      </c>
      <c r="F2076" s="2">
        <v>100</v>
      </c>
      <c r="G2076" s="2">
        <v>70</v>
      </c>
      <c r="I2076" s="2" t="s">
        <v>64</v>
      </c>
      <c r="J2076" s="2" t="s">
        <v>65</v>
      </c>
      <c r="K2076" t="s">
        <v>18</v>
      </c>
      <c r="L2076" t="str">
        <f t="shared" si="89"/>
        <v>9791162589724</v>
      </c>
      <c r="M2076" t="str">
        <f t="shared" si="90"/>
        <v/>
      </c>
      <c r="N2076" t="s">
        <v>1504</v>
      </c>
    </row>
    <row r="2077" spans="1:14">
      <c r="A2077" s="1">
        <v>46070.188750000001</v>
      </c>
      <c r="B2077">
        <v>277935865</v>
      </c>
      <c r="C2077" s="2" t="s">
        <v>2238</v>
      </c>
      <c r="D2077" t="s">
        <v>15</v>
      </c>
      <c r="E2077" s="4">
        <v>100</v>
      </c>
      <c r="F2077" s="2">
        <v>100</v>
      </c>
      <c r="G2077" s="2">
        <v>70</v>
      </c>
      <c r="I2077" s="2" t="s">
        <v>64</v>
      </c>
      <c r="J2077" s="2" t="s">
        <v>65</v>
      </c>
      <c r="K2077" t="s">
        <v>18</v>
      </c>
      <c r="L2077" t="str">
        <f t="shared" si="89"/>
        <v>9791162589724</v>
      </c>
      <c r="M2077" t="str">
        <f t="shared" si="90"/>
        <v/>
      </c>
      <c r="N2077" t="s">
        <v>2239</v>
      </c>
    </row>
    <row r="2078" spans="1:14">
      <c r="A2078" s="1">
        <v>46070.200520833336</v>
      </c>
      <c r="B2078">
        <v>283913913</v>
      </c>
      <c r="C2078" s="2" t="s">
        <v>2240</v>
      </c>
      <c r="D2078" t="s">
        <v>15</v>
      </c>
      <c r="E2078" s="5">
        <v>3000</v>
      </c>
      <c r="F2078" s="3">
        <v>3000</v>
      </c>
      <c r="G2078" s="3">
        <v>2100</v>
      </c>
      <c r="I2078" s="2" t="s">
        <v>2220</v>
      </c>
      <c r="J2078" s="2" t="s">
        <v>184</v>
      </c>
      <c r="K2078" t="s">
        <v>18</v>
      </c>
      <c r="L2078" t="str">
        <f>T("9791164794485")</f>
        <v>9791164794485</v>
      </c>
      <c r="M2078" t="str">
        <f t="shared" si="90"/>
        <v/>
      </c>
      <c r="N2078" t="s">
        <v>2241</v>
      </c>
    </row>
    <row r="2079" spans="1:14">
      <c r="A2079" s="1">
        <v>46070.223946759259</v>
      </c>
      <c r="B2079">
        <v>271275616</v>
      </c>
      <c r="C2079" s="2" t="s">
        <v>2149</v>
      </c>
      <c r="D2079" t="s">
        <v>15</v>
      </c>
      <c r="E2079" s="5">
        <v>3000</v>
      </c>
      <c r="F2079" s="3">
        <v>3000</v>
      </c>
      <c r="G2079" s="3">
        <v>2100</v>
      </c>
      <c r="I2079" s="2" t="s">
        <v>540</v>
      </c>
      <c r="J2079" s="2" t="s">
        <v>197</v>
      </c>
      <c r="K2079" t="s">
        <v>18</v>
      </c>
      <c r="L2079" t="str">
        <f>T("9791164094332")</f>
        <v>9791164094332</v>
      </c>
      <c r="M2079" t="str">
        <f t="shared" si="90"/>
        <v/>
      </c>
      <c r="N2079" t="s">
        <v>2150</v>
      </c>
    </row>
    <row r="2080" spans="1:14">
      <c r="A2080" s="1">
        <v>46070.224270833336</v>
      </c>
      <c r="B2080">
        <v>369728477</v>
      </c>
      <c r="C2080" s="2" t="s">
        <v>2143</v>
      </c>
      <c r="D2080" t="s">
        <v>68</v>
      </c>
      <c r="E2080" s="5">
        <v>3200</v>
      </c>
      <c r="F2080" s="3">
        <v>3200</v>
      </c>
      <c r="G2080" s="3">
        <v>2240</v>
      </c>
      <c r="I2080" s="2" t="s">
        <v>2144</v>
      </c>
      <c r="J2080" s="2" t="s">
        <v>308</v>
      </c>
      <c r="K2080" t="s">
        <v>18</v>
      </c>
      <c r="L2080" t="str">
        <f>T("9791194726913")</f>
        <v>9791194726913</v>
      </c>
      <c r="M2080" t="str">
        <f t="shared" si="90"/>
        <v/>
      </c>
    </row>
    <row r="2081" spans="1:14">
      <c r="A2081" s="1">
        <v>46070.257118055553</v>
      </c>
      <c r="B2081">
        <v>283914027</v>
      </c>
      <c r="C2081" s="2" t="s">
        <v>2242</v>
      </c>
      <c r="D2081" t="s">
        <v>15</v>
      </c>
      <c r="E2081" s="5">
        <v>3000</v>
      </c>
      <c r="F2081" s="3">
        <v>3000</v>
      </c>
      <c r="G2081" s="3">
        <v>2100</v>
      </c>
      <c r="I2081" s="2" t="s">
        <v>2220</v>
      </c>
      <c r="J2081" s="2" t="s">
        <v>184</v>
      </c>
      <c r="K2081" t="s">
        <v>18</v>
      </c>
      <c r="L2081" t="str">
        <f>T("9791164794492")</f>
        <v>9791164794492</v>
      </c>
      <c r="M2081" t="str">
        <f t="shared" si="90"/>
        <v/>
      </c>
      <c r="N2081" t="s">
        <v>2243</v>
      </c>
    </row>
    <row r="2082" spans="1:14">
      <c r="A2082" s="1">
        <v>46070.258622685185</v>
      </c>
      <c r="B2082">
        <v>380789530</v>
      </c>
      <c r="C2082" s="2" t="s">
        <v>1854</v>
      </c>
      <c r="D2082" t="s">
        <v>68</v>
      </c>
      <c r="E2082" s="5">
        <v>4640</v>
      </c>
      <c r="F2082" s="3">
        <v>4640</v>
      </c>
      <c r="G2082" s="3">
        <v>3248</v>
      </c>
      <c r="I2082" s="2" t="s">
        <v>1098</v>
      </c>
      <c r="J2082" s="2" t="s">
        <v>126</v>
      </c>
      <c r="K2082" t="s">
        <v>18</v>
      </c>
      <c r="L2082" t="str">
        <f>T("9791171502462")</f>
        <v>9791171502462</v>
      </c>
      <c r="M2082" t="str">
        <f t="shared" si="90"/>
        <v/>
      </c>
    </row>
    <row r="2083" spans="1:14">
      <c r="A2083" s="1">
        <v>46070.284432870372</v>
      </c>
      <c r="B2083">
        <v>297670491</v>
      </c>
      <c r="C2083" s="2" t="s">
        <v>879</v>
      </c>
      <c r="D2083" t="s">
        <v>15</v>
      </c>
      <c r="E2083" s="4">
        <v>0</v>
      </c>
      <c r="F2083" s="2">
        <v>0</v>
      </c>
      <c r="G2083" s="2">
        <v>0</v>
      </c>
      <c r="I2083" s="2" t="s">
        <v>266</v>
      </c>
      <c r="J2083" s="2" t="s">
        <v>126</v>
      </c>
      <c r="K2083" t="s">
        <v>18</v>
      </c>
      <c r="L2083" t="str">
        <f>T("9791164977161")</f>
        <v>9791164977161</v>
      </c>
      <c r="M2083" t="str">
        <f t="shared" si="90"/>
        <v/>
      </c>
      <c r="N2083" t="s">
        <v>880</v>
      </c>
    </row>
    <row r="2084" spans="1:14">
      <c r="A2084" s="1">
        <v>46070.284432870372</v>
      </c>
      <c r="B2084">
        <v>297670505</v>
      </c>
      <c r="C2084" s="2" t="s">
        <v>1212</v>
      </c>
      <c r="D2084" t="s">
        <v>15</v>
      </c>
      <c r="E2084" s="5">
        <v>4000</v>
      </c>
      <c r="F2084" s="3">
        <v>4000</v>
      </c>
      <c r="G2084" s="3">
        <v>2800</v>
      </c>
      <c r="I2084" s="2" t="s">
        <v>266</v>
      </c>
      <c r="J2084" s="2" t="s">
        <v>126</v>
      </c>
      <c r="K2084" t="s">
        <v>18</v>
      </c>
      <c r="L2084" t="str">
        <f>T("9791164977208")</f>
        <v>9791164977208</v>
      </c>
      <c r="M2084" t="str">
        <f t="shared" si="90"/>
        <v/>
      </c>
      <c r="N2084" t="s">
        <v>1213</v>
      </c>
    </row>
    <row r="2085" spans="1:14">
      <c r="A2085" s="1">
        <v>46070.305671296293</v>
      </c>
      <c r="B2085">
        <v>281980495</v>
      </c>
      <c r="C2085" s="2" t="s">
        <v>1598</v>
      </c>
      <c r="D2085" t="s">
        <v>68</v>
      </c>
      <c r="E2085" s="5">
        <v>2250</v>
      </c>
      <c r="F2085" s="3">
        <v>2250</v>
      </c>
      <c r="G2085" s="3">
        <v>1575</v>
      </c>
      <c r="I2085" s="2" t="s">
        <v>1599</v>
      </c>
      <c r="J2085" s="2" t="s">
        <v>197</v>
      </c>
      <c r="K2085" t="s">
        <v>18</v>
      </c>
      <c r="L2085" t="str">
        <f>T("9791164093779")</f>
        <v>9791164093779</v>
      </c>
      <c r="M2085" t="str">
        <f t="shared" si="90"/>
        <v/>
      </c>
    </row>
    <row r="2086" spans="1:14">
      <c r="A2086" s="1">
        <v>46070.308252314811</v>
      </c>
      <c r="B2086">
        <v>314235847</v>
      </c>
      <c r="C2086" s="2" t="s">
        <v>2244</v>
      </c>
      <c r="D2086" t="s">
        <v>15</v>
      </c>
      <c r="E2086" s="5">
        <v>1000</v>
      </c>
      <c r="F2086" s="3">
        <v>1000</v>
      </c>
      <c r="G2086" s="2">
        <v>700</v>
      </c>
      <c r="I2086" s="2" t="s">
        <v>1107</v>
      </c>
      <c r="J2086" s="2" t="s">
        <v>177</v>
      </c>
      <c r="K2086" t="s">
        <v>18</v>
      </c>
      <c r="L2086" t="str">
        <f>T("9791164798834")</f>
        <v>9791164798834</v>
      </c>
      <c r="M2086" t="str">
        <f t="shared" si="90"/>
        <v/>
      </c>
      <c r="N2086" t="s">
        <v>2245</v>
      </c>
    </row>
    <row r="2087" spans="1:14">
      <c r="A2087" s="1">
        <v>46070.322476851848</v>
      </c>
      <c r="B2087">
        <v>295771253</v>
      </c>
      <c r="C2087" s="2" t="s">
        <v>2246</v>
      </c>
      <c r="D2087" t="s">
        <v>15</v>
      </c>
      <c r="E2087" s="5">
        <v>1000</v>
      </c>
      <c r="F2087" s="3">
        <v>1000</v>
      </c>
      <c r="G2087" s="2">
        <v>700</v>
      </c>
      <c r="I2087" s="2" t="s">
        <v>2220</v>
      </c>
      <c r="J2087" s="2" t="s">
        <v>184</v>
      </c>
      <c r="K2087" t="s">
        <v>18</v>
      </c>
      <c r="L2087" t="str">
        <f>T("9791164796199")</f>
        <v>9791164796199</v>
      </c>
      <c r="M2087" t="str">
        <f t="shared" si="90"/>
        <v/>
      </c>
      <c r="N2087" t="s">
        <v>2247</v>
      </c>
    </row>
    <row r="2088" spans="1:14">
      <c r="A2088" s="1">
        <v>46070.374131944445</v>
      </c>
      <c r="B2088">
        <v>385852478</v>
      </c>
      <c r="C2088" s="2" t="s">
        <v>1228</v>
      </c>
      <c r="D2088" t="s">
        <v>68</v>
      </c>
      <c r="E2088" s="4">
        <v>0</v>
      </c>
      <c r="F2088" s="2">
        <v>0</v>
      </c>
      <c r="G2088" s="2">
        <v>0</v>
      </c>
      <c r="I2088" s="2" t="s">
        <v>1229</v>
      </c>
      <c r="J2088" s="2" t="s">
        <v>960</v>
      </c>
      <c r="K2088" t="s">
        <v>18</v>
      </c>
      <c r="L2088" t="str">
        <f>T("")</f>
        <v/>
      </c>
      <c r="M2088" t="str">
        <f>T("G720:N+A378-20260112081.M001")</f>
        <v>G720:N+A378-20260112081.M001</v>
      </c>
      <c r="N2088" t="s">
        <v>1230</v>
      </c>
    </row>
    <row r="2089" spans="1:14">
      <c r="A2089" s="1">
        <v>46070.407048611109</v>
      </c>
      <c r="B2089">
        <v>277935852</v>
      </c>
      <c r="C2089" s="2" t="s">
        <v>2248</v>
      </c>
      <c r="D2089" t="s">
        <v>15</v>
      </c>
      <c r="E2089" s="4">
        <v>100</v>
      </c>
      <c r="F2089" s="2">
        <v>100</v>
      </c>
      <c r="G2089" s="2">
        <v>70</v>
      </c>
      <c r="I2089" s="2" t="s">
        <v>64</v>
      </c>
      <c r="J2089" s="2" t="s">
        <v>65</v>
      </c>
      <c r="K2089" t="s">
        <v>18</v>
      </c>
      <c r="L2089" t="str">
        <f>T("9791162589724")</f>
        <v>9791162589724</v>
      </c>
      <c r="M2089" t="str">
        <f t="shared" ref="M2089:M2120" si="91">T("")</f>
        <v/>
      </c>
      <c r="N2089" t="s">
        <v>2249</v>
      </c>
    </row>
    <row r="2090" spans="1:14">
      <c r="A2090" s="1">
        <v>46070.412662037037</v>
      </c>
      <c r="B2090">
        <v>324263742</v>
      </c>
      <c r="C2090" s="2" t="s">
        <v>1855</v>
      </c>
      <c r="D2090" t="s">
        <v>15</v>
      </c>
      <c r="E2090" s="5">
        <v>1000</v>
      </c>
      <c r="F2090" s="3">
        <v>1000</v>
      </c>
      <c r="G2090" s="2">
        <v>700</v>
      </c>
      <c r="I2090" s="2" t="s">
        <v>44</v>
      </c>
      <c r="J2090" s="2" t="s">
        <v>21</v>
      </c>
      <c r="K2090" t="s">
        <v>18</v>
      </c>
      <c r="L2090" t="str">
        <f>T("9791170890836")</f>
        <v>9791170890836</v>
      </c>
      <c r="M2090" t="str">
        <f t="shared" si="91"/>
        <v/>
      </c>
      <c r="N2090" t="s">
        <v>1856</v>
      </c>
    </row>
    <row r="2091" spans="1:14">
      <c r="A2091" s="1">
        <v>46070.415671296294</v>
      </c>
      <c r="B2091">
        <v>385347812</v>
      </c>
      <c r="C2091" s="2" t="s">
        <v>403</v>
      </c>
      <c r="D2091" t="s">
        <v>15</v>
      </c>
      <c r="E2091" s="5">
        <v>3200</v>
      </c>
      <c r="F2091" s="3">
        <v>3200</v>
      </c>
      <c r="G2091" s="3">
        <v>2240</v>
      </c>
      <c r="I2091" s="2" t="s">
        <v>230</v>
      </c>
      <c r="J2091" s="2" t="s">
        <v>161</v>
      </c>
      <c r="K2091" t="s">
        <v>18</v>
      </c>
      <c r="L2091" t="str">
        <f>T("9791173261114")</f>
        <v>9791173261114</v>
      </c>
      <c r="M2091" t="str">
        <f t="shared" si="91"/>
        <v/>
      </c>
      <c r="N2091" t="s">
        <v>404</v>
      </c>
    </row>
    <row r="2092" spans="1:14">
      <c r="A2092" s="1">
        <v>46070.415671296294</v>
      </c>
      <c r="B2092">
        <v>385347908</v>
      </c>
      <c r="C2092" s="2" t="s">
        <v>393</v>
      </c>
      <c r="D2092" t="s">
        <v>15</v>
      </c>
      <c r="E2092" s="5">
        <v>3200</v>
      </c>
      <c r="F2092" s="3">
        <v>3200</v>
      </c>
      <c r="G2092" s="3">
        <v>2240</v>
      </c>
      <c r="I2092" s="2" t="s">
        <v>230</v>
      </c>
      <c r="J2092" s="2" t="s">
        <v>161</v>
      </c>
      <c r="K2092" t="s">
        <v>18</v>
      </c>
      <c r="L2092" t="str">
        <f>T("9791173261107")</f>
        <v>9791173261107</v>
      </c>
      <c r="M2092" t="str">
        <f t="shared" si="91"/>
        <v/>
      </c>
      <c r="N2092" t="s">
        <v>394</v>
      </c>
    </row>
    <row r="2093" spans="1:14">
      <c r="A2093" s="1">
        <v>46070.415671296294</v>
      </c>
      <c r="B2093">
        <v>385347729</v>
      </c>
      <c r="C2093" s="2" t="s">
        <v>409</v>
      </c>
      <c r="D2093" t="s">
        <v>15</v>
      </c>
      <c r="E2093" s="5">
        <v>3200</v>
      </c>
      <c r="F2093" s="3">
        <v>3200</v>
      </c>
      <c r="G2093" s="3">
        <v>2240</v>
      </c>
      <c r="I2093" s="2" t="s">
        <v>230</v>
      </c>
      <c r="J2093" s="2" t="s">
        <v>161</v>
      </c>
      <c r="K2093" t="s">
        <v>18</v>
      </c>
      <c r="L2093" t="str">
        <f>T("9791173261121")</f>
        <v>9791173261121</v>
      </c>
      <c r="M2093" t="str">
        <f t="shared" si="91"/>
        <v/>
      </c>
      <c r="N2093" t="s">
        <v>410</v>
      </c>
    </row>
    <row r="2094" spans="1:14">
      <c r="A2094" s="1">
        <v>46070.46197916667</v>
      </c>
      <c r="B2094">
        <v>385347797</v>
      </c>
      <c r="C2094" s="2" t="s">
        <v>195</v>
      </c>
      <c r="D2094" t="s">
        <v>15</v>
      </c>
      <c r="E2094" s="4">
        <v>700</v>
      </c>
      <c r="F2094" s="2">
        <v>630</v>
      </c>
      <c r="G2094" s="2">
        <v>441</v>
      </c>
      <c r="I2094" s="2" t="s">
        <v>196</v>
      </c>
      <c r="J2094" s="2" t="s">
        <v>197</v>
      </c>
      <c r="K2094" t="s">
        <v>18</v>
      </c>
      <c r="L2094" t="str">
        <f>T("9791172821937")</f>
        <v>9791172821937</v>
      </c>
      <c r="M2094" t="str">
        <f t="shared" si="91"/>
        <v/>
      </c>
      <c r="N2094" t="s">
        <v>198</v>
      </c>
    </row>
    <row r="2095" spans="1:14">
      <c r="A2095" s="1">
        <v>46070.462187500001</v>
      </c>
      <c r="B2095">
        <v>366699561</v>
      </c>
      <c r="C2095" s="2" t="s">
        <v>156</v>
      </c>
      <c r="D2095" t="s">
        <v>15</v>
      </c>
      <c r="E2095" s="5">
        <v>1100</v>
      </c>
      <c r="F2095" s="3">
        <v>1100</v>
      </c>
      <c r="G2095" s="2">
        <v>770</v>
      </c>
      <c r="I2095" s="2" t="s">
        <v>148</v>
      </c>
      <c r="J2095" s="2" t="s">
        <v>21</v>
      </c>
      <c r="K2095" t="s">
        <v>18</v>
      </c>
      <c r="L2095" t="str">
        <f>T("9791173015137")</f>
        <v>9791173015137</v>
      </c>
      <c r="M2095" t="str">
        <f t="shared" si="91"/>
        <v/>
      </c>
      <c r="N2095" t="s">
        <v>157</v>
      </c>
    </row>
    <row r="2096" spans="1:14">
      <c r="A2096" s="1">
        <v>46070.469641203701</v>
      </c>
      <c r="B2096">
        <v>385347797</v>
      </c>
      <c r="C2096" s="2" t="s">
        <v>195</v>
      </c>
      <c r="D2096" t="s">
        <v>15</v>
      </c>
      <c r="E2096" s="4">
        <v>700</v>
      </c>
      <c r="F2096" s="2">
        <v>630</v>
      </c>
      <c r="G2096" s="2">
        <v>441</v>
      </c>
      <c r="I2096" s="2" t="s">
        <v>196</v>
      </c>
      <c r="J2096" s="2" t="s">
        <v>197</v>
      </c>
      <c r="K2096" t="s">
        <v>18</v>
      </c>
      <c r="L2096" t="str">
        <f>T("9791172821937")</f>
        <v>9791172821937</v>
      </c>
      <c r="M2096" t="str">
        <f t="shared" si="91"/>
        <v/>
      </c>
      <c r="N2096" t="s">
        <v>198</v>
      </c>
    </row>
    <row r="2097" spans="1:14">
      <c r="A2097" s="1">
        <v>46070.472129629627</v>
      </c>
      <c r="B2097">
        <v>348085016</v>
      </c>
      <c r="C2097" s="2" t="s">
        <v>977</v>
      </c>
      <c r="D2097" t="s">
        <v>15</v>
      </c>
      <c r="E2097" s="5">
        <v>2500</v>
      </c>
      <c r="F2097" s="3">
        <v>2500</v>
      </c>
      <c r="G2097" s="3">
        <v>1750</v>
      </c>
      <c r="I2097" s="2" t="s">
        <v>266</v>
      </c>
      <c r="J2097" s="2" t="s">
        <v>126</v>
      </c>
      <c r="K2097" t="s">
        <v>18</v>
      </c>
      <c r="L2097" t="str">
        <f>T("9791171501151")</f>
        <v>9791171501151</v>
      </c>
      <c r="M2097" t="str">
        <f t="shared" si="91"/>
        <v/>
      </c>
      <c r="N2097" t="s">
        <v>978</v>
      </c>
    </row>
    <row r="2098" spans="1:14">
      <c r="A2098" s="1">
        <v>46070.491030092591</v>
      </c>
      <c r="B2098">
        <v>386057128</v>
      </c>
      <c r="C2098" s="2" t="s">
        <v>1797</v>
      </c>
      <c r="D2098" t="s">
        <v>15</v>
      </c>
      <c r="E2098" s="5">
        <v>16800</v>
      </c>
      <c r="F2098" s="3">
        <v>16800</v>
      </c>
      <c r="G2098" s="3">
        <v>11760</v>
      </c>
      <c r="I2098" s="2" t="s">
        <v>540</v>
      </c>
      <c r="J2098" s="2" t="s">
        <v>197</v>
      </c>
      <c r="K2098" t="s">
        <v>18</v>
      </c>
      <c r="L2098" t="str">
        <f>T("9791164098934")</f>
        <v>9791164098934</v>
      </c>
      <c r="M2098" t="str">
        <f t="shared" si="91"/>
        <v/>
      </c>
    </row>
    <row r="2099" spans="1:14">
      <c r="A2099" s="1">
        <v>46070.54792824074</v>
      </c>
      <c r="B2099">
        <v>370130204</v>
      </c>
      <c r="C2099" s="2" t="s">
        <v>982</v>
      </c>
      <c r="D2099" t="s">
        <v>68</v>
      </c>
      <c r="E2099" s="4">
        <v>0</v>
      </c>
      <c r="F2099" s="2">
        <v>0</v>
      </c>
      <c r="G2099" s="2">
        <v>0</v>
      </c>
      <c r="I2099" s="2" t="s">
        <v>244</v>
      </c>
      <c r="J2099" s="2" t="s">
        <v>245</v>
      </c>
      <c r="K2099" t="s">
        <v>18</v>
      </c>
      <c r="L2099" t="str">
        <f>T("9791164489015")</f>
        <v>9791164489015</v>
      </c>
      <c r="M2099" t="str">
        <f t="shared" si="91"/>
        <v/>
      </c>
      <c r="N2099" t="s">
        <v>983</v>
      </c>
    </row>
    <row r="2100" spans="1:14">
      <c r="A2100" s="1">
        <v>46070.558009259257</v>
      </c>
      <c r="B2100">
        <v>372706789</v>
      </c>
      <c r="C2100" s="2" t="s">
        <v>661</v>
      </c>
      <c r="D2100" t="s">
        <v>15</v>
      </c>
      <c r="E2100" s="5">
        <v>1000</v>
      </c>
      <c r="F2100" s="3">
        <v>1000</v>
      </c>
      <c r="G2100" s="2">
        <v>700</v>
      </c>
      <c r="I2100" s="2" t="s">
        <v>659</v>
      </c>
      <c r="J2100" s="2" t="s">
        <v>21</v>
      </c>
      <c r="K2100" t="s">
        <v>18</v>
      </c>
      <c r="L2100" t="str">
        <f>T("9791173018329")</f>
        <v>9791173018329</v>
      </c>
      <c r="M2100" t="str">
        <f t="shared" si="91"/>
        <v/>
      </c>
      <c r="N2100" t="s">
        <v>662</v>
      </c>
    </row>
    <row r="2101" spans="1:14">
      <c r="A2101" s="1">
        <v>46070.559178240743</v>
      </c>
      <c r="B2101">
        <v>277935565</v>
      </c>
      <c r="C2101" s="2" t="s">
        <v>565</v>
      </c>
      <c r="D2101" t="s">
        <v>15</v>
      </c>
      <c r="E2101" s="4">
        <v>100</v>
      </c>
      <c r="F2101" s="2">
        <v>100</v>
      </c>
      <c r="G2101" s="2">
        <v>70</v>
      </c>
      <c r="I2101" s="2" t="s">
        <v>64</v>
      </c>
      <c r="J2101" s="2" t="s">
        <v>65</v>
      </c>
      <c r="K2101" t="s">
        <v>18</v>
      </c>
      <c r="L2101" t="str">
        <f>T("9791162589724")</f>
        <v>9791162589724</v>
      </c>
      <c r="M2101" t="str">
        <f t="shared" si="91"/>
        <v/>
      </c>
      <c r="N2101" t="s">
        <v>566</v>
      </c>
    </row>
    <row r="2102" spans="1:14">
      <c r="A2102" s="1">
        <v>46070.560231481482</v>
      </c>
      <c r="B2102">
        <v>379921095</v>
      </c>
      <c r="C2102" s="2" t="s">
        <v>927</v>
      </c>
      <c r="D2102" t="s">
        <v>15</v>
      </c>
      <c r="E2102" s="5">
        <v>1000</v>
      </c>
      <c r="F2102" s="3">
        <v>1000</v>
      </c>
      <c r="G2102" s="2">
        <v>700</v>
      </c>
      <c r="I2102" s="2" t="s">
        <v>928</v>
      </c>
      <c r="J2102" s="2" t="s">
        <v>21</v>
      </c>
      <c r="K2102" t="s">
        <v>18</v>
      </c>
      <c r="L2102" t="str">
        <f>T("9791175581319")</f>
        <v>9791175581319</v>
      </c>
      <c r="M2102" t="str">
        <f t="shared" si="91"/>
        <v/>
      </c>
      <c r="N2102" t="s">
        <v>929</v>
      </c>
    </row>
    <row r="2103" spans="1:14">
      <c r="A2103" s="1">
        <v>46070.562175925923</v>
      </c>
      <c r="B2103">
        <v>385347715</v>
      </c>
      <c r="C2103" s="2" t="s">
        <v>186</v>
      </c>
      <c r="D2103" t="s">
        <v>15</v>
      </c>
      <c r="E2103" s="5">
        <v>2000</v>
      </c>
      <c r="F2103" s="3">
        <v>1800</v>
      </c>
      <c r="G2103" s="3">
        <v>1260</v>
      </c>
      <c r="I2103" s="2" t="s">
        <v>187</v>
      </c>
      <c r="J2103" s="2" t="s">
        <v>188</v>
      </c>
      <c r="K2103" t="s">
        <v>18</v>
      </c>
      <c r="L2103" t="str">
        <f>T("9791164835362")</f>
        <v>9791164835362</v>
      </c>
      <c r="M2103" t="str">
        <f t="shared" si="91"/>
        <v/>
      </c>
      <c r="N2103" t="s">
        <v>189</v>
      </c>
    </row>
    <row r="2104" spans="1:14">
      <c r="A2104" s="1">
        <v>46070.569930555554</v>
      </c>
      <c r="B2104">
        <v>374549997</v>
      </c>
      <c r="C2104" s="2" t="s">
        <v>658</v>
      </c>
      <c r="D2104" t="s">
        <v>15</v>
      </c>
      <c r="E2104" s="5">
        <v>1000</v>
      </c>
      <c r="F2104" s="3">
        <v>1000</v>
      </c>
      <c r="G2104" s="2">
        <v>700</v>
      </c>
      <c r="I2104" s="2" t="s">
        <v>659</v>
      </c>
      <c r="J2104" s="2" t="s">
        <v>21</v>
      </c>
      <c r="K2104" t="s">
        <v>18</v>
      </c>
      <c r="L2104" t="str">
        <f>T("9791173019715")</f>
        <v>9791173019715</v>
      </c>
      <c r="M2104" t="str">
        <f t="shared" si="91"/>
        <v/>
      </c>
      <c r="N2104" t="s">
        <v>660</v>
      </c>
    </row>
    <row r="2105" spans="1:14">
      <c r="A2105" s="1">
        <v>46070.569930555554</v>
      </c>
      <c r="B2105">
        <v>377161987</v>
      </c>
      <c r="C2105" s="2" t="s">
        <v>663</v>
      </c>
      <c r="D2105" t="s">
        <v>15</v>
      </c>
      <c r="E2105" s="5">
        <v>1000</v>
      </c>
      <c r="F2105" s="3">
        <v>1000</v>
      </c>
      <c r="G2105" s="2">
        <v>700</v>
      </c>
      <c r="I2105" s="2" t="s">
        <v>659</v>
      </c>
      <c r="J2105" s="2" t="s">
        <v>21</v>
      </c>
      <c r="K2105" t="s">
        <v>18</v>
      </c>
      <c r="L2105" t="str">
        <f>T("9791175581265")</f>
        <v>9791175581265</v>
      </c>
      <c r="M2105" t="str">
        <f t="shared" si="91"/>
        <v/>
      </c>
      <c r="N2105" t="s">
        <v>664</v>
      </c>
    </row>
    <row r="2106" spans="1:14">
      <c r="A2106" s="1">
        <v>46070.57371527778</v>
      </c>
      <c r="B2106">
        <v>277935422</v>
      </c>
      <c r="C2106" s="2" t="s">
        <v>2215</v>
      </c>
      <c r="D2106" t="s">
        <v>15</v>
      </c>
      <c r="E2106" s="4">
        <v>100</v>
      </c>
      <c r="F2106" s="2">
        <v>100</v>
      </c>
      <c r="G2106" s="2">
        <v>70</v>
      </c>
      <c r="I2106" s="2" t="s">
        <v>64</v>
      </c>
      <c r="J2106" s="2" t="s">
        <v>65</v>
      </c>
      <c r="K2106" t="s">
        <v>18</v>
      </c>
      <c r="L2106" t="str">
        <f>T("9791162589724")</f>
        <v>9791162589724</v>
      </c>
      <c r="M2106" t="str">
        <f t="shared" si="91"/>
        <v/>
      </c>
      <c r="N2106" t="s">
        <v>2216</v>
      </c>
    </row>
    <row r="2107" spans="1:14">
      <c r="A2107" s="1">
        <v>46070.575046296297</v>
      </c>
      <c r="B2107">
        <v>371345723</v>
      </c>
      <c r="C2107" s="2" t="s">
        <v>525</v>
      </c>
      <c r="D2107" t="s">
        <v>15</v>
      </c>
      <c r="E2107" s="5">
        <v>3300</v>
      </c>
      <c r="F2107" s="3">
        <v>2970</v>
      </c>
      <c r="G2107" s="3">
        <v>2079</v>
      </c>
      <c r="I2107" s="2" t="s">
        <v>196</v>
      </c>
      <c r="J2107" s="2" t="s">
        <v>197</v>
      </c>
      <c r="K2107" t="s">
        <v>18</v>
      </c>
      <c r="L2107" t="str">
        <f>T("9791172821692")</f>
        <v>9791172821692</v>
      </c>
      <c r="M2107" t="str">
        <f t="shared" si="91"/>
        <v/>
      </c>
      <c r="N2107" t="s">
        <v>526</v>
      </c>
    </row>
    <row r="2108" spans="1:14">
      <c r="A2108" s="1">
        <v>46070.638472222221</v>
      </c>
      <c r="B2108">
        <v>371345723</v>
      </c>
      <c r="C2108" s="2" t="s">
        <v>525</v>
      </c>
      <c r="D2108" t="s">
        <v>15</v>
      </c>
      <c r="E2108" s="5">
        <v>-3300</v>
      </c>
      <c r="F2108" s="3">
        <v>-2970</v>
      </c>
      <c r="G2108" s="3">
        <v>-2079</v>
      </c>
      <c r="H2108" s="1">
        <v>46070.575046296297</v>
      </c>
      <c r="I2108" s="2" t="s">
        <v>196</v>
      </c>
      <c r="J2108" s="2" t="s">
        <v>197</v>
      </c>
      <c r="K2108" t="s">
        <v>18</v>
      </c>
      <c r="L2108" t="str">
        <f>T("9791172821692")</f>
        <v>9791172821692</v>
      </c>
      <c r="M2108" t="str">
        <f t="shared" si="91"/>
        <v/>
      </c>
      <c r="N2108" t="s">
        <v>526</v>
      </c>
    </row>
    <row r="2109" spans="1:14">
      <c r="A2109" s="1">
        <v>46070.607488425929</v>
      </c>
      <c r="B2109">
        <v>354902966</v>
      </c>
      <c r="C2109" s="2" t="s">
        <v>2250</v>
      </c>
      <c r="D2109" t="s">
        <v>15</v>
      </c>
      <c r="E2109" s="5">
        <v>1000</v>
      </c>
      <c r="F2109" s="3">
        <v>1000</v>
      </c>
      <c r="G2109" s="2">
        <v>700</v>
      </c>
      <c r="I2109" s="2" t="s">
        <v>2251</v>
      </c>
      <c r="J2109" s="2" t="s">
        <v>21</v>
      </c>
      <c r="K2109" t="s">
        <v>18</v>
      </c>
      <c r="L2109" t="str">
        <f>T("9791173011559")</f>
        <v>9791173011559</v>
      </c>
      <c r="M2109" t="str">
        <f t="shared" si="91"/>
        <v/>
      </c>
      <c r="N2109" t="s">
        <v>2252</v>
      </c>
    </row>
    <row r="2110" spans="1:14">
      <c r="A2110" s="1">
        <v>46070.619675925926</v>
      </c>
      <c r="B2110">
        <v>277935494</v>
      </c>
      <c r="C2110" s="2" t="s">
        <v>2253</v>
      </c>
      <c r="D2110" t="s">
        <v>15</v>
      </c>
      <c r="E2110" s="4">
        <v>100</v>
      </c>
      <c r="F2110" s="2">
        <v>100</v>
      </c>
      <c r="G2110" s="2">
        <v>70</v>
      </c>
      <c r="I2110" s="2" t="s">
        <v>64</v>
      </c>
      <c r="J2110" s="2" t="s">
        <v>65</v>
      </c>
      <c r="K2110" t="s">
        <v>18</v>
      </c>
      <c r="L2110" t="str">
        <f>T("9791162589724")</f>
        <v>9791162589724</v>
      </c>
      <c r="M2110" t="str">
        <f t="shared" si="91"/>
        <v/>
      </c>
      <c r="N2110" t="s">
        <v>2254</v>
      </c>
    </row>
    <row r="2111" spans="1:14">
      <c r="A2111" s="1">
        <v>46070.619675925926</v>
      </c>
      <c r="B2111">
        <v>277935701</v>
      </c>
      <c r="C2111" s="2" t="s">
        <v>2255</v>
      </c>
      <c r="D2111" t="s">
        <v>15</v>
      </c>
      <c r="E2111" s="4">
        <v>100</v>
      </c>
      <c r="F2111" s="2">
        <v>100</v>
      </c>
      <c r="G2111" s="2">
        <v>70</v>
      </c>
      <c r="I2111" s="2" t="s">
        <v>64</v>
      </c>
      <c r="J2111" s="2" t="s">
        <v>65</v>
      </c>
      <c r="K2111" t="s">
        <v>18</v>
      </c>
      <c r="L2111" t="str">
        <f>T("9791162589724")</f>
        <v>9791162589724</v>
      </c>
      <c r="M2111" t="str">
        <f t="shared" si="91"/>
        <v/>
      </c>
      <c r="N2111" t="s">
        <v>2256</v>
      </c>
    </row>
    <row r="2112" spans="1:14">
      <c r="A2112" s="1">
        <v>46070.619675925926</v>
      </c>
      <c r="B2112">
        <v>277935659</v>
      </c>
      <c r="C2112" s="2" t="s">
        <v>2257</v>
      </c>
      <c r="D2112" t="s">
        <v>15</v>
      </c>
      <c r="E2112" s="4">
        <v>100</v>
      </c>
      <c r="F2112" s="2">
        <v>100</v>
      </c>
      <c r="G2112" s="2">
        <v>70</v>
      </c>
      <c r="I2112" s="2" t="s">
        <v>64</v>
      </c>
      <c r="J2112" s="2" t="s">
        <v>65</v>
      </c>
      <c r="K2112" t="s">
        <v>18</v>
      </c>
      <c r="L2112" t="str">
        <f>T("9791162589724")</f>
        <v>9791162589724</v>
      </c>
      <c r="M2112" t="str">
        <f t="shared" si="91"/>
        <v/>
      </c>
      <c r="N2112" t="s">
        <v>2258</v>
      </c>
    </row>
    <row r="2113" spans="1:14">
      <c r="A2113" s="1">
        <v>46070.619675925926</v>
      </c>
      <c r="B2113">
        <v>277935756</v>
      </c>
      <c r="C2113" s="2" t="s">
        <v>2259</v>
      </c>
      <c r="D2113" t="s">
        <v>15</v>
      </c>
      <c r="E2113" s="4">
        <v>100</v>
      </c>
      <c r="F2113" s="2">
        <v>100</v>
      </c>
      <c r="G2113" s="2">
        <v>70</v>
      </c>
      <c r="I2113" s="2" t="s">
        <v>64</v>
      </c>
      <c r="J2113" s="2" t="s">
        <v>65</v>
      </c>
      <c r="K2113" t="s">
        <v>18</v>
      </c>
      <c r="L2113" t="str">
        <f>T("9791162589724")</f>
        <v>9791162589724</v>
      </c>
      <c r="M2113" t="str">
        <f t="shared" si="91"/>
        <v/>
      </c>
      <c r="N2113" t="s">
        <v>2260</v>
      </c>
    </row>
    <row r="2114" spans="1:14">
      <c r="A2114" s="1">
        <v>46070.619675925926</v>
      </c>
      <c r="B2114">
        <v>277935758</v>
      </c>
      <c r="C2114" s="2" t="s">
        <v>2261</v>
      </c>
      <c r="D2114" t="s">
        <v>15</v>
      </c>
      <c r="E2114" s="4">
        <v>100</v>
      </c>
      <c r="F2114" s="2">
        <v>100</v>
      </c>
      <c r="G2114" s="2">
        <v>70</v>
      </c>
      <c r="I2114" s="2" t="s">
        <v>64</v>
      </c>
      <c r="J2114" s="2" t="s">
        <v>65</v>
      </c>
      <c r="K2114" t="s">
        <v>18</v>
      </c>
      <c r="L2114" t="str">
        <f>T("9791162589724")</f>
        <v>9791162589724</v>
      </c>
      <c r="M2114" t="str">
        <f t="shared" si="91"/>
        <v/>
      </c>
      <c r="N2114" t="s">
        <v>2262</v>
      </c>
    </row>
    <row r="2115" spans="1:14">
      <c r="A2115" s="1">
        <v>46070.6328587963</v>
      </c>
      <c r="B2115">
        <v>382626185</v>
      </c>
      <c r="C2115" s="2" t="s">
        <v>34</v>
      </c>
      <c r="D2115" t="s">
        <v>15</v>
      </c>
      <c r="E2115" s="5">
        <v>1000</v>
      </c>
      <c r="F2115" s="3">
        <v>1000</v>
      </c>
      <c r="G2115" s="2">
        <v>700</v>
      </c>
      <c r="I2115" s="2" t="s">
        <v>28</v>
      </c>
      <c r="J2115" s="2" t="s">
        <v>21</v>
      </c>
      <c r="K2115" t="s">
        <v>18</v>
      </c>
      <c r="L2115" t="str">
        <f>T("9791175581463")</f>
        <v>9791175581463</v>
      </c>
      <c r="M2115" t="str">
        <f t="shared" si="91"/>
        <v/>
      </c>
      <c r="N2115" t="s">
        <v>35</v>
      </c>
    </row>
    <row r="2116" spans="1:14">
      <c r="A2116" s="1">
        <v>46070.6328587963</v>
      </c>
      <c r="B2116">
        <v>383435421</v>
      </c>
      <c r="C2116" s="2" t="s">
        <v>27</v>
      </c>
      <c r="D2116" t="s">
        <v>15</v>
      </c>
      <c r="E2116" s="5">
        <v>1000</v>
      </c>
      <c r="F2116" s="3">
        <v>1000</v>
      </c>
      <c r="G2116" s="2">
        <v>700</v>
      </c>
      <c r="I2116" s="2" t="s">
        <v>28</v>
      </c>
      <c r="J2116" s="2" t="s">
        <v>21</v>
      </c>
      <c r="K2116" t="s">
        <v>18</v>
      </c>
      <c r="L2116" t="str">
        <f>T("9791175582361")</f>
        <v>9791175582361</v>
      </c>
      <c r="M2116" t="str">
        <f t="shared" si="91"/>
        <v/>
      </c>
      <c r="N2116" t="s">
        <v>29</v>
      </c>
    </row>
    <row r="2117" spans="1:14">
      <c r="A2117" s="1">
        <v>46070.6328587963</v>
      </c>
      <c r="B2117">
        <v>384598651</v>
      </c>
      <c r="C2117" s="2" t="s">
        <v>696</v>
      </c>
      <c r="D2117" t="s">
        <v>15</v>
      </c>
      <c r="E2117" s="5">
        <v>1000</v>
      </c>
      <c r="F2117" s="3">
        <v>1000</v>
      </c>
      <c r="G2117" s="2">
        <v>700</v>
      </c>
      <c r="I2117" s="2" t="s">
        <v>28</v>
      </c>
      <c r="J2117" s="2" t="s">
        <v>21</v>
      </c>
      <c r="K2117" t="s">
        <v>18</v>
      </c>
      <c r="L2117" t="str">
        <f>T("9791175582422")</f>
        <v>9791175582422</v>
      </c>
      <c r="M2117" t="str">
        <f t="shared" si="91"/>
        <v/>
      </c>
      <c r="N2117" t="s">
        <v>697</v>
      </c>
    </row>
    <row r="2118" spans="1:14">
      <c r="A2118" s="1">
        <v>46070.636828703704</v>
      </c>
      <c r="B2118">
        <v>386057278</v>
      </c>
      <c r="C2118" s="2" t="s">
        <v>1806</v>
      </c>
      <c r="D2118" t="s">
        <v>68</v>
      </c>
      <c r="E2118" s="5">
        <v>5000</v>
      </c>
      <c r="F2118" s="3">
        <v>5000</v>
      </c>
      <c r="G2118" s="3">
        <v>3500</v>
      </c>
      <c r="I2118" s="2" t="s">
        <v>1772</v>
      </c>
      <c r="J2118" s="2" t="s">
        <v>197</v>
      </c>
      <c r="K2118" t="s">
        <v>18</v>
      </c>
      <c r="L2118" t="str">
        <f>T("9791164093281")</f>
        <v>9791164093281</v>
      </c>
      <c r="M2118" t="str">
        <f t="shared" si="91"/>
        <v/>
      </c>
    </row>
    <row r="2119" spans="1:14">
      <c r="A2119" s="1">
        <v>46070.639548611114</v>
      </c>
      <c r="B2119">
        <v>277935834</v>
      </c>
      <c r="C2119" s="2" t="s">
        <v>2263</v>
      </c>
      <c r="D2119" t="s">
        <v>15</v>
      </c>
      <c r="E2119" s="4">
        <v>100</v>
      </c>
      <c r="F2119" s="2">
        <v>100</v>
      </c>
      <c r="G2119" s="2">
        <v>70</v>
      </c>
      <c r="I2119" s="2" t="s">
        <v>64</v>
      </c>
      <c r="J2119" s="2" t="s">
        <v>65</v>
      </c>
      <c r="K2119" t="s">
        <v>18</v>
      </c>
      <c r="L2119" t="str">
        <f>T("9791162589724")</f>
        <v>9791162589724</v>
      </c>
      <c r="M2119" t="str">
        <f t="shared" si="91"/>
        <v/>
      </c>
      <c r="N2119" t="s">
        <v>2264</v>
      </c>
    </row>
    <row r="2120" spans="1:14">
      <c r="A2120" s="1">
        <v>46070.640694444446</v>
      </c>
      <c r="B2120">
        <v>371345723</v>
      </c>
      <c r="C2120" s="2" t="s">
        <v>525</v>
      </c>
      <c r="D2120" t="s">
        <v>68</v>
      </c>
      <c r="E2120" s="5">
        <v>2310</v>
      </c>
      <c r="F2120" s="3">
        <v>2310</v>
      </c>
      <c r="G2120" s="3">
        <v>1617</v>
      </c>
      <c r="I2120" s="2" t="s">
        <v>196</v>
      </c>
      <c r="J2120" s="2" t="s">
        <v>197</v>
      </c>
      <c r="K2120" t="s">
        <v>18</v>
      </c>
      <c r="L2120" t="str">
        <f>T("9791172821692")</f>
        <v>9791172821692</v>
      </c>
      <c r="M2120" t="str">
        <f t="shared" si="91"/>
        <v/>
      </c>
      <c r="N2120" t="s">
        <v>526</v>
      </c>
    </row>
    <row r="2121" spans="1:14">
      <c r="A2121" s="1">
        <v>46070.65724537037</v>
      </c>
      <c r="B2121">
        <v>279024570</v>
      </c>
      <c r="C2121" s="2" t="s">
        <v>1039</v>
      </c>
      <c r="D2121" t="s">
        <v>68</v>
      </c>
      <c r="E2121" s="5">
        <v>2000</v>
      </c>
      <c r="F2121" s="3">
        <v>2000</v>
      </c>
      <c r="G2121" s="3">
        <v>1400</v>
      </c>
      <c r="I2121" s="2" t="s">
        <v>1040</v>
      </c>
      <c r="J2121" s="2" t="s">
        <v>126</v>
      </c>
      <c r="K2121" t="s">
        <v>18</v>
      </c>
      <c r="L2121" t="str">
        <f>T("9791164974047")</f>
        <v>9791164974047</v>
      </c>
      <c r="M2121" t="str">
        <f t="shared" ref="M2121:M2140" si="92">T("")</f>
        <v/>
      </c>
    </row>
    <row r="2122" spans="1:14">
      <c r="A2122" s="1">
        <v>46070.662141203706</v>
      </c>
      <c r="B2122">
        <v>343115259</v>
      </c>
      <c r="C2122" s="2" t="s">
        <v>872</v>
      </c>
      <c r="D2122" t="s">
        <v>15</v>
      </c>
      <c r="E2122" s="5">
        <v>3100</v>
      </c>
      <c r="F2122" s="3">
        <v>3100</v>
      </c>
      <c r="G2122" s="3">
        <v>2170</v>
      </c>
      <c r="I2122" s="2" t="s">
        <v>89</v>
      </c>
      <c r="J2122" s="2" t="s">
        <v>21</v>
      </c>
      <c r="K2122" t="s">
        <v>18</v>
      </c>
      <c r="L2122" t="str">
        <f>T("9791167837769")</f>
        <v>9791167837769</v>
      </c>
      <c r="M2122" t="str">
        <f t="shared" si="92"/>
        <v/>
      </c>
      <c r="N2122" t="s">
        <v>873</v>
      </c>
    </row>
    <row r="2123" spans="1:14">
      <c r="A2123" s="1">
        <v>46070.671550925923</v>
      </c>
      <c r="B2123">
        <v>385782810</v>
      </c>
      <c r="C2123" s="2" t="s">
        <v>1167</v>
      </c>
      <c r="D2123" t="s">
        <v>15</v>
      </c>
      <c r="E2123" s="5">
        <v>2000</v>
      </c>
      <c r="F2123" s="3">
        <v>1800</v>
      </c>
      <c r="G2123" s="3">
        <v>1260</v>
      </c>
      <c r="I2123" s="2" t="s">
        <v>1141</v>
      </c>
      <c r="J2123" s="2" t="s">
        <v>184</v>
      </c>
      <c r="K2123" t="s">
        <v>18</v>
      </c>
      <c r="L2123" t="str">
        <f>T("9791170965671")</f>
        <v>9791170965671</v>
      </c>
      <c r="M2123" t="str">
        <f t="shared" si="92"/>
        <v/>
      </c>
      <c r="N2123" t="s">
        <v>1168</v>
      </c>
    </row>
    <row r="2124" spans="1:14">
      <c r="A2124" s="1">
        <v>46070.672361111108</v>
      </c>
      <c r="B2124">
        <v>367688280</v>
      </c>
      <c r="C2124" s="2" t="s">
        <v>1140</v>
      </c>
      <c r="D2124" t="s">
        <v>15</v>
      </c>
      <c r="E2124" s="5">
        <v>3300</v>
      </c>
      <c r="F2124" s="3">
        <v>2970</v>
      </c>
      <c r="G2124" s="3">
        <v>2079</v>
      </c>
      <c r="I2124" s="2" t="s">
        <v>1141</v>
      </c>
      <c r="J2124" s="2" t="s">
        <v>184</v>
      </c>
      <c r="K2124" t="s">
        <v>18</v>
      </c>
      <c r="L2124" t="str">
        <f>T("9791170964490")</f>
        <v>9791170964490</v>
      </c>
      <c r="M2124" t="str">
        <f t="shared" si="92"/>
        <v/>
      </c>
      <c r="N2124" t="s">
        <v>1142</v>
      </c>
    </row>
    <row r="2125" spans="1:14">
      <c r="A2125" s="1">
        <v>46070.680497685185</v>
      </c>
      <c r="B2125">
        <v>370130308</v>
      </c>
      <c r="C2125" s="2" t="s">
        <v>1055</v>
      </c>
      <c r="D2125" t="s">
        <v>68</v>
      </c>
      <c r="E2125" s="4">
        <v>700</v>
      </c>
      <c r="F2125" s="2">
        <v>700</v>
      </c>
      <c r="G2125" s="2">
        <v>490</v>
      </c>
      <c r="I2125" s="2" t="s">
        <v>244</v>
      </c>
      <c r="J2125" s="2" t="s">
        <v>245</v>
      </c>
      <c r="K2125" t="s">
        <v>18</v>
      </c>
      <c r="L2125" t="str">
        <f>T("9791164489022")</f>
        <v>9791164489022</v>
      </c>
      <c r="M2125" t="str">
        <f t="shared" si="92"/>
        <v/>
      </c>
      <c r="N2125" t="s">
        <v>1056</v>
      </c>
    </row>
    <row r="2126" spans="1:14">
      <c r="A2126" s="1">
        <v>46070.680960648147</v>
      </c>
      <c r="B2126">
        <v>343237067</v>
      </c>
      <c r="C2126" s="2" t="s">
        <v>2265</v>
      </c>
      <c r="D2126" t="s">
        <v>68</v>
      </c>
      <c r="E2126" s="5">
        <v>1500</v>
      </c>
      <c r="F2126" s="3">
        <v>1500</v>
      </c>
      <c r="G2126" s="3">
        <v>1050</v>
      </c>
      <c r="I2126" s="2" t="s">
        <v>852</v>
      </c>
      <c r="J2126" s="2" t="s">
        <v>197</v>
      </c>
      <c r="K2126" t="s">
        <v>18</v>
      </c>
      <c r="L2126" t="str">
        <f>T("9791164098910")</f>
        <v>9791164098910</v>
      </c>
      <c r="M2126" t="str">
        <f t="shared" si="92"/>
        <v/>
      </c>
      <c r="N2126" t="s">
        <v>2266</v>
      </c>
    </row>
    <row r="2127" spans="1:14">
      <c r="A2127" s="1">
        <v>46070.680960648147</v>
      </c>
      <c r="B2127">
        <v>223268465</v>
      </c>
      <c r="C2127" s="2" t="s">
        <v>1859</v>
      </c>
      <c r="D2127" t="s">
        <v>68</v>
      </c>
      <c r="E2127" s="5">
        <v>1200</v>
      </c>
      <c r="F2127" s="3">
        <v>1200</v>
      </c>
      <c r="G2127" s="2">
        <v>840</v>
      </c>
      <c r="I2127" s="2" t="s">
        <v>852</v>
      </c>
      <c r="J2127" s="2" t="s">
        <v>197</v>
      </c>
      <c r="K2127" t="s">
        <v>18</v>
      </c>
      <c r="L2127" t="str">
        <f>T("9791164090822")</f>
        <v>9791164090822</v>
      </c>
      <c r="M2127" t="str">
        <f t="shared" si="92"/>
        <v/>
      </c>
    </row>
    <row r="2128" spans="1:14">
      <c r="A2128" s="1">
        <v>46070.680960648147</v>
      </c>
      <c r="B2128">
        <v>229315688</v>
      </c>
      <c r="C2128" s="2" t="s">
        <v>1326</v>
      </c>
      <c r="D2128" t="s">
        <v>68</v>
      </c>
      <c r="E2128" s="5">
        <v>1200</v>
      </c>
      <c r="F2128" s="3">
        <v>1200</v>
      </c>
      <c r="G2128" s="2">
        <v>840</v>
      </c>
      <c r="I2128" s="2" t="s">
        <v>852</v>
      </c>
      <c r="J2128" s="2" t="s">
        <v>197</v>
      </c>
      <c r="K2128" t="s">
        <v>18</v>
      </c>
      <c r="L2128" t="str">
        <f>T("9791164090976")</f>
        <v>9791164090976</v>
      </c>
      <c r="M2128" t="str">
        <f t="shared" si="92"/>
        <v/>
      </c>
    </row>
    <row r="2129" spans="1:14">
      <c r="A2129" s="1">
        <v>46070.700740740744</v>
      </c>
      <c r="B2129">
        <v>257484956</v>
      </c>
      <c r="C2129" s="2" t="s">
        <v>2267</v>
      </c>
      <c r="D2129" t="s">
        <v>15</v>
      </c>
      <c r="E2129" s="4">
        <v>0</v>
      </c>
      <c r="F2129" s="2">
        <v>0</v>
      </c>
      <c r="G2129" s="2">
        <v>0</v>
      </c>
      <c r="I2129" s="2" t="s">
        <v>1772</v>
      </c>
      <c r="J2129" s="2" t="s">
        <v>197</v>
      </c>
      <c r="K2129" t="s">
        <v>18</v>
      </c>
      <c r="L2129" t="str">
        <f>T("9791164093144")</f>
        <v>9791164093144</v>
      </c>
      <c r="M2129" t="str">
        <f t="shared" si="92"/>
        <v/>
      </c>
      <c r="N2129" t="s">
        <v>2268</v>
      </c>
    </row>
    <row r="2130" spans="1:14">
      <c r="A2130" s="1">
        <v>46070.703553240739</v>
      </c>
      <c r="B2130">
        <v>385852543</v>
      </c>
      <c r="C2130" s="2" t="s">
        <v>1200</v>
      </c>
      <c r="D2130" t="s">
        <v>15</v>
      </c>
      <c r="E2130" s="5">
        <v>3000</v>
      </c>
      <c r="F2130" s="3">
        <v>3000</v>
      </c>
      <c r="G2130" s="3">
        <v>2100</v>
      </c>
      <c r="I2130" s="2" t="s">
        <v>1198</v>
      </c>
      <c r="J2130" s="2" t="s">
        <v>21</v>
      </c>
      <c r="K2130" t="s">
        <v>18</v>
      </c>
      <c r="L2130" t="str">
        <f>T("9791175582941")</f>
        <v>9791175582941</v>
      </c>
      <c r="M2130" t="str">
        <f t="shared" si="92"/>
        <v/>
      </c>
      <c r="N2130" t="s">
        <v>1201</v>
      </c>
    </row>
    <row r="2131" spans="1:14">
      <c r="A2131" s="1">
        <v>46070.730821759258</v>
      </c>
      <c r="B2131">
        <v>325730710</v>
      </c>
      <c r="C2131" s="2" t="s">
        <v>542</v>
      </c>
      <c r="D2131" t="s">
        <v>15</v>
      </c>
      <c r="E2131" s="5">
        <v>3000</v>
      </c>
      <c r="F2131" s="3">
        <v>3000</v>
      </c>
      <c r="G2131" s="3">
        <v>2100</v>
      </c>
      <c r="I2131" s="2" t="s">
        <v>540</v>
      </c>
      <c r="J2131" s="2" t="s">
        <v>197</v>
      </c>
      <c r="K2131" t="s">
        <v>18</v>
      </c>
      <c r="L2131" t="str">
        <f>T("9791164098521")</f>
        <v>9791164098521</v>
      </c>
      <c r="M2131" t="str">
        <f t="shared" si="92"/>
        <v/>
      </c>
      <c r="N2131" t="s">
        <v>543</v>
      </c>
    </row>
    <row r="2132" spans="1:14">
      <c r="A2132" s="1">
        <v>46070.73128472222</v>
      </c>
      <c r="B2132">
        <v>372487356</v>
      </c>
      <c r="C2132" s="2" t="s">
        <v>2269</v>
      </c>
      <c r="D2132" t="s">
        <v>15</v>
      </c>
      <c r="E2132" s="5">
        <v>1000</v>
      </c>
      <c r="F2132" s="3">
        <v>1000</v>
      </c>
      <c r="G2132" s="2">
        <v>700</v>
      </c>
      <c r="I2132" s="2" t="s">
        <v>2270</v>
      </c>
      <c r="J2132" s="2" t="s">
        <v>21</v>
      </c>
      <c r="K2132" t="s">
        <v>18</v>
      </c>
      <c r="L2132" t="str">
        <f>T("9791173017643")</f>
        <v>9791173017643</v>
      </c>
      <c r="M2132" t="str">
        <f t="shared" si="92"/>
        <v/>
      </c>
      <c r="N2132" t="s">
        <v>2271</v>
      </c>
    </row>
    <row r="2133" spans="1:14">
      <c r="A2133" s="1">
        <v>46070.732430555552</v>
      </c>
      <c r="B2133">
        <v>343115258</v>
      </c>
      <c r="C2133" s="2" t="s">
        <v>874</v>
      </c>
      <c r="D2133" t="s">
        <v>15</v>
      </c>
      <c r="E2133" s="5">
        <v>1000</v>
      </c>
      <c r="F2133" s="3">
        <v>1000</v>
      </c>
      <c r="G2133" s="2">
        <v>700</v>
      </c>
      <c r="I2133" s="2" t="s">
        <v>89</v>
      </c>
      <c r="J2133" s="2" t="s">
        <v>21</v>
      </c>
      <c r="K2133" t="s">
        <v>18</v>
      </c>
      <c r="L2133" t="str">
        <f>T("9791167838315")</f>
        <v>9791167838315</v>
      </c>
      <c r="M2133" t="str">
        <f t="shared" si="92"/>
        <v/>
      </c>
      <c r="N2133" t="s">
        <v>875</v>
      </c>
    </row>
    <row r="2134" spans="1:14">
      <c r="A2134" s="1">
        <v>46070.738796296297</v>
      </c>
      <c r="B2134">
        <v>328759043</v>
      </c>
      <c r="C2134" s="2" t="s">
        <v>1537</v>
      </c>
      <c r="D2134" t="s">
        <v>68</v>
      </c>
      <c r="E2134" s="4">
        <v>840</v>
      </c>
      <c r="F2134" s="2">
        <v>840</v>
      </c>
      <c r="G2134" s="2">
        <v>588</v>
      </c>
      <c r="I2134" s="2" t="s">
        <v>852</v>
      </c>
      <c r="J2134" s="2" t="s">
        <v>197</v>
      </c>
      <c r="K2134" t="s">
        <v>18</v>
      </c>
      <c r="L2134" t="str">
        <f>T("9791164099269")</f>
        <v>9791164099269</v>
      </c>
      <c r="M2134" t="str">
        <f t="shared" si="92"/>
        <v/>
      </c>
    </row>
    <row r="2135" spans="1:14">
      <c r="A2135" s="1">
        <v>46070.740347222221</v>
      </c>
      <c r="B2135">
        <v>276483565</v>
      </c>
      <c r="C2135" s="2" t="s">
        <v>1864</v>
      </c>
      <c r="D2135" t="s">
        <v>15</v>
      </c>
      <c r="E2135" s="4">
        <v>0</v>
      </c>
      <c r="F2135" s="2">
        <v>0</v>
      </c>
      <c r="G2135" s="2">
        <v>0</v>
      </c>
      <c r="I2135" s="2" t="s">
        <v>1610</v>
      </c>
      <c r="J2135" s="2" t="s">
        <v>197</v>
      </c>
      <c r="K2135" t="s">
        <v>18</v>
      </c>
      <c r="L2135" t="str">
        <f>T("9791164095322")</f>
        <v>9791164095322</v>
      </c>
      <c r="M2135" t="str">
        <f t="shared" si="92"/>
        <v/>
      </c>
      <c r="N2135" t="s">
        <v>1865</v>
      </c>
    </row>
    <row r="2136" spans="1:14">
      <c r="A2136" s="1">
        <v>46070.740543981483</v>
      </c>
      <c r="B2136">
        <v>257484947</v>
      </c>
      <c r="C2136" s="2" t="s">
        <v>1771</v>
      </c>
      <c r="D2136" t="s">
        <v>15</v>
      </c>
      <c r="E2136" s="4">
        <v>0</v>
      </c>
      <c r="F2136" s="2">
        <v>0</v>
      </c>
      <c r="G2136" s="2">
        <v>0</v>
      </c>
      <c r="I2136" s="2" t="s">
        <v>1772</v>
      </c>
      <c r="J2136" s="2" t="s">
        <v>197</v>
      </c>
      <c r="K2136" t="s">
        <v>18</v>
      </c>
      <c r="L2136" t="str">
        <f>T("9791164093090")</f>
        <v>9791164093090</v>
      </c>
      <c r="M2136" t="str">
        <f t="shared" si="92"/>
        <v/>
      </c>
      <c r="N2136" t="s">
        <v>1773</v>
      </c>
    </row>
    <row r="2137" spans="1:14">
      <c r="A2137" s="1">
        <v>46070.741307870368</v>
      </c>
      <c r="B2137">
        <v>331217793</v>
      </c>
      <c r="C2137" s="2" t="s">
        <v>988</v>
      </c>
      <c r="D2137" t="s">
        <v>15</v>
      </c>
      <c r="E2137" s="5">
        <v>11760</v>
      </c>
      <c r="F2137" s="3">
        <v>11760</v>
      </c>
      <c r="G2137" s="3">
        <v>8232</v>
      </c>
      <c r="I2137" s="2" t="s">
        <v>989</v>
      </c>
      <c r="J2137" s="2" t="s">
        <v>184</v>
      </c>
      <c r="K2137" t="s">
        <v>18</v>
      </c>
      <c r="L2137" t="str">
        <f>T("9791170960843")</f>
        <v>9791170960843</v>
      </c>
      <c r="M2137" t="str">
        <f t="shared" si="92"/>
        <v/>
      </c>
      <c r="N2137" t="s">
        <v>990</v>
      </c>
    </row>
    <row r="2138" spans="1:14">
      <c r="A2138" s="1">
        <v>46070.742071759261</v>
      </c>
      <c r="B2138">
        <v>257484956</v>
      </c>
      <c r="C2138" s="2" t="s">
        <v>2267</v>
      </c>
      <c r="D2138" t="s">
        <v>15</v>
      </c>
      <c r="E2138" s="4">
        <v>0</v>
      </c>
      <c r="F2138" s="2">
        <v>0</v>
      </c>
      <c r="G2138" s="2">
        <v>0</v>
      </c>
      <c r="I2138" s="2" t="s">
        <v>1772</v>
      </c>
      <c r="J2138" s="2" t="s">
        <v>197</v>
      </c>
      <c r="K2138" t="s">
        <v>18</v>
      </c>
      <c r="L2138" t="str">
        <f>T("9791164093144")</f>
        <v>9791164093144</v>
      </c>
      <c r="M2138" t="str">
        <f t="shared" si="92"/>
        <v/>
      </c>
      <c r="N2138" t="s">
        <v>2268</v>
      </c>
    </row>
    <row r="2139" spans="1:14">
      <c r="A2139" s="1">
        <v>46070.773541666669</v>
      </c>
      <c r="B2139">
        <v>277168529</v>
      </c>
      <c r="C2139" s="2" t="s">
        <v>46</v>
      </c>
      <c r="D2139" t="s">
        <v>15</v>
      </c>
      <c r="E2139" s="5">
        <v>1000</v>
      </c>
      <c r="F2139" s="3">
        <v>1000</v>
      </c>
      <c r="G2139" s="2">
        <v>700</v>
      </c>
      <c r="I2139" s="2" t="s">
        <v>44</v>
      </c>
      <c r="J2139" s="2" t="s">
        <v>21</v>
      </c>
      <c r="K2139" t="s">
        <v>18</v>
      </c>
      <c r="L2139" t="str">
        <f>T("9791191337853")</f>
        <v>9791191337853</v>
      </c>
      <c r="M2139" t="str">
        <f t="shared" si="92"/>
        <v/>
      </c>
    </row>
    <row r="2140" spans="1:14">
      <c r="A2140" s="1">
        <v>46070.790659722225</v>
      </c>
      <c r="B2140">
        <v>379527579</v>
      </c>
      <c r="C2140" s="2" t="s">
        <v>1957</v>
      </c>
      <c r="D2140" t="s">
        <v>15</v>
      </c>
      <c r="E2140" s="5">
        <v>1000</v>
      </c>
      <c r="F2140" s="3">
        <v>1000</v>
      </c>
      <c r="G2140" s="2">
        <v>700</v>
      </c>
      <c r="I2140" s="2" t="s">
        <v>1958</v>
      </c>
      <c r="J2140" s="2" t="s">
        <v>21</v>
      </c>
      <c r="K2140" t="s">
        <v>18</v>
      </c>
      <c r="L2140" t="str">
        <f>T("9791175581555")</f>
        <v>9791175581555</v>
      </c>
      <c r="M2140" t="str">
        <f t="shared" si="92"/>
        <v/>
      </c>
      <c r="N2140" t="s">
        <v>1959</v>
      </c>
    </row>
    <row r="2141" spans="1:14">
      <c r="A2141" s="1">
        <v>46070.790671296294</v>
      </c>
      <c r="B2141">
        <v>385852498</v>
      </c>
      <c r="C2141" s="2" t="s">
        <v>1343</v>
      </c>
      <c r="D2141" t="s">
        <v>15</v>
      </c>
      <c r="E2141" s="5">
        <v>2500</v>
      </c>
      <c r="F2141" s="3">
        <v>2500</v>
      </c>
      <c r="G2141" s="3">
        <v>1750</v>
      </c>
      <c r="I2141" s="2" t="s">
        <v>1229</v>
      </c>
      <c r="J2141" s="2" t="s">
        <v>960</v>
      </c>
      <c r="K2141" t="s">
        <v>18</v>
      </c>
      <c r="L2141" t="str">
        <f>T("")</f>
        <v/>
      </c>
      <c r="M2141" t="str">
        <f>T("G720:N+A378-20260112081.M004")</f>
        <v>G720:N+A378-20260112081.M004</v>
      </c>
      <c r="N2141" t="s">
        <v>1344</v>
      </c>
    </row>
    <row r="2142" spans="1:14">
      <c r="A2142" s="1">
        <v>46070.797731481478</v>
      </c>
      <c r="B2142">
        <v>328759043</v>
      </c>
      <c r="C2142" s="2" t="s">
        <v>1537</v>
      </c>
      <c r="D2142" t="s">
        <v>68</v>
      </c>
      <c r="E2142" s="4">
        <v>840</v>
      </c>
      <c r="F2142" s="2">
        <v>840</v>
      </c>
      <c r="G2142" s="2">
        <v>588</v>
      </c>
      <c r="I2142" s="2" t="s">
        <v>852</v>
      </c>
      <c r="J2142" s="2" t="s">
        <v>197</v>
      </c>
      <c r="K2142" t="s">
        <v>18</v>
      </c>
      <c r="L2142" t="str">
        <f>T("9791164099269")</f>
        <v>9791164099269</v>
      </c>
      <c r="M2142" t="str">
        <f t="shared" ref="M2142:M2166" si="93">T("")</f>
        <v/>
      </c>
    </row>
    <row r="2143" spans="1:14">
      <c r="A2143" s="1">
        <v>46070.812037037038</v>
      </c>
      <c r="B2143">
        <v>325730635</v>
      </c>
      <c r="C2143" s="2" t="s">
        <v>2272</v>
      </c>
      <c r="D2143" t="s">
        <v>15</v>
      </c>
      <c r="E2143" s="5">
        <v>1000</v>
      </c>
      <c r="F2143" s="3">
        <v>1000</v>
      </c>
      <c r="G2143" s="2">
        <v>700</v>
      </c>
      <c r="I2143" s="2" t="s">
        <v>2273</v>
      </c>
      <c r="J2143" s="2" t="s">
        <v>21</v>
      </c>
      <c r="K2143" t="s">
        <v>18</v>
      </c>
      <c r="L2143" t="str">
        <f>T("9791167838643")</f>
        <v>9791167838643</v>
      </c>
      <c r="M2143" t="str">
        <f t="shared" si="93"/>
        <v/>
      </c>
      <c r="N2143" t="s">
        <v>2274</v>
      </c>
    </row>
    <row r="2144" spans="1:14">
      <c r="A2144" s="1">
        <v>46070.814398148148</v>
      </c>
      <c r="B2144">
        <v>360694024</v>
      </c>
      <c r="C2144" s="2" t="s">
        <v>1210</v>
      </c>
      <c r="D2144" t="s">
        <v>15</v>
      </c>
      <c r="E2144" s="5">
        <v>1000</v>
      </c>
      <c r="F2144" s="3">
        <v>1000</v>
      </c>
      <c r="G2144" s="2">
        <v>700</v>
      </c>
      <c r="I2144" s="2" t="s">
        <v>148</v>
      </c>
      <c r="J2144" s="2" t="s">
        <v>21</v>
      </c>
      <c r="K2144" t="s">
        <v>18</v>
      </c>
      <c r="L2144" t="str">
        <f>T("9791173013133")</f>
        <v>9791173013133</v>
      </c>
      <c r="M2144" t="str">
        <f t="shared" si="93"/>
        <v/>
      </c>
      <c r="N2144" t="s">
        <v>1211</v>
      </c>
    </row>
    <row r="2145" spans="1:14">
      <c r="A2145" s="1">
        <v>46070.814965277779</v>
      </c>
      <c r="B2145">
        <v>303466893</v>
      </c>
      <c r="C2145" s="2" t="s">
        <v>667</v>
      </c>
      <c r="D2145" t="s">
        <v>15</v>
      </c>
      <c r="E2145" s="5">
        <v>3000</v>
      </c>
      <c r="F2145" s="3">
        <v>2700</v>
      </c>
      <c r="G2145" s="3">
        <v>1890</v>
      </c>
      <c r="I2145" s="2" t="s">
        <v>187</v>
      </c>
      <c r="J2145" s="2" t="s">
        <v>188</v>
      </c>
      <c r="K2145" t="s">
        <v>18</v>
      </c>
      <c r="L2145" t="str">
        <f>T("9791164833559")</f>
        <v>9791164833559</v>
      </c>
      <c r="M2145" t="str">
        <f t="shared" si="93"/>
        <v/>
      </c>
      <c r="N2145" t="s">
        <v>668</v>
      </c>
    </row>
    <row r="2146" spans="1:14">
      <c r="A2146" s="1">
        <v>46070.822025462963</v>
      </c>
      <c r="B2146">
        <v>385347915</v>
      </c>
      <c r="C2146" s="2" t="s">
        <v>395</v>
      </c>
      <c r="D2146" t="s">
        <v>15</v>
      </c>
      <c r="E2146" s="5">
        <v>3200</v>
      </c>
      <c r="F2146" s="3">
        <v>3200</v>
      </c>
      <c r="G2146" s="3">
        <v>2240</v>
      </c>
      <c r="I2146" s="2" t="s">
        <v>230</v>
      </c>
      <c r="J2146" s="2" t="s">
        <v>161</v>
      </c>
      <c r="K2146" t="s">
        <v>18</v>
      </c>
      <c r="L2146" t="str">
        <f>T("9791173261152")</f>
        <v>9791173261152</v>
      </c>
      <c r="M2146" t="str">
        <f t="shared" si="93"/>
        <v/>
      </c>
      <c r="N2146" t="s">
        <v>396</v>
      </c>
    </row>
    <row r="2147" spans="1:14">
      <c r="A2147" s="1">
        <v>46070.822025462963</v>
      </c>
      <c r="B2147">
        <v>385347952</v>
      </c>
      <c r="C2147" s="2" t="s">
        <v>399</v>
      </c>
      <c r="D2147" t="s">
        <v>15</v>
      </c>
      <c r="E2147" s="5">
        <v>3200</v>
      </c>
      <c r="F2147" s="3">
        <v>3200</v>
      </c>
      <c r="G2147" s="3">
        <v>2240</v>
      </c>
      <c r="I2147" s="2" t="s">
        <v>230</v>
      </c>
      <c r="J2147" s="2" t="s">
        <v>161</v>
      </c>
      <c r="K2147" t="s">
        <v>18</v>
      </c>
      <c r="L2147" t="str">
        <f>T("9791173261138")</f>
        <v>9791173261138</v>
      </c>
      <c r="M2147" t="str">
        <f t="shared" si="93"/>
        <v/>
      </c>
      <c r="N2147" t="s">
        <v>400</v>
      </c>
    </row>
    <row r="2148" spans="1:14">
      <c r="A2148" s="1">
        <v>46070.822025462963</v>
      </c>
      <c r="B2148">
        <v>385347775</v>
      </c>
      <c r="C2148" s="2" t="s">
        <v>405</v>
      </c>
      <c r="D2148" t="s">
        <v>15</v>
      </c>
      <c r="E2148" s="5">
        <v>3200</v>
      </c>
      <c r="F2148" s="3">
        <v>3200</v>
      </c>
      <c r="G2148" s="3">
        <v>2240</v>
      </c>
      <c r="I2148" s="2" t="s">
        <v>230</v>
      </c>
      <c r="J2148" s="2" t="s">
        <v>161</v>
      </c>
      <c r="K2148" t="s">
        <v>18</v>
      </c>
      <c r="L2148" t="str">
        <f>T("9791173261145")</f>
        <v>9791173261145</v>
      </c>
      <c r="M2148" t="str">
        <f t="shared" si="93"/>
        <v/>
      </c>
      <c r="N2148" t="s">
        <v>406</v>
      </c>
    </row>
    <row r="2149" spans="1:14">
      <c r="A2149" s="1">
        <v>46070.832071759258</v>
      </c>
      <c r="B2149">
        <v>315985822</v>
      </c>
      <c r="C2149" s="2" t="s">
        <v>2275</v>
      </c>
      <c r="D2149" t="s">
        <v>15</v>
      </c>
      <c r="E2149" s="5">
        <v>9000</v>
      </c>
      <c r="F2149" s="3">
        <v>9000</v>
      </c>
      <c r="G2149" s="3">
        <v>6300</v>
      </c>
      <c r="I2149" s="2" t="s">
        <v>2276</v>
      </c>
      <c r="J2149" s="2" t="s">
        <v>960</v>
      </c>
      <c r="K2149" t="s">
        <v>18</v>
      </c>
      <c r="L2149" t="str">
        <f>T("9791169203623")</f>
        <v>9791169203623</v>
      </c>
      <c r="M2149" t="str">
        <f t="shared" si="93"/>
        <v/>
      </c>
    </row>
    <row r="2150" spans="1:14">
      <c r="A2150" s="1">
        <v>46070.833182870374</v>
      </c>
      <c r="B2150">
        <v>383254098</v>
      </c>
      <c r="C2150" s="2" t="s">
        <v>2277</v>
      </c>
      <c r="D2150" t="s">
        <v>15</v>
      </c>
      <c r="E2150" s="5">
        <v>1700</v>
      </c>
      <c r="F2150" s="3">
        <v>1700</v>
      </c>
      <c r="G2150" s="3">
        <v>1190</v>
      </c>
      <c r="I2150" s="2" t="s">
        <v>593</v>
      </c>
      <c r="J2150" s="2" t="s">
        <v>197</v>
      </c>
      <c r="K2150" t="s">
        <v>18</v>
      </c>
      <c r="L2150" t="str">
        <f>T("9791172822071")</f>
        <v>9791172822071</v>
      </c>
      <c r="M2150" t="str">
        <f t="shared" si="93"/>
        <v/>
      </c>
      <c r="N2150" t="s">
        <v>2278</v>
      </c>
    </row>
    <row r="2151" spans="1:14">
      <c r="A2151" s="1">
        <v>46070.837013888886</v>
      </c>
      <c r="B2151">
        <v>277935744</v>
      </c>
      <c r="C2151" s="2" t="s">
        <v>2033</v>
      </c>
      <c r="D2151" t="s">
        <v>15</v>
      </c>
      <c r="E2151" s="4">
        <v>100</v>
      </c>
      <c r="F2151" s="2">
        <v>100</v>
      </c>
      <c r="G2151" s="2">
        <v>70</v>
      </c>
      <c r="I2151" s="2" t="s">
        <v>64</v>
      </c>
      <c r="J2151" s="2" t="s">
        <v>65</v>
      </c>
      <c r="K2151" t="s">
        <v>18</v>
      </c>
      <c r="L2151" t="str">
        <f>T("9791162589724")</f>
        <v>9791162589724</v>
      </c>
      <c r="M2151" t="str">
        <f t="shared" si="93"/>
        <v/>
      </c>
      <c r="N2151" t="s">
        <v>2034</v>
      </c>
    </row>
    <row r="2152" spans="1:14">
      <c r="A2152" s="1">
        <v>46070.837013888886</v>
      </c>
      <c r="B2152">
        <v>277935750</v>
      </c>
      <c r="C2152" s="2" t="s">
        <v>2031</v>
      </c>
      <c r="D2152" t="s">
        <v>15</v>
      </c>
      <c r="E2152" s="4">
        <v>100</v>
      </c>
      <c r="F2152" s="2">
        <v>100</v>
      </c>
      <c r="G2152" s="2">
        <v>70</v>
      </c>
      <c r="I2152" s="2" t="s">
        <v>64</v>
      </c>
      <c r="J2152" s="2" t="s">
        <v>65</v>
      </c>
      <c r="K2152" t="s">
        <v>18</v>
      </c>
      <c r="L2152" t="str">
        <f>T("9791162589724")</f>
        <v>9791162589724</v>
      </c>
      <c r="M2152" t="str">
        <f t="shared" si="93"/>
        <v/>
      </c>
      <c r="N2152" t="s">
        <v>2032</v>
      </c>
    </row>
    <row r="2153" spans="1:14">
      <c r="A2153" s="1">
        <v>46070.837013888886</v>
      </c>
      <c r="B2153">
        <v>277935650</v>
      </c>
      <c r="C2153" s="2" t="s">
        <v>2023</v>
      </c>
      <c r="D2153" t="s">
        <v>15</v>
      </c>
      <c r="E2153" s="4">
        <v>100</v>
      </c>
      <c r="F2153" s="2">
        <v>100</v>
      </c>
      <c r="G2153" s="2">
        <v>70</v>
      </c>
      <c r="I2153" s="2" t="s">
        <v>64</v>
      </c>
      <c r="J2153" s="2" t="s">
        <v>65</v>
      </c>
      <c r="K2153" t="s">
        <v>18</v>
      </c>
      <c r="L2153" t="str">
        <f>T("9791162589724")</f>
        <v>9791162589724</v>
      </c>
      <c r="M2153" t="str">
        <f t="shared" si="93"/>
        <v/>
      </c>
      <c r="N2153" t="s">
        <v>2024</v>
      </c>
    </row>
    <row r="2154" spans="1:14">
      <c r="A2154" s="1">
        <v>46070.837013888886</v>
      </c>
      <c r="B2154">
        <v>277935693</v>
      </c>
      <c r="C2154" s="2" t="s">
        <v>2021</v>
      </c>
      <c r="D2154" t="s">
        <v>15</v>
      </c>
      <c r="E2154" s="4">
        <v>100</v>
      </c>
      <c r="F2154" s="2">
        <v>100</v>
      </c>
      <c r="G2154" s="2">
        <v>70</v>
      </c>
      <c r="I2154" s="2" t="s">
        <v>64</v>
      </c>
      <c r="J2154" s="2" t="s">
        <v>65</v>
      </c>
      <c r="K2154" t="s">
        <v>18</v>
      </c>
      <c r="L2154" t="str">
        <f>T("9791162589724")</f>
        <v>9791162589724</v>
      </c>
      <c r="M2154" t="str">
        <f t="shared" si="93"/>
        <v/>
      </c>
      <c r="N2154" t="s">
        <v>2022</v>
      </c>
    </row>
    <row r="2155" spans="1:14">
      <c r="A2155" s="1">
        <v>46070.837013888886</v>
      </c>
      <c r="B2155">
        <v>277935489</v>
      </c>
      <c r="C2155" s="2" t="s">
        <v>2025</v>
      </c>
      <c r="D2155" t="s">
        <v>15</v>
      </c>
      <c r="E2155" s="4">
        <v>100</v>
      </c>
      <c r="F2155" s="2">
        <v>100</v>
      </c>
      <c r="G2155" s="2">
        <v>70</v>
      </c>
      <c r="I2155" s="2" t="s">
        <v>64</v>
      </c>
      <c r="J2155" s="2" t="s">
        <v>65</v>
      </c>
      <c r="K2155" t="s">
        <v>18</v>
      </c>
      <c r="L2155" t="str">
        <f>T("9791162589724")</f>
        <v>9791162589724</v>
      </c>
      <c r="M2155" t="str">
        <f t="shared" si="93"/>
        <v/>
      </c>
      <c r="N2155" t="s">
        <v>2026</v>
      </c>
    </row>
    <row r="2156" spans="1:14">
      <c r="A2156" s="1">
        <v>46070.840543981481</v>
      </c>
      <c r="B2156">
        <v>360694024</v>
      </c>
      <c r="C2156" s="2" t="s">
        <v>1210</v>
      </c>
      <c r="D2156" t="s">
        <v>15</v>
      </c>
      <c r="E2156" s="5">
        <v>1000</v>
      </c>
      <c r="F2156" s="3">
        <v>1000</v>
      </c>
      <c r="G2156" s="2">
        <v>700</v>
      </c>
      <c r="I2156" s="2" t="s">
        <v>148</v>
      </c>
      <c r="J2156" s="2" t="s">
        <v>21</v>
      </c>
      <c r="K2156" t="s">
        <v>18</v>
      </c>
      <c r="L2156" t="str">
        <f>T("9791173013133")</f>
        <v>9791173013133</v>
      </c>
      <c r="M2156" t="str">
        <f t="shared" si="93"/>
        <v/>
      </c>
      <c r="N2156" t="s">
        <v>1211</v>
      </c>
    </row>
    <row r="2157" spans="1:14">
      <c r="A2157" s="1">
        <v>46070.842013888891</v>
      </c>
      <c r="B2157">
        <v>359777615</v>
      </c>
      <c r="C2157" s="2" t="s">
        <v>2279</v>
      </c>
      <c r="D2157" t="s">
        <v>15</v>
      </c>
      <c r="E2157" s="5">
        <v>11760</v>
      </c>
      <c r="F2157" s="3">
        <v>11760</v>
      </c>
      <c r="G2157" s="3">
        <v>8232</v>
      </c>
      <c r="I2157" s="2" t="s">
        <v>1060</v>
      </c>
      <c r="J2157" s="2" t="s">
        <v>184</v>
      </c>
      <c r="K2157" t="s">
        <v>18</v>
      </c>
      <c r="L2157" t="str">
        <f>T("9791170963639")</f>
        <v>9791170963639</v>
      </c>
      <c r="M2157" t="str">
        <f t="shared" si="93"/>
        <v/>
      </c>
      <c r="N2157" t="s">
        <v>2280</v>
      </c>
    </row>
    <row r="2158" spans="1:14">
      <c r="A2158" s="1">
        <v>46070.842372685183</v>
      </c>
      <c r="B2158">
        <v>386057276</v>
      </c>
      <c r="C2158" s="2" t="s">
        <v>1681</v>
      </c>
      <c r="D2158" t="s">
        <v>68</v>
      </c>
      <c r="E2158" s="5">
        <v>8100</v>
      </c>
      <c r="F2158" s="3">
        <v>8100</v>
      </c>
      <c r="G2158" s="3">
        <v>5670</v>
      </c>
      <c r="I2158" s="2" t="s">
        <v>1682</v>
      </c>
      <c r="J2158" s="2" t="s">
        <v>197</v>
      </c>
      <c r="K2158" t="s">
        <v>18</v>
      </c>
      <c r="L2158" t="str">
        <f>T("9791164097661")</f>
        <v>9791164097661</v>
      </c>
      <c r="M2158" t="str">
        <f t="shared" si="93"/>
        <v/>
      </c>
    </row>
    <row r="2159" spans="1:14">
      <c r="A2159" s="1">
        <v>46070.845509259256</v>
      </c>
      <c r="B2159">
        <v>360694024</v>
      </c>
      <c r="C2159" s="2" t="s">
        <v>1210</v>
      </c>
      <c r="D2159" t="s">
        <v>15</v>
      </c>
      <c r="E2159" s="5">
        <v>1000</v>
      </c>
      <c r="F2159" s="3">
        <v>1000</v>
      </c>
      <c r="G2159" s="2">
        <v>700</v>
      </c>
      <c r="I2159" s="2" t="s">
        <v>148</v>
      </c>
      <c r="J2159" s="2" t="s">
        <v>21</v>
      </c>
      <c r="K2159" t="s">
        <v>18</v>
      </c>
      <c r="L2159" t="str">
        <f>T("9791173013133")</f>
        <v>9791173013133</v>
      </c>
      <c r="M2159" t="str">
        <f t="shared" si="93"/>
        <v/>
      </c>
      <c r="N2159" t="s">
        <v>1211</v>
      </c>
    </row>
    <row r="2160" spans="1:14">
      <c r="A2160" s="1">
        <v>46070.846342592595</v>
      </c>
      <c r="B2160">
        <v>328759043</v>
      </c>
      <c r="C2160" s="2" t="s">
        <v>1537</v>
      </c>
      <c r="D2160" t="s">
        <v>68</v>
      </c>
      <c r="E2160" s="4">
        <v>840</v>
      </c>
      <c r="F2160" s="2">
        <v>840</v>
      </c>
      <c r="G2160" s="2">
        <v>588</v>
      </c>
      <c r="I2160" s="2" t="s">
        <v>852</v>
      </c>
      <c r="J2160" s="2" t="s">
        <v>197</v>
      </c>
      <c r="K2160" t="s">
        <v>18</v>
      </c>
      <c r="L2160" t="str">
        <f>T("9791164099269")</f>
        <v>9791164099269</v>
      </c>
      <c r="M2160" t="str">
        <f t="shared" si="93"/>
        <v/>
      </c>
    </row>
    <row r="2161" spans="1:14">
      <c r="A2161" s="1">
        <v>46070.851574074077</v>
      </c>
      <c r="B2161">
        <v>386057276</v>
      </c>
      <c r="C2161" s="2" t="s">
        <v>1681</v>
      </c>
      <c r="D2161" t="s">
        <v>68</v>
      </c>
      <c r="E2161" s="5">
        <v>8100</v>
      </c>
      <c r="F2161" s="3">
        <v>8100</v>
      </c>
      <c r="G2161" s="3">
        <v>5670</v>
      </c>
      <c r="I2161" s="2" t="s">
        <v>1682</v>
      </c>
      <c r="J2161" s="2" t="s">
        <v>197</v>
      </c>
      <c r="K2161" t="s">
        <v>18</v>
      </c>
      <c r="L2161" t="str">
        <f>T("9791164097661")</f>
        <v>9791164097661</v>
      </c>
      <c r="M2161" t="str">
        <f t="shared" si="93"/>
        <v/>
      </c>
    </row>
    <row r="2162" spans="1:14">
      <c r="A2162" s="1">
        <v>46070.852962962963</v>
      </c>
      <c r="B2162">
        <v>385347715</v>
      </c>
      <c r="C2162" s="2" t="s">
        <v>186</v>
      </c>
      <c r="D2162" t="s">
        <v>15</v>
      </c>
      <c r="E2162" s="5">
        <v>2000</v>
      </c>
      <c r="F2162" s="3">
        <v>1800</v>
      </c>
      <c r="G2162" s="3">
        <v>1260</v>
      </c>
      <c r="I2162" s="2" t="s">
        <v>187</v>
      </c>
      <c r="J2162" s="2" t="s">
        <v>188</v>
      </c>
      <c r="K2162" t="s">
        <v>18</v>
      </c>
      <c r="L2162" t="str">
        <f>T("9791164835362")</f>
        <v>9791164835362</v>
      </c>
      <c r="M2162" t="str">
        <f t="shared" si="93"/>
        <v/>
      </c>
      <c r="N2162" t="s">
        <v>189</v>
      </c>
    </row>
    <row r="2163" spans="1:14">
      <c r="A2163" s="1">
        <v>46070.856377314813</v>
      </c>
      <c r="B2163">
        <v>211909257</v>
      </c>
      <c r="C2163" s="2" t="s">
        <v>1665</v>
      </c>
      <c r="D2163" t="s">
        <v>15</v>
      </c>
      <c r="E2163" s="5">
        <v>6500</v>
      </c>
      <c r="F2163" s="3">
        <v>6500</v>
      </c>
      <c r="G2163" s="3">
        <v>4550</v>
      </c>
      <c r="I2163" s="2" t="s">
        <v>196</v>
      </c>
      <c r="J2163" s="2" t="s">
        <v>197</v>
      </c>
      <c r="K2163" t="s">
        <v>18</v>
      </c>
      <c r="L2163" t="str">
        <f>T("9791164090693")</f>
        <v>9791164090693</v>
      </c>
      <c r="M2163" t="str">
        <f t="shared" si="93"/>
        <v/>
      </c>
    </row>
    <row r="2164" spans="1:14">
      <c r="A2164" s="1">
        <v>46070.864270833335</v>
      </c>
      <c r="B2164">
        <v>384623947</v>
      </c>
      <c r="C2164" s="2" t="s">
        <v>37</v>
      </c>
      <c r="D2164" t="s">
        <v>15</v>
      </c>
      <c r="E2164" s="5">
        <v>1000</v>
      </c>
      <c r="F2164" s="3">
        <v>1000</v>
      </c>
      <c r="G2164" s="2">
        <v>700</v>
      </c>
      <c r="I2164" s="2" t="s">
        <v>38</v>
      </c>
      <c r="J2164" s="2" t="s">
        <v>21</v>
      </c>
      <c r="K2164" t="s">
        <v>18</v>
      </c>
      <c r="L2164" t="str">
        <f>T("9791175582187")</f>
        <v>9791175582187</v>
      </c>
      <c r="M2164" t="str">
        <f t="shared" si="93"/>
        <v/>
      </c>
      <c r="N2164" t="s">
        <v>39</v>
      </c>
    </row>
    <row r="2165" spans="1:14">
      <c r="A2165" s="1">
        <v>46070.864988425928</v>
      </c>
      <c r="B2165">
        <v>385347792</v>
      </c>
      <c r="C2165" s="2" t="s">
        <v>306</v>
      </c>
      <c r="D2165" t="s">
        <v>15</v>
      </c>
      <c r="E2165" s="5">
        <v>1000</v>
      </c>
      <c r="F2165" s="2">
        <v>900</v>
      </c>
      <c r="G2165" s="2">
        <v>630</v>
      </c>
      <c r="I2165" s="2" t="s">
        <v>307</v>
      </c>
      <c r="J2165" s="2" t="s">
        <v>308</v>
      </c>
      <c r="K2165" t="s">
        <v>18</v>
      </c>
      <c r="L2165" t="str">
        <f>T("9791194982753")</f>
        <v>9791194982753</v>
      </c>
      <c r="M2165" t="str">
        <f t="shared" si="93"/>
        <v/>
      </c>
      <c r="N2165" t="s">
        <v>309</v>
      </c>
    </row>
    <row r="2166" spans="1:14">
      <c r="A2166" s="1">
        <v>46070.868923611109</v>
      </c>
      <c r="B2166">
        <v>385347919</v>
      </c>
      <c r="C2166" s="2" t="s">
        <v>159</v>
      </c>
      <c r="D2166" t="s">
        <v>15</v>
      </c>
      <c r="E2166" s="4">
        <v>0</v>
      </c>
      <c r="F2166" s="2">
        <v>0</v>
      </c>
      <c r="G2166" s="2">
        <v>0</v>
      </c>
      <c r="I2166" s="2" t="s">
        <v>160</v>
      </c>
      <c r="J2166" s="2" t="s">
        <v>161</v>
      </c>
      <c r="K2166" t="s">
        <v>18</v>
      </c>
      <c r="L2166" t="str">
        <f>T("9791173260254")</f>
        <v>9791173260254</v>
      </c>
      <c r="M2166" t="str">
        <f t="shared" si="93"/>
        <v/>
      </c>
      <c r="N2166" t="s">
        <v>162</v>
      </c>
    </row>
    <row r="2167" spans="1:14">
      <c r="A2167" s="1">
        <v>46070.868923611109</v>
      </c>
      <c r="B2167">
        <v>385852478</v>
      </c>
      <c r="C2167" s="2" t="s">
        <v>1228</v>
      </c>
      <c r="D2167" t="s">
        <v>15</v>
      </c>
      <c r="E2167" s="4">
        <v>0</v>
      </c>
      <c r="F2167" s="2">
        <v>0</v>
      </c>
      <c r="G2167" s="2">
        <v>0</v>
      </c>
      <c r="I2167" s="2" t="s">
        <v>1229</v>
      </c>
      <c r="J2167" s="2" t="s">
        <v>960</v>
      </c>
      <c r="K2167" t="s">
        <v>18</v>
      </c>
      <c r="L2167" t="str">
        <f>T("")</f>
        <v/>
      </c>
      <c r="M2167" t="str">
        <f>T("G720:N+A378-20260112081.M001")</f>
        <v>G720:N+A378-20260112081.M001</v>
      </c>
      <c r="N2167" t="s">
        <v>1230</v>
      </c>
    </row>
    <row r="2168" spans="1:14">
      <c r="A2168" s="1">
        <v>46070.874131944445</v>
      </c>
      <c r="B2168">
        <v>386057277</v>
      </c>
      <c r="C2168" s="2" t="s">
        <v>1609</v>
      </c>
      <c r="D2168" t="s">
        <v>68</v>
      </c>
      <c r="E2168" s="5">
        <v>3750</v>
      </c>
      <c r="F2168" s="3">
        <v>3750</v>
      </c>
      <c r="G2168" s="3">
        <v>2625</v>
      </c>
      <c r="I2168" s="2" t="s">
        <v>1610</v>
      </c>
      <c r="J2168" s="2" t="s">
        <v>197</v>
      </c>
      <c r="K2168" t="s">
        <v>18</v>
      </c>
      <c r="L2168" t="str">
        <f>T("9791164095315")</f>
        <v>9791164095315</v>
      </c>
      <c r="M2168" t="str">
        <f t="shared" ref="M2168:M2199" si="94">T("")</f>
        <v/>
      </c>
    </row>
    <row r="2169" spans="1:14">
      <c r="A2169" s="1">
        <v>46070.89335648148</v>
      </c>
      <c r="B2169">
        <v>312661128</v>
      </c>
      <c r="C2169" s="2" t="s">
        <v>2281</v>
      </c>
      <c r="D2169" t="s">
        <v>15</v>
      </c>
      <c r="E2169" s="5">
        <v>1000</v>
      </c>
      <c r="F2169" s="3">
        <v>1000</v>
      </c>
      <c r="G2169" s="2">
        <v>700</v>
      </c>
      <c r="I2169" s="2" t="s">
        <v>877</v>
      </c>
      <c r="J2169" s="2" t="s">
        <v>177</v>
      </c>
      <c r="K2169" t="s">
        <v>18</v>
      </c>
      <c r="L2169" t="str">
        <f>T("9791164798766")</f>
        <v>9791164798766</v>
      </c>
      <c r="M2169" t="str">
        <f t="shared" si="94"/>
        <v/>
      </c>
      <c r="N2169" t="s">
        <v>2282</v>
      </c>
    </row>
    <row r="2170" spans="1:14">
      <c r="A2170" s="1">
        <v>46070.893923611111</v>
      </c>
      <c r="B2170">
        <v>341499933</v>
      </c>
      <c r="C2170" s="2" t="s">
        <v>2204</v>
      </c>
      <c r="D2170" t="s">
        <v>15</v>
      </c>
      <c r="E2170" s="5">
        <v>1000</v>
      </c>
      <c r="F2170" s="3">
        <v>1000</v>
      </c>
      <c r="G2170" s="2">
        <v>700</v>
      </c>
      <c r="I2170" s="2" t="s">
        <v>2205</v>
      </c>
      <c r="J2170" s="2" t="s">
        <v>21</v>
      </c>
      <c r="K2170" t="s">
        <v>18</v>
      </c>
      <c r="L2170" t="str">
        <f>T("9791170896715")</f>
        <v>9791170896715</v>
      </c>
      <c r="M2170" t="str">
        <f t="shared" si="94"/>
        <v/>
      </c>
      <c r="N2170" t="s">
        <v>2206</v>
      </c>
    </row>
    <row r="2171" spans="1:14">
      <c r="A2171" s="1">
        <v>46070.895960648151</v>
      </c>
      <c r="B2171">
        <v>385347715</v>
      </c>
      <c r="C2171" s="2" t="s">
        <v>186</v>
      </c>
      <c r="D2171" t="s">
        <v>15</v>
      </c>
      <c r="E2171" s="5">
        <v>2000</v>
      </c>
      <c r="F2171" s="3">
        <v>1800</v>
      </c>
      <c r="G2171" s="3">
        <v>1260</v>
      </c>
      <c r="I2171" s="2" t="s">
        <v>187</v>
      </c>
      <c r="J2171" s="2" t="s">
        <v>188</v>
      </c>
      <c r="K2171" t="s">
        <v>18</v>
      </c>
      <c r="L2171" t="str">
        <f>T("9791164835362")</f>
        <v>9791164835362</v>
      </c>
      <c r="M2171" t="str">
        <f t="shared" si="94"/>
        <v/>
      </c>
      <c r="N2171" t="s">
        <v>189</v>
      </c>
    </row>
    <row r="2172" spans="1:14">
      <c r="A2172" s="1">
        <v>46070.901886574073</v>
      </c>
      <c r="B2172">
        <v>277935656</v>
      </c>
      <c r="C2172" s="2" t="s">
        <v>2213</v>
      </c>
      <c r="D2172" t="s">
        <v>15</v>
      </c>
      <c r="E2172" s="4">
        <v>100</v>
      </c>
      <c r="F2172" s="2">
        <v>100</v>
      </c>
      <c r="G2172" s="2">
        <v>70</v>
      </c>
      <c r="I2172" s="2" t="s">
        <v>64</v>
      </c>
      <c r="J2172" s="2" t="s">
        <v>65</v>
      </c>
      <c r="K2172" t="s">
        <v>18</v>
      </c>
      <c r="L2172" t="str">
        <f>T("9791162589724")</f>
        <v>9791162589724</v>
      </c>
      <c r="M2172" t="str">
        <f t="shared" si="94"/>
        <v/>
      </c>
      <c r="N2172" t="s">
        <v>2214</v>
      </c>
    </row>
    <row r="2173" spans="1:14">
      <c r="A2173" s="1">
        <v>46070.902615740742</v>
      </c>
      <c r="B2173">
        <v>119448111</v>
      </c>
      <c r="C2173" s="2" t="s">
        <v>2283</v>
      </c>
      <c r="D2173" t="s">
        <v>15</v>
      </c>
      <c r="E2173" s="4">
        <v>500</v>
      </c>
      <c r="F2173" s="2">
        <v>500</v>
      </c>
      <c r="G2173" s="2">
        <v>350</v>
      </c>
      <c r="I2173" s="2" t="s">
        <v>2284</v>
      </c>
      <c r="J2173" s="2" t="s">
        <v>2176</v>
      </c>
      <c r="K2173" t="s">
        <v>18</v>
      </c>
      <c r="L2173" t="str">
        <f>T("9791157105908")</f>
        <v>9791157105908</v>
      </c>
      <c r="M2173" t="str">
        <f t="shared" si="94"/>
        <v/>
      </c>
    </row>
    <row r="2174" spans="1:14">
      <c r="A2174" s="1">
        <v>46070.917384259257</v>
      </c>
      <c r="B2174">
        <v>378947390</v>
      </c>
      <c r="C2174" s="2" t="s">
        <v>1104</v>
      </c>
      <c r="D2174" t="s">
        <v>68</v>
      </c>
      <c r="E2174" s="5">
        <v>3360</v>
      </c>
      <c r="F2174" s="3">
        <v>3360</v>
      </c>
      <c r="G2174" s="3">
        <v>2352</v>
      </c>
      <c r="I2174" s="2" t="s">
        <v>1105</v>
      </c>
      <c r="J2174" s="2" t="s">
        <v>197</v>
      </c>
      <c r="K2174" t="s">
        <v>18</v>
      </c>
      <c r="L2174" t="str">
        <f>T("9791172822002")</f>
        <v>9791172822002</v>
      </c>
      <c r="M2174" t="str">
        <f t="shared" si="94"/>
        <v/>
      </c>
    </row>
    <row r="2175" spans="1:14">
      <c r="A2175" s="1">
        <v>46070.922974537039</v>
      </c>
      <c r="B2175">
        <v>378350130</v>
      </c>
      <c r="C2175" s="2" t="s">
        <v>1216</v>
      </c>
      <c r="D2175" t="s">
        <v>15</v>
      </c>
      <c r="E2175" s="5">
        <v>3300</v>
      </c>
      <c r="F2175" s="3">
        <v>2970</v>
      </c>
      <c r="G2175" s="3">
        <v>2079</v>
      </c>
      <c r="I2175" s="2" t="s">
        <v>307</v>
      </c>
      <c r="J2175" s="2" t="s">
        <v>308</v>
      </c>
      <c r="K2175" t="s">
        <v>18</v>
      </c>
      <c r="L2175" t="str">
        <f>T("9791194982524")</f>
        <v>9791194982524</v>
      </c>
      <c r="M2175" t="str">
        <f t="shared" si="94"/>
        <v/>
      </c>
      <c r="N2175" t="s">
        <v>1217</v>
      </c>
    </row>
    <row r="2176" spans="1:14">
      <c r="A2176" s="1">
        <v>46070.922974537039</v>
      </c>
      <c r="B2176">
        <v>378350315</v>
      </c>
      <c r="C2176" s="2" t="s">
        <v>769</v>
      </c>
      <c r="D2176" t="s">
        <v>15</v>
      </c>
      <c r="E2176" s="5">
        <v>3300</v>
      </c>
      <c r="F2176" s="3">
        <v>2970</v>
      </c>
      <c r="G2176" s="3">
        <v>2079</v>
      </c>
      <c r="I2176" s="2" t="s">
        <v>307</v>
      </c>
      <c r="J2176" s="2" t="s">
        <v>308</v>
      </c>
      <c r="K2176" t="s">
        <v>18</v>
      </c>
      <c r="L2176" t="str">
        <f>T("9791194982517")</f>
        <v>9791194982517</v>
      </c>
      <c r="M2176" t="str">
        <f t="shared" si="94"/>
        <v/>
      </c>
      <c r="N2176" t="s">
        <v>770</v>
      </c>
    </row>
    <row r="2177" spans="1:14">
      <c r="A2177" s="1">
        <v>46070.922974537039</v>
      </c>
      <c r="B2177">
        <v>378350533</v>
      </c>
      <c r="C2177" s="2" t="s">
        <v>1218</v>
      </c>
      <c r="D2177" t="s">
        <v>15</v>
      </c>
      <c r="E2177" s="5">
        <v>3300</v>
      </c>
      <c r="F2177" s="3">
        <v>2970</v>
      </c>
      <c r="G2177" s="3">
        <v>2079</v>
      </c>
      <c r="I2177" s="2" t="s">
        <v>307</v>
      </c>
      <c r="J2177" s="2" t="s">
        <v>308</v>
      </c>
      <c r="K2177" t="s">
        <v>18</v>
      </c>
      <c r="L2177" t="str">
        <f>T("9791194982531")</f>
        <v>9791194982531</v>
      </c>
      <c r="M2177" t="str">
        <f t="shared" si="94"/>
        <v/>
      </c>
      <c r="N2177" t="s">
        <v>1219</v>
      </c>
    </row>
    <row r="2178" spans="1:14">
      <c r="A2178" s="1">
        <v>46070.922974537039</v>
      </c>
      <c r="B2178">
        <v>385347792</v>
      </c>
      <c r="C2178" s="2" t="s">
        <v>306</v>
      </c>
      <c r="D2178" t="s">
        <v>15</v>
      </c>
      <c r="E2178" s="5">
        <v>1000</v>
      </c>
      <c r="F2178" s="2">
        <v>900</v>
      </c>
      <c r="G2178" s="2">
        <v>630</v>
      </c>
      <c r="I2178" s="2" t="s">
        <v>307</v>
      </c>
      <c r="J2178" s="2" t="s">
        <v>308</v>
      </c>
      <c r="K2178" t="s">
        <v>18</v>
      </c>
      <c r="L2178" t="str">
        <f>T("9791194982753")</f>
        <v>9791194982753</v>
      </c>
      <c r="M2178" t="str">
        <f t="shared" si="94"/>
        <v/>
      </c>
      <c r="N2178" t="s">
        <v>309</v>
      </c>
    </row>
    <row r="2179" spans="1:14">
      <c r="A2179" s="1">
        <v>46070.935706018521</v>
      </c>
      <c r="B2179">
        <v>277935700</v>
      </c>
      <c r="C2179" s="2" t="s">
        <v>2285</v>
      </c>
      <c r="D2179" t="s">
        <v>15</v>
      </c>
      <c r="E2179" s="4">
        <v>100</v>
      </c>
      <c r="F2179" s="2">
        <v>100</v>
      </c>
      <c r="G2179" s="2">
        <v>70</v>
      </c>
      <c r="I2179" s="2" t="s">
        <v>64</v>
      </c>
      <c r="J2179" s="2" t="s">
        <v>65</v>
      </c>
      <c r="K2179" t="s">
        <v>18</v>
      </c>
      <c r="L2179" t="str">
        <f>T("9791162589724")</f>
        <v>9791162589724</v>
      </c>
      <c r="M2179" t="str">
        <f t="shared" si="94"/>
        <v/>
      </c>
      <c r="N2179" t="s">
        <v>2286</v>
      </c>
    </row>
    <row r="2180" spans="1:14">
      <c r="A2180" s="1">
        <v>46070.935706018521</v>
      </c>
      <c r="B2180">
        <v>277935519</v>
      </c>
      <c r="C2180" s="2" t="s">
        <v>2287</v>
      </c>
      <c r="D2180" t="s">
        <v>15</v>
      </c>
      <c r="E2180" s="4">
        <v>100</v>
      </c>
      <c r="F2180" s="2">
        <v>100</v>
      </c>
      <c r="G2180" s="2">
        <v>70</v>
      </c>
      <c r="I2180" s="2" t="s">
        <v>64</v>
      </c>
      <c r="J2180" s="2" t="s">
        <v>65</v>
      </c>
      <c r="K2180" t="s">
        <v>18</v>
      </c>
      <c r="L2180" t="str">
        <f>T("9791162589724")</f>
        <v>9791162589724</v>
      </c>
      <c r="M2180" t="str">
        <f t="shared" si="94"/>
        <v/>
      </c>
      <c r="N2180" t="s">
        <v>2288</v>
      </c>
    </row>
    <row r="2181" spans="1:14">
      <c r="A2181" s="1">
        <v>46070.935706018521</v>
      </c>
      <c r="B2181">
        <v>277935738</v>
      </c>
      <c r="C2181" s="2" t="s">
        <v>2289</v>
      </c>
      <c r="D2181" t="s">
        <v>15</v>
      </c>
      <c r="E2181" s="4">
        <v>100</v>
      </c>
      <c r="F2181" s="2">
        <v>100</v>
      </c>
      <c r="G2181" s="2">
        <v>70</v>
      </c>
      <c r="I2181" s="2" t="s">
        <v>64</v>
      </c>
      <c r="J2181" s="2" t="s">
        <v>65</v>
      </c>
      <c r="K2181" t="s">
        <v>18</v>
      </c>
      <c r="L2181" t="str">
        <f>T("9791162589724")</f>
        <v>9791162589724</v>
      </c>
      <c r="M2181" t="str">
        <f t="shared" si="94"/>
        <v/>
      </c>
      <c r="N2181" t="s">
        <v>2290</v>
      </c>
    </row>
    <row r="2182" spans="1:14">
      <c r="A2182" s="1">
        <v>46070.935706018521</v>
      </c>
      <c r="B2182">
        <v>277935799</v>
      </c>
      <c r="C2182" s="2" t="s">
        <v>2291</v>
      </c>
      <c r="D2182" t="s">
        <v>15</v>
      </c>
      <c r="E2182" s="4">
        <v>100</v>
      </c>
      <c r="F2182" s="2">
        <v>100</v>
      </c>
      <c r="G2182" s="2">
        <v>70</v>
      </c>
      <c r="I2182" s="2" t="s">
        <v>64</v>
      </c>
      <c r="J2182" s="2" t="s">
        <v>65</v>
      </c>
      <c r="K2182" t="s">
        <v>18</v>
      </c>
      <c r="L2182" t="str">
        <f>T("9791162589724")</f>
        <v>9791162589724</v>
      </c>
      <c r="M2182" t="str">
        <f t="shared" si="94"/>
        <v/>
      </c>
      <c r="N2182" t="s">
        <v>2292</v>
      </c>
    </row>
    <row r="2183" spans="1:14">
      <c r="A2183" s="1">
        <v>46070.935706018521</v>
      </c>
      <c r="B2183">
        <v>277935796</v>
      </c>
      <c r="C2183" s="2" t="s">
        <v>2293</v>
      </c>
      <c r="D2183" t="s">
        <v>15</v>
      </c>
      <c r="E2183" s="4">
        <v>100</v>
      </c>
      <c r="F2183" s="2">
        <v>100</v>
      </c>
      <c r="G2183" s="2">
        <v>70</v>
      </c>
      <c r="I2183" s="2" t="s">
        <v>64</v>
      </c>
      <c r="J2183" s="2" t="s">
        <v>65</v>
      </c>
      <c r="K2183" t="s">
        <v>18</v>
      </c>
      <c r="L2183" t="str">
        <f>T("9791162589724")</f>
        <v>9791162589724</v>
      </c>
      <c r="M2183" t="str">
        <f t="shared" si="94"/>
        <v/>
      </c>
      <c r="N2183" t="s">
        <v>2294</v>
      </c>
    </row>
    <row r="2184" spans="1:14">
      <c r="A2184" s="1">
        <v>46070.936365740738</v>
      </c>
      <c r="B2184">
        <v>380789530</v>
      </c>
      <c r="C2184" s="2" t="s">
        <v>1854</v>
      </c>
      <c r="D2184" t="s">
        <v>68</v>
      </c>
      <c r="E2184" s="5">
        <v>4640</v>
      </c>
      <c r="F2184" s="3">
        <v>4640</v>
      </c>
      <c r="G2184" s="3">
        <v>3248</v>
      </c>
      <c r="I2184" s="2" t="s">
        <v>1098</v>
      </c>
      <c r="J2184" s="2" t="s">
        <v>126</v>
      </c>
      <c r="K2184" t="s">
        <v>18</v>
      </c>
      <c r="L2184" t="str">
        <f>T("9791171502462")</f>
        <v>9791171502462</v>
      </c>
      <c r="M2184" t="str">
        <f t="shared" si="94"/>
        <v/>
      </c>
    </row>
    <row r="2185" spans="1:14">
      <c r="A2185" s="1">
        <v>46070.939120370371</v>
      </c>
      <c r="B2185">
        <v>386057277</v>
      </c>
      <c r="C2185" s="2" t="s">
        <v>1609</v>
      </c>
      <c r="D2185" t="s">
        <v>68</v>
      </c>
      <c r="E2185" s="5">
        <v>3750</v>
      </c>
      <c r="F2185" s="3">
        <v>3750</v>
      </c>
      <c r="G2185" s="3">
        <v>2625</v>
      </c>
      <c r="I2185" s="2" t="s">
        <v>1610</v>
      </c>
      <c r="J2185" s="2" t="s">
        <v>197</v>
      </c>
      <c r="K2185" t="s">
        <v>18</v>
      </c>
      <c r="L2185" t="str">
        <f>T("9791164095315")</f>
        <v>9791164095315</v>
      </c>
      <c r="M2185" t="str">
        <f t="shared" si="94"/>
        <v/>
      </c>
    </row>
    <row r="2186" spans="1:14">
      <c r="A2186" s="1">
        <v>46070.946504629632</v>
      </c>
      <c r="B2186">
        <v>188277281</v>
      </c>
      <c r="C2186" s="2" t="s">
        <v>2295</v>
      </c>
      <c r="D2186" t="s">
        <v>15</v>
      </c>
      <c r="E2186" s="5">
        <v>2500</v>
      </c>
      <c r="F2186" s="3">
        <v>2500</v>
      </c>
      <c r="G2186" s="3">
        <v>1750</v>
      </c>
      <c r="I2186" s="2" t="s">
        <v>2296</v>
      </c>
      <c r="J2186" s="2" t="s">
        <v>693</v>
      </c>
      <c r="K2186" t="s">
        <v>18</v>
      </c>
      <c r="L2186" t="str">
        <f>T("9791189424930")</f>
        <v>9791189424930</v>
      </c>
      <c r="M2186" t="str">
        <f t="shared" si="94"/>
        <v/>
      </c>
    </row>
    <row r="2187" spans="1:14">
      <c r="A2187" s="1">
        <v>46070.953576388885</v>
      </c>
      <c r="B2187">
        <v>382626185</v>
      </c>
      <c r="C2187" s="2" t="s">
        <v>34</v>
      </c>
      <c r="D2187" t="s">
        <v>15</v>
      </c>
      <c r="E2187" s="5">
        <v>1000</v>
      </c>
      <c r="F2187" s="3">
        <v>1000</v>
      </c>
      <c r="G2187" s="2">
        <v>700</v>
      </c>
      <c r="I2187" s="2" t="s">
        <v>28</v>
      </c>
      <c r="J2187" s="2" t="s">
        <v>21</v>
      </c>
      <c r="K2187" t="s">
        <v>18</v>
      </c>
      <c r="L2187" t="str">
        <f>T("9791175581463")</f>
        <v>9791175581463</v>
      </c>
      <c r="M2187" t="str">
        <f t="shared" si="94"/>
        <v/>
      </c>
      <c r="N2187" t="s">
        <v>35</v>
      </c>
    </row>
    <row r="2188" spans="1:14">
      <c r="A2188" s="1">
        <v>46070.954236111109</v>
      </c>
      <c r="B2188">
        <v>269960157</v>
      </c>
      <c r="C2188" s="2" t="s">
        <v>2297</v>
      </c>
      <c r="D2188" t="s">
        <v>15</v>
      </c>
      <c r="E2188" s="5">
        <v>2500</v>
      </c>
      <c r="F2188" s="3">
        <v>2250</v>
      </c>
      <c r="G2188" s="3">
        <v>1575</v>
      </c>
      <c r="I2188" s="2" t="s">
        <v>2298</v>
      </c>
      <c r="J2188" s="2" t="s">
        <v>476</v>
      </c>
      <c r="K2188" t="s">
        <v>18</v>
      </c>
      <c r="L2188" t="str">
        <f>T("9791166740374")</f>
        <v>9791166740374</v>
      </c>
      <c r="M2188" t="str">
        <f t="shared" si="94"/>
        <v/>
      </c>
    </row>
    <row r="2189" spans="1:14">
      <c r="A2189" s="1">
        <v>46070.95721064815</v>
      </c>
      <c r="B2189">
        <v>368980689</v>
      </c>
      <c r="C2189" s="2" t="s">
        <v>2299</v>
      </c>
      <c r="D2189" t="s">
        <v>15</v>
      </c>
      <c r="E2189" s="5">
        <v>1000</v>
      </c>
      <c r="F2189" s="3">
        <v>1000</v>
      </c>
      <c r="G2189" s="2">
        <v>700</v>
      </c>
      <c r="I2189" s="2" t="s">
        <v>58</v>
      </c>
      <c r="J2189" s="2" t="s">
        <v>21</v>
      </c>
      <c r="K2189" t="s">
        <v>18</v>
      </c>
      <c r="L2189" t="str">
        <f>T("9791173016066")</f>
        <v>9791173016066</v>
      </c>
      <c r="M2189" t="str">
        <f t="shared" si="94"/>
        <v/>
      </c>
      <c r="N2189" t="s">
        <v>2300</v>
      </c>
    </row>
    <row r="2190" spans="1:14">
      <c r="A2190" s="1">
        <v>46070.95820601852</v>
      </c>
      <c r="B2190">
        <v>304630792</v>
      </c>
      <c r="C2190" s="2" t="s">
        <v>2301</v>
      </c>
      <c r="D2190" t="s">
        <v>68</v>
      </c>
      <c r="E2190" s="4">
        <v>900</v>
      </c>
      <c r="F2190" s="2">
        <v>900</v>
      </c>
      <c r="G2190" s="2">
        <v>630</v>
      </c>
      <c r="I2190" s="2" t="s">
        <v>1749</v>
      </c>
      <c r="J2190" s="2" t="s">
        <v>245</v>
      </c>
      <c r="K2190" t="s">
        <v>18</v>
      </c>
      <c r="L2190" t="str">
        <f>T("9791166007798")</f>
        <v>9791166007798</v>
      </c>
      <c r="M2190" t="str">
        <f t="shared" si="94"/>
        <v/>
      </c>
      <c r="N2190" t="s">
        <v>2302</v>
      </c>
    </row>
    <row r="2191" spans="1:14">
      <c r="A2191" s="1">
        <v>46070.959837962961</v>
      </c>
      <c r="B2191">
        <v>386057279</v>
      </c>
      <c r="C2191" s="2" t="s">
        <v>2303</v>
      </c>
      <c r="D2191" t="s">
        <v>68</v>
      </c>
      <c r="E2191" s="5">
        <v>7500</v>
      </c>
      <c r="F2191" s="3">
        <v>7500</v>
      </c>
      <c r="G2191" s="3">
        <v>5250</v>
      </c>
      <c r="I2191" s="2" t="s">
        <v>1772</v>
      </c>
      <c r="J2191" s="2" t="s">
        <v>197</v>
      </c>
      <c r="K2191" t="s">
        <v>18</v>
      </c>
      <c r="L2191" t="str">
        <f>T("9791164093304")</f>
        <v>9791164093304</v>
      </c>
      <c r="M2191" t="str">
        <f t="shared" si="94"/>
        <v/>
      </c>
    </row>
    <row r="2192" spans="1:14">
      <c r="A2192" s="1">
        <v>46070.978263888886</v>
      </c>
      <c r="B2192">
        <v>379527586</v>
      </c>
      <c r="C2192" s="2" t="s">
        <v>530</v>
      </c>
      <c r="D2192" t="s">
        <v>15</v>
      </c>
      <c r="E2192" s="5">
        <v>1000</v>
      </c>
      <c r="F2192" s="3">
        <v>1000</v>
      </c>
      <c r="G2192" s="2">
        <v>700</v>
      </c>
      <c r="I2192" s="2" t="s">
        <v>531</v>
      </c>
      <c r="J2192" s="2" t="s">
        <v>21</v>
      </c>
      <c r="K2192" t="s">
        <v>18</v>
      </c>
      <c r="L2192" t="str">
        <f>T("9791175581142")</f>
        <v>9791175581142</v>
      </c>
      <c r="M2192" t="str">
        <f t="shared" si="94"/>
        <v/>
      </c>
      <c r="N2192" t="s">
        <v>532</v>
      </c>
    </row>
    <row r="2193" spans="1:14">
      <c r="A2193" s="1">
        <v>46070.986273148148</v>
      </c>
      <c r="B2193">
        <v>335881144</v>
      </c>
      <c r="C2193" s="2" t="s">
        <v>583</v>
      </c>
      <c r="D2193" t="s">
        <v>15</v>
      </c>
      <c r="E2193" s="5">
        <v>1000</v>
      </c>
      <c r="F2193" s="3">
        <v>1000</v>
      </c>
      <c r="G2193" s="2">
        <v>700</v>
      </c>
      <c r="I2193" s="2" t="s">
        <v>584</v>
      </c>
      <c r="J2193" s="2" t="s">
        <v>21</v>
      </c>
      <c r="K2193" t="s">
        <v>18</v>
      </c>
      <c r="L2193" t="str">
        <f>T("9791170895718")</f>
        <v>9791170895718</v>
      </c>
      <c r="M2193" t="str">
        <f t="shared" si="94"/>
        <v/>
      </c>
      <c r="N2193" t="s">
        <v>585</v>
      </c>
    </row>
    <row r="2194" spans="1:14">
      <c r="A2194" s="1">
        <v>46070.988182870373</v>
      </c>
      <c r="B2194">
        <v>277935786</v>
      </c>
      <c r="C2194" s="2" t="s">
        <v>2304</v>
      </c>
      <c r="D2194" t="s">
        <v>15</v>
      </c>
      <c r="E2194" s="4">
        <v>100</v>
      </c>
      <c r="F2194" s="2">
        <v>100</v>
      </c>
      <c r="G2194" s="2">
        <v>70</v>
      </c>
      <c r="I2194" s="2" t="s">
        <v>64</v>
      </c>
      <c r="J2194" s="2" t="s">
        <v>65</v>
      </c>
      <c r="K2194" t="s">
        <v>18</v>
      </c>
      <c r="L2194" t="str">
        <f>T("9791162589724")</f>
        <v>9791162589724</v>
      </c>
      <c r="M2194" t="str">
        <f t="shared" si="94"/>
        <v/>
      </c>
      <c r="N2194" t="s">
        <v>2305</v>
      </c>
    </row>
    <row r="2195" spans="1:14">
      <c r="A2195" s="1">
        <v>46070.989884259259</v>
      </c>
      <c r="B2195">
        <v>371345723</v>
      </c>
      <c r="C2195" s="2" t="s">
        <v>525</v>
      </c>
      <c r="D2195" t="s">
        <v>68</v>
      </c>
      <c r="E2195" s="5">
        <v>2310</v>
      </c>
      <c r="F2195" s="3">
        <v>2310</v>
      </c>
      <c r="G2195" s="3">
        <v>1617</v>
      </c>
      <c r="I2195" s="2" t="s">
        <v>196</v>
      </c>
      <c r="J2195" s="2" t="s">
        <v>197</v>
      </c>
      <c r="K2195" t="s">
        <v>18</v>
      </c>
      <c r="L2195" t="str">
        <f>T("9791172821692")</f>
        <v>9791172821692</v>
      </c>
      <c r="M2195" t="str">
        <f t="shared" si="94"/>
        <v/>
      </c>
      <c r="N2195" t="s">
        <v>526</v>
      </c>
    </row>
    <row r="2196" spans="1:14">
      <c r="A2196" s="1">
        <v>46070.992905092593</v>
      </c>
      <c r="B2196">
        <v>311961658</v>
      </c>
      <c r="C2196" s="2" t="s">
        <v>2306</v>
      </c>
      <c r="D2196" t="s">
        <v>15</v>
      </c>
      <c r="E2196" s="5">
        <v>1000</v>
      </c>
      <c r="F2196" s="3">
        <v>1000</v>
      </c>
      <c r="G2196" s="2">
        <v>700</v>
      </c>
      <c r="I2196" s="2" t="s">
        <v>1107</v>
      </c>
      <c r="J2196" s="2" t="s">
        <v>21</v>
      </c>
      <c r="K2196" t="s">
        <v>18</v>
      </c>
      <c r="L2196" t="str">
        <f>T("9791167837066")</f>
        <v>9791167837066</v>
      </c>
      <c r="M2196" t="str">
        <f t="shared" si="94"/>
        <v/>
      </c>
      <c r="N2196" t="s">
        <v>2307</v>
      </c>
    </row>
    <row r="2197" spans="1:14">
      <c r="A2197" s="1">
        <v>46070.997025462966</v>
      </c>
      <c r="B2197">
        <v>385347792</v>
      </c>
      <c r="C2197" s="2" t="s">
        <v>306</v>
      </c>
      <c r="D2197" t="s">
        <v>15</v>
      </c>
      <c r="E2197" s="5">
        <v>1000</v>
      </c>
      <c r="F2197" s="2">
        <v>900</v>
      </c>
      <c r="G2197" s="2">
        <v>630</v>
      </c>
      <c r="I2197" s="2" t="s">
        <v>307</v>
      </c>
      <c r="J2197" s="2" t="s">
        <v>308</v>
      </c>
      <c r="K2197" t="s">
        <v>18</v>
      </c>
      <c r="L2197" t="str">
        <f>T("9791194982753")</f>
        <v>9791194982753</v>
      </c>
      <c r="M2197" t="str">
        <f t="shared" si="94"/>
        <v/>
      </c>
      <c r="N2197" t="s">
        <v>309</v>
      </c>
    </row>
    <row r="2198" spans="1:14">
      <c r="A2198" s="1">
        <v>46071.005810185183</v>
      </c>
      <c r="B2198">
        <v>371345723</v>
      </c>
      <c r="C2198" s="2" t="s">
        <v>525</v>
      </c>
      <c r="D2198" t="s">
        <v>68</v>
      </c>
      <c r="E2198" s="5">
        <v>2310</v>
      </c>
      <c r="F2198" s="3">
        <v>2310</v>
      </c>
      <c r="G2198" s="3">
        <v>1617</v>
      </c>
      <c r="I2198" s="2" t="s">
        <v>196</v>
      </c>
      <c r="J2198" s="2" t="s">
        <v>197</v>
      </c>
      <c r="K2198" t="s">
        <v>18</v>
      </c>
      <c r="L2198" t="str">
        <f>T("9791172821692")</f>
        <v>9791172821692</v>
      </c>
      <c r="M2198" t="str">
        <f t="shared" si="94"/>
        <v/>
      </c>
      <c r="N2198" t="s">
        <v>526</v>
      </c>
    </row>
    <row r="2199" spans="1:14">
      <c r="A2199" s="1">
        <v>46071.005960648145</v>
      </c>
      <c r="B2199">
        <v>384623947</v>
      </c>
      <c r="C2199" s="2" t="s">
        <v>37</v>
      </c>
      <c r="D2199" t="s">
        <v>15</v>
      </c>
      <c r="E2199" s="5">
        <v>1000</v>
      </c>
      <c r="F2199" s="3">
        <v>1000</v>
      </c>
      <c r="G2199" s="2">
        <v>700</v>
      </c>
      <c r="I2199" s="2" t="s">
        <v>38</v>
      </c>
      <c r="J2199" s="2" t="s">
        <v>21</v>
      </c>
      <c r="K2199" t="s">
        <v>18</v>
      </c>
      <c r="L2199" t="str">
        <f>T("9791175582187")</f>
        <v>9791175582187</v>
      </c>
      <c r="M2199" t="str">
        <f t="shared" si="94"/>
        <v/>
      </c>
      <c r="N2199" t="s">
        <v>39</v>
      </c>
    </row>
    <row r="2200" spans="1:14">
      <c r="A2200" s="1">
        <v>46071.007893518516</v>
      </c>
      <c r="B2200">
        <v>380789530</v>
      </c>
      <c r="C2200" s="2" t="s">
        <v>1854</v>
      </c>
      <c r="D2200" t="s">
        <v>68</v>
      </c>
      <c r="E2200" s="5">
        <v>4640</v>
      </c>
      <c r="F2200" s="3">
        <v>4640</v>
      </c>
      <c r="G2200" s="3">
        <v>3248</v>
      </c>
      <c r="I2200" s="2" t="s">
        <v>1098</v>
      </c>
      <c r="J2200" s="2" t="s">
        <v>126</v>
      </c>
      <c r="K2200" t="s">
        <v>18</v>
      </c>
      <c r="L2200" t="str">
        <f>T("9791171502462")</f>
        <v>9791171502462</v>
      </c>
      <c r="M2200" t="str">
        <f t="shared" ref="M2200:M2231" si="95">T("")</f>
        <v/>
      </c>
    </row>
    <row r="2201" spans="1:14">
      <c r="A2201" s="1">
        <v>46071.009467592594</v>
      </c>
      <c r="B2201">
        <v>303466893</v>
      </c>
      <c r="C2201" s="2" t="s">
        <v>667</v>
      </c>
      <c r="D2201" t="s">
        <v>15</v>
      </c>
      <c r="E2201" s="5">
        <v>3000</v>
      </c>
      <c r="F2201" s="3">
        <v>2700</v>
      </c>
      <c r="G2201" s="3">
        <v>1890</v>
      </c>
      <c r="I2201" s="2" t="s">
        <v>187</v>
      </c>
      <c r="J2201" s="2" t="s">
        <v>188</v>
      </c>
      <c r="K2201" t="s">
        <v>18</v>
      </c>
      <c r="L2201" t="str">
        <f>T("9791164833559")</f>
        <v>9791164833559</v>
      </c>
      <c r="M2201" t="str">
        <f t="shared" si="95"/>
        <v/>
      </c>
      <c r="N2201" t="s">
        <v>668</v>
      </c>
    </row>
    <row r="2202" spans="1:14">
      <c r="A2202" s="1">
        <v>46071.010462962964</v>
      </c>
      <c r="B2202">
        <v>379527594</v>
      </c>
      <c r="C2202" s="2" t="s">
        <v>460</v>
      </c>
      <c r="D2202" t="s">
        <v>15</v>
      </c>
      <c r="E2202" s="5">
        <v>1000</v>
      </c>
      <c r="F2202" s="3">
        <v>1000</v>
      </c>
      <c r="G2202" s="2">
        <v>700</v>
      </c>
      <c r="I2202" s="2" t="s">
        <v>296</v>
      </c>
      <c r="J2202" s="2" t="s">
        <v>21</v>
      </c>
      <c r="K2202" t="s">
        <v>18</v>
      </c>
      <c r="L2202" t="str">
        <f>T("9791175581258")</f>
        <v>9791175581258</v>
      </c>
      <c r="M2202" t="str">
        <f t="shared" si="95"/>
        <v/>
      </c>
      <c r="N2202" t="s">
        <v>461</v>
      </c>
    </row>
    <row r="2203" spans="1:14">
      <c r="A2203" s="1">
        <v>46071.010983796295</v>
      </c>
      <c r="B2203">
        <v>277935781</v>
      </c>
      <c r="C2203" s="2" t="s">
        <v>2308</v>
      </c>
      <c r="D2203" t="s">
        <v>15</v>
      </c>
      <c r="E2203" s="4">
        <v>100</v>
      </c>
      <c r="F2203" s="2">
        <v>100</v>
      </c>
      <c r="G2203" s="2">
        <v>70</v>
      </c>
      <c r="I2203" s="2" t="s">
        <v>64</v>
      </c>
      <c r="J2203" s="2" t="s">
        <v>65</v>
      </c>
      <c r="K2203" t="s">
        <v>18</v>
      </c>
      <c r="L2203" t="str">
        <f t="shared" ref="L2203:L2212" si="96">T("9791162589724")</f>
        <v>9791162589724</v>
      </c>
      <c r="M2203" t="str">
        <f t="shared" si="95"/>
        <v/>
      </c>
      <c r="N2203" t="s">
        <v>2309</v>
      </c>
    </row>
    <row r="2204" spans="1:14">
      <c r="A2204" s="1">
        <v>46071.010983796295</v>
      </c>
      <c r="B2204">
        <v>277935785</v>
      </c>
      <c r="C2204" s="2" t="s">
        <v>2310</v>
      </c>
      <c r="D2204" t="s">
        <v>15</v>
      </c>
      <c r="E2204" s="4">
        <v>100</v>
      </c>
      <c r="F2204" s="2">
        <v>100</v>
      </c>
      <c r="G2204" s="2">
        <v>70</v>
      </c>
      <c r="I2204" s="2" t="s">
        <v>64</v>
      </c>
      <c r="J2204" s="2" t="s">
        <v>65</v>
      </c>
      <c r="K2204" t="s">
        <v>18</v>
      </c>
      <c r="L2204" t="str">
        <f t="shared" si="96"/>
        <v>9791162589724</v>
      </c>
      <c r="M2204" t="str">
        <f t="shared" si="95"/>
        <v/>
      </c>
      <c r="N2204" t="s">
        <v>2311</v>
      </c>
    </row>
    <row r="2205" spans="1:14">
      <c r="A2205" s="1">
        <v>46071.010983796295</v>
      </c>
      <c r="B2205">
        <v>277935823</v>
      </c>
      <c r="C2205" s="2" t="s">
        <v>2312</v>
      </c>
      <c r="D2205" t="s">
        <v>15</v>
      </c>
      <c r="E2205" s="4">
        <v>100</v>
      </c>
      <c r="F2205" s="2">
        <v>100</v>
      </c>
      <c r="G2205" s="2">
        <v>70</v>
      </c>
      <c r="I2205" s="2" t="s">
        <v>64</v>
      </c>
      <c r="J2205" s="2" t="s">
        <v>65</v>
      </c>
      <c r="K2205" t="s">
        <v>18</v>
      </c>
      <c r="L2205" t="str">
        <f t="shared" si="96"/>
        <v>9791162589724</v>
      </c>
      <c r="M2205" t="str">
        <f t="shared" si="95"/>
        <v/>
      </c>
      <c r="N2205" t="s">
        <v>2313</v>
      </c>
    </row>
    <row r="2206" spans="1:14">
      <c r="A2206" s="1">
        <v>46071.010983796295</v>
      </c>
      <c r="B2206">
        <v>277935824</v>
      </c>
      <c r="C2206" s="2" t="s">
        <v>2314</v>
      </c>
      <c r="D2206" t="s">
        <v>15</v>
      </c>
      <c r="E2206" s="4">
        <v>100</v>
      </c>
      <c r="F2206" s="2">
        <v>100</v>
      </c>
      <c r="G2206" s="2">
        <v>70</v>
      </c>
      <c r="I2206" s="2" t="s">
        <v>64</v>
      </c>
      <c r="J2206" s="2" t="s">
        <v>65</v>
      </c>
      <c r="K2206" t="s">
        <v>18</v>
      </c>
      <c r="L2206" t="str">
        <f t="shared" si="96"/>
        <v>9791162589724</v>
      </c>
      <c r="M2206" t="str">
        <f t="shared" si="95"/>
        <v/>
      </c>
      <c r="N2206" t="s">
        <v>2315</v>
      </c>
    </row>
    <row r="2207" spans="1:14">
      <c r="A2207" s="1">
        <v>46071.010983796295</v>
      </c>
      <c r="B2207">
        <v>277935821</v>
      </c>
      <c r="C2207" s="2" t="s">
        <v>2316</v>
      </c>
      <c r="D2207" t="s">
        <v>15</v>
      </c>
      <c r="E2207" s="4">
        <v>100</v>
      </c>
      <c r="F2207" s="2">
        <v>100</v>
      </c>
      <c r="G2207" s="2">
        <v>70</v>
      </c>
      <c r="I2207" s="2" t="s">
        <v>64</v>
      </c>
      <c r="J2207" s="2" t="s">
        <v>65</v>
      </c>
      <c r="K2207" t="s">
        <v>18</v>
      </c>
      <c r="L2207" t="str">
        <f t="shared" si="96"/>
        <v>9791162589724</v>
      </c>
      <c r="M2207" t="str">
        <f t="shared" si="95"/>
        <v/>
      </c>
      <c r="N2207" t="s">
        <v>2317</v>
      </c>
    </row>
    <row r="2208" spans="1:14">
      <c r="A2208" s="1">
        <v>46071.010983796295</v>
      </c>
      <c r="B2208">
        <v>277935742</v>
      </c>
      <c r="C2208" s="2" t="s">
        <v>2318</v>
      </c>
      <c r="D2208" t="s">
        <v>15</v>
      </c>
      <c r="E2208" s="4">
        <v>100</v>
      </c>
      <c r="F2208" s="2">
        <v>100</v>
      </c>
      <c r="G2208" s="2">
        <v>70</v>
      </c>
      <c r="I2208" s="2" t="s">
        <v>64</v>
      </c>
      <c r="J2208" s="2" t="s">
        <v>65</v>
      </c>
      <c r="K2208" t="s">
        <v>18</v>
      </c>
      <c r="L2208" t="str">
        <f t="shared" si="96"/>
        <v>9791162589724</v>
      </c>
      <c r="M2208" t="str">
        <f t="shared" si="95"/>
        <v/>
      </c>
      <c r="N2208" t="s">
        <v>2319</v>
      </c>
    </row>
    <row r="2209" spans="1:14">
      <c r="A2209" s="1">
        <v>46071.010983796295</v>
      </c>
      <c r="B2209">
        <v>277935746</v>
      </c>
      <c r="C2209" s="2" t="s">
        <v>2320</v>
      </c>
      <c r="D2209" t="s">
        <v>15</v>
      </c>
      <c r="E2209" s="4">
        <v>100</v>
      </c>
      <c r="F2209" s="2">
        <v>100</v>
      </c>
      <c r="G2209" s="2">
        <v>70</v>
      </c>
      <c r="I2209" s="2" t="s">
        <v>64</v>
      </c>
      <c r="J2209" s="2" t="s">
        <v>65</v>
      </c>
      <c r="K2209" t="s">
        <v>18</v>
      </c>
      <c r="L2209" t="str">
        <f t="shared" si="96"/>
        <v>9791162589724</v>
      </c>
      <c r="M2209" t="str">
        <f t="shared" si="95"/>
        <v/>
      </c>
      <c r="N2209" t="s">
        <v>2321</v>
      </c>
    </row>
    <row r="2210" spans="1:14">
      <c r="A2210" s="1">
        <v>46071.010983796295</v>
      </c>
      <c r="B2210">
        <v>277935827</v>
      </c>
      <c r="C2210" s="2" t="s">
        <v>2322</v>
      </c>
      <c r="D2210" t="s">
        <v>15</v>
      </c>
      <c r="E2210" s="4">
        <v>100</v>
      </c>
      <c r="F2210" s="2">
        <v>100</v>
      </c>
      <c r="G2210" s="2">
        <v>70</v>
      </c>
      <c r="I2210" s="2" t="s">
        <v>64</v>
      </c>
      <c r="J2210" s="2" t="s">
        <v>65</v>
      </c>
      <c r="K2210" t="s">
        <v>18</v>
      </c>
      <c r="L2210" t="str">
        <f t="shared" si="96"/>
        <v>9791162589724</v>
      </c>
      <c r="M2210" t="str">
        <f t="shared" si="95"/>
        <v/>
      </c>
      <c r="N2210" t="s">
        <v>2323</v>
      </c>
    </row>
    <row r="2211" spans="1:14">
      <c r="A2211" s="1">
        <v>46071.010983796295</v>
      </c>
      <c r="B2211">
        <v>277935547</v>
      </c>
      <c r="C2211" s="2" t="s">
        <v>2324</v>
      </c>
      <c r="D2211" t="s">
        <v>15</v>
      </c>
      <c r="E2211" s="4">
        <v>100</v>
      </c>
      <c r="F2211" s="2">
        <v>100</v>
      </c>
      <c r="G2211" s="2">
        <v>70</v>
      </c>
      <c r="I2211" s="2" t="s">
        <v>64</v>
      </c>
      <c r="J2211" s="2" t="s">
        <v>65</v>
      </c>
      <c r="K2211" t="s">
        <v>18</v>
      </c>
      <c r="L2211" t="str">
        <f t="shared" si="96"/>
        <v>9791162589724</v>
      </c>
      <c r="M2211" t="str">
        <f t="shared" si="95"/>
        <v/>
      </c>
      <c r="N2211" t="s">
        <v>2325</v>
      </c>
    </row>
    <row r="2212" spans="1:14">
      <c r="A2212" s="1">
        <v>46071.010983796295</v>
      </c>
      <c r="B2212">
        <v>277935543</v>
      </c>
      <c r="C2212" s="2" t="s">
        <v>2326</v>
      </c>
      <c r="D2212" t="s">
        <v>15</v>
      </c>
      <c r="E2212" s="4">
        <v>100</v>
      </c>
      <c r="F2212" s="2">
        <v>100</v>
      </c>
      <c r="G2212" s="2">
        <v>70</v>
      </c>
      <c r="I2212" s="2" t="s">
        <v>64</v>
      </c>
      <c r="J2212" s="2" t="s">
        <v>65</v>
      </c>
      <c r="K2212" t="s">
        <v>18</v>
      </c>
      <c r="L2212" t="str">
        <f t="shared" si="96"/>
        <v>9791162589724</v>
      </c>
      <c r="M2212" t="str">
        <f t="shared" si="95"/>
        <v/>
      </c>
      <c r="N2212" t="s">
        <v>2327</v>
      </c>
    </row>
    <row r="2213" spans="1:14">
      <c r="A2213" s="1">
        <v>46071.015081018515</v>
      </c>
      <c r="B2213">
        <v>325730673</v>
      </c>
      <c r="C2213" s="2" t="s">
        <v>539</v>
      </c>
      <c r="D2213" t="s">
        <v>15</v>
      </c>
      <c r="E2213" s="5">
        <v>3000</v>
      </c>
      <c r="F2213" s="3">
        <v>3000</v>
      </c>
      <c r="G2213" s="3">
        <v>2100</v>
      </c>
      <c r="I2213" s="2" t="s">
        <v>540</v>
      </c>
      <c r="J2213" s="2" t="s">
        <v>197</v>
      </c>
      <c r="K2213" t="s">
        <v>18</v>
      </c>
      <c r="L2213" t="str">
        <f>T("9791164098538")</f>
        <v>9791164098538</v>
      </c>
      <c r="M2213" t="str">
        <f t="shared" si="95"/>
        <v/>
      </c>
      <c r="N2213" t="s">
        <v>541</v>
      </c>
    </row>
    <row r="2214" spans="1:14">
      <c r="A2214" s="1">
        <v>46071.016215277778</v>
      </c>
      <c r="B2214">
        <v>277935483</v>
      </c>
      <c r="C2214" s="2" t="s">
        <v>786</v>
      </c>
      <c r="D2214" t="s">
        <v>15</v>
      </c>
      <c r="E2214" s="4">
        <v>100</v>
      </c>
      <c r="F2214" s="2">
        <v>100</v>
      </c>
      <c r="G2214" s="2">
        <v>70</v>
      </c>
      <c r="I2214" s="2" t="s">
        <v>64</v>
      </c>
      <c r="J2214" s="2" t="s">
        <v>65</v>
      </c>
      <c r="K2214" t="s">
        <v>18</v>
      </c>
      <c r="L2214" t="str">
        <f>T("9791162589724")</f>
        <v>9791162589724</v>
      </c>
      <c r="M2214" t="str">
        <f t="shared" si="95"/>
        <v/>
      </c>
      <c r="N2214" t="s">
        <v>787</v>
      </c>
    </row>
    <row r="2215" spans="1:14">
      <c r="A2215" s="1">
        <v>46071.016215277778</v>
      </c>
      <c r="B2215">
        <v>277935681</v>
      </c>
      <c r="C2215" s="2" t="s">
        <v>607</v>
      </c>
      <c r="D2215" t="s">
        <v>15</v>
      </c>
      <c r="E2215" s="4">
        <v>100</v>
      </c>
      <c r="F2215" s="2">
        <v>100</v>
      </c>
      <c r="G2215" s="2">
        <v>70</v>
      </c>
      <c r="I2215" s="2" t="s">
        <v>64</v>
      </c>
      <c r="J2215" s="2" t="s">
        <v>65</v>
      </c>
      <c r="K2215" t="s">
        <v>18</v>
      </c>
      <c r="L2215" t="str">
        <f>T("9791162589724")</f>
        <v>9791162589724</v>
      </c>
      <c r="M2215" t="str">
        <f t="shared" si="95"/>
        <v/>
      </c>
      <c r="N2215" t="s">
        <v>608</v>
      </c>
    </row>
    <row r="2216" spans="1:14">
      <c r="A2216" s="1">
        <v>46071.016215277778</v>
      </c>
      <c r="B2216">
        <v>277935636</v>
      </c>
      <c r="C2216" s="2" t="s">
        <v>601</v>
      </c>
      <c r="D2216" t="s">
        <v>15</v>
      </c>
      <c r="E2216" s="4">
        <v>100</v>
      </c>
      <c r="F2216" s="2">
        <v>100</v>
      </c>
      <c r="G2216" s="2">
        <v>70</v>
      </c>
      <c r="I2216" s="2" t="s">
        <v>64</v>
      </c>
      <c r="J2216" s="2" t="s">
        <v>65</v>
      </c>
      <c r="K2216" t="s">
        <v>18</v>
      </c>
      <c r="L2216" t="str">
        <f>T("9791162589724")</f>
        <v>9791162589724</v>
      </c>
      <c r="M2216" t="str">
        <f t="shared" si="95"/>
        <v/>
      </c>
      <c r="N2216" t="s">
        <v>602</v>
      </c>
    </row>
    <row r="2217" spans="1:14">
      <c r="A2217" s="1">
        <v>46071.016215277778</v>
      </c>
      <c r="B2217">
        <v>277935735</v>
      </c>
      <c r="C2217" s="2" t="s">
        <v>788</v>
      </c>
      <c r="D2217" t="s">
        <v>15</v>
      </c>
      <c r="E2217" s="4">
        <v>100</v>
      </c>
      <c r="F2217" s="2">
        <v>100</v>
      </c>
      <c r="G2217" s="2">
        <v>70</v>
      </c>
      <c r="I2217" s="2" t="s">
        <v>64</v>
      </c>
      <c r="J2217" s="2" t="s">
        <v>65</v>
      </c>
      <c r="K2217" t="s">
        <v>18</v>
      </c>
      <c r="L2217" t="str">
        <f>T("9791162589724")</f>
        <v>9791162589724</v>
      </c>
      <c r="M2217" t="str">
        <f t="shared" si="95"/>
        <v/>
      </c>
      <c r="N2217" t="s">
        <v>789</v>
      </c>
    </row>
    <row r="2218" spans="1:14">
      <c r="A2218" s="1">
        <v>46071.016215277778</v>
      </c>
      <c r="B2218">
        <v>277935733</v>
      </c>
      <c r="C2218" s="2" t="s">
        <v>625</v>
      </c>
      <c r="D2218" t="s">
        <v>15</v>
      </c>
      <c r="E2218" s="4">
        <v>100</v>
      </c>
      <c r="F2218" s="2">
        <v>100</v>
      </c>
      <c r="G2218" s="2">
        <v>70</v>
      </c>
      <c r="I2218" s="2" t="s">
        <v>64</v>
      </c>
      <c r="J2218" s="2" t="s">
        <v>65</v>
      </c>
      <c r="K2218" t="s">
        <v>18</v>
      </c>
      <c r="L2218" t="str">
        <f>T("9791162589724")</f>
        <v>9791162589724</v>
      </c>
      <c r="M2218" t="str">
        <f t="shared" si="95"/>
        <v/>
      </c>
      <c r="N2218" t="s">
        <v>626</v>
      </c>
    </row>
    <row r="2219" spans="1:14">
      <c r="A2219" s="1">
        <v>46071.017766203702</v>
      </c>
      <c r="B2219">
        <v>386057128</v>
      </c>
      <c r="C2219" s="2" t="s">
        <v>1797</v>
      </c>
      <c r="D2219" t="s">
        <v>15</v>
      </c>
      <c r="E2219" s="5">
        <v>16800</v>
      </c>
      <c r="F2219" s="3">
        <v>16800</v>
      </c>
      <c r="G2219" s="3">
        <v>11760</v>
      </c>
      <c r="I2219" s="2" t="s">
        <v>540</v>
      </c>
      <c r="J2219" s="2" t="s">
        <v>197</v>
      </c>
      <c r="K2219" t="s">
        <v>18</v>
      </c>
      <c r="L2219" t="str">
        <f>T("9791164098934")</f>
        <v>9791164098934</v>
      </c>
      <c r="M2219" t="str">
        <f t="shared" si="95"/>
        <v/>
      </c>
    </row>
    <row r="2220" spans="1:14">
      <c r="A2220" s="1">
        <v>46071.01902777778</v>
      </c>
      <c r="B2220">
        <v>333973871</v>
      </c>
      <c r="C2220" s="2" t="s">
        <v>2328</v>
      </c>
      <c r="D2220" t="s">
        <v>15</v>
      </c>
      <c r="E2220" s="5">
        <v>1000</v>
      </c>
      <c r="F2220" s="3">
        <v>1000</v>
      </c>
      <c r="G2220" s="2">
        <v>700</v>
      </c>
      <c r="I2220" s="2" t="s">
        <v>293</v>
      </c>
      <c r="J2220" s="2" t="s">
        <v>21</v>
      </c>
      <c r="K2220" t="s">
        <v>18</v>
      </c>
      <c r="L2220" t="str">
        <f>T("9791170892311")</f>
        <v>9791170892311</v>
      </c>
      <c r="M2220" t="str">
        <f t="shared" si="95"/>
        <v/>
      </c>
      <c r="N2220" t="s">
        <v>2329</v>
      </c>
    </row>
    <row r="2221" spans="1:14">
      <c r="A2221" s="1">
        <v>46071.01902777778</v>
      </c>
      <c r="B2221">
        <v>329639666</v>
      </c>
      <c r="C2221" s="2" t="s">
        <v>2330</v>
      </c>
      <c r="D2221" t="s">
        <v>15</v>
      </c>
      <c r="E2221" s="5">
        <v>1000</v>
      </c>
      <c r="F2221" s="3">
        <v>1000</v>
      </c>
      <c r="G2221" s="2">
        <v>700</v>
      </c>
      <c r="I2221" s="2" t="s">
        <v>293</v>
      </c>
      <c r="J2221" s="2" t="s">
        <v>21</v>
      </c>
      <c r="K2221" t="s">
        <v>18</v>
      </c>
      <c r="L2221" t="str">
        <f>T("9791170890034")</f>
        <v>9791170890034</v>
      </c>
      <c r="M2221" t="str">
        <f t="shared" si="95"/>
        <v/>
      </c>
      <c r="N2221" t="s">
        <v>2331</v>
      </c>
    </row>
    <row r="2222" spans="1:14">
      <c r="A2222" s="1">
        <v>46071.01902777778</v>
      </c>
      <c r="B2222">
        <v>365291638</v>
      </c>
      <c r="C2222" s="2" t="s">
        <v>2332</v>
      </c>
      <c r="D2222" t="s">
        <v>15</v>
      </c>
      <c r="E2222" s="5">
        <v>1000</v>
      </c>
      <c r="F2222" s="3">
        <v>1000</v>
      </c>
      <c r="G2222" s="2">
        <v>700</v>
      </c>
      <c r="I2222" s="2" t="s">
        <v>293</v>
      </c>
      <c r="J2222" s="2" t="s">
        <v>21</v>
      </c>
      <c r="K2222" t="s">
        <v>18</v>
      </c>
      <c r="L2222" t="str">
        <f>T("9791170895350")</f>
        <v>9791170895350</v>
      </c>
      <c r="M2222" t="str">
        <f t="shared" si="95"/>
        <v/>
      </c>
      <c r="N2222" t="s">
        <v>2333</v>
      </c>
    </row>
    <row r="2223" spans="1:14">
      <c r="A2223" s="1">
        <v>46071.01902777778</v>
      </c>
      <c r="B2223">
        <v>367570934</v>
      </c>
      <c r="C2223" s="2" t="s">
        <v>292</v>
      </c>
      <c r="D2223" t="s">
        <v>15</v>
      </c>
      <c r="E2223" s="5">
        <v>1000</v>
      </c>
      <c r="F2223" s="3">
        <v>1000</v>
      </c>
      <c r="G2223" s="2">
        <v>700</v>
      </c>
      <c r="I2223" s="2" t="s">
        <v>293</v>
      </c>
      <c r="J2223" s="2" t="s">
        <v>21</v>
      </c>
      <c r="K2223" t="s">
        <v>18</v>
      </c>
      <c r="L2223" t="str">
        <f>T("9791173015779")</f>
        <v>9791173015779</v>
      </c>
      <c r="M2223" t="str">
        <f t="shared" si="95"/>
        <v/>
      </c>
      <c r="N2223" t="s">
        <v>294</v>
      </c>
    </row>
    <row r="2224" spans="1:14">
      <c r="A2224" s="1">
        <v>46071.020567129628</v>
      </c>
      <c r="B2224">
        <v>386057121</v>
      </c>
      <c r="C2224" s="2" t="s">
        <v>1832</v>
      </c>
      <c r="D2224" t="s">
        <v>15</v>
      </c>
      <c r="E2224" s="5">
        <v>5760</v>
      </c>
      <c r="F2224" s="3">
        <v>5760</v>
      </c>
      <c r="G2224" s="3">
        <v>4032</v>
      </c>
      <c r="I2224" s="2" t="s">
        <v>1833</v>
      </c>
      <c r="J2224" s="2" t="s">
        <v>21</v>
      </c>
      <c r="K2224" t="s">
        <v>18</v>
      </c>
      <c r="L2224" t="str">
        <f>T("9791175581562")</f>
        <v>9791175581562</v>
      </c>
      <c r="M2224" t="str">
        <f t="shared" si="95"/>
        <v/>
      </c>
    </row>
    <row r="2225" spans="1:14">
      <c r="A2225" s="1">
        <v>46071.028935185182</v>
      </c>
      <c r="B2225">
        <v>377095688</v>
      </c>
      <c r="C2225" s="2" t="s">
        <v>1608</v>
      </c>
      <c r="D2225" t="s">
        <v>68</v>
      </c>
      <c r="E2225" s="5">
        <v>13600</v>
      </c>
      <c r="F2225" s="3">
        <v>13600</v>
      </c>
      <c r="G2225" s="3">
        <v>9520</v>
      </c>
      <c r="I2225" s="2" t="s">
        <v>183</v>
      </c>
      <c r="J2225" s="2" t="s">
        <v>184</v>
      </c>
      <c r="K2225" t="s">
        <v>18</v>
      </c>
      <c r="L2225" t="str">
        <f>T("9791170965244")</f>
        <v>9791170965244</v>
      </c>
      <c r="M2225" t="str">
        <f t="shared" si="95"/>
        <v/>
      </c>
    </row>
    <row r="2226" spans="1:14">
      <c r="A2226" s="1">
        <v>46071.031365740739</v>
      </c>
      <c r="B2226">
        <v>364579911</v>
      </c>
      <c r="C2226" s="2" t="s">
        <v>1399</v>
      </c>
      <c r="D2226" t="s">
        <v>15</v>
      </c>
      <c r="E2226" s="5">
        <v>1000</v>
      </c>
      <c r="F2226" s="3">
        <v>1000</v>
      </c>
      <c r="G2226" s="2">
        <v>700</v>
      </c>
      <c r="I2226" s="2" t="s">
        <v>148</v>
      </c>
      <c r="J2226" s="2" t="s">
        <v>21</v>
      </c>
      <c r="K2226" t="s">
        <v>18</v>
      </c>
      <c r="L2226" t="str">
        <f>T("9791173014239")</f>
        <v>9791173014239</v>
      </c>
      <c r="M2226" t="str">
        <f t="shared" si="95"/>
        <v/>
      </c>
      <c r="N2226" t="s">
        <v>1400</v>
      </c>
    </row>
    <row r="2227" spans="1:14">
      <c r="A2227" s="1">
        <v>46071.03229166667</v>
      </c>
      <c r="B2227">
        <v>382626257</v>
      </c>
      <c r="C2227" s="2" t="s">
        <v>152</v>
      </c>
      <c r="D2227" t="s">
        <v>15</v>
      </c>
      <c r="E2227" s="5">
        <v>1000</v>
      </c>
      <c r="F2227" s="3">
        <v>1000</v>
      </c>
      <c r="G2227" s="2">
        <v>700</v>
      </c>
      <c r="I2227" s="2" t="s">
        <v>148</v>
      </c>
      <c r="J2227" s="2" t="s">
        <v>21</v>
      </c>
      <c r="K2227" t="s">
        <v>18</v>
      </c>
      <c r="L2227" t="str">
        <f>T("9791175581906")</f>
        <v>9791175581906</v>
      </c>
      <c r="M2227" t="str">
        <f t="shared" si="95"/>
        <v/>
      </c>
      <c r="N2227" t="s">
        <v>153</v>
      </c>
    </row>
    <row r="2228" spans="1:14">
      <c r="A2228" s="1">
        <v>46071.048032407409</v>
      </c>
      <c r="B2228">
        <v>382628198</v>
      </c>
      <c r="C2228" s="2" t="s">
        <v>32</v>
      </c>
      <c r="D2228" t="s">
        <v>15</v>
      </c>
      <c r="E2228" s="5">
        <v>1000</v>
      </c>
      <c r="F2228" s="3">
        <v>1000</v>
      </c>
      <c r="G2228" s="2">
        <v>700</v>
      </c>
      <c r="I2228" s="2" t="s">
        <v>28</v>
      </c>
      <c r="J2228" s="2" t="s">
        <v>21</v>
      </c>
      <c r="K2228" t="s">
        <v>18</v>
      </c>
      <c r="L2228" t="str">
        <f>T("9791175581470")</f>
        <v>9791175581470</v>
      </c>
      <c r="M2228" t="str">
        <f t="shared" si="95"/>
        <v/>
      </c>
      <c r="N2228" t="s">
        <v>33</v>
      </c>
    </row>
    <row r="2229" spans="1:14">
      <c r="A2229" s="1">
        <v>46071.048298611109</v>
      </c>
      <c r="B2229">
        <v>332726032</v>
      </c>
      <c r="C2229" s="2" t="s">
        <v>2334</v>
      </c>
      <c r="D2229" t="s">
        <v>15</v>
      </c>
      <c r="E2229" s="5">
        <v>1000</v>
      </c>
      <c r="F2229" s="3">
        <v>1000</v>
      </c>
      <c r="G2229" s="2">
        <v>700</v>
      </c>
      <c r="I2229" s="2">
        <v>5353</v>
      </c>
      <c r="J2229" s="2" t="s">
        <v>21</v>
      </c>
      <c r="K2229" t="s">
        <v>18</v>
      </c>
      <c r="L2229" t="str">
        <f>T("9791170894186")</f>
        <v>9791170894186</v>
      </c>
      <c r="M2229" t="str">
        <f t="shared" si="95"/>
        <v/>
      </c>
      <c r="N2229" t="s">
        <v>2335</v>
      </c>
    </row>
    <row r="2230" spans="1:14">
      <c r="A2230" s="1">
        <v>46071.049571759257</v>
      </c>
      <c r="B2230">
        <v>380789530</v>
      </c>
      <c r="C2230" s="2" t="s">
        <v>1854</v>
      </c>
      <c r="D2230" t="s">
        <v>68</v>
      </c>
      <c r="E2230" s="5">
        <v>4640</v>
      </c>
      <c r="F2230" s="3">
        <v>4640</v>
      </c>
      <c r="G2230" s="3">
        <v>3248</v>
      </c>
      <c r="I2230" s="2" t="s">
        <v>1098</v>
      </c>
      <c r="J2230" s="2" t="s">
        <v>126</v>
      </c>
      <c r="K2230" t="s">
        <v>18</v>
      </c>
      <c r="L2230" t="str">
        <f>T("9791171502462")</f>
        <v>9791171502462</v>
      </c>
      <c r="M2230" t="str">
        <f t="shared" si="95"/>
        <v/>
      </c>
    </row>
    <row r="2231" spans="1:14">
      <c r="A2231" s="1">
        <v>46071.0546875</v>
      </c>
      <c r="B2231">
        <v>372487137</v>
      </c>
      <c r="C2231" s="2" t="s">
        <v>147</v>
      </c>
      <c r="D2231" t="s">
        <v>15</v>
      </c>
      <c r="E2231" s="5">
        <v>1000</v>
      </c>
      <c r="F2231" s="3">
        <v>1000</v>
      </c>
      <c r="G2231" s="2">
        <v>700</v>
      </c>
      <c r="I2231" s="2" t="s">
        <v>148</v>
      </c>
      <c r="J2231" s="2" t="s">
        <v>21</v>
      </c>
      <c r="K2231" t="s">
        <v>18</v>
      </c>
      <c r="L2231" t="str">
        <f>T("9791173017797")</f>
        <v>9791173017797</v>
      </c>
      <c r="M2231" t="str">
        <f t="shared" si="95"/>
        <v/>
      </c>
      <c r="N2231" t="s">
        <v>149</v>
      </c>
    </row>
    <row r="2232" spans="1:14">
      <c r="A2232" s="1">
        <v>46071.060868055552</v>
      </c>
      <c r="B2232">
        <v>372487137</v>
      </c>
      <c r="C2232" s="2" t="s">
        <v>147</v>
      </c>
      <c r="D2232" t="s">
        <v>15</v>
      </c>
      <c r="E2232" s="5">
        <v>-1000</v>
      </c>
      <c r="F2232" s="3">
        <v>-1000</v>
      </c>
      <c r="G2232" s="2">
        <v>-700</v>
      </c>
      <c r="H2232" s="1">
        <v>46071.0546875</v>
      </c>
      <c r="I2232" s="2" t="s">
        <v>148</v>
      </c>
      <c r="J2232" s="2" t="s">
        <v>21</v>
      </c>
      <c r="K2232" t="s">
        <v>18</v>
      </c>
      <c r="L2232" t="str">
        <f>T("9791173017797")</f>
        <v>9791173017797</v>
      </c>
      <c r="M2232" t="str">
        <f t="shared" ref="M2232:M2263" si="97">T("")</f>
        <v/>
      </c>
      <c r="N2232" t="s">
        <v>149</v>
      </c>
    </row>
    <row r="2233" spans="1:14">
      <c r="A2233" s="1">
        <v>46071.067673611113</v>
      </c>
      <c r="B2233">
        <v>385347717</v>
      </c>
      <c r="C2233" s="2" t="s">
        <v>2336</v>
      </c>
      <c r="D2233" t="s">
        <v>15</v>
      </c>
      <c r="E2233" s="5">
        <v>3400</v>
      </c>
      <c r="F2233" s="3">
        <v>3400</v>
      </c>
      <c r="G2233" s="3">
        <v>2380</v>
      </c>
      <c r="I2233" s="2" t="s">
        <v>2337</v>
      </c>
      <c r="J2233" s="2" t="s">
        <v>184</v>
      </c>
      <c r="K2233" t="s">
        <v>18</v>
      </c>
      <c r="L2233" t="str">
        <f>T("9791170965121")</f>
        <v>9791170965121</v>
      </c>
      <c r="M2233" t="str">
        <f t="shared" si="97"/>
        <v/>
      </c>
      <c r="N2233" t="s">
        <v>2338</v>
      </c>
    </row>
    <row r="2234" spans="1:14">
      <c r="A2234" s="1">
        <v>46071.069236111114</v>
      </c>
      <c r="B2234">
        <v>382628157</v>
      </c>
      <c r="C2234" s="2" t="s">
        <v>462</v>
      </c>
      <c r="D2234" t="s">
        <v>15</v>
      </c>
      <c r="E2234" s="5">
        <v>1000</v>
      </c>
      <c r="F2234" s="3">
        <v>1000</v>
      </c>
      <c r="G2234" s="2">
        <v>700</v>
      </c>
      <c r="I2234" s="2" t="s">
        <v>28</v>
      </c>
      <c r="J2234" s="2" t="s">
        <v>21</v>
      </c>
      <c r="K2234" t="s">
        <v>18</v>
      </c>
      <c r="L2234" t="str">
        <f>T("9791175581739")</f>
        <v>9791175581739</v>
      </c>
      <c r="M2234" t="str">
        <f t="shared" si="97"/>
        <v/>
      </c>
      <c r="N2234" t="s">
        <v>463</v>
      </c>
    </row>
    <row r="2235" spans="1:14">
      <c r="A2235" s="1">
        <v>46071.070972222224</v>
      </c>
      <c r="B2235">
        <v>385347938</v>
      </c>
      <c r="C2235" s="2" t="s">
        <v>2339</v>
      </c>
      <c r="D2235" t="s">
        <v>15</v>
      </c>
      <c r="E2235" s="5">
        <v>3400</v>
      </c>
      <c r="F2235" s="3">
        <v>3400</v>
      </c>
      <c r="G2235" s="3">
        <v>2380</v>
      </c>
      <c r="I2235" s="2" t="s">
        <v>2337</v>
      </c>
      <c r="J2235" s="2" t="s">
        <v>184</v>
      </c>
      <c r="K2235" t="s">
        <v>18</v>
      </c>
      <c r="L2235" t="str">
        <f>T("9791170965138")</f>
        <v>9791170965138</v>
      </c>
      <c r="M2235" t="str">
        <f t="shared" si="97"/>
        <v/>
      </c>
      <c r="N2235" t="s">
        <v>2340</v>
      </c>
    </row>
    <row r="2236" spans="1:14">
      <c r="A2236" s="1">
        <v>46071.079131944447</v>
      </c>
      <c r="B2236">
        <v>382626257</v>
      </c>
      <c r="C2236" s="2" t="s">
        <v>152</v>
      </c>
      <c r="D2236" t="s">
        <v>15</v>
      </c>
      <c r="E2236" s="5">
        <v>1000</v>
      </c>
      <c r="F2236" s="3">
        <v>1000</v>
      </c>
      <c r="G2236" s="2">
        <v>700</v>
      </c>
      <c r="I2236" s="2" t="s">
        <v>148</v>
      </c>
      <c r="J2236" s="2" t="s">
        <v>21</v>
      </c>
      <c r="K2236" t="s">
        <v>18</v>
      </c>
      <c r="L2236" t="str">
        <f>T("9791175581906")</f>
        <v>9791175581906</v>
      </c>
      <c r="M2236" t="str">
        <f t="shared" si="97"/>
        <v/>
      </c>
      <c r="N2236" t="s">
        <v>153</v>
      </c>
    </row>
    <row r="2237" spans="1:14">
      <c r="A2237" s="1">
        <v>46071.083645833336</v>
      </c>
      <c r="B2237">
        <v>277935736</v>
      </c>
      <c r="C2237" s="2" t="s">
        <v>1763</v>
      </c>
      <c r="D2237" t="s">
        <v>15</v>
      </c>
      <c r="E2237" s="4">
        <v>100</v>
      </c>
      <c r="F2237" s="2">
        <v>100</v>
      </c>
      <c r="G2237" s="2">
        <v>70</v>
      </c>
      <c r="I2237" s="2" t="s">
        <v>64</v>
      </c>
      <c r="J2237" s="2" t="s">
        <v>65</v>
      </c>
      <c r="K2237" t="s">
        <v>18</v>
      </c>
      <c r="L2237" t="str">
        <f t="shared" ref="L2237:L2246" si="98">T("9791162589724")</f>
        <v>9791162589724</v>
      </c>
      <c r="M2237" t="str">
        <f t="shared" si="97"/>
        <v/>
      </c>
      <c r="N2237" t="s">
        <v>1764</v>
      </c>
    </row>
    <row r="2238" spans="1:14">
      <c r="A2238" s="1">
        <v>46071.083645833336</v>
      </c>
      <c r="B2238">
        <v>277935739</v>
      </c>
      <c r="C2238" s="2" t="s">
        <v>1949</v>
      </c>
      <c r="D2238" t="s">
        <v>15</v>
      </c>
      <c r="E2238" s="4">
        <v>100</v>
      </c>
      <c r="F2238" s="2">
        <v>100</v>
      </c>
      <c r="G2238" s="2">
        <v>70</v>
      </c>
      <c r="I2238" s="2" t="s">
        <v>64</v>
      </c>
      <c r="J2238" s="2" t="s">
        <v>65</v>
      </c>
      <c r="K2238" t="s">
        <v>18</v>
      </c>
      <c r="L2238" t="str">
        <f t="shared" si="98"/>
        <v>9791162589724</v>
      </c>
      <c r="M2238" t="str">
        <f t="shared" si="97"/>
        <v/>
      </c>
      <c r="N2238" t="s">
        <v>1950</v>
      </c>
    </row>
    <row r="2239" spans="1:14">
      <c r="A2239" s="1">
        <v>46071.083645833336</v>
      </c>
      <c r="B2239">
        <v>277935821</v>
      </c>
      <c r="C2239" s="2" t="s">
        <v>2316</v>
      </c>
      <c r="D2239" t="s">
        <v>15</v>
      </c>
      <c r="E2239" s="4">
        <v>100</v>
      </c>
      <c r="F2239" s="2">
        <v>100</v>
      </c>
      <c r="G2239" s="2">
        <v>70</v>
      </c>
      <c r="I2239" s="2" t="s">
        <v>64</v>
      </c>
      <c r="J2239" s="2" t="s">
        <v>65</v>
      </c>
      <c r="K2239" t="s">
        <v>18</v>
      </c>
      <c r="L2239" t="str">
        <f t="shared" si="98"/>
        <v>9791162589724</v>
      </c>
      <c r="M2239" t="str">
        <f t="shared" si="97"/>
        <v/>
      </c>
      <c r="N2239" t="s">
        <v>2317</v>
      </c>
    </row>
    <row r="2240" spans="1:14">
      <c r="A2240" s="1">
        <v>46071.083645833336</v>
      </c>
      <c r="B2240">
        <v>277935822</v>
      </c>
      <c r="C2240" s="2" t="s">
        <v>1953</v>
      </c>
      <c r="D2240" t="s">
        <v>15</v>
      </c>
      <c r="E2240" s="4">
        <v>100</v>
      </c>
      <c r="F2240" s="2">
        <v>100</v>
      </c>
      <c r="G2240" s="2">
        <v>70</v>
      </c>
      <c r="I2240" s="2" t="s">
        <v>64</v>
      </c>
      <c r="J2240" s="2" t="s">
        <v>65</v>
      </c>
      <c r="K2240" t="s">
        <v>18</v>
      </c>
      <c r="L2240" t="str">
        <f t="shared" si="98"/>
        <v>9791162589724</v>
      </c>
      <c r="M2240" t="str">
        <f t="shared" si="97"/>
        <v/>
      </c>
      <c r="N2240" t="s">
        <v>1954</v>
      </c>
    </row>
    <row r="2241" spans="1:14">
      <c r="A2241" s="1">
        <v>46071.083645833336</v>
      </c>
      <c r="B2241">
        <v>277935824</v>
      </c>
      <c r="C2241" s="2" t="s">
        <v>2314</v>
      </c>
      <c r="D2241" t="s">
        <v>15</v>
      </c>
      <c r="E2241" s="4">
        <v>100</v>
      </c>
      <c r="F2241" s="2">
        <v>100</v>
      </c>
      <c r="G2241" s="2">
        <v>70</v>
      </c>
      <c r="I2241" s="2" t="s">
        <v>64</v>
      </c>
      <c r="J2241" s="2" t="s">
        <v>65</v>
      </c>
      <c r="K2241" t="s">
        <v>18</v>
      </c>
      <c r="L2241" t="str">
        <f t="shared" si="98"/>
        <v>9791162589724</v>
      </c>
      <c r="M2241" t="str">
        <f t="shared" si="97"/>
        <v/>
      </c>
      <c r="N2241" t="s">
        <v>2315</v>
      </c>
    </row>
    <row r="2242" spans="1:14">
      <c r="A2242" s="1">
        <v>46071.083645833336</v>
      </c>
      <c r="B2242">
        <v>277935818</v>
      </c>
      <c r="C2242" s="2" t="s">
        <v>1951</v>
      </c>
      <c r="D2242" t="s">
        <v>15</v>
      </c>
      <c r="E2242" s="4">
        <v>100</v>
      </c>
      <c r="F2242" s="2">
        <v>100</v>
      </c>
      <c r="G2242" s="2">
        <v>70</v>
      </c>
      <c r="I2242" s="2" t="s">
        <v>64</v>
      </c>
      <c r="J2242" s="2" t="s">
        <v>65</v>
      </c>
      <c r="K2242" t="s">
        <v>18</v>
      </c>
      <c r="L2242" t="str">
        <f t="shared" si="98"/>
        <v>9791162589724</v>
      </c>
      <c r="M2242" t="str">
        <f t="shared" si="97"/>
        <v/>
      </c>
      <c r="N2242" t="s">
        <v>1952</v>
      </c>
    </row>
    <row r="2243" spans="1:14">
      <c r="A2243" s="1">
        <v>46071.083645833336</v>
      </c>
      <c r="B2243">
        <v>277935777</v>
      </c>
      <c r="C2243" s="2" t="s">
        <v>2073</v>
      </c>
      <c r="D2243" t="s">
        <v>15</v>
      </c>
      <c r="E2243" s="4">
        <v>100</v>
      </c>
      <c r="F2243" s="2">
        <v>100</v>
      </c>
      <c r="G2243" s="2">
        <v>70</v>
      </c>
      <c r="I2243" s="2" t="s">
        <v>64</v>
      </c>
      <c r="J2243" s="2" t="s">
        <v>65</v>
      </c>
      <c r="K2243" t="s">
        <v>18</v>
      </c>
      <c r="L2243" t="str">
        <f t="shared" si="98"/>
        <v>9791162589724</v>
      </c>
      <c r="M2243" t="str">
        <f t="shared" si="97"/>
        <v/>
      </c>
      <c r="N2243" t="s">
        <v>2074</v>
      </c>
    </row>
    <row r="2244" spans="1:14">
      <c r="A2244" s="1">
        <v>46071.083645833336</v>
      </c>
      <c r="B2244">
        <v>277935771</v>
      </c>
      <c r="C2244" s="2" t="s">
        <v>1955</v>
      </c>
      <c r="D2244" t="s">
        <v>15</v>
      </c>
      <c r="E2244" s="4">
        <v>100</v>
      </c>
      <c r="F2244" s="2">
        <v>100</v>
      </c>
      <c r="G2244" s="2">
        <v>70</v>
      </c>
      <c r="I2244" s="2" t="s">
        <v>64</v>
      </c>
      <c r="J2244" s="2" t="s">
        <v>65</v>
      </c>
      <c r="K2244" t="s">
        <v>18</v>
      </c>
      <c r="L2244" t="str">
        <f t="shared" si="98"/>
        <v>9791162589724</v>
      </c>
      <c r="M2244" t="str">
        <f t="shared" si="97"/>
        <v/>
      </c>
      <c r="N2244" t="s">
        <v>1956</v>
      </c>
    </row>
    <row r="2245" spans="1:14">
      <c r="A2245" s="1">
        <v>46071.083645833336</v>
      </c>
      <c r="B2245">
        <v>277935540</v>
      </c>
      <c r="C2245" s="2" t="s">
        <v>1947</v>
      </c>
      <c r="D2245" t="s">
        <v>15</v>
      </c>
      <c r="E2245" s="4">
        <v>100</v>
      </c>
      <c r="F2245" s="2">
        <v>100</v>
      </c>
      <c r="G2245" s="2">
        <v>70</v>
      </c>
      <c r="I2245" s="2" t="s">
        <v>64</v>
      </c>
      <c r="J2245" s="2" t="s">
        <v>65</v>
      </c>
      <c r="K2245" t="s">
        <v>18</v>
      </c>
      <c r="L2245" t="str">
        <f t="shared" si="98"/>
        <v>9791162589724</v>
      </c>
      <c r="M2245" t="str">
        <f t="shared" si="97"/>
        <v/>
      </c>
      <c r="N2245" t="s">
        <v>1948</v>
      </c>
    </row>
    <row r="2246" spans="1:14">
      <c r="A2246" s="1">
        <v>46071.083645833336</v>
      </c>
      <c r="B2246">
        <v>277935543</v>
      </c>
      <c r="C2246" s="2" t="s">
        <v>2326</v>
      </c>
      <c r="D2246" t="s">
        <v>15</v>
      </c>
      <c r="E2246" s="4">
        <v>100</v>
      </c>
      <c r="F2246" s="2">
        <v>100</v>
      </c>
      <c r="G2246" s="2">
        <v>70</v>
      </c>
      <c r="I2246" s="2" t="s">
        <v>64</v>
      </c>
      <c r="J2246" s="2" t="s">
        <v>65</v>
      </c>
      <c r="K2246" t="s">
        <v>18</v>
      </c>
      <c r="L2246" t="str">
        <f t="shared" si="98"/>
        <v>9791162589724</v>
      </c>
      <c r="M2246" t="str">
        <f t="shared" si="97"/>
        <v/>
      </c>
      <c r="N2246" t="s">
        <v>2327</v>
      </c>
    </row>
    <row r="2247" spans="1:14">
      <c r="A2247" s="1">
        <v>46071.08556712963</v>
      </c>
      <c r="B2247">
        <v>310805689</v>
      </c>
      <c r="C2247" s="2" t="s">
        <v>2341</v>
      </c>
      <c r="D2247" t="s">
        <v>15</v>
      </c>
      <c r="E2247" s="5">
        <v>1200</v>
      </c>
      <c r="F2247" s="3">
        <v>1200</v>
      </c>
      <c r="G2247" s="2">
        <v>840</v>
      </c>
      <c r="I2247" s="2" t="s">
        <v>2342</v>
      </c>
      <c r="J2247" s="2" t="s">
        <v>21</v>
      </c>
      <c r="K2247" t="s">
        <v>18</v>
      </c>
      <c r="L2247" t="str">
        <f>T("9791167836915")</f>
        <v>9791167836915</v>
      </c>
      <c r="M2247" t="str">
        <f t="shared" si="97"/>
        <v/>
      </c>
      <c r="N2247" t="s">
        <v>2343</v>
      </c>
    </row>
    <row r="2248" spans="1:14">
      <c r="A2248" s="1">
        <v>46071.097442129627</v>
      </c>
      <c r="B2248">
        <v>297109351</v>
      </c>
      <c r="C2248" s="2" t="s">
        <v>2344</v>
      </c>
      <c r="D2248" t="s">
        <v>15</v>
      </c>
      <c r="E2248" s="5">
        <v>1000</v>
      </c>
      <c r="F2248" s="3">
        <v>1000</v>
      </c>
      <c r="G2248" s="2">
        <v>700</v>
      </c>
      <c r="I2248" s="2" t="s">
        <v>89</v>
      </c>
      <c r="J2248" s="2" t="s">
        <v>21</v>
      </c>
      <c r="K2248" t="s">
        <v>18</v>
      </c>
      <c r="L2248" t="str">
        <f>T("9791167833341")</f>
        <v>9791167833341</v>
      </c>
      <c r="M2248" t="str">
        <f t="shared" si="97"/>
        <v/>
      </c>
    </row>
    <row r="2249" spans="1:14">
      <c r="A2249" s="1">
        <v>46071.097800925927</v>
      </c>
      <c r="B2249">
        <v>294556423</v>
      </c>
      <c r="C2249" s="2" t="s">
        <v>2345</v>
      </c>
      <c r="D2249" t="s">
        <v>15</v>
      </c>
      <c r="E2249" s="5">
        <v>1000</v>
      </c>
      <c r="F2249" s="3">
        <v>1000</v>
      </c>
      <c r="G2249" s="2">
        <v>700</v>
      </c>
      <c r="I2249" s="2" t="s">
        <v>89</v>
      </c>
      <c r="J2249" s="2" t="s">
        <v>21</v>
      </c>
      <c r="K2249" t="s">
        <v>18</v>
      </c>
      <c r="L2249" t="str">
        <f>T("9791167832115")</f>
        <v>9791167832115</v>
      </c>
      <c r="M2249" t="str">
        <f t="shared" si="97"/>
        <v/>
      </c>
    </row>
    <row r="2250" spans="1:14">
      <c r="A2250" s="1">
        <v>46071.131423611114</v>
      </c>
      <c r="B2250">
        <v>277935550</v>
      </c>
      <c r="C2250" s="2" t="s">
        <v>2346</v>
      </c>
      <c r="D2250" t="s">
        <v>15</v>
      </c>
      <c r="E2250" s="4">
        <v>100</v>
      </c>
      <c r="F2250" s="2">
        <v>100</v>
      </c>
      <c r="G2250" s="2">
        <v>70</v>
      </c>
      <c r="I2250" s="2" t="s">
        <v>64</v>
      </c>
      <c r="J2250" s="2" t="s">
        <v>65</v>
      </c>
      <c r="K2250" t="s">
        <v>18</v>
      </c>
      <c r="L2250" t="str">
        <f t="shared" ref="L2250:L2259" si="99">T("9791162589724")</f>
        <v>9791162589724</v>
      </c>
      <c r="M2250" t="str">
        <f t="shared" si="97"/>
        <v/>
      </c>
      <c r="N2250" t="s">
        <v>2347</v>
      </c>
    </row>
    <row r="2251" spans="1:14">
      <c r="A2251" s="1">
        <v>46071.131423611114</v>
      </c>
      <c r="B2251">
        <v>277935552</v>
      </c>
      <c r="C2251" s="2" t="s">
        <v>1401</v>
      </c>
      <c r="D2251" t="s">
        <v>15</v>
      </c>
      <c r="E2251" s="4">
        <v>100</v>
      </c>
      <c r="F2251" s="2">
        <v>100</v>
      </c>
      <c r="G2251" s="2">
        <v>70</v>
      </c>
      <c r="I2251" s="2" t="s">
        <v>64</v>
      </c>
      <c r="J2251" s="2" t="s">
        <v>65</v>
      </c>
      <c r="K2251" t="s">
        <v>18</v>
      </c>
      <c r="L2251" t="str">
        <f t="shared" si="99"/>
        <v>9791162589724</v>
      </c>
      <c r="M2251" t="str">
        <f t="shared" si="97"/>
        <v/>
      </c>
      <c r="N2251" t="s">
        <v>1402</v>
      </c>
    </row>
    <row r="2252" spans="1:14">
      <c r="A2252" s="1">
        <v>46071.131423611114</v>
      </c>
      <c r="B2252">
        <v>277935603</v>
      </c>
      <c r="C2252" s="2" t="s">
        <v>1403</v>
      </c>
      <c r="D2252" t="s">
        <v>15</v>
      </c>
      <c r="E2252" s="4">
        <v>100</v>
      </c>
      <c r="F2252" s="2">
        <v>100</v>
      </c>
      <c r="G2252" s="2">
        <v>70</v>
      </c>
      <c r="I2252" s="2" t="s">
        <v>64</v>
      </c>
      <c r="J2252" s="2" t="s">
        <v>65</v>
      </c>
      <c r="K2252" t="s">
        <v>18</v>
      </c>
      <c r="L2252" t="str">
        <f t="shared" si="99"/>
        <v>9791162589724</v>
      </c>
      <c r="M2252" t="str">
        <f t="shared" si="97"/>
        <v/>
      </c>
      <c r="N2252" t="s">
        <v>1404</v>
      </c>
    </row>
    <row r="2253" spans="1:14">
      <c r="A2253" s="1">
        <v>46071.131423611114</v>
      </c>
      <c r="B2253">
        <v>277935600</v>
      </c>
      <c r="C2253" s="2" t="s">
        <v>561</v>
      </c>
      <c r="D2253" t="s">
        <v>15</v>
      </c>
      <c r="E2253" s="4">
        <v>100</v>
      </c>
      <c r="F2253" s="2">
        <v>100</v>
      </c>
      <c r="G2253" s="2">
        <v>70</v>
      </c>
      <c r="I2253" s="2" t="s">
        <v>64</v>
      </c>
      <c r="J2253" s="2" t="s">
        <v>65</v>
      </c>
      <c r="K2253" t="s">
        <v>18</v>
      </c>
      <c r="L2253" t="str">
        <f t="shared" si="99"/>
        <v>9791162589724</v>
      </c>
      <c r="M2253" t="str">
        <f t="shared" si="97"/>
        <v/>
      </c>
      <c r="N2253" t="s">
        <v>562</v>
      </c>
    </row>
    <row r="2254" spans="1:14">
      <c r="A2254" s="1">
        <v>46071.131423611114</v>
      </c>
      <c r="B2254">
        <v>277935423</v>
      </c>
      <c r="C2254" s="2" t="s">
        <v>559</v>
      </c>
      <c r="D2254" t="s">
        <v>15</v>
      </c>
      <c r="E2254" s="4">
        <v>100</v>
      </c>
      <c r="F2254" s="2">
        <v>100</v>
      </c>
      <c r="G2254" s="2">
        <v>70</v>
      </c>
      <c r="I2254" s="2" t="s">
        <v>64</v>
      </c>
      <c r="J2254" s="2" t="s">
        <v>65</v>
      </c>
      <c r="K2254" t="s">
        <v>18</v>
      </c>
      <c r="L2254" t="str">
        <f t="shared" si="99"/>
        <v>9791162589724</v>
      </c>
      <c r="M2254" t="str">
        <f t="shared" si="97"/>
        <v/>
      </c>
      <c r="N2254" t="s">
        <v>560</v>
      </c>
    </row>
    <row r="2255" spans="1:14">
      <c r="A2255" s="1">
        <v>46071.131423611114</v>
      </c>
      <c r="B2255">
        <v>277935425</v>
      </c>
      <c r="C2255" s="2" t="s">
        <v>1405</v>
      </c>
      <c r="D2255" t="s">
        <v>15</v>
      </c>
      <c r="E2255" s="4">
        <v>100</v>
      </c>
      <c r="F2255" s="2">
        <v>100</v>
      </c>
      <c r="G2255" s="2">
        <v>70</v>
      </c>
      <c r="I2255" s="2" t="s">
        <v>64</v>
      </c>
      <c r="J2255" s="2" t="s">
        <v>65</v>
      </c>
      <c r="K2255" t="s">
        <v>18</v>
      </c>
      <c r="L2255" t="str">
        <f t="shared" si="99"/>
        <v>9791162589724</v>
      </c>
      <c r="M2255" t="str">
        <f t="shared" si="97"/>
        <v/>
      </c>
      <c r="N2255" t="s">
        <v>1406</v>
      </c>
    </row>
    <row r="2256" spans="1:14">
      <c r="A2256" s="1">
        <v>46071.131423611114</v>
      </c>
      <c r="B2256">
        <v>277935660</v>
      </c>
      <c r="C2256" s="2" t="s">
        <v>557</v>
      </c>
      <c r="D2256" t="s">
        <v>15</v>
      </c>
      <c r="E2256" s="4">
        <v>100</v>
      </c>
      <c r="F2256" s="2">
        <v>100</v>
      </c>
      <c r="G2256" s="2">
        <v>70</v>
      </c>
      <c r="I2256" s="2" t="s">
        <v>64</v>
      </c>
      <c r="J2256" s="2" t="s">
        <v>65</v>
      </c>
      <c r="K2256" t="s">
        <v>18</v>
      </c>
      <c r="L2256" t="str">
        <f t="shared" si="99"/>
        <v>9791162589724</v>
      </c>
      <c r="M2256" t="str">
        <f t="shared" si="97"/>
        <v/>
      </c>
      <c r="N2256" t="s">
        <v>558</v>
      </c>
    </row>
    <row r="2257" spans="1:14">
      <c r="A2257" s="1">
        <v>46071.131423611114</v>
      </c>
      <c r="B2257">
        <v>277935663</v>
      </c>
      <c r="C2257" s="2" t="s">
        <v>2035</v>
      </c>
      <c r="D2257" t="s">
        <v>15</v>
      </c>
      <c r="E2257" s="4">
        <v>100</v>
      </c>
      <c r="F2257" s="2">
        <v>100</v>
      </c>
      <c r="G2257" s="2">
        <v>70</v>
      </c>
      <c r="I2257" s="2" t="s">
        <v>64</v>
      </c>
      <c r="J2257" s="2" t="s">
        <v>65</v>
      </c>
      <c r="K2257" t="s">
        <v>18</v>
      </c>
      <c r="L2257" t="str">
        <f t="shared" si="99"/>
        <v>9791162589724</v>
      </c>
      <c r="M2257" t="str">
        <f t="shared" si="97"/>
        <v/>
      </c>
      <c r="N2257" t="s">
        <v>2036</v>
      </c>
    </row>
    <row r="2258" spans="1:14">
      <c r="A2258" s="1">
        <v>46071.131423611114</v>
      </c>
      <c r="B2258">
        <v>277935661</v>
      </c>
      <c r="C2258" s="2" t="s">
        <v>2348</v>
      </c>
      <c r="D2258" t="s">
        <v>15</v>
      </c>
      <c r="E2258" s="4">
        <v>100</v>
      </c>
      <c r="F2258" s="2">
        <v>100</v>
      </c>
      <c r="G2258" s="2">
        <v>70</v>
      </c>
      <c r="I2258" s="2" t="s">
        <v>64</v>
      </c>
      <c r="J2258" s="2" t="s">
        <v>65</v>
      </c>
      <c r="K2258" t="s">
        <v>18</v>
      </c>
      <c r="L2258" t="str">
        <f t="shared" si="99"/>
        <v>9791162589724</v>
      </c>
      <c r="M2258" t="str">
        <f t="shared" si="97"/>
        <v/>
      </c>
      <c r="N2258" t="s">
        <v>2349</v>
      </c>
    </row>
    <row r="2259" spans="1:14">
      <c r="A2259" s="1">
        <v>46071.131423611114</v>
      </c>
      <c r="B2259">
        <v>277935665</v>
      </c>
      <c r="C2259" s="2" t="s">
        <v>555</v>
      </c>
      <c r="D2259" t="s">
        <v>15</v>
      </c>
      <c r="E2259" s="4">
        <v>100</v>
      </c>
      <c r="F2259" s="2">
        <v>100</v>
      </c>
      <c r="G2259" s="2">
        <v>70</v>
      </c>
      <c r="I2259" s="2" t="s">
        <v>64</v>
      </c>
      <c r="J2259" s="2" t="s">
        <v>65</v>
      </c>
      <c r="K2259" t="s">
        <v>18</v>
      </c>
      <c r="L2259" t="str">
        <f t="shared" si="99"/>
        <v>9791162589724</v>
      </c>
      <c r="M2259" t="str">
        <f t="shared" si="97"/>
        <v/>
      </c>
      <c r="N2259" t="s">
        <v>556</v>
      </c>
    </row>
    <row r="2260" spans="1:14">
      <c r="A2260" s="1">
        <v>46071.147638888891</v>
      </c>
      <c r="B2260">
        <v>384665538</v>
      </c>
      <c r="C2260" s="2" t="s">
        <v>2350</v>
      </c>
      <c r="D2260" t="s">
        <v>15</v>
      </c>
      <c r="E2260" s="5">
        <v>6200</v>
      </c>
      <c r="F2260" s="3">
        <v>5580</v>
      </c>
      <c r="G2260" s="3">
        <v>3906</v>
      </c>
      <c r="I2260" s="2" t="s">
        <v>921</v>
      </c>
      <c r="J2260" s="2" t="s">
        <v>126</v>
      </c>
      <c r="K2260" t="s">
        <v>18</v>
      </c>
      <c r="L2260" t="str">
        <f>T("9791171502967")</f>
        <v>9791171502967</v>
      </c>
      <c r="M2260" t="str">
        <f t="shared" si="97"/>
        <v/>
      </c>
    </row>
    <row r="2261" spans="1:14">
      <c r="A2261" s="1">
        <v>46071.164826388886</v>
      </c>
      <c r="B2261">
        <v>295771240</v>
      </c>
      <c r="C2261" s="2" t="s">
        <v>2351</v>
      </c>
      <c r="D2261" t="s">
        <v>15</v>
      </c>
      <c r="E2261" s="5">
        <v>3200</v>
      </c>
      <c r="F2261" s="3">
        <v>3200</v>
      </c>
      <c r="G2261" s="3">
        <v>2240</v>
      </c>
      <c r="I2261" s="2" t="s">
        <v>540</v>
      </c>
      <c r="J2261" s="2" t="s">
        <v>197</v>
      </c>
      <c r="K2261" t="s">
        <v>18</v>
      </c>
      <c r="L2261" t="str">
        <f>T("9791164096923")</f>
        <v>9791164096923</v>
      </c>
      <c r="M2261" t="str">
        <f t="shared" si="97"/>
        <v/>
      </c>
      <c r="N2261" t="s">
        <v>2352</v>
      </c>
    </row>
    <row r="2262" spans="1:14">
      <c r="A2262" s="1">
        <v>46071.164826388886</v>
      </c>
      <c r="B2262">
        <v>295771292</v>
      </c>
      <c r="C2262" s="2" t="s">
        <v>2353</v>
      </c>
      <c r="D2262" t="s">
        <v>15</v>
      </c>
      <c r="E2262" s="5">
        <v>3200</v>
      </c>
      <c r="F2262" s="3">
        <v>3200</v>
      </c>
      <c r="G2262" s="3">
        <v>2240</v>
      </c>
      <c r="I2262" s="2" t="s">
        <v>540</v>
      </c>
      <c r="J2262" s="2" t="s">
        <v>197</v>
      </c>
      <c r="K2262" t="s">
        <v>18</v>
      </c>
      <c r="L2262" t="str">
        <f>T("9791164096930")</f>
        <v>9791164096930</v>
      </c>
      <c r="M2262" t="str">
        <f t="shared" si="97"/>
        <v/>
      </c>
      <c r="N2262" t="s">
        <v>2354</v>
      </c>
    </row>
    <row r="2263" spans="1:14">
      <c r="A2263" s="1">
        <v>46071.16914351852</v>
      </c>
      <c r="B2263">
        <v>277935661</v>
      </c>
      <c r="C2263" s="2" t="s">
        <v>2348</v>
      </c>
      <c r="D2263" t="s">
        <v>15</v>
      </c>
      <c r="E2263" s="4">
        <v>100</v>
      </c>
      <c r="F2263" s="2">
        <v>100</v>
      </c>
      <c r="G2263" s="2">
        <v>70</v>
      </c>
      <c r="I2263" s="2" t="s">
        <v>64</v>
      </c>
      <c r="J2263" s="2" t="s">
        <v>65</v>
      </c>
      <c r="K2263" t="s">
        <v>18</v>
      </c>
      <c r="L2263" t="str">
        <f t="shared" ref="L2263:L2272" si="100">T("9791162589724")</f>
        <v>9791162589724</v>
      </c>
      <c r="M2263" t="str">
        <f t="shared" si="97"/>
        <v/>
      </c>
      <c r="N2263" t="s">
        <v>2349</v>
      </c>
    </row>
    <row r="2264" spans="1:14">
      <c r="A2264" s="1">
        <v>46071.16914351852</v>
      </c>
      <c r="B2264">
        <v>277935656</v>
      </c>
      <c r="C2264" s="2" t="s">
        <v>2213</v>
      </c>
      <c r="D2264" t="s">
        <v>15</v>
      </c>
      <c r="E2264" s="4">
        <v>100</v>
      </c>
      <c r="F2264" s="2">
        <v>100</v>
      </c>
      <c r="G2264" s="2">
        <v>70</v>
      </c>
      <c r="I2264" s="2" t="s">
        <v>64</v>
      </c>
      <c r="J2264" s="2" t="s">
        <v>65</v>
      </c>
      <c r="K2264" t="s">
        <v>18</v>
      </c>
      <c r="L2264" t="str">
        <f t="shared" si="100"/>
        <v>9791162589724</v>
      </c>
      <c r="M2264" t="str">
        <f t="shared" ref="M2264:M2285" si="101">T("")</f>
        <v/>
      </c>
      <c r="N2264" t="s">
        <v>2214</v>
      </c>
    </row>
    <row r="2265" spans="1:14">
      <c r="A2265" s="1">
        <v>46071.16914351852</v>
      </c>
      <c r="B2265">
        <v>277935423</v>
      </c>
      <c r="C2265" s="2" t="s">
        <v>559</v>
      </c>
      <c r="D2265" t="s">
        <v>15</v>
      </c>
      <c r="E2265" s="4">
        <v>100</v>
      </c>
      <c r="F2265" s="2">
        <v>100</v>
      </c>
      <c r="G2265" s="2">
        <v>70</v>
      </c>
      <c r="I2265" s="2" t="s">
        <v>64</v>
      </c>
      <c r="J2265" s="2" t="s">
        <v>65</v>
      </c>
      <c r="K2265" t="s">
        <v>18</v>
      </c>
      <c r="L2265" t="str">
        <f t="shared" si="100"/>
        <v>9791162589724</v>
      </c>
      <c r="M2265" t="str">
        <f t="shared" si="101"/>
        <v/>
      </c>
      <c r="N2265" t="s">
        <v>560</v>
      </c>
    </row>
    <row r="2266" spans="1:14">
      <c r="A2266" s="1">
        <v>46071.16914351852</v>
      </c>
      <c r="B2266">
        <v>277935600</v>
      </c>
      <c r="C2266" s="2" t="s">
        <v>561</v>
      </c>
      <c r="D2266" t="s">
        <v>15</v>
      </c>
      <c r="E2266" s="4">
        <v>100</v>
      </c>
      <c r="F2266" s="2">
        <v>100</v>
      </c>
      <c r="G2266" s="2">
        <v>70</v>
      </c>
      <c r="I2266" s="2" t="s">
        <v>64</v>
      </c>
      <c r="J2266" s="2" t="s">
        <v>65</v>
      </c>
      <c r="K2266" t="s">
        <v>18</v>
      </c>
      <c r="L2266" t="str">
        <f t="shared" si="100"/>
        <v>9791162589724</v>
      </c>
      <c r="M2266" t="str">
        <f t="shared" si="101"/>
        <v/>
      </c>
      <c r="N2266" t="s">
        <v>562</v>
      </c>
    </row>
    <row r="2267" spans="1:14">
      <c r="A2267" s="1">
        <v>46071.16914351852</v>
      </c>
      <c r="B2267">
        <v>277935550</v>
      </c>
      <c r="C2267" s="2" t="s">
        <v>2346</v>
      </c>
      <c r="D2267" t="s">
        <v>15</v>
      </c>
      <c r="E2267" s="4">
        <v>100</v>
      </c>
      <c r="F2267" s="2">
        <v>100</v>
      </c>
      <c r="G2267" s="2">
        <v>70</v>
      </c>
      <c r="I2267" s="2" t="s">
        <v>64</v>
      </c>
      <c r="J2267" s="2" t="s">
        <v>65</v>
      </c>
      <c r="K2267" t="s">
        <v>18</v>
      </c>
      <c r="L2267" t="str">
        <f t="shared" si="100"/>
        <v>9791162589724</v>
      </c>
      <c r="M2267" t="str">
        <f t="shared" si="101"/>
        <v/>
      </c>
      <c r="N2267" t="s">
        <v>2347</v>
      </c>
    </row>
    <row r="2268" spans="1:14">
      <c r="A2268" s="1">
        <v>46071.219583333332</v>
      </c>
      <c r="B2268">
        <v>277935618</v>
      </c>
      <c r="C2268" s="2" t="s">
        <v>2355</v>
      </c>
      <c r="D2268" t="s">
        <v>15</v>
      </c>
      <c r="E2268" s="4">
        <v>100</v>
      </c>
      <c r="F2268" s="2">
        <v>100</v>
      </c>
      <c r="G2268" s="2">
        <v>70</v>
      </c>
      <c r="I2268" s="2" t="s">
        <v>64</v>
      </c>
      <c r="J2268" s="2" t="s">
        <v>65</v>
      </c>
      <c r="K2268" t="s">
        <v>18</v>
      </c>
      <c r="L2268" t="str">
        <f t="shared" si="100"/>
        <v>9791162589724</v>
      </c>
      <c r="M2268" t="str">
        <f t="shared" si="101"/>
        <v/>
      </c>
      <c r="N2268" t="s">
        <v>2356</v>
      </c>
    </row>
    <row r="2269" spans="1:14">
      <c r="A2269" s="1">
        <v>46071.219583333332</v>
      </c>
      <c r="B2269">
        <v>277935809</v>
      </c>
      <c r="C2269" s="2" t="s">
        <v>2357</v>
      </c>
      <c r="D2269" t="s">
        <v>15</v>
      </c>
      <c r="E2269" s="4">
        <v>100</v>
      </c>
      <c r="F2269" s="2">
        <v>100</v>
      </c>
      <c r="G2269" s="2">
        <v>70</v>
      </c>
      <c r="I2269" s="2" t="s">
        <v>64</v>
      </c>
      <c r="J2269" s="2" t="s">
        <v>65</v>
      </c>
      <c r="K2269" t="s">
        <v>18</v>
      </c>
      <c r="L2269" t="str">
        <f t="shared" si="100"/>
        <v>9791162589724</v>
      </c>
      <c r="M2269" t="str">
        <f t="shared" si="101"/>
        <v/>
      </c>
      <c r="N2269" t="s">
        <v>2358</v>
      </c>
    </row>
    <row r="2270" spans="1:14">
      <c r="A2270" s="1">
        <v>46071.219583333332</v>
      </c>
      <c r="B2270">
        <v>277935862</v>
      </c>
      <c r="C2270" s="2" t="s">
        <v>2359</v>
      </c>
      <c r="D2270" t="s">
        <v>15</v>
      </c>
      <c r="E2270" s="4">
        <v>100</v>
      </c>
      <c r="F2270" s="2">
        <v>100</v>
      </c>
      <c r="G2270" s="2">
        <v>70</v>
      </c>
      <c r="I2270" s="2" t="s">
        <v>64</v>
      </c>
      <c r="J2270" s="2" t="s">
        <v>65</v>
      </c>
      <c r="K2270" t="s">
        <v>18</v>
      </c>
      <c r="L2270" t="str">
        <f t="shared" si="100"/>
        <v>9791162589724</v>
      </c>
      <c r="M2270" t="str">
        <f t="shared" si="101"/>
        <v/>
      </c>
      <c r="N2270" t="s">
        <v>2360</v>
      </c>
    </row>
    <row r="2271" spans="1:14">
      <c r="A2271" s="1">
        <v>46071.219583333332</v>
      </c>
      <c r="B2271">
        <v>277935867</v>
      </c>
      <c r="C2271" s="2" t="s">
        <v>2361</v>
      </c>
      <c r="D2271" t="s">
        <v>15</v>
      </c>
      <c r="E2271" s="4">
        <v>100</v>
      </c>
      <c r="F2271" s="2">
        <v>100</v>
      </c>
      <c r="G2271" s="2">
        <v>70</v>
      </c>
      <c r="I2271" s="2" t="s">
        <v>64</v>
      </c>
      <c r="J2271" s="2" t="s">
        <v>65</v>
      </c>
      <c r="K2271" t="s">
        <v>18</v>
      </c>
      <c r="L2271" t="str">
        <f t="shared" si="100"/>
        <v>9791162589724</v>
      </c>
      <c r="M2271" t="str">
        <f t="shared" si="101"/>
        <v/>
      </c>
      <c r="N2271" t="s">
        <v>2362</v>
      </c>
    </row>
    <row r="2272" spans="1:14">
      <c r="A2272" s="1">
        <v>46071.219583333332</v>
      </c>
      <c r="B2272">
        <v>277935879</v>
      </c>
      <c r="C2272" s="2" t="s">
        <v>2363</v>
      </c>
      <c r="D2272" t="s">
        <v>15</v>
      </c>
      <c r="E2272" s="4">
        <v>100</v>
      </c>
      <c r="F2272" s="2">
        <v>100</v>
      </c>
      <c r="G2272" s="2">
        <v>70</v>
      </c>
      <c r="I2272" s="2" t="s">
        <v>64</v>
      </c>
      <c r="J2272" s="2" t="s">
        <v>65</v>
      </c>
      <c r="K2272" t="s">
        <v>18</v>
      </c>
      <c r="L2272" t="str">
        <f t="shared" si="100"/>
        <v>9791162589724</v>
      </c>
      <c r="M2272" t="str">
        <f t="shared" si="101"/>
        <v/>
      </c>
      <c r="N2272" t="s">
        <v>2364</v>
      </c>
    </row>
    <row r="2273" spans="1:14">
      <c r="A2273" s="1">
        <v>46071.248402777775</v>
      </c>
      <c r="B2273">
        <v>327615040</v>
      </c>
      <c r="C2273" s="2" t="s">
        <v>1798</v>
      </c>
      <c r="D2273" t="s">
        <v>15</v>
      </c>
      <c r="E2273" s="4">
        <v>0</v>
      </c>
      <c r="F2273" s="2">
        <v>0</v>
      </c>
      <c r="G2273" s="2">
        <v>0</v>
      </c>
      <c r="I2273" s="2" t="s">
        <v>1682</v>
      </c>
      <c r="J2273" s="2" t="s">
        <v>197</v>
      </c>
      <c r="K2273" t="s">
        <v>18</v>
      </c>
      <c r="L2273" t="str">
        <f>T("9791164097678")</f>
        <v>9791164097678</v>
      </c>
      <c r="M2273" t="str">
        <f t="shared" si="101"/>
        <v/>
      </c>
      <c r="N2273" t="s">
        <v>1799</v>
      </c>
    </row>
    <row r="2274" spans="1:14">
      <c r="A2274" s="1">
        <v>46071.263182870367</v>
      </c>
      <c r="B2274">
        <v>386057122</v>
      </c>
      <c r="C2274" s="2" t="s">
        <v>2365</v>
      </c>
      <c r="D2274" t="s">
        <v>15</v>
      </c>
      <c r="E2274" s="5">
        <v>7770</v>
      </c>
      <c r="F2274" s="3">
        <v>7770</v>
      </c>
      <c r="G2274" s="3">
        <v>5439</v>
      </c>
      <c r="I2274" s="2" t="s">
        <v>2038</v>
      </c>
      <c r="J2274" s="2" t="s">
        <v>2039</v>
      </c>
      <c r="K2274" t="s">
        <v>18</v>
      </c>
      <c r="L2274" t="str">
        <f>T("9791173015939")</f>
        <v>9791173015939</v>
      </c>
      <c r="M2274" t="str">
        <f t="shared" si="101"/>
        <v/>
      </c>
    </row>
    <row r="2275" spans="1:14">
      <c r="A2275" s="1">
        <v>46071.29859953704</v>
      </c>
      <c r="B2275">
        <v>370130223</v>
      </c>
      <c r="C2275" s="2" t="s">
        <v>597</v>
      </c>
      <c r="D2275" t="s">
        <v>15</v>
      </c>
      <c r="E2275" s="4">
        <v>0</v>
      </c>
      <c r="F2275" s="2">
        <v>0</v>
      </c>
      <c r="G2275" s="2">
        <v>0</v>
      </c>
      <c r="I2275" s="2" t="s">
        <v>135</v>
      </c>
      <c r="J2275" s="2" t="s">
        <v>65</v>
      </c>
      <c r="K2275" t="s">
        <v>18</v>
      </c>
      <c r="L2275" t="str">
        <f>T("9791137019553")</f>
        <v>9791137019553</v>
      </c>
      <c r="M2275" t="str">
        <f t="shared" si="101"/>
        <v/>
      </c>
      <c r="N2275" t="s">
        <v>598</v>
      </c>
    </row>
    <row r="2276" spans="1:14">
      <c r="A2276" s="1">
        <v>46071.307696759257</v>
      </c>
      <c r="B2276">
        <v>370130271</v>
      </c>
      <c r="C2276" s="2" t="s">
        <v>1151</v>
      </c>
      <c r="D2276" t="s">
        <v>68</v>
      </c>
      <c r="E2276" s="4">
        <v>700</v>
      </c>
      <c r="F2276" s="2">
        <v>700</v>
      </c>
      <c r="G2276" s="2">
        <v>490</v>
      </c>
      <c r="I2276" s="2" t="s">
        <v>244</v>
      </c>
      <c r="J2276" s="2" t="s">
        <v>245</v>
      </c>
      <c r="K2276" t="s">
        <v>18</v>
      </c>
      <c r="L2276" t="str">
        <f>T("9791164489091")</f>
        <v>9791164489091</v>
      </c>
      <c r="M2276" t="str">
        <f t="shared" si="101"/>
        <v/>
      </c>
      <c r="N2276" t="s">
        <v>1152</v>
      </c>
    </row>
    <row r="2277" spans="1:14">
      <c r="A2277" s="1">
        <v>46071.307696759257</v>
      </c>
      <c r="B2277">
        <v>370130210</v>
      </c>
      <c r="C2277" s="2" t="s">
        <v>1261</v>
      </c>
      <c r="D2277" t="s">
        <v>68</v>
      </c>
      <c r="E2277" s="4">
        <v>700</v>
      </c>
      <c r="F2277" s="2">
        <v>700</v>
      </c>
      <c r="G2277" s="2">
        <v>490</v>
      </c>
      <c r="I2277" s="2" t="s">
        <v>244</v>
      </c>
      <c r="J2277" s="2" t="s">
        <v>245</v>
      </c>
      <c r="K2277" t="s">
        <v>18</v>
      </c>
      <c r="L2277" t="str">
        <f>T("9791164489114")</f>
        <v>9791164489114</v>
      </c>
      <c r="M2277" t="str">
        <f t="shared" si="101"/>
        <v/>
      </c>
      <c r="N2277" t="s">
        <v>1262</v>
      </c>
    </row>
    <row r="2278" spans="1:14">
      <c r="A2278" s="1">
        <v>46071.307696759257</v>
      </c>
      <c r="B2278">
        <v>370130273</v>
      </c>
      <c r="C2278" s="2" t="s">
        <v>1171</v>
      </c>
      <c r="D2278" t="s">
        <v>68</v>
      </c>
      <c r="E2278" s="4">
        <v>700</v>
      </c>
      <c r="F2278" s="2">
        <v>700</v>
      </c>
      <c r="G2278" s="2">
        <v>490</v>
      </c>
      <c r="I2278" s="2" t="s">
        <v>244</v>
      </c>
      <c r="J2278" s="2" t="s">
        <v>245</v>
      </c>
      <c r="K2278" t="s">
        <v>18</v>
      </c>
      <c r="L2278" t="str">
        <f>T("9791164489107")</f>
        <v>9791164489107</v>
      </c>
      <c r="M2278" t="str">
        <f t="shared" si="101"/>
        <v/>
      </c>
      <c r="N2278" t="s">
        <v>1172</v>
      </c>
    </row>
    <row r="2279" spans="1:14">
      <c r="A2279" s="1">
        <v>46071.324328703704</v>
      </c>
      <c r="B2279">
        <v>328759043</v>
      </c>
      <c r="C2279" s="2" t="s">
        <v>1537</v>
      </c>
      <c r="D2279" t="s">
        <v>68</v>
      </c>
      <c r="E2279" s="4">
        <v>840</v>
      </c>
      <c r="F2279" s="2">
        <v>840</v>
      </c>
      <c r="G2279" s="2">
        <v>588</v>
      </c>
      <c r="I2279" s="2" t="s">
        <v>852</v>
      </c>
      <c r="J2279" s="2" t="s">
        <v>197</v>
      </c>
      <c r="K2279" t="s">
        <v>18</v>
      </c>
      <c r="L2279" t="str">
        <f>T("9791164099269")</f>
        <v>9791164099269</v>
      </c>
      <c r="M2279" t="str">
        <f t="shared" si="101"/>
        <v/>
      </c>
    </row>
    <row r="2280" spans="1:14">
      <c r="A2280" s="1">
        <v>46071.356296296297</v>
      </c>
      <c r="B2280">
        <v>277935761</v>
      </c>
      <c r="C2280" s="2" t="s">
        <v>2366</v>
      </c>
      <c r="D2280" t="s">
        <v>15</v>
      </c>
      <c r="E2280" s="4">
        <v>100</v>
      </c>
      <c r="F2280" s="2">
        <v>100</v>
      </c>
      <c r="G2280" s="2">
        <v>70</v>
      </c>
      <c r="I2280" s="2" t="s">
        <v>64</v>
      </c>
      <c r="J2280" s="2" t="s">
        <v>65</v>
      </c>
      <c r="K2280" t="s">
        <v>18</v>
      </c>
      <c r="L2280" t="str">
        <f>T("9791162589724")</f>
        <v>9791162589724</v>
      </c>
      <c r="M2280" t="str">
        <f t="shared" si="101"/>
        <v/>
      </c>
      <c r="N2280" t="s">
        <v>2367</v>
      </c>
    </row>
    <row r="2281" spans="1:14">
      <c r="A2281" s="1">
        <v>46071.37636574074</v>
      </c>
      <c r="B2281">
        <v>385347797</v>
      </c>
      <c r="C2281" s="2" t="s">
        <v>195</v>
      </c>
      <c r="D2281" t="s">
        <v>15</v>
      </c>
      <c r="E2281" s="4">
        <v>700</v>
      </c>
      <c r="F2281" s="2">
        <v>630</v>
      </c>
      <c r="G2281" s="2">
        <v>441</v>
      </c>
      <c r="I2281" s="2" t="s">
        <v>196</v>
      </c>
      <c r="J2281" s="2" t="s">
        <v>197</v>
      </c>
      <c r="K2281" t="s">
        <v>18</v>
      </c>
      <c r="L2281" t="str">
        <f>T("9791172821937")</f>
        <v>9791172821937</v>
      </c>
      <c r="M2281" t="str">
        <f t="shared" si="101"/>
        <v/>
      </c>
      <c r="N2281" t="s">
        <v>198</v>
      </c>
    </row>
    <row r="2282" spans="1:14">
      <c r="A2282" s="1">
        <v>46071.386770833335</v>
      </c>
      <c r="B2282">
        <v>279380372</v>
      </c>
      <c r="C2282" s="2" t="s">
        <v>1838</v>
      </c>
      <c r="D2282" t="s">
        <v>15</v>
      </c>
      <c r="E2282" s="4">
        <v>100</v>
      </c>
      <c r="F2282" s="2">
        <v>100</v>
      </c>
      <c r="G2282" s="2">
        <v>70</v>
      </c>
      <c r="I2282" s="2" t="s">
        <v>64</v>
      </c>
      <c r="J2282" s="2" t="s">
        <v>65</v>
      </c>
      <c r="K2282" t="s">
        <v>18</v>
      </c>
      <c r="L2282" t="str">
        <f>T("9791162589724")</f>
        <v>9791162589724</v>
      </c>
      <c r="M2282" t="str">
        <f t="shared" si="101"/>
        <v/>
      </c>
      <c r="N2282" t="s">
        <v>1839</v>
      </c>
    </row>
    <row r="2283" spans="1:14">
      <c r="A2283" s="1">
        <v>46071.386770833335</v>
      </c>
      <c r="B2283">
        <v>279350397</v>
      </c>
      <c r="C2283" s="2" t="s">
        <v>1834</v>
      </c>
      <c r="D2283" t="s">
        <v>15</v>
      </c>
      <c r="E2283" s="4">
        <v>100</v>
      </c>
      <c r="F2283" s="2">
        <v>100</v>
      </c>
      <c r="G2283" s="2">
        <v>70</v>
      </c>
      <c r="I2283" s="2" t="s">
        <v>64</v>
      </c>
      <c r="J2283" s="2" t="s">
        <v>65</v>
      </c>
      <c r="K2283" t="s">
        <v>18</v>
      </c>
      <c r="L2283" t="str">
        <f>T("9791162589724")</f>
        <v>9791162589724</v>
      </c>
      <c r="M2283" t="str">
        <f t="shared" si="101"/>
        <v/>
      </c>
      <c r="N2283" t="s">
        <v>1835</v>
      </c>
    </row>
    <row r="2284" spans="1:14">
      <c r="A2284" s="1">
        <v>46071.386770833335</v>
      </c>
      <c r="B2284">
        <v>279350411</v>
      </c>
      <c r="C2284" s="2" t="s">
        <v>1836</v>
      </c>
      <c r="D2284" t="s">
        <v>15</v>
      </c>
      <c r="E2284" s="4">
        <v>100</v>
      </c>
      <c r="F2284" s="2">
        <v>100</v>
      </c>
      <c r="G2284" s="2">
        <v>70</v>
      </c>
      <c r="I2284" s="2" t="s">
        <v>64</v>
      </c>
      <c r="J2284" s="2" t="s">
        <v>65</v>
      </c>
      <c r="K2284" t="s">
        <v>18</v>
      </c>
      <c r="L2284" t="str">
        <f>T("9791162589724")</f>
        <v>9791162589724</v>
      </c>
      <c r="M2284" t="str">
        <f t="shared" si="101"/>
        <v/>
      </c>
      <c r="N2284" t="s">
        <v>1837</v>
      </c>
    </row>
    <row r="2285" spans="1:14">
      <c r="A2285" s="1">
        <v>46071.386770833335</v>
      </c>
      <c r="B2285">
        <v>279768849</v>
      </c>
      <c r="C2285" s="2" t="s">
        <v>1846</v>
      </c>
      <c r="D2285" t="s">
        <v>15</v>
      </c>
      <c r="E2285" s="4">
        <v>100</v>
      </c>
      <c r="F2285" s="2">
        <v>100</v>
      </c>
      <c r="G2285" s="2">
        <v>70</v>
      </c>
      <c r="I2285" s="2" t="s">
        <v>64</v>
      </c>
      <c r="J2285" s="2" t="s">
        <v>65</v>
      </c>
      <c r="K2285" t="s">
        <v>18</v>
      </c>
      <c r="L2285" t="str">
        <f>T("9791162589724")</f>
        <v>9791162589724</v>
      </c>
      <c r="M2285" t="str">
        <f t="shared" si="101"/>
        <v/>
      </c>
      <c r="N2285" t="s">
        <v>1847</v>
      </c>
    </row>
    <row r="2286" spans="1:14">
      <c r="A2286" s="1">
        <v>46071.394421296296</v>
      </c>
      <c r="B2286">
        <v>385852478</v>
      </c>
      <c r="C2286" s="2" t="s">
        <v>1228</v>
      </c>
      <c r="D2286" t="s">
        <v>15</v>
      </c>
      <c r="E2286" s="4">
        <v>0</v>
      </c>
      <c r="F2286" s="2">
        <v>0</v>
      </c>
      <c r="G2286" s="2">
        <v>0</v>
      </c>
      <c r="I2286" s="2" t="s">
        <v>1229</v>
      </c>
      <c r="J2286" s="2" t="s">
        <v>960</v>
      </c>
      <c r="K2286" t="s">
        <v>18</v>
      </c>
      <c r="L2286" t="str">
        <f>T("")</f>
        <v/>
      </c>
      <c r="M2286" t="str">
        <f>T("G720:N+A378-20260112081.M001")</f>
        <v>G720:N+A378-20260112081.M001</v>
      </c>
      <c r="N2286" t="s">
        <v>1230</v>
      </c>
    </row>
    <row r="2287" spans="1:14">
      <c r="A2287" s="1">
        <v>46071.40179398148</v>
      </c>
      <c r="B2287">
        <v>332726032</v>
      </c>
      <c r="C2287" s="2" t="s">
        <v>2334</v>
      </c>
      <c r="D2287" t="s">
        <v>15</v>
      </c>
      <c r="E2287" s="5">
        <v>1000</v>
      </c>
      <c r="F2287" s="3">
        <v>1000</v>
      </c>
      <c r="G2287" s="2">
        <v>700</v>
      </c>
      <c r="I2287" s="2">
        <v>5353</v>
      </c>
      <c r="J2287" s="2" t="s">
        <v>21</v>
      </c>
      <c r="K2287" t="s">
        <v>18</v>
      </c>
      <c r="L2287" t="str">
        <f>T("9791170894186")</f>
        <v>9791170894186</v>
      </c>
      <c r="M2287" t="str">
        <f t="shared" ref="M2287:M2318" si="102">T("")</f>
        <v/>
      </c>
      <c r="N2287" t="s">
        <v>2335</v>
      </c>
    </row>
    <row r="2288" spans="1:14">
      <c r="A2288" s="1">
        <v>46071.402800925927</v>
      </c>
      <c r="B2288">
        <v>276483565</v>
      </c>
      <c r="C2288" s="2" t="s">
        <v>1864</v>
      </c>
      <c r="D2288" t="s">
        <v>15</v>
      </c>
      <c r="E2288" s="4">
        <v>0</v>
      </c>
      <c r="F2288" s="2">
        <v>0</v>
      </c>
      <c r="G2288" s="2">
        <v>0</v>
      </c>
      <c r="I2288" s="2" t="s">
        <v>1610</v>
      </c>
      <c r="J2288" s="2" t="s">
        <v>197</v>
      </c>
      <c r="K2288" t="s">
        <v>18</v>
      </c>
      <c r="L2288" t="str">
        <f>T("9791164095322")</f>
        <v>9791164095322</v>
      </c>
      <c r="M2288" t="str">
        <f t="shared" si="102"/>
        <v/>
      </c>
      <c r="N2288" t="s">
        <v>1865</v>
      </c>
    </row>
    <row r="2289" spans="1:14">
      <c r="A2289" s="1">
        <v>46071.408020833333</v>
      </c>
      <c r="B2289">
        <v>241082634</v>
      </c>
      <c r="C2289" s="2" t="s">
        <v>2368</v>
      </c>
      <c r="D2289" t="s">
        <v>15</v>
      </c>
      <c r="E2289" s="5">
        <v>3000</v>
      </c>
      <c r="F2289" s="3">
        <v>3000</v>
      </c>
      <c r="G2289" s="3">
        <v>2100</v>
      </c>
      <c r="I2289" s="2" t="s">
        <v>2369</v>
      </c>
      <c r="J2289" s="2" t="s">
        <v>184</v>
      </c>
      <c r="K2289" t="s">
        <v>18</v>
      </c>
      <c r="L2289" t="str">
        <f>T("9791164791071")</f>
        <v>9791164791071</v>
      </c>
      <c r="M2289" t="str">
        <f t="shared" si="102"/>
        <v/>
      </c>
    </row>
    <row r="2290" spans="1:14">
      <c r="A2290" s="1">
        <v>46071.408819444441</v>
      </c>
      <c r="B2290">
        <v>327615040</v>
      </c>
      <c r="C2290" s="2" t="s">
        <v>1798</v>
      </c>
      <c r="D2290" t="s">
        <v>15</v>
      </c>
      <c r="E2290" s="4">
        <v>0</v>
      </c>
      <c r="F2290" s="2">
        <v>0</v>
      </c>
      <c r="G2290" s="2">
        <v>0</v>
      </c>
      <c r="I2290" s="2" t="s">
        <v>1682</v>
      </c>
      <c r="J2290" s="2" t="s">
        <v>197</v>
      </c>
      <c r="K2290" t="s">
        <v>18</v>
      </c>
      <c r="L2290" t="str">
        <f>T("9791164097678")</f>
        <v>9791164097678</v>
      </c>
      <c r="M2290" t="str">
        <f t="shared" si="102"/>
        <v/>
      </c>
      <c r="N2290" t="s">
        <v>1799</v>
      </c>
    </row>
    <row r="2291" spans="1:14">
      <c r="A2291" s="1">
        <v>46071.42260416667</v>
      </c>
      <c r="B2291">
        <v>318630911</v>
      </c>
      <c r="C2291" s="2" t="s">
        <v>1735</v>
      </c>
      <c r="D2291" t="s">
        <v>15</v>
      </c>
      <c r="E2291" s="4">
        <v>0</v>
      </c>
      <c r="F2291" s="2">
        <v>0</v>
      </c>
      <c r="G2291" s="2">
        <v>0</v>
      </c>
      <c r="I2291" s="2" t="s">
        <v>1535</v>
      </c>
      <c r="J2291" s="2" t="s">
        <v>1536</v>
      </c>
      <c r="K2291" t="s">
        <v>18</v>
      </c>
      <c r="L2291" t="str">
        <f>T("9791189257330")</f>
        <v>9791189257330</v>
      </c>
      <c r="M2291" t="str">
        <f t="shared" si="102"/>
        <v/>
      </c>
      <c r="N2291" t="s">
        <v>1736</v>
      </c>
    </row>
    <row r="2292" spans="1:14">
      <c r="A2292" s="1">
        <v>46071.42260416667</v>
      </c>
      <c r="B2292">
        <v>249124696</v>
      </c>
      <c r="C2292" s="2" t="s">
        <v>2370</v>
      </c>
      <c r="D2292" t="s">
        <v>15</v>
      </c>
      <c r="E2292" s="4">
        <v>0</v>
      </c>
      <c r="F2292" s="2">
        <v>0</v>
      </c>
      <c r="G2292" s="2">
        <v>0</v>
      </c>
      <c r="I2292" s="2" t="s">
        <v>1734</v>
      </c>
      <c r="J2292" s="2" t="s">
        <v>197</v>
      </c>
      <c r="K2292" t="s">
        <v>18</v>
      </c>
      <c r="L2292" t="str">
        <f>T("9791164092147")</f>
        <v>9791164092147</v>
      </c>
      <c r="M2292" t="str">
        <f t="shared" si="102"/>
        <v/>
      </c>
    </row>
    <row r="2293" spans="1:14">
      <c r="A2293" s="1">
        <v>46071.42260416667</v>
      </c>
      <c r="B2293">
        <v>257484956</v>
      </c>
      <c r="C2293" s="2" t="s">
        <v>2267</v>
      </c>
      <c r="D2293" t="s">
        <v>15</v>
      </c>
      <c r="E2293" s="4">
        <v>0</v>
      </c>
      <c r="F2293" s="2">
        <v>0</v>
      </c>
      <c r="G2293" s="2">
        <v>0</v>
      </c>
      <c r="I2293" s="2" t="s">
        <v>1772</v>
      </c>
      <c r="J2293" s="2" t="s">
        <v>197</v>
      </c>
      <c r="K2293" t="s">
        <v>18</v>
      </c>
      <c r="L2293" t="str">
        <f>T("9791164093144")</f>
        <v>9791164093144</v>
      </c>
      <c r="M2293" t="str">
        <f t="shared" si="102"/>
        <v/>
      </c>
      <c r="N2293" t="s">
        <v>2268</v>
      </c>
    </row>
    <row r="2294" spans="1:14">
      <c r="A2294" s="1">
        <v>46071.42260416667</v>
      </c>
      <c r="B2294">
        <v>257484962</v>
      </c>
      <c r="C2294" s="2" t="s">
        <v>1774</v>
      </c>
      <c r="D2294" t="s">
        <v>15</v>
      </c>
      <c r="E2294" s="4">
        <v>0</v>
      </c>
      <c r="F2294" s="2">
        <v>0</v>
      </c>
      <c r="G2294" s="2">
        <v>0</v>
      </c>
      <c r="I2294" s="2" t="s">
        <v>1772</v>
      </c>
      <c r="J2294" s="2" t="s">
        <v>197</v>
      </c>
      <c r="K2294" t="s">
        <v>18</v>
      </c>
      <c r="L2294" t="str">
        <f>T("9791164093212")</f>
        <v>9791164093212</v>
      </c>
      <c r="M2294" t="str">
        <f t="shared" si="102"/>
        <v/>
      </c>
      <c r="N2294" t="s">
        <v>1775</v>
      </c>
    </row>
    <row r="2295" spans="1:14">
      <c r="A2295" s="1">
        <v>46071.42260416667</v>
      </c>
      <c r="B2295">
        <v>257484947</v>
      </c>
      <c r="C2295" s="2" t="s">
        <v>1771</v>
      </c>
      <c r="D2295" t="s">
        <v>15</v>
      </c>
      <c r="E2295" s="4">
        <v>0</v>
      </c>
      <c r="F2295" s="2">
        <v>0</v>
      </c>
      <c r="G2295" s="2">
        <v>0</v>
      </c>
      <c r="I2295" s="2" t="s">
        <v>1772</v>
      </c>
      <c r="J2295" s="2" t="s">
        <v>197</v>
      </c>
      <c r="K2295" t="s">
        <v>18</v>
      </c>
      <c r="L2295" t="str">
        <f>T("9791164093090")</f>
        <v>9791164093090</v>
      </c>
      <c r="M2295" t="str">
        <f t="shared" si="102"/>
        <v/>
      </c>
      <c r="N2295" t="s">
        <v>1773</v>
      </c>
    </row>
    <row r="2296" spans="1:14">
      <c r="A2296" s="1">
        <v>46071.445925925924</v>
      </c>
      <c r="B2296">
        <v>386057128</v>
      </c>
      <c r="C2296" s="2" t="s">
        <v>1797</v>
      </c>
      <c r="D2296" t="s">
        <v>15</v>
      </c>
      <c r="E2296" s="5">
        <v>16800</v>
      </c>
      <c r="F2296" s="3">
        <v>16800</v>
      </c>
      <c r="G2296" s="3">
        <v>11760</v>
      </c>
      <c r="I2296" s="2" t="s">
        <v>540</v>
      </c>
      <c r="J2296" s="2" t="s">
        <v>197</v>
      </c>
      <c r="K2296" t="s">
        <v>18</v>
      </c>
      <c r="L2296" t="str">
        <f>T("9791164098934")</f>
        <v>9791164098934</v>
      </c>
      <c r="M2296" t="str">
        <f t="shared" si="102"/>
        <v/>
      </c>
    </row>
    <row r="2297" spans="1:14">
      <c r="A2297" s="1">
        <v>46071.446666666663</v>
      </c>
      <c r="B2297">
        <v>371345723</v>
      </c>
      <c r="C2297" s="2" t="s">
        <v>525</v>
      </c>
      <c r="D2297" t="s">
        <v>68</v>
      </c>
      <c r="E2297" s="5">
        <v>2310</v>
      </c>
      <c r="F2297" s="3">
        <v>2310</v>
      </c>
      <c r="G2297" s="3">
        <v>1617</v>
      </c>
      <c r="I2297" s="2" t="s">
        <v>196</v>
      </c>
      <c r="J2297" s="2" t="s">
        <v>197</v>
      </c>
      <c r="K2297" t="s">
        <v>18</v>
      </c>
      <c r="L2297" t="str">
        <f>T("9791172821692")</f>
        <v>9791172821692</v>
      </c>
      <c r="M2297" t="str">
        <f t="shared" si="102"/>
        <v/>
      </c>
      <c r="N2297" t="s">
        <v>526</v>
      </c>
    </row>
    <row r="2298" spans="1:14">
      <c r="A2298" s="1">
        <v>46071.454548611109</v>
      </c>
      <c r="B2298">
        <v>386057276</v>
      </c>
      <c r="C2298" s="2" t="s">
        <v>1681</v>
      </c>
      <c r="D2298" t="s">
        <v>68</v>
      </c>
      <c r="E2298" s="5">
        <v>8100</v>
      </c>
      <c r="F2298" s="3">
        <v>8100</v>
      </c>
      <c r="G2298" s="3">
        <v>5670</v>
      </c>
      <c r="I2298" s="2" t="s">
        <v>1682</v>
      </c>
      <c r="J2298" s="2" t="s">
        <v>197</v>
      </c>
      <c r="K2298" t="s">
        <v>18</v>
      </c>
      <c r="L2298" t="str">
        <f>T("9791164097661")</f>
        <v>9791164097661</v>
      </c>
      <c r="M2298" t="str">
        <f t="shared" si="102"/>
        <v/>
      </c>
    </row>
    <row r="2299" spans="1:14">
      <c r="A2299" s="1">
        <v>46071.459756944445</v>
      </c>
      <c r="B2299">
        <v>371102085</v>
      </c>
      <c r="C2299" s="2" t="s">
        <v>2371</v>
      </c>
      <c r="D2299" t="s">
        <v>15</v>
      </c>
      <c r="E2299" s="5">
        <v>1000</v>
      </c>
      <c r="F2299" s="3">
        <v>1000</v>
      </c>
      <c r="G2299" s="2">
        <v>700</v>
      </c>
      <c r="I2299" s="2" t="s">
        <v>1203</v>
      </c>
      <c r="J2299" s="2" t="s">
        <v>21</v>
      </c>
      <c r="K2299" t="s">
        <v>18</v>
      </c>
      <c r="L2299" t="str">
        <f>T("9791173017360")</f>
        <v>9791173017360</v>
      </c>
      <c r="M2299" t="str">
        <f t="shared" si="102"/>
        <v/>
      </c>
      <c r="N2299" t="s">
        <v>2372</v>
      </c>
    </row>
    <row r="2300" spans="1:14">
      <c r="A2300" s="1">
        <v>46071.459756944445</v>
      </c>
      <c r="B2300">
        <v>374550005</v>
      </c>
      <c r="C2300" s="2" t="s">
        <v>2373</v>
      </c>
      <c r="D2300" t="s">
        <v>15</v>
      </c>
      <c r="E2300" s="5">
        <v>1000</v>
      </c>
      <c r="F2300" s="3">
        <v>1000</v>
      </c>
      <c r="G2300" s="2">
        <v>700</v>
      </c>
      <c r="I2300" s="2" t="s">
        <v>1203</v>
      </c>
      <c r="J2300" s="2" t="s">
        <v>21</v>
      </c>
      <c r="K2300" t="s">
        <v>18</v>
      </c>
      <c r="L2300" t="str">
        <f>T("9791173018077")</f>
        <v>9791173018077</v>
      </c>
      <c r="M2300" t="str">
        <f t="shared" si="102"/>
        <v/>
      </c>
      <c r="N2300" t="s">
        <v>2374</v>
      </c>
    </row>
    <row r="2301" spans="1:14">
      <c r="A2301" s="1">
        <v>46071.459756944445</v>
      </c>
      <c r="B2301">
        <v>370614227</v>
      </c>
      <c r="C2301" s="2" t="s">
        <v>2375</v>
      </c>
      <c r="D2301" t="s">
        <v>15</v>
      </c>
      <c r="E2301" s="5">
        <v>1000</v>
      </c>
      <c r="F2301" s="3">
        <v>1000</v>
      </c>
      <c r="G2301" s="2">
        <v>700</v>
      </c>
      <c r="I2301" s="2" t="s">
        <v>1203</v>
      </c>
      <c r="J2301" s="2" t="s">
        <v>21</v>
      </c>
      <c r="K2301" t="s">
        <v>18</v>
      </c>
      <c r="L2301" t="str">
        <f>T("9791173017216")</f>
        <v>9791173017216</v>
      </c>
      <c r="M2301" t="str">
        <f t="shared" si="102"/>
        <v/>
      </c>
      <c r="N2301" t="s">
        <v>2376</v>
      </c>
    </row>
    <row r="2302" spans="1:14">
      <c r="A2302" s="1">
        <v>46071.461446759262</v>
      </c>
      <c r="B2302">
        <v>298567198</v>
      </c>
      <c r="C2302" s="2" t="s">
        <v>2377</v>
      </c>
      <c r="D2302" t="s">
        <v>15</v>
      </c>
      <c r="E2302" s="5">
        <v>1100</v>
      </c>
      <c r="F2302" s="3">
        <v>1100</v>
      </c>
      <c r="G2302" s="2">
        <v>770</v>
      </c>
      <c r="I2302" s="2" t="s">
        <v>354</v>
      </c>
      <c r="J2302" s="2" t="s">
        <v>21</v>
      </c>
      <c r="K2302" t="s">
        <v>18</v>
      </c>
      <c r="L2302" t="str">
        <f>T("9791167831194")</f>
        <v>9791167831194</v>
      </c>
      <c r="M2302" t="str">
        <f t="shared" si="102"/>
        <v/>
      </c>
    </row>
    <row r="2303" spans="1:14">
      <c r="A2303" s="1">
        <v>46071.461446759262</v>
      </c>
      <c r="B2303">
        <v>302939431</v>
      </c>
      <c r="C2303" s="2" t="s">
        <v>971</v>
      </c>
      <c r="D2303" t="s">
        <v>15</v>
      </c>
      <c r="E2303" s="5">
        <v>3100</v>
      </c>
      <c r="F2303" s="3">
        <v>3100</v>
      </c>
      <c r="G2303" s="3">
        <v>2170</v>
      </c>
      <c r="I2303" s="2" t="s">
        <v>89</v>
      </c>
      <c r="J2303" s="2" t="s">
        <v>21</v>
      </c>
      <c r="K2303" t="s">
        <v>18</v>
      </c>
      <c r="L2303" t="str">
        <f>T("9791167834539")</f>
        <v>9791167834539</v>
      </c>
      <c r="M2303" t="str">
        <f t="shared" si="102"/>
        <v/>
      </c>
    </row>
    <row r="2304" spans="1:14">
      <c r="A2304" s="1">
        <v>46071.461446759262</v>
      </c>
      <c r="B2304">
        <v>385852543</v>
      </c>
      <c r="C2304" s="2" t="s">
        <v>1200</v>
      </c>
      <c r="D2304" t="s">
        <v>15</v>
      </c>
      <c r="E2304" s="5">
        <v>3000</v>
      </c>
      <c r="F2304" s="3">
        <v>3000</v>
      </c>
      <c r="G2304" s="3">
        <v>2100</v>
      </c>
      <c r="I2304" s="2" t="s">
        <v>1198</v>
      </c>
      <c r="J2304" s="2" t="s">
        <v>21</v>
      </c>
      <c r="K2304" t="s">
        <v>18</v>
      </c>
      <c r="L2304" t="str">
        <f>T("9791175582941")</f>
        <v>9791175582941</v>
      </c>
      <c r="M2304" t="str">
        <f t="shared" si="102"/>
        <v/>
      </c>
      <c r="N2304" t="s">
        <v>1201</v>
      </c>
    </row>
    <row r="2305" spans="1:14">
      <c r="A2305" s="1">
        <v>46071.472696759258</v>
      </c>
      <c r="B2305">
        <v>223268465</v>
      </c>
      <c r="C2305" s="2" t="s">
        <v>1859</v>
      </c>
      <c r="D2305" t="s">
        <v>68</v>
      </c>
      <c r="E2305" s="5">
        <v>1200</v>
      </c>
      <c r="F2305" s="3">
        <v>1200</v>
      </c>
      <c r="G2305" s="2">
        <v>840</v>
      </c>
      <c r="I2305" s="2" t="s">
        <v>852</v>
      </c>
      <c r="J2305" s="2" t="s">
        <v>197</v>
      </c>
      <c r="K2305" t="s">
        <v>18</v>
      </c>
      <c r="L2305" t="str">
        <f>T("9791164090822")</f>
        <v>9791164090822</v>
      </c>
      <c r="M2305" t="str">
        <f t="shared" si="102"/>
        <v/>
      </c>
    </row>
    <row r="2306" spans="1:14">
      <c r="A2306" s="1">
        <v>46071.47415509259</v>
      </c>
      <c r="B2306">
        <v>304630793</v>
      </c>
      <c r="C2306" s="2" t="s">
        <v>2378</v>
      </c>
      <c r="D2306" t="s">
        <v>68</v>
      </c>
      <c r="E2306" s="4">
        <v>900</v>
      </c>
      <c r="F2306" s="2">
        <v>900</v>
      </c>
      <c r="G2306" s="2">
        <v>630</v>
      </c>
      <c r="I2306" s="2" t="s">
        <v>1749</v>
      </c>
      <c r="J2306" s="2" t="s">
        <v>245</v>
      </c>
      <c r="K2306" t="s">
        <v>18</v>
      </c>
      <c r="L2306" t="str">
        <f>T("9791166007804")</f>
        <v>9791166007804</v>
      </c>
      <c r="M2306" t="str">
        <f t="shared" si="102"/>
        <v/>
      </c>
      <c r="N2306" t="s">
        <v>2379</v>
      </c>
    </row>
    <row r="2307" spans="1:14">
      <c r="A2307" s="1">
        <v>46071.48028935185</v>
      </c>
      <c r="B2307">
        <v>375169556</v>
      </c>
      <c r="C2307" s="2" t="s">
        <v>1323</v>
      </c>
      <c r="D2307" t="s">
        <v>15</v>
      </c>
      <c r="E2307" s="5">
        <v>1000</v>
      </c>
      <c r="F2307" s="3">
        <v>1000</v>
      </c>
      <c r="G2307" s="2">
        <v>700</v>
      </c>
      <c r="I2307" s="2" t="s">
        <v>1324</v>
      </c>
      <c r="J2307" s="2" t="s">
        <v>21</v>
      </c>
      <c r="K2307" t="s">
        <v>18</v>
      </c>
      <c r="L2307" t="str">
        <f>T("9791175580794")</f>
        <v>9791175580794</v>
      </c>
      <c r="M2307" t="str">
        <f t="shared" si="102"/>
        <v/>
      </c>
      <c r="N2307" t="s">
        <v>1325</v>
      </c>
    </row>
    <row r="2308" spans="1:14">
      <c r="A2308" s="1">
        <v>46071.528449074074</v>
      </c>
      <c r="B2308">
        <v>277935733</v>
      </c>
      <c r="C2308" s="2" t="s">
        <v>625</v>
      </c>
      <c r="D2308" t="s">
        <v>15</v>
      </c>
      <c r="E2308" s="4">
        <v>100</v>
      </c>
      <c r="F2308" s="2">
        <v>100</v>
      </c>
      <c r="G2308" s="2">
        <v>70</v>
      </c>
      <c r="I2308" s="2" t="s">
        <v>64</v>
      </c>
      <c r="J2308" s="2" t="s">
        <v>65</v>
      </c>
      <c r="K2308" t="s">
        <v>18</v>
      </c>
      <c r="L2308" t="str">
        <f>T("9791162589724")</f>
        <v>9791162589724</v>
      </c>
      <c r="M2308" t="str">
        <f t="shared" si="102"/>
        <v/>
      </c>
      <c r="N2308" t="s">
        <v>626</v>
      </c>
    </row>
    <row r="2309" spans="1:14">
      <c r="A2309" s="1">
        <v>46071.528449074074</v>
      </c>
      <c r="B2309">
        <v>277935735</v>
      </c>
      <c r="C2309" s="2" t="s">
        <v>788</v>
      </c>
      <c r="D2309" t="s">
        <v>15</v>
      </c>
      <c r="E2309" s="4">
        <v>100</v>
      </c>
      <c r="F2309" s="2">
        <v>100</v>
      </c>
      <c r="G2309" s="2">
        <v>70</v>
      </c>
      <c r="I2309" s="2" t="s">
        <v>64</v>
      </c>
      <c r="J2309" s="2" t="s">
        <v>65</v>
      </c>
      <c r="K2309" t="s">
        <v>18</v>
      </c>
      <c r="L2309" t="str">
        <f>T("9791162589724")</f>
        <v>9791162589724</v>
      </c>
      <c r="M2309" t="str">
        <f t="shared" si="102"/>
        <v/>
      </c>
      <c r="N2309" t="s">
        <v>789</v>
      </c>
    </row>
    <row r="2310" spans="1:14">
      <c r="A2310" s="1">
        <v>46071.528449074074</v>
      </c>
      <c r="B2310">
        <v>277935483</v>
      </c>
      <c r="C2310" s="2" t="s">
        <v>786</v>
      </c>
      <c r="D2310" t="s">
        <v>15</v>
      </c>
      <c r="E2310" s="4">
        <v>100</v>
      </c>
      <c r="F2310" s="2">
        <v>100</v>
      </c>
      <c r="G2310" s="2">
        <v>70</v>
      </c>
      <c r="I2310" s="2" t="s">
        <v>64</v>
      </c>
      <c r="J2310" s="2" t="s">
        <v>65</v>
      </c>
      <c r="K2310" t="s">
        <v>18</v>
      </c>
      <c r="L2310" t="str">
        <f>T("9791162589724")</f>
        <v>9791162589724</v>
      </c>
      <c r="M2310" t="str">
        <f t="shared" si="102"/>
        <v/>
      </c>
      <c r="N2310" t="s">
        <v>787</v>
      </c>
    </row>
    <row r="2311" spans="1:14">
      <c r="A2311" s="1">
        <v>46071.528449074074</v>
      </c>
      <c r="B2311">
        <v>277935636</v>
      </c>
      <c r="C2311" s="2" t="s">
        <v>601</v>
      </c>
      <c r="D2311" t="s">
        <v>15</v>
      </c>
      <c r="E2311" s="4">
        <v>100</v>
      </c>
      <c r="F2311" s="2">
        <v>100</v>
      </c>
      <c r="G2311" s="2">
        <v>70</v>
      </c>
      <c r="I2311" s="2" t="s">
        <v>64</v>
      </c>
      <c r="J2311" s="2" t="s">
        <v>65</v>
      </c>
      <c r="K2311" t="s">
        <v>18</v>
      </c>
      <c r="L2311" t="str">
        <f>T("9791162589724")</f>
        <v>9791162589724</v>
      </c>
      <c r="M2311" t="str">
        <f t="shared" si="102"/>
        <v/>
      </c>
      <c r="N2311" t="s">
        <v>602</v>
      </c>
    </row>
    <row r="2312" spans="1:14">
      <c r="A2312" s="1">
        <v>46071.528449074074</v>
      </c>
      <c r="B2312">
        <v>277935681</v>
      </c>
      <c r="C2312" s="2" t="s">
        <v>607</v>
      </c>
      <c r="D2312" t="s">
        <v>15</v>
      </c>
      <c r="E2312" s="4">
        <v>100</v>
      </c>
      <c r="F2312" s="2">
        <v>100</v>
      </c>
      <c r="G2312" s="2">
        <v>70</v>
      </c>
      <c r="I2312" s="2" t="s">
        <v>64</v>
      </c>
      <c r="J2312" s="2" t="s">
        <v>65</v>
      </c>
      <c r="K2312" t="s">
        <v>18</v>
      </c>
      <c r="L2312" t="str">
        <f>T("9791162589724")</f>
        <v>9791162589724</v>
      </c>
      <c r="M2312" t="str">
        <f t="shared" si="102"/>
        <v/>
      </c>
      <c r="N2312" t="s">
        <v>608</v>
      </c>
    </row>
    <row r="2313" spans="1:14">
      <c r="A2313" s="1">
        <v>46071.534594907411</v>
      </c>
      <c r="B2313">
        <v>386057128</v>
      </c>
      <c r="C2313" s="2" t="s">
        <v>1797</v>
      </c>
      <c r="D2313" t="s">
        <v>15</v>
      </c>
      <c r="E2313" s="5">
        <v>16800</v>
      </c>
      <c r="F2313" s="3">
        <v>16800</v>
      </c>
      <c r="G2313" s="3">
        <v>11760</v>
      </c>
      <c r="I2313" s="2" t="s">
        <v>540</v>
      </c>
      <c r="J2313" s="2" t="s">
        <v>197</v>
      </c>
      <c r="K2313" t="s">
        <v>18</v>
      </c>
      <c r="L2313" t="str">
        <f>T("9791164098934")</f>
        <v>9791164098934</v>
      </c>
      <c r="M2313" t="str">
        <f t="shared" si="102"/>
        <v/>
      </c>
    </row>
    <row r="2314" spans="1:14">
      <c r="A2314" s="1">
        <v>46071.536192129628</v>
      </c>
      <c r="B2314">
        <v>302939431</v>
      </c>
      <c r="C2314" s="2" t="s">
        <v>971</v>
      </c>
      <c r="D2314" t="s">
        <v>15</v>
      </c>
      <c r="E2314" s="5">
        <v>3100</v>
      </c>
      <c r="F2314" s="3">
        <v>3100</v>
      </c>
      <c r="G2314" s="3">
        <v>2170</v>
      </c>
      <c r="I2314" s="2" t="s">
        <v>89</v>
      </c>
      <c r="J2314" s="2" t="s">
        <v>21</v>
      </c>
      <c r="K2314" t="s">
        <v>18</v>
      </c>
      <c r="L2314" t="str">
        <f>T("9791167834539")</f>
        <v>9791167834539</v>
      </c>
      <c r="M2314" t="str">
        <f t="shared" si="102"/>
        <v/>
      </c>
    </row>
    <row r="2315" spans="1:14">
      <c r="A2315" s="1">
        <v>46071.542766203704</v>
      </c>
      <c r="B2315">
        <v>277935674</v>
      </c>
      <c r="C2315" s="2" t="s">
        <v>2380</v>
      </c>
      <c r="D2315" t="s">
        <v>15</v>
      </c>
      <c r="E2315" s="4">
        <v>100</v>
      </c>
      <c r="F2315" s="2">
        <v>100</v>
      </c>
      <c r="G2315" s="2">
        <v>70</v>
      </c>
      <c r="I2315" s="2" t="s">
        <v>64</v>
      </c>
      <c r="J2315" s="2" t="s">
        <v>65</v>
      </c>
      <c r="K2315" t="s">
        <v>18</v>
      </c>
      <c r="L2315" t="str">
        <f>T("9791162589724")</f>
        <v>9791162589724</v>
      </c>
      <c r="M2315" t="str">
        <f t="shared" si="102"/>
        <v/>
      </c>
      <c r="N2315" t="s">
        <v>2381</v>
      </c>
    </row>
    <row r="2316" spans="1:14">
      <c r="A2316" s="1">
        <v>46071.542766203704</v>
      </c>
      <c r="B2316">
        <v>277935667</v>
      </c>
      <c r="C2316" s="2" t="s">
        <v>2382</v>
      </c>
      <c r="D2316" t="s">
        <v>15</v>
      </c>
      <c r="E2316" s="4">
        <v>100</v>
      </c>
      <c r="F2316" s="2">
        <v>100</v>
      </c>
      <c r="G2316" s="2">
        <v>70</v>
      </c>
      <c r="I2316" s="2" t="s">
        <v>64</v>
      </c>
      <c r="J2316" s="2" t="s">
        <v>65</v>
      </c>
      <c r="K2316" t="s">
        <v>18</v>
      </c>
      <c r="L2316" t="str">
        <f>T("9791162589724")</f>
        <v>9791162589724</v>
      </c>
      <c r="M2316" t="str">
        <f t="shared" si="102"/>
        <v/>
      </c>
      <c r="N2316" t="s">
        <v>2383</v>
      </c>
    </row>
    <row r="2317" spans="1:14">
      <c r="A2317" s="1">
        <v>46071.542766203704</v>
      </c>
      <c r="B2317">
        <v>277935612</v>
      </c>
      <c r="C2317" s="2" t="s">
        <v>2384</v>
      </c>
      <c r="D2317" t="s">
        <v>15</v>
      </c>
      <c r="E2317" s="4">
        <v>100</v>
      </c>
      <c r="F2317" s="2">
        <v>100</v>
      </c>
      <c r="G2317" s="2">
        <v>70</v>
      </c>
      <c r="I2317" s="2" t="s">
        <v>64</v>
      </c>
      <c r="J2317" s="2" t="s">
        <v>65</v>
      </c>
      <c r="K2317" t="s">
        <v>18</v>
      </c>
      <c r="L2317" t="str">
        <f>T("9791162589724")</f>
        <v>9791162589724</v>
      </c>
      <c r="M2317" t="str">
        <f t="shared" si="102"/>
        <v/>
      </c>
      <c r="N2317" t="s">
        <v>2385</v>
      </c>
    </row>
    <row r="2318" spans="1:14">
      <c r="A2318" s="1">
        <v>46071.542766203704</v>
      </c>
      <c r="B2318">
        <v>277935559</v>
      </c>
      <c r="C2318" s="2" t="s">
        <v>2386</v>
      </c>
      <c r="D2318" t="s">
        <v>15</v>
      </c>
      <c r="E2318" s="4">
        <v>100</v>
      </c>
      <c r="F2318" s="2">
        <v>100</v>
      </c>
      <c r="G2318" s="2">
        <v>70</v>
      </c>
      <c r="I2318" s="2" t="s">
        <v>64</v>
      </c>
      <c r="J2318" s="2" t="s">
        <v>65</v>
      </c>
      <c r="K2318" t="s">
        <v>18</v>
      </c>
      <c r="L2318" t="str">
        <f>T("9791162589724")</f>
        <v>9791162589724</v>
      </c>
      <c r="M2318" t="str">
        <f t="shared" si="102"/>
        <v/>
      </c>
      <c r="N2318" t="s">
        <v>2387</v>
      </c>
    </row>
    <row r="2319" spans="1:14">
      <c r="A2319" s="1">
        <v>46071.556979166664</v>
      </c>
      <c r="B2319">
        <v>367688256</v>
      </c>
      <c r="C2319" s="2" t="s">
        <v>1321</v>
      </c>
      <c r="D2319" t="s">
        <v>15</v>
      </c>
      <c r="E2319" s="5">
        <v>3300</v>
      </c>
      <c r="F2319" s="3">
        <v>2970</v>
      </c>
      <c r="G2319" s="3">
        <v>2079</v>
      </c>
      <c r="I2319" s="2" t="s">
        <v>1141</v>
      </c>
      <c r="J2319" s="2" t="s">
        <v>184</v>
      </c>
      <c r="K2319" t="s">
        <v>18</v>
      </c>
      <c r="L2319" t="str">
        <f>T("9791170964506")</f>
        <v>9791170964506</v>
      </c>
      <c r="M2319" t="str">
        <f t="shared" ref="M2319:M2350" si="103">T("")</f>
        <v/>
      </c>
      <c r="N2319" t="s">
        <v>1322</v>
      </c>
    </row>
    <row r="2320" spans="1:14">
      <c r="A2320" s="1">
        <v>46071.558437500003</v>
      </c>
      <c r="B2320">
        <v>379921095</v>
      </c>
      <c r="C2320" s="2" t="s">
        <v>927</v>
      </c>
      <c r="D2320" t="s">
        <v>15</v>
      </c>
      <c r="E2320" s="5">
        <v>1000</v>
      </c>
      <c r="F2320" s="3">
        <v>1000</v>
      </c>
      <c r="G2320" s="2">
        <v>700</v>
      </c>
      <c r="I2320" s="2" t="s">
        <v>928</v>
      </c>
      <c r="J2320" s="2" t="s">
        <v>21</v>
      </c>
      <c r="K2320" t="s">
        <v>18</v>
      </c>
      <c r="L2320" t="str">
        <f>T("9791175581319")</f>
        <v>9791175581319</v>
      </c>
      <c r="M2320" t="str">
        <f t="shared" si="103"/>
        <v/>
      </c>
      <c r="N2320" t="s">
        <v>929</v>
      </c>
    </row>
    <row r="2321" spans="1:14">
      <c r="A2321" s="1">
        <v>46071.563587962963</v>
      </c>
      <c r="B2321">
        <v>382626253</v>
      </c>
      <c r="C2321" s="2" t="s">
        <v>1356</v>
      </c>
      <c r="D2321" t="s">
        <v>15</v>
      </c>
      <c r="E2321" s="5">
        <v>1000</v>
      </c>
      <c r="F2321" s="3">
        <v>1000</v>
      </c>
      <c r="G2321" s="2">
        <v>700</v>
      </c>
      <c r="I2321" s="2" t="s">
        <v>1203</v>
      </c>
      <c r="J2321" s="2" t="s">
        <v>21</v>
      </c>
      <c r="K2321" t="s">
        <v>18</v>
      </c>
      <c r="L2321" t="str">
        <f>T("9791175581418")</f>
        <v>9791175581418</v>
      </c>
      <c r="M2321" t="str">
        <f t="shared" si="103"/>
        <v/>
      </c>
      <c r="N2321" t="s">
        <v>1357</v>
      </c>
    </row>
    <row r="2322" spans="1:14">
      <c r="A2322" s="1">
        <v>46071.565648148149</v>
      </c>
      <c r="B2322">
        <v>211909257</v>
      </c>
      <c r="C2322" s="2" t="s">
        <v>1665</v>
      </c>
      <c r="D2322" t="s">
        <v>68</v>
      </c>
      <c r="E2322" s="5">
        <v>4550</v>
      </c>
      <c r="F2322" s="3">
        <v>4550</v>
      </c>
      <c r="G2322" s="3">
        <v>3185</v>
      </c>
      <c r="I2322" s="2" t="s">
        <v>196</v>
      </c>
      <c r="J2322" s="2" t="s">
        <v>197</v>
      </c>
      <c r="K2322" t="s">
        <v>18</v>
      </c>
      <c r="L2322" t="str">
        <f>T("9791164090693")</f>
        <v>9791164090693</v>
      </c>
      <c r="M2322" t="str">
        <f t="shared" si="103"/>
        <v/>
      </c>
    </row>
    <row r="2323" spans="1:14">
      <c r="A2323" s="1">
        <v>46071.584421296298</v>
      </c>
      <c r="B2323">
        <v>378390188</v>
      </c>
      <c r="C2323" s="2" t="s">
        <v>2388</v>
      </c>
      <c r="D2323" t="s">
        <v>15</v>
      </c>
      <c r="E2323" s="5">
        <v>1000</v>
      </c>
      <c r="F2323" s="3">
        <v>1000</v>
      </c>
      <c r="G2323" s="2">
        <v>700</v>
      </c>
      <c r="I2323" s="2" t="s">
        <v>2389</v>
      </c>
      <c r="J2323" s="2" t="s">
        <v>21</v>
      </c>
      <c r="K2323" t="s">
        <v>18</v>
      </c>
      <c r="L2323" t="str">
        <f>T("9791175580381")</f>
        <v>9791175580381</v>
      </c>
      <c r="M2323" t="str">
        <f t="shared" si="103"/>
        <v/>
      </c>
      <c r="N2323" t="s">
        <v>2390</v>
      </c>
    </row>
    <row r="2324" spans="1:14">
      <c r="A2324" s="1">
        <v>46071.584421296298</v>
      </c>
      <c r="B2324">
        <v>378390632</v>
      </c>
      <c r="C2324" s="2" t="s">
        <v>2391</v>
      </c>
      <c r="D2324" t="s">
        <v>15</v>
      </c>
      <c r="E2324" s="5">
        <v>1000</v>
      </c>
      <c r="F2324" s="3">
        <v>1000</v>
      </c>
      <c r="G2324" s="2">
        <v>700</v>
      </c>
      <c r="I2324" s="2" t="s">
        <v>2389</v>
      </c>
      <c r="J2324" s="2" t="s">
        <v>21</v>
      </c>
      <c r="K2324" t="s">
        <v>18</v>
      </c>
      <c r="L2324" t="str">
        <f>T("9791175580497")</f>
        <v>9791175580497</v>
      </c>
      <c r="M2324" t="str">
        <f t="shared" si="103"/>
        <v/>
      </c>
      <c r="N2324" t="s">
        <v>2392</v>
      </c>
    </row>
    <row r="2325" spans="1:14">
      <c r="A2325" s="1">
        <v>46071.59</v>
      </c>
      <c r="B2325">
        <v>379527587</v>
      </c>
      <c r="C2325" s="2" t="s">
        <v>193</v>
      </c>
      <c r="D2325" t="s">
        <v>15</v>
      </c>
      <c r="E2325" s="5">
        <v>1000</v>
      </c>
      <c r="F2325" s="3">
        <v>1000</v>
      </c>
      <c r="G2325" s="2">
        <v>700</v>
      </c>
      <c r="I2325" s="2" t="s">
        <v>148</v>
      </c>
      <c r="J2325" s="2" t="s">
        <v>21</v>
      </c>
      <c r="K2325" t="s">
        <v>18</v>
      </c>
      <c r="L2325" t="str">
        <f>T("9791175580763")</f>
        <v>9791175580763</v>
      </c>
      <c r="M2325" t="str">
        <f t="shared" si="103"/>
        <v/>
      </c>
      <c r="N2325" t="s">
        <v>194</v>
      </c>
    </row>
    <row r="2326" spans="1:14">
      <c r="A2326" s="1">
        <v>46071.591261574074</v>
      </c>
      <c r="B2326">
        <v>307439415</v>
      </c>
      <c r="C2326" s="2" t="s">
        <v>2393</v>
      </c>
      <c r="D2326" t="s">
        <v>15</v>
      </c>
      <c r="E2326" s="5">
        <v>1000</v>
      </c>
      <c r="F2326" s="3">
        <v>1000</v>
      </c>
      <c r="G2326" s="2">
        <v>700</v>
      </c>
      <c r="I2326" s="2" t="s">
        <v>354</v>
      </c>
      <c r="J2326" s="2" t="s">
        <v>177</v>
      </c>
      <c r="K2326" t="s">
        <v>18</v>
      </c>
      <c r="L2326" t="str">
        <f>T("9791164798223")</f>
        <v>9791164798223</v>
      </c>
      <c r="M2326" t="str">
        <f t="shared" si="103"/>
        <v/>
      </c>
      <c r="N2326" t="s">
        <v>2394</v>
      </c>
    </row>
    <row r="2327" spans="1:14">
      <c r="A2327" s="1">
        <v>46071.591261574074</v>
      </c>
      <c r="B2327">
        <v>310978894</v>
      </c>
      <c r="C2327" s="2" t="s">
        <v>2395</v>
      </c>
      <c r="D2327" t="s">
        <v>15</v>
      </c>
      <c r="E2327" s="5">
        <v>1000</v>
      </c>
      <c r="F2327" s="3">
        <v>1000</v>
      </c>
      <c r="G2327" s="2">
        <v>700</v>
      </c>
      <c r="I2327" s="2" t="s">
        <v>354</v>
      </c>
      <c r="J2327" s="2" t="s">
        <v>177</v>
      </c>
      <c r="K2327" t="s">
        <v>18</v>
      </c>
      <c r="L2327" t="str">
        <f>T("9791164798872")</f>
        <v>9791164798872</v>
      </c>
      <c r="M2327" t="str">
        <f t="shared" si="103"/>
        <v/>
      </c>
      <c r="N2327" t="s">
        <v>2396</v>
      </c>
    </row>
    <row r="2328" spans="1:14">
      <c r="A2328" s="1">
        <v>46071.591261574074</v>
      </c>
      <c r="B2328">
        <v>309057365</v>
      </c>
      <c r="C2328" s="2" t="s">
        <v>2397</v>
      </c>
      <c r="D2328" t="s">
        <v>15</v>
      </c>
      <c r="E2328" s="5">
        <v>1000</v>
      </c>
      <c r="F2328" s="3">
        <v>1000</v>
      </c>
      <c r="G2328" s="2">
        <v>700</v>
      </c>
      <c r="I2328" s="2" t="s">
        <v>354</v>
      </c>
      <c r="J2328" s="2" t="s">
        <v>177</v>
      </c>
      <c r="K2328" t="s">
        <v>18</v>
      </c>
      <c r="L2328" t="str">
        <f>T("9791164798520")</f>
        <v>9791164798520</v>
      </c>
      <c r="M2328" t="str">
        <f t="shared" si="103"/>
        <v/>
      </c>
      <c r="N2328" t="s">
        <v>2398</v>
      </c>
    </row>
    <row r="2329" spans="1:14">
      <c r="A2329" s="1">
        <v>46071.592326388891</v>
      </c>
      <c r="B2329">
        <v>277935774</v>
      </c>
      <c r="C2329" s="2" t="s">
        <v>2399</v>
      </c>
      <c r="D2329" t="s">
        <v>15</v>
      </c>
      <c r="E2329" s="4">
        <v>100</v>
      </c>
      <c r="F2329" s="2">
        <v>100</v>
      </c>
      <c r="G2329" s="2">
        <v>70</v>
      </c>
      <c r="I2329" s="2" t="s">
        <v>64</v>
      </c>
      <c r="J2329" s="2" t="s">
        <v>65</v>
      </c>
      <c r="K2329" t="s">
        <v>18</v>
      </c>
      <c r="L2329" t="str">
        <f>T("9791162589724")</f>
        <v>9791162589724</v>
      </c>
      <c r="M2329" t="str">
        <f t="shared" si="103"/>
        <v/>
      </c>
      <c r="N2329" t="s">
        <v>2400</v>
      </c>
    </row>
    <row r="2330" spans="1:14">
      <c r="A2330" s="1">
        <v>46071.592326388891</v>
      </c>
      <c r="B2330">
        <v>277935861</v>
      </c>
      <c r="C2330" s="2" t="s">
        <v>2401</v>
      </c>
      <c r="D2330" t="s">
        <v>15</v>
      </c>
      <c r="E2330" s="4">
        <v>100</v>
      </c>
      <c r="F2330" s="2">
        <v>100</v>
      </c>
      <c r="G2330" s="2">
        <v>70</v>
      </c>
      <c r="I2330" s="2" t="s">
        <v>64</v>
      </c>
      <c r="J2330" s="2" t="s">
        <v>65</v>
      </c>
      <c r="K2330" t="s">
        <v>18</v>
      </c>
      <c r="L2330" t="str">
        <f>T("9791162589724")</f>
        <v>9791162589724</v>
      </c>
      <c r="M2330" t="str">
        <f t="shared" si="103"/>
        <v/>
      </c>
      <c r="N2330" t="s">
        <v>2402</v>
      </c>
    </row>
    <row r="2331" spans="1:14">
      <c r="A2331" s="1">
        <v>46071.602743055555</v>
      </c>
      <c r="B2331">
        <v>386008658</v>
      </c>
      <c r="C2331" s="2" t="s">
        <v>1429</v>
      </c>
      <c r="D2331" t="s">
        <v>15</v>
      </c>
      <c r="E2331" s="5">
        <v>1100</v>
      </c>
      <c r="F2331" s="3">
        <v>1100</v>
      </c>
      <c r="G2331" s="2">
        <v>770</v>
      </c>
      <c r="I2331" s="2" t="s">
        <v>148</v>
      </c>
      <c r="J2331" s="2" t="s">
        <v>21</v>
      </c>
      <c r="K2331" t="s">
        <v>18</v>
      </c>
      <c r="L2331" t="str">
        <f>T("9791175582873")</f>
        <v>9791175582873</v>
      </c>
      <c r="M2331" t="str">
        <f t="shared" si="103"/>
        <v/>
      </c>
      <c r="N2331" t="s">
        <v>1430</v>
      </c>
    </row>
    <row r="2332" spans="1:14">
      <c r="A2332" s="1">
        <v>46071.611435185187</v>
      </c>
      <c r="B2332">
        <v>325784470</v>
      </c>
      <c r="C2332" s="2" t="s">
        <v>353</v>
      </c>
      <c r="D2332" t="s">
        <v>15</v>
      </c>
      <c r="E2332" s="5">
        <v>1000</v>
      </c>
      <c r="F2332" s="3">
        <v>1000</v>
      </c>
      <c r="G2332" s="2">
        <v>700</v>
      </c>
      <c r="I2332" s="2" t="s">
        <v>354</v>
      </c>
      <c r="J2332" s="2" t="s">
        <v>21</v>
      </c>
      <c r="K2332" t="s">
        <v>18</v>
      </c>
      <c r="L2332" t="str">
        <f>T("9791167837752")</f>
        <v>9791167837752</v>
      </c>
      <c r="M2332" t="str">
        <f t="shared" si="103"/>
        <v/>
      </c>
      <c r="N2332" t="s">
        <v>355</v>
      </c>
    </row>
    <row r="2333" spans="1:14">
      <c r="A2333" s="1">
        <v>46071.611435185187</v>
      </c>
      <c r="B2333">
        <v>325784566</v>
      </c>
      <c r="C2333" s="2" t="s">
        <v>2403</v>
      </c>
      <c r="D2333" t="s">
        <v>15</v>
      </c>
      <c r="E2333" s="5">
        <v>1000</v>
      </c>
      <c r="F2333" s="3">
        <v>1000</v>
      </c>
      <c r="G2333" s="2">
        <v>700</v>
      </c>
      <c r="I2333" s="2" t="s">
        <v>354</v>
      </c>
      <c r="J2333" s="2" t="s">
        <v>21</v>
      </c>
      <c r="K2333" t="s">
        <v>18</v>
      </c>
      <c r="L2333" t="str">
        <f>T("9791167838339")</f>
        <v>9791167838339</v>
      </c>
      <c r="M2333" t="str">
        <f t="shared" si="103"/>
        <v/>
      </c>
      <c r="N2333" t="s">
        <v>2404</v>
      </c>
    </row>
    <row r="2334" spans="1:14">
      <c r="A2334" s="1">
        <v>46071.611435185187</v>
      </c>
      <c r="B2334">
        <v>325784497</v>
      </c>
      <c r="C2334" s="2" t="s">
        <v>943</v>
      </c>
      <c r="D2334" t="s">
        <v>15</v>
      </c>
      <c r="E2334" s="5">
        <v>1000</v>
      </c>
      <c r="F2334" s="3">
        <v>1000</v>
      </c>
      <c r="G2334" s="2">
        <v>700</v>
      </c>
      <c r="I2334" s="2" t="s">
        <v>354</v>
      </c>
      <c r="J2334" s="2" t="s">
        <v>21</v>
      </c>
      <c r="K2334" t="s">
        <v>18</v>
      </c>
      <c r="L2334" t="str">
        <f>T("9791167839404")</f>
        <v>9791167839404</v>
      </c>
      <c r="M2334" t="str">
        <f t="shared" si="103"/>
        <v/>
      </c>
      <c r="N2334" t="s">
        <v>944</v>
      </c>
    </row>
    <row r="2335" spans="1:14">
      <c r="A2335" s="1">
        <v>46071.611435185187</v>
      </c>
      <c r="B2335">
        <v>325784513</v>
      </c>
      <c r="C2335" s="2" t="s">
        <v>2405</v>
      </c>
      <c r="D2335" t="s">
        <v>15</v>
      </c>
      <c r="E2335" s="5">
        <v>1000</v>
      </c>
      <c r="F2335" s="3">
        <v>1000</v>
      </c>
      <c r="G2335" s="2">
        <v>700</v>
      </c>
      <c r="I2335" s="2" t="s">
        <v>354</v>
      </c>
      <c r="J2335" s="2" t="s">
        <v>21</v>
      </c>
      <c r="K2335" t="s">
        <v>18</v>
      </c>
      <c r="L2335" t="str">
        <f>T("9791167839459")</f>
        <v>9791167839459</v>
      </c>
      <c r="M2335" t="str">
        <f t="shared" si="103"/>
        <v/>
      </c>
      <c r="N2335" t="s">
        <v>2406</v>
      </c>
    </row>
    <row r="2336" spans="1:14">
      <c r="A2336" s="1">
        <v>46071.6169212963</v>
      </c>
      <c r="B2336">
        <v>385347817</v>
      </c>
      <c r="C2336" s="2" t="s">
        <v>401</v>
      </c>
      <c r="D2336" t="s">
        <v>15</v>
      </c>
      <c r="E2336" s="5">
        <v>3200</v>
      </c>
      <c r="F2336" s="3">
        <v>3200</v>
      </c>
      <c r="G2336" s="3">
        <v>2240</v>
      </c>
      <c r="I2336" s="2" t="s">
        <v>230</v>
      </c>
      <c r="J2336" s="2" t="s">
        <v>161</v>
      </c>
      <c r="K2336" t="s">
        <v>18</v>
      </c>
      <c r="L2336" t="str">
        <f>T("9791173261169")</f>
        <v>9791173261169</v>
      </c>
      <c r="M2336" t="str">
        <f t="shared" si="103"/>
        <v/>
      </c>
      <c r="N2336" t="s">
        <v>402</v>
      </c>
    </row>
    <row r="2337" spans="1:14">
      <c r="A2337" s="1">
        <v>46071.6169212963</v>
      </c>
      <c r="B2337">
        <v>385347958</v>
      </c>
      <c r="C2337" s="2" t="s">
        <v>397</v>
      </c>
      <c r="D2337" t="s">
        <v>15</v>
      </c>
      <c r="E2337" s="5">
        <v>3200</v>
      </c>
      <c r="F2337" s="3">
        <v>3200</v>
      </c>
      <c r="G2337" s="3">
        <v>2240</v>
      </c>
      <c r="I2337" s="2" t="s">
        <v>230</v>
      </c>
      <c r="J2337" s="2" t="s">
        <v>161</v>
      </c>
      <c r="K2337" t="s">
        <v>18</v>
      </c>
      <c r="L2337" t="str">
        <f>T("9791173261183")</f>
        <v>9791173261183</v>
      </c>
      <c r="M2337" t="str">
        <f t="shared" si="103"/>
        <v/>
      </c>
      <c r="N2337" t="s">
        <v>398</v>
      </c>
    </row>
    <row r="2338" spans="1:14">
      <c r="A2338" s="1">
        <v>46071.6169212963</v>
      </c>
      <c r="B2338">
        <v>385347733</v>
      </c>
      <c r="C2338" s="2" t="s">
        <v>411</v>
      </c>
      <c r="D2338" t="s">
        <v>15</v>
      </c>
      <c r="E2338" s="5">
        <v>3200</v>
      </c>
      <c r="F2338" s="3">
        <v>3200</v>
      </c>
      <c r="G2338" s="3">
        <v>2240</v>
      </c>
      <c r="I2338" s="2" t="s">
        <v>230</v>
      </c>
      <c r="J2338" s="2" t="s">
        <v>161</v>
      </c>
      <c r="K2338" t="s">
        <v>18</v>
      </c>
      <c r="L2338" t="str">
        <f>T("9791173261176")</f>
        <v>9791173261176</v>
      </c>
      <c r="M2338" t="str">
        <f t="shared" si="103"/>
        <v/>
      </c>
      <c r="N2338" t="s">
        <v>412</v>
      </c>
    </row>
    <row r="2339" spans="1:14">
      <c r="A2339" s="1">
        <v>46071.6169212963</v>
      </c>
      <c r="B2339">
        <v>385347778</v>
      </c>
      <c r="C2339" s="2" t="s">
        <v>407</v>
      </c>
      <c r="D2339" t="s">
        <v>15</v>
      </c>
      <c r="E2339" s="5">
        <v>3200</v>
      </c>
      <c r="F2339" s="3">
        <v>3200</v>
      </c>
      <c r="G2339" s="3">
        <v>2240</v>
      </c>
      <c r="I2339" s="2" t="s">
        <v>230</v>
      </c>
      <c r="J2339" s="2" t="s">
        <v>161</v>
      </c>
      <c r="K2339" t="s">
        <v>18</v>
      </c>
      <c r="L2339" t="str">
        <f>T("9791173261190")</f>
        <v>9791173261190</v>
      </c>
      <c r="M2339" t="str">
        <f t="shared" si="103"/>
        <v/>
      </c>
      <c r="N2339" t="s">
        <v>408</v>
      </c>
    </row>
    <row r="2340" spans="1:14">
      <c r="A2340" s="1">
        <v>46071.617685185185</v>
      </c>
      <c r="B2340">
        <v>385347797</v>
      </c>
      <c r="C2340" s="2" t="s">
        <v>195</v>
      </c>
      <c r="D2340" t="s">
        <v>15</v>
      </c>
      <c r="E2340" s="4">
        <v>700</v>
      </c>
      <c r="F2340" s="2">
        <v>630</v>
      </c>
      <c r="G2340" s="2">
        <v>441</v>
      </c>
      <c r="I2340" s="2" t="s">
        <v>196</v>
      </c>
      <c r="J2340" s="2" t="s">
        <v>197</v>
      </c>
      <c r="K2340" t="s">
        <v>18</v>
      </c>
      <c r="L2340" t="str">
        <f>T("9791172821937")</f>
        <v>9791172821937</v>
      </c>
      <c r="M2340" t="str">
        <f t="shared" si="103"/>
        <v/>
      </c>
      <c r="N2340" t="s">
        <v>198</v>
      </c>
    </row>
    <row r="2341" spans="1:14">
      <c r="A2341" s="1">
        <v>46071.636122685188</v>
      </c>
      <c r="B2341">
        <v>370130204</v>
      </c>
      <c r="C2341" s="2" t="s">
        <v>982</v>
      </c>
      <c r="D2341" t="s">
        <v>15</v>
      </c>
      <c r="E2341" s="4">
        <v>0</v>
      </c>
      <c r="F2341" s="2">
        <v>0</v>
      </c>
      <c r="G2341" s="2">
        <v>0</v>
      </c>
      <c r="I2341" s="2" t="s">
        <v>244</v>
      </c>
      <c r="J2341" s="2" t="s">
        <v>245</v>
      </c>
      <c r="K2341" t="s">
        <v>18</v>
      </c>
      <c r="L2341" t="str">
        <f>T("9791164489015")</f>
        <v>9791164489015</v>
      </c>
      <c r="M2341" t="str">
        <f t="shared" si="103"/>
        <v/>
      </c>
      <c r="N2341" t="s">
        <v>983</v>
      </c>
    </row>
    <row r="2342" spans="1:14">
      <c r="A2342" s="1">
        <v>46071.639849537038</v>
      </c>
      <c r="B2342">
        <v>386057282</v>
      </c>
      <c r="C2342" s="2" t="s">
        <v>1534</v>
      </c>
      <c r="D2342" t="s">
        <v>68</v>
      </c>
      <c r="E2342" s="5">
        <v>12500</v>
      </c>
      <c r="F2342" s="3">
        <v>12500</v>
      </c>
      <c r="G2342" s="3">
        <v>8750</v>
      </c>
      <c r="I2342" s="2" t="s">
        <v>1535</v>
      </c>
      <c r="J2342" s="2" t="s">
        <v>1536</v>
      </c>
      <c r="K2342" t="s">
        <v>18</v>
      </c>
      <c r="L2342" t="str">
        <f>T("9791189257323")</f>
        <v>9791189257323</v>
      </c>
      <c r="M2342" t="str">
        <f t="shared" si="103"/>
        <v/>
      </c>
    </row>
    <row r="2343" spans="1:14">
      <c r="A2343" s="1">
        <v>46071.641793981478</v>
      </c>
      <c r="B2343">
        <v>386057277</v>
      </c>
      <c r="C2343" s="2" t="s">
        <v>1609</v>
      </c>
      <c r="D2343" t="s">
        <v>68</v>
      </c>
      <c r="E2343" s="5">
        <v>3750</v>
      </c>
      <c r="F2343" s="3">
        <v>3750</v>
      </c>
      <c r="G2343" s="3">
        <v>2625</v>
      </c>
      <c r="I2343" s="2" t="s">
        <v>1610</v>
      </c>
      <c r="J2343" s="2" t="s">
        <v>197</v>
      </c>
      <c r="K2343" t="s">
        <v>18</v>
      </c>
      <c r="L2343" t="str">
        <f>T("9791164095315")</f>
        <v>9791164095315</v>
      </c>
      <c r="M2343" t="str">
        <f t="shared" si="103"/>
        <v/>
      </c>
    </row>
    <row r="2344" spans="1:14">
      <c r="A2344" s="1">
        <v>46071.646666666667</v>
      </c>
      <c r="B2344">
        <v>312661126</v>
      </c>
      <c r="C2344" s="2" t="s">
        <v>2407</v>
      </c>
      <c r="D2344" t="s">
        <v>15</v>
      </c>
      <c r="E2344" s="5">
        <v>1000</v>
      </c>
      <c r="F2344" s="3">
        <v>1000</v>
      </c>
      <c r="G2344" s="2">
        <v>700</v>
      </c>
      <c r="I2344" s="2" t="s">
        <v>877</v>
      </c>
      <c r="J2344" s="2" t="s">
        <v>177</v>
      </c>
      <c r="K2344" t="s">
        <v>18</v>
      </c>
      <c r="L2344" t="str">
        <f>T("9791164798780")</f>
        <v>9791164798780</v>
      </c>
      <c r="M2344" t="str">
        <f t="shared" si="103"/>
        <v/>
      </c>
      <c r="N2344" t="s">
        <v>2408</v>
      </c>
    </row>
    <row r="2345" spans="1:14">
      <c r="A2345" s="1">
        <v>46071.646666666667</v>
      </c>
      <c r="B2345">
        <v>360411017</v>
      </c>
      <c r="C2345" s="2" t="s">
        <v>2016</v>
      </c>
      <c r="D2345" t="s">
        <v>15</v>
      </c>
      <c r="E2345" s="5">
        <v>1000</v>
      </c>
      <c r="F2345" s="3">
        <v>1000</v>
      </c>
      <c r="G2345" s="2">
        <v>700</v>
      </c>
      <c r="I2345" s="2" t="s">
        <v>2017</v>
      </c>
      <c r="J2345" s="2" t="s">
        <v>21</v>
      </c>
      <c r="K2345" t="s">
        <v>18</v>
      </c>
      <c r="L2345" t="str">
        <f>T("9791173013126")</f>
        <v>9791173013126</v>
      </c>
      <c r="M2345" t="str">
        <f t="shared" si="103"/>
        <v/>
      </c>
      <c r="N2345" t="s">
        <v>2018</v>
      </c>
    </row>
    <row r="2346" spans="1:14">
      <c r="A2346" s="1">
        <v>46071.652789351851</v>
      </c>
      <c r="B2346">
        <v>306127864</v>
      </c>
      <c r="C2346" s="2" t="s">
        <v>2409</v>
      </c>
      <c r="D2346" t="s">
        <v>15</v>
      </c>
      <c r="E2346" s="4">
        <v>0</v>
      </c>
      <c r="F2346" s="2">
        <v>0</v>
      </c>
      <c r="G2346" s="2">
        <v>0</v>
      </c>
      <c r="I2346" s="2" t="s">
        <v>2410</v>
      </c>
      <c r="J2346" s="2" t="s">
        <v>70</v>
      </c>
      <c r="K2346" t="s">
        <v>18</v>
      </c>
      <c r="L2346" t="str">
        <f>T("9791192712208")</f>
        <v>9791192712208</v>
      </c>
      <c r="M2346" t="str">
        <f t="shared" si="103"/>
        <v/>
      </c>
      <c r="N2346" t="s">
        <v>2411</v>
      </c>
    </row>
    <row r="2347" spans="1:14">
      <c r="A2347" s="1">
        <v>46071.666655092595</v>
      </c>
      <c r="B2347">
        <v>344129677</v>
      </c>
      <c r="C2347" s="2" t="s">
        <v>1053</v>
      </c>
      <c r="D2347" t="s">
        <v>15</v>
      </c>
      <c r="E2347" s="5">
        <v>1400</v>
      </c>
      <c r="F2347" s="3">
        <v>1400</v>
      </c>
      <c r="G2347" s="2">
        <v>980</v>
      </c>
      <c r="I2347" s="2" t="s">
        <v>148</v>
      </c>
      <c r="J2347" s="2" t="s">
        <v>21</v>
      </c>
      <c r="K2347" t="s">
        <v>18</v>
      </c>
      <c r="L2347" t="str">
        <f>T("9791170897699")</f>
        <v>9791170897699</v>
      </c>
      <c r="M2347" t="str">
        <f t="shared" si="103"/>
        <v/>
      </c>
      <c r="N2347" t="s">
        <v>1054</v>
      </c>
    </row>
    <row r="2348" spans="1:14">
      <c r="A2348" s="1">
        <v>46071.668761574074</v>
      </c>
      <c r="B2348">
        <v>370130452</v>
      </c>
      <c r="C2348" s="2" t="s">
        <v>1532</v>
      </c>
      <c r="D2348" t="s">
        <v>68</v>
      </c>
      <c r="E2348" s="4">
        <v>700</v>
      </c>
      <c r="F2348" s="2">
        <v>700</v>
      </c>
      <c r="G2348" s="2">
        <v>490</v>
      </c>
      <c r="I2348" s="2" t="s">
        <v>244</v>
      </c>
      <c r="J2348" s="2" t="s">
        <v>245</v>
      </c>
      <c r="K2348" t="s">
        <v>18</v>
      </c>
      <c r="L2348" t="str">
        <f>T("9791164489121")</f>
        <v>9791164489121</v>
      </c>
      <c r="M2348" t="str">
        <f t="shared" si="103"/>
        <v/>
      </c>
      <c r="N2348" t="s">
        <v>1533</v>
      </c>
    </row>
    <row r="2349" spans="1:14">
      <c r="A2349" s="1">
        <v>46071.668761574074</v>
      </c>
      <c r="B2349">
        <v>370130277</v>
      </c>
      <c r="C2349" s="2" t="s">
        <v>1677</v>
      </c>
      <c r="D2349" t="s">
        <v>68</v>
      </c>
      <c r="E2349" s="4">
        <v>700</v>
      </c>
      <c r="F2349" s="2">
        <v>700</v>
      </c>
      <c r="G2349" s="2">
        <v>490</v>
      </c>
      <c r="I2349" s="2" t="s">
        <v>244</v>
      </c>
      <c r="J2349" s="2" t="s">
        <v>245</v>
      </c>
      <c r="K2349" t="s">
        <v>18</v>
      </c>
      <c r="L2349" t="str">
        <f>T("9791164489145")</f>
        <v>9791164489145</v>
      </c>
      <c r="M2349" t="str">
        <f t="shared" si="103"/>
        <v/>
      </c>
      <c r="N2349" t="s">
        <v>1678</v>
      </c>
    </row>
    <row r="2350" spans="1:14">
      <c r="A2350" s="1">
        <v>46071.668761574074</v>
      </c>
      <c r="B2350">
        <v>370130276</v>
      </c>
      <c r="C2350" s="2" t="s">
        <v>1594</v>
      </c>
      <c r="D2350" t="s">
        <v>68</v>
      </c>
      <c r="E2350" s="4">
        <v>700</v>
      </c>
      <c r="F2350" s="2">
        <v>700</v>
      </c>
      <c r="G2350" s="2">
        <v>490</v>
      </c>
      <c r="I2350" s="2" t="s">
        <v>244</v>
      </c>
      <c r="J2350" s="2" t="s">
        <v>245</v>
      </c>
      <c r="K2350" t="s">
        <v>18</v>
      </c>
      <c r="L2350" t="str">
        <f>T("9791164489138")</f>
        <v>9791164489138</v>
      </c>
      <c r="M2350" t="str">
        <f t="shared" si="103"/>
        <v/>
      </c>
      <c r="N2350" t="s">
        <v>1595</v>
      </c>
    </row>
    <row r="2351" spans="1:14">
      <c r="A2351" s="1">
        <v>46071.685763888891</v>
      </c>
      <c r="B2351">
        <v>342478233</v>
      </c>
      <c r="C2351" s="2" t="s">
        <v>2412</v>
      </c>
      <c r="D2351" t="s">
        <v>15</v>
      </c>
      <c r="E2351" s="5">
        <v>3200</v>
      </c>
      <c r="F2351" s="3">
        <v>3200</v>
      </c>
      <c r="G2351" s="3">
        <v>2240</v>
      </c>
      <c r="I2351" s="2" t="s">
        <v>89</v>
      </c>
      <c r="J2351" s="2" t="s">
        <v>200</v>
      </c>
      <c r="K2351" t="s">
        <v>18</v>
      </c>
      <c r="L2351" t="str">
        <f>T("9791170895602")</f>
        <v>9791170895602</v>
      </c>
      <c r="M2351" t="str">
        <f t="shared" ref="M2351:M2382" si="104">T("")</f>
        <v/>
      </c>
      <c r="N2351" t="s">
        <v>2413</v>
      </c>
    </row>
    <row r="2352" spans="1:14">
      <c r="A2352" s="1">
        <v>46071.690763888888</v>
      </c>
      <c r="B2352">
        <v>324195710</v>
      </c>
      <c r="C2352" s="2" t="s">
        <v>2414</v>
      </c>
      <c r="D2352" t="s">
        <v>15</v>
      </c>
      <c r="E2352" s="5">
        <v>1100</v>
      </c>
      <c r="F2352" s="3">
        <v>1100</v>
      </c>
      <c r="G2352" s="2">
        <v>770</v>
      </c>
      <c r="I2352" s="2" t="s">
        <v>465</v>
      </c>
      <c r="J2352" s="2" t="s">
        <v>21</v>
      </c>
      <c r="K2352" t="s">
        <v>18</v>
      </c>
      <c r="L2352" t="str">
        <f>T("9791170894766")</f>
        <v>9791170894766</v>
      </c>
      <c r="M2352" t="str">
        <f t="shared" si="104"/>
        <v/>
      </c>
      <c r="N2352" t="s">
        <v>2415</v>
      </c>
    </row>
    <row r="2353" spans="1:14">
      <c r="A2353" s="1">
        <v>46071.692280092589</v>
      </c>
      <c r="B2353">
        <v>381924113</v>
      </c>
      <c r="C2353" s="2" t="s">
        <v>367</v>
      </c>
      <c r="D2353" t="s">
        <v>15</v>
      </c>
      <c r="E2353" s="5">
        <v>2800</v>
      </c>
      <c r="F2353" s="3">
        <v>2800</v>
      </c>
      <c r="G2353" s="3">
        <v>1960</v>
      </c>
      <c r="I2353" s="2" t="s">
        <v>368</v>
      </c>
      <c r="J2353" s="2" t="s">
        <v>308</v>
      </c>
      <c r="K2353" t="s">
        <v>18</v>
      </c>
      <c r="L2353" t="str">
        <f>T("9791194982739")</f>
        <v>9791194982739</v>
      </c>
      <c r="M2353" t="str">
        <f t="shared" si="104"/>
        <v/>
      </c>
      <c r="N2353" t="s">
        <v>369</v>
      </c>
    </row>
    <row r="2354" spans="1:14">
      <c r="A2354" s="1">
        <v>46071.714155092595</v>
      </c>
      <c r="B2354">
        <v>375539710</v>
      </c>
      <c r="C2354" s="2" t="s">
        <v>2416</v>
      </c>
      <c r="D2354" t="s">
        <v>15</v>
      </c>
      <c r="E2354" s="5">
        <v>1000</v>
      </c>
      <c r="F2354" s="3">
        <v>1000</v>
      </c>
      <c r="G2354" s="2">
        <v>700</v>
      </c>
      <c r="I2354" s="2" t="s">
        <v>2417</v>
      </c>
      <c r="J2354" s="2" t="s">
        <v>21</v>
      </c>
      <c r="K2354" t="s">
        <v>18</v>
      </c>
      <c r="L2354" t="str">
        <f>T("9791173018114")</f>
        <v>9791173018114</v>
      </c>
      <c r="M2354" t="str">
        <f t="shared" si="104"/>
        <v/>
      </c>
      <c r="N2354" t="s">
        <v>2418</v>
      </c>
    </row>
    <row r="2355" spans="1:14">
      <c r="A2355" s="1">
        <v>46071.721307870372</v>
      </c>
      <c r="B2355">
        <v>382626185</v>
      </c>
      <c r="C2355" s="2" t="s">
        <v>34</v>
      </c>
      <c r="D2355" t="s">
        <v>15</v>
      </c>
      <c r="E2355" s="5">
        <v>1000</v>
      </c>
      <c r="F2355" s="3">
        <v>1000</v>
      </c>
      <c r="G2355" s="2">
        <v>700</v>
      </c>
      <c r="I2355" s="2" t="s">
        <v>28</v>
      </c>
      <c r="J2355" s="2" t="s">
        <v>21</v>
      </c>
      <c r="K2355" t="s">
        <v>18</v>
      </c>
      <c r="L2355" t="str">
        <f>T("9791175581463")</f>
        <v>9791175581463</v>
      </c>
      <c r="M2355" t="str">
        <f t="shared" si="104"/>
        <v/>
      </c>
      <c r="N2355" t="s">
        <v>35</v>
      </c>
    </row>
    <row r="2356" spans="1:14">
      <c r="A2356" s="1">
        <v>46071.721307870372</v>
      </c>
      <c r="B2356">
        <v>382628198</v>
      </c>
      <c r="C2356" s="2" t="s">
        <v>32</v>
      </c>
      <c r="D2356" t="s">
        <v>15</v>
      </c>
      <c r="E2356" s="5">
        <v>1000</v>
      </c>
      <c r="F2356" s="3">
        <v>1000</v>
      </c>
      <c r="G2356" s="2">
        <v>700</v>
      </c>
      <c r="I2356" s="2" t="s">
        <v>28</v>
      </c>
      <c r="J2356" s="2" t="s">
        <v>21</v>
      </c>
      <c r="K2356" t="s">
        <v>18</v>
      </c>
      <c r="L2356" t="str">
        <f>T("9791175581470")</f>
        <v>9791175581470</v>
      </c>
      <c r="M2356" t="str">
        <f t="shared" si="104"/>
        <v/>
      </c>
      <c r="N2356" t="s">
        <v>33</v>
      </c>
    </row>
    <row r="2357" spans="1:14">
      <c r="A2357" s="1">
        <v>46071.732048611113</v>
      </c>
      <c r="B2357">
        <v>277935762</v>
      </c>
      <c r="C2357" s="2" t="s">
        <v>2419</v>
      </c>
      <c r="D2357" t="s">
        <v>15</v>
      </c>
      <c r="E2357" s="4">
        <v>100</v>
      </c>
      <c r="F2357" s="2">
        <v>100</v>
      </c>
      <c r="G2357" s="2">
        <v>70</v>
      </c>
      <c r="I2357" s="2" t="s">
        <v>64</v>
      </c>
      <c r="J2357" s="2" t="s">
        <v>65</v>
      </c>
      <c r="K2357" t="s">
        <v>18</v>
      </c>
      <c r="L2357" t="str">
        <f>T("9791162589724")</f>
        <v>9791162589724</v>
      </c>
      <c r="M2357" t="str">
        <f t="shared" si="104"/>
        <v/>
      </c>
      <c r="N2357" t="s">
        <v>2420</v>
      </c>
    </row>
    <row r="2358" spans="1:14">
      <c r="A2358" s="1">
        <v>46071.732048611113</v>
      </c>
      <c r="B2358">
        <v>277935760</v>
      </c>
      <c r="C2358" s="2" t="s">
        <v>2421</v>
      </c>
      <c r="D2358" t="s">
        <v>15</v>
      </c>
      <c r="E2358" s="4">
        <v>100</v>
      </c>
      <c r="F2358" s="2">
        <v>100</v>
      </c>
      <c r="G2358" s="2">
        <v>70</v>
      </c>
      <c r="I2358" s="2" t="s">
        <v>64</v>
      </c>
      <c r="J2358" s="2" t="s">
        <v>65</v>
      </c>
      <c r="K2358" t="s">
        <v>18</v>
      </c>
      <c r="L2358" t="str">
        <f>T("9791162589724")</f>
        <v>9791162589724</v>
      </c>
      <c r="M2358" t="str">
        <f t="shared" si="104"/>
        <v/>
      </c>
      <c r="N2358" t="s">
        <v>2422</v>
      </c>
    </row>
    <row r="2359" spans="1:14">
      <c r="A2359" s="1">
        <v>46071.732048611113</v>
      </c>
      <c r="B2359">
        <v>277935495</v>
      </c>
      <c r="C2359" s="2" t="s">
        <v>2423</v>
      </c>
      <c r="D2359" t="s">
        <v>15</v>
      </c>
      <c r="E2359" s="4">
        <v>100</v>
      </c>
      <c r="F2359" s="2">
        <v>100</v>
      </c>
      <c r="G2359" s="2">
        <v>70</v>
      </c>
      <c r="I2359" s="2" t="s">
        <v>64</v>
      </c>
      <c r="J2359" s="2" t="s">
        <v>65</v>
      </c>
      <c r="K2359" t="s">
        <v>18</v>
      </c>
      <c r="L2359" t="str">
        <f>T("9791162589724")</f>
        <v>9791162589724</v>
      </c>
      <c r="M2359" t="str">
        <f t="shared" si="104"/>
        <v/>
      </c>
      <c r="N2359" t="s">
        <v>2424</v>
      </c>
    </row>
    <row r="2360" spans="1:14">
      <c r="A2360" s="1">
        <v>46071.732048611113</v>
      </c>
      <c r="B2360">
        <v>277935664</v>
      </c>
      <c r="C2360" s="2" t="s">
        <v>2425</v>
      </c>
      <c r="D2360" t="s">
        <v>15</v>
      </c>
      <c r="E2360" s="4">
        <v>100</v>
      </c>
      <c r="F2360" s="2">
        <v>100</v>
      </c>
      <c r="G2360" s="2">
        <v>70</v>
      </c>
      <c r="I2360" s="2" t="s">
        <v>64</v>
      </c>
      <c r="J2360" s="2" t="s">
        <v>65</v>
      </c>
      <c r="K2360" t="s">
        <v>18</v>
      </c>
      <c r="L2360" t="str">
        <f>T("9791162589724")</f>
        <v>9791162589724</v>
      </c>
      <c r="M2360" t="str">
        <f t="shared" si="104"/>
        <v/>
      </c>
      <c r="N2360" t="s">
        <v>2426</v>
      </c>
    </row>
    <row r="2361" spans="1:14">
      <c r="A2361" s="1">
        <v>46071.732048611113</v>
      </c>
      <c r="B2361">
        <v>277935704</v>
      </c>
      <c r="C2361" s="2" t="s">
        <v>2427</v>
      </c>
      <c r="D2361" t="s">
        <v>15</v>
      </c>
      <c r="E2361" s="4">
        <v>100</v>
      </c>
      <c r="F2361" s="2">
        <v>100</v>
      </c>
      <c r="G2361" s="2">
        <v>70</v>
      </c>
      <c r="I2361" s="2" t="s">
        <v>64</v>
      </c>
      <c r="J2361" s="2" t="s">
        <v>65</v>
      </c>
      <c r="K2361" t="s">
        <v>18</v>
      </c>
      <c r="L2361" t="str">
        <f>T("9791162589724")</f>
        <v>9791162589724</v>
      </c>
      <c r="M2361" t="str">
        <f t="shared" si="104"/>
        <v/>
      </c>
      <c r="N2361" t="s">
        <v>2428</v>
      </c>
    </row>
    <row r="2362" spans="1:14">
      <c r="A2362" s="1">
        <v>46071.756145833337</v>
      </c>
      <c r="B2362">
        <v>325730729</v>
      </c>
      <c r="C2362" s="2" t="s">
        <v>2429</v>
      </c>
      <c r="D2362" t="s">
        <v>15</v>
      </c>
      <c r="E2362" s="5">
        <v>1000</v>
      </c>
      <c r="F2362" s="3">
        <v>1000</v>
      </c>
      <c r="G2362" s="2">
        <v>700</v>
      </c>
      <c r="I2362" s="2" t="s">
        <v>2273</v>
      </c>
      <c r="J2362" s="2" t="s">
        <v>21</v>
      </c>
      <c r="K2362" t="s">
        <v>18</v>
      </c>
      <c r="L2362" t="str">
        <f>T("9791170890966")</f>
        <v>9791170890966</v>
      </c>
      <c r="M2362" t="str">
        <f t="shared" si="104"/>
        <v/>
      </c>
      <c r="N2362" t="s">
        <v>2430</v>
      </c>
    </row>
    <row r="2363" spans="1:14">
      <c r="A2363" s="1">
        <v>46071.761238425926</v>
      </c>
      <c r="B2363">
        <v>372487137</v>
      </c>
      <c r="C2363" s="2" t="s">
        <v>147</v>
      </c>
      <c r="D2363" t="s">
        <v>15</v>
      </c>
      <c r="E2363" s="5">
        <v>1000</v>
      </c>
      <c r="F2363" s="3">
        <v>1000</v>
      </c>
      <c r="G2363" s="2">
        <v>700</v>
      </c>
      <c r="I2363" s="2" t="s">
        <v>148</v>
      </c>
      <c r="J2363" s="2" t="s">
        <v>21</v>
      </c>
      <c r="K2363" t="s">
        <v>18</v>
      </c>
      <c r="L2363" t="str">
        <f>T("9791173017797")</f>
        <v>9791173017797</v>
      </c>
      <c r="M2363" t="str">
        <f t="shared" si="104"/>
        <v/>
      </c>
      <c r="N2363" t="s">
        <v>149</v>
      </c>
    </row>
    <row r="2364" spans="1:14">
      <c r="A2364" s="1">
        <v>46071.777199074073</v>
      </c>
      <c r="B2364">
        <v>385347715</v>
      </c>
      <c r="C2364" s="2" t="s">
        <v>186</v>
      </c>
      <c r="D2364" t="s">
        <v>15</v>
      </c>
      <c r="E2364" s="5">
        <v>2000</v>
      </c>
      <c r="F2364" s="3">
        <v>1800</v>
      </c>
      <c r="G2364" s="3">
        <v>1260</v>
      </c>
      <c r="I2364" s="2" t="s">
        <v>187</v>
      </c>
      <c r="J2364" s="2" t="s">
        <v>188</v>
      </c>
      <c r="K2364" t="s">
        <v>18</v>
      </c>
      <c r="L2364" t="str">
        <f>T("9791164835362")</f>
        <v>9791164835362</v>
      </c>
      <c r="M2364" t="str">
        <f t="shared" si="104"/>
        <v/>
      </c>
      <c r="N2364" t="s">
        <v>189</v>
      </c>
    </row>
    <row r="2365" spans="1:14">
      <c r="A2365" s="1">
        <v>46071.785381944443</v>
      </c>
      <c r="B2365">
        <v>378390230</v>
      </c>
      <c r="C2365" s="2" t="s">
        <v>285</v>
      </c>
      <c r="D2365" t="s">
        <v>15</v>
      </c>
      <c r="E2365" s="5">
        <v>1000</v>
      </c>
      <c r="F2365" s="3">
        <v>1000</v>
      </c>
      <c r="G2365" s="2">
        <v>700</v>
      </c>
      <c r="I2365" s="2" t="s">
        <v>286</v>
      </c>
      <c r="J2365" s="2" t="s">
        <v>21</v>
      </c>
      <c r="K2365" t="s">
        <v>18</v>
      </c>
      <c r="L2365" t="str">
        <f>T("9791175580459")</f>
        <v>9791175580459</v>
      </c>
      <c r="M2365" t="str">
        <f t="shared" si="104"/>
        <v/>
      </c>
      <c r="N2365" t="s">
        <v>287</v>
      </c>
    </row>
    <row r="2366" spans="1:14">
      <c r="A2366" s="1">
        <v>46071.78837962963</v>
      </c>
      <c r="B2366">
        <v>385347715</v>
      </c>
      <c r="C2366" s="2" t="s">
        <v>186</v>
      </c>
      <c r="D2366" t="s">
        <v>15</v>
      </c>
      <c r="E2366" s="5">
        <v>2000</v>
      </c>
      <c r="F2366" s="3">
        <v>1800</v>
      </c>
      <c r="G2366" s="3">
        <v>1260</v>
      </c>
      <c r="I2366" s="2" t="s">
        <v>187</v>
      </c>
      <c r="J2366" s="2" t="s">
        <v>188</v>
      </c>
      <c r="K2366" t="s">
        <v>18</v>
      </c>
      <c r="L2366" t="str">
        <f>T("9791164835362")</f>
        <v>9791164835362</v>
      </c>
      <c r="M2366" t="str">
        <f t="shared" si="104"/>
        <v/>
      </c>
      <c r="N2366" t="s">
        <v>189</v>
      </c>
    </row>
    <row r="2367" spans="1:14">
      <c r="A2367" s="1">
        <v>46071.792974537035</v>
      </c>
      <c r="B2367">
        <v>362753625</v>
      </c>
      <c r="C2367" s="2" t="s">
        <v>268</v>
      </c>
      <c r="D2367" t="s">
        <v>15</v>
      </c>
      <c r="E2367" s="5">
        <v>1000</v>
      </c>
      <c r="F2367" s="3">
        <v>1000</v>
      </c>
      <c r="G2367" s="2">
        <v>700</v>
      </c>
      <c r="I2367" s="2" t="s">
        <v>148</v>
      </c>
      <c r="J2367" s="2" t="s">
        <v>21</v>
      </c>
      <c r="K2367" t="s">
        <v>18</v>
      </c>
      <c r="L2367" t="str">
        <f>T("9791173014116")</f>
        <v>9791173014116</v>
      </c>
      <c r="M2367" t="str">
        <f t="shared" si="104"/>
        <v/>
      </c>
      <c r="N2367" t="s">
        <v>269</v>
      </c>
    </row>
    <row r="2368" spans="1:14">
      <c r="A2368" s="1">
        <v>46071.793344907404</v>
      </c>
      <c r="B2368">
        <v>334957029</v>
      </c>
      <c r="C2368" s="2" t="s">
        <v>2431</v>
      </c>
      <c r="D2368" t="s">
        <v>15</v>
      </c>
      <c r="E2368" s="5">
        <v>3000</v>
      </c>
      <c r="F2368" s="3">
        <v>3000</v>
      </c>
      <c r="G2368" s="3">
        <v>2100</v>
      </c>
      <c r="I2368" s="2" t="s">
        <v>833</v>
      </c>
      <c r="J2368" s="2" t="s">
        <v>65</v>
      </c>
      <c r="K2368" t="s">
        <v>18</v>
      </c>
      <c r="L2368" t="str">
        <f>T("9791137018860")</f>
        <v>9791137018860</v>
      </c>
      <c r="M2368" t="str">
        <f t="shared" si="104"/>
        <v/>
      </c>
      <c r="N2368" t="s">
        <v>2432</v>
      </c>
    </row>
    <row r="2369" spans="1:14">
      <c r="A2369" s="1">
        <v>46071.793344907404</v>
      </c>
      <c r="B2369">
        <v>334957018</v>
      </c>
      <c r="C2369" s="2" t="s">
        <v>2433</v>
      </c>
      <c r="D2369" t="s">
        <v>15</v>
      </c>
      <c r="E2369" s="5">
        <v>3000</v>
      </c>
      <c r="F2369" s="3">
        <v>3000</v>
      </c>
      <c r="G2369" s="3">
        <v>2100</v>
      </c>
      <c r="I2369" s="2" t="s">
        <v>833</v>
      </c>
      <c r="J2369" s="2" t="s">
        <v>65</v>
      </c>
      <c r="K2369" t="s">
        <v>18</v>
      </c>
      <c r="L2369" t="str">
        <f>T("9791137018839")</f>
        <v>9791137018839</v>
      </c>
      <c r="M2369" t="str">
        <f t="shared" si="104"/>
        <v/>
      </c>
      <c r="N2369" t="s">
        <v>2434</v>
      </c>
    </row>
    <row r="2370" spans="1:14">
      <c r="A2370" s="1">
        <v>46071.793344907404</v>
      </c>
      <c r="B2370">
        <v>334957019</v>
      </c>
      <c r="C2370" s="2" t="s">
        <v>2435</v>
      </c>
      <c r="D2370" t="s">
        <v>15</v>
      </c>
      <c r="E2370" s="5">
        <v>3000</v>
      </c>
      <c r="F2370" s="3">
        <v>3000</v>
      </c>
      <c r="G2370" s="3">
        <v>2100</v>
      </c>
      <c r="I2370" s="2" t="s">
        <v>833</v>
      </c>
      <c r="J2370" s="2" t="s">
        <v>65</v>
      </c>
      <c r="K2370" t="s">
        <v>18</v>
      </c>
      <c r="L2370" t="str">
        <f>T("9791137018846")</f>
        <v>9791137018846</v>
      </c>
      <c r="M2370" t="str">
        <f t="shared" si="104"/>
        <v/>
      </c>
      <c r="N2370" t="s">
        <v>2436</v>
      </c>
    </row>
    <row r="2371" spans="1:14">
      <c r="A2371" s="1">
        <v>46071.793344907404</v>
      </c>
      <c r="B2371">
        <v>334957014</v>
      </c>
      <c r="C2371" s="2" t="s">
        <v>2437</v>
      </c>
      <c r="D2371" t="s">
        <v>15</v>
      </c>
      <c r="E2371" s="5">
        <v>3000</v>
      </c>
      <c r="F2371" s="3">
        <v>3000</v>
      </c>
      <c r="G2371" s="3">
        <v>2100</v>
      </c>
      <c r="I2371" s="2" t="s">
        <v>833</v>
      </c>
      <c r="J2371" s="2" t="s">
        <v>65</v>
      </c>
      <c r="K2371" t="s">
        <v>18</v>
      </c>
      <c r="L2371" t="str">
        <f>T("9791137018815")</f>
        <v>9791137018815</v>
      </c>
      <c r="M2371" t="str">
        <f t="shared" si="104"/>
        <v/>
      </c>
      <c r="N2371" t="s">
        <v>2438</v>
      </c>
    </row>
    <row r="2372" spans="1:14">
      <c r="A2372" s="1">
        <v>46071.793344907404</v>
      </c>
      <c r="B2372">
        <v>334957015</v>
      </c>
      <c r="C2372" s="2" t="s">
        <v>2439</v>
      </c>
      <c r="D2372" t="s">
        <v>15</v>
      </c>
      <c r="E2372" s="5">
        <v>3000</v>
      </c>
      <c r="F2372" s="3">
        <v>3000</v>
      </c>
      <c r="G2372" s="3">
        <v>2100</v>
      </c>
      <c r="I2372" s="2" t="s">
        <v>833</v>
      </c>
      <c r="J2372" s="2" t="s">
        <v>65</v>
      </c>
      <c r="K2372" t="s">
        <v>18</v>
      </c>
      <c r="L2372" t="str">
        <f>T("9791137018785")</f>
        <v>9791137018785</v>
      </c>
      <c r="M2372" t="str">
        <f t="shared" si="104"/>
        <v/>
      </c>
      <c r="N2372" t="s">
        <v>2440</v>
      </c>
    </row>
    <row r="2373" spans="1:14">
      <c r="A2373" s="1">
        <v>46071.793344907404</v>
      </c>
      <c r="B2373">
        <v>334957016</v>
      </c>
      <c r="C2373" s="2" t="s">
        <v>2441</v>
      </c>
      <c r="D2373" t="s">
        <v>15</v>
      </c>
      <c r="E2373" s="5">
        <v>3000</v>
      </c>
      <c r="F2373" s="3">
        <v>3000</v>
      </c>
      <c r="G2373" s="3">
        <v>2100</v>
      </c>
      <c r="I2373" s="2" t="s">
        <v>833</v>
      </c>
      <c r="J2373" s="2" t="s">
        <v>65</v>
      </c>
      <c r="K2373" t="s">
        <v>18</v>
      </c>
      <c r="L2373" t="str">
        <f>T("9791137018822")</f>
        <v>9791137018822</v>
      </c>
      <c r="M2373" t="str">
        <f t="shared" si="104"/>
        <v/>
      </c>
      <c r="N2373" t="s">
        <v>2442</v>
      </c>
    </row>
    <row r="2374" spans="1:14">
      <c r="A2374" s="1">
        <v>46071.793344907404</v>
      </c>
      <c r="B2374">
        <v>334957017</v>
      </c>
      <c r="C2374" s="2" t="s">
        <v>2443</v>
      </c>
      <c r="D2374" t="s">
        <v>15</v>
      </c>
      <c r="E2374" s="5">
        <v>3000</v>
      </c>
      <c r="F2374" s="3">
        <v>3000</v>
      </c>
      <c r="G2374" s="3">
        <v>2100</v>
      </c>
      <c r="I2374" s="2" t="s">
        <v>833</v>
      </c>
      <c r="J2374" s="2" t="s">
        <v>65</v>
      </c>
      <c r="K2374" t="s">
        <v>18</v>
      </c>
      <c r="L2374" t="str">
        <f>T("9791137018808")</f>
        <v>9791137018808</v>
      </c>
      <c r="M2374" t="str">
        <f t="shared" si="104"/>
        <v/>
      </c>
      <c r="N2374" t="s">
        <v>2444</v>
      </c>
    </row>
    <row r="2375" spans="1:14">
      <c r="A2375" s="1">
        <v>46071.793344907404</v>
      </c>
      <c r="B2375">
        <v>334957007</v>
      </c>
      <c r="C2375" s="2" t="s">
        <v>2445</v>
      </c>
      <c r="D2375" t="s">
        <v>15</v>
      </c>
      <c r="E2375" s="5">
        <v>3000</v>
      </c>
      <c r="F2375" s="3">
        <v>3000</v>
      </c>
      <c r="G2375" s="3">
        <v>2100</v>
      </c>
      <c r="I2375" s="2" t="s">
        <v>833</v>
      </c>
      <c r="J2375" s="2" t="s">
        <v>65</v>
      </c>
      <c r="K2375" t="s">
        <v>18</v>
      </c>
      <c r="L2375" t="str">
        <f>T("9791137018792")</f>
        <v>9791137018792</v>
      </c>
      <c r="M2375" t="str">
        <f t="shared" si="104"/>
        <v/>
      </c>
      <c r="N2375" t="s">
        <v>2446</v>
      </c>
    </row>
    <row r="2376" spans="1:14">
      <c r="A2376" s="1">
        <v>46071.793344907404</v>
      </c>
      <c r="B2376">
        <v>334957008</v>
      </c>
      <c r="C2376" s="2" t="s">
        <v>2447</v>
      </c>
      <c r="D2376" t="s">
        <v>15</v>
      </c>
      <c r="E2376" s="4">
        <v>0</v>
      </c>
      <c r="F2376" s="2">
        <v>0</v>
      </c>
      <c r="G2376" s="2">
        <v>0</v>
      </c>
      <c r="I2376" s="2" t="s">
        <v>833</v>
      </c>
      <c r="J2376" s="2" t="s">
        <v>65</v>
      </c>
      <c r="K2376" t="s">
        <v>18</v>
      </c>
      <c r="L2376" t="str">
        <f>T("9791137018761")</f>
        <v>9791137018761</v>
      </c>
      <c r="M2376" t="str">
        <f t="shared" si="104"/>
        <v/>
      </c>
      <c r="N2376" t="s">
        <v>2448</v>
      </c>
    </row>
    <row r="2377" spans="1:14">
      <c r="A2377" s="1">
        <v>46071.793344907404</v>
      </c>
      <c r="B2377">
        <v>334957010</v>
      </c>
      <c r="C2377" s="2" t="s">
        <v>2449</v>
      </c>
      <c r="D2377" t="s">
        <v>15</v>
      </c>
      <c r="E2377" s="5">
        <v>3000</v>
      </c>
      <c r="F2377" s="3">
        <v>3000</v>
      </c>
      <c r="G2377" s="3">
        <v>2100</v>
      </c>
      <c r="I2377" s="2" t="s">
        <v>833</v>
      </c>
      <c r="J2377" s="2" t="s">
        <v>65</v>
      </c>
      <c r="K2377" t="s">
        <v>18</v>
      </c>
      <c r="L2377" t="str">
        <f>T("9791137018778")</f>
        <v>9791137018778</v>
      </c>
      <c r="M2377" t="str">
        <f t="shared" si="104"/>
        <v/>
      </c>
      <c r="N2377" t="s">
        <v>2450</v>
      </c>
    </row>
    <row r="2378" spans="1:14">
      <c r="A2378" s="1">
        <v>46071.827303240738</v>
      </c>
      <c r="B2378">
        <v>354368073</v>
      </c>
      <c r="C2378" s="2" t="s">
        <v>2451</v>
      </c>
      <c r="D2378" t="s">
        <v>68</v>
      </c>
      <c r="E2378" s="5">
        <v>-5880</v>
      </c>
      <c r="F2378" s="3">
        <v>-5880</v>
      </c>
      <c r="G2378" s="3">
        <v>-4116</v>
      </c>
      <c r="H2378" s="1">
        <v>46071.805081018516</v>
      </c>
      <c r="I2378" s="2" t="s">
        <v>340</v>
      </c>
      <c r="J2378" s="2" t="s">
        <v>2452</v>
      </c>
      <c r="K2378" t="s">
        <v>18</v>
      </c>
      <c r="L2378" t="str">
        <f>T("9791193583005")</f>
        <v>9791193583005</v>
      </c>
      <c r="M2378" t="str">
        <f t="shared" si="104"/>
        <v/>
      </c>
    </row>
    <row r="2379" spans="1:14">
      <c r="A2379" s="1">
        <v>46071.805081018516</v>
      </c>
      <c r="B2379">
        <v>354368073</v>
      </c>
      <c r="C2379" s="2" t="s">
        <v>2451</v>
      </c>
      <c r="D2379" t="s">
        <v>68</v>
      </c>
      <c r="E2379" s="5">
        <v>5880</v>
      </c>
      <c r="F2379" s="3">
        <v>5880</v>
      </c>
      <c r="G2379" s="3">
        <v>4116</v>
      </c>
      <c r="I2379" s="2" t="s">
        <v>340</v>
      </c>
      <c r="J2379" s="2" t="s">
        <v>2452</v>
      </c>
      <c r="K2379" t="s">
        <v>18</v>
      </c>
      <c r="L2379" t="str">
        <f>T("9791193583005")</f>
        <v>9791193583005</v>
      </c>
      <c r="M2379" t="str">
        <f t="shared" si="104"/>
        <v/>
      </c>
    </row>
    <row r="2380" spans="1:14">
      <c r="A2380" s="1">
        <v>46071.827303240738</v>
      </c>
      <c r="B2380">
        <v>380789530</v>
      </c>
      <c r="C2380" s="2" t="s">
        <v>1854</v>
      </c>
      <c r="D2380" t="s">
        <v>68</v>
      </c>
      <c r="E2380" s="5">
        <v>-4640</v>
      </c>
      <c r="F2380" s="3">
        <v>-4640</v>
      </c>
      <c r="G2380" s="3">
        <v>-3248</v>
      </c>
      <c r="H2380" s="1">
        <v>46071.805081018516</v>
      </c>
      <c r="I2380" s="2" t="s">
        <v>1098</v>
      </c>
      <c r="J2380" s="2" t="s">
        <v>126</v>
      </c>
      <c r="K2380" t="s">
        <v>18</v>
      </c>
      <c r="L2380" t="str">
        <f>T("9791171502462")</f>
        <v>9791171502462</v>
      </c>
      <c r="M2380" t="str">
        <f t="shared" si="104"/>
        <v/>
      </c>
    </row>
    <row r="2381" spans="1:14">
      <c r="A2381" s="1">
        <v>46071.805081018516</v>
      </c>
      <c r="B2381">
        <v>380789530</v>
      </c>
      <c r="C2381" s="2" t="s">
        <v>1854</v>
      </c>
      <c r="D2381" t="s">
        <v>68</v>
      </c>
      <c r="E2381" s="5">
        <v>4640</v>
      </c>
      <c r="F2381" s="3">
        <v>4640</v>
      </c>
      <c r="G2381" s="3">
        <v>3248</v>
      </c>
      <c r="I2381" s="2" t="s">
        <v>1098</v>
      </c>
      <c r="J2381" s="2" t="s">
        <v>126</v>
      </c>
      <c r="K2381" t="s">
        <v>18</v>
      </c>
      <c r="L2381" t="str">
        <f>T("9791171502462")</f>
        <v>9791171502462</v>
      </c>
      <c r="M2381" t="str">
        <f t="shared" si="104"/>
        <v/>
      </c>
    </row>
    <row r="2382" spans="1:14">
      <c r="A2382" s="1">
        <v>46071.830092592594</v>
      </c>
      <c r="B2382">
        <v>380789530</v>
      </c>
      <c r="C2382" s="2" t="s">
        <v>1854</v>
      </c>
      <c r="D2382" t="s">
        <v>68</v>
      </c>
      <c r="E2382" s="5">
        <v>4640</v>
      </c>
      <c r="F2382" s="3">
        <v>4640</v>
      </c>
      <c r="G2382" s="3">
        <v>3248</v>
      </c>
      <c r="I2382" s="2" t="s">
        <v>1098</v>
      </c>
      <c r="J2382" s="2" t="s">
        <v>126</v>
      </c>
      <c r="K2382" t="s">
        <v>18</v>
      </c>
      <c r="L2382" t="str">
        <f>T("9791171502462")</f>
        <v>9791171502462</v>
      </c>
      <c r="M2382" t="str">
        <f t="shared" si="104"/>
        <v/>
      </c>
    </row>
    <row r="2383" spans="1:14">
      <c r="A2383" s="1">
        <v>46071.830092592594</v>
      </c>
      <c r="B2383">
        <v>354368073</v>
      </c>
      <c r="C2383" s="2" t="s">
        <v>2451</v>
      </c>
      <c r="D2383" t="s">
        <v>68</v>
      </c>
      <c r="E2383" s="5">
        <v>5880</v>
      </c>
      <c r="F2383" s="3">
        <v>5880</v>
      </c>
      <c r="G2383" s="3">
        <v>4116</v>
      </c>
      <c r="I2383" s="2" t="s">
        <v>340</v>
      </c>
      <c r="J2383" s="2" t="s">
        <v>2452</v>
      </c>
      <c r="K2383" t="s">
        <v>18</v>
      </c>
      <c r="L2383" t="str">
        <f>T("9791193583005")</f>
        <v>9791193583005</v>
      </c>
      <c r="M2383" t="str">
        <f t="shared" ref="M2383:M2411" si="105">T("")</f>
        <v/>
      </c>
    </row>
    <row r="2384" spans="1:14">
      <c r="A2384" s="1">
        <v>46071.833240740743</v>
      </c>
      <c r="B2384">
        <v>385373316</v>
      </c>
      <c r="C2384" s="2" t="s">
        <v>387</v>
      </c>
      <c r="D2384" t="s">
        <v>15</v>
      </c>
      <c r="E2384" s="4">
        <v>0</v>
      </c>
      <c r="F2384" s="2">
        <v>0</v>
      </c>
      <c r="G2384" s="2">
        <v>0</v>
      </c>
      <c r="I2384" s="2" t="s">
        <v>388</v>
      </c>
      <c r="J2384" s="2" t="s">
        <v>290</v>
      </c>
      <c r="K2384" t="s">
        <v>18</v>
      </c>
      <c r="L2384" t="str">
        <f>T("9791194982036")</f>
        <v>9791194982036</v>
      </c>
      <c r="M2384" t="str">
        <f t="shared" si="105"/>
        <v/>
      </c>
      <c r="N2384" t="s">
        <v>389</v>
      </c>
    </row>
    <row r="2385" spans="1:14">
      <c r="A2385" s="1">
        <v>46071.840277777781</v>
      </c>
      <c r="B2385">
        <v>364579911</v>
      </c>
      <c r="C2385" s="2" t="s">
        <v>1399</v>
      </c>
      <c r="D2385" t="s">
        <v>15</v>
      </c>
      <c r="E2385" s="5">
        <v>1000</v>
      </c>
      <c r="F2385" s="3">
        <v>1000</v>
      </c>
      <c r="G2385" s="2">
        <v>700</v>
      </c>
      <c r="I2385" s="2" t="s">
        <v>148</v>
      </c>
      <c r="J2385" s="2" t="s">
        <v>21</v>
      </c>
      <c r="K2385" t="s">
        <v>18</v>
      </c>
      <c r="L2385" t="str">
        <f>T("9791173014239")</f>
        <v>9791173014239</v>
      </c>
      <c r="M2385" t="str">
        <f t="shared" si="105"/>
        <v/>
      </c>
      <c r="N2385" t="s">
        <v>1400</v>
      </c>
    </row>
    <row r="2386" spans="1:14">
      <c r="A2386" s="1">
        <v>46071.840277777781</v>
      </c>
      <c r="B2386">
        <v>366699561</v>
      </c>
      <c r="C2386" s="2" t="s">
        <v>156</v>
      </c>
      <c r="D2386" t="s">
        <v>15</v>
      </c>
      <c r="E2386" s="5">
        <v>1100</v>
      </c>
      <c r="F2386" s="3">
        <v>1100</v>
      </c>
      <c r="G2386" s="2">
        <v>770</v>
      </c>
      <c r="I2386" s="2" t="s">
        <v>148</v>
      </c>
      <c r="J2386" s="2" t="s">
        <v>21</v>
      </c>
      <c r="K2386" t="s">
        <v>18</v>
      </c>
      <c r="L2386" t="str">
        <f>T("9791173015137")</f>
        <v>9791173015137</v>
      </c>
      <c r="M2386" t="str">
        <f t="shared" si="105"/>
        <v/>
      </c>
      <c r="N2386" t="s">
        <v>157</v>
      </c>
    </row>
    <row r="2387" spans="1:14">
      <c r="A2387" s="1">
        <v>46071.840277777781</v>
      </c>
      <c r="B2387">
        <v>379527576</v>
      </c>
      <c r="C2387" s="2" t="s">
        <v>150</v>
      </c>
      <c r="D2387" t="s">
        <v>15</v>
      </c>
      <c r="E2387" s="5">
        <v>1000</v>
      </c>
      <c r="F2387" s="3">
        <v>1000</v>
      </c>
      <c r="G2387" s="2">
        <v>700</v>
      </c>
      <c r="I2387" s="2" t="s">
        <v>148</v>
      </c>
      <c r="J2387" s="2" t="s">
        <v>21</v>
      </c>
      <c r="K2387" t="s">
        <v>18</v>
      </c>
      <c r="L2387" t="str">
        <f>T("9791175580541")</f>
        <v>9791175580541</v>
      </c>
      <c r="M2387" t="str">
        <f t="shared" si="105"/>
        <v/>
      </c>
      <c r="N2387" t="s">
        <v>151</v>
      </c>
    </row>
    <row r="2388" spans="1:14">
      <c r="A2388" s="1">
        <v>46071.840277777781</v>
      </c>
      <c r="B2388">
        <v>382626257</v>
      </c>
      <c r="C2388" s="2" t="s">
        <v>152</v>
      </c>
      <c r="D2388" t="s">
        <v>15</v>
      </c>
      <c r="E2388" s="5">
        <v>1000</v>
      </c>
      <c r="F2388" s="3">
        <v>1000</v>
      </c>
      <c r="G2388" s="2">
        <v>700</v>
      </c>
      <c r="I2388" s="2" t="s">
        <v>148</v>
      </c>
      <c r="J2388" s="2" t="s">
        <v>21</v>
      </c>
      <c r="K2388" t="s">
        <v>18</v>
      </c>
      <c r="L2388" t="str">
        <f>T("9791175581906")</f>
        <v>9791175581906</v>
      </c>
      <c r="M2388" t="str">
        <f t="shared" si="105"/>
        <v/>
      </c>
      <c r="N2388" t="s">
        <v>153</v>
      </c>
    </row>
    <row r="2389" spans="1:14">
      <c r="A2389" s="1">
        <v>46071.840277777781</v>
      </c>
      <c r="B2389">
        <v>372487137</v>
      </c>
      <c r="C2389" s="2" t="s">
        <v>147</v>
      </c>
      <c r="D2389" t="s">
        <v>15</v>
      </c>
      <c r="E2389" s="5">
        <v>1000</v>
      </c>
      <c r="F2389" s="3">
        <v>1000</v>
      </c>
      <c r="G2389" s="2">
        <v>700</v>
      </c>
      <c r="I2389" s="2" t="s">
        <v>148</v>
      </c>
      <c r="J2389" s="2" t="s">
        <v>21</v>
      </c>
      <c r="K2389" t="s">
        <v>18</v>
      </c>
      <c r="L2389" t="str">
        <f>T("9791173017797")</f>
        <v>9791173017797</v>
      </c>
      <c r="M2389" t="str">
        <f t="shared" si="105"/>
        <v/>
      </c>
      <c r="N2389" t="s">
        <v>149</v>
      </c>
    </row>
    <row r="2390" spans="1:14">
      <c r="A2390" s="1">
        <v>46071.848310185182</v>
      </c>
      <c r="B2390">
        <v>385347797</v>
      </c>
      <c r="C2390" s="2" t="s">
        <v>195</v>
      </c>
      <c r="D2390" t="s">
        <v>15</v>
      </c>
      <c r="E2390" s="4">
        <v>700</v>
      </c>
      <c r="F2390" s="2">
        <v>630</v>
      </c>
      <c r="G2390" s="2">
        <v>441</v>
      </c>
      <c r="I2390" s="2" t="s">
        <v>196</v>
      </c>
      <c r="J2390" s="2" t="s">
        <v>197</v>
      </c>
      <c r="K2390" t="s">
        <v>18</v>
      </c>
      <c r="L2390" t="str">
        <f>T("9791172821937")</f>
        <v>9791172821937</v>
      </c>
      <c r="M2390" t="str">
        <f t="shared" si="105"/>
        <v/>
      </c>
      <c r="N2390" t="s">
        <v>198</v>
      </c>
    </row>
    <row r="2391" spans="1:14">
      <c r="A2391" s="1">
        <v>46071.869432870371</v>
      </c>
      <c r="B2391">
        <v>324195704</v>
      </c>
      <c r="C2391" s="2" t="s">
        <v>2156</v>
      </c>
      <c r="D2391" t="s">
        <v>15</v>
      </c>
      <c r="E2391" s="5">
        <v>1100</v>
      </c>
      <c r="F2391" s="3">
        <v>1100</v>
      </c>
      <c r="G2391" s="2">
        <v>770</v>
      </c>
      <c r="I2391" s="2" t="s">
        <v>465</v>
      </c>
      <c r="J2391" s="2" t="s">
        <v>21</v>
      </c>
      <c r="K2391" t="s">
        <v>18</v>
      </c>
      <c r="L2391" t="str">
        <f>T("9791167838032")</f>
        <v>9791167838032</v>
      </c>
      <c r="M2391" t="str">
        <f t="shared" si="105"/>
        <v/>
      </c>
      <c r="N2391" t="s">
        <v>2157</v>
      </c>
    </row>
    <row r="2392" spans="1:14">
      <c r="A2392" s="1">
        <v>46071.893483796295</v>
      </c>
      <c r="B2392">
        <v>366699561</v>
      </c>
      <c r="C2392" s="2" t="s">
        <v>156</v>
      </c>
      <c r="D2392" t="s">
        <v>15</v>
      </c>
      <c r="E2392" s="5">
        <v>1100</v>
      </c>
      <c r="F2392" s="3">
        <v>1100</v>
      </c>
      <c r="G2392" s="2">
        <v>770</v>
      </c>
      <c r="I2392" s="2" t="s">
        <v>148</v>
      </c>
      <c r="J2392" s="2" t="s">
        <v>21</v>
      </c>
      <c r="K2392" t="s">
        <v>18</v>
      </c>
      <c r="L2392" t="str">
        <f>T("9791173015137")</f>
        <v>9791173015137</v>
      </c>
      <c r="M2392" t="str">
        <f t="shared" si="105"/>
        <v/>
      </c>
      <c r="N2392" t="s">
        <v>157</v>
      </c>
    </row>
    <row r="2393" spans="1:14">
      <c r="A2393" s="1">
        <v>46071.893483796295</v>
      </c>
      <c r="B2393">
        <v>372487137</v>
      </c>
      <c r="C2393" s="2" t="s">
        <v>147</v>
      </c>
      <c r="D2393" t="s">
        <v>15</v>
      </c>
      <c r="E2393" s="5">
        <v>1000</v>
      </c>
      <c r="F2393" s="3">
        <v>1000</v>
      </c>
      <c r="G2393" s="2">
        <v>700</v>
      </c>
      <c r="I2393" s="2" t="s">
        <v>148</v>
      </c>
      <c r="J2393" s="2" t="s">
        <v>21</v>
      </c>
      <c r="K2393" t="s">
        <v>18</v>
      </c>
      <c r="L2393" t="str">
        <f>T("9791173017797")</f>
        <v>9791173017797</v>
      </c>
      <c r="M2393" t="str">
        <f t="shared" si="105"/>
        <v/>
      </c>
      <c r="N2393" t="s">
        <v>149</v>
      </c>
    </row>
    <row r="2394" spans="1:14">
      <c r="A2394" s="1">
        <v>46071.895694444444</v>
      </c>
      <c r="B2394">
        <v>286200791</v>
      </c>
      <c r="C2394" s="2" t="s">
        <v>2453</v>
      </c>
      <c r="D2394" t="s">
        <v>15</v>
      </c>
      <c r="E2394" s="4">
        <v>100</v>
      </c>
      <c r="F2394" s="2">
        <v>100</v>
      </c>
      <c r="G2394" s="2">
        <v>70</v>
      </c>
      <c r="I2394" s="2" t="s">
        <v>64</v>
      </c>
      <c r="J2394" s="2" t="s">
        <v>65</v>
      </c>
      <c r="K2394" t="s">
        <v>18</v>
      </c>
      <c r="L2394" t="str">
        <f>T("9791162589724")</f>
        <v>9791162589724</v>
      </c>
      <c r="M2394" t="str">
        <f t="shared" si="105"/>
        <v/>
      </c>
      <c r="N2394" t="s">
        <v>2454</v>
      </c>
    </row>
    <row r="2395" spans="1:14">
      <c r="A2395" s="1">
        <v>46071.895694444444</v>
      </c>
      <c r="B2395">
        <v>286803822</v>
      </c>
      <c r="C2395" s="2" t="s">
        <v>2455</v>
      </c>
      <c r="D2395" t="s">
        <v>15</v>
      </c>
      <c r="E2395" s="4">
        <v>100</v>
      </c>
      <c r="F2395" s="2">
        <v>100</v>
      </c>
      <c r="G2395" s="2">
        <v>70</v>
      </c>
      <c r="I2395" s="2" t="s">
        <v>64</v>
      </c>
      <c r="J2395" s="2" t="s">
        <v>65</v>
      </c>
      <c r="K2395" t="s">
        <v>18</v>
      </c>
      <c r="L2395" t="str">
        <f>T("9791162589724")</f>
        <v>9791162589724</v>
      </c>
      <c r="M2395" t="str">
        <f t="shared" si="105"/>
        <v/>
      </c>
      <c r="N2395" t="s">
        <v>2456</v>
      </c>
    </row>
    <row r="2396" spans="1:14">
      <c r="A2396" s="1">
        <v>46071.895694444444</v>
      </c>
      <c r="B2396">
        <v>287279781</v>
      </c>
      <c r="C2396" s="2" t="s">
        <v>2457</v>
      </c>
      <c r="D2396" t="s">
        <v>15</v>
      </c>
      <c r="E2396" s="4">
        <v>100</v>
      </c>
      <c r="F2396" s="2">
        <v>100</v>
      </c>
      <c r="G2396" s="2">
        <v>70</v>
      </c>
      <c r="I2396" s="2" t="s">
        <v>64</v>
      </c>
      <c r="J2396" s="2" t="s">
        <v>65</v>
      </c>
      <c r="K2396" t="s">
        <v>18</v>
      </c>
      <c r="L2396" t="str">
        <f>T("9791162589724")</f>
        <v>9791162589724</v>
      </c>
      <c r="M2396" t="str">
        <f t="shared" si="105"/>
        <v/>
      </c>
      <c r="N2396" t="s">
        <v>2458</v>
      </c>
    </row>
    <row r="2397" spans="1:14">
      <c r="A2397" s="1">
        <v>46071.895694444444</v>
      </c>
      <c r="B2397">
        <v>287747358</v>
      </c>
      <c r="C2397" s="2" t="s">
        <v>706</v>
      </c>
      <c r="D2397" t="s">
        <v>15</v>
      </c>
      <c r="E2397" s="4">
        <v>100</v>
      </c>
      <c r="F2397" s="2">
        <v>100</v>
      </c>
      <c r="G2397" s="2">
        <v>70</v>
      </c>
      <c r="I2397" s="2" t="s">
        <v>64</v>
      </c>
      <c r="J2397" s="2" t="s">
        <v>65</v>
      </c>
      <c r="K2397" t="s">
        <v>18</v>
      </c>
      <c r="L2397" t="str">
        <f>T("9791162589724")</f>
        <v>9791162589724</v>
      </c>
      <c r="M2397" t="str">
        <f t="shared" si="105"/>
        <v/>
      </c>
      <c r="N2397" t="s">
        <v>707</v>
      </c>
    </row>
    <row r="2398" spans="1:14">
      <c r="A2398" s="1">
        <v>46071.895694444444</v>
      </c>
      <c r="B2398">
        <v>288340711</v>
      </c>
      <c r="C2398" s="2" t="s">
        <v>704</v>
      </c>
      <c r="D2398" t="s">
        <v>15</v>
      </c>
      <c r="E2398" s="4">
        <v>100</v>
      </c>
      <c r="F2398" s="2">
        <v>100</v>
      </c>
      <c r="G2398" s="2">
        <v>70</v>
      </c>
      <c r="I2398" s="2" t="s">
        <v>64</v>
      </c>
      <c r="J2398" s="2" t="s">
        <v>65</v>
      </c>
      <c r="K2398" t="s">
        <v>18</v>
      </c>
      <c r="L2398" t="str">
        <f>T("9791162589724")</f>
        <v>9791162589724</v>
      </c>
      <c r="M2398" t="str">
        <f t="shared" si="105"/>
        <v/>
      </c>
      <c r="N2398" t="s">
        <v>705</v>
      </c>
    </row>
    <row r="2399" spans="1:14">
      <c r="A2399" s="1">
        <v>46071.897499999999</v>
      </c>
      <c r="B2399">
        <v>385193750</v>
      </c>
      <c r="C2399" s="2" t="s">
        <v>311</v>
      </c>
      <c r="D2399" t="s">
        <v>15</v>
      </c>
      <c r="E2399" s="5">
        <v>1000</v>
      </c>
      <c r="F2399" s="3">
        <v>1000</v>
      </c>
      <c r="G2399" s="2">
        <v>700</v>
      </c>
      <c r="I2399" s="2" t="s">
        <v>312</v>
      </c>
      <c r="J2399" s="2" t="s">
        <v>21</v>
      </c>
      <c r="K2399" t="s">
        <v>18</v>
      </c>
      <c r="L2399" t="str">
        <f>T("9791175582484")</f>
        <v>9791175582484</v>
      </c>
      <c r="M2399" t="str">
        <f t="shared" si="105"/>
        <v/>
      </c>
      <c r="N2399" t="s">
        <v>313</v>
      </c>
    </row>
    <row r="2400" spans="1:14">
      <c r="A2400" s="1">
        <v>46071.905624999999</v>
      </c>
      <c r="B2400">
        <v>374550007</v>
      </c>
      <c r="C2400" s="2" t="s">
        <v>2459</v>
      </c>
      <c r="D2400" t="s">
        <v>15</v>
      </c>
      <c r="E2400" s="5">
        <v>1000</v>
      </c>
      <c r="F2400" s="3">
        <v>1000</v>
      </c>
      <c r="G2400" s="2">
        <v>700</v>
      </c>
      <c r="I2400" s="2" t="s">
        <v>1124</v>
      </c>
      <c r="J2400" s="2" t="s">
        <v>21</v>
      </c>
      <c r="K2400" t="s">
        <v>18</v>
      </c>
      <c r="L2400" t="str">
        <f>T("9791175580411")</f>
        <v>9791175580411</v>
      </c>
      <c r="M2400" t="str">
        <f t="shared" si="105"/>
        <v/>
      </c>
      <c r="N2400" t="s">
        <v>2460</v>
      </c>
    </row>
    <row r="2401" spans="1:14">
      <c r="A2401" s="1">
        <v>46071.905706018515</v>
      </c>
      <c r="B2401">
        <v>189532332</v>
      </c>
      <c r="C2401" s="2" t="s">
        <v>2461</v>
      </c>
      <c r="D2401" t="s">
        <v>15</v>
      </c>
      <c r="E2401" s="5">
        <v>1000</v>
      </c>
      <c r="F2401" s="3">
        <v>1000</v>
      </c>
      <c r="G2401" s="2">
        <v>700</v>
      </c>
      <c r="I2401" s="2" t="s">
        <v>347</v>
      </c>
      <c r="J2401" s="2" t="s">
        <v>227</v>
      </c>
      <c r="K2401" t="s">
        <v>18</v>
      </c>
      <c r="L2401" t="str">
        <f>T("9791160398182")</f>
        <v>9791160398182</v>
      </c>
      <c r="M2401" t="str">
        <f t="shared" si="105"/>
        <v/>
      </c>
    </row>
    <row r="2402" spans="1:14">
      <c r="A2402" s="1">
        <v>46071.907557870371</v>
      </c>
      <c r="B2402">
        <v>223268465</v>
      </c>
      <c r="C2402" s="2" t="s">
        <v>1859</v>
      </c>
      <c r="D2402" t="s">
        <v>68</v>
      </c>
      <c r="E2402" s="5">
        <v>1200</v>
      </c>
      <c r="F2402" s="3">
        <v>1200</v>
      </c>
      <c r="G2402" s="2">
        <v>840</v>
      </c>
      <c r="I2402" s="2" t="s">
        <v>852</v>
      </c>
      <c r="J2402" s="2" t="s">
        <v>197</v>
      </c>
      <c r="K2402" t="s">
        <v>18</v>
      </c>
      <c r="L2402" t="str">
        <f>T("9791164090822")</f>
        <v>9791164090822</v>
      </c>
      <c r="M2402" t="str">
        <f t="shared" si="105"/>
        <v/>
      </c>
    </row>
    <row r="2403" spans="1:14">
      <c r="A2403" s="1">
        <v>46071.90792824074</v>
      </c>
      <c r="B2403">
        <v>301878751</v>
      </c>
      <c r="C2403" s="2" t="s">
        <v>1132</v>
      </c>
      <c r="D2403" t="s">
        <v>15</v>
      </c>
      <c r="E2403" s="5">
        <v>1500</v>
      </c>
      <c r="F2403" s="3">
        <v>1500</v>
      </c>
      <c r="G2403" s="3">
        <v>1050</v>
      </c>
      <c r="I2403" s="2" t="s">
        <v>638</v>
      </c>
      <c r="J2403" s="2" t="s">
        <v>184</v>
      </c>
      <c r="K2403" t="s">
        <v>18</v>
      </c>
      <c r="L2403" t="str">
        <f>T("9791164796939")</f>
        <v>9791164796939</v>
      </c>
      <c r="M2403" t="str">
        <f t="shared" si="105"/>
        <v/>
      </c>
      <c r="N2403" t="s">
        <v>1133</v>
      </c>
    </row>
    <row r="2404" spans="1:14">
      <c r="A2404" s="1">
        <v>46071.90792824074</v>
      </c>
      <c r="B2404">
        <v>281223543</v>
      </c>
      <c r="C2404" s="2" t="s">
        <v>483</v>
      </c>
      <c r="D2404" t="s">
        <v>15</v>
      </c>
      <c r="E2404" s="5">
        <v>3400</v>
      </c>
      <c r="F2404" s="3">
        <v>3400</v>
      </c>
      <c r="G2404" s="3">
        <v>2380</v>
      </c>
      <c r="I2404" s="2" t="s">
        <v>484</v>
      </c>
      <c r="J2404" s="2" t="s">
        <v>197</v>
      </c>
      <c r="K2404" t="s">
        <v>18</v>
      </c>
      <c r="L2404" t="str">
        <f>T("9791164095629")</f>
        <v>9791164095629</v>
      </c>
      <c r="M2404" t="str">
        <f t="shared" si="105"/>
        <v/>
      </c>
      <c r="N2404" t="s">
        <v>485</v>
      </c>
    </row>
    <row r="2405" spans="1:14">
      <c r="A2405" s="1">
        <v>46071.90792824074</v>
      </c>
      <c r="B2405">
        <v>320013986</v>
      </c>
      <c r="C2405" s="2" t="s">
        <v>1134</v>
      </c>
      <c r="D2405" t="s">
        <v>15</v>
      </c>
      <c r="E2405" s="5">
        <v>1200</v>
      </c>
      <c r="F2405" s="3">
        <v>1200</v>
      </c>
      <c r="G2405" s="2">
        <v>840</v>
      </c>
      <c r="I2405" s="2" t="s">
        <v>638</v>
      </c>
      <c r="J2405" s="2" t="s">
        <v>184</v>
      </c>
      <c r="K2405" t="s">
        <v>18</v>
      </c>
      <c r="L2405" t="str">
        <f>T("9791164799237")</f>
        <v>9791164799237</v>
      </c>
      <c r="M2405" t="str">
        <f t="shared" si="105"/>
        <v/>
      </c>
      <c r="N2405" t="s">
        <v>1135</v>
      </c>
    </row>
    <row r="2406" spans="1:14">
      <c r="A2406" s="1">
        <v>46071.922939814816</v>
      </c>
      <c r="B2406">
        <v>324263742</v>
      </c>
      <c r="C2406" s="2" t="s">
        <v>1855</v>
      </c>
      <c r="D2406" t="s">
        <v>15</v>
      </c>
      <c r="E2406" s="5">
        <v>1000</v>
      </c>
      <c r="F2406" s="3">
        <v>1000</v>
      </c>
      <c r="G2406" s="2">
        <v>700</v>
      </c>
      <c r="I2406" s="2" t="s">
        <v>44</v>
      </c>
      <c r="J2406" s="2" t="s">
        <v>21</v>
      </c>
      <c r="K2406" t="s">
        <v>18</v>
      </c>
      <c r="L2406" t="str">
        <f>T("9791170890836")</f>
        <v>9791170890836</v>
      </c>
      <c r="M2406" t="str">
        <f t="shared" si="105"/>
        <v/>
      </c>
      <c r="N2406" t="s">
        <v>1856</v>
      </c>
    </row>
    <row r="2407" spans="1:14">
      <c r="A2407" s="1">
        <v>46071.925567129627</v>
      </c>
      <c r="B2407">
        <v>312661126</v>
      </c>
      <c r="C2407" s="2" t="s">
        <v>2407</v>
      </c>
      <c r="D2407" t="s">
        <v>15</v>
      </c>
      <c r="E2407" s="5">
        <v>1000</v>
      </c>
      <c r="F2407" s="3">
        <v>1000</v>
      </c>
      <c r="G2407" s="2">
        <v>700</v>
      </c>
      <c r="I2407" s="2" t="s">
        <v>877</v>
      </c>
      <c r="J2407" s="2" t="s">
        <v>177</v>
      </c>
      <c r="K2407" t="s">
        <v>18</v>
      </c>
      <c r="L2407" t="str">
        <f>T("9791164798780")</f>
        <v>9791164798780</v>
      </c>
      <c r="M2407" t="str">
        <f t="shared" si="105"/>
        <v/>
      </c>
      <c r="N2407" t="s">
        <v>2408</v>
      </c>
    </row>
    <row r="2408" spans="1:14">
      <c r="A2408" s="1">
        <v>46071.927164351851</v>
      </c>
      <c r="B2408">
        <v>328759043</v>
      </c>
      <c r="C2408" s="2" t="s">
        <v>1537</v>
      </c>
      <c r="D2408" t="s">
        <v>68</v>
      </c>
      <c r="E2408" s="4">
        <v>840</v>
      </c>
      <c r="F2408" s="2">
        <v>840</v>
      </c>
      <c r="G2408" s="2">
        <v>588</v>
      </c>
      <c r="I2408" s="2" t="s">
        <v>852</v>
      </c>
      <c r="J2408" s="2" t="s">
        <v>197</v>
      </c>
      <c r="K2408" t="s">
        <v>18</v>
      </c>
      <c r="L2408" t="str">
        <f>T("9791164099269")</f>
        <v>9791164099269</v>
      </c>
      <c r="M2408" t="str">
        <f t="shared" si="105"/>
        <v/>
      </c>
    </row>
    <row r="2409" spans="1:14">
      <c r="A2409" s="1">
        <v>46071.929814814815</v>
      </c>
      <c r="B2409">
        <v>385347792</v>
      </c>
      <c r="C2409" s="2" t="s">
        <v>306</v>
      </c>
      <c r="D2409" t="s">
        <v>15</v>
      </c>
      <c r="E2409" s="5">
        <v>1000</v>
      </c>
      <c r="F2409" s="2">
        <v>900</v>
      </c>
      <c r="G2409" s="2">
        <v>630</v>
      </c>
      <c r="I2409" s="2" t="s">
        <v>307</v>
      </c>
      <c r="J2409" s="2" t="s">
        <v>308</v>
      </c>
      <c r="K2409" t="s">
        <v>18</v>
      </c>
      <c r="L2409" t="str">
        <f>T("9791194982753")</f>
        <v>9791194982753</v>
      </c>
      <c r="M2409" t="str">
        <f t="shared" si="105"/>
        <v/>
      </c>
      <c r="N2409" t="s">
        <v>309</v>
      </c>
    </row>
    <row r="2410" spans="1:14">
      <c r="A2410" s="1">
        <v>46071.930543981478</v>
      </c>
      <c r="B2410">
        <v>386057277</v>
      </c>
      <c r="C2410" s="2" t="s">
        <v>1609</v>
      </c>
      <c r="D2410" t="s">
        <v>68</v>
      </c>
      <c r="E2410" s="5">
        <v>3750</v>
      </c>
      <c r="F2410" s="3">
        <v>3750</v>
      </c>
      <c r="G2410" s="3">
        <v>2625</v>
      </c>
      <c r="I2410" s="2" t="s">
        <v>1610</v>
      </c>
      <c r="J2410" s="2" t="s">
        <v>197</v>
      </c>
      <c r="K2410" t="s">
        <v>18</v>
      </c>
      <c r="L2410" t="str">
        <f>T("9791164095315")</f>
        <v>9791164095315</v>
      </c>
      <c r="M2410" t="str">
        <f t="shared" si="105"/>
        <v/>
      </c>
    </row>
    <row r="2411" spans="1:14">
      <c r="A2411" s="1">
        <v>46071.934953703705</v>
      </c>
      <c r="B2411">
        <v>212448125</v>
      </c>
      <c r="C2411" s="2" t="s">
        <v>2462</v>
      </c>
      <c r="D2411" t="s">
        <v>68</v>
      </c>
      <c r="E2411" s="4">
        <v>900</v>
      </c>
      <c r="F2411" s="2">
        <v>900</v>
      </c>
      <c r="G2411" s="2">
        <v>630</v>
      </c>
      <c r="I2411" s="2" t="s">
        <v>2463</v>
      </c>
      <c r="J2411" s="2" t="s">
        <v>65</v>
      </c>
      <c r="K2411" t="s">
        <v>18</v>
      </c>
      <c r="L2411" t="str">
        <f>T("9791162589236")</f>
        <v>9791162589236</v>
      </c>
      <c r="M2411" t="str">
        <f t="shared" si="105"/>
        <v/>
      </c>
    </row>
    <row r="2412" spans="1:14">
      <c r="A2412" s="1">
        <v>46071.938263888886</v>
      </c>
      <c r="B2412">
        <v>385373248</v>
      </c>
      <c r="C2412" s="2" t="s">
        <v>553</v>
      </c>
      <c r="D2412" t="s">
        <v>15</v>
      </c>
      <c r="E2412" s="5">
        <v>1100</v>
      </c>
      <c r="F2412" s="3">
        <v>1100</v>
      </c>
      <c r="G2412" s="2">
        <v>770</v>
      </c>
      <c r="I2412" s="2" t="s">
        <v>211</v>
      </c>
      <c r="J2412" s="2" t="s">
        <v>21</v>
      </c>
      <c r="K2412" t="s">
        <v>18</v>
      </c>
      <c r="L2412" t="str">
        <f>T("")</f>
        <v/>
      </c>
      <c r="M2412" t="str">
        <f>T("G720:N+A311-20251210011.M001")</f>
        <v>G720:N+A311-20251210011.M001</v>
      </c>
      <c r="N2412" t="s">
        <v>554</v>
      </c>
    </row>
    <row r="2413" spans="1:14">
      <c r="A2413" s="1">
        <v>46071.941099537034</v>
      </c>
      <c r="B2413">
        <v>385373369</v>
      </c>
      <c r="C2413" s="2" t="s">
        <v>468</v>
      </c>
      <c r="D2413" t="s">
        <v>15</v>
      </c>
      <c r="E2413" s="5">
        <v>3200</v>
      </c>
      <c r="F2413" s="3">
        <v>3200</v>
      </c>
      <c r="G2413" s="3">
        <v>2240</v>
      </c>
      <c r="I2413" s="2" t="s">
        <v>388</v>
      </c>
      <c r="J2413" s="2" t="s">
        <v>290</v>
      </c>
      <c r="K2413" t="s">
        <v>18</v>
      </c>
      <c r="L2413" t="str">
        <f>T("9791194982043")</f>
        <v>9791194982043</v>
      </c>
      <c r="M2413" t="str">
        <f t="shared" ref="M2413:M2444" si="106">T("")</f>
        <v/>
      </c>
      <c r="N2413" t="s">
        <v>469</v>
      </c>
    </row>
    <row r="2414" spans="1:14">
      <c r="A2414" s="1">
        <v>46071.952002314814</v>
      </c>
      <c r="B2414">
        <v>325730678</v>
      </c>
      <c r="C2414" s="2" t="s">
        <v>2464</v>
      </c>
      <c r="D2414" t="s">
        <v>15</v>
      </c>
      <c r="E2414" s="5">
        <v>1000</v>
      </c>
      <c r="F2414" s="3">
        <v>1000</v>
      </c>
      <c r="G2414" s="2">
        <v>700</v>
      </c>
      <c r="I2414" s="2" t="s">
        <v>2465</v>
      </c>
      <c r="J2414" s="2" t="s">
        <v>21</v>
      </c>
      <c r="K2414" t="s">
        <v>18</v>
      </c>
      <c r="L2414" t="str">
        <f>T("9791167839367")</f>
        <v>9791167839367</v>
      </c>
      <c r="M2414" t="str">
        <f t="shared" si="106"/>
        <v/>
      </c>
      <c r="N2414" t="s">
        <v>2466</v>
      </c>
    </row>
    <row r="2415" spans="1:14">
      <c r="A2415" s="1">
        <v>46071.959907407407</v>
      </c>
      <c r="B2415">
        <v>353613762</v>
      </c>
      <c r="C2415" s="2" t="s">
        <v>2467</v>
      </c>
      <c r="D2415" t="s">
        <v>15</v>
      </c>
      <c r="E2415" s="5">
        <v>1000</v>
      </c>
      <c r="F2415" s="3">
        <v>1000</v>
      </c>
      <c r="G2415" s="2">
        <v>700</v>
      </c>
      <c r="I2415" s="2" t="s">
        <v>142</v>
      </c>
      <c r="J2415" s="2" t="s">
        <v>21</v>
      </c>
      <c r="K2415" t="s">
        <v>18</v>
      </c>
      <c r="L2415" t="str">
        <f>T("9791173011153")</f>
        <v>9791173011153</v>
      </c>
      <c r="M2415" t="str">
        <f t="shared" si="106"/>
        <v/>
      </c>
      <c r="N2415" t="s">
        <v>2468</v>
      </c>
    </row>
    <row r="2416" spans="1:14">
      <c r="A2416" s="1">
        <v>46071.959907407407</v>
      </c>
      <c r="B2416">
        <v>367861962</v>
      </c>
      <c r="C2416" s="2" t="s">
        <v>2469</v>
      </c>
      <c r="D2416" t="s">
        <v>15</v>
      </c>
      <c r="E2416" s="5">
        <v>1000</v>
      </c>
      <c r="F2416" s="3">
        <v>1000</v>
      </c>
      <c r="G2416" s="2">
        <v>700</v>
      </c>
      <c r="I2416" s="2" t="s">
        <v>142</v>
      </c>
      <c r="J2416" s="2" t="s">
        <v>21</v>
      </c>
      <c r="K2416" t="s">
        <v>18</v>
      </c>
      <c r="L2416" t="str">
        <f>T("9791173015571")</f>
        <v>9791173015571</v>
      </c>
      <c r="M2416" t="str">
        <f t="shared" si="106"/>
        <v/>
      </c>
      <c r="N2416" t="s">
        <v>2470</v>
      </c>
    </row>
    <row r="2417" spans="1:14">
      <c r="A2417" s="1">
        <v>46071.961921296293</v>
      </c>
      <c r="B2417">
        <v>364579911</v>
      </c>
      <c r="C2417" s="2" t="s">
        <v>1399</v>
      </c>
      <c r="D2417" t="s">
        <v>15</v>
      </c>
      <c r="E2417" s="5">
        <v>1000</v>
      </c>
      <c r="F2417" s="3">
        <v>1000</v>
      </c>
      <c r="G2417" s="2">
        <v>700</v>
      </c>
      <c r="I2417" s="2" t="s">
        <v>148</v>
      </c>
      <c r="J2417" s="2" t="s">
        <v>21</v>
      </c>
      <c r="K2417" t="s">
        <v>18</v>
      </c>
      <c r="L2417" t="str">
        <f>T("9791173014239")</f>
        <v>9791173014239</v>
      </c>
      <c r="M2417" t="str">
        <f t="shared" si="106"/>
        <v/>
      </c>
      <c r="N2417" t="s">
        <v>1400</v>
      </c>
    </row>
    <row r="2418" spans="1:14">
      <c r="A2418" s="1">
        <v>46071.966412037036</v>
      </c>
      <c r="B2418">
        <v>377095688</v>
      </c>
      <c r="C2418" s="2" t="s">
        <v>1608</v>
      </c>
      <c r="D2418" t="s">
        <v>68</v>
      </c>
      <c r="E2418" s="5">
        <v>13600</v>
      </c>
      <c r="F2418" s="3">
        <v>13600</v>
      </c>
      <c r="G2418" s="3">
        <v>9520</v>
      </c>
      <c r="I2418" s="2" t="s">
        <v>183</v>
      </c>
      <c r="J2418" s="2" t="s">
        <v>184</v>
      </c>
      <c r="K2418" t="s">
        <v>18</v>
      </c>
      <c r="L2418" t="str">
        <f>T("9791170965244")</f>
        <v>9791170965244</v>
      </c>
      <c r="M2418" t="str">
        <f t="shared" si="106"/>
        <v/>
      </c>
    </row>
    <row r="2419" spans="1:14">
      <c r="A2419" s="1">
        <v>46071.968495370369</v>
      </c>
      <c r="B2419">
        <v>354903262</v>
      </c>
      <c r="C2419" s="2" t="s">
        <v>2471</v>
      </c>
      <c r="D2419" t="s">
        <v>15</v>
      </c>
      <c r="E2419" s="5">
        <v>1000</v>
      </c>
      <c r="F2419" s="3">
        <v>1000</v>
      </c>
      <c r="G2419" s="2">
        <v>700</v>
      </c>
      <c r="I2419" s="2" t="s">
        <v>2472</v>
      </c>
      <c r="J2419" s="2" t="s">
        <v>2039</v>
      </c>
      <c r="K2419" t="s">
        <v>18</v>
      </c>
      <c r="L2419" t="str">
        <f>T("9791173011801")</f>
        <v>9791173011801</v>
      </c>
      <c r="M2419" t="str">
        <f t="shared" si="106"/>
        <v/>
      </c>
      <c r="N2419" t="s">
        <v>2473</v>
      </c>
    </row>
    <row r="2420" spans="1:14">
      <c r="A2420" s="1">
        <v>46071.970185185186</v>
      </c>
      <c r="B2420">
        <v>348085016</v>
      </c>
      <c r="C2420" s="2" t="s">
        <v>977</v>
      </c>
      <c r="D2420" t="s">
        <v>15</v>
      </c>
      <c r="E2420" s="5">
        <v>2500</v>
      </c>
      <c r="F2420" s="3">
        <v>2500</v>
      </c>
      <c r="G2420" s="3">
        <v>1750</v>
      </c>
      <c r="I2420" s="2" t="s">
        <v>266</v>
      </c>
      <c r="J2420" s="2" t="s">
        <v>126</v>
      </c>
      <c r="K2420" t="s">
        <v>18</v>
      </c>
      <c r="L2420" t="str">
        <f>T("9791171501151")</f>
        <v>9791171501151</v>
      </c>
      <c r="M2420" t="str">
        <f t="shared" si="106"/>
        <v/>
      </c>
      <c r="N2420" t="s">
        <v>978</v>
      </c>
    </row>
    <row r="2421" spans="1:14">
      <c r="A2421" s="1">
        <v>46071.973391203705</v>
      </c>
      <c r="B2421">
        <v>277935678</v>
      </c>
      <c r="C2421" s="2" t="s">
        <v>2474</v>
      </c>
      <c r="D2421" t="s">
        <v>15</v>
      </c>
      <c r="E2421" s="4">
        <v>100</v>
      </c>
      <c r="F2421" s="2">
        <v>100</v>
      </c>
      <c r="G2421" s="2">
        <v>70</v>
      </c>
      <c r="I2421" s="2" t="s">
        <v>64</v>
      </c>
      <c r="J2421" s="2" t="s">
        <v>65</v>
      </c>
      <c r="K2421" t="s">
        <v>18</v>
      </c>
      <c r="L2421" t="str">
        <f>T("9791162589724")</f>
        <v>9791162589724</v>
      </c>
      <c r="M2421" t="str">
        <f t="shared" si="106"/>
        <v/>
      </c>
      <c r="N2421" t="s">
        <v>2475</v>
      </c>
    </row>
    <row r="2422" spans="1:14">
      <c r="A2422" s="1">
        <v>46071.973692129628</v>
      </c>
      <c r="B2422">
        <v>148275667</v>
      </c>
      <c r="C2422" s="2" t="s">
        <v>235</v>
      </c>
      <c r="D2422" t="s">
        <v>15</v>
      </c>
      <c r="E2422" s="5">
        <v>7500</v>
      </c>
      <c r="F2422" s="3">
        <v>7500</v>
      </c>
      <c r="G2422" s="3">
        <v>5250</v>
      </c>
      <c r="I2422" s="2" t="s">
        <v>236</v>
      </c>
      <c r="J2422" s="2" t="s">
        <v>126</v>
      </c>
      <c r="K2422" t="s">
        <v>18</v>
      </c>
      <c r="L2422" t="str">
        <f>T("9791188697069")</f>
        <v>9791188697069</v>
      </c>
      <c r="M2422" t="str">
        <f t="shared" si="106"/>
        <v/>
      </c>
    </row>
    <row r="2423" spans="1:14">
      <c r="A2423" s="1">
        <v>46071.975046296298</v>
      </c>
      <c r="B2423">
        <v>382626257</v>
      </c>
      <c r="C2423" s="2" t="s">
        <v>152</v>
      </c>
      <c r="D2423" t="s">
        <v>15</v>
      </c>
      <c r="E2423" s="5">
        <v>1000</v>
      </c>
      <c r="F2423" s="3">
        <v>1000</v>
      </c>
      <c r="G2423" s="2">
        <v>700</v>
      </c>
      <c r="I2423" s="2" t="s">
        <v>148</v>
      </c>
      <c r="J2423" s="2" t="s">
        <v>21</v>
      </c>
      <c r="K2423" t="s">
        <v>18</v>
      </c>
      <c r="L2423" t="str">
        <f>T("9791175581906")</f>
        <v>9791175581906</v>
      </c>
      <c r="M2423" t="str">
        <f t="shared" si="106"/>
        <v/>
      </c>
      <c r="N2423" t="s">
        <v>153</v>
      </c>
    </row>
    <row r="2424" spans="1:14">
      <c r="A2424" s="1">
        <v>46071.976435185185</v>
      </c>
      <c r="B2424">
        <v>277935678</v>
      </c>
      <c r="C2424" s="2" t="s">
        <v>2474</v>
      </c>
      <c r="D2424" t="s">
        <v>15</v>
      </c>
      <c r="E2424" s="4">
        <v>100</v>
      </c>
      <c r="F2424" s="2">
        <v>100</v>
      </c>
      <c r="G2424" s="2">
        <v>70</v>
      </c>
      <c r="I2424" s="2" t="s">
        <v>64</v>
      </c>
      <c r="J2424" s="2" t="s">
        <v>65</v>
      </c>
      <c r="K2424" t="s">
        <v>18</v>
      </c>
      <c r="L2424" t="str">
        <f>T("9791162589724")</f>
        <v>9791162589724</v>
      </c>
      <c r="M2424" t="str">
        <f t="shared" si="106"/>
        <v/>
      </c>
      <c r="N2424" t="s">
        <v>2475</v>
      </c>
    </row>
    <row r="2425" spans="1:14">
      <c r="A2425" s="1">
        <v>46071.976435185185</v>
      </c>
      <c r="B2425">
        <v>277935672</v>
      </c>
      <c r="C2425" s="2" t="s">
        <v>173</v>
      </c>
      <c r="D2425" t="s">
        <v>15</v>
      </c>
      <c r="E2425" s="4">
        <v>100</v>
      </c>
      <c r="F2425" s="2">
        <v>100</v>
      </c>
      <c r="G2425" s="2">
        <v>70</v>
      </c>
      <c r="I2425" s="2" t="s">
        <v>64</v>
      </c>
      <c r="J2425" s="2" t="s">
        <v>65</v>
      </c>
      <c r="K2425" t="s">
        <v>18</v>
      </c>
      <c r="L2425" t="str">
        <f>T("9791162589724")</f>
        <v>9791162589724</v>
      </c>
      <c r="M2425" t="str">
        <f t="shared" si="106"/>
        <v/>
      </c>
      <c r="N2425" t="s">
        <v>174</v>
      </c>
    </row>
    <row r="2426" spans="1:14">
      <c r="A2426" s="1">
        <v>46071.976435185185</v>
      </c>
      <c r="B2426">
        <v>277935430</v>
      </c>
      <c r="C2426" s="2" t="s">
        <v>2476</v>
      </c>
      <c r="D2426" t="s">
        <v>15</v>
      </c>
      <c r="E2426" s="4">
        <v>100</v>
      </c>
      <c r="F2426" s="2">
        <v>100</v>
      </c>
      <c r="G2426" s="2">
        <v>70</v>
      </c>
      <c r="I2426" s="2" t="s">
        <v>64</v>
      </c>
      <c r="J2426" s="2" t="s">
        <v>65</v>
      </c>
      <c r="K2426" t="s">
        <v>18</v>
      </c>
      <c r="L2426" t="str">
        <f>T("9791162589724")</f>
        <v>9791162589724</v>
      </c>
      <c r="M2426" t="str">
        <f t="shared" si="106"/>
        <v/>
      </c>
      <c r="N2426" t="s">
        <v>2477</v>
      </c>
    </row>
    <row r="2427" spans="1:14">
      <c r="A2427" s="1">
        <v>46071.976435185185</v>
      </c>
      <c r="B2427">
        <v>277935559</v>
      </c>
      <c r="C2427" s="2" t="s">
        <v>2386</v>
      </c>
      <c r="D2427" t="s">
        <v>15</v>
      </c>
      <c r="E2427" s="4">
        <v>100</v>
      </c>
      <c r="F2427" s="2">
        <v>100</v>
      </c>
      <c r="G2427" s="2">
        <v>70</v>
      </c>
      <c r="I2427" s="2" t="s">
        <v>64</v>
      </c>
      <c r="J2427" s="2" t="s">
        <v>65</v>
      </c>
      <c r="K2427" t="s">
        <v>18</v>
      </c>
      <c r="L2427" t="str">
        <f>T("9791162589724")</f>
        <v>9791162589724</v>
      </c>
      <c r="M2427" t="str">
        <f t="shared" si="106"/>
        <v/>
      </c>
      <c r="N2427" t="s">
        <v>2387</v>
      </c>
    </row>
    <row r="2428" spans="1:14">
      <c r="A2428" s="1">
        <v>46071.976435185185</v>
      </c>
      <c r="B2428">
        <v>277935612</v>
      </c>
      <c r="C2428" s="2" t="s">
        <v>2384</v>
      </c>
      <c r="D2428" t="s">
        <v>15</v>
      </c>
      <c r="E2428" s="4">
        <v>100</v>
      </c>
      <c r="F2428" s="2">
        <v>100</v>
      </c>
      <c r="G2428" s="2">
        <v>70</v>
      </c>
      <c r="I2428" s="2" t="s">
        <v>64</v>
      </c>
      <c r="J2428" s="2" t="s">
        <v>65</v>
      </c>
      <c r="K2428" t="s">
        <v>18</v>
      </c>
      <c r="L2428" t="str">
        <f>T("9791162589724")</f>
        <v>9791162589724</v>
      </c>
      <c r="M2428" t="str">
        <f t="shared" si="106"/>
        <v/>
      </c>
      <c r="N2428" t="s">
        <v>2385</v>
      </c>
    </row>
    <row r="2429" spans="1:14">
      <c r="A2429" s="1">
        <v>46071.978773148148</v>
      </c>
      <c r="B2429">
        <v>370129965</v>
      </c>
      <c r="C2429" s="2" t="s">
        <v>2478</v>
      </c>
      <c r="D2429" t="s">
        <v>15</v>
      </c>
      <c r="E2429" s="5">
        <v>3600</v>
      </c>
      <c r="F2429" s="3">
        <v>3600</v>
      </c>
      <c r="G2429" s="3">
        <v>2520</v>
      </c>
      <c r="I2429" s="2" t="s">
        <v>135</v>
      </c>
      <c r="J2429" s="2" t="s">
        <v>65</v>
      </c>
      <c r="K2429" t="s">
        <v>18</v>
      </c>
      <c r="L2429" t="str">
        <f>T("9791137019584")</f>
        <v>9791137019584</v>
      </c>
      <c r="M2429" t="str">
        <f t="shared" si="106"/>
        <v/>
      </c>
      <c r="N2429" t="s">
        <v>2479</v>
      </c>
    </row>
    <row r="2430" spans="1:14">
      <c r="A2430" s="1">
        <v>46071.978773148148</v>
      </c>
      <c r="B2430">
        <v>370129987</v>
      </c>
      <c r="C2430" s="2" t="s">
        <v>2480</v>
      </c>
      <c r="D2430" t="s">
        <v>15</v>
      </c>
      <c r="E2430" s="5">
        <v>3600</v>
      </c>
      <c r="F2430" s="3">
        <v>3600</v>
      </c>
      <c r="G2430" s="3">
        <v>2520</v>
      </c>
      <c r="I2430" s="2" t="s">
        <v>135</v>
      </c>
      <c r="J2430" s="2" t="s">
        <v>65</v>
      </c>
      <c r="K2430" t="s">
        <v>18</v>
      </c>
      <c r="L2430" t="str">
        <f>T("9791137019607")</f>
        <v>9791137019607</v>
      </c>
      <c r="M2430" t="str">
        <f t="shared" si="106"/>
        <v/>
      </c>
      <c r="N2430" t="s">
        <v>2481</v>
      </c>
    </row>
    <row r="2431" spans="1:14">
      <c r="A2431" s="1">
        <v>46071.978773148148</v>
      </c>
      <c r="B2431">
        <v>370130238</v>
      </c>
      <c r="C2431" s="2" t="s">
        <v>2482</v>
      </c>
      <c r="D2431" t="s">
        <v>15</v>
      </c>
      <c r="E2431" s="5">
        <v>3600</v>
      </c>
      <c r="F2431" s="3">
        <v>3600</v>
      </c>
      <c r="G2431" s="3">
        <v>2520</v>
      </c>
      <c r="I2431" s="2" t="s">
        <v>135</v>
      </c>
      <c r="J2431" s="2" t="s">
        <v>65</v>
      </c>
      <c r="K2431" t="s">
        <v>18</v>
      </c>
      <c r="L2431" t="str">
        <f>T("9791137019591")</f>
        <v>9791137019591</v>
      </c>
      <c r="M2431" t="str">
        <f t="shared" si="106"/>
        <v/>
      </c>
      <c r="N2431" t="s">
        <v>2483</v>
      </c>
    </row>
    <row r="2432" spans="1:14">
      <c r="A2432" s="1">
        <v>46071.979537037034</v>
      </c>
      <c r="B2432">
        <v>370129986</v>
      </c>
      <c r="C2432" s="2" t="s">
        <v>2484</v>
      </c>
      <c r="D2432" t="s">
        <v>15</v>
      </c>
      <c r="E2432" s="5">
        <v>3600</v>
      </c>
      <c r="F2432" s="3">
        <v>3600</v>
      </c>
      <c r="G2432" s="3">
        <v>2520</v>
      </c>
      <c r="I2432" s="2" t="s">
        <v>135</v>
      </c>
      <c r="J2432" s="2" t="s">
        <v>65</v>
      </c>
      <c r="K2432" t="s">
        <v>18</v>
      </c>
      <c r="L2432" t="str">
        <f>T("9791137019614")</f>
        <v>9791137019614</v>
      </c>
      <c r="M2432" t="str">
        <f t="shared" si="106"/>
        <v/>
      </c>
      <c r="N2432" t="s">
        <v>2485</v>
      </c>
    </row>
    <row r="2433" spans="1:14">
      <c r="A2433" s="1">
        <v>46071.979537037034</v>
      </c>
      <c r="B2433">
        <v>370129969</v>
      </c>
      <c r="C2433" s="2" t="s">
        <v>2486</v>
      </c>
      <c r="D2433" t="s">
        <v>15</v>
      </c>
      <c r="E2433" s="5">
        <v>3600</v>
      </c>
      <c r="F2433" s="3">
        <v>3600</v>
      </c>
      <c r="G2433" s="3">
        <v>2520</v>
      </c>
      <c r="I2433" s="2" t="s">
        <v>135</v>
      </c>
      <c r="J2433" s="2" t="s">
        <v>65</v>
      </c>
      <c r="K2433" t="s">
        <v>18</v>
      </c>
      <c r="L2433" t="str">
        <f>T("9791137019577")</f>
        <v>9791137019577</v>
      </c>
      <c r="M2433" t="str">
        <f t="shared" si="106"/>
        <v/>
      </c>
      <c r="N2433" t="s">
        <v>2487</v>
      </c>
    </row>
    <row r="2434" spans="1:14">
      <c r="A2434" s="1">
        <v>46071.979756944442</v>
      </c>
      <c r="B2434">
        <v>299091332</v>
      </c>
      <c r="C2434" s="2" t="s">
        <v>2488</v>
      </c>
      <c r="D2434" t="s">
        <v>15</v>
      </c>
      <c r="E2434" s="5">
        <v>1000</v>
      </c>
      <c r="F2434" s="3">
        <v>1000</v>
      </c>
      <c r="G2434" s="2">
        <v>700</v>
      </c>
      <c r="I2434" s="2" t="s">
        <v>947</v>
      </c>
      <c r="J2434" s="2" t="s">
        <v>21</v>
      </c>
      <c r="K2434" t="s">
        <v>18</v>
      </c>
      <c r="L2434" t="str">
        <f>T("9791167833693")</f>
        <v>9791167833693</v>
      </c>
      <c r="M2434" t="str">
        <f t="shared" si="106"/>
        <v/>
      </c>
    </row>
    <row r="2435" spans="1:14">
      <c r="A2435" s="1">
        <v>46071.980347222219</v>
      </c>
      <c r="B2435">
        <v>370129984</v>
      </c>
      <c r="C2435" s="2" t="s">
        <v>2489</v>
      </c>
      <c r="D2435" t="s">
        <v>15</v>
      </c>
      <c r="E2435" s="5">
        <v>3600</v>
      </c>
      <c r="F2435" s="3">
        <v>3600</v>
      </c>
      <c r="G2435" s="3">
        <v>2520</v>
      </c>
      <c r="I2435" s="2" t="s">
        <v>135</v>
      </c>
      <c r="J2435" s="2" t="s">
        <v>65</v>
      </c>
      <c r="K2435" t="s">
        <v>18</v>
      </c>
      <c r="L2435" t="str">
        <f>T("9791137019560")</f>
        <v>9791137019560</v>
      </c>
      <c r="M2435" t="str">
        <f t="shared" si="106"/>
        <v/>
      </c>
      <c r="N2435" t="s">
        <v>2490</v>
      </c>
    </row>
    <row r="2436" spans="1:14">
      <c r="A2436" s="1">
        <v>46071.980347222219</v>
      </c>
      <c r="B2436">
        <v>370130223</v>
      </c>
      <c r="C2436" s="2" t="s">
        <v>597</v>
      </c>
      <c r="D2436" t="s">
        <v>15</v>
      </c>
      <c r="E2436" s="4">
        <v>0</v>
      </c>
      <c r="F2436" s="2">
        <v>0</v>
      </c>
      <c r="G2436" s="2">
        <v>0</v>
      </c>
      <c r="I2436" s="2" t="s">
        <v>135</v>
      </c>
      <c r="J2436" s="2" t="s">
        <v>65</v>
      </c>
      <c r="K2436" t="s">
        <v>18</v>
      </c>
      <c r="L2436" t="str">
        <f>T("9791137019553")</f>
        <v>9791137019553</v>
      </c>
      <c r="M2436" t="str">
        <f t="shared" si="106"/>
        <v/>
      </c>
      <c r="N2436" t="s">
        <v>598</v>
      </c>
    </row>
    <row r="2437" spans="1:14">
      <c r="A2437" s="1">
        <v>46071.980949074074</v>
      </c>
      <c r="B2437">
        <v>333650388</v>
      </c>
      <c r="C2437" s="2" t="s">
        <v>1106</v>
      </c>
      <c r="D2437" t="s">
        <v>15</v>
      </c>
      <c r="E2437" s="5">
        <v>1000</v>
      </c>
      <c r="F2437" s="3">
        <v>1000</v>
      </c>
      <c r="G2437" s="2">
        <v>700</v>
      </c>
      <c r="I2437" s="2" t="s">
        <v>1107</v>
      </c>
      <c r="J2437" s="2" t="s">
        <v>21</v>
      </c>
      <c r="K2437" t="s">
        <v>18</v>
      </c>
      <c r="L2437" t="str">
        <f>T("9791167839299")</f>
        <v>9791167839299</v>
      </c>
      <c r="M2437" t="str">
        <f t="shared" si="106"/>
        <v/>
      </c>
      <c r="N2437" t="s">
        <v>1108</v>
      </c>
    </row>
    <row r="2438" spans="1:14">
      <c r="A2438" s="1">
        <v>46071.981493055559</v>
      </c>
      <c r="B2438">
        <v>311961658</v>
      </c>
      <c r="C2438" s="2" t="s">
        <v>2306</v>
      </c>
      <c r="D2438" t="s">
        <v>15</v>
      </c>
      <c r="E2438" s="5">
        <v>1000</v>
      </c>
      <c r="F2438" s="3">
        <v>1000</v>
      </c>
      <c r="G2438" s="2">
        <v>700</v>
      </c>
      <c r="I2438" s="2" t="s">
        <v>1107</v>
      </c>
      <c r="J2438" s="2" t="s">
        <v>21</v>
      </c>
      <c r="K2438" t="s">
        <v>18</v>
      </c>
      <c r="L2438" t="str">
        <f>T("9791167837066")</f>
        <v>9791167837066</v>
      </c>
      <c r="M2438" t="str">
        <f t="shared" si="106"/>
        <v/>
      </c>
      <c r="N2438" t="s">
        <v>2307</v>
      </c>
    </row>
    <row r="2439" spans="1:14">
      <c r="A2439" s="1">
        <v>46071.98159722222</v>
      </c>
      <c r="B2439">
        <v>386008653</v>
      </c>
      <c r="C2439" s="2" t="s">
        <v>2058</v>
      </c>
      <c r="D2439" t="s">
        <v>15</v>
      </c>
      <c r="E2439" s="5">
        <v>1000</v>
      </c>
      <c r="F2439" s="3">
        <v>1000</v>
      </c>
      <c r="G2439" s="2">
        <v>700</v>
      </c>
      <c r="I2439" s="2" t="s">
        <v>1728</v>
      </c>
      <c r="J2439" s="2" t="s">
        <v>21</v>
      </c>
      <c r="K2439" t="s">
        <v>18</v>
      </c>
      <c r="L2439" t="str">
        <f>T("9791175582644")</f>
        <v>9791175582644</v>
      </c>
      <c r="M2439" t="str">
        <f t="shared" si="106"/>
        <v/>
      </c>
      <c r="N2439" t="s">
        <v>2059</v>
      </c>
    </row>
    <row r="2440" spans="1:14">
      <c r="A2440" s="1">
        <v>46071.986655092594</v>
      </c>
      <c r="B2440">
        <v>386008650</v>
      </c>
      <c r="C2440" s="2" t="s">
        <v>1666</v>
      </c>
      <c r="D2440" t="s">
        <v>15</v>
      </c>
      <c r="E2440" s="5">
        <v>1000</v>
      </c>
      <c r="F2440" s="3">
        <v>1000</v>
      </c>
      <c r="G2440" s="2">
        <v>700</v>
      </c>
      <c r="I2440" s="2" t="s">
        <v>1667</v>
      </c>
      <c r="J2440" s="2" t="s">
        <v>21</v>
      </c>
      <c r="K2440" t="s">
        <v>18</v>
      </c>
      <c r="L2440" t="str">
        <f>T("9791175582880")</f>
        <v>9791175582880</v>
      </c>
      <c r="M2440" t="str">
        <f t="shared" si="106"/>
        <v/>
      </c>
      <c r="N2440" t="s">
        <v>1668</v>
      </c>
    </row>
    <row r="2441" spans="1:14">
      <c r="A2441" s="1">
        <v>46071.986655092594</v>
      </c>
      <c r="B2441">
        <v>372487350</v>
      </c>
      <c r="C2441" s="2" t="s">
        <v>2491</v>
      </c>
      <c r="D2441" t="s">
        <v>15</v>
      </c>
      <c r="E2441" s="5">
        <v>1000</v>
      </c>
      <c r="F2441" s="3">
        <v>1000</v>
      </c>
      <c r="G2441" s="2">
        <v>700</v>
      </c>
      <c r="I2441" s="2" t="s">
        <v>1667</v>
      </c>
      <c r="J2441" s="2" t="s">
        <v>21</v>
      </c>
      <c r="K2441" t="s">
        <v>18</v>
      </c>
      <c r="L2441" t="str">
        <f>T("9791173017681")</f>
        <v>9791173017681</v>
      </c>
      <c r="M2441" t="str">
        <f t="shared" si="106"/>
        <v/>
      </c>
      <c r="N2441" t="s">
        <v>2492</v>
      </c>
    </row>
    <row r="2442" spans="1:14">
      <c r="A2442" s="1">
        <v>46071.986655092594</v>
      </c>
      <c r="B2442">
        <v>383609168</v>
      </c>
      <c r="C2442" s="2" t="s">
        <v>2493</v>
      </c>
      <c r="D2442" t="s">
        <v>15</v>
      </c>
      <c r="E2442" s="5">
        <v>1000</v>
      </c>
      <c r="F2442" s="3">
        <v>1000</v>
      </c>
      <c r="G2442" s="2">
        <v>700</v>
      </c>
      <c r="I2442" s="2" t="s">
        <v>1667</v>
      </c>
      <c r="J2442" s="2" t="s">
        <v>21</v>
      </c>
      <c r="K2442" t="s">
        <v>18</v>
      </c>
      <c r="L2442" t="str">
        <f>T("9791175582255")</f>
        <v>9791175582255</v>
      </c>
      <c r="M2442" t="str">
        <f t="shared" si="106"/>
        <v/>
      </c>
      <c r="N2442" t="s">
        <v>2494</v>
      </c>
    </row>
    <row r="2443" spans="1:14">
      <c r="A2443" s="1">
        <v>46071.989340277774</v>
      </c>
      <c r="B2443">
        <v>381924113</v>
      </c>
      <c r="C2443" s="2" t="s">
        <v>367</v>
      </c>
      <c r="D2443" t="s">
        <v>15</v>
      </c>
      <c r="E2443" s="5">
        <v>2800</v>
      </c>
      <c r="F2443" s="3">
        <v>2800</v>
      </c>
      <c r="G2443" s="3">
        <v>1960</v>
      </c>
      <c r="I2443" s="2" t="s">
        <v>368</v>
      </c>
      <c r="J2443" s="2" t="s">
        <v>308</v>
      </c>
      <c r="K2443" t="s">
        <v>18</v>
      </c>
      <c r="L2443" t="str">
        <f>T("9791194982739")</f>
        <v>9791194982739</v>
      </c>
      <c r="M2443" t="str">
        <f t="shared" si="106"/>
        <v/>
      </c>
      <c r="N2443" t="s">
        <v>369</v>
      </c>
    </row>
    <row r="2444" spans="1:14">
      <c r="A2444" s="1">
        <v>46071.9921875</v>
      </c>
      <c r="B2444">
        <v>379527587</v>
      </c>
      <c r="C2444" s="2" t="s">
        <v>193</v>
      </c>
      <c r="D2444" t="s">
        <v>15</v>
      </c>
      <c r="E2444" s="5">
        <v>1000</v>
      </c>
      <c r="F2444" s="3">
        <v>1000</v>
      </c>
      <c r="G2444" s="2">
        <v>700</v>
      </c>
      <c r="I2444" s="2" t="s">
        <v>148</v>
      </c>
      <c r="J2444" s="2" t="s">
        <v>21</v>
      </c>
      <c r="K2444" t="s">
        <v>18</v>
      </c>
      <c r="L2444" t="str">
        <f>T("9791175580763")</f>
        <v>9791175580763</v>
      </c>
      <c r="M2444" t="str">
        <f t="shared" si="106"/>
        <v/>
      </c>
      <c r="N2444" t="s">
        <v>194</v>
      </c>
    </row>
    <row r="2445" spans="1:14">
      <c r="A2445" s="1">
        <v>46071.992523148147</v>
      </c>
      <c r="B2445">
        <v>379921087</v>
      </c>
      <c r="C2445" s="2" t="s">
        <v>2495</v>
      </c>
      <c r="D2445" t="s">
        <v>15</v>
      </c>
      <c r="E2445" s="5">
        <v>1000</v>
      </c>
      <c r="F2445" s="3">
        <v>1000</v>
      </c>
      <c r="G2445" s="2">
        <v>700</v>
      </c>
      <c r="I2445" s="2" t="s">
        <v>281</v>
      </c>
      <c r="J2445" s="2" t="s">
        <v>21</v>
      </c>
      <c r="K2445" t="s">
        <v>18</v>
      </c>
      <c r="L2445" t="str">
        <f>T("9791175581340")</f>
        <v>9791175581340</v>
      </c>
      <c r="M2445" t="str">
        <f t="shared" ref="M2445:M2474" si="107">T("")</f>
        <v/>
      </c>
      <c r="N2445" t="s">
        <v>2496</v>
      </c>
    </row>
    <row r="2446" spans="1:14">
      <c r="A2446" s="1">
        <v>46071.992523148147</v>
      </c>
      <c r="B2446">
        <v>353237602</v>
      </c>
      <c r="C2446" s="2" t="s">
        <v>2497</v>
      </c>
      <c r="D2446" t="s">
        <v>15</v>
      </c>
      <c r="E2446" s="5">
        <v>1000</v>
      </c>
      <c r="F2446" s="3">
        <v>1000</v>
      </c>
      <c r="G2446" s="2">
        <v>700</v>
      </c>
      <c r="I2446" s="2" t="s">
        <v>2498</v>
      </c>
      <c r="J2446" s="2" t="s">
        <v>21</v>
      </c>
      <c r="K2446" t="s">
        <v>18</v>
      </c>
      <c r="L2446" t="str">
        <f>T("9791173010248")</f>
        <v>9791173010248</v>
      </c>
      <c r="M2446" t="str">
        <f t="shared" si="107"/>
        <v/>
      </c>
      <c r="N2446" t="s">
        <v>2499</v>
      </c>
    </row>
    <row r="2447" spans="1:14">
      <c r="A2447" s="1">
        <v>46071.992523148147</v>
      </c>
      <c r="B2447">
        <v>358607418</v>
      </c>
      <c r="C2447" s="2" t="s">
        <v>2500</v>
      </c>
      <c r="D2447" t="s">
        <v>15</v>
      </c>
      <c r="E2447" s="5">
        <v>1000</v>
      </c>
      <c r="F2447" s="3">
        <v>1000</v>
      </c>
      <c r="G2447" s="2">
        <v>700</v>
      </c>
      <c r="I2447" s="2" t="s">
        <v>281</v>
      </c>
      <c r="J2447" s="2" t="s">
        <v>21</v>
      </c>
      <c r="K2447" t="s">
        <v>18</v>
      </c>
      <c r="L2447" t="str">
        <f>T("9791173012990")</f>
        <v>9791173012990</v>
      </c>
      <c r="M2447" t="str">
        <f t="shared" si="107"/>
        <v/>
      </c>
      <c r="N2447" t="s">
        <v>2501</v>
      </c>
    </row>
    <row r="2448" spans="1:14">
      <c r="A2448" s="1">
        <v>46071.992523148147</v>
      </c>
      <c r="B2448">
        <v>365291532</v>
      </c>
      <c r="C2448" s="2" t="s">
        <v>2502</v>
      </c>
      <c r="D2448" t="s">
        <v>15</v>
      </c>
      <c r="E2448" s="5">
        <v>1000</v>
      </c>
      <c r="F2448" s="3">
        <v>1000</v>
      </c>
      <c r="G2448" s="2">
        <v>700</v>
      </c>
      <c r="I2448" s="2" t="s">
        <v>2498</v>
      </c>
      <c r="J2448" s="2" t="s">
        <v>21</v>
      </c>
      <c r="K2448" t="s">
        <v>18</v>
      </c>
      <c r="L2448" t="str">
        <f>T("9791173015014")</f>
        <v>9791173015014</v>
      </c>
      <c r="M2448" t="str">
        <f t="shared" si="107"/>
        <v/>
      </c>
      <c r="N2448" t="s">
        <v>2503</v>
      </c>
    </row>
    <row r="2449" spans="1:14">
      <c r="A2449" s="1">
        <v>46071.992523148147</v>
      </c>
      <c r="B2449">
        <v>362753436</v>
      </c>
      <c r="C2449" s="2" t="s">
        <v>2504</v>
      </c>
      <c r="D2449" t="s">
        <v>15</v>
      </c>
      <c r="E2449" s="5">
        <v>1000</v>
      </c>
      <c r="F2449" s="3">
        <v>1000</v>
      </c>
      <c r="G2449" s="2">
        <v>700</v>
      </c>
      <c r="I2449" s="2" t="s">
        <v>281</v>
      </c>
      <c r="J2449" s="2" t="s">
        <v>21</v>
      </c>
      <c r="K2449" t="s">
        <v>18</v>
      </c>
      <c r="L2449" t="str">
        <f>T("9791173013775")</f>
        <v>9791173013775</v>
      </c>
      <c r="M2449" t="str">
        <f t="shared" si="107"/>
        <v/>
      </c>
      <c r="N2449" t="s">
        <v>2505</v>
      </c>
    </row>
    <row r="2450" spans="1:14">
      <c r="A2450" s="1">
        <v>46071.992523148147</v>
      </c>
      <c r="B2450">
        <v>360321650</v>
      </c>
      <c r="C2450" s="2" t="s">
        <v>378</v>
      </c>
      <c r="D2450" t="s">
        <v>15</v>
      </c>
      <c r="E2450" s="5">
        <v>1000</v>
      </c>
      <c r="F2450" s="3">
        <v>1000</v>
      </c>
      <c r="G2450" s="2">
        <v>700</v>
      </c>
      <c r="I2450" s="2" t="s">
        <v>379</v>
      </c>
      <c r="J2450" s="2" t="s">
        <v>21</v>
      </c>
      <c r="K2450" t="s">
        <v>18</v>
      </c>
      <c r="L2450" t="str">
        <f>T("9791173013515")</f>
        <v>9791173013515</v>
      </c>
      <c r="M2450" t="str">
        <f t="shared" si="107"/>
        <v/>
      </c>
      <c r="N2450" t="s">
        <v>380</v>
      </c>
    </row>
    <row r="2451" spans="1:14">
      <c r="A2451" s="1">
        <v>46071.992523148147</v>
      </c>
      <c r="B2451">
        <v>283741679</v>
      </c>
      <c r="C2451" s="2" t="s">
        <v>1985</v>
      </c>
      <c r="D2451" t="s">
        <v>15</v>
      </c>
      <c r="E2451" s="5">
        <v>1000</v>
      </c>
      <c r="F2451" s="3">
        <v>1000</v>
      </c>
      <c r="G2451" s="2">
        <v>700</v>
      </c>
      <c r="I2451" s="2" t="s">
        <v>1986</v>
      </c>
      <c r="J2451" s="2" t="s">
        <v>21</v>
      </c>
      <c r="K2451" t="s">
        <v>18</v>
      </c>
      <c r="L2451" t="str">
        <f>T("9791167830586")</f>
        <v>9791167830586</v>
      </c>
      <c r="M2451" t="str">
        <f t="shared" si="107"/>
        <v/>
      </c>
    </row>
    <row r="2452" spans="1:14">
      <c r="A2452" s="1">
        <v>46071.992627314816</v>
      </c>
      <c r="B2452">
        <v>379527576</v>
      </c>
      <c r="C2452" s="2" t="s">
        <v>150</v>
      </c>
      <c r="D2452" t="s">
        <v>15</v>
      </c>
      <c r="E2452" s="5">
        <v>1000</v>
      </c>
      <c r="F2452" s="3">
        <v>1000</v>
      </c>
      <c r="G2452" s="2">
        <v>700</v>
      </c>
      <c r="I2452" s="2" t="s">
        <v>148</v>
      </c>
      <c r="J2452" s="2" t="s">
        <v>21</v>
      </c>
      <c r="K2452" t="s">
        <v>18</v>
      </c>
      <c r="L2452" t="str">
        <f>T("9791175580541")</f>
        <v>9791175580541</v>
      </c>
      <c r="M2452" t="str">
        <f t="shared" si="107"/>
        <v/>
      </c>
      <c r="N2452" t="s">
        <v>151</v>
      </c>
    </row>
    <row r="2453" spans="1:14">
      <c r="A2453" s="1">
        <v>46071.997071759259</v>
      </c>
      <c r="B2453">
        <v>283496881</v>
      </c>
      <c r="C2453" s="2" t="s">
        <v>1485</v>
      </c>
      <c r="D2453" t="s">
        <v>15</v>
      </c>
      <c r="E2453" s="5">
        <v>3200</v>
      </c>
      <c r="F2453" s="3">
        <v>3200</v>
      </c>
      <c r="G2453" s="3">
        <v>2240</v>
      </c>
      <c r="I2453" s="2" t="s">
        <v>933</v>
      </c>
      <c r="J2453" s="2" t="s">
        <v>245</v>
      </c>
      <c r="K2453" t="s">
        <v>18</v>
      </c>
      <c r="L2453" t="str">
        <f>T("9791166000737")</f>
        <v>9791166000737</v>
      </c>
      <c r="M2453" t="str">
        <f t="shared" si="107"/>
        <v/>
      </c>
      <c r="N2453" t="s">
        <v>1486</v>
      </c>
    </row>
    <row r="2454" spans="1:14">
      <c r="A2454" s="1">
        <v>46071.997071759259</v>
      </c>
      <c r="B2454">
        <v>234101418</v>
      </c>
      <c r="C2454" s="2" t="s">
        <v>932</v>
      </c>
      <c r="D2454" t="s">
        <v>15</v>
      </c>
      <c r="E2454" s="4">
        <v>0</v>
      </c>
      <c r="F2454" s="2">
        <v>0</v>
      </c>
      <c r="G2454" s="2">
        <v>0</v>
      </c>
      <c r="I2454" s="2" t="s">
        <v>933</v>
      </c>
      <c r="J2454" s="2" t="s">
        <v>245</v>
      </c>
      <c r="K2454" t="s">
        <v>18</v>
      </c>
      <c r="L2454" t="str">
        <f>T("9791164485277")</f>
        <v>9791164485277</v>
      </c>
      <c r="M2454" t="str">
        <f t="shared" si="107"/>
        <v/>
      </c>
    </row>
    <row r="2455" spans="1:14">
      <c r="A2455" s="1">
        <v>46071.997071759259</v>
      </c>
      <c r="B2455">
        <v>234101420</v>
      </c>
      <c r="C2455" s="2" t="s">
        <v>1221</v>
      </c>
      <c r="D2455" t="s">
        <v>15</v>
      </c>
      <c r="E2455" s="5">
        <v>3200</v>
      </c>
      <c r="F2455" s="3">
        <v>3200</v>
      </c>
      <c r="G2455" s="3">
        <v>2240</v>
      </c>
      <c r="I2455" s="2" t="s">
        <v>933</v>
      </c>
      <c r="J2455" s="2" t="s">
        <v>245</v>
      </c>
      <c r="K2455" t="s">
        <v>18</v>
      </c>
      <c r="L2455" t="str">
        <f>T("9791164485284")</f>
        <v>9791164485284</v>
      </c>
      <c r="M2455" t="str">
        <f t="shared" si="107"/>
        <v/>
      </c>
    </row>
    <row r="2456" spans="1:14">
      <c r="A2456" s="1">
        <v>46071.997071759259</v>
      </c>
      <c r="B2456">
        <v>234101421</v>
      </c>
      <c r="C2456" s="2" t="s">
        <v>1222</v>
      </c>
      <c r="D2456" t="s">
        <v>15</v>
      </c>
      <c r="E2456" s="5">
        <v>3200</v>
      </c>
      <c r="F2456" s="3">
        <v>3200</v>
      </c>
      <c r="G2456" s="3">
        <v>2240</v>
      </c>
      <c r="I2456" s="2" t="s">
        <v>933</v>
      </c>
      <c r="J2456" s="2" t="s">
        <v>245</v>
      </c>
      <c r="K2456" t="s">
        <v>18</v>
      </c>
      <c r="L2456" t="str">
        <f>T("9791164485291")</f>
        <v>9791164485291</v>
      </c>
      <c r="M2456" t="str">
        <f t="shared" si="107"/>
        <v/>
      </c>
    </row>
    <row r="2457" spans="1:14">
      <c r="A2457" s="1">
        <v>46071.997071759259</v>
      </c>
      <c r="B2457">
        <v>234101422</v>
      </c>
      <c r="C2457" s="2" t="s">
        <v>1220</v>
      </c>
      <c r="D2457" t="s">
        <v>15</v>
      </c>
      <c r="E2457" s="5">
        <v>3200</v>
      </c>
      <c r="F2457" s="3">
        <v>3200</v>
      </c>
      <c r="G2457" s="3">
        <v>2240</v>
      </c>
      <c r="I2457" s="2" t="s">
        <v>933</v>
      </c>
      <c r="J2457" s="2" t="s">
        <v>245</v>
      </c>
      <c r="K2457" t="s">
        <v>18</v>
      </c>
      <c r="L2457" t="str">
        <f>T("9791164485307")</f>
        <v>9791164485307</v>
      </c>
      <c r="M2457" t="str">
        <f t="shared" si="107"/>
        <v/>
      </c>
    </row>
    <row r="2458" spans="1:14">
      <c r="A2458" s="1">
        <v>46071.998877314814</v>
      </c>
      <c r="B2458">
        <v>360411017</v>
      </c>
      <c r="C2458" s="2" t="s">
        <v>2016</v>
      </c>
      <c r="D2458" t="s">
        <v>15</v>
      </c>
      <c r="E2458" s="5">
        <v>1000</v>
      </c>
      <c r="F2458" s="3">
        <v>1000</v>
      </c>
      <c r="G2458" s="2">
        <v>700</v>
      </c>
      <c r="I2458" s="2" t="s">
        <v>2017</v>
      </c>
      <c r="J2458" s="2" t="s">
        <v>21</v>
      </c>
      <c r="K2458" t="s">
        <v>18</v>
      </c>
      <c r="L2458" t="str">
        <f>T("9791173013126")</f>
        <v>9791173013126</v>
      </c>
      <c r="M2458" t="str">
        <f t="shared" si="107"/>
        <v/>
      </c>
      <c r="N2458" t="s">
        <v>2018</v>
      </c>
    </row>
    <row r="2459" spans="1:14">
      <c r="A2459" s="1">
        <v>46071.999178240738</v>
      </c>
      <c r="B2459">
        <v>243163789</v>
      </c>
      <c r="C2459" s="2" t="s">
        <v>2506</v>
      </c>
      <c r="D2459" t="s">
        <v>15</v>
      </c>
      <c r="E2459" s="5">
        <v>1000</v>
      </c>
      <c r="F2459" s="3">
        <v>1000</v>
      </c>
      <c r="G2459" s="2">
        <v>700</v>
      </c>
      <c r="I2459" s="2" t="s">
        <v>1599</v>
      </c>
      <c r="J2459" s="2" t="s">
        <v>197</v>
      </c>
      <c r="K2459" t="s">
        <v>18</v>
      </c>
      <c r="L2459" t="str">
        <f>T("9791164091751")</f>
        <v>9791164091751</v>
      </c>
      <c r="M2459" t="str">
        <f t="shared" si="107"/>
        <v/>
      </c>
    </row>
    <row r="2460" spans="1:14">
      <c r="A2460" s="1">
        <v>46072.008587962962</v>
      </c>
      <c r="B2460">
        <v>328759043</v>
      </c>
      <c r="C2460" s="2" t="s">
        <v>1537</v>
      </c>
      <c r="D2460" t="s">
        <v>68</v>
      </c>
      <c r="E2460" s="4">
        <v>840</v>
      </c>
      <c r="F2460" s="2">
        <v>840</v>
      </c>
      <c r="G2460" s="2">
        <v>588</v>
      </c>
      <c r="I2460" s="2" t="s">
        <v>852</v>
      </c>
      <c r="J2460" s="2" t="s">
        <v>197</v>
      </c>
      <c r="K2460" t="s">
        <v>18</v>
      </c>
      <c r="L2460" t="str">
        <f>T("9791164099269")</f>
        <v>9791164099269</v>
      </c>
      <c r="M2460" t="str">
        <f t="shared" si="107"/>
        <v/>
      </c>
    </row>
    <row r="2461" spans="1:14">
      <c r="A2461" s="1">
        <v>46072.02716435185</v>
      </c>
      <c r="B2461">
        <v>383530003</v>
      </c>
      <c r="C2461" s="2" t="s">
        <v>2507</v>
      </c>
      <c r="D2461" t="s">
        <v>15</v>
      </c>
      <c r="E2461" s="5">
        <v>1000</v>
      </c>
      <c r="F2461" s="3">
        <v>1000</v>
      </c>
      <c r="G2461" s="2">
        <v>700</v>
      </c>
      <c r="I2461" s="2" t="s">
        <v>1672</v>
      </c>
      <c r="J2461" s="2" t="s">
        <v>1673</v>
      </c>
      <c r="K2461" t="s">
        <v>18</v>
      </c>
      <c r="L2461" t="str">
        <f>T("9791194982814")</f>
        <v>9791194982814</v>
      </c>
      <c r="M2461" t="str">
        <f t="shared" si="107"/>
        <v/>
      </c>
      <c r="N2461" t="s">
        <v>2508</v>
      </c>
    </row>
    <row r="2462" spans="1:14">
      <c r="A2462" s="1">
        <v>46072.037083333336</v>
      </c>
      <c r="B2462">
        <v>341292447</v>
      </c>
      <c r="C2462" s="2" t="s">
        <v>2509</v>
      </c>
      <c r="D2462" t="s">
        <v>15</v>
      </c>
      <c r="E2462" s="5">
        <v>1400</v>
      </c>
      <c r="F2462" s="3">
        <v>1400</v>
      </c>
      <c r="G2462" s="2">
        <v>980</v>
      </c>
      <c r="I2462" s="2" t="s">
        <v>2510</v>
      </c>
      <c r="J2462" s="2" t="s">
        <v>21</v>
      </c>
      <c r="K2462" t="s">
        <v>18</v>
      </c>
      <c r="L2462" t="str">
        <f>T("9791170897644")</f>
        <v>9791170897644</v>
      </c>
      <c r="M2462" t="str">
        <f t="shared" si="107"/>
        <v/>
      </c>
      <c r="N2462" t="s">
        <v>2511</v>
      </c>
    </row>
    <row r="2463" spans="1:14">
      <c r="A2463" s="1">
        <v>46072.075208333335</v>
      </c>
      <c r="B2463">
        <v>379920934</v>
      </c>
      <c r="C2463" s="2" t="s">
        <v>595</v>
      </c>
      <c r="D2463" t="s">
        <v>15</v>
      </c>
      <c r="E2463" s="5">
        <v>1100</v>
      </c>
      <c r="F2463" s="3">
        <v>1100</v>
      </c>
      <c r="G2463" s="2">
        <v>770</v>
      </c>
      <c r="I2463" s="2" t="s">
        <v>148</v>
      </c>
      <c r="J2463" s="2" t="s">
        <v>21</v>
      </c>
      <c r="K2463" t="s">
        <v>18</v>
      </c>
      <c r="L2463" t="str">
        <f>T("9791175581357")</f>
        <v>9791175581357</v>
      </c>
      <c r="M2463" t="str">
        <f t="shared" si="107"/>
        <v/>
      </c>
      <c r="N2463" t="s">
        <v>596</v>
      </c>
    </row>
    <row r="2464" spans="1:14">
      <c r="A2464" s="1">
        <v>46072.079479166663</v>
      </c>
      <c r="B2464">
        <v>386057122</v>
      </c>
      <c r="C2464" s="2" t="s">
        <v>2365</v>
      </c>
      <c r="D2464" t="s">
        <v>15</v>
      </c>
      <c r="E2464" s="5">
        <v>7770</v>
      </c>
      <c r="F2464" s="3">
        <v>7770</v>
      </c>
      <c r="G2464" s="3">
        <v>5439</v>
      </c>
      <c r="I2464" s="2" t="s">
        <v>2038</v>
      </c>
      <c r="J2464" s="2" t="s">
        <v>2039</v>
      </c>
      <c r="K2464" t="s">
        <v>18</v>
      </c>
      <c r="L2464" t="str">
        <f>T("9791173015939")</f>
        <v>9791173015939</v>
      </c>
      <c r="M2464" t="str">
        <f t="shared" si="107"/>
        <v/>
      </c>
    </row>
    <row r="2465" spans="1:14">
      <c r="A2465" s="1">
        <v>46072.100474537037</v>
      </c>
      <c r="B2465">
        <v>379511327</v>
      </c>
      <c r="C2465" s="2" t="s">
        <v>262</v>
      </c>
      <c r="D2465" t="s">
        <v>15</v>
      </c>
      <c r="E2465" s="5">
        <v>3300</v>
      </c>
      <c r="F2465" s="3">
        <v>3300</v>
      </c>
      <c r="G2465" s="3">
        <v>2310</v>
      </c>
      <c r="I2465" s="2" t="s">
        <v>263</v>
      </c>
      <c r="J2465" s="2" t="s">
        <v>126</v>
      </c>
      <c r="K2465" t="s">
        <v>18</v>
      </c>
      <c r="L2465" t="str">
        <f>T("9791171502875")</f>
        <v>9791171502875</v>
      </c>
      <c r="M2465" t="str">
        <f t="shared" si="107"/>
        <v/>
      </c>
      <c r="N2465" t="s">
        <v>264</v>
      </c>
    </row>
    <row r="2466" spans="1:14">
      <c r="A2466" s="1">
        <v>46072.301469907405</v>
      </c>
      <c r="B2466">
        <v>386057128</v>
      </c>
      <c r="C2466" s="2" t="s">
        <v>1797</v>
      </c>
      <c r="D2466" t="s">
        <v>15</v>
      </c>
      <c r="E2466" s="5">
        <v>16800</v>
      </c>
      <c r="F2466" s="3">
        <v>16800</v>
      </c>
      <c r="G2466" s="3">
        <v>11760</v>
      </c>
      <c r="I2466" s="2" t="s">
        <v>540</v>
      </c>
      <c r="J2466" s="2" t="s">
        <v>197</v>
      </c>
      <c r="K2466" t="s">
        <v>18</v>
      </c>
      <c r="L2466" t="str">
        <f>T("9791164098934")</f>
        <v>9791164098934</v>
      </c>
      <c r="M2466" t="str">
        <f t="shared" si="107"/>
        <v/>
      </c>
    </row>
    <row r="2467" spans="1:14">
      <c r="A2467" s="1">
        <v>46072.336956018517</v>
      </c>
      <c r="B2467">
        <v>360411017</v>
      </c>
      <c r="C2467" s="2" t="s">
        <v>2016</v>
      </c>
      <c r="D2467" t="s">
        <v>15</v>
      </c>
      <c r="E2467" s="5">
        <v>1000</v>
      </c>
      <c r="F2467" s="3">
        <v>1000</v>
      </c>
      <c r="G2467" s="2">
        <v>700</v>
      </c>
      <c r="I2467" s="2" t="s">
        <v>2017</v>
      </c>
      <c r="J2467" s="2" t="s">
        <v>21</v>
      </c>
      <c r="K2467" t="s">
        <v>18</v>
      </c>
      <c r="L2467" t="str">
        <f>T("9791173013126")</f>
        <v>9791173013126</v>
      </c>
      <c r="M2467" t="str">
        <f t="shared" si="107"/>
        <v/>
      </c>
      <c r="N2467" t="s">
        <v>2018</v>
      </c>
    </row>
    <row r="2468" spans="1:14">
      <c r="A2468" s="1">
        <v>46072.466099537036</v>
      </c>
      <c r="B2468">
        <v>304630794</v>
      </c>
      <c r="C2468" s="2" t="s">
        <v>2512</v>
      </c>
      <c r="D2468" t="s">
        <v>68</v>
      </c>
      <c r="E2468" s="4">
        <v>900</v>
      </c>
      <c r="F2468" s="2">
        <v>900</v>
      </c>
      <c r="G2468" s="2">
        <v>630</v>
      </c>
      <c r="I2468" s="2" t="s">
        <v>1749</v>
      </c>
      <c r="J2468" s="2" t="s">
        <v>245</v>
      </c>
      <c r="K2468" t="s">
        <v>18</v>
      </c>
      <c r="L2468" t="str">
        <f>T("9791166007811")</f>
        <v>9791166007811</v>
      </c>
      <c r="M2468" t="str">
        <f t="shared" si="107"/>
        <v/>
      </c>
      <c r="N2468" t="s">
        <v>2513</v>
      </c>
    </row>
    <row r="2469" spans="1:14">
      <c r="A2469" s="1">
        <v>46072.466689814813</v>
      </c>
      <c r="B2469">
        <v>369727891</v>
      </c>
      <c r="C2469" s="2" t="s">
        <v>1173</v>
      </c>
      <c r="D2469" t="s">
        <v>15</v>
      </c>
      <c r="E2469" s="5">
        <v>1000</v>
      </c>
      <c r="F2469" s="3">
        <v>1000</v>
      </c>
      <c r="G2469" s="2">
        <v>700</v>
      </c>
      <c r="I2469" s="2" t="s">
        <v>487</v>
      </c>
      <c r="J2469" s="2" t="s">
        <v>21</v>
      </c>
      <c r="K2469" t="s">
        <v>18</v>
      </c>
      <c r="L2469" t="str">
        <f>T("9791173016325")</f>
        <v>9791173016325</v>
      </c>
      <c r="M2469" t="str">
        <f t="shared" si="107"/>
        <v/>
      </c>
      <c r="N2469" t="s">
        <v>1174</v>
      </c>
    </row>
    <row r="2470" spans="1:14">
      <c r="A2470" s="1">
        <v>46072.470833333333</v>
      </c>
      <c r="B2470">
        <v>370130223</v>
      </c>
      <c r="C2470" s="2" t="s">
        <v>597</v>
      </c>
      <c r="D2470" t="s">
        <v>15</v>
      </c>
      <c r="E2470" s="4">
        <v>0</v>
      </c>
      <c r="F2470" s="2">
        <v>0</v>
      </c>
      <c r="G2470" s="2">
        <v>0</v>
      </c>
      <c r="I2470" s="2" t="s">
        <v>135</v>
      </c>
      <c r="J2470" s="2" t="s">
        <v>65</v>
      </c>
      <c r="K2470" t="s">
        <v>18</v>
      </c>
      <c r="L2470" t="str">
        <f>T("9791137019553")</f>
        <v>9791137019553</v>
      </c>
      <c r="M2470" t="str">
        <f t="shared" si="107"/>
        <v/>
      </c>
      <c r="N2470" t="s">
        <v>598</v>
      </c>
    </row>
    <row r="2471" spans="1:14">
      <c r="A2471" s="1">
        <v>46072.53696759259</v>
      </c>
      <c r="B2471">
        <v>386057282</v>
      </c>
      <c r="C2471" s="2" t="s">
        <v>1534</v>
      </c>
      <c r="D2471" t="s">
        <v>68</v>
      </c>
      <c r="E2471" s="5">
        <v>12500</v>
      </c>
      <c r="F2471" s="3">
        <v>12500</v>
      </c>
      <c r="G2471" s="3">
        <v>8750</v>
      </c>
      <c r="I2471" s="2" t="s">
        <v>1535</v>
      </c>
      <c r="J2471" s="2" t="s">
        <v>1536</v>
      </c>
      <c r="K2471" t="s">
        <v>18</v>
      </c>
      <c r="L2471" t="str">
        <f>T("9791189257323")</f>
        <v>9791189257323</v>
      </c>
      <c r="M2471" t="str">
        <f t="shared" si="107"/>
        <v/>
      </c>
    </row>
    <row r="2472" spans="1:14">
      <c r="A2472" s="1">
        <v>46072.564571759256</v>
      </c>
      <c r="B2472">
        <v>379511327</v>
      </c>
      <c r="C2472" s="2" t="s">
        <v>262</v>
      </c>
      <c r="D2472" t="s">
        <v>15</v>
      </c>
      <c r="E2472" s="5">
        <v>3300</v>
      </c>
      <c r="F2472" s="3">
        <v>3300</v>
      </c>
      <c r="G2472" s="3">
        <v>2310</v>
      </c>
      <c r="I2472" s="2" t="s">
        <v>263</v>
      </c>
      <c r="J2472" s="2" t="s">
        <v>126</v>
      </c>
      <c r="K2472" t="s">
        <v>18</v>
      </c>
      <c r="L2472" t="str">
        <f>T("9791171502875")</f>
        <v>9791171502875</v>
      </c>
      <c r="M2472" t="str">
        <f t="shared" si="107"/>
        <v/>
      </c>
      <c r="N2472" t="s">
        <v>264</v>
      </c>
    </row>
    <row r="2473" spans="1:14">
      <c r="A2473" s="1">
        <v>46072.568402777775</v>
      </c>
      <c r="B2473">
        <v>385373316</v>
      </c>
      <c r="C2473" s="2" t="s">
        <v>387</v>
      </c>
      <c r="D2473" t="s">
        <v>15</v>
      </c>
      <c r="E2473" s="4">
        <v>0</v>
      </c>
      <c r="F2473" s="2">
        <v>0</v>
      </c>
      <c r="G2473" s="2">
        <v>0</v>
      </c>
      <c r="I2473" s="2" t="s">
        <v>388</v>
      </c>
      <c r="J2473" s="2" t="s">
        <v>290</v>
      </c>
      <c r="K2473" t="s">
        <v>18</v>
      </c>
      <c r="L2473" t="str">
        <f>T("9791194982036")</f>
        <v>9791194982036</v>
      </c>
      <c r="M2473" t="str">
        <f t="shared" si="107"/>
        <v/>
      </c>
      <c r="N2473" t="s">
        <v>389</v>
      </c>
    </row>
    <row r="2474" spans="1:14">
      <c r="A2474" s="1">
        <v>46072.641585648147</v>
      </c>
      <c r="B2474">
        <v>257484947</v>
      </c>
      <c r="C2474" s="2" t="s">
        <v>1771</v>
      </c>
      <c r="D2474" t="s">
        <v>15</v>
      </c>
      <c r="E2474" s="4">
        <v>0</v>
      </c>
      <c r="F2474" s="2">
        <v>0</v>
      </c>
      <c r="G2474" s="2">
        <v>0</v>
      </c>
      <c r="I2474" s="2" t="s">
        <v>1772</v>
      </c>
      <c r="J2474" s="2" t="s">
        <v>197</v>
      </c>
      <c r="K2474" t="s">
        <v>18</v>
      </c>
      <c r="L2474" t="str">
        <f>T("9791164093090")</f>
        <v>9791164093090</v>
      </c>
      <c r="M2474" t="str">
        <f t="shared" si="107"/>
        <v/>
      </c>
      <c r="N2474" t="s">
        <v>1773</v>
      </c>
    </row>
    <row r="2475" spans="1:14">
      <c r="A2475" s="1">
        <v>46072.641701388886</v>
      </c>
      <c r="B2475">
        <v>385373222</v>
      </c>
      <c r="C2475" s="2" t="s">
        <v>390</v>
      </c>
      <c r="D2475" t="s">
        <v>15</v>
      </c>
      <c r="E2475" s="4">
        <v>0</v>
      </c>
      <c r="F2475" s="2">
        <v>0</v>
      </c>
      <c r="G2475" s="2">
        <v>0</v>
      </c>
      <c r="I2475" s="2" t="s">
        <v>391</v>
      </c>
      <c r="J2475" s="2" t="s">
        <v>65</v>
      </c>
      <c r="K2475" t="s">
        <v>18</v>
      </c>
      <c r="L2475" t="str">
        <f>T("")</f>
        <v/>
      </c>
      <c r="M2475" t="str">
        <f>T("G720:N+A319-20251203027.M001")</f>
        <v>G720:N+A319-20251203027.M001</v>
      </c>
      <c r="N2475" t="s">
        <v>392</v>
      </c>
    </row>
    <row r="2476" spans="1:14">
      <c r="A2476" s="1">
        <v>46072.656192129631</v>
      </c>
      <c r="B2476">
        <v>327615040</v>
      </c>
      <c r="C2476" s="2" t="s">
        <v>1798</v>
      </c>
      <c r="D2476" t="s">
        <v>15</v>
      </c>
      <c r="E2476" s="4">
        <v>0</v>
      </c>
      <c r="F2476" s="2">
        <v>0</v>
      </c>
      <c r="G2476" s="2">
        <v>0</v>
      </c>
      <c r="I2476" s="2" t="s">
        <v>1682</v>
      </c>
      <c r="J2476" s="2" t="s">
        <v>197</v>
      </c>
      <c r="K2476" t="s">
        <v>18</v>
      </c>
      <c r="L2476" t="str">
        <f>T("9791164097678")</f>
        <v>9791164097678</v>
      </c>
      <c r="M2476" t="str">
        <f>T("")</f>
        <v/>
      </c>
      <c r="N2476" t="s">
        <v>1799</v>
      </c>
    </row>
    <row r="2477" spans="1:14">
      <c r="A2477" s="1">
        <v>46072.659837962965</v>
      </c>
      <c r="B2477">
        <v>367000711</v>
      </c>
      <c r="C2477" s="2" t="s">
        <v>811</v>
      </c>
      <c r="D2477" t="s">
        <v>15</v>
      </c>
      <c r="E2477" s="5">
        <v>1000</v>
      </c>
      <c r="F2477" s="3">
        <v>1000</v>
      </c>
      <c r="G2477" s="2">
        <v>700</v>
      </c>
      <c r="I2477" s="2" t="s">
        <v>41</v>
      </c>
      <c r="J2477" s="2" t="s">
        <v>21</v>
      </c>
      <c r="K2477" t="s">
        <v>18</v>
      </c>
      <c r="L2477" t="str">
        <f>T("9791173016073")</f>
        <v>9791173016073</v>
      </c>
      <c r="M2477" t="str">
        <f>T("")</f>
        <v/>
      </c>
      <c r="N2477" t="s">
        <v>812</v>
      </c>
    </row>
    <row r="2478" spans="1:14">
      <c r="A2478" s="1">
        <v>46072.659837962965</v>
      </c>
      <c r="B2478">
        <v>370351614</v>
      </c>
      <c r="C2478" s="2" t="s">
        <v>1427</v>
      </c>
      <c r="D2478" t="s">
        <v>15</v>
      </c>
      <c r="E2478" s="5">
        <v>1000</v>
      </c>
      <c r="F2478" s="3">
        <v>1000</v>
      </c>
      <c r="G2478" s="2">
        <v>700</v>
      </c>
      <c r="I2478" s="2" t="s">
        <v>41</v>
      </c>
      <c r="J2478" s="2" t="s">
        <v>21</v>
      </c>
      <c r="K2478" t="s">
        <v>18</v>
      </c>
      <c r="L2478" t="str">
        <f>T("9791173017759")</f>
        <v>9791173017759</v>
      </c>
      <c r="M2478" t="str">
        <f>T("")</f>
        <v/>
      </c>
      <c r="N2478" t="s">
        <v>1428</v>
      </c>
    </row>
    <row r="2479" spans="1:14">
      <c r="A2479" s="1">
        <v>46072.659837962965</v>
      </c>
      <c r="B2479">
        <v>368123504</v>
      </c>
      <c r="C2479" s="2" t="s">
        <v>1425</v>
      </c>
      <c r="D2479" t="s">
        <v>15</v>
      </c>
      <c r="E2479" s="5">
        <v>1000</v>
      </c>
      <c r="F2479" s="3">
        <v>1000</v>
      </c>
      <c r="G2479" s="2">
        <v>700</v>
      </c>
      <c r="I2479" s="2" t="s">
        <v>41</v>
      </c>
      <c r="J2479" s="2" t="s">
        <v>21</v>
      </c>
      <c r="K2479" t="s">
        <v>18</v>
      </c>
      <c r="L2479" t="str">
        <f>T("9791173017179")</f>
        <v>9791173017179</v>
      </c>
      <c r="M2479" t="str">
        <f>T("")</f>
        <v/>
      </c>
      <c r="N2479" t="s">
        <v>1426</v>
      </c>
    </row>
    <row r="2480" spans="1:14">
      <c r="A2480" s="1">
        <v>46072.67564814815</v>
      </c>
      <c r="B2480">
        <v>276483565</v>
      </c>
      <c r="C2480" s="2" t="s">
        <v>1864</v>
      </c>
      <c r="D2480" t="s">
        <v>15</v>
      </c>
      <c r="E2480" s="4">
        <v>0</v>
      </c>
      <c r="F2480" s="2">
        <v>0</v>
      </c>
      <c r="G2480" s="2">
        <v>0</v>
      </c>
      <c r="I2480" s="2" t="s">
        <v>1610</v>
      </c>
      <c r="J2480" s="2" t="s">
        <v>197</v>
      </c>
      <c r="K2480" t="s">
        <v>18</v>
      </c>
      <c r="L2480" t="str">
        <f>T("9791164095322")</f>
        <v>9791164095322</v>
      </c>
      <c r="M2480" t="str">
        <f>T("")</f>
        <v/>
      </c>
      <c r="N2480" t="s">
        <v>1865</v>
      </c>
    </row>
    <row r="2481" spans="1:14">
      <c r="A2481" s="1">
        <v>46072.69908564815</v>
      </c>
      <c r="B2481">
        <v>385852477</v>
      </c>
      <c r="C2481" s="2" t="s">
        <v>1329</v>
      </c>
      <c r="D2481" t="s">
        <v>68</v>
      </c>
      <c r="E2481" s="4">
        <v>900</v>
      </c>
      <c r="F2481" s="2">
        <v>900</v>
      </c>
      <c r="G2481" s="2">
        <v>630</v>
      </c>
      <c r="I2481" s="2" t="s">
        <v>1229</v>
      </c>
      <c r="J2481" s="2" t="s">
        <v>960</v>
      </c>
      <c r="K2481" t="s">
        <v>18</v>
      </c>
      <c r="L2481" t="str">
        <f>T("")</f>
        <v/>
      </c>
      <c r="M2481" t="str">
        <f>T("G720:N+A378-20260112081.M002")</f>
        <v>G720:N+A378-20260112081.M002</v>
      </c>
      <c r="N2481" t="s">
        <v>1330</v>
      </c>
    </row>
    <row r="2482" spans="1:14">
      <c r="A2482" s="1">
        <v>46072.69908564815</v>
      </c>
      <c r="B2482">
        <v>385852480</v>
      </c>
      <c r="C2482" s="2" t="s">
        <v>1337</v>
      </c>
      <c r="D2482" t="s">
        <v>68</v>
      </c>
      <c r="E2482" s="4">
        <v>900</v>
      </c>
      <c r="F2482" s="2">
        <v>900</v>
      </c>
      <c r="G2482" s="2">
        <v>630</v>
      </c>
      <c r="I2482" s="2" t="s">
        <v>1229</v>
      </c>
      <c r="J2482" s="2" t="s">
        <v>960</v>
      </c>
      <c r="K2482" t="s">
        <v>18</v>
      </c>
      <c r="L2482" t="str">
        <f>T("")</f>
        <v/>
      </c>
      <c r="M2482" t="str">
        <f>T("G720:N+A378-20260112081.M003")</f>
        <v>G720:N+A378-20260112081.M003</v>
      </c>
      <c r="N2482" t="s">
        <v>1338</v>
      </c>
    </row>
    <row r="2483" spans="1:14">
      <c r="A2483" s="1">
        <v>46072.720752314817</v>
      </c>
      <c r="B2483">
        <v>383283000</v>
      </c>
      <c r="C2483" s="2" t="s">
        <v>40</v>
      </c>
      <c r="D2483" t="s">
        <v>15</v>
      </c>
      <c r="E2483" s="5">
        <v>1000</v>
      </c>
      <c r="F2483" s="3">
        <v>1000</v>
      </c>
      <c r="G2483" s="2">
        <v>700</v>
      </c>
      <c r="I2483" s="2" t="s">
        <v>41</v>
      </c>
      <c r="J2483" s="2" t="s">
        <v>21</v>
      </c>
      <c r="K2483" t="s">
        <v>18</v>
      </c>
      <c r="L2483" t="str">
        <f>T("9791175582132")</f>
        <v>9791175582132</v>
      </c>
      <c r="M2483" t="str">
        <f t="shared" ref="M2483:M2514" si="108">T("")</f>
        <v/>
      </c>
      <c r="N2483" t="s">
        <v>42</v>
      </c>
    </row>
    <row r="2484" spans="1:14">
      <c r="A2484" s="1">
        <v>46072.743344907409</v>
      </c>
      <c r="B2484">
        <v>386057277</v>
      </c>
      <c r="C2484" s="2" t="s">
        <v>1609</v>
      </c>
      <c r="D2484" t="s">
        <v>68</v>
      </c>
      <c r="E2484" s="5">
        <v>3750</v>
      </c>
      <c r="F2484" s="3">
        <v>3750</v>
      </c>
      <c r="G2484" s="3">
        <v>2625</v>
      </c>
      <c r="I2484" s="2" t="s">
        <v>1610</v>
      </c>
      <c r="J2484" s="2" t="s">
        <v>197</v>
      </c>
      <c r="K2484" t="s">
        <v>18</v>
      </c>
      <c r="L2484" t="str">
        <f>T("9791164095315")</f>
        <v>9791164095315</v>
      </c>
      <c r="M2484" t="str">
        <f t="shared" si="108"/>
        <v/>
      </c>
    </row>
    <row r="2485" spans="1:14">
      <c r="A2485" s="1">
        <v>46072.762824074074</v>
      </c>
      <c r="B2485">
        <v>371345723</v>
      </c>
      <c r="C2485" s="2" t="s">
        <v>525</v>
      </c>
      <c r="D2485" t="s">
        <v>15</v>
      </c>
      <c r="E2485" s="5">
        <v>3300</v>
      </c>
      <c r="F2485" s="3">
        <v>2970</v>
      </c>
      <c r="G2485" s="3">
        <v>2079</v>
      </c>
      <c r="I2485" s="2" t="s">
        <v>196</v>
      </c>
      <c r="J2485" s="2" t="s">
        <v>197</v>
      </c>
      <c r="K2485" t="s">
        <v>18</v>
      </c>
      <c r="L2485" t="str">
        <f>T("9791172821692")</f>
        <v>9791172821692</v>
      </c>
      <c r="M2485" t="str">
        <f t="shared" si="108"/>
        <v/>
      </c>
      <c r="N2485" t="s">
        <v>526</v>
      </c>
    </row>
    <row r="2486" spans="1:14">
      <c r="A2486" s="1">
        <v>46072.766111111108</v>
      </c>
      <c r="B2486">
        <v>349170173</v>
      </c>
      <c r="C2486" s="2" t="s">
        <v>2514</v>
      </c>
      <c r="D2486" t="s">
        <v>15</v>
      </c>
      <c r="E2486" s="5">
        <v>3000</v>
      </c>
      <c r="F2486" s="3">
        <v>3000</v>
      </c>
      <c r="G2486" s="3">
        <v>2100</v>
      </c>
      <c r="I2486" s="2" t="s">
        <v>2515</v>
      </c>
      <c r="J2486" s="2" t="s">
        <v>197</v>
      </c>
      <c r="K2486" t="s">
        <v>18</v>
      </c>
      <c r="L2486" t="str">
        <f>T("9791172820022")</f>
        <v>9791172820022</v>
      </c>
      <c r="M2486" t="str">
        <f t="shared" si="108"/>
        <v/>
      </c>
      <c r="N2486" t="s">
        <v>2516</v>
      </c>
    </row>
    <row r="2487" spans="1:14">
      <c r="A2487" s="1">
        <v>46072.824687499997</v>
      </c>
      <c r="B2487">
        <v>370129990</v>
      </c>
      <c r="C2487" s="2" t="s">
        <v>2517</v>
      </c>
      <c r="D2487" t="s">
        <v>15</v>
      </c>
      <c r="E2487" s="5">
        <v>3600</v>
      </c>
      <c r="F2487" s="3">
        <v>3600</v>
      </c>
      <c r="G2487" s="3">
        <v>2520</v>
      </c>
      <c r="I2487" s="2" t="s">
        <v>135</v>
      </c>
      <c r="J2487" s="2" t="s">
        <v>65</v>
      </c>
      <c r="K2487" t="s">
        <v>18</v>
      </c>
      <c r="L2487" t="str">
        <f>T("9791137020627")</f>
        <v>9791137020627</v>
      </c>
      <c r="M2487" t="str">
        <f t="shared" si="108"/>
        <v/>
      </c>
      <c r="N2487" t="s">
        <v>2518</v>
      </c>
    </row>
    <row r="2488" spans="1:14">
      <c r="A2488" s="1">
        <v>46072.824687499997</v>
      </c>
      <c r="B2488">
        <v>370130242</v>
      </c>
      <c r="C2488" s="2" t="s">
        <v>2519</v>
      </c>
      <c r="D2488" t="s">
        <v>15</v>
      </c>
      <c r="E2488" s="5">
        <v>3600</v>
      </c>
      <c r="F2488" s="3">
        <v>3600</v>
      </c>
      <c r="G2488" s="3">
        <v>2520</v>
      </c>
      <c r="I2488" s="2" t="s">
        <v>135</v>
      </c>
      <c r="J2488" s="2" t="s">
        <v>65</v>
      </c>
      <c r="K2488" t="s">
        <v>18</v>
      </c>
      <c r="L2488" t="str">
        <f>T("9791137020634")</f>
        <v>9791137020634</v>
      </c>
      <c r="M2488" t="str">
        <f t="shared" si="108"/>
        <v/>
      </c>
      <c r="N2488" t="s">
        <v>2520</v>
      </c>
    </row>
    <row r="2489" spans="1:14">
      <c r="A2489" s="1">
        <v>46072.824687499997</v>
      </c>
      <c r="B2489">
        <v>370130012</v>
      </c>
      <c r="C2489" s="2" t="s">
        <v>2521</v>
      </c>
      <c r="D2489" t="s">
        <v>15</v>
      </c>
      <c r="E2489" s="5">
        <v>3600</v>
      </c>
      <c r="F2489" s="3">
        <v>3600</v>
      </c>
      <c r="G2489" s="3">
        <v>2520</v>
      </c>
      <c r="I2489" s="2" t="s">
        <v>135</v>
      </c>
      <c r="J2489" s="2" t="s">
        <v>65</v>
      </c>
      <c r="K2489" t="s">
        <v>18</v>
      </c>
      <c r="L2489" t="str">
        <f>T("9791137020641")</f>
        <v>9791137020641</v>
      </c>
      <c r="M2489" t="str">
        <f t="shared" si="108"/>
        <v/>
      </c>
      <c r="N2489" t="s">
        <v>2522</v>
      </c>
    </row>
    <row r="2490" spans="1:14">
      <c r="A2490" s="1">
        <v>46072.824687499997</v>
      </c>
      <c r="B2490">
        <v>370130004</v>
      </c>
      <c r="C2490" s="2" t="s">
        <v>2523</v>
      </c>
      <c r="D2490" t="s">
        <v>15</v>
      </c>
      <c r="E2490" s="5">
        <v>3600</v>
      </c>
      <c r="F2490" s="3">
        <v>3600</v>
      </c>
      <c r="G2490" s="3">
        <v>2520</v>
      </c>
      <c r="I2490" s="2" t="s">
        <v>135</v>
      </c>
      <c r="J2490" s="2" t="s">
        <v>65</v>
      </c>
      <c r="K2490" t="s">
        <v>18</v>
      </c>
      <c r="L2490" t="str">
        <f>T("9791137020658")</f>
        <v>9791137020658</v>
      </c>
      <c r="M2490" t="str">
        <f t="shared" si="108"/>
        <v/>
      </c>
      <c r="N2490" t="s">
        <v>2524</v>
      </c>
    </row>
    <row r="2491" spans="1:14">
      <c r="A2491" s="1">
        <v>46072.825023148151</v>
      </c>
      <c r="B2491">
        <v>319237506</v>
      </c>
      <c r="C2491" s="2" t="s">
        <v>2525</v>
      </c>
      <c r="D2491" t="s">
        <v>15</v>
      </c>
      <c r="E2491" s="5">
        <v>3000</v>
      </c>
      <c r="F2491" s="3">
        <v>3000</v>
      </c>
      <c r="G2491" s="3">
        <v>2100</v>
      </c>
      <c r="I2491" s="2" t="s">
        <v>196</v>
      </c>
      <c r="J2491" s="2" t="s">
        <v>126</v>
      </c>
      <c r="K2491" t="s">
        <v>18</v>
      </c>
      <c r="L2491" t="str">
        <f>T("9791164978281")</f>
        <v>9791164978281</v>
      </c>
      <c r="M2491" t="str">
        <f t="shared" si="108"/>
        <v/>
      </c>
      <c r="N2491" t="s">
        <v>2526</v>
      </c>
    </row>
    <row r="2492" spans="1:14">
      <c r="A2492" s="1">
        <v>46072.845104166663</v>
      </c>
      <c r="B2492">
        <v>386057128</v>
      </c>
      <c r="C2492" s="2" t="s">
        <v>1797</v>
      </c>
      <c r="D2492" t="s">
        <v>15</v>
      </c>
      <c r="E2492" s="5">
        <v>16800</v>
      </c>
      <c r="F2492" s="3">
        <v>16800</v>
      </c>
      <c r="G2492" s="3">
        <v>11760</v>
      </c>
      <c r="I2492" s="2" t="s">
        <v>540</v>
      </c>
      <c r="J2492" s="2" t="s">
        <v>197</v>
      </c>
      <c r="K2492" t="s">
        <v>18</v>
      </c>
      <c r="L2492" t="str">
        <f>T("9791164098934")</f>
        <v>9791164098934</v>
      </c>
      <c r="M2492" t="str">
        <f t="shared" si="108"/>
        <v/>
      </c>
    </row>
    <row r="2493" spans="1:14">
      <c r="A2493" s="1">
        <v>46072.859444444446</v>
      </c>
      <c r="B2493">
        <v>386057128</v>
      </c>
      <c r="C2493" s="2" t="s">
        <v>1797</v>
      </c>
      <c r="D2493" t="s">
        <v>15</v>
      </c>
      <c r="E2493" s="5">
        <v>16800</v>
      </c>
      <c r="F2493" s="3">
        <v>16800</v>
      </c>
      <c r="G2493" s="3">
        <v>11760</v>
      </c>
      <c r="I2493" s="2" t="s">
        <v>540</v>
      </c>
      <c r="J2493" s="2" t="s">
        <v>197</v>
      </c>
      <c r="K2493" t="s">
        <v>18</v>
      </c>
      <c r="L2493" t="str">
        <f>T("9791164098934")</f>
        <v>9791164098934</v>
      </c>
      <c r="M2493" t="str">
        <f t="shared" si="108"/>
        <v/>
      </c>
    </row>
    <row r="2494" spans="1:14">
      <c r="A2494" s="1">
        <v>46072.859525462962</v>
      </c>
      <c r="B2494">
        <v>385373286</v>
      </c>
      <c r="C2494" s="2" t="s">
        <v>384</v>
      </c>
      <c r="D2494" t="s">
        <v>15</v>
      </c>
      <c r="E2494" s="4">
        <v>0</v>
      </c>
      <c r="F2494" s="2">
        <v>0</v>
      </c>
      <c r="G2494" s="2">
        <v>0</v>
      </c>
      <c r="I2494" s="2" t="s">
        <v>385</v>
      </c>
      <c r="J2494" s="2" t="s">
        <v>290</v>
      </c>
      <c r="K2494" t="s">
        <v>18</v>
      </c>
      <c r="L2494" t="str">
        <f>T("9791194982302")</f>
        <v>9791194982302</v>
      </c>
      <c r="M2494" t="str">
        <f t="shared" si="108"/>
        <v/>
      </c>
      <c r="N2494" t="s">
        <v>386</v>
      </c>
    </row>
    <row r="2495" spans="1:14">
      <c r="A2495" s="1">
        <v>46072.868750000001</v>
      </c>
      <c r="B2495">
        <v>374549946</v>
      </c>
      <c r="C2495" s="2" t="s">
        <v>2527</v>
      </c>
      <c r="D2495" t="s">
        <v>15</v>
      </c>
      <c r="E2495" s="5">
        <v>1000</v>
      </c>
      <c r="F2495" s="3">
        <v>1000</v>
      </c>
      <c r="G2495" s="2">
        <v>700</v>
      </c>
      <c r="I2495" s="2" t="s">
        <v>233</v>
      </c>
      <c r="J2495" s="2" t="s">
        <v>55</v>
      </c>
      <c r="K2495" t="s">
        <v>18</v>
      </c>
      <c r="L2495" t="str">
        <f>T("9791173017872")</f>
        <v>9791173017872</v>
      </c>
      <c r="M2495" t="str">
        <f t="shared" si="108"/>
        <v/>
      </c>
      <c r="N2495" t="s">
        <v>2528</v>
      </c>
    </row>
    <row r="2496" spans="1:14">
      <c r="A2496" s="1">
        <v>46072.879814814813</v>
      </c>
      <c r="B2496">
        <v>212448126</v>
      </c>
      <c r="C2496" s="2" t="s">
        <v>2529</v>
      </c>
      <c r="D2496" t="s">
        <v>68</v>
      </c>
      <c r="E2496" s="4">
        <v>900</v>
      </c>
      <c r="F2496" s="2">
        <v>900</v>
      </c>
      <c r="G2496" s="2">
        <v>630</v>
      </c>
      <c r="I2496" s="2" t="s">
        <v>2463</v>
      </c>
      <c r="J2496" s="2" t="s">
        <v>65</v>
      </c>
      <c r="K2496" t="s">
        <v>18</v>
      </c>
      <c r="L2496" t="str">
        <f>T("9791162589243")</f>
        <v>9791162589243</v>
      </c>
      <c r="M2496" t="str">
        <f t="shared" si="108"/>
        <v/>
      </c>
    </row>
    <row r="2497" spans="1:14">
      <c r="A2497" s="1">
        <v>46072.879814814813</v>
      </c>
      <c r="B2497">
        <v>212448127</v>
      </c>
      <c r="C2497" s="2" t="s">
        <v>2530</v>
      </c>
      <c r="D2497" t="s">
        <v>68</v>
      </c>
      <c r="E2497" s="4">
        <v>900</v>
      </c>
      <c r="F2497" s="2">
        <v>900</v>
      </c>
      <c r="G2497" s="2">
        <v>630</v>
      </c>
      <c r="I2497" s="2" t="s">
        <v>2463</v>
      </c>
      <c r="J2497" s="2" t="s">
        <v>65</v>
      </c>
      <c r="K2497" t="s">
        <v>18</v>
      </c>
      <c r="L2497" t="str">
        <f>T("9791162589250")</f>
        <v>9791162589250</v>
      </c>
      <c r="M2497" t="str">
        <f t="shared" si="108"/>
        <v/>
      </c>
    </row>
    <row r="2498" spans="1:14">
      <c r="A2498" s="1">
        <v>46072.894953703704</v>
      </c>
      <c r="B2498">
        <v>276483565</v>
      </c>
      <c r="C2498" s="2" t="s">
        <v>1864</v>
      </c>
      <c r="D2498" t="s">
        <v>15</v>
      </c>
      <c r="E2498" s="4">
        <v>0</v>
      </c>
      <c r="F2498" s="2">
        <v>0</v>
      </c>
      <c r="G2498" s="2">
        <v>0</v>
      </c>
      <c r="I2498" s="2" t="s">
        <v>1610</v>
      </c>
      <c r="J2498" s="2" t="s">
        <v>197</v>
      </c>
      <c r="K2498" t="s">
        <v>18</v>
      </c>
      <c r="L2498" t="str">
        <f>T("9791164095322")</f>
        <v>9791164095322</v>
      </c>
      <c r="M2498" t="str">
        <f t="shared" si="108"/>
        <v/>
      </c>
      <c r="N2498" t="s">
        <v>1865</v>
      </c>
    </row>
    <row r="2499" spans="1:14">
      <c r="A2499" s="1">
        <v>46072.911597222221</v>
      </c>
      <c r="B2499">
        <v>379511327</v>
      </c>
      <c r="C2499" s="2" t="s">
        <v>262</v>
      </c>
      <c r="D2499" t="s">
        <v>15</v>
      </c>
      <c r="E2499" s="5">
        <v>3300</v>
      </c>
      <c r="F2499" s="3">
        <v>3300</v>
      </c>
      <c r="G2499" s="3">
        <v>2310</v>
      </c>
      <c r="I2499" s="2" t="s">
        <v>263</v>
      </c>
      <c r="J2499" s="2" t="s">
        <v>126</v>
      </c>
      <c r="K2499" t="s">
        <v>18</v>
      </c>
      <c r="L2499" t="str">
        <f>T("9791171502875")</f>
        <v>9791171502875</v>
      </c>
      <c r="M2499" t="str">
        <f t="shared" si="108"/>
        <v/>
      </c>
      <c r="N2499" t="s">
        <v>264</v>
      </c>
    </row>
    <row r="2500" spans="1:14">
      <c r="A2500" s="1">
        <v>46072.956608796296</v>
      </c>
      <c r="B2500">
        <v>336198022</v>
      </c>
      <c r="C2500" s="2" t="s">
        <v>544</v>
      </c>
      <c r="D2500" t="s">
        <v>15</v>
      </c>
      <c r="E2500" s="4">
        <v>0</v>
      </c>
      <c r="F2500" s="2">
        <v>0</v>
      </c>
      <c r="G2500" s="2">
        <v>0</v>
      </c>
      <c r="I2500" s="2" t="s">
        <v>540</v>
      </c>
      <c r="J2500" s="2" t="s">
        <v>197</v>
      </c>
      <c r="K2500" t="s">
        <v>18</v>
      </c>
      <c r="L2500" t="str">
        <f>T("9791164098859")</f>
        <v>9791164098859</v>
      </c>
      <c r="M2500" t="str">
        <f t="shared" si="108"/>
        <v/>
      </c>
      <c r="N2500" t="s">
        <v>545</v>
      </c>
    </row>
    <row r="2501" spans="1:14">
      <c r="A2501" s="1">
        <v>46072.956990740742</v>
      </c>
      <c r="B2501">
        <v>386057278</v>
      </c>
      <c r="C2501" s="2" t="s">
        <v>1806</v>
      </c>
      <c r="D2501" t="s">
        <v>68</v>
      </c>
      <c r="E2501" s="5">
        <v>5000</v>
      </c>
      <c r="F2501" s="3">
        <v>5000</v>
      </c>
      <c r="G2501" s="3">
        <v>3500</v>
      </c>
      <c r="I2501" s="2" t="s">
        <v>1772</v>
      </c>
      <c r="J2501" s="2" t="s">
        <v>197</v>
      </c>
      <c r="K2501" t="s">
        <v>18</v>
      </c>
      <c r="L2501" t="str">
        <f>T("9791164093281")</f>
        <v>9791164093281</v>
      </c>
      <c r="M2501" t="str">
        <f t="shared" si="108"/>
        <v/>
      </c>
    </row>
    <row r="2502" spans="1:14">
      <c r="A2502" s="1">
        <v>46073.007210648146</v>
      </c>
      <c r="B2502">
        <v>327615040</v>
      </c>
      <c r="C2502" s="2" t="s">
        <v>1798</v>
      </c>
      <c r="D2502" t="s">
        <v>15</v>
      </c>
      <c r="E2502" s="4">
        <v>0</v>
      </c>
      <c r="F2502" s="2">
        <v>0</v>
      </c>
      <c r="G2502" s="2">
        <v>0</v>
      </c>
      <c r="I2502" s="2" t="s">
        <v>1682</v>
      </c>
      <c r="J2502" s="2" t="s">
        <v>197</v>
      </c>
      <c r="K2502" t="s">
        <v>18</v>
      </c>
      <c r="L2502" t="str">
        <f>T("9791164097678")</f>
        <v>9791164097678</v>
      </c>
      <c r="M2502" t="str">
        <f t="shared" si="108"/>
        <v/>
      </c>
      <c r="N2502" t="s">
        <v>1799</v>
      </c>
    </row>
    <row r="2503" spans="1:14">
      <c r="A2503" s="1">
        <v>46073.038807870369</v>
      </c>
      <c r="B2503">
        <v>318661134</v>
      </c>
      <c r="C2503" s="2" t="s">
        <v>952</v>
      </c>
      <c r="D2503" t="s">
        <v>15</v>
      </c>
      <c r="E2503" s="5">
        <v>9450</v>
      </c>
      <c r="F2503" s="3">
        <v>9450</v>
      </c>
      <c r="G2503" s="3">
        <v>6615</v>
      </c>
      <c r="I2503" s="2" t="s">
        <v>950</v>
      </c>
      <c r="J2503" s="2" t="s">
        <v>184</v>
      </c>
      <c r="K2503" t="s">
        <v>18</v>
      </c>
      <c r="L2503" t="str">
        <f>T("9791164799695")</f>
        <v>9791164799695</v>
      </c>
      <c r="M2503" t="str">
        <f t="shared" si="108"/>
        <v/>
      </c>
      <c r="N2503" t="s">
        <v>953</v>
      </c>
    </row>
    <row r="2504" spans="1:14">
      <c r="A2504" s="1">
        <v>46073.038807870369</v>
      </c>
      <c r="B2504">
        <v>314826769</v>
      </c>
      <c r="C2504" s="2" t="s">
        <v>949</v>
      </c>
      <c r="D2504" t="s">
        <v>15</v>
      </c>
      <c r="E2504" s="5">
        <v>9450</v>
      </c>
      <c r="F2504" s="3">
        <v>9450</v>
      </c>
      <c r="G2504" s="3">
        <v>6615</v>
      </c>
      <c r="I2504" s="2" t="s">
        <v>950</v>
      </c>
      <c r="J2504" s="2" t="s">
        <v>184</v>
      </c>
      <c r="K2504" t="s">
        <v>18</v>
      </c>
      <c r="L2504" t="str">
        <f>T("9791164799121")</f>
        <v>9791164799121</v>
      </c>
      <c r="M2504" t="str">
        <f t="shared" si="108"/>
        <v/>
      </c>
      <c r="N2504" t="s">
        <v>951</v>
      </c>
    </row>
    <row r="2505" spans="1:14">
      <c r="A2505" s="1">
        <v>46073.039340277777</v>
      </c>
      <c r="B2505">
        <v>369728477</v>
      </c>
      <c r="C2505" s="2" t="s">
        <v>2143</v>
      </c>
      <c r="D2505" t="s">
        <v>68</v>
      </c>
      <c r="E2505" s="5">
        <v>3200</v>
      </c>
      <c r="F2505" s="3">
        <v>3200</v>
      </c>
      <c r="G2505" s="3">
        <v>2240</v>
      </c>
      <c r="I2505" s="2" t="s">
        <v>2144</v>
      </c>
      <c r="J2505" s="2" t="s">
        <v>308</v>
      </c>
      <c r="K2505" t="s">
        <v>18</v>
      </c>
      <c r="L2505" t="str">
        <f>T("9791194726913")</f>
        <v>9791194726913</v>
      </c>
      <c r="M2505" t="str">
        <f t="shared" si="108"/>
        <v/>
      </c>
    </row>
    <row r="2506" spans="1:14">
      <c r="A2506" s="1">
        <v>46073.103807870371</v>
      </c>
      <c r="B2506">
        <v>368640530</v>
      </c>
      <c r="C2506" s="2" t="s">
        <v>480</v>
      </c>
      <c r="D2506" t="s">
        <v>15</v>
      </c>
      <c r="E2506" s="5">
        <v>12950</v>
      </c>
      <c r="F2506" s="3">
        <v>12950</v>
      </c>
      <c r="G2506" s="3">
        <v>9065</v>
      </c>
      <c r="I2506" s="2" t="s">
        <v>481</v>
      </c>
      <c r="J2506" s="2" t="s">
        <v>184</v>
      </c>
      <c r="K2506" t="s">
        <v>18</v>
      </c>
      <c r="L2506" t="str">
        <f>T("9791170964636")</f>
        <v>9791170964636</v>
      </c>
      <c r="M2506" t="str">
        <f t="shared" si="108"/>
        <v/>
      </c>
      <c r="N2506" t="s">
        <v>482</v>
      </c>
    </row>
    <row r="2507" spans="1:14">
      <c r="A2507" s="1">
        <v>46073.368946759256</v>
      </c>
      <c r="B2507">
        <v>304630796</v>
      </c>
      <c r="C2507" s="2" t="s">
        <v>2531</v>
      </c>
      <c r="D2507" t="s">
        <v>68</v>
      </c>
      <c r="E2507" s="4">
        <v>900</v>
      </c>
      <c r="F2507" s="2">
        <v>900</v>
      </c>
      <c r="G2507" s="2">
        <v>630</v>
      </c>
      <c r="I2507" s="2" t="s">
        <v>1749</v>
      </c>
      <c r="J2507" s="2" t="s">
        <v>245</v>
      </c>
      <c r="K2507" t="s">
        <v>18</v>
      </c>
      <c r="L2507" t="str">
        <f>T("9791166007828")</f>
        <v>9791166007828</v>
      </c>
      <c r="M2507" t="str">
        <f t="shared" si="108"/>
        <v/>
      </c>
      <c r="N2507" t="s">
        <v>2532</v>
      </c>
    </row>
    <row r="2508" spans="1:14">
      <c r="A2508" s="1">
        <v>46073.368946759256</v>
      </c>
      <c r="B2508">
        <v>304630798</v>
      </c>
      <c r="C2508" s="2" t="s">
        <v>2533</v>
      </c>
      <c r="D2508" t="s">
        <v>68</v>
      </c>
      <c r="E2508" s="4">
        <v>900</v>
      </c>
      <c r="F2508" s="2">
        <v>900</v>
      </c>
      <c r="G2508" s="2">
        <v>630</v>
      </c>
      <c r="I2508" s="2" t="s">
        <v>1749</v>
      </c>
      <c r="J2508" s="2" t="s">
        <v>245</v>
      </c>
      <c r="K2508" t="s">
        <v>18</v>
      </c>
      <c r="L2508" t="str">
        <f>T("9791166007835")</f>
        <v>9791166007835</v>
      </c>
      <c r="M2508" t="str">
        <f t="shared" si="108"/>
        <v/>
      </c>
      <c r="N2508" t="s">
        <v>2534</v>
      </c>
    </row>
    <row r="2509" spans="1:14">
      <c r="A2509" s="1">
        <v>46073.378854166665</v>
      </c>
      <c r="B2509">
        <v>386057277</v>
      </c>
      <c r="C2509" s="2" t="s">
        <v>1609</v>
      </c>
      <c r="D2509" t="s">
        <v>15</v>
      </c>
      <c r="E2509" s="5">
        <v>7500</v>
      </c>
      <c r="F2509" s="3">
        <v>7500</v>
      </c>
      <c r="G2509" s="3">
        <v>5250</v>
      </c>
      <c r="I2509" s="2" t="s">
        <v>1610</v>
      </c>
      <c r="J2509" s="2" t="s">
        <v>197</v>
      </c>
      <c r="K2509" t="s">
        <v>18</v>
      </c>
      <c r="L2509" t="str">
        <f>T("9791164095315")</f>
        <v>9791164095315</v>
      </c>
      <c r="M2509" t="str">
        <f t="shared" si="108"/>
        <v/>
      </c>
    </row>
    <row r="2510" spans="1:14">
      <c r="A2510" s="1">
        <v>46073.405682870369</v>
      </c>
      <c r="B2510">
        <v>279024570</v>
      </c>
      <c r="C2510" s="2" t="s">
        <v>1039</v>
      </c>
      <c r="D2510" t="s">
        <v>68</v>
      </c>
      <c r="E2510" s="5">
        <v>2000</v>
      </c>
      <c r="F2510" s="3">
        <v>2000</v>
      </c>
      <c r="G2510" s="3">
        <v>1400</v>
      </c>
      <c r="I2510" s="2" t="s">
        <v>1040</v>
      </c>
      <c r="J2510" s="2" t="s">
        <v>126</v>
      </c>
      <c r="K2510" t="s">
        <v>18</v>
      </c>
      <c r="L2510" t="str">
        <f>T("9791164974047")</f>
        <v>9791164974047</v>
      </c>
      <c r="M2510" t="str">
        <f t="shared" si="108"/>
        <v/>
      </c>
    </row>
    <row r="2511" spans="1:14">
      <c r="A2511" s="1">
        <v>46073.441446759258</v>
      </c>
      <c r="B2511">
        <v>380789530</v>
      </c>
      <c r="C2511" s="2" t="s">
        <v>1854</v>
      </c>
      <c r="D2511" t="s">
        <v>68</v>
      </c>
      <c r="E2511" s="5">
        <v>4640</v>
      </c>
      <c r="F2511" s="3">
        <v>4640</v>
      </c>
      <c r="G2511" s="3">
        <v>3248</v>
      </c>
      <c r="I2511" s="2" t="s">
        <v>1098</v>
      </c>
      <c r="J2511" s="2" t="s">
        <v>126</v>
      </c>
      <c r="K2511" t="s">
        <v>18</v>
      </c>
      <c r="L2511" t="str">
        <f>T("9791171502462")</f>
        <v>9791171502462</v>
      </c>
      <c r="M2511" t="str">
        <f t="shared" si="108"/>
        <v/>
      </c>
    </row>
    <row r="2512" spans="1:14">
      <c r="A2512" s="1">
        <v>46073.485590277778</v>
      </c>
      <c r="B2512">
        <v>318630911</v>
      </c>
      <c r="C2512" s="2" t="s">
        <v>1735</v>
      </c>
      <c r="D2512" t="s">
        <v>15</v>
      </c>
      <c r="E2512" s="4">
        <v>0</v>
      </c>
      <c r="F2512" s="2">
        <v>0</v>
      </c>
      <c r="G2512" s="2">
        <v>0</v>
      </c>
      <c r="I2512" s="2" t="s">
        <v>1535</v>
      </c>
      <c r="J2512" s="2" t="s">
        <v>1536</v>
      </c>
      <c r="K2512" t="s">
        <v>18</v>
      </c>
      <c r="L2512" t="str">
        <f>T("9791189257330")</f>
        <v>9791189257330</v>
      </c>
      <c r="M2512" t="str">
        <f t="shared" si="108"/>
        <v/>
      </c>
      <c r="N2512" t="s">
        <v>1736</v>
      </c>
    </row>
    <row r="2513" spans="1:14">
      <c r="A2513" s="1">
        <v>46073.491041666668</v>
      </c>
      <c r="B2513">
        <v>357642909</v>
      </c>
      <c r="C2513" s="2" t="s">
        <v>854</v>
      </c>
      <c r="D2513" t="s">
        <v>68</v>
      </c>
      <c r="E2513" s="5">
        <v>14700</v>
      </c>
      <c r="F2513" s="3">
        <v>14700</v>
      </c>
      <c r="G2513" s="3">
        <v>10290</v>
      </c>
      <c r="I2513" s="2" t="s">
        <v>855</v>
      </c>
      <c r="J2513" s="2" t="s">
        <v>856</v>
      </c>
      <c r="K2513" t="s">
        <v>18</v>
      </c>
      <c r="L2513" t="str">
        <f>T("9791171568062")</f>
        <v>9791171568062</v>
      </c>
      <c r="M2513" t="str">
        <f t="shared" si="108"/>
        <v/>
      </c>
    </row>
    <row r="2514" spans="1:14">
      <c r="A2514" s="1">
        <v>46073.527094907404</v>
      </c>
      <c r="B2514">
        <v>328759043</v>
      </c>
      <c r="C2514" s="2" t="s">
        <v>1537</v>
      </c>
      <c r="D2514" t="s">
        <v>68</v>
      </c>
      <c r="E2514" s="4">
        <v>840</v>
      </c>
      <c r="F2514" s="2">
        <v>840</v>
      </c>
      <c r="G2514" s="2">
        <v>588</v>
      </c>
      <c r="I2514" s="2" t="s">
        <v>852</v>
      </c>
      <c r="J2514" s="2" t="s">
        <v>197</v>
      </c>
      <c r="K2514" t="s">
        <v>18</v>
      </c>
      <c r="L2514" t="str">
        <f>T("9791164099269")</f>
        <v>9791164099269</v>
      </c>
      <c r="M2514" t="str">
        <f t="shared" si="108"/>
        <v/>
      </c>
    </row>
    <row r="2515" spans="1:14">
      <c r="A2515" s="1">
        <v>46073.537777777776</v>
      </c>
      <c r="B2515">
        <v>386556274</v>
      </c>
      <c r="C2515" s="2" t="s">
        <v>2535</v>
      </c>
      <c r="D2515" t="s">
        <v>15</v>
      </c>
      <c r="E2515" s="5">
        <v>2000</v>
      </c>
      <c r="F2515" s="3">
        <v>2000</v>
      </c>
      <c r="G2515" s="3">
        <v>1400</v>
      </c>
      <c r="I2515" s="2" t="s">
        <v>2536</v>
      </c>
      <c r="J2515" s="2" t="s">
        <v>197</v>
      </c>
      <c r="K2515" t="s">
        <v>18</v>
      </c>
      <c r="L2515" t="str">
        <f>T("")</f>
        <v/>
      </c>
      <c r="M2515" t="str">
        <f>T("G720:N+A319-20251223071.M001")</f>
        <v>G720:N+A319-20251223071.M001</v>
      </c>
      <c r="N2515" t="s">
        <v>2537</v>
      </c>
    </row>
    <row r="2516" spans="1:14">
      <c r="A2516" s="1">
        <v>46073.560115740744</v>
      </c>
      <c r="B2516">
        <v>342153334</v>
      </c>
      <c r="C2516" s="2" t="s">
        <v>2538</v>
      </c>
      <c r="D2516" t="s">
        <v>15</v>
      </c>
      <c r="E2516" s="5">
        <v>12250</v>
      </c>
      <c r="F2516" s="3">
        <v>12250</v>
      </c>
      <c r="G2516" s="3">
        <v>8575</v>
      </c>
      <c r="I2516" s="2" t="s">
        <v>2539</v>
      </c>
      <c r="J2516" s="2" t="s">
        <v>184</v>
      </c>
      <c r="K2516" t="s">
        <v>18</v>
      </c>
      <c r="L2516" t="str">
        <f>T("9791170960492")</f>
        <v>9791170960492</v>
      </c>
      <c r="M2516" t="str">
        <f>T("")</f>
        <v/>
      </c>
      <c r="N2516" t="s">
        <v>2540</v>
      </c>
    </row>
    <row r="2517" spans="1:14">
      <c r="A2517" s="1">
        <v>46073.574236111112</v>
      </c>
      <c r="B2517">
        <v>386057128</v>
      </c>
      <c r="C2517" s="2" t="s">
        <v>1797</v>
      </c>
      <c r="D2517" t="s">
        <v>15</v>
      </c>
      <c r="E2517" s="5">
        <v>16800</v>
      </c>
      <c r="F2517" s="3">
        <v>16800</v>
      </c>
      <c r="G2517" s="3">
        <v>11760</v>
      </c>
      <c r="I2517" s="2" t="s">
        <v>540</v>
      </c>
      <c r="J2517" s="2" t="s">
        <v>197</v>
      </c>
      <c r="K2517" t="s">
        <v>18</v>
      </c>
      <c r="L2517" t="str">
        <f>T("9791164098934")</f>
        <v>9791164098934</v>
      </c>
      <c r="M2517" t="str">
        <f>T("")</f>
        <v/>
      </c>
    </row>
    <row r="2518" spans="1:14">
      <c r="A2518" s="1">
        <v>46073.587719907409</v>
      </c>
      <c r="B2518">
        <v>223268465</v>
      </c>
      <c r="C2518" s="2" t="s">
        <v>1859</v>
      </c>
      <c r="D2518" t="s">
        <v>68</v>
      </c>
      <c r="E2518" s="5">
        <v>1200</v>
      </c>
      <c r="F2518" s="3">
        <v>1200</v>
      </c>
      <c r="G2518" s="2">
        <v>840</v>
      </c>
      <c r="I2518" s="2" t="s">
        <v>852</v>
      </c>
      <c r="J2518" s="2" t="s">
        <v>197</v>
      </c>
      <c r="K2518" t="s">
        <v>18</v>
      </c>
      <c r="L2518" t="str">
        <f>T("9791164090822")</f>
        <v>9791164090822</v>
      </c>
      <c r="M2518" t="str">
        <f>T("")</f>
        <v/>
      </c>
    </row>
    <row r="2519" spans="1:14">
      <c r="A2519" s="1">
        <v>46073.593472222223</v>
      </c>
      <c r="B2519">
        <v>344253317</v>
      </c>
      <c r="C2519" s="2" t="s">
        <v>981</v>
      </c>
      <c r="D2519" t="s">
        <v>15</v>
      </c>
      <c r="E2519" s="5">
        <v>16200</v>
      </c>
      <c r="F2519" s="3">
        <v>16200</v>
      </c>
      <c r="G2519" s="3">
        <v>11340</v>
      </c>
      <c r="I2519" s="2" t="s">
        <v>191</v>
      </c>
      <c r="J2519" s="2" t="s">
        <v>188</v>
      </c>
      <c r="K2519" t="s">
        <v>18</v>
      </c>
      <c r="L2519" t="str">
        <f>T("9791164834600")</f>
        <v>9791164834600</v>
      </c>
      <c r="M2519" t="str">
        <f>T("")</f>
        <v/>
      </c>
    </row>
    <row r="2520" spans="1:14">
      <c r="A2520" s="1">
        <v>46073.594398148147</v>
      </c>
      <c r="B2520">
        <v>212448129</v>
      </c>
      <c r="C2520" s="2" t="s">
        <v>2541</v>
      </c>
      <c r="D2520" t="s">
        <v>68</v>
      </c>
      <c r="E2520" s="4">
        <v>900</v>
      </c>
      <c r="F2520" s="2">
        <v>900</v>
      </c>
      <c r="G2520" s="2">
        <v>630</v>
      </c>
      <c r="I2520" s="2" t="s">
        <v>2463</v>
      </c>
      <c r="J2520" s="2" t="s">
        <v>65</v>
      </c>
      <c r="K2520" t="s">
        <v>18</v>
      </c>
      <c r="L2520" t="str">
        <f>T("9791162589274")</f>
        <v>9791162589274</v>
      </c>
      <c r="M2520" t="str">
        <f>T("")</f>
        <v/>
      </c>
    </row>
    <row r="2521" spans="1:14">
      <c r="A2521" s="1">
        <v>46073.600902777776</v>
      </c>
      <c r="B2521">
        <v>386453336</v>
      </c>
      <c r="C2521" s="2" t="s">
        <v>2542</v>
      </c>
      <c r="D2521" t="s">
        <v>15</v>
      </c>
      <c r="E2521" s="4">
        <v>0</v>
      </c>
      <c r="F2521" s="2">
        <v>0</v>
      </c>
      <c r="G2521" s="2">
        <v>0</v>
      </c>
      <c r="I2521" s="2" t="s">
        <v>2543</v>
      </c>
      <c r="J2521" s="2" t="s">
        <v>65</v>
      </c>
      <c r="K2521" t="s">
        <v>18</v>
      </c>
      <c r="L2521" t="str">
        <f>T("")</f>
        <v/>
      </c>
      <c r="M2521" t="str">
        <f>T("G720:N+A319-20260106026.M004")</f>
        <v>G720:N+A319-20260106026.M004</v>
      </c>
      <c r="N2521" t="s">
        <v>2544</v>
      </c>
    </row>
    <row r="2522" spans="1:14">
      <c r="A2522" s="1">
        <v>46073.603043981479</v>
      </c>
      <c r="B2522">
        <v>386559326</v>
      </c>
      <c r="C2522" s="2" t="s">
        <v>2545</v>
      </c>
      <c r="D2522" t="s">
        <v>15</v>
      </c>
      <c r="E2522" s="5">
        <v>6400</v>
      </c>
      <c r="F2522" s="3">
        <v>5760</v>
      </c>
      <c r="G2522" s="3">
        <v>4032</v>
      </c>
      <c r="I2522" s="2" t="s">
        <v>2546</v>
      </c>
      <c r="J2522" s="2" t="s">
        <v>197</v>
      </c>
      <c r="K2522" t="s">
        <v>18</v>
      </c>
      <c r="L2522" t="str">
        <f>T("")</f>
        <v/>
      </c>
      <c r="M2522" t="str">
        <f>T("G720:N+A319-20251223073")</f>
        <v>G720:N+A319-20251223073</v>
      </c>
    </row>
    <row r="2523" spans="1:14">
      <c r="A2523" s="1">
        <v>46073.677835648145</v>
      </c>
      <c r="B2523">
        <v>304630799</v>
      </c>
      <c r="C2523" s="2" t="s">
        <v>2547</v>
      </c>
      <c r="D2523" t="s">
        <v>68</v>
      </c>
      <c r="E2523" s="4">
        <v>900</v>
      </c>
      <c r="F2523" s="2">
        <v>900</v>
      </c>
      <c r="G2523" s="2">
        <v>630</v>
      </c>
      <c r="I2523" s="2" t="s">
        <v>1749</v>
      </c>
      <c r="J2523" s="2" t="s">
        <v>245</v>
      </c>
      <c r="K2523" t="s">
        <v>18</v>
      </c>
      <c r="L2523" t="str">
        <f>T("9791166007842")</f>
        <v>9791166007842</v>
      </c>
      <c r="M2523" t="str">
        <f>T("")</f>
        <v/>
      </c>
      <c r="N2523" t="s">
        <v>2548</v>
      </c>
    </row>
    <row r="2524" spans="1:14">
      <c r="A2524" s="1">
        <v>46073.677835648145</v>
      </c>
      <c r="B2524">
        <v>304630800</v>
      </c>
      <c r="C2524" s="2" t="s">
        <v>2549</v>
      </c>
      <c r="D2524" t="s">
        <v>68</v>
      </c>
      <c r="E2524" s="4">
        <v>900</v>
      </c>
      <c r="F2524" s="2">
        <v>900</v>
      </c>
      <c r="G2524" s="2">
        <v>630</v>
      </c>
      <c r="I2524" s="2" t="s">
        <v>1749</v>
      </c>
      <c r="J2524" s="2" t="s">
        <v>245</v>
      </c>
      <c r="K2524" t="s">
        <v>18</v>
      </c>
      <c r="L2524" t="str">
        <f>T("9791166007859")</f>
        <v>9791166007859</v>
      </c>
      <c r="M2524" t="str">
        <f>T("")</f>
        <v/>
      </c>
      <c r="N2524" t="s">
        <v>2550</v>
      </c>
    </row>
    <row r="2525" spans="1:14">
      <c r="A2525" s="1">
        <v>46073.679444444446</v>
      </c>
      <c r="B2525">
        <v>162342854</v>
      </c>
      <c r="C2525" s="2" t="s">
        <v>798</v>
      </c>
      <c r="D2525" t="s">
        <v>15</v>
      </c>
      <c r="E2525" s="4">
        <v>0</v>
      </c>
      <c r="F2525" s="2">
        <v>0</v>
      </c>
      <c r="G2525" s="2">
        <v>0</v>
      </c>
      <c r="I2525" s="2" t="s">
        <v>799</v>
      </c>
      <c r="J2525" s="2" t="s">
        <v>227</v>
      </c>
      <c r="K2525" t="s">
        <v>18</v>
      </c>
      <c r="L2525" t="str">
        <f>T("9791160396096")</f>
        <v>9791160396096</v>
      </c>
      <c r="M2525" t="str">
        <f>T("")</f>
        <v/>
      </c>
    </row>
    <row r="2526" spans="1:14">
      <c r="A2526" s="1">
        <v>46073.679444444446</v>
      </c>
      <c r="B2526">
        <v>386453336</v>
      </c>
      <c r="C2526" s="2" t="s">
        <v>2542</v>
      </c>
      <c r="D2526" t="s">
        <v>15</v>
      </c>
      <c r="E2526" s="4">
        <v>0</v>
      </c>
      <c r="F2526" s="2">
        <v>0</v>
      </c>
      <c r="G2526" s="2">
        <v>0</v>
      </c>
      <c r="I2526" s="2" t="s">
        <v>2543</v>
      </c>
      <c r="J2526" s="2" t="s">
        <v>65</v>
      </c>
      <c r="K2526" t="s">
        <v>18</v>
      </c>
      <c r="L2526" t="str">
        <f>T("")</f>
        <v/>
      </c>
      <c r="M2526" t="str">
        <f>T("G720:N+A319-20260106026.M004")</f>
        <v>G720:N+A319-20260106026.M004</v>
      </c>
      <c r="N2526" t="s">
        <v>2544</v>
      </c>
    </row>
    <row r="2527" spans="1:14">
      <c r="A2527" s="1">
        <v>46073.687407407408</v>
      </c>
      <c r="B2527">
        <v>122404472</v>
      </c>
      <c r="C2527" s="2" t="s">
        <v>2551</v>
      </c>
      <c r="D2527" t="s">
        <v>15</v>
      </c>
      <c r="E2527" s="5">
        <v>3000</v>
      </c>
      <c r="F2527" s="3">
        <v>3000</v>
      </c>
      <c r="G2527" s="3">
        <v>2100</v>
      </c>
      <c r="I2527" s="2" t="s">
        <v>2552</v>
      </c>
      <c r="J2527" s="2" t="s">
        <v>49</v>
      </c>
      <c r="K2527" t="s">
        <v>18</v>
      </c>
      <c r="L2527" t="str">
        <f>T("9791160394771")</f>
        <v>9791160394771</v>
      </c>
      <c r="M2527" t="str">
        <f>T("")</f>
        <v/>
      </c>
    </row>
    <row r="2528" spans="1:14">
      <c r="A2528" s="1">
        <v>46073.706273148149</v>
      </c>
      <c r="B2528">
        <v>365886391</v>
      </c>
      <c r="C2528" s="2" t="s">
        <v>376</v>
      </c>
      <c r="D2528" t="s">
        <v>15</v>
      </c>
      <c r="E2528" s="5">
        <v>1000</v>
      </c>
      <c r="F2528" s="3">
        <v>1000</v>
      </c>
      <c r="G2528" s="2">
        <v>700</v>
      </c>
      <c r="I2528" s="2" t="s">
        <v>286</v>
      </c>
      <c r="J2528" s="2" t="s">
        <v>21</v>
      </c>
      <c r="K2528" t="s">
        <v>18</v>
      </c>
      <c r="L2528" t="str">
        <f>T("9791173014765")</f>
        <v>9791173014765</v>
      </c>
      <c r="M2528" t="str">
        <f>T("")</f>
        <v/>
      </c>
      <c r="N2528" t="s">
        <v>377</v>
      </c>
    </row>
    <row r="2529" spans="1:14">
      <c r="A2529" s="1">
        <v>46073.709282407406</v>
      </c>
      <c r="B2529">
        <v>323836749</v>
      </c>
      <c r="C2529" s="2" t="s">
        <v>2553</v>
      </c>
      <c r="D2529" t="s">
        <v>15</v>
      </c>
      <c r="E2529" s="5">
        <v>1000</v>
      </c>
      <c r="F2529" s="3">
        <v>1000</v>
      </c>
      <c r="G2529" s="2">
        <v>700</v>
      </c>
      <c r="I2529" s="2" t="s">
        <v>521</v>
      </c>
      <c r="J2529" s="2" t="s">
        <v>21</v>
      </c>
      <c r="K2529" t="s">
        <v>18</v>
      </c>
      <c r="L2529" t="str">
        <f>T("9791170890249")</f>
        <v>9791170890249</v>
      </c>
      <c r="M2529" t="str">
        <f>T("")</f>
        <v/>
      </c>
      <c r="N2529" t="s">
        <v>2554</v>
      </c>
    </row>
    <row r="2530" spans="1:14">
      <c r="A2530" s="1">
        <v>46073.804525462961</v>
      </c>
      <c r="B2530">
        <v>386057279</v>
      </c>
      <c r="C2530" s="2" t="s">
        <v>2303</v>
      </c>
      <c r="D2530" t="s">
        <v>68</v>
      </c>
      <c r="E2530" s="5">
        <v>7500</v>
      </c>
      <c r="F2530" s="3">
        <v>7500</v>
      </c>
      <c r="G2530" s="3">
        <v>5250</v>
      </c>
      <c r="I2530" s="2" t="s">
        <v>1772</v>
      </c>
      <c r="J2530" s="2" t="s">
        <v>197</v>
      </c>
      <c r="K2530" t="s">
        <v>18</v>
      </c>
      <c r="L2530" t="str">
        <f>T("9791164093304")</f>
        <v>9791164093304</v>
      </c>
      <c r="M2530" t="str">
        <f>T("")</f>
        <v/>
      </c>
    </row>
    <row r="2531" spans="1:14">
      <c r="A2531" s="1">
        <v>46073.822916666664</v>
      </c>
      <c r="B2531">
        <v>328759043</v>
      </c>
      <c r="C2531" s="2" t="s">
        <v>1537</v>
      </c>
      <c r="D2531" t="s">
        <v>68</v>
      </c>
      <c r="E2531" s="4">
        <v>840</v>
      </c>
      <c r="F2531" s="2">
        <v>840</v>
      </c>
      <c r="G2531" s="2">
        <v>588</v>
      </c>
      <c r="I2531" s="2" t="s">
        <v>852</v>
      </c>
      <c r="J2531" s="2" t="s">
        <v>197</v>
      </c>
      <c r="K2531" t="s">
        <v>18</v>
      </c>
      <c r="L2531" t="str">
        <f>T("9791164099269")</f>
        <v>9791164099269</v>
      </c>
      <c r="M2531" t="str">
        <f>T("")</f>
        <v/>
      </c>
    </row>
    <row r="2532" spans="1:14">
      <c r="A2532" s="1">
        <v>46073.836145833331</v>
      </c>
      <c r="B2532">
        <v>386559327</v>
      </c>
      <c r="C2532" s="2" t="s">
        <v>2555</v>
      </c>
      <c r="D2532" t="s">
        <v>15</v>
      </c>
      <c r="E2532" s="5">
        <v>4000</v>
      </c>
      <c r="F2532" s="3">
        <v>3600</v>
      </c>
      <c r="G2532" s="3">
        <v>2520</v>
      </c>
      <c r="I2532" s="2" t="s">
        <v>2536</v>
      </c>
      <c r="J2532" s="2" t="s">
        <v>197</v>
      </c>
      <c r="K2532" t="s">
        <v>18</v>
      </c>
      <c r="L2532" t="str">
        <f>T("")</f>
        <v/>
      </c>
      <c r="M2532" t="str">
        <f>T("G720:N+A319-20251223071")</f>
        <v>G720:N+A319-20251223071</v>
      </c>
    </row>
    <row r="2533" spans="1:14">
      <c r="A2533" s="1">
        <v>46073.837476851855</v>
      </c>
      <c r="B2533">
        <v>279024571</v>
      </c>
      <c r="C2533" s="2" t="s">
        <v>2556</v>
      </c>
      <c r="D2533" t="s">
        <v>15</v>
      </c>
      <c r="E2533" s="5">
        <v>9000</v>
      </c>
      <c r="F2533" s="3">
        <v>9000</v>
      </c>
      <c r="G2533" s="3">
        <v>6300</v>
      </c>
      <c r="I2533" s="2" t="s">
        <v>2536</v>
      </c>
      <c r="J2533" s="2" t="s">
        <v>197</v>
      </c>
      <c r="K2533" t="s">
        <v>18</v>
      </c>
      <c r="L2533" t="str">
        <f>T("9791164093489")</f>
        <v>9791164093489</v>
      </c>
      <c r="M2533" t="str">
        <f>T("")</f>
        <v/>
      </c>
    </row>
    <row r="2534" spans="1:14">
      <c r="A2534" s="1">
        <v>46073.837719907409</v>
      </c>
      <c r="B2534">
        <v>212448130</v>
      </c>
      <c r="C2534" s="2" t="s">
        <v>2557</v>
      </c>
      <c r="D2534" t="s">
        <v>68</v>
      </c>
      <c r="E2534" s="4">
        <v>900</v>
      </c>
      <c r="F2534" s="2">
        <v>900</v>
      </c>
      <c r="G2534" s="2">
        <v>630</v>
      </c>
      <c r="I2534" s="2" t="s">
        <v>2463</v>
      </c>
      <c r="J2534" s="2" t="s">
        <v>65</v>
      </c>
      <c r="K2534" t="s">
        <v>18</v>
      </c>
      <c r="L2534" t="str">
        <f>T("9791162589281")</f>
        <v>9791162589281</v>
      </c>
      <c r="M2534" t="str">
        <f>T("")</f>
        <v/>
      </c>
    </row>
    <row r="2535" spans="1:14">
      <c r="A2535" s="1">
        <v>46073.850787037038</v>
      </c>
      <c r="B2535">
        <v>370130204</v>
      </c>
      <c r="C2535" s="2" t="s">
        <v>982</v>
      </c>
      <c r="D2535" t="s">
        <v>68</v>
      </c>
      <c r="E2535" s="4">
        <v>0</v>
      </c>
      <c r="F2535" s="2">
        <v>0</v>
      </c>
      <c r="G2535" s="2">
        <v>0</v>
      </c>
      <c r="I2535" s="2" t="s">
        <v>244</v>
      </c>
      <c r="J2535" s="2" t="s">
        <v>245</v>
      </c>
      <c r="K2535" t="s">
        <v>18</v>
      </c>
      <c r="L2535" t="str">
        <f>T("9791164489015")</f>
        <v>9791164489015</v>
      </c>
      <c r="M2535" t="str">
        <f>T("")</f>
        <v/>
      </c>
      <c r="N2535" t="s">
        <v>983</v>
      </c>
    </row>
    <row r="2536" spans="1:14">
      <c r="A2536" s="1">
        <v>46073.855995370373</v>
      </c>
      <c r="B2536">
        <v>386559326</v>
      </c>
      <c r="C2536" s="2" t="s">
        <v>2545</v>
      </c>
      <c r="D2536" t="s">
        <v>68</v>
      </c>
      <c r="E2536" s="5">
        <v>5760</v>
      </c>
      <c r="F2536" s="3">
        <v>5760</v>
      </c>
      <c r="G2536" s="3">
        <v>4032</v>
      </c>
      <c r="I2536" s="2" t="s">
        <v>2546</v>
      </c>
      <c r="J2536" s="2" t="s">
        <v>197</v>
      </c>
      <c r="K2536" t="s">
        <v>18</v>
      </c>
      <c r="L2536" t="str">
        <f>T("")</f>
        <v/>
      </c>
      <c r="M2536" t="str">
        <f>T("G720:N+A319-20251223073")</f>
        <v>G720:N+A319-20251223073</v>
      </c>
    </row>
    <row r="2537" spans="1:14">
      <c r="A2537" s="1">
        <v>46073.866759259261</v>
      </c>
      <c r="B2537">
        <v>386057276</v>
      </c>
      <c r="C2537" s="2" t="s">
        <v>1681</v>
      </c>
      <c r="D2537" t="s">
        <v>68</v>
      </c>
      <c r="E2537" s="5">
        <v>8100</v>
      </c>
      <c r="F2537" s="3">
        <v>8100</v>
      </c>
      <c r="G2537" s="3">
        <v>5670</v>
      </c>
      <c r="I2537" s="2" t="s">
        <v>1682</v>
      </c>
      <c r="J2537" s="2" t="s">
        <v>197</v>
      </c>
      <c r="K2537" t="s">
        <v>18</v>
      </c>
      <c r="L2537" t="str">
        <f>T("9791164097661")</f>
        <v>9791164097661</v>
      </c>
      <c r="M2537" t="str">
        <f t="shared" ref="M2537:M2547" si="109">T("")</f>
        <v/>
      </c>
    </row>
    <row r="2538" spans="1:14">
      <c r="A2538" s="1">
        <v>46073.866759259261</v>
      </c>
      <c r="B2538">
        <v>328759043</v>
      </c>
      <c r="C2538" s="2" t="s">
        <v>1537</v>
      </c>
      <c r="D2538" t="s">
        <v>68</v>
      </c>
      <c r="E2538" s="4">
        <v>840</v>
      </c>
      <c r="F2538" s="2">
        <v>840</v>
      </c>
      <c r="G2538" s="2">
        <v>588</v>
      </c>
      <c r="I2538" s="2" t="s">
        <v>852</v>
      </c>
      <c r="J2538" s="2" t="s">
        <v>197</v>
      </c>
      <c r="K2538" t="s">
        <v>18</v>
      </c>
      <c r="L2538" t="str">
        <f>T("9791164099269")</f>
        <v>9791164099269</v>
      </c>
      <c r="M2538" t="str">
        <f t="shared" si="109"/>
        <v/>
      </c>
    </row>
    <row r="2539" spans="1:14">
      <c r="A2539" s="1">
        <v>46073.889317129629</v>
      </c>
      <c r="B2539">
        <v>370130015</v>
      </c>
      <c r="C2539" s="2" t="s">
        <v>2558</v>
      </c>
      <c r="D2539" t="s">
        <v>15</v>
      </c>
      <c r="E2539" s="5">
        <v>3600</v>
      </c>
      <c r="F2539" s="3">
        <v>3600</v>
      </c>
      <c r="G2539" s="3">
        <v>2520</v>
      </c>
      <c r="I2539" s="2" t="s">
        <v>135</v>
      </c>
      <c r="J2539" s="2" t="s">
        <v>65</v>
      </c>
      <c r="K2539" t="s">
        <v>18</v>
      </c>
      <c r="L2539" t="str">
        <f>T("9791137010208")</f>
        <v>9791137010208</v>
      </c>
      <c r="M2539" t="str">
        <f t="shared" si="109"/>
        <v/>
      </c>
      <c r="N2539" t="s">
        <v>2559</v>
      </c>
    </row>
    <row r="2540" spans="1:14">
      <c r="A2540" s="1">
        <v>46073.889317129629</v>
      </c>
      <c r="B2540">
        <v>370130022</v>
      </c>
      <c r="C2540" s="2" t="s">
        <v>134</v>
      </c>
      <c r="D2540" t="s">
        <v>15</v>
      </c>
      <c r="E2540" s="5">
        <v>3600</v>
      </c>
      <c r="F2540" s="3">
        <v>3600</v>
      </c>
      <c r="G2540" s="3">
        <v>2520</v>
      </c>
      <c r="I2540" s="2" t="s">
        <v>135</v>
      </c>
      <c r="J2540" s="2" t="s">
        <v>65</v>
      </c>
      <c r="K2540" t="s">
        <v>18</v>
      </c>
      <c r="L2540" t="str">
        <f>T("9791137010239")</f>
        <v>9791137010239</v>
      </c>
      <c r="M2540" t="str">
        <f t="shared" si="109"/>
        <v/>
      </c>
      <c r="N2540" t="s">
        <v>136</v>
      </c>
    </row>
    <row r="2541" spans="1:14">
      <c r="A2541" s="1">
        <v>46073.889317129629</v>
      </c>
      <c r="B2541">
        <v>370130005</v>
      </c>
      <c r="C2541" s="2" t="s">
        <v>633</v>
      </c>
      <c r="D2541" t="s">
        <v>15</v>
      </c>
      <c r="E2541" s="5">
        <v>3600</v>
      </c>
      <c r="F2541" s="3">
        <v>3600</v>
      </c>
      <c r="G2541" s="3">
        <v>2520</v>
      </c>
      <c r="I2541" s="2" t="s">
        <v>135</v>
      </c>
      <c r="J2541" s="2" t="s">
        <v>65</v>
      </c>
      <c r="K2541" t="s">
        <v>18</v>
      </c>
      <c r="L2541" t="str">
        <f>T("9791137010253")</f>
        <v>9791137010253</v>
      </c>
      <c r="M2541" t="str">
        <f t="shared" si="109"/>
        <v/>
      </c>
      <c r="N2541" t="s">
        <v>634</v>
      </c>
    </row>
    <row r="2542" spans="1:14">
      <c r="A2542" s="1">
        <v>46073.889317129629</v>
      </c>
      <c r="B2542">
        <v>370129996</v>
      </c>
      <c r="C2542" s="2" t="s">
        <v>2560</v>
      </c>
      <c r="D2542" t="s">
        <v>15</v>
      </c>
      <c r="E2542" s="5">
        <v>3600</v>
      </c>
      <c r="F2542" s="3">
        <v>3600</v>
      </c>
      <c r="G2542" s="3">
        <v>2520</v>
      </c>
      <c r="I2542" s="2" t="s">
        <v>135</v>
      </c>
      <c r="J2542" s="2" t="s">
        <v>65</v>
      </c>
      <c r="K2542" t="s">
        <v>18</v>
      </c>
      <c r="L2542" t="str">
        <f>T("9791137010192")</f>
        <v>9791137010192</v>
      </c>
      <c r="M2542" t="str">
        <f t="shared" si="109"/>
        <v/>
      </c>
      <c r="N2542" t="s">
        <v>2561</v>
      </c>
    </row>
    <row r="2543" spans="1:14">
      <c r="A2543" s="1">
        <v>46073.889317129629</v>
      </c>
      <c r="B2543">
        <v>370130009</v>
      </c>
      <c r="C2543" s="2" t="s">
        <v>2562</v>
      </c>
      <c r="D2543" t="s">
        <v>15</v>
      </c>
      <c r="E2543" s="5">
        <v>3600</v>
      </c>
      <c r="F2543" s="3">
        <v>3600</v>
      </c>
      <c r="G2543" s="3">
        <v>2520</v>
      </c>
      <c r="I2543" s="2" t="s">
        <v>135</v>
      </c>
      <c r="J2543" s="2" t="s">
        <v>65</v>
      </c>
      <c r="K2543" t="s">
        <v>18</v>
      </c>
      <c r="L2543" t="str">
        <f>T("9791137010215")</f>
        <v>9791137010215</v>
      </c>
      <c r="M2543" t="str">
        <f t="shared" si="109"/>
        <v/>
      </c>
      <c r="N2543" t="s">
        <v>2563</v>
      </c>
    </row>
    <row r="2544" spans="1:14">
      <c r="A2544" s="1">
        <v>46073.889317129629</v>
      </c>
      <c r="B2544">
        <v>370130011</v>
      </c>
      <c r="C2544" s="2" t="s">
        <v>2564</v>
      </c>
      <c r="D2544" t="s">
        <v>15</v>
      </c>
      <c r="E2544" s="5">
        <v>3600</v>
      </c>
      <c r="F2544" s="3">
        <v>3600</v>
      </c>
      <c r="G2544" s="3">
        <v>2520</v>
      </c>
      <c r="I2544" s="2" t="s">
        <v>135</v>
      </c>
      <c r="J2544" s="2" t="s">
        <v>65</v>
      </c>
      <c r="K2544" t="s">
        <v>18</v>
      </c>
      <c r="L2544" t="str">
        <f>T("9791137010246")</f>
        <v>9791137010246</v>
      </c>
      <c r="M2544" t="str">
        <f t="shared" si="109"/>
        <v/>
      </c>
      <c r="N2544" t="s">
        <v>2565</v>
      </c>
    </row>
    <row r="2545" spans="1:14">
      <c r="A2545" s="1">
        <v>46073.889317129629</v>
      </c>
      <c r="B2545">
        <v>370129991</v>
      </c>
      <c r="C2545" s="2" t="s">
        <v>2566</v>
      </c>
      <c r="D2545" t="s">
        <v>15</v>
      </c>
      <c r="E2545" s="5">
        <v>3600</v>
      </c>
      <c r="F2545" s="3">
        <v>3600</v>
      </c>
      <c r="G2545" s="3">
        <v>2520</v>
      </c>
      <c r="I2545" s="2" t="s">
        <v>135</v>
      </c>
      <c r="J2545" s="2" t="s">
        <v>65</v>
      </c>
      <c r="K2545" t="s">
        <v>18</v>
      </c>
      <c r="L2545" t="str">
        <f>T("9791137020665")</f>
        <v>9791137020665</v>
      </c>
      <c r="M2545" t="str">
        <f t="shared" si="109"/>
        <v/>
      </c>
      <c r="N2545" t="s">
        <v>2567</v>
      </c>
    </row>
    <row r="2546" spans="1:14">
      <c r="A2546" s="1">
        <v>46073.889317129629</v>
      </c>
      <c r="B2546">
        <v>370130002</v>
      </c>
      <c r="C2546" s="2" t="s">
        <v>2568</v>
      </c>
      <c r="D2546" t="s">
        <v>15</v>
      </c>
      <c r="E2546" s="5">
        <v>3600</v>
      </c>
      <c r="F2546" s="3">
        <v>3600</v>
      </c>
      <c r="G2546" s="3">
        <v>2520</v>
      </c>
      <c r="I2546" s="2" t="s">
        <v>135</v>
      </c>
      <c r="J2546" s="2" t="s">
        <v>65</v>
      </c>
      <c r="K2546" t="s">
        <v>18</v>
      </c>
      <c r="L2546" t="str">
        <f>T("9791137010222")</f>
        <v>9791137010222</v>
      </c>
      <c r="M2546" t="str">
        <f t="shared" si="109"/>
        <v/>
      </c>
      <c r="N2546" t="s">
        <v>2569</v>
      </c>
    </row>
    <row r="2547" spans="1:14">
      <c r="A2547" s="1">
        <v>46073.939780092594</v>
      </c>
      <c r="B2547">
        <v>328759043</v>
      </c>
      <c r="C2547" s="2" t="s">
        <v>1537</v>
      </c>
      <c r="D2547" t="s">
        <v>68</v>
      </c>
      <c r="E2547" s="4">
        <v>840</v>
      </c>
      <c r="F2547" s="2">
        <v>840</v>
      </c>
      <c r="G2547" s="2">
        <v>588</v>
      </c>
      <c r="I2547" s="2" t="s">
        <v>852</v>
      </c>
      <c r="J2547" s="2" t="s">
        <v>197</v>
      </c>
      <c r="K2547" t="s">
        <v>18</v>
      </c>
      <c r="L2547" t="str">
        <f>T("9791164099269")</f>
        <v>9791164099269</v>
      </c>
      <c r="M2547" t="str">
        <f t="shared" si="109"/>
        <v/>
      </c>
    </row>
    <row r="2548" spans="1:14">
      <c r="A2548" s="1">
        <v>46073.954201388886</v>
      </c>
      <c r="B2548">
        <v>386559327</v>
      </c>
      <c r="C2548" s="2" t="s">
        <v>2555</v>
      </c>
      <c r="D2548" t="s">
        <v>15</v>
      </c>
      <c r="E2548" s="5">
        <v>4000</v>
      </c>
      <c r="F2548" s="3">
        <v>3600</v>
      </c>
      <c r="G2548" s="3">
        <v>2520</v>
      </c>
      <c r="I2548" s="2" t="s">
        <v>2536</v>
      </c>
      <c r="J2548" s="2" t="s">
        <v>197</v>
      </c>
      <c r="K2548" t="s">
        <v>18</v>
      </c>
      <c r="L2548" t="str">
        <f>T("")</f>
        <v/>
      </c>
      <c r="M2548" t="str">
        <f>T("G720:N+A319-20251223071")</f>
        <v>G720:N+A319-20251223071</v>
      </c>
    </row>
    <row r="2549" spans="1:14">
      <c r="A2549" s="1">
        <v>46073.958136574074</v>
      </c>
      <c r="B2549">
        <v>370130204</v>
      </c>
      <c r="C2549" s="2" t="s">
        <v>982</v>
      </c>
      <c r="D2549" t="s">
        <v>68</v>
      </c>
      <c r="E2549" s="4">
        <v>0</v>
      </c>
      <c r="F2549" s="2">
        <v>0</v>
      </c>
      <c r="G2549" s="2">
        <v>0</v>
      </c>
      <c r="I2549" s="2" t="s">
        <v>244</v>
      </c>
      <c r="J2549" s="2" t="s">
        <v>245</v>
      </c>
      <c r="K2549" t="s">
        <v>18</v>
      </c>
      <c r="L2549" t="str">
        <f>T("9791164489015")</f>
        <v>9791164489015</v>
      </c>
      <c r="M2549" t="str">
        <f>T("")</f>
        <v/>
      </c>
      <c r="N2549" t="s">
        <v>983</v>
      </c>
    </row>
    <row r="2550" spans="1:14">
      <c r="A2550" s="1">
        <v>46073.968240740738</v>
      </c>
      <c r="B2550">
        <v>386559326</v>
      </c>
      <c r="C2550" s="2" t="s">
        <v>2545</v>
      </c>
      <c r="D2550" t="s">
        <v>68</v>
      </c>
      <c r="E2550" s="5">
        <v>5760</v>
      </c>
      <c r="F2550" s="3">
        <v>5760</v>
      </c>
      <c r="G2550" s="3">
        <v>4032</v>
      </c>
      <c r="I2550" s="2" t="s">
        <v>2546</v>
      </c>
      <c r="J2550" s="2" t="s">
        <v>197</v>
      </c>
      <c r="K2550" t="s">
        <v>18</v>
      </c>
      <c r="L2550" t="str">
        <f>T("")</f>
        <v/>
      </c>
      <c r="M2550" t="str">
        <f>T("G720:N+A319-20251223073")</f>
        <v>G720:N+A319-20251223073</v>
      </c>
    </row>
    <row r="2551" spans="1:14">
      <c r="A2551" s="1">
        <v>46073.969965277778</v>
      </c>
      <c r="B2551">
        <v>368640530</v>
      </c>
      <c r="C2551" s="2" t="s">
        <v>480</v>
      </c>
      <c r="D2551" t="s">
        <v>15</v>
      </c>
      <c r="E2551" s="5">
        <v>12950</v>
      </c>
      <c r="F2551" s="3">
        <v>12950</v>
      </c>
      <c r="G2551" s="3">
        <v>9065</v>
      </c>
      <c r="I2551" s="2" t="s">
        <v>481</v>
      </c>
      <c r="J2551" s="2" t="s">
        <v>184</v>
      </c>
      <c r="K2551" t="s">
        <v>18</v>
      </c>
      <c r="L2551" t="str">
        <f>T("9791170964636")</f>
        <v>9791170964636</v>
      </c>
      <c r="M2551" t="str">
        <f>T("")</f>
        <v/>
      </c>
      <c r="N2551" t="s">
        <v>482</v>
      </c>
    </row>
    <row r="2552" spans="1:14">
      <c r="A2552" s="1">
        <v>46073.980254629627</v>
      </c>
      <c r="B2552">
        <v>386559326</v>
      </c>
      <c r="C2552" s="2" t="s">
        <v>2545</v>
      </c>
      <c r="D2552" t="s">
        <v>68</v>
      </c>
      <c r="E2552" s="5">
        <v>5760</v>
      </c>
      <c r="F2552" s="3">
        <v>5760</v>
      </c>
      <c r="G2552" s="3">
        <v>4032</v>
      </c>
      <c r="I2552" s="2" t="s">
        <v>2546</v>
      </c>
      <c r="J2552" s="2" t="s">
        <v>197</v>
      </c>
      <c r="K2552" t="s">
        <v>18</v>
      </c>
      <c r="L2552" t="str">
        <f>T("")</f>
        <v/>
      </c>
      <c r="M2552" t="str">
        <f>T("G720:N+A319-20251223073")</f>
        <v>G720:N+A319-20251223073</v>
      </c>
    </row>
    <row r="2553" spans="1:14">
      <c r="A2553" s="1">
        <v>46073.981354166666</v>
      </c>
      <c r="B2553">
        <v>386559326</v>
      </c>
      <c r="C2553" s="2" t="s">
        <v>2545</v>
      </c>
      <c r="D2553" t="s">
        <v>68</v>
      </c>
      <c r="E2553" s="5">
        <v>5760</v>
      </c>
      <c r="F2553" s="3">
        <v>5760</v>
      </c>
      <c r="G2553" s="3">
        <v>4032</v>
      </c>
      <c r="I2553" s="2" t="s">
        <v>2546</v>
      </c>
      <c r="J2553" s="2" t="s">
        <v>197</v>
      </c>
      <c r="K2553" t="s">
        <v>18</v>
      </c>
      <c r="L2553" t="str">
        <f>T("")</f>
        <v/>
      </c>
      <c r="M2553" t="str">
        <f>T("G720:N+A319-20251223073")</f>
        <v>G720:N+A319-20251223073</v>
      </c>
    </row>
    <row r="2554" spans="1:14">
      <c r="A2554" s="1">
        <v>46073.997685185182</v>
      </c>
      <c r="B2554">
        <v>336198022</v>
      </c>
      <c r="C2554" s="2" t="s">
        <v>544</v>
      </c>
      <c r="D2554" t="s">
        <v>15</v>
      </c>
      <c r="E2554" s="4">
        <v>0</v>
      </c>
      <c r="F2554" s="2">
        <v>0</v>
      </c>
      <c r="G2554" s="2">
        <v>0</v>
      </c>
      <c r="I2554" s="2" t="s">
        <v>540</v>
      </c>
      <c r="J2554" s="2" t="s">
        <v>197</v>
      </c>
      <c r="K2554" t="s">
        <v>18</v>
      </c>
      <c r="L2554" t="str">
        <f>T("9791164098859")</f>
        <v>9791164098859</v>
      </c>
      <c r="M2554" t="str">
        <f>T("")</f>
        <v/>
      </c>
      <c r="N2554" t="s">
        <v>545</v>
      </c>
    </row>
    <row r="2555" spans="1:14">
      <c r="A2555" s="1">
        <v>46074.000925925924</v>
      </c>
      <c r="B2555">
        <v>386057278</v>
      </c>
      <c r="C2555" s="2" t="s">
        <v>1806</v>
      </c>
      <c r="D2555" t="s">
        <v>68</v>
      </c>
      <c r="E2555" s="5">
        <v>5000</v>
      </c>
      <c r="F2555" s="3">
        <v>5000</v>
      </c>
      <c r="G2555" s="3">
        <v>3500</v>
      </c>
      <c r="I2555" s="2" t="s">
        <v>1772</v>
      </c>
      <c r="J2555" s="2" t="s">
        <v>197</v>
      </c>
      <c r="K2555" t="s">
        <v>18</v>
      </c>
      <c r="L2555" t="str">
        <f>T("9791164093281")</f>
        <v>9791164093281</v>
      </c>
      <c r="M2555" t="str">
        <f>T("")</f>
        <v/>
      </c>
    </row>
    <row r="2556" spans="1:14">
      <c r="A2556" s="1">
        <v>46074.016365740739</v>
      </c>
      <c r="B2556">
        <v>384904213</v>
      </c>
      <c r="C2556" s="2" t="s">
        <v>744</v>
      </c>
      <c r="D2556" t="s">
        <v>15</v>
      </c>
      <c r="E2556" s="5">
        <v>1000</v>
      </c>
      <c r="F2556" s="3">
        <v>1000</v>
      </c>
      <c r="G2556" s="2">
        <v>700</v>
      </c>
      <c r="I2556" s="2" t="s">
        <v>745</v>
      </c>
      <c r="J2556" s="2" t="s">
        <v>21</v>
      </c>
      <c r="K2556" t="s">
        <v>18</v>
      </c>
      <c r="L2556" t="str">
        <f>T("9791175582460")</f>
        <v>9791175582460</v>
      </c>
      <c r="M2556" t="str">
        <f>T("")</f>
        <v/>
      </c>
      <c r="N2556" t="s">
        <v>746</v>
      </c>
    </row>
    <row r="2557" spans="1:14">
      <c r="A2557" s="1">
        <v>46074.031608796293</v>
      </c>
      <c r="B2557">
        <v>379511327</v>
      </c>
      <c r="C2557" s="2" t="s">
        <v>262</v>
      </c>
      <c r="D2557" t="s">
        <v>15</v>
      </c>
      <c r="E2557" s="5">
        <v>3300</v>
      </c>
      <c r="F2557" s="3">
        <v>3300</v>
      </c>
      <c r="G2557" s="3">
        <v>2310</v>
      </c>
      <c r="I2557" s="2" t="s">
        <v>263</v>
      </c>
      <c r="J2557" s="2" t="s">
        <v>126</v>
      </c>
      <c r="K2557" t="s">
        <v>18</v>
      </c>
      <c r="L2557" t="str">
        <f>T("9791171502875")</f>
        <v>9791171502875</v>
      </c>
      <c r="M2557" t="str">
        <f>T("")</f>
        <v/>
      </c>
      <c r="N2557" t="s">
        <v>264</v>
      </c>
    </row>
    <row r="2558" spans="1:14">
      <c r="A2558" s="1">
        <v>46074.32172453704</v>
      </c>
      <c r="B2558">
        <v>212448131</v>
      </c>
      <c r="C2558" s="2" t="s">
        <v>2570</v>
      </c>
      <c r="D2558" t="s">
        <v>68</v>
      </c>
      <c r="E2558" s="4">
        <v>900</v>
      </c>
      <c r="F2558" s="2">
        <v>900</v>
      </c>
      <c r="G2558" s="2">
        <v>630</v>
      </c>
      <c r="I2558" s="2" t="s">
        <v>2463</v>
      </c>
      <c r="J2558" s="2" t="s">
        <v>65</v>
      </c>
      <c r="K2558" t="s">
        <v>18</v>
      </c>
      <c r="L2558" t="str">
        <f>T("9791162589298")</f>
        <v>9791162589298</v>
      </c>
      <c r="M2558" t="str">
        <f>T("")</f>
        <v/>
      </c>
    </row>
    <row r="2559" spans="1:14">
      <c r="A2559" s="1">
        <v>46074.326238425929</v>
      </c>
      <c r="B2559">
        <v>386453336</v>
      </c>
      <c r="C2559" s="2" t="s">
        <v>2542</v>
      </c>
      <c r="D2559" t="s">
        <v>15</v>
      </c>
      <c r="E2559" s="4">
        <v>0</v>
      </c>
      <c r="F2559" s="2">
        <v>0</v>
      </c>
      <c r="G2559" s="2">
        <v>0</v>
      </c>
      <c r="I2559" s="2" t="s">
        <v>2543</v>
      </c>
      <c r="J2559" s="2" t="s">
        <v>65</v>
      </c>
      <c r="K2559" t="s">
        <v>18</v>
      </c>
      <c r="L2559" t="str">
        <f>T("")</f>
        <v/>
      </c>
      <c r="M2559" t="str">
        <f>T("G720:N+A319-20260106026.M004")</f>
        <v>G720:N+A319-20260106026.M004</v>
      </c>
      <c r="N2559" t="s">
        <v>2544</v>
      </c>
    </row>
    <row r="2560" spans="1:14">
      <c r="A2560" s="1">
        <v>46074.355509259258</v>
      </c>
      <c r="B2560">
        <v>371101175</v>
      </c>
      <c r="C2560" s="2" t="s">
        <v>2571</v>
      </c>
      <c r="D2560" t="s">
        <v>15</v>
      </c>
      <c r="E2560" s="5">
        <v>3000</v>
      </c>
      <c r="F2560" s="3">
        <v>3000</v>
      </c>
      <c r="G2560" s="3">
        <v>2100</v>
      </c>
      <c r="I2560" s="2" t="s">
        <v>2572</v>
      </c>
      <c r="J2560" s="2" t="s">
        <v>184</v>
      </c>
      <c r="K2560" t="s">
        <v>18</v>
      </c>
      <c r="L2560" t="str">
        <f>T("9791170963752")</f>
        <v>9791170963752</v>
      </c>
      <c r="M2560" t="str">
        <f t="shared" ref="M2560:M2571" si="110">T("")</f>
        <v/>
      </c>
      <c r="N2560" t="s">
        <v>2573</v>
      </c>
    </row>
    <row r="2561" spans="1:14">
      <c r="A2561" s="1">
        <v>46074.38177083333</v>
      </c>
      <c r="B2561">
        <v>372487137</v>
      </c>
      <c r="C2561" s="2" t="s">
        <v>147</v>
      </c>
      <c r="D2561" t="s">
        <v>15</v>
      </c>
      <c r="E2561" s="5">
        <v>1000</v>
      </c>
      <c r="F2561" s="3">
        <v>1000</v>
      </c>
      <c r="G2561" s="2">
        <v>700</v>
      </c>
      <c r="I2561" s="2" t="s">
        <v>148</v>
      </c>
      <c r="J2561" s="2" t="s">
        <v>21</v>
      </c>
      <c r="K2561" t="s">
        <v>18</v>
      </c>
      <c r="L2561" t="str">
        <f>T("9791173017797")</f>
        <v>9791173017797</v>
      </c>
      <c r="M2561" t="str">
        <f t="shared" si="110"/>
        <v/>
      </c>
      <c r="N2561" t="s">
        <v>149</v>
      </c>
    </row>
    <row r="2562" spans="1:14">
      <c r="A2562" s="1">
        <v>46074.38177083333</v>
      </c>
      <c r="B2562">
        <v>379527576</v>
      </c>
      <c r="C2562" s="2" t="s">
        <v>150</v>
      </c>
      <c r="D2562" t="s">
        <v>15</v>
      </c>
      <c r="E2562" s="5">
        <v>1000</v>
      </c>
      <c r="F2562" s="3">
        <v>1000</v>
      </c>
      <c r="G2562" s="2">
        <v>700</v>
      </c>
      <c r="I2562" s="2" t="s">
        <v>148</v>
      </c>
      <c r="J2562" s="2" t="s">
        <v>21</v>
      </c>
      <c r="K2562" t="s">
        <v>18</v>
      </c>
      <c r="L2562" t="str">
        <f>T("9791175580541")</f>
        <v>9791175580541</v>
      </c>
      <c r="M2562" t="str">
        <f t="shared" si="110"/>
        <v/>
      </c>
      <c r="N2562" t="s">
        <v>151</v>
      </c>
    </row>
    <row r="2563" spans="1:14">
      <c r="A2563" s="1">
        <v>46074.38177083333</v>
      </c>
      <c r="B2563">
        <v>382626257</v>
      </c>
      <c r="C2563" s="2" t="s">
        <v>152</v>
      </c>
      <c r="D2563" t="s">
        <v>15</v>
      </c>
      <c r="E2563" s="5">
        <v>1000</v>
      </c>
      <c r="F2563" s="3">
        <v>1000</v>
      </c>
      <c r="G2563" s="2">
        <v>700</v>
      </c>
      <c r="I2563" s="2" t="s">
        <v>148</v>
      </c>
      <c r="J2563" s="2" t="s">
        <v>21</v>
      </c>
      <c r="K2563" t="s">
        <v>18</v>
      </c>
      <c r="L2563" t="str">
        <f>T("9791175581906")</f>
        <v>9791175581906</v>
      </c>
      <c r="M2563" t="str">
        <f t="shared" si="110"/>
        <v/>
      </c>
      <c r="N2563" t="s">
        <v>153</v>
      </c>
    </row>
    <row r="2564" spans="1:14">
      <c r="A2564" s="1">
        <v>46074.38177083333</v>
      </c>
      <c r="B2564">
        <v>366699561</v>
      </c>
      <c r="C2564" s="2" t="s">
        <v>156</v>
      </c>
      <c r="D2564" t="s">
        <v>15</v>
      </c>
      <c r="E2564" s="5">
        <v>1100</v>
      </c>
      <c r="F2564" s="3">
        <v>1100</v>
      </c>
      <c r="G2564" s="2">
        <v>770</v>
      </c>
      <c r="I2564" s="2" t="s">
        <v>148</v>
      </c>
      <c r="J2564" s="2" t="s">
        <v>21</v>
      </c>
      <c r="K2564" t="s">
        <v>18</v>
      </c>
      <c r="L2564" t="str">
        <f>T("9791173015137")</f>
        <v>9791173015137</v>
      </c>
      <c r="M2564" t="str">
        <f t="shared" si="110"/>
        <v/>
      </c>
      <c r="N2564" t="s">
        <v>157</v>
      </c>
    </row>
    <row r="2565" spans="1:14">
      <c r="A2565" s="1">
        <v>46074.38177083333</v>
      </c>
      <c r="B2565">
        <v>364579911</v>
      </c>
      <c r="C2565" s="2" t="s">
        <v>1399</v>
      </c>
      <c r="D2565" t="s">
        <v>15</v>
      </c>
      <c r="E2565" s="5">
        <v>1000</v>
      </c>
      <c r="F2565" s="3">
        <v>1000</v>
      </c>
      <c r="G2565" s="2">
        <v>700</v>
      </c>
      <c r="I2565" s="2" t="s">
        <v>148</v>
      </c>
      <c r="J2565" s="2" t="s">
        <v>21</v>
      </c>
      <c r="K2565" t="s">
        <v>18</v>
      </c>
      <c r="L2565" t="str">
        <f>T("9791173014239")</f>
        <v>9791173014239</v>
      </c>
      <c r="M2565" t="str">
        <f t="shared" si="110"/>
        <v/>
      </c>
      <c r="N2565" t="s">
        <v>1400</v>
      </c>
    </row>
    <row r="2566" spans="1:14">
      <c r="A2566" s="1">
        <v>46074.38177083333</v>
      </c>
      <c r="B2566">
        <v>360694024</v>
      </c>
      <c r="C2566" s="2" t="s">
        <v>1210</v>
      </c>
      <c r="D2566" t="s">
        <v>15</v>
      </c>
      <c r="E2566" s="5">
        <v>1000</v>
      </c>
      <c r="F2566" s="3">
        <v>1000</v>
      </c>
      <c r="G2566" s="2">
        <v>700</v>
      </c>
      <c r="I2566" s="2" t="s">
        <v>148</v>
      </c>
      <c r="J2566" s="2" t="s">
        <v>21</v>
      </c>
      <c r="K2566" t="s">
        <v>18</v>
      </c>
      <c r="L2566" t="str">
        <f>T("9791173013133")</f>
        <v>9791173013133</v>
      </c>
      <c r="M2566" t="str">
        <f t="shared" si="110"/>
        <v/>
      </c>
      <c r="N2566" t="s">
        <v>1211</v>
      </c>
    </row>
    <row r="2567" spans="1:14">
      <c r="A2567" s="1">
        <v>46074.38177083333</v>
      </c>
      <c r="B2567">
        <v>362753625</v>
      </c>
      <c r="C2567" s="2" t="s">
        <v>268</v>
      </c>
      <c r="D2567" t="s">
        <v>15</v>
      </c>
      <c r="E2567" s="5">
        <v>1000</v>
      </c>
      <c r="F2567" s="3">
        <v>1000</v>
      </c>
      <c r="G2567" s="2">
        <v>700</v>
      </c>
      <c r="I2567" s="2" t="s">
        <v>148</v>
      </c>
      <c r="J2567" s="2" t="s">
        <v>21</v>
      </c>
      <c r="K2567" t="s">
        <v>18</v>
      </c>
      <c r="L2567" t="str">
        <f>T("9791173014116")</f>
        <v>9791173014116</v>
      </c>
      <c r="M2567" t="str">
        <f t="shared" si="110"/>
        <v/>
      </c>
      <c r="N2567" t="s">
        <v>269</v>
      </c>
    </row>
    <row r="2568" spans="1:14">
      <c r="A2568" s="1">
        <v>46074.38177083333</v>
      </c>
      <c r="B2568">
        <v>355155067</v>
      </c>
      <c r="C2568" s="2" t="s">
        <v>1208</v>
      </c>
      <c r="D2568" t="s">
        <v>15</v>
      </c>
      <c r="E2568" s="5">
        <v>1000</v>
      </c>
      <c r="F2568" s="3">
        <v>1000</v>
      </c>
      <c r="G2568" s="2">
        <v>700</v>
      </c>
      <c r="I2568" s="2" t="s">
        <v>148</v>
      </c>
      <c r="J2568" s="2" t="s">
        <v>21</v>
      </c>
      <c r="K2568" t="s">
        <v>18</v>
      </c>
      <c r="L2568" t="str">
        <f>T("9791173011184")</f>
        <v>9791173011184</v>
      </c>
      <c r="M2568" t="str">
        <f t="shared" si="110"/>
        <v/>
      </c>
      <c r="N2568" t="s">
        <v>1209</v>
      </c>
    </row>
    <row r="2569" spans="1:14">
      <c r="A2569" s="1">
        <v>46074.384675925925</v>
      </c>
      <c r="B2569">
        <v>378390230</v>
      </c>
      <c r="C2569" s="2" t="s">
        <v>285</v>
      </c>
      <c r="D2569" t="s">
        <v>15</v>
      </c>
      <c r="E2569" s="5">
        <v>1000</v>
      </c>
      <c r="F2569" s="3">
        <v>1000</v>
      </c>
      <c r="G2569" s="2">
        <v>700</v>
      </c>
      <c r="I2569" s="2" t="s">
        <v>286</v>
      </c>
      <c r="J2569" s="2" t="s">
        <v>21</v>
      </c>
      <c r="K2569" t="s">
        <v>18</v>
      </c>
      <c r="L2569" t="str">
        <f>T("9791175580459")</f>
        <v>9791175580459</v>
      </c>
      <c r="M2569" t="str">
        <f t="shared" si="110"/>
        <v/>
      </c>
      <c r="N2569" t="s">
        <v>287</v>
      </c>
    </row>
    <row r="2570" spans="1:14">
      <c r="A2570" s="1">
        <v>46074.401388888888</v>
      </c>
      <c r="B2570">
        <v>370130308</v>
      </c>
      <c r="C2570" s="2" t="s">
        <v>1055</v>
      </c>
      <c r="D2570" t="s">
        <v>68</v>
      </c>
      <c r="E2570" s="4">
        <v>700</v>
      </c>
      <c r="F2570" s="2">
        <v>700</v>
      </c>
      <c r="G2570" s="2">
        <v>490</v>
      </c>
      <c r="I2570" s="2" t="s">
        <v>244</v>
      </c>
      <c r="J2570" s="2" t="s">
        <v>245</v>
      </c>
      <c r="K2570" t="s">
        <v>18</v>
      </c>
      <c r="L2570" t="str">
        <f>T("9791164489022")</f>
        <v>9791164489022</v>
      </c>
      <c r="M2570" t="str">
        <f t="shared" si="110"/>
        <v/>
      </c>
      <c r="N2570" t="s">
        <v>1056</v>
      </c>
    </row>
    <row r="2571" spans="1:14">
      <c r="A2571" s="1">
        <v>46074.405243055553</v>
      </c>
      <c r="B2571">
        <v>379527594</v>
      </c>
      <c r="C2571" s="2" t="s">
        <v>460</v>
      </c>
      <c r="D2571" t="s">
        <v>15</v>
      </c>
      <c r="E2571" s="5">
        <v>1000</v>
      </c>
      <c r="F2571" s="3">
        <v>1000</v>
      </c>
      <c r="G2571" s="2">
        <v>700</v>
      </c>
      <c r="I2571" s="2" t="s">
        <v>296</v>
      </c>
      <c r="J2571" s="2" t="s">
        <v>21</v>
      </c>
      <c r="K2571" t="s">
        <v>18</v>
      </c>
      <c r="L2571" t="str">
        <f>T("9791175581258")</f>
        <v>9791175581258</v>
      </c>
      <c r="M2571" t="str">
        <f t="shared" si="110"/>
        <v/>
      </c>
      <c r="N2571" t="s">
        <v>461</v>
      </c>
    </row>
    <row r="2572" spans="1:14">
      <c r="A2572" s="1">
        <v>46074.447997685187</v>
      </c>
      <c r="B2572">
        <v>386559327</v>
      </c>
      <c r="C2572" s="2" t="s">
        <v>2555</v>
      </c>
      <c r="D2572" t="s">
        <v>15</v>
      </c>
      <c r="E2572" s="5">
        <v>4000</v>
      </c>
      <c r="F2572" s="3">
        <v>3600</v>
      </c>
      <c r="G2572" s="3">
        <v>2520</v>
      </c>
      <c r="I2572" s="2" t="s">
        <v>2536</v>
      </c>
      <c r="J2572" s="2" t="s">
        <v>197</v>
      </c>
      <c r="K2572" t="s">
        <v>18</v>
      </c>
      <c r="L2572" t="str">
        <f>T("")</f>
        <v/>
      </c>
      <c r="M2572" t="str">
        <f>T("G720:N+A319-20251223071")</f>
        <v>G720:N+A319-20251223071</v>
      </c>
    </row>
    <row r="2573" spans="1:14">
      <c r="A2573" s="1">
        <v>46074.466874999998</v>
      </c>
      <c r="B2573">
        <v>378947390</v>
      </c>
      <c r="C2573" s="2" t="s">
        <v>1104</v>
      </c>
      <c r="D2573" t="s">
        <v>68</v>
      </c>
      <c r="E2573" s="5">
        <v>3360</v>
      </c>
      <c r="F2573" s="3">
        <v>3360</v>
      </c>
      <c r="G2573" s="3">
        <v>2352</v>
      </c>
      <c r="I2573" s="2" t="s">
        <v>1105</v>
      </c>
      <c r="J2573" s="2" t="s">
        <v>197</v>
      </c>
      <c r="K2573" t="s">
        <v>18</v>
      </c>
      <c r="L2573" t="str">
        <f>T("9791172822002")</f>
        <v>9791172822002</v>
      </c>
      <c r="M2573" t="str">
        <f t="shared" ref="M2573:M2583" si="111">T("")</f>
        <v/>
      </c>
    </row>
    <row r="2574" spans="1:14">
      <c r="A2574" s="1">
        <v>46074.471180555556</v>
      </c>
      <c r="B2574">
        <v>386057277</v>
      </c>
      <c r="C2574" s="2" t="s">
        <v>1609</v>
      </c>
      <c r="D2574" t="s">
        <v>68</v>
      </c>
      <c r="E2574" s="5">
        <v>3750</v>
      </c>
      <c r="F2574" s="3">
        <v>3750</v>
      </c>
      <c r="G2574" s="3">
        <v>2625</v>
      </c>
      <c r="I2574" s="2" t="s">
        <v>1610</v>
      </c>
      <c r="J2574" s="2" t="s">
        <v>197</v>
      </c>
      <c r="K2574" t="s">
        <v>18</v>
      </c>
      <c r="L2574" t="str">
        <f>T("9791164095315")</f>
        <v>9791164095315</v>
      </c>
      <c r="M2574" t="str">
        <f t="shared" si="111"/>
        <v/>
      </c>
    </row>
    <row r="2575" spans="1:14">
      <c r="A2575" s="1">
        <v>46074.480324074073</v>
      </c>
      <c r="B2575">
        <v>385373286</v>
      </c>
      <c r="C2575" s="2" t="s">
        <v>384</v>
      </c>
      <c r="D2575" t="s">
        <v>15</v>
      </c>
      <c r="E2575" s="4">
        <v>0</v>
      </c>
      <c r="F2575" s="2">
        <v>0</v>
      </c>
      <c r="G2575" s="2">
        <v>0</v>
      </c>
      <c r="I2575" s="2" t="s">
        <v>385</v>
      </c>
      <c r="J2575" s="2" t="s">
        <v>290</v>
      </c>
      <c r="K2575" t="s">
        <v>18</v>
      </c>
      <c r="L2575" t="str">
        <f>T("9791194982302")</f>
        <v>9791194982302</v>
      </c>
      <c r="M2575" t="str">
        <f t="shared" si="111"/>
        <v/>
      </c>
      <c r="N2575" t="s">
        <v>386</v>
      </c>
    </row>
    <row r="2576" spans="1:14">
      <c r="A2576" s="1">
        <v>46074.480324074073</v>
      </c>
      <c r="B2576">
        <v>385373316</v>
      </c>
      <c r="C2576" s="2" t="s">
        <v>387</v>
      </c>
      <c r="D2576" t="s">
        <v>15</v>
      </c>
      <c r="E2576" s="4">
        <v>0</v>
      </c>
      <c r="F2576" s="2">
        <v>0</v>
      </c>
      <c r="G2576" s="2">
        <v>0</v>
      </c>
      <c r="I2576" s="2" t="s">
        <v>388</v>
      </c>
      <c r="J2576" s="2" t="s">
        <v>290</v>
      </c>
      <c r="K2576" t="s">
        <v>18</v>
      </c>
      <c r="L2576" t="str">
        <f>T("9791194982036")</f>
        <v>9791194982036</v>
      </c>
      <c r="M2576" t="str">
        <f t="shared" si="111"/>
        <v/>
      </c>
      <c r="N2576" t="s">
        <v>389</v>
      </c>
    </row>
    <row r="2577" spans="1:14">
      <c r="A2577" s="1">
        <v>46074.598414351851</v>
      </c>
      <c r="B2577">
        <v>371345723</v>
      </c>
      <c r="C2577" s="2" t="s">
        <v>525</v>
      </c>
      <c r="D2577" t="s">
        <v>68</v>
      </c>
      <c r="E2577" s="5">
        <v>2310</v>
      </c>
      <c r="F2577" s="3">
        <v>2310</v>
      </c>
      <c r="G2577" s="3">
        <v>1617</v>
      </c>
      <c r="I2577" s="2" t="s">
        <v>196</v>
      </c>
      <c r="J2577" s="2" t="s">
        <v>197</v>
      </c>
      <c r="K2577" t="s">
        <v>18</v>
      </c>
      <c r="L2577" t="str">
        <f>T("9791172821692")</f>
        <v>9791172821692</v>
      </c>
      <c r="M2577" t="str">
        <f t="shared" si="111"/>
        <v/>
      </c>
      <c r="N2577" t="s">
        <v>526</v>
      </c>
    </row>
    <row r="2578" spans="1:14">
      <c r="A2578" s="1">
        <v>46074.598993055559</v>
      </c>
      <c r="B2578">
        <v>371345723</v>
      </c>
      <c r="C2578" s="2" t="s">
        <v>525</v>
      </c>
      <c r="D2578" t="s">
        <v>68</v>
      </c>
      <c r="E2578" s="5">
        <v>-2310</v>
      </c>
      <c r="F2578" s="3">
        <v>-2310</v>
      </c>
      <c r="G2578" s="3">
        <v>-1617</v>
      </c>
      <c r="H2578" s="1">
        <v>46074.598414351851</v>
      </c>
      <c r="I2578" s="2" t="s">
        <v>196</v>
      </c>
      <c r="J2578" s="2" t="s">
        <v>197</v>
      </c>
      <c r="K2578" t="s">
        <v>18</v>
      </c>
      <c r="L2578" t="str">
        <f>T("9791172821692")</f>
        <v>9791172821692</v>
      </c>
      <c r="M2578" t="str">
        <f t="shared" si="111"/>
        <v/>
      </c>
      <c r="N2578" t="s">
        <v>526</v>
      </c>
    </row>
    <row r="2579" spans="1:14">
      <c r="A2579" s="1">
        <v>46074.59946759259</v>
      </c>
      <c r="B2579">
        <v>371345723</v>
      </c>
      <c r="C2579" s="2" t="s">
        <v>525</v>
      </c>
      <c r="D2579" t="s">
        <v>68</v>
      </c>
      <c r="E2579" s="5">
        <v>2310</v>
      </c>
      <c r="F2579" s="3">
        <v>2310</v>
      </c>
      <c r="G2579" s="3">
        <v>1617</v>
      </c>
      <c r="I2579" s="2" t="s">
        <v>196</v>
      </c>
      <c r="J2579" s="2" t="s">
        <v>197</v>
      </c>
      <c r="K2579" t="s">
        <v>18</v>
      </c>
      <c r="L2579" t="str">
        <f>T("9791172821692")</f>
        <v>9791172821692</v>
      </c>
      <c r="M2579" t="str">
        <f t="shared" si="111"/>
        <v/>
      </c>
      <c r="N2579" t="s">
        <v>526</v>
      </c>
    </row>
    <row r="2580" spans="1:14">
      <c r="A2580" s="1">
        <v>46074.599652777775</v>
      </c>
      <c r="B2580">
        <v>385347797</v>
      </c>
      <c r="C2580" s="2" t="s">
        <v>195</v>
      </c>
      <c r="D2580" t="s">
        <v>15</v>
      </c>
      <c r="E2580" s="4">
        <v>700</v>
      </c>
      <c r="F2580" s="2">
        <v>630</v>
      </c>
      <c r="G2580" s="2">
        <v>441</v>
      </c>
      <c r="I2580" s="2" t="s">
        <v>196</v>
      </c>
      <c r="J2580" s="2" t="s">
        <v>197</v>
      </c>
      <c r="K2580" t="s">
        <v>18</v>
      </c>
      <c r="L2580" t="str">
        <f>T("9791172821937")</f>
        <v>9791172821937</v>
      </c>
      <c r="M2580" t="str">
        <f t="shared" si="111"/>
        <v/>
      </c>
      <c r="N2580" t="s">
        <v>198</v>
      </c>
    </row>
    <row r="2581" spans="1:14">
      <c r="A2581" s="1">
        <v>46074.608252314814</v>
      </c>
      <c r="B2581">
        <v>330365846</v>
      </c>
      <c r="C2581" s="2" t="s">
        <v>2088</v>
      </c>
      <c r="D2581" t="s">
        <v>15</v>
      </c>
      <c r="E2581" s="5">
        <v>2500</v>
      </c>
      <c r="F2581" s="3">
        <v>2500</v>
      </c>
      <c r="G2581" s="3">
        <v>1750</v>
      </c>
      <c r="I2581" s="2" t="s">
        <v>266</v>
      </c>
      <c r="J2581" s="2" t="s">
        <v>126</v>
      </c>
      <c r="K2581" t="s">
        <v>18</v>
      </c>
      <c r="L2581" t="str">
        <f>T("9791171500123")</f>
        <v>9791171500123</v>
      </c>
      <c r="M2581" t="str">
        <f t="shared" si="111"/>
        <v/>
      </c>
      <c r="N2581" t="s">
        <v>2089</v>
      </c>
    </row>
    <row r="2582" spans="1:14">
      <c r="A2582" s="1">
        <v>46074.611284722225</v>
      </c>
      <c r="B2582">
        <v>348085016</v>
      </c>
      <c r="C2582" s="2" t="s">
        <v>977</v>
      </c>
      <c r="D2582" t="s">
        <v>15</v>
      </c>
      <c r="E2582" s="5">
        <v>2500</v>
      </c>
      <c r="F2582" s="3">
        <v>2500</v>
      </c>
      <c r="G2582" s="3">
        <v>1750</v>
      </c>
      <c r="I2582" s="2" t="s">
        <v>266</v>
      </c>
      <c r="J2582" s="2" t="s">
        <v>126</v>
      </c>
      <c r="K2582" t="s">
        <v>18</v>
      </c>
      <c r="L2582" t="str">
        <f>T("9791171501151")</f>
        <v>9791171501151</v>
      </c>
      <c r="M2582" t="str">
        <f t="shared" si="111"/>
        <v/>
      </c>
      <c r="N2582" t="s">
        <v>978</v>
      </c>
    </row>
    <row r="2583" spans="1:14">
      <c r="A2583" s="1">
        <v>46074.638842592591</v>
      </c>
      <c r="B2583">
        <v>386057276</v>
      </c>
      <c r="C2583" s="2" t="s">
        <v>1681</v>
      </c>
      <c r="D2583" t="s">
        <v>68</v>
      </c>
      <c r="E2583" s="5">
        <v>8100</v>
      </c>
      <c r="F2583" s="3">
        <v>8100</v>
      </c>
      <c r="G2583" s="3">
        <v>5670</v>
      </c>
      <c r="I2583" s="2" t="s">
        <v>1682</v>
      </c>
      <c r="J2583" s="2" t="s">
        <v>197</v>
      </c>
      <c r="K2583" t="s">
        <v>18</v>
      </c>
      <c r="L2583" t="str">
        <f>T("9791164097661")</f>
        <v>9791164097661</v>
      </c>
      <c r="M2583" t="str">
        <f t="shared" si="111"/>
        <v/>
      </c>
    </row>
    <row r="2584" spans="1:14">
      <c r="A2584" s="1">
        <v>46074.643807870372</v>
      </c>
      <c r="B2584">
        <v>385852578</v>
      </c>
      <c r="C2584" s="2" t="s">
        <v>1625</v>
      </c>
      <c r="D2584" t="s">
        <v>15</v>
      </c>
      <c r="E2584" s="5">
        <v>1100</v>
      </c>
      <c r="F2584" s="3">
        <v>1100</v>
      </c>
      <c r="G2584" s="2">
        <v>770</v>
      </c>
      <c r="I2584" s="2" t="s">
        <v>166</v>
      </c>
      <c r="J2584" s="2" t="s">
        <v>21</v>
      </c>
      <c r="K2584" t="s">
        <v>18</v>
      </c>
      <c r="L2584" t="str">
        <f>T("")</f>
        <v/>
      </c>
      <c r="M2584" t="str">
        <f>T("G720:N+A31120251203017.M002")</f>
        <v>G720:N+A31120251203017.M002</v>
      </c>
      <c r="N2584" t="s">
        <v>1626</v>
      </c>
    </row>
    <row r="2585" spans="1:14">
      <c r="A2585" s="1">
        <v>46074.643807870372</v>
      </c>
      <c r="B2585">
        <v>370830362</v>
      </c>
      <c r="C2585" s="2" t="s">
        <v>643</v>
      </c>
      <c r="D2585" t="s">
        <v>15</v>
      </c>
      <c r="E2585" s="5">
        <v>1000</v>
      </c>
      <c r="F2585" s="3">
        <v>1000</v>
      </c>
      <c r="G2585" s="2">
        <v>700</v>
      </c>
      <c r="I2585" s="2" t="s">
        <v>166</v>
      </c>
      <c r="J2585" s="2" t="s">
        <v>21</v>
      </c>
      <c r="K2585" t="s">
        <v>18</v>
      </c>
      <c r="L2585" t="str">
        <f>T("9791173017285")</f>
        <v>9791173017285</v>
      </c>
      <c r="M2585" t="str">
        <f t="shared" ref="M2585:M2605" si="112">T("")</f>
        <v/>
      </c>
      <c r="N2585" t="s">
        <v>644</v>
      </c>
    </row>
    <row r="2586" spans="1:14">
      <c r="A2586" s="1">
        <v>46074.648587962962</v>
      </c>
      <c r="B2586">
        <v>212448132</v>
      </c>
      <c r="C2586" s="2" t="s">
        <v>2574</v>
      </c>
      <c r="D2586" t="s">
        <v>68</v>
      </c>
      <c r="E2586" s="4">
        <v>900</v>
      </c>
      <c r="F2586" s="2">
        <v>900</v>
      </c>
      <c r="G2586" s="2">
        <v>630</v>
      </c>
      <c r="I2586" s="2" t="s">
        <v>2463</v>
      </c>
      <c r="J2586" s="2" t="s">
        <v>65</v>
      </c>
      <c r="K2586" t="s">
        <v>18</v>
      </c>
      <c r="L2586" t="str">
        <f>T("9791162589304")</f>
        <v>9791162589304</v>
      </c>
      <c r="M2586" t="str">
        <f t="shared" si="112"/>
        <v/>
      </c>
    </row>
    <row r="2587" spans="1:14">
      <c r="A2587" s="1">
        <v>46074.679027777776</v>
      </c>
      <c r="B2587">
        <v>334957010</v>
      </c>
      <c r="C2587" s="2" t="s">
        <v>2449</v>
      </c>
      <c r="D2587" t="s">
        <v>15</v>
      </c>
      <c r="E2587" s="5">
        <v>3000</v>
      </c>
      <c r="F2587" s="3">
        <v>3000</v>
      </c>
      <c r="G2587" s="3">
        <v>2100</v>
      </c>
      <c r="I2587" s="2" t="s">
        <v>833</v>
      </c>
      <c r="J2587" s="2" t="s">
        <v>65</v>
      </c>
      <c r="K2587" t="s">
        <v>18</v>
      </c>
      <c r="L2587" t="str">
        <f>T("9791137018778")</f>
        <v>9791137018778</v>
      </c>
      <c r="M2587" t="str">
        <f t="shared" si="112"/>
        <v/>
      </c>
      <c r="N2587" t="s">
        <v>2450</v>
      </c>
    </row>
    <row r="2588" spans="1:14">
      <c r="A2588" s="1">
        <v>46074.679027777776</v>
      </c>
      <c r="B2588">
        <v>334957014</v>
      </c>
      <c r="C2588" s="2" t="s">
        <v>2437</v>
      </c>
      <c r="D2588" t="s">
        <v>15</v>
      </c>
      <c r="E2588" s="5">
        <v>3000</v>
      </c>
      <c r="F2588" s="3">
        <v>3000</v>
      </c>
      <c r="G2588" s="3">
        <v>2100</v>
      </c>
      <c r="I2588" s="2" t="s">
        <v>833</v>
      </c>
      <c r="J2588" s="2" t="s">
        <v>65</v>
      </c>
      <c r="K2588" t="s">
        <v>18</v>
      </c>
      <c r="L2588" t="str">
        <f>T("9791137018815")</f>
        <v>9791137018815</v>
      </c>
      <c r="M2588" t="str">
        <f t="shared" si="112"/>
        <v/>
      </c>
      <c r="N2588" t="s">
        <v>2438</v>
      </c>
    </row>
    <row r="2589" spans="1:14">
      <c r="A2589" s="1">
        <v>46074.679027777776</v>
      </c>
      <c r="B2589">
        <v>334957007</v>
      </c>
      <c r="C2589" s="2" t="s">
        <v>2445</v>
      </c>
      <c r="D2589" t="s">
        <v>15</v>
      </c>
      <c r="E2589" s="5">
        <v>3000</v>
      </c>
      <c r="F2589" s="3">
        <v>3000</v>
      </c>
      <c r="G2589" s="3">
        <v>2100</v>
      </c>
      <c r="I2589" s="2" t="s">
        <v>833</v>
      </c>
      <c r="J2589" s="2" t="s">
        <v>65</v>
      </c>
      <c r="K2589" t="s">
        <v>18</v>
      </c>
      <c r="L2589" t="str">
        <f>T("9791137018792")</f>
        <v>9791137018792</v>
      </c>
      <c r="M2589" t="str">
        <f t="shared" si="112"/>
        <v/>
      </c>
      <c r="N2589" t="s">
        <v>2446</v>
      </c>
    </row>
    <row r="2590" spans="1:14">
      <c r="A2590" s="1">
        <v>46074.679027777776</v>
      </c>
      <c r="B2590">
        <v>334957008</v>
      </c>
      <c r="C2590" s="2" t="s">
        <v>2447</v>
      </c>
      <c r="D2590" t="s">
        <v>15</v>
      </c>
      <c r="E2590" s="4">
        <v>0</v>
      </c>
      <c r="F2590" s="2">
        <v>0</v>
      </c>
      <c r="G2590" s="2">
        <v>0</v>
      </c>
      <c r="I2590" s="2" t="s">
        <v>833</v>
      </c>
      <c r="J2590" s="2" t="s">
        <v>65</v>
      </c>
      <c r="K2590" t="s">
        <v>18</v>
      </c>
      <c r="L2590" t="str">
        <f>T("9791137018761")</f>
        <v>9791137018761</v>
      </c>
      <c r="M2590" t="str">
        <f t="shared" si="112"/>
        <v/>
      </c>
      <c r="N2590" t="s">
        <v>2448</v>
      </c>
    </row>
    <row r="2591" spans="1:14">
      <c r="A2591" s="1">
        <v>46074.679027777776</v>
      </c>
      <c r="B2591">
        <v>334957017</v>
      </c>
      <c r="C2591" s="2" t="s">
        <v>2443</v>
      </c>
      <c r="D2591" t="s">
        <v>15</v>
      </c>
      <c r="E2591" s="5">
        <v>3000</v>
      </c>
      <c r="F2591" s="3">
        <v>3000</v>
      </c>
      <c r="G2591" s="3">
        <v>2100</v>
      </c>
      <c r="I2591" s="2" t="s">
        <v>833</v>
      </c>
      <c r="J2591" s="2" t="s">
        <v>65</v>
      </c>
      <c r="K2591" t="s">
        <v>18</v>
      </c>
      <c r="L2591" t="str">
        <f>T("9791137018808")</f>
        <v>9791137018808</v>
      </c>
      <c r="M2591" t="str">
        <f t="shared" si="112"/>
        <v/>
      </c>
      <c r="N2591" t="s">
        <v>2444</v>
      </c>
    </row>
    <row r="2592" spans="1:14">
      <c r="A2592" s="1">
        <v>46074.679027777776</v>
      </c>
      <c r="B2592">
        <v>334957018</v>
      </c>
      <c r="C2592" s="2" t="s">
        <v>2433</v>
      </c>
      <c r="D2592" t="s">
        <v>15</v>
      </c>
      <c r="E2592" s="5">
        <v>3000</v>
      </c>
      <c r="F2592" s="3">
        <v>3000</v>
      </c>
      <c r="G2592" s="3">
        <v>2100</v>
      </c>
      <c r="I2592" s="2" t="s">
        <v>833</v>
      </c>
      <c r="J2592" s="2" t="s">
        <v>65</v>
      </c>
      <c r="K2592" t="s">
        <v>18</v>
      </c>
      <c r="L2592" t="str">
        <f>T("9791137018839")</f>
        <v>9791137018839</v>
      </c>
      <c r="M2592" t="str">
        <f t="shared" si="112"/>
        <v/>
      </c>
      <c r="N2592" t="s">
        <v>2434</v>
      </c>
    </row>
    <row r="2593" spans="1:14">
      <c r="A2593" s="1">
        <v>46074.679027777776</v>
      </c>
      <c r="B2593">
        <v>334957015</v>
      </c>
      <c r="C2593" s="2" t="s">
        <v>2439</v>
      </c>
      <c r="D2593" t="s">
        <v>15</v>
      </c>
      <c r="E2593" s="5">
        <v>3000</v>
      </c>
      <c r="F2593" s="3">
        <v>3000</v>
      </c>
      <c r="G2593" s="3">
        <v>2100</v>
      </c>
      <c r="I2593" s="2" t="s">
        <v>833</v>
      </c>
      <c r="J2593" s="2" t="s">
        <v>65</v>
      </c>
      <c r="K2593" t="s">
        <v>18</v>
      </c>
      <c r="L2593" t="str">
        <f>T("9791137018785")</f>
        <v>9791137018785</v>
      </c>
      <c r="M2593" t="str">
        <f t="shared" si="112"/>
        <v/>
      </c>
      <c r="N2593" t="s">
        <v>2440</v>
      </c>
    </row>
    <row r="2594" spans="1:14">
      <c r="A2594" s="1">
        <v>46074.679027777776</v>
      </c>
      <c r="B2594">
        <v>334957016</v>
      </c>
      <c r="C2594" s="2" t="s">
        <v>2441</v>
      </c>
      <c r="D2594" t="s">
        <v>15</v>
      </c>
      <c r="E2594" s="5">
        <v>3000</v>
      </c>
      <c r="F2594" s="3">
        <v>3000</v>
      </c>
      <c r="G2594" s="3">
        <v>2100</v>
      </c>
      <c r="I2594" s="2" t="s">
        <v>833</v>
      </c>
      <c r="J2594" s="2" t="s">
        <v>65</v>
      </c>
      <c r="K2594" t="s">
        <v>18</v>
      </c>
      <c r="L2594" t="str">
        <f>T("9791137018822")</f>
        <v>9791137018822</v>
      </c>
      <c r="M2594" t="str">
        <f t="shared" si="112"/>
        <v/>
      </c>
      <c r="N2594" t="s">
        <v>2442</v>
      </c>
    </row>
    <row r="2595" spans="1:14">
      <c r="A2595" s="1">
        <v>46074.679027777776</v>
      </c>
      <c r="B2595">
        <v>334957019</v>
      </c>
      <c r="C2595" s="2" t="s">
        <v>2435</v>
      </c>
      <c r="D2595" t="s">
        <v>15</v>
      </c>
      <c r="E2595" s="5">
        <v>3000</v>
      </c>
      <c r="F2595" s="3">
        <v>3000</v>
      </c>
      <c r="G2595" s="3">
        <v>2100</v>
      </c>
      <c r="I2595" s="2" t="s">
        <v>833</v>
      </c>
      <c r="J2595" s="2" t="s">
        <v>65</v>
      </c>
      <c r="K2595" t="s">
        <v>18</v>
      </c>
      <c r="L2595" t="str">
        <f>T("9791137018846")</f>
        <v>9791137018846</v>
      </c>
      <c r="M2595" t="str">
        <f t="shared" si="112"/>
        <v/>
      </c>
      <c r="N2595" t="s">
        <v>2436</v>
      </c>
    </row>
    <row r="2596" spans="1:14">
      <c r="A2596" s="1">
        <v>46074.679027777776</v>
      </c>
      <c r="B2596">
        <v>334957029</v>
      </c>
      <c r="C2596" s="2" t="s">
        <v>2431</v>
      </c>
      <c r="D2596" t="s">
        <v>15</v>
      </c>
      <c r="E2596" s="5">
        <v>3000</v>
      </c>
      <c r="F2596" s="3">
        <v>3000</v>
      </c>
      <c r="G2596" s="3">
        <v>2100</v>
      </c>
      <c r="I2596" s="2" t="s">
        <v>833</v>
      </c>
      <c r="J2596" s="2" t="s">
        <v>65</v>
      </c>
      <c r="K2596" t="s">
        <v>18</v>
      </c>
      <c r="L2596" t="str">
        <f>T("9791137018860")</f>
        <v>9791137018860</v>
      </c>
      <c r="M2596" t="str">
        <f t="shared" si="112"/>
        <v/>
      </c>
      <c r="N2596" t="s">
        <v>2432</v>
      </c>
    </row>
    <row r="2597" spans="1:14">
      <c r="A2597" s="1">
        <v>46074.680833333332</v>
      </c>
      <c r="B2597">
        <v>354903275</v>
      </c>
      <c r="C2597" s="2" t="s">
        <v>2575</v>
      </c>
      <c r="D2597" t="s">
        <v>15</v>
      </c>
      <c r="E2597" s="5">
        <v>3000</v>
      </c>
      <c r="F2597" s="3">
        <v>3000</v>
      </c>
      <c r="G2597" s="3">
        <v>2100</v>
      </c>
      <c r="I2597" s="2" t="s">
        <v>2576</v>
      </c>
      <c r="J2597" s="2" t="s">
        <v>2577</v>
      </c>
      <c r="K2597" t="s">
        <v>18</v>
      </c>
      <c r="L2597" t="str">
        <f>T("9791171566921")</f>
        <v>9791171566921</v>
      </c>
      <c r="M2597" t="str">
        <f t="shared" si="112"/>
        <v/>
      </c>
      <c r="N2597" t="s">
        <v>2578</v>
      </c>
    </row>
    <row r="2598" spans="1:14">
      <c r="A2598" s="1">
        <v>46074.720081018517</v>
      </c>
      <c r="B2598">
        <v>365291598</v>
      </c>
      <c r="C2598" s="2" t="s">
        <v>2579</v>
      </c>
      <c r="D2598" t="s">
        <v>68</v>
      </c>
      <c r="E2598" s="4">
        <v>0</v>
      </c>
      <c r="F2598" s="2">
        <v>0</v>
      </c>
      <c r="G2598" s="2">
        <v>0</v>
      </c>
      <c r="I2598" s="2" t="s">
        <v>2580</v>
      </c>
      <c r="J2598" s="2" t="s">
        <v>960</v>
      </c>
      <c r="K2598" t="s">
        <v>18</v>
      </c>
      <c r="L2598" t="str">
        <f>T("9791171844883")</f>
        <v>9791171844883</v>
      </c>
      <c r="M2598" t="str">
        <f t="shared" si="112"/>
        <v/>
      </c>
      <c r="N2598" t="s">
        <v>2581</v>
      </c>
    </row>
    <row r="2599" spans="1:14">
      <c r="A2599" s="1">
        <v>46074.722129629627</v>
      </c>
      <c r="B2599">
        <v>370130271</v>
      </c>
      <c r="C2599" s="2" t="s">
        <v>1151</v>
      </c>
      <c r="D2599" t="s">
        <v>68</v>
      </c>
      <c r="E2599" s="4">
        <v>700</v>
      </c>
      <c r="F2599" s="2">
        <v>700</v>
      </c>
      <c r="G2599" s="2">
        <v>490</v>
      </c>
      <c r="I2599" s="2" t="s">
        <v>244</v>
      </c>
      <c r="J2599" s="2" t="s">
        <v>245</v>
      </c>
      <c r="K2599" t="s">
        <v>18</v>
      </c>
      <c r="L2599" t="str">
        <f>T("9791164489091")</f>
        <v>9791164489091</v>
      </c>
      <c r="M2599" t="str">
        <f t="shared" si="112"/>
        <v/>
      </c>
      <c r="N2599" t="s">
        <v>1152</v>
      </c>
    </row>
    <row r="2600" spans="1:14">
      <c r="A2600" s="1">
        <v>46074.729548611111</v>
      </c>
      <c r="B2600">
        <v>386057279</v>
      </c>
      <c r="C2600" s="2" t="s">
        <v>2303</v>
      </c>
      <c r="D2600" t="s">
        <v>68</v>
      </c>
      <c r="E2600" s="5">
        <v>7500</v>
      </c>
      <c r="F2600" s="3">
        <v>7500</v>
      </c>
      <c r="G2600" s="3">
        <v>5250</v>
      </c>
      <c r="I2600" s="2" t="s">
        <v>1772</v>
      </c>
      <c r="J2600" s="2" t="s">
        <v>197</v>
      </c>
      <c r="K2600" t="s">
        <v>18</v>
      </c>
      <c r="L2600" t="str">
        <f>T("9791164093304")</f>
        <v>9791164093304</v>
      </c>
      <c r="M2600" t="str">
        <f t="shared" si="112"/>
        <v/>
      </c>
    </row>
    <row r="2601" spans="1:14">
      <c r="A2601" s="1">
        <v>46074.735208333332</v>
      </c>
      <c r="B2601">
        <v>281980495</v>
      </c>
      <c r="C2601" s="2" t="s">
        <v>1598</v>
      </c>
      <c r="D2601" t="s">
        <v>68</v>
      </c>
      <c r="E2601" s="5">
        <v>-2250</v>
      </c>
      <c r="F2601" s="3">
        <v>-2250</v>
      </c>
      <c r="G2601" s="3">
        <v>-1575</v>
      </c>
      <c r="H2601" s="1">
        <v>46074.732418981483</v>
      </c>
      <c r="I2601" s="2" t="s">
        <v>1599</v>
      </c>
      <c r="J2601" s="2" t="s">
        <v>197</v>
      </c>
      <c r="K2601" t="s">
        <v>18</v>
      </c>
      <c r="L2601" t="str">
        <f>T("9791164093779")</f>
        <v>9791164093779</v>
      </c>
      <c r="M2601" t="str">
        <f t="shared" si="112"/>
        <v/>
      </c>
    </row>
    <row r="2602" spans="1:14">
      <c r="A2602" s="1">
        <v>46074.732418981483</v>
      </c>
      <c r="B2602">
        <v>281980495</v>
      </c>
      <c r="C2602" s="2" t="s">
        <v>1598</v>
      </c>
      <c r="D2602" t="s">
        <v>68</v>
      </c>
      <c r="E2602" s="5">
        <v>2250</v>
      </c>
      <c r="F2602" s="3">
        <v>2250</v>
      </c>
      <c r="G2602" s="3">
        <v>1575</v>
      </c>
      <c r="I2602" s="2" t="s">
        <v>1599</v>
      </c>
      <c r="J2602" s="2" t="s">
        <v>197</v>
      </c>
      <c r="K2602" t="s">
        <v>18</v>
      </c>
      <c r="L2602" t="str">
        <f>T("9791164093779")</f>
        <v>9791164093779</v>
      </c>
      <c r="M2602" t="str">
        <f t="shared" si="112"/>
        <v/>
      </c>
    </row>
    <row r="2603" spans="1:14">
      <c r="A2603" s="1">
        <v>46074.752164351848</v>
      </c>
      <c r="B2603">
        <v>295356512</v>
      </c>
      <c r="C2603" s="2" t="s">
        <v>2582</v>
      </c>
      <c r="D2603" t="s">
        <v>15</v>
      </c>
      <c r="E2603" s="5">
        <v>1000</v>
      </c>
      <c r="F2603" s="3">
        <v>1000</v>
      </c>
      <c r="G2603" s="2">
        <v>700</v>
      </c>
      <c r="I2603" s="2" t="s">
        <v>89</v>
      </c>
      <c r="J2603" s="2" t="s">
        <v>21</v>
      </c>
      <c r="K2603" t="s">
        <v>18</v>
      </c>
      <c r="L2603" t="str">
        <f>T("9791167832498")</f>
        <v>9791167832498</v>
      </c>
      <c r="M2603" t="str">
        <f t="shared" si="112"/>
        <v/>
      </c>
    </row>
    <row r="2604" spans="1:14">
      <c r="A2604" s="1">
        <v>46074.756898148145</v>
      </c>
      <c r="B2604">
        <v>386057281</v>
      </c>
      <c r="C2604" s="2" t="s">
        <v>2184</v>
      </c>
      <c r="D2604" t="s">
        <v>68</v>
      </c>
      <c r="E2604" s="5">
        <v>7500</v>
      </c>
      <c r="F2604" s="3">
        <v>7500</v>
      </c>
      <c r="G2604" s="3">
        <v>5250</v>
      </c>
      <c r="I2604" s="2" t="s">
        <v>1772</v>
      </c>
      <c r="J2604" s="2" t="s">
        <v>197</v>
      </c>
      <c r="K2604" t="s">
        <v>18</v>
      </c>
      <c r="L2604" t="str">
        <f>T("9791164093298")</f>
        <v>9791164093298</v>
      </c>
      <c r="M2604" t="str">
        <f t="shared" si="112"/>
        <v/>
      </c>
    </row>
    <row r="2605" spans="1:14">
      <c r="A2605" s="1">
        <v>46074.762013888889</v>
      </c>
      <c r="B2605">
        <v>384904213</v>
      </c>
      <c r="C2605" s="2" t="s">
        <v>744</v>
      </c>
      <c r="D2605" t="s">
        <v>15</v>
      </c>
      <c r="E2605" s="5">
        <v>1000</v>
      </c>
      <c r="F2605" s="3">
        <v>1000</v>
      </c>
      <c r="G2605" s="2">
        <v>700</v>
      </c>
      <c r="I2605" s="2" t="s">
        <v>745</v>
      </c>
      <c r="J2605" s="2" t="s">
        <v>21</v>
      </c>
      <c r="K2605" t="s">
        <v>18</v>
      </c>
      <c r="L2605" t="str">
        <f>T("9791175582460")</f>
        <v>9791175582460</v>
      </c>
      <c r="M2605" t="str">
        <f t="shared" si="112"/>
        <v/>
      </c>
      <c r="N2605" t="s">
        <v>746</v>
      </c>
    </row>
    <row r="2606" spans="1:14">
      <c r="A2606" s="1">
        <v>46074.765520833331</v>
      </c>
      <c r="B2606">
        <v>385373248</v>
      </c>
      <c r="C2606" s="2" t="s">
        <v>553</v>
      </c>
      <c r="D2606" t="s">
        <v>15</v>
      </c>
      <c r="E2606" s="5">
        <v>1100</v>
      </c>
      <c r="F2606" s="3">
        <v>1100</v>
      </c>
      <c r="G2606" s="2">
        <v>770</v>
      </c>
      <c r="I2606" s="2" t="s">
        <v>211</v>
      </c>
      <c r="J2606" s="2" t="s">
        <v>21</v>
      </c>
      <c r="K2606" t="s">
        <v>18</v>
      </c>
      <c r="L2606" t="str">
        <f>T("")</f>
        <v/>
      </c>
      <c r="M2606" t="str">
        <f>T("G720:N+A311-20251210011.M001")</f>
        <v>G720:N+A311-20251210011.M001</v>
      </c>
      <c r="N2606" t="s">
        <v>554</v>
      </c>
    </row>
    <row r="2607" spans="1:14">
      <c r="A2607" s="1">
        <v>46074.767442129632</v>
      </c>
      <c r="B2607">
        <v>386057278</v>
      </c>
      <c r="C2607" s="2" t="s">
        <v>1806</v>
      </c>
      <c r="D2607" t="s">
        <v>68</v>
      </c>
      <c r="E2607" s="5">
        <v>5000</v>
      </c>
      <c r="F2607" s="3">
        <v>5000</v>
      </c>
      <c r="G2607" s="3">
        <v>3500</v>
      </c>
      <c r="I2607" s="2" t="s">
        <v>1772</v>
      </c>
      <c r="J2607" s="2" t="s">
        <v>197</v>
      </c>
      <c r="K2607" t="s">
        <v>18</v>
      </c>
      <c r="L2607" t="str">
        <f>T("9791164093281")</f>
        <v>9791164093281</v>
      </c>
      <c r="M2607" t="str">
        <f t="shared" ref="M2607:M2624" si="113">T("")</f>
        <v/>
      </c>
    </row>
    <row r="2608" spans="1:14">
      <c r="A2608" s="1">
        <v>46074.768657407411</v>
      </c>
      <c r="B2608">
        <v>386057281</v>
      </c>
      <c r="C2608" s="2" t="s">
        <v>2184</v>
      </c>
      <c r="D2608" t="s">
        <v>68</v>
      </c>
      <c r="E2608" s="5">
        <v>7500</v>
      </c>
      <c r="F2608" s="3">
        <v>7500</v>
      </c>
      <c r="G2608" s="3">
        <v>5250</v>
      </c>
      <c r="I2608" s="2" t="s">
        <v>1772</v>
      </c>
      <c r="J2608" s="2" t="s">
        <v>197</v>
      </c>
      <c r="K2608" t="s">
        <v>18</v>
      </c>
      <c r="L2608" t="str">
        <f>T("9791164093298")</f>
        <v>9791164093298</v>
      </c>
      <c r="M2608" t="str">
        <f t="shared" si="113"/>
        <v/>
      </c>
    </row>
    <row r="2609" spans="1:14">
      <c r="A2609" s="1">
        <v>46074.802754629629</v>
      </c>
      <c r="B2609">
        <v>365291601</v>
      </c>
      <c r="C2609" s="2" t="s">
        <v>2583</v>
      </c>
      <c r="D2609" t="s">
        <v>68</v>
      </c>
      <c r="E2609" s="4">
        <v>900</v>
      </c>
      <c r="F2609" s="2">
        <v>900</v>
      </c>
      <c r="G2609" s="2">
        <v>630</v>
      </c>
      <c r="I2609" s="2" t="s">
        <v>2580</v>
      </c>
      <c r="J2609" s="2" t="s">
        <v>960</v>
      </c>
      <c r="K2609" t="s">
        <v>18</v>
      </c>
      <c r="L2609" t="str">
        <f>T("9791171844913")</f>
        <v>9791171844913</v>
      </c>
      <c r="M2609" t="str">
        <f t="shared" si="113"/>
        <v/>
      </c>
      <c r="N2609" t="s">
        <v>2584</v>
      </c>
    </row>
    <row r="2610" spans="1:14">
      <c r="A2610" s="1">
        <v>46074.802754629629</v>
      </c>
      <c r="B2610">
        <v>365291602</v>
      </c>
      <c r="C2610" s="2" t="s">
        <v>2585</v>
      </c>
      <c r="D2610" t="s">
        <v>68</v>
      </c>
      <c r="E2610" s="4">
        <v>900</v>
      </c>
      <c r="F2610" s="2">
        <v>900</v>
      </c>
      <c r="G2610" s="2">
        <v>630</v>
      </c>
      <c r="I2610" s="2" t="s">
        <v>2580</v>
      </c>
      <c r="J2610" s="2" t="s">
        <v>960</v>
      </c>
      <c r="K2610" t="s">
        <v>18</v>
      </c>
      <c r="L2610" t="str">
        <f>T("9791171844906")</f>
        <v>9791171844906</v>
      </c>
      <c r="M2610" t="str">
        <f t="shared" si="113"/>
        <v/>
      </c>
      <c r="N2610" t="s">
        <v>2586</v>
      </c>
    </row>
    <row r="2611" spans="1:14">
      <c r="A2611" s="1">
        <v>46074.802754629629</v>
      </c>
      <c r="B2611">
        <v>365291603</v>
      </c>
      <c r="C2611" s="2" t="s">
        <v>2587</v>
      </c>
      <c r="D2611" t="s">
        <v>68</v>
      </c>
      <c r="E2611" s="4">
        <v>900</v>
      </c>
      <c r="F2611" s="2">
        <v>900</v>
      </c>
      <c r="G2611" s="2">
        <v>630</v>
      </c>
      <c r="I2611" s="2" t="s">
        <v>2580</v>
      </c>
      <c r="J2611" s="2" t="s">
        <v>960</v>
      </c>
      <c r="K2611" t="s">
        <v>18</v>
      </c>
      <c r="L2611" t="str">
        <f>T("9791171844890")</f>
        <v>9791171844890</v>
      </c>
      <c r="M2611" t="str">
        <f t="shared" si="113"/>
        <v/>
      </c>
      <c r="N2611" t="s">
        <v>2588</v>
      </c>
    </row>
    <row r="2612" spans="1:14">
      <c r="A2612" s="1">
        <v>46074.802754629629</v>
      </c>
      <c r="B2612">
        <v>365291604</v>
      </c>
      <c r="C2612" s="2" t="s">
        <v>2589</v>
      </c>
      <c r="D2612" t="s">
        <v>68</v>
      </c>
      <c r="E2612" s="4">
        <v>900</v>
      </c>
      <c r="F2612" s="2">
        <v>900</v>
      </c>
      <c r="G2612" s="2">
        <v>630</v>
      </c>
      <c r="I2612" s="2" t="s">
        <v>2580</v>
      </c>
      <c r="J2612" s="2" t="s">
        <v>960</v>
      </c>
      <c r="K2612" t="s">
        <v>18</v>
      </c>
      <c r="L2612" t="str">
        <f>T("9791171844920")</f>
        <v>9791171844920</v>
      </c>
      <c r="M2612" t="str">
        <f t="shared" si="113"/>
        <v/>
      </c>
      <c r="N2612" t="s">
        <v>2590</v>
      </c>
    </row>
    <row r="2613" spans="1:14">
      <c r="A2613" s="1">
        <v>46074.843819444446</v>
      </c>
      <c r="B2613">
        <v>383309290</v>
      </c>
      <c r="C2613" s="2" t="s">
        <v>339</v>
      </c>
      <c r="D2613" t="s">
        <v>15</v>
      </c>
      <c r="E2613" s="5">
        <v>12800</v>
      </c>
      <c r="F2613" s="3">
        <v>12800</v>
      </c>
      <c r="G2613" s="3">
        <v>8960</v>
      </c>
      <c r="I2613" s="2" t="s">
        <v>340</v>
      </c>
      <c r="J2613" s="2" t="s">
        <v>341</v>
      </c>
      <c r="K2613" t="s">
        <v>18</v>
      </c>
      <c r="L2613" t="str">
        <f>T("9791193583074")</f>
        <v>9791193583074</v>
      </c>
      <c r="M2613" t="str">
        <f t="shared" si="113"/>
        <v/>
      </c>
    </row>
    <row r="2614" spans="1:14">
      <c r="A2614" s="1">
        <v>46074.843819444446</v>
      </c>
      <c r="B2614">
        <v>384665538</v>
      </c>
      <c r="C2614" s="2" t="s">
        <v>2350</v>
      </c>
      <c r="D2614" t="s">
        <v>15</v>
      </c>
      <c r="E2614" s="5">
        <v>6200</v>
      </c>
      <c r="F2614" s="3">
        <v>6200</v>
      </c>
      <c r="G2614" s="3">
        <v>4340</v>
      </c>
      <c r="I2614" s="2" t="s">
        <v>921</v>
      </c>
      <c r="J2614" s="2" t="s">
        <v>126</v>
      </c>
      <c r="K2614" t="s">
        <v>18</v>
      </c>
      <c r="L2614" t="str">
        <f>T("9791171502967")</f>
        <v>9791171502967</v>
      </c>
      <c r="M2614" t="str">
        <f t="shared" si="113"/>
        <v/>
      </c>
    </row>
    <row r="2615" spans="1:14">
      <c r="A2615" s="1">
        <v>46074.848252314812</v>
      </c>
      <c r="B2615">
        <v>371345723</v>
      </c>
      <c r="C2615" s="2" t="s">
        <v>525</v>
      </c>
      <c r="D2615" t="s">
        <v>68</v>
      </c>
      <c r="E2615" s="5">
        <v>2310</v>
      </c>
      <c r="F2615" s="3">
        <v>2310</v>
      </c>
      <c r="G2615" s="3">
        <v>1617</v>
      </c>
      <c r="I2615" s="2" t="s">
        <v>196</v>
      </c>
      <c r="J2615" s="2" t="s">
        <v>197</v>
      </c>
      <c r="K2615" t="s">
        <v>18</v>
      </c>
      <c r="L2615" t="str">
        <f>T("9791172821692")</f>
        <v>9791172821692</v>
      </c>
      <c r="M2615" t="str">
        <f t="shared" si="113"/>
        <v/>
      </c>
      <c r="N2615" t="s">
        <v>526</v>
      </c>
    </row>
    <row r="2616" spans="1:14">
      <c r="A2616" s="1">
        <v>46074.874525462961</v>
      </c>
      <c r="B2616">
        <v>383609168</v>
      </c>
      <c r="C2616" s="2" t="s">
        <v>2493</v>
      </c>
      <c r="D2616" t="s">
        <v>15</v>
      </c>
      <c r="E2616" s="5">
        <v>1000</v>
      </c>
      <c r="F2616" s="3">
        <v>1000</v>
      </c>
      <c r="G2616" s="2">
        <v>700</v>
      </c>
      <c r="I2616" s="2" t="s">
        <v>1667</v>
      </c>
      <c r="J2616" s="2" t="s">
        <v>21</v>
      </c>
      <c r="K2616" t="s">
        <v>18</v>
      </c>
      <c r="L2616" t="str">
        <f>T("9791175582255")</f>
        <v>9791175582255</v>
      </c>
      <c r="M2616" t="str">
        <f t="shared" si="113"/>
        <v/>
      </c>
      <c r="N2616" t="s">
        <v>2494</v>
      </c>
    </row>
    <row r="2617" spans="1:14">
      <c r="A2617" s="1">
        <v>46074.874525462961</v>
      </c>
      <c r="B2617">
        <v>386008650</v>
      </c>
      <c r="C2617" s="2" t="s">
        <v>1666</v>
      </c>
      <c r="D2617" t="s">
        <v>15</v>
      </c>
      <c r="E2617" s="5">
        <v>1000</v>
      </c>
      <c r="F2617" s="3">
        <v>1000</v>
      </c>
      <c r="G2617" s="2">
        <v>700</v>
      </c>
      <c r="I2617" s="2" t="s">
        <v>1667</v>
      </c>
      <c r="J2617" s="2" t="s">
        <v>21</v>
      </c>
      <c r="K2617" t="s">
        <v>18</v>
      </c>
      <c r="L2617" t="str">
        <f>T("9791175582880")</f>
        <v>9791175582880</v>
      </c>
      <c r="M2617" t="str">
        <f t="shared" si="113"/>
        <v/>
      </c>
      <c r="N2617" t="s">
        <v>1668</v>
      </c>
    </row>
    <row r="2618" spans="1:14">
      <c r="A2618" s="1">
        <v>46074.877847222226</v>
      </c>
      <c r="B2618">
        <v>386057277</v>
      </c>
      <c r="C2618" s="2" t="s">
        <v>1609</v>
      </c>
      <c r="D2618" t="s">
        <v>68</v>
      </c>
      <c r="E2618" s="5">
        <v>3750</v>
      </c>
      <c r="F2618" s="3">
        <v>3750</v>
      </c>
      <c r="G2618" s="3">
        <v>2625</v>
      </c>
      <c r="I2618" s="2" t="s">
        <v>1610</v>
      </c>
      <c r="J2618" s="2" t="s">
        <v>197</v>
      </c>
      <c r="K2618" t="s">
        <v>18</v>
      </c>
      <c r="L2618" t="str">
        <f>T("9791164095315")</f>
        <v>9791164095315</v>
      </c>
      <c r="M2618" t="str">
        <f t="shared" si="113"/>
        <v/>
      </c>
    </row>
    <row r="2619" spans="1:14">
      <c r="A2619" s="1">
        <v>46074.909004629626</v>
      </c>
      <c r="B2619">
        <v>386057128</v>
      </c>
      <c r="C2619" s="2" t="s">
        <v>1797</v>
      </c>
      <c r="D2619" t="s">
        <v>15</v>
      </c>
      <c r="E2619" s="5">
        <v>16800</v>
      </c>
      <c r="F2619" s="3">
        <v>16800</v>
      </c>
      <c r="G2619" s="3">
        <v>11760</v>
      </c>
      <c r="I2619" s="2" t="s">
        <v>540</v>
      </c>
      <c r="J2619" s="2" t="s">
        <v>197</v>
      </c>
      <c r="K2619" t="s">
        <v>18</v>
      </c>
      <c r="L2619" t="str">
        <f>T("9791164098934")</f>
        <v>9791164098934</v>
      </c>
      <c r="M2619" t="str">
        <f t="shared" si="113"/>
        <v/>
      </c>
    </row>
    <row r="2620" spans="1:14">
      <c r="A2620" s="1">
        <v>46074.967048611114</v>
      </c>
      <c r="B2620">
        <v>328759043</v>
      </c>
      <c r="C2620" s="2" t="s">
        <v>1537</v>
      </c>
      <c r="D2620" t="s">
        <v>68</v>
      </c>
      <c r="E2620" s="4">
        <v>840</v>
      </c>
      <c r="F2620" s="2">
        <v>840</v>
      </c>
      <c r="G2620" s="2">
        <v>588</v>
      </c>
      <c r="I2620" s="2" t="s">
        <v>852</v>
      </c>
      <c r="J2620" s="2" t="s">
        <v>197</v>
      </c>
      <c r="K2620" t="s">
        <v>18</v>
      </c>
      <c r="L2620" t="str">
        <f>T("9791164099269")</f>
        <v>9791164099269</v>
      </c>
      <c r="M2620" t="str">
        <f t="shared" si="113"/>
        <v/>
      </c>
    </row>
    <row r="2621" spans="1:14">
      <c r="A2621" s="1">
        <v>46074.967048611114</v>
      </c>
      <c r="B2621">
        <v>223268465</v>
      </c>
      <c r="C2621" s="2" t="s">
        <v>1859</v>
      </c>
      <c r="D2621" t="s">
        <v>68</v>
      </c>
      <c r="E2621" s="5">
        <v>1200</v>
      </c>
      <c r="F2621" s="3">
        <v>1200</v>
      </c>
      <c r="G2621" s="2">
        <v>840</v>
      </c>
      <c r="I2621" s="2" t="s">
        <v>852</v>
      </c>
      <c r="J2621" s="2" t="s">
        <v>197</v>
      </c>
      <c r="K2621" t="s">
        <v>18</v>
      </c>
      <c r="L2621" t="str">
        <f>T("9791164090822")</f>
        <v>9791164090822</v>
      </c>
      <c r="M2621" t="str">
        <f t="shared" si="113"/>
        <v/>
      </c>
    </row>
    <row r="2622" spans="1:14">
      <c r="A2622" s="1">
        <v>46074.972025462965</v>
      </c>
      <c r="B2622">
        <v>211909257</v>
      </c>
      <c r="C2622" s="2" t="s">
        <v>1665</v>
      </c>
      <c r="D2622" t="s">
        <v>68</v>
      </c>
      <c r="E2622" s="5">
        <v>4550</v>
      </c>
      <c r="F2622" s="3">
        <v>4550</v>
      </c>
      <c r="G2622" s="3">
        <v>3185</v>
      </c>
      <c r="I2622" s="2" t="s">
        <v>196</v>
      </c>
      <c r="J2622" s="2" t="s">
        <v>197</v>
      </c>
      <c r="K2622" t="s">
        <v>18</v>
      </c>
      <c r="L2622" t="str">
        <f>T("9791164090693")</f>
        <v>9791164090693</v>
      </c>
      <c r="M2622" t="str">
        <f t="shared" si="113"/>
        <v/>
      </c>
    </row>
    <row r="2623" spans="1:14">
      <c r="A2623" s="1">
        <v>46074.977766203701</v>
      </c>
      <c r="B2623">
        <v>317046273</v>
      </c>
      <c r="C2623" s="2" t="s">
        <v>2591</v>
      </c>
      <c r="D2623" t="s">
        <v>15</v>
      </c>
      <c r="E2623" s="5">
        <v>14000</v>
      </c>
      <c r="F2623" s="3">
        <v>14000</v>
      </c>
      <c r="G2623" s="3">
        <v>9800</v>
      </c>
      <c r="I2623" s="2" t="s">
        <v>1447</v>
      </c>
      <c r="J2623" s="2" t="s">
        <v>200</v>
      </c>
      <c r="K2623" t="s">
        <v>18</v>
      </c>
      <c r="L2623" t="str">
        <f>T("9791167839817")</f>
        <v>9791167839817</v>
      </c>
      <c r="M2623" t="str">
        <f t="shared" si="113"/>
        <v/>
      </c>
    </row>
    <row r="2624" spans="1:14">
      <c r="A2624" s="1">
        <v>46074.995868055557</v>
      </c>
      <c r="B2624">
        <v>302939431</v>
      </c>
      <c r="C2624" s="2" t="s">
        <v>971</v>
      </c>
      <c r="D2624" t="s">
        <v>15</v>
      </c>
      <c r="E2624" s="5">
        <v>3100</v>
      </c>
      <c r="F2624" s="3">
        <v>3100</v>
      </c>
      <c r="G2624" s="3">
        <v>2170</v>
      </c>
      <c r="I2624" s="2" t="s">
        <v>89</v>
      </c>
      <c r="J2624" s="2" t="s">
        <v>21</v>
      </c>
      <c r="K2624" t="s">
        <v>18</v>
      </c>
      <c r="L2624" t="str">
        <f>T("9791167834539")</f>
        <v>9791167834539</v>
      </c>
      <c r="M2624" t="str">
        <f t="shared" si="113"/>
        <v/>
      </c>
    </row>
    <row r="2625" spans="1:14">
      <c r="A2625" s="1">
        <v>46074.997685185182</v>
      </c>
      <c r="B2625">
        <v>386559327</v>
      </c>
      <c r="C2625" s="2" t="s">
        <v>2555</v>
      </c>
      <c r="D2625" t="s">
        <v>15</v>
      </c>
      <c r="E2625" s="5">
        <v>4000</v>
      </c>
      <c r="F2625" s="3">
        <v>3600</v>
      </c>
      <c r="G2625" s="3">
        <v>2520</v>
      </c>
      <c r="I2625" s="2" t="s">
        <v>2536</v>
      </c>
      <c r="J2625" s="2" t="s">
        <v>197</v>
      </c>
      <c r="K2625" t="s">
        <v>18</v>
      </c>
      <c r="L2625" t="str">
        <f>T("")</f>
        <v/>
      </c>
      <c r="M2625" t="str">
        <f>T("G720:N+A319-20251223071")</f>
        <v>G720:N+A319-20251223071</v>
      </c>
    </row>
    <row r="2626" spans="1:14">
      <c r="A2626" s="1">
        <v>46074.99962962963</v>
      </c>
      <c r="B2626">
        <v>386057281</v>
      </c>
      <c r="C2626" s="2" t="s">
        <v>2184</v>
      </c>
      <c r="D2626" t="s">
        <v>68</v>
      </c>
      <c r="E2626" s="5">
        <v>7500</v>
      </c>
      <c r="F2626" s="3">
        <v>7500</v>
      </c>
      <c r="G2626" s="3">
        <v>5250</v>
      </c>
      <c r="I2626" s="2" t="s">
        <v>1772</v>
      </c>
      <c r="J2626" s="2" t="s">
        <v>197</v>
      </c>
      <c r="K2626" t="s">
        <v>18</v>
      </c>
      <c r="L2626" t="str">
        <f>T("9791164093298")</f>
        <v>9791164093298</v>
      </c>
      <c r="M2626" t="str">
        <f>T("")</f>
        <v/>
      </c>
    </row>
    <row r="2627" spans="1:14">
      <c r="A2627" s="1">
        <v>46075.001203703701</v>
      </c>
      <c r="B2627">
        <v>386057281</v>
      </c>
      <c r="C2627" s="2" t="s">
        <v>2184</v>
      </c>
      <c r="D2627" t="s">
        <v>68</v>
      </c>
      <c r="E2627" s="5">
        <v>7500</v>
      </c>
      <c r="F2627" s="3">
        <v>7500</v>
      </c>
      <c r="G2627" s="3">
        <v>5250</v>
      </c>
      <c r="I2627" s="2" t="s">
        <v>1772</v>
      </c>
      <c r="J2627" s="2" t="s">
        <v>197</v>
      </c>
      <c r="K2627" t="s">
        <v>18</v>
      </c>
      <c r="L2627" t="str">
        <f>T("9791164093298")</f>
        <v>9791164093298</v>
      </c>
      <c r="M2627" t="str">
        <f>T("")</f>
        <v/>
      </c>
    </row>
    <row r="2628" spans="1:14">
      <c r="A2628" s="1">
        <v>46075.001203703701</v>
      </c>
      <c r="B2628">
        <v>386057279</v>
      </c>
      <c r="C2628" s="2" t="s">
        <v>2303</v>
      </c>
      <c r="D2628" t="s">
        <v>68</v>
      </c>
      <c r="E2628" s="5">
        <v>7500</v>
      </c>
      <c r="F2628" s="3">
        <v>7500</v>
      </c>
      <c r="G2628" s="3">
        <v>5250</v>
      </c>
      <c r="I2628" s="2" t="s">
        <v>1772</v>
      </c>
      <c r="J2628" s="2" t="s">
        <v>197</v>
      </c>
      <c r="K2628" t="s">
        <v>18</v>
      </c>
      <c r="L2628" t="str">
        <f>T("9791164093304")</f>
        <v>9791164093304</v>
      </c>
      <c r="M2628" t="str">
        <f>T("")</f>
        <v/>
      </c>
    </row>
    <row r="2629" spans="1:14">
      <c r="A2629" s="1">
        <v>46075.005289351851</v>
      </c>
      <c r="B2629">
        <v>371719945</v>
      </c>
      <c r="C2629" s="2" t="s">
        <v>2592</v>
      </c>
      <c r="D2629" t="s">
        <v>15</v>
      </c>
      <c r="E2629" s="5">
        <v>2700</v>
      </c>
      <c r="F2629" s="3">
        <v>2700</v>
      </c>
      <c r="G2629" s="3">
        <v>1890</v>
      </c>
      <c r="I2629" s="2" t="s">
        <v>2593</v>
      </c>
      <c r="J2629" s="2" t="s">
        <v>239</v>
      </c>
      <c r="K2629" t="s">
        <v>18</v>
      </c>
      <c r="L2629" t="str">
        <f>T("9791194726692")</f>
        <v>9791194726692</v>
      </c>
      <c r="M2629" t="str">
        <f>T("")</f>
        <v/>
      </c>
      <c r="N2629" t="s">
        <v>2594</v>
      </c>
    </row>
    <row r="2630" spans="1:14">
      <c r="A2630" s="1">
        <v>46075.015543981484</v>
      </c>
      <c r="B2630">
        <v>386559327</v>
      </c>
      <c r="C2630" s="2" t="s">
        <v>2555</v>
      </c>
      <c r="D2630" t="s">
        <v>15</v>
      </c>
      <c r="E2630" s="5">
        <v>4000</v>
      </c>
      <c r="F2630" s="3">
        <v>3600</v>
      </c>
      <c r="G2630" s="3">
        <v>2520</v>
      </c>
      <c r="I2630" s="2" t="s">
        <v>2536</v>
      </c>
      <c r="J2630" s="2" t="s">
        <v>197</v>
      </c>
      <c r="K2630" t="s">
        <v>18</v>
      </c>
      <c r="L2630" t="str">
        <f>T("")</f>
        <v/>
      </c>
      <c r="M2630" t="str">
        <f>T("G720:N+A319-20251223071")</f>
        <v>G720:N+A319-20251223071</v>
      </c>
    </row>
    <row r="2631" spans="1:14">
      <c r="A2631" s="1">
        <v>46075.026689814818</v>
      </c>
      <c r="B2631">
        <v>370130273</v>
      </c>
      <c r="C2631" s="2" t="s">
        <v>1171</v>
      </c>
      <c r="D2631" t="s">
        <v>68</v>
      </c>
      <c r="E2631" s="4">
        <v>700</v>
      </c>
      <c r="F2631" s="2">
        <v>700</v>
      </c>
      <c r="G2631" s="2">
        <v>490</v>
      </c>
      <c r="I2631" s="2" t="s">
        <v>244</v>
      </c>
      <c r="J2631" s="2" t="s">
        <v>245</v>
      </c>
      <c r="K2631" t="s">
        <v>18</v>
      </c>
      <c r="L2631" t="str">
        <f>T("9791164489107")</f>
        <v>9791164489107</v>
      </c>
      <c r="M2631" t="str">
        <f>T("")</f>
        <v/>
      </c>
      <c r="N2631" t="s">
        <v>1172</v>
      </c>
    </row>
    <row r="2632" spans="1:14">
      <c r="A2632" s="1">
        <v>46075.048414351855</v>
      </c>
      <c r="B2632">
        <v>235962606</v>
      </c>
      <c r="C2632" s="2" t="s">
        <v>2595</v>
      </c>
      <c r="D2632" t="s">
        <v>15</v>
      </c>
      <c r="E2632" s="4">
        <v>0</v>
      </c>
      <c r="F2632" s="2">
        <v>0</v>
      </c>
      <c r="G2632" s="2">
        <v>0</v>
      </c>
      <c r="I2632" s="2" t="s">
        <v>2536</v>
      </c>
      <c r="J2632" s="2" t="s">
        <v>197</v>
      </c>
      <c r="K2632" t="s">
        <v>18</v>
      </c>
      <c r="L2632" t="str">
        <f>T("9791164091300")</f>
        <v>9791164091300</v>
      </c>
      <c r="M2632" t="str">
        <f>T("")</f>
        <v/>
      </c>
    </row>
    <row r="2633" spans="1:14">
      <c r="A2633" s="1">
        <v>46075.069166666668</v>
      </c>
      <c r="B2633">
        <v>386453320</v>
      </c>
      <c r="C2633" s="2" t="s">
        <v>2596</v>
      </c>
      <c r="D2633" t="s">
        <v>15</v>
      </c>
      <c r="E2633" s="5">
        <v>3000</v>
      </c>
      <c r="F2633" s="3">
        <v>3000</v>
      </c>
      <c r="G2633" s="3">
        <v>2100</v>
      </c>
      <c r="I2633" s="2" t="s">
        <v>2543</v>
      </c>
      <c r="J2633" s="2" t="s">
        <v>65</v>
      </c>
      <c r="K2633" t="s">
        <v>18</v>
      </c>
      <c r="L2633" t="str">
        <f>T("")</f>
        <v/>
      </c>
      <c r="M2633" t="str">
        <f>T("G720:N+A319-20260106026.M001")</f>
        <v>G720:N+A319-20260106026.M001</v>
      </c>
      <c r="N2633" t="s">
        <v>2597</v>
      </c>
    </row>
    <row r="2634" spans="1:14">
      <c r="A2634" s="1">
        <v>46075.077916666669</v>
      </c>
      <c r="B2634">
        <v>370130210</v>
      </c>
      <c r="C2634" s="2" t="s">
        <v>1261</v>
      </c>
      <c r="D2634" t="s">
        <v>68</v>
      </c>
      <c r="E2634" s="4">
        <v>700</v>
      </c>
      <c r="F2634" s="2">
        <v>700</v>
      </c>
      <c r="G2634" s="2">
        <v>490</v>
      </c>
      <c r="I2634" s="2" t="s">
        <v>244</v>
      </c>
      <c r="J2634" s="2" t="s">
        <v>245</v>
      </c>
      <c r="K2634" t="s">
        <v>18</v>
      </c>
      <c r="L2634" t="str">
        <f>T("9791164489114")</f>
        <v>9791164489114</v>
      </c>
      <c r="M2634" t="str">
        <f t="shared" ref="M2634:M2644" si="114">T("")</f>
        <v/>
      </c>
      <c r="N2634" t="s">
        <v>1262</v>
      </c>
    </row>
    <row r="2635" spans="1:14">
      <c r="A2635" s="1">
        <v>46075.139467592591</v>
      </c>
      <c r="B2635">
        <v>367356995</v>
      </c>
      <c r="C2635" s="2" t="s">
        <v>2598</v>
      </c>
      <c r="D2635" t="s">
        <v>15</v>
      </c>
      <c r="E2635" s="5">
        <v>1000</v>
      </c>
      <c r="F2635" s="3">
        <v>1000</v>
      </c>
      <c r="G2635" s="2">
        <v>700</v>
      </c>
      <c r="I2635" s="2" t="s">
        <v>61</v>
      </c>
      <c r="J2635" s="2" t="s">
        <v>21</v>
      </c>
      <c r="K2635" t="s">
        <v>18</v>
      </c>
      <c r="L2635" t="str">
        <f>T("9791173016226")</f>
        <v>9791173016226</v>
      </c>
      <c r="M2635" t="str">
        <f t="shared" si="114"/>
        <v/>
      </c>
      <c r="N2635" t="s">
        <v>2599</v>
      </c>
    </row>
    <row r="2636" spans="1:14">
      <c r="A2636" s="1">
        <v>46075.139467592591</v>
      </c>
      <c r="B2636">
        <v>361818876</v>
      </c>
      <c r="C2636" s="2" t="s">
        <v>2153</v>
      </c>
      <c r="D2636" t="s">
        <v>15</v>
      </c>
      <c r="E2636" s="5">
        <v>1500</v>
      </c>
      <c r="F2636" s="3">
        <v>1500</v>
      </c>
      <c r="G2636" s="3">
        <v>1050</v>
      </c>
      <c r="I2636" s="2">
        <v>5353</v>
      </c>
      <c r="J2636" s="2" t="s">
        <v>21</v>
      </c>
      <c r="K2636" t="s">
        <v>18</v>
      </c>
      <c r="L2636" t="str">
        <f>T("9791173013720")</f>
        <v>9791173013720</v>
      </c>
      <c r="M2636" t="str">
        <f t="shared" si="114"/>
        <v/>
      </c>
      <c r="N2636" t="s">
        <v>2154</v>
      </c>
    </row>
    <row r="2637" spans="1:14">
      <c r="A2637" s="1">
        <v>46075.139467592591</v>
      </c>
      <c r="B2637">
        <v>346106321</v>
      </c>
      <c r="C2637" s="2" t="s">
        <v>2600</v>
      </c>
      <c r="D2637" t="s">
        <v>15</v>
      </c>
      <c r="E2637" s="5">
        <v>1000</v>
      </c>
      <c r="F2637" s="3">
        <v>1000</v>
      </c>
      <c r="G2637" s="2">
        <v>700</v>
      </c>
      <c r="I2637" s="2" t="s">
        <v>61</v>
      </c>
      <c r="J2637" s="2" t="s">
        <v>21</v>
      </c>
      <c r="K2637" t="s">
        <v>18</v>
      </c>
      <c r="L2637" t="str">
        <f>T("9791170898306")</f>
        <v>9791170898306</v>
      </c>
      <c r="M2637" t="str">
        <f t="shared" si="114"/>
        <v/>
      </c>
      <c r="N2637" t="s">
        <v>2601</v>
      </c>
    </row>
    <row r="2638" spans="1:14">
      <c r="A2638" s="1">
        <v>46075.139467592591</v>
      </c>
      <c r="B2638">
        <v>275076000</v>
      </c>
      <c r="C2638" s="2" t="s">
        <v>310</v>
      </c>
      <c r="D2638" t="s">
        <v>15</v>
      </c>
      <c r="E2638" s="5">
        <v>1000</v>
      </c>
      <c r="F2638" s="3">
        <v>1000</v>
      </c>
      <c r="G2638" s="2">
        <v>700</v>
      </c>
      <c r="I2638" s="2" t="s">
        <v>31</v>
      </c>
      <c r="J2638" s="2" t="s">
        <v>21</v>
      </c>
      <c r="K2638" t="s">
        <v>18</v>
      </c>
      <c r="L2638" t="str">
        <f>T("9791191337655")</f>
        <v>9791191337655</v>
      </c>
      <c r="M2638" t="str">
        <f t="shared" si="114"/>
        <v/>
      </c>
    </row>
    <row r="2639" spans="1:14">
      <c r="A2639" s="1">
        <v>46075.139467592591</v>
      </c>
      <c r="B2639">
        <v>277097599</v>
      </c>
      <c r="C2639" s="2" t="s">
        <v>314</v>
      </c>
      <c r="D2639" t="s">
        <v>15</v>
      </c>
      <c r="E2639" s="5">
        <v>1000</v>
      </c>
      <c r="F2639" s="3">
        <v>1000</v>
      </c>
      <c r="G2639" s="2">
        <v>700</v>
      </c>
      <c r="I2639" s="2" t="s">
        <v>31</v>
      </c>
      <c r="J2639" s="2" t="s">
        <v>21</v>
      </c>
      <c r="K2639" t="s">
        <v>18</v>
      </c>
      <c r="L2639" t="str">
        <f>T("9791191337846")</f>
        <v>9791191337846</v>
      </c>
      <c r="M2639" t="str">
        <f t="shared" si="114"/>
        <v/>
      </c>
    </row>
    <row r="2640" spans="1:14">
      <c r="A2640" s="1">
        <v>46075.139467592591</v>
      </c>
      <c r="B2640">
        <v>310381031</v>
      </c>
      <c r="C2640" s="2" t="s">
        <v>2602</v>
      </c>
      <c r="D2640" t="s">
        <v>15</v>
      </c>
      <c r="E2640" s="5">
        <v>1000</v>
      </c>
      <c r="F2640" s="3">
        <v>1000</v>
      </c>
      <c r="G2640" s="2">
        <v>700</v>
      </c>
      <c r="I2640" s="2" t="s">
        <v>2603</v>
      </c>
      <c r="J2640" s="2" t="s">
        <v>21</v>
      </c>
      <c r="K2640" t="s">
        <v>18</v>
      </c>
      <c r="L2640" t="str">
        <f>T("9791167836694")</f>
        <v>9791167836694</v>
      </c>
      <c r="M2640" t="str">
        <f t="shared" si="114"/>
        <v/>
      </c>
      <c r="N2640" t="s">
        <v>2604</v>
      </c>
    </row>
    <row r="2641" spans="1:14">
      <c r="A2641" s="1">
        <v>46075.139467592591</v>
      </c>
      <c r="B2641">
        <v>284468238</v>
      </c>
      <c r="C2641" s="2" t="s">
        <v>2131</v>
      </c>
      <c r="D2641" t="s">
        <v>15</v>
      </c>
      <c r="E2641" s="5">
        <v>1000</v>
      </c>
      <c r="F2641" s="3">
        <v>1000</v>
      </c>
      <c r="G2641" s="2">
        <v>700</v>
      </c>
      <c r="I2641" s="2" t="s">
        <v>31</v>
      </c>
      <c r="J2641" s="2" t="s">
        <v>21</v>
      </c>
      <c r="K2641" t="s">
        <v>18</v>
      </c>
      <c r="L2641" t="str">
        <f>T("9791167830647")</f>
        <v>9791167830647</v>
      </c>
      <c r="M2641" t="str">
        <f t="shared" si="114"/>
        <v/>
      </c>
    </row>
    <row r="2642" spans="1:14">
      <c r="A2642" s="1">
        <v>46075.139467592591</v>
      </c>
      <c r="B2642">
        <v>278962390</v>
      </c>
      <c r="C2642" s="2" t="s">
        <v>2130</v>
      </c>
      <c r="D2642" t="s">
        <v>15</v>
      </c>
      <c r="E2642" s="5">
        <v>1000</v>
      </c>
      <c r="F2642" s="3">
        <v>1000</v>
      </c>
      <c r="G2642" s="2">
        <v>700</v>
      </c>
      <c r="I2642" s="2" t="s">
        <v>31</v>
      </c>
      <c r="J2642" s="2" t="s">
        <v>21</v>
      </c>
      <c r="K2642" t="s">
        <v>18</v>
      </c>
      <c r="L2642" t="str">
        <f>T("9791167830005")</f>
        <v>9791167830005</v>
      </c>
      <c r="M2642" t="str">
        <f t="shared" si="114"/>
        <v/>
      </c>
    </row>
    <row r="2643" spans="1:14">
      <c r="A2643" s="1">
        <v>46075.205208333333</v>
      </c>
      <c r="B2643">
        <v>339211175</v>
      </c>
      <c r="C2643" s="2" t="s">
        <v>2605</v>
      </c>
      <c r="D2643" t="s">
        <v>68</v>
      </c>
      <c r="E2643" s="5">
        <v>8260</v>
      </c>
      <c r="F2643" s="3">
        <v>8260</v>
      </c>
      <c r="G2643" s="3">
        <v>5782</v>
      </c>
      <c r="I2643" s="2" t="s">
        <v>2606</v>
      </c>
      <c r="J2643" s="2" t="s">
        <v>856</v>
      </c>
      <c r="K2643" t="s">
        <v>18</v>
      </c>
      <c r="L2643" t="str">
        <f>T("9791171564262")</f>
        <v>9791171564262</v>
      </c>
      <c r="M2643" t="str">
        <f t="shared" si="114"/>
        <v/>
      </c>
    </row>
    <row r="2644" spans="1:14">
      <c r="A2644" s="1">
        <v>46075.212800925925</v>
      </c>
      <c r="B2644">
        <v>189861482</v>
      </c>
      <c r="C2644" s="2" t="s">
        <v>2607</v>
      </c>
      <c r="D2644" t="s">
        <v>15</v>
      </c>
      <c r="E2644" s="4">
        <v>0</v>
      </c>
      <c r="F2644" s="2">
        <v>0</v>
      </c>
      <c r="G2644" s="2">
        <v>0</v>
      </c>
      <c r="I2644" s="2" t="s">
        <v>196</v>
      </c>
      <c r="J2644" s="2" t="s">
        <v>197</v>
      </c>
      <c r="K2644" t="s">
        <v>18</v>
      </c>
      <c r="L2644" t="str">
        <f>T("9791164090068")</f>
        <v>9791164090068</v>
      </c>
      <c r="M2644" t="str">
        <f t="shared" si="114"/>
        <v/>
      </c>
    </row>
    <row r="2645" spans="1:14">
      <c r="A2645" s="1">
        <v>46075.238483796296</v>
      </c>
      <c r="B2645">
        <v>386559327</v>
      </c>
      <c r="C2645" s="2" t="s">
        <v>2555</v>
      </c>
      <c r="D2645" t="s">
        <v>15</v>
      </c>
      <c r="E2645" s="5">
        <v>4000</v>
      </c>
      <c r="F2645" s="3">
        <v>3600</v>
      </c>
      <c r="G2645" s="3">
        <v>2520</v>
      </c>
      <c r="I2645" s="2" t="s">
        <v>2536</v>
      </c>
      <c r="J2645" s="2" t="s">
        <v>197</v>
      </c>
      <c r="K2645" t="s">
        <v>18</v>
      </c>
      <c r="L2645" t="str">
        <f>T("")</f>
        <v/>
      </c>
      <c r="M2645" t="str">
        <f>T("G720:N+A319-20251223071")</f>
        <v>G720:N+A319-20251223071</v>
      </c>
    </row>
    <row r="2646" spans="1:14">
      <c r="A2646" s="1">
        <v>46075.240335648145</v>
      </c>
      <c r="B2646">
        <v>386559327</v>
      </c>
      <c r="C2646" s="2" t="s">
        <v>2555</v>
      </c>
      <c r="D2646" t="s">
        <v>15</v>
      </c>
      <c r="E2646" s="5">
        <v>4000</v>
      </c>
      <c r="F2646" s="3">
        <v>3600</v>
      </c>
      <c r="G2646" s="3">
        <v>2520</v>
      </c>
      <c r="I2646" s="2" t="s">
        <v>2536</v>
      </c>
      <c r="J2646" s="2" t="s">
        <v>197</v>
      </c>
      <c r="K2646" t="s">
        <v>18</v>
      </c>
      <c r="L2646" t="str">
        <f>T("")</f>
        <v/>
      </c>
      <c r="M2646" t="str">
        <f>T("G720:N+A319-20251223071")</f>
        <v>G720:N+A319-20251223071</v>
      </c>
    </row>
    <row r="2647" spans="1:14">
      <c r="A2647" s="1">
        <v>46075.287395833337</v>
      </c>
      <c r="B2647">
        <v>386453284</v>
      </c>
      <c r="C2647" s="2" t="s">
        <v>2608</v>
      </c>
      <c r="D2647" t="s">
        <v>15</v>
      </c>
      <c r="E2647" s="5">
        <v>3000</v>
      </c>
      <c r="F2647" s="3">
        <v>3000</v>
      </c>
      <c r="G2647" s="3">
        <v>2100</v>
      </c>
      <c r="I2647" s="2" t="s">
        <v>2543</v>
      </c>
      <c r="J2647" s="2" t="s">
        <v>65</v>
      </c>
      <c r="K2647" t="s">
        <v>18</v>
      </c>
      <c r="L2647" t="str">
        <f>T("")</f>
        <v/>
      </c>
      <c r="M2647" t="str">
        <f>T("G720:N+A319-20260106026.M002")</f>
        <v>G720:N+A319-20260106026.M002</v>
      </c>
      <c r="N2647" t="s">
        <v>2609</v>
      </c>
    </row>
    <row r="2648" spans="1:14">
      <c r="A2648" s="1">
        <v>46075.325231481482</v>
      </c>
      <c r="B2648">
        <v>384664732</v>
      </c>
      <c r="C2648" s="2" t="s">
        <v>920</v>
      </c>
      <c r="D2648" t="s">
        <v>15</v>
      </c>
      <c r="E2648" s="5">
        <v>3100</v>
      </c>
      <c r="F2648" s="3">
        <v>3100</v>
      </c>
      <c r="G2648" s="3">
        <v>2170</v>
      </c>
      <c r="I2648" s="2" t="s">
        <v>921</v>
      </c>
      <c r="J2648" s="2" t="s">
        <v>126</v>
      </c>
      <c r="K2648" t="s">
        <v>18</v>
      </c>
      <c r="L2648" t="str">
        <f>T("9791171502974")</f>
        <v>9791171502974</v>
      </c>
      <c r="M2648" t="str">
        <f>T("")</f>
        <v/>
      </c>
      <c r="N2648" t="s">
        <v>922</v>
      </c>
    </row>
    <row r="2649" spans="1:14">
      <c r="A2649" s="1">
        <v>46075.33079861111</v>
      </c>
      <c r="B2649">
        <v>386453336</v>
      </c>
      <c r="C2649" s="2" t="s">
        <v>2542</v>
      </c>
      <c r="D2649" t="s">
        <v>15</v>
      </c>
      <c r="E2649" s="4">
        <v>0</v>
      </c>
      <c r="F2649" s="2">
        <v>0</v>
      </c>
      <c r="G2649" s="2">
        <v>0</v>
      </c>
      <c r="I2649" s="2" t="s">
        <v>2543</v>
      </c>
      <c r="J2649" s="2" t="s">
        <v>65</v>
      </c>
      <c r="K2649" t="s">
        <v>18</v>
      </c>
      <c r="L2649" t="str">
        <f>T("")</f>
        <v/>
      </c>
      <c r="M2649" t="str">
        <f>T("G720:N+A319-20260106026.M004")</f>
        <v>G720:N+A319-20260106026.M004</v>
      </c>
      <c r="N2649" t="s">
        <v>2544</v>
      </c>
    </row>
    <row r="2650" spans="1:14">
      <c r="A2650" s="1">
        <v>46075.416342592594</v>
      </c>
      <c r="B2650">
        <v>384664766</v>
      </c>
      <c r="C2650" s="2" t="s">
        <v>1826</v>
      </c>
      <c r="D2650" t="s">
        <v>15</v>
      </c>
      <c r="E2650" s="5">
        <v>3100</v>
      </c>
      <c r="F2650" s="3">
        <v>3100</v>
      </c>
      <c r="G2650" s="3">
        <v>2170</v>
      </c>
      <c r="I2650" s="2" t="s">
        <v>921</v>
      </c>
      <c r="J2650" s="2" t="s">
        <v>126</v>
      </c>
      <c r="K2650" t="s">
        <v>18</v>
      </c>
      <c r="L2650" t="str">
        <f>T("9791171502981")</f>
        <v>9791171502981</v>
      </c>
      <c r="M2650" t="str">
        <f t="shared" ref="M2650:M2663" si="115">T("")</f>
        <v/>
      </c>
      <c r="N2650" t="s">
        <v>1827</v>
      </c>
    </row>
    <row r="2651" spans="1:14">
      <c r="A2651" s="1">
        <v>46075.479826388888</v>
      </c>
      <c r="B2651">
        <v>386057280</v>
      </c>
      <c r="C2651" s="2" t="s">
        <v>1733</v>
      </c>
      <c r="D2651" t="s">
        <v>68</v>
      </c>
      <c r="E2651" s="5">
        <v>10500</v>
      </c>
      <c r="F2651" s="3">
        <v>10500</v>
      </c>
      <c r="G2651" s="3">
        <v>7350</v>
      </c>
      <c r="I2651" s="2" t="s">
        <v>1734</v>
      </c>
      <c r="J2651" s="2" t="s">
        <v>197</v>
      </c>
      <c r="K2651" t="s">
        <v>18</v>
      </c>
      <c r="L2651" t="str">
        <f>T("9791164092130")</f>
        <v>9791164092130</v>
      </c>
      <c r="M2651" t="str">
        <f t="shared" si="115"/>
        <v/>
      </c>
    </row>
    <row r="2652" spans="1:14">
      <c r="A2652" s="1">
        <v>46075.479826388888</v>
      </c>
      <c r="B2652">
        <v>386057281</v>
      </c>
      <c r="C2652" s="2" t="s">
        <v>2184</v>
      </c>
      <c r="D2652" t="s">
        <v>68</v>
      </c>
      <c r="E2652" s="5">
        <v>7500</v>
      </c>
      <c r="F2652" s="3">
        <v>7500</v>
      </c>
      <c r="G2652" s="3">
        <v>5250</v>
      </c>
      <c r="I2652" s="2" t="s">
        <v>1772</v>
      </c>
      <c r="J2652" s="2" t="s">
        <v>197</v>
      </c>
      <c r="K2652" t="s">
        <v>18</v>
      </c>
      <c r="L2652" t="str">
        <f>T("9791164093298")</f>
        <v>9791164093298</v>
      </c>
      <c r="M2652" t="str">
        <f t="shared" si="115"/>
        <v/>
      </c>
    </row>
    <row r="2653" spans="1:14">
      <c r="A2653" s="1">
        <v>46075.479826388888</v>
      </c>
      <c r="B2653">
        <v>386057282</v>
      </c>
      <c r="C2653" s="2" t="s">
        <v>1534</v>
      </c>
      <c r="D2653" t="s">
        <v>68</v>
      </c>
      <c r="E2653" s="5">
        <v>12500</v>
      </c>
      <c r="F2653" s="3">
        <v>12500</v>
      </c>
      <c r="G2653" s="3">
        <v>8750</v>
      </c>
      <c r="I2653" s="2" t="s">
        <v>1535</v>
      </c>
      <c r="J2653" s="2" t="s">
        <v>1536</v>
      </c>
      <c r="K2653" t="s">
        <v>18</v>
      </c>
      <c r="L2653" t="str">
        <f>T("9791189257323")</f>
        <v>9791189257323</v>
      </c>
      <c r="M2653" t="str">
        <f t="shared" si="115"/>
        <v/>
      </c>
    </row>
    <row r="2654" spans="1:14">
      <c r="A2654" s="1">
        <v>46075.479826388888</v>
      </c>
      <c r="B2654">
        <v>386057276</v>
      </c>
      <c r="C2654" s="2" t="s">
        <v>1681</v>
      </c>
      <c r="D2654" t="s">
        <v>68</v>
      </c>
      <c r="E2654" s="5">
        <v>8100</v>
      </c>
      <c r="F2654" s="3">
        <v>8100</v>
      </c>
      <c r="G2654" s="3">
        <v>5670</v>
      </c>
      <c r="I2654" s="2" t="s">
        <v>1682</v>
      </c>
      <c r="J2654" s="2" t="s">
        <v>197</v>
      </c>
      <c r="K2654" t="s">
        <v>18</v>
      </c>
      <c r="L2654" t="str">
        <f>T("9791164097661")</f>
        <v>9791164097661</v>
      </c>
      <c r="M2654" t="str">
        <f t="shared" si="115"/>
        <v/>
      </c>
    </row>
    <row r="2655" spans="1:14">
      <c r="A2655" s="1">
        <v>46075.496435185189</v>
      </c>
      <c r="B2655">
        <v>370130452</v>
      </c>
      <c r="C2655" s="2" t="s">
        <v>1532</v>
      </c>
      <c r="D2655" t="s">
        <v>68</v>
      </c>
      <c r="E2655" s="4">
        <v>700</v>
      </c>
      <c r="F2655" s="2">
        <v>700</v>
      </c>
      <c r="G2655" s="2">
        <v>490</v>
      </c>
      <c r="I2655" s="2" t="s">
        <v>244</v>
      </c>
      <c r="J2655" s="2" t="s">
        <v>245</v>
      </c>
      <c r="K2655" t="s">
        <v>18</v>
      </c>
      <c r="L2655" t="str">
        <f>T("9791164489121")</f>
        <v>9791164489121</v>
      </c>
      <c r="M2655" t="str">
        <f t="shared" si="115"/>
        <v/>
      </c>
      <c r="N2655" t="s">
        <v>1533</v>
      </c>
    </row>
    <row r="2656" spans="1:14">
      <c r="A2656" s="1">
        <v>46075.588599537034</v>
      </c>
      <c r="B2656">
        <v>383435421</v>
      </c>
      <c r="C2656" s="2" t="s">
        <v>27</v>
      </c>
      <c r="D2656" t="s">
        <v>15</v>
      </c>
      <c r="E2656" s="5">
        <v>1000</v>
      </c>
      <c r="F2656" s="3">
        <v>1000</v>
      </c>
      <c r="G2656" s="2">
        <v>700</v>
      </c>
      <c r="I2656" s="2" t="s">
        <v>28</v>
      </c>
      <c r="J2656" s="2" t="s">
        <v>21</v>
      </c>
      <c r="K2656" t="s">
        <v>18</v>
      </c>
      <c r="L2656" t="str">
        <f>T("9791175582361")</f>
        <v>9791175582361</v>
      </c>
      <c r="M2656" t="str">
        <f t="shared" si="115"/>
        <v/>
      </c>
      <c r="N2656" t="s">
        <v>29</v>
      </c>
    </row>
    <row r="2657" spans="1:14">
      <c r="A2657" s="1">
        <v>46075.600439814814</v>
      </c>
      <c r="B2657">
        <v>300774048</v>
      </c>
      <c r="C2657" s="2" t="s">
        <v>2610</v>
      </c>
      <c r="D2657" t="s">
        <v>15</v>
      </c>
      <c r="E2657" s="5">
        <v>1000</v>
      </c>
      <c r="F2657" s="3">
        <v>1000</v>
      </c>
      <c r="G2657" s="2">
        <v>700</v>
      </c>
      <c r="I2657" s="2" t="s">
        <v>465</v>
      </c>
      <c r="J2657" s="2" t="s">
        <v>21</v>
      </c>
      <c r="K2657" t="s">
        <v>18</v>
      </c>
      <c r="L2657" t="str">
        <f>T("9791167834034")</f>
        <v>9791167834034</v>
      </c>
      <c r="M2657" t="str">
        <f t="shared" si="115"/>
        <v/>
      </c>
    </row>
    <row r="2658" spans="1:14">
      <c r="A2658" s="1">
        <v>46075.60491898148</v>
      </c>
      <c r="B2658">
        <v>308166589</v>
      </c>
      <c r="C2658" s="2" t="s">
        <v>2611</v>
      </c>
      <c r="D2658" t="s">
        <v>15</v>
      </c>
      <c r="E2658" s="5">
        <v>1000</v>
      </c>
      <c r="F2658" s="3">
        <v>1000</v>
      </c>
      <c r="G2658" s="2">
        <v>700</v>
      </c>
      <c r="I2658" s="2" t="s">
        <v>465</v>
      </c>
      <c r="J2658" s="2" t="s">
        <v>21</v>
      </c>
      <c r="K2658" t="s">
        <v>18</v>
      </c>
      <c r="L2658" t="str">
        <f>T("9791167834997")</f>
        <v>9791167834997</v>
      </c>
      <c r="M2658" t="str">
        <f t="shared" si="115"/>
        <v/>
      </c>
      <c r="N2658" t="s">
        <v>2612</v>
      </c>
    </row>
    <row r="2659" spans="1:14">
      <c r="A2659" s="1">
        <v>46075.609247685185</v>
      </c>
      <c r="B2659">
        <v>308166591</v>
      </c>
      <c r="C2659" s="2" t="s">
        <v>2613</v>
      </c>
      <c r="D2659" t="s">
        <v>15</v>
      </c>
      <c r="E2659" s="5">
        <v>1000</v>
      </c>
      <c r="F2659" s="3">
        <v>1000</v>
      </c>
      <c r="G2659" s="2">
        <v>700</v>
      </c>
      <c r="I2659" s="2" t="s">
        <v>465</v>
      </c>
      <c r="J2659" s="2" t="s">
        <v>21</v>
      </c>
      <c r="K2659" t="s">
        <v>18</v>
      </c>
      <c r="L2659" t="str">
        <f>T("9791167836243")</f>
        <v>9791167836243</v>
      </c>
      <c r="M2659" t="str">
        <f t="shared" si="115"/>
        <v/>
      </c>
      <c r="N2659" t="s">
        <v>2614</v>
      </c>
    </row>
    <row r="2660" spans="1:14">
      <c r="A2660" s="1">
        <v>46075.680023148147</v>
      </c>
      <c r="B2660">
        <v>304630801</v>
      </c>
      <c r="C2660" s="2" t="s">
        <v>2615</v>
      </c>
      <c r="D2660" t="s">
        <v>68</v>
      </c>
      <c r="E2660" s="4">
        <v>900</v>
      </c>
      <c r="F2660" s="2">
        <v>900</v>
      </c>
      <c r="G2660" s="2">
        <v>630</v>
      </c>
      <c r="I2660" s="2" t="s">
        <v>1749</v>
      </c>
      <c r="J2660" s="2" t="s">
        <v>245</v>
      </c>
      <c r="K2660" t="s">
        <v>18</v>
      </c>
      <c r="L2660" t="str">
        <f>T("9791166007873")</f>
        <v>9791166007873</v>
      </c>
      <c r="M2660" t="str">
        <f t="shared" si="115"/>
        <v/>
      </c>
      <c r="N2660" t="s">
        <v>2616</v>
      </c>
    </row>
    <row r="2661" spans="1:14">
      <c r="A2661" s="1">
        <v>46075.680023148147</v>
      </c>
      <c r="B2661">
        <v>304630802</v>
      </c>
      <c r="C2661" s="2" t="s">
        <v>2617</v>
      </c>
      <c r="D2661" t="s">
        <v>68</v>
      </c>
      <c r="E2661" s="4">
        <v>900</v>
      </c>
      <c r="F2661" s="2">
        <v>900</v>
      </c>
      <c r="G2661" s="2">
        <v>630</v>
      </c>
      <c r="I2661" s="2" t="s">
        <v>1749</v>
      </c>
      <c r="J2661" s="2" t="s">
        <v>245</v>
      </c>
      <c r="K2661" t="s">
        <v>18</v>
      </c>
      <c r="L2661" t="str">
        <f>T("9791166007866")</f>
        <v>9791166007866</v>
      </c>
      <c r="M2661" t="str">
        <f t="shared" si="115"/>
        <v/>
      </c>
      <c r="N2661" t="s">
        <v>2618</v>
      </c>
    </row>
    <row r="2662" spans="1:14">
      <c r="A2662" s="1">
        <v>46075.735092592593</v>
      </c>
      <c r="B2662">
        <v>285273131</v>
      </c>
      <c r="C2662" s="2" t="s">
        <v>2619</v>
      </c>
      <c r="D2662" t="s">
        <v>15</v>
      </c>
      <c r="E2662" s="5">
        <v>1000</v>
      </c>
      <c r="F2662" s="3">
        <v>1000</v>
      </c>
      <c r="G2662" s="2">
        <v>700</v>
      </c>
      <c r="I2662" s="2" t="s">
        <v>2620</v>
      </c>
      <c r="J2662" s="2" t="s">
        <v>21</v>
      </c>
      <c r="K2662" t="s">
        <v>18</v>
      </c>
      <c r="L2662" t="str">
        <f>T("9791167830715")</f>
        <v>9791167830715</v>
      </c>
      <c r="M2662" t="str">
        <f t="shared" si="115"/>
        <v/>
      </c>
    </row>
    <row r="2663" spans="1:14">
      <c r="A2663" s="1">
        <v>46075.748020833336</v>
      </c>
      <c r="B2663">
        <v>311047220</v>
      </c>
      <c r="C2663" s="2" t="s">
        <v>451</v>
      </c>
      <c r="D2663" t="s">
        <v>15</v>
      </c>
      <c r="E2663" s="5">
        <v>11200</v>
      </c>
      <c r="F2663" s="3">
        <v>11200</v>
      </c>
      <c r="G2663" s="3">
        <v>7840</v>
      </c>
      <c r="I2663" s="2" t="s">
        <v>452</v>
      </c>
      <c r="J2663" s="2" t="s">
        <v>184</v>
      </c>
      <c r="K2663" t="s">
        <v>18</v>
      </c>
      <c r="L2663" t="str">
        <f>T("9791164798919")</f>
        <v>9791164798919</v>
      </c>
      <c r="M2663" t="str">
        <f t="shared" si="115"/>
        <v/>
      </c>
      <c r="N2663" t="s">
        <v>453</v>
      </c>
    </row>
    <row r="2664" spans="1:14">
      <c r="A2664" s="1">
        <v>46075.771724537037</v>
      </c>
      <c r="B2664">
        <v>386453336</v>
      </c>
      <c r="C2664" s="2" t="s">
        <v>2542</v>
      </c>
      <c r="D2664" t="s">
        <v>15</v>
      </c>
      <c r="E2664" s="4">
        <v>0</v>
      </c>
      <c r="F2664" s="2">
        <v>0</v>
      </c>
      <c r="G2664" s="2">
        <v>0</v>
      </c>
      <c r="I2664" s="2" t="s">
        <v>2543</v>
      </c>
      <c r="J2664" s="2" t="s">
        <v>65</v>
      </c>
      <c r="K2664" t="s">
        <v>18</v>
      </c>
      <c r="L2664" t="str">
        <f>T("")</f>
        <v/>
      </c>
      <c r="M2664" t="str">
        <f>T("G720:N+A319-20260106026.M004")</f>
        <v>G720:N+A319-20260106026.M004</v>
      </c>
      <c r="N2664" t="s">
        <v>2544</v>
      </c>
    </row>
    <row r="2665" spans="1:14">
      <c r="A2665" s="1">
        <v>46075.782916666663</v>
      </c>
      <c r="B2665">
        <v>370130276</v>
      </c>
      <c r="C2665" s="2" t="s">
        <v>1594</v>
      </c>
      <c r="D2665" t="s">
        <v>68</v>
      </c>
      <c r="E2665" s="4">
        <v>700</v>
      </c>
      <c r="F2665" s="2">
        <v>700</v>
      </c>
      <c r="G2665" s="2">
        <v>490</v>
      </c>
      <c r="I2665" s="2" t="s">
        <v>244</v>
      </c>
      <c r="J2665" s="2" t="s">
        <v>245</v>
      </c>
      <c r="K2665" t="s">
        <v>18</v>
      </c>
      <c r="L2665" t="str">
        <f>T("9791164489138")</f>
        <v>9791164489138</v>
      </c>
      <c r="M2665" t="str">
        <f t="shared" ref="M2665:M2675" si="116">T("")</f>
        <v/>
      </c>
      <c r="N2665" t="s">
        <v>1595</v>
      </c>
    </row>
    <row r="2666" spans="1:14">
      <c r="A2666" s="1">
        <v>46075.787060185183</v>
      </c>
      <c r="B2666">
        <v>385852579</v>
      </c>
      <c r="C2666" s="2" t="s">
        <v>1202</v>
      </c>
      <c r="D2666" t="s">
        <v>15</v>
      </c>
      <c r="E2666" s="5">
        <v>1000</v>
      </c>
      <c r="F2666" s="3">
        <v>1000</v>
      </c>
      <c r="G2666" s="2">
        <v>700</v>
      </c>
      <c r="I2666" s="2" t="s">
        <v>1203</v>
      </c>
      <c r="J2666" s="2" t="s">
        <v>21</v>
      </c>
      <c r="K2666" t="s">
        <v>18</v>
      </c>
      <c r="L2666" t="str">
        <f>T("9791175582620")</f>
        <v>9791175582620</v>
      </c>
      <c r="M2666" t="str">
        <f t="shared" si="116"/>
        <v/>
      </c>
      <c r="N2666" t="s">
        <v>1204</v>
      </c>
    </row>
    <row r="2667" spans="1:14">
      <c r="A2667" s="1">
        <v>46075.80228009259</v>
      </c>
      <c r="B2667">
        <v>385347797</v>
      </c>
      <c r="C2667" s="2" t="s">
        <v>195</v>
      </c>
      <c r="D2667" t="s">
        <v>15</v>
      </c>
      <c r="E2667" s="4">
        <v>700</v>
      </c>
      <c r="F2667" s="2">
        <v>630</v>
      </c>
      <c r="G2667" s="2">
        <v>441</v>
      </c>
      <c r="I2667" s="2" t="s">
        <v>196</v>
      </c>
      <c r="J2667" s="2" t="s">
        <v>197</v>
      </c>
      <c r="K2667" t="s">
        <v>18</v>
      </c>
      <c r="L2667" t="str">
        <f>T("9791172821937")</f>
        <v>9791172821937</v>
      </c>
      <c r="M2667" t="str">
        <f t="shared" si="116"/>
        <v/>
      </c>
      <c r="N2667" t="s">
        <v>198</v>
      </c>
    </row>
    <row r="2668" spans="1:14">
      <c r="A2668" s="1">
        <v>46075.81391203704</v>
      </c>
      <c r="B2668">
        <v>386057282</v>
      </c>
      <c r="C2668" s="2" t="s">
        <v>1534</v>
      </c>
      <c r="D2668" t="s">
        <v>68</v>
      </c>
      <c r="E2668" s="5">
        <v>12500</v>
      </c>
      <c r="F2668" s="3">
        <v>12500</v>
      </c>
      <c r="G2668" s="3">
        <v>8750</v>
      </c>
      <c r="I2668" s="2" t="s">
        <v>1535</v>
      </c>
      <c r="J2668" s="2" t="s">
        <v>1536</v>
      </c>
      <c r="K2668" t="s">
        <v>18</v>
      </c>
      <c r="L2668" t="str">
        <f>T("9791189257323")</f>
        <v>9791189257323</v>
      </c>
      <c r="M2668" t="str">
        <f t="shared" si="116"/>
        <v/>
      </c>
    </row>
    <row r="2669" spans="1:14">
      <c r="A2669" s="1">
        <v>46075.851111111115</v>
      </c>
      <c r="B2669">
        <v>328759043</v>
      </c>
      <c r="C2669" s="2" t="s">
        <v>1537</v>
      </c>
      <c r="D2669" t="s">
        <v>68</v>
      </c>
      <c r="E2669" s="4">
        <v>840</v>
      </c>
      <c r="F2669" s="2">
        <v>840</v>
      </c>
      <c r="G2669" s="2">
        <v>588</v>
      </c>
      <c r="I2669" s="2" t="s">
        <v>852</v>
      </c>
      <c r="J2669" s="2" t="s">
        <v>197</v>
      </c>
      <c r="K2669" t="s">
        <v>18</v>
      </c>
      <c r="L2669" t="str">
        <f>T("9791164099269")</f>
        <v>9791164099269</v>
      </c>
      <c r="M2669" t="str">
        <f t="shared" si="116"/>
        <v/>
      </c>
    </row>
    <row r="2670" spans="1:14">
      <c r="A2670" s="1">
        <v>46075.888252314813</v>
      </c>
      <c r="B2670">
        <v>367571701</v>
      </c>
      <c r="C2670" s="2" t="s">
        <v>2621</v>
      </c>
      <c r="D2670" t="s">
        <v>68</v>
      </c>
      <c r="E2670" s="5">
        <v>4900</v>
      </c>
      <c r="F2670" s="3">
        <v>4900</v>
      </c>
      <c r="G2670" s="3">
        <v>3430</v>
      </c>
      <c r="I2670" s="2" t="s">
        <v>307</v>
      </c>
      <c r="J2670" s="2" t="s">
        <v>308</v>
      </c>
      <c r="K2670" t="s">
        <v>18</v>
      </c>
      <c r="L2670" t="str">
        <f>T("9791194174882")</f>
        <v>9791194174882</v>
      </c>
      <c r="M2670" t="str">
        <f t="shared" si="116"/>
        <v/>
      </c>
    </row>
    <row r="2671" spans="1:14">
      <c r="A2671" s="1">
        <v>46075.889618055553</v>
      </c>
      <c r="B2671">
        <v>66951465</v>
      </c>
      <c r="C2671" s="2" t="s">
        <v>2622</v>
      </c>
      <c r="D2671" t="s">
        <v>15</v>
      </c>
      <c r="E2671" s="5">
        <v>1000</v>
      </c>
      <c r="F2671" s="3">
        <v>1000</v>
      </c>
      <c r="G2671" s="2">
        <v>700</v>
      </c>
      <c r="I2671" s="2" t="s">
        <v>2623</v>
      </c>
      <c r="J2671" s="2" t="s">
        <v>227</v>
      </c>
      <c r="K2671" t="s">
        <v>18</v>
      </c>
      <c r="L2671" t="str">
        <f>T("9791157700783")</f>
        <v>9791157700783</v>
      </c>
      <c r="M2671" t="str">
        <f t="shared" si="116"/>
        <v/>
      </c>
    </row>
    <row r="2672" spans="1:14">
      <c r="A2672" s="1">
        <v>46075.889618055553</v>
      </c>
      <c r="B2672">
        <v>66951466</v>
      </c>
      <c r="C2672" s="2" t="s">
        <v>2624</v>
      </c>
      <c r="D2672" t="s">
        <v>15</v>
      </c>
      <c r="E2672" s="5">
        <v>1000</v>
      </c>
      <c r="F2672" s="3">
        <v>1000</v>
      </c>
      <c r="G2672" s="2">
        <v>700</v>
      </c>
      <c r="I2672" s="2" t="s">
        <v>2623</v>
      </c>
      <c r="J2672" s="2" t="s">
        <v>227</v>
      </c>
      <c r="K2672" t="s">
        <v>18</v>
      </c>
      <c r="L2672" t="str">
        <f>T("9791157700790")</f>
        <v>9791157700790</v>
      </c>
      <c r="M2672" t="str">
        <f t="shared" si="116"/>
        <v/>
      </c>
    </row>
    <row r="2673" spans="1:14">
      <c r="A2673" s="1">
        <v>46075.891724537039</v>
      </c>
      <c r="B2673">
        <v>336198022</v>
      </c>
      <c r="C2673" s="2" t="s">
        <v>544</v>
      </c>
      <c r="D2673" t="s">
        <v>15</v>
      </c>
      <c r="E2673" s="4">
        <v>0</v>
      </c>
      <c r="F2673" s="2">
        <v>0</v>
      </c>
      <c r="G2673" s="2">
        <v>0</v>
      </c>
      <c r="I2673" s="2" t="s">
        <v>540</v>
      </c>
      <c r="J2673" s="2" t="s">
        <v>197</v>
      </c>
      <c r="K2673" t="s">
        <v>18</v>
      </c>
      <c r="L2673" t="str">
        <f>T("9791164098859")</f>
        <v>9791164098859</v>
      </c>
      <c r="M2673" t="str">
        <f t="shared" si="116"/>
        <v/>
      </c>
      <c r="N2673" t="s">
        <v>545</v>
      </c>
    </row>
    <row r="2674" spans="1:14">
      <c r="A2674" s="1">
        <v>46075.909918981481</v>
      </c>
      <c r="B2674">
        <v>235894716</v>
      </c>
      <c r="C2674" s="2" t="s">
        <v>2049</v>
      </c>
      <c r="D2674" t="s">
        <v>68</v>
      </c>
      <c r="E2674" s="5">
        <v>2150</v>
      </c>
      <c r="F2674" s="3">
        <v>2150</v>
      </c>
      <c r="G2674" s="3">
        <v>1505</v>
      </c>
      <c r="I2674" s="2" t="s">
        <v>552</v>
      </c>
      <c r="J2674" s="2" t="s">
        <v>197</v>
      </c>
      <c r="K2674" t="s">
        <v>18</v>
      </c>
      <c r="L2674" t="str">
        <f>T("9791164091539")</f>
        <v>9791164091539</v>
      </c>
      <c r="M2674" t="str">
        <f t="shared" si="116"/>
        <v/>
      </c>
    </row>
    <row r="2675" spans="1:14">
      <c r="A2675" s="1">
        <v>46075.909918981481</v>
      </c>
      <c r="B2675">
        <v>279024570</v>
      </c>
      <c r="C2675" s="2" t="s">
        <v>1039</v>
      </c>
      <c r="D2675" t="s">
        <v>68</v>
      </c>
      <c r="E2675" s="5">
        <v>2000</v>
      </c>
      <c r="F2675" s="3">
        <v>2000</v>
      </c>
      <c r="G2675" s="3">
        <v>1400</v>
      </c>
      <c r="I2675" s="2" t="s">
        <v>1040</v>
      </c>
      <c r="J2675" s="2" t="s">
        <v>126</v>
      </c>
      <c r="K2675" t="s">
        <v>18</v>
      </c>
      <c r="L2675" t="str">
        <f>T("9791164974047")</f>
        <v>9791164974047</v>
      </c>
      <c r="M2675" t="str">
        <f t="shared" si="116"/>
        <v/>
      </c>
    </row>
    <row r="2676" spans="1:14">
      <c r="A2676" s="1">
        <v>46075.925370370373</v>
      </c>
      <c r="B2676">
        <v>386559326</v>
      </c>
      <c r="C2676" s="2" t="s">
        <v>2545</v>
      </c>
      <c r="D2676" t="s">
        <v>68</v>
      </c>
      <c r="E2676" s="5">
        <v>5760</v>
      </c>
      <c r="F2676" s="3">
        <v>5760</v>
      </c>
      <c r="G2676" s="3">
        <v>4032</v>
      </c>
      <c r="I2676" s="2" t="s">
        <v>2546</v>
      </c>
      <c r="J2676" s="2" t="s">
        <v>197</v>
      </c>
      <c r="K2676" t="s">
        <v>18</v>
      </c>
      <c r="L2676" t="str">
        <f>T("")</f>
        <v/>
      </c>
      <c r="M2676" t="str">
        <f>T("G720:N+A319-20251223073")</f>
        <v>G720:N+A319-20251223073</v>
      </c>
    </row>
    <row r="2677" spans="1:14">
      <c r="A2677" s="1">
        <v>46075.930208333331</v>
      </c>
      <c r="B2677">
        <v>378947390</v>
      </c>
      <c r="C2677" s="2" t="s">
        <v>1104</v>
      </c>
      <c r="D2677" t="s">
        <v>15</v>
      </c>
      <c r="E2677" s="5">
        <v>4800</v>
      </c>
      <c r="F2677" s="3">
        <v>4800</v>
      </c>
      <c r="G2677" s="3">
        <v>3360</v>
      </c>
      <c r="I2677" s="2" t="s">
        <v>1105</v>
      </c>
      <c r="J2677" s="2" t="s">
        <v>197</v>
      </c>
      <c r="K2677" t="s">
        <v>18</v>
      </c>
      <c r="L2677" t="str">
        <f>T("9791172822002")</f>
        <v>9791172822002</v>
      </c>
      <c r="M2677" t="str">
        <f t="shared" ref="M2677:M2704" si="117">T("")</f>
        <v/>
      </c>
    </row>
    <row r="2678" spans="1:14">
      <c r="A2678" s="1">
        <v>46075.936655092592</v>
      </c>
      <c r="B2678">
        <v>371345723</v>
      </c>
      <c r="C2678" s="2" t="s">
        <v>525</v>
      </c>
      <c r="D2678" t="s">
        <v>68</v>
      </c>
      <c r="E2678" s="5">
        <v>2310</v>
      </c>
      <c r="F2678" s="3">
        <v>2310</v>
      </c>
      <c r="G2678" s="3">
        <v>1617</v>
      </c>
      <c r="I2678" s="2" t="s">
        <v>196</v>
      </c>
      <c r="J2678" s="2" t="s">
        <v>197</v>
      </c>
      <c r="K2678" t="s">
        <v>18</v>
      </c>
      <c r="L2678" t="str">
        <f>T("9791172821692")</f>
        <v>9791172821692</v>
      </c>
      <c r="M2678" t="str">
        <f t="shared" si="117"/>
        <v/>
      </c>
      <c r="N2678" t="s">
        <v>526</v>
      </c>
    </row>
    <row r="2679" spans="1:14">
      <c r="A2679" s="1">
        <v>46075.939166666663</v>
      </c>
      <c r="B2679">
        <v>379511327</v>
      </c>
      <c r="C2679" s="2" t="s">
        <v>262</v>
      </c>
      <c r="D2679" t="s">
        <v>15</v>
      </c>
      <c r="E2679" s="5">
        <v>3300</v>
      </c>
      <c r="F2679" s="3">
        <v>3300</v>
      </c>
      <c r="G2679" s="3">
        <v>2310</v>
      </c>
      <c r="I2679" s="2" t="s">
        <v>263</v>
      </c>
      <c r="J2679" s="2" t="s">
        <v>126</v>
      </c>
      <c r="K2679" t="s">
        <v>18</v>
      </c>
      <c r="L2679" t="str">
        <f>T("9791171502875")</f>
        <v>9791171502875</v>
      </c>
      <c r="M2679" t="str">
        <f t="shared" si="117"/>
        <v/>
      </c>
      <c r="N2679" t="s">
        <v>264</v>
      </c>
    </row>
    <row r="2680" spans="1:14">
      <c r="A2680" s="1">
        <v>46075.940115740741</v>
      </c>
      <c r="B2680">
        <v>328759043</v>
      </c>
      <c r="C2680" s="2" t="s">
        <v>1537</v>
      </c>
      <c r="D2680" t="s">
        <v>68</v>
      </c>
      <c r="E2680" s="4">
        <v>840</v>
      </c>
      <c r="F2680" s="2">
        <v>840</v>
      </c>
      <c r="G2680" s="2">
        <v>588</v>
      </c>
      <c r="I2680" s="2" t="s">
        <v>852</v>
      </c>
      <c r="J2680" s="2" t="s">
        <v>197</v>
      </c>
      <c r="K2680" t="s">
        <v>18</v>
      </c>
      <c r="L2680" t="str">
        <f>T("9791164099269")</f>
        <v>9791164099269</v>
      </c>
      <c r="M2680" t="str">
        <f t="shared" si="117"/>
        <v/>
      </c>
    </row>
    <row r="2681" spans="1:14">
      <c r="A2681" s="1">
        <v>46075.947592592594</v>
      </c>
      <c r="B2681">
        <v>211909257</v>
      </c>
      <c r="C2681" s="2" t="s">
        <v>1665</v>
      </c>
      <c r="D2681" t="s">
        <v>68</v>
      </c>
      <c r="E2681" s="5">
        <v>4550</v>
      </c>
      <c r="F2681" s="3">
        <v>4550</v>
      </c>
      <c r="G2681" s="3">
        <v>3185</v>
      </c>
      <c r="I2681" s="2" t="s">
        <v>196</v>
      </c>
      <c r="J2681" s="2" t="s">
        <v>197</v>
      </c>
      <c r="K2681" t="s">
        <v>18</v>
      </c>
      <c r="L2681" t="str">
        <f>T("9791164090693")</f>
        <v>9791164090693</v>
      </c>
      <c r="M2681" t="str">
        <f t="shared" si="117"/>
        <v/>
      </c>
    </row>
    <row r="2682" spans="1:14">
      <c r="A2682" s="1">
        <v>46075.955428240741</v>
      </c>
      <c r="B2682">
        <v>318630911</v>
      </c>
      <c r="C2682" s="2" t="s">
        <v>1735</v>
      </c>
      <c r="D2682" t="s">
        <v>15</v>
      </c>
      <c r="E2682" s="4">
        <v>0</v>
      </c>
      <c r="F2682" s="2">
        <v>0</v>
      </c>
      <c r="G2682" s="2">
        <v>0</v>
      </c>
      <c r="I2682" s="2" t="s">
        <v>1535</v>
      </c>
      <c r="J2682" s="2" t="s">
        <v>1536</v>
      </c>
      <c r="K2682" t="s">
        <v>18</v>
      </c>
      <c r="L2682" t="str">
        <f>T("9791189257330")</f>
        <v>9791189257330</v>
      </c>
      <c r="M2682" t="str">
        <f t="shared" si="117"/>
        <v/>
      </c>
      <c r="N2682" t="s">
        <v>1736</v>
      </c>
    </row>
    <row r="2683" spans="1:14">
      <c r="A2683" s="1">
        <v>46075.966307870367</v>
      </c>
      <c r="B2683">
        <v>328759043</v>
      </c>
      <c r="C2683" s="2" t="s">
        <v>1537</v>
      </c>
      <c r="D2683" t="s">
        <v>68</v>
      </c>
      <c r="E2683" s="4">
        <v>840</v>
      </c>
      <c r="F2683" s="2">
        <v>840</v>
      </c>
      <c r="G2683" s="2">
        <v>588</v>
      </c>
      <c r="I2683" s="2" t="s">
        <v>852</v>
      </c>
      <c r="J2683" s="2" t="s">
        <v>197</v>
      </c>
      <c r="K2683" t="s">
        <v>18</v>
      </c>
      <c r="L2683" t="str">
        <f>T("9791164099269")</f>
        <v>9791164099269</v>
      </c>
      <c r="M2683" t="str">
        <f t="shared" si="117"/>
        <v/>
      </c>
    </row>
    <row r="2684" spans="1:14">
      <c r="A2684" s="1">
        <v>46075.990972222222</v>
      </c>
      <c r="B2684">
        <v>386008658</v>
      </c>
      <c r="C2684" s="2" t="s">
        <v>1429</v>
      </c>
      <c r="D2684" t="s">
        <v>15</v>
      </c>
      <c r="E2684" s="5">
        <v>1100</v>
      </c>
      <c r="F2684" s="3">
        <v>1100</v>
      </c>
      <c r="G2684" s="2">
        <v>770</v>
      </c>
      <c r="I2684" s="2" t="s">
        <v>148</v>
      </c>
      <c r="J2684" s="2" t="s">
        <v>21</v>
      </c>
      <c r="K2684" t="s">
        <v>18</v>
      </c>
      <c r="L2684" t="str">
        <f>T("9791175582873")</f>
        <v>9791175582873</v>
      </c>
      <c r="M2684" t="str">
        <f t="shared" si="117"/>
        <v/>
      </c>
      <c r="N2684" t="s">
        <v>1430</v>
      </c>
    </row>
    <row r="2685" spans="1:14">
      <c r="A2685" s="1">
        <v>46075.990972222222</v>
      </c>
      <c r="B2685">
        <v>385852543</v>
      </c>
      <c r="C2685" s="2" t="s">
        <v>1200</v>
      </c>
      <c r="D2685" t="s">
        <v>15</v>
      </c>
      <c r="E2685" s="5">
        <v>3000</v>
      </c>
      <c r="F2685" s="3">
        <v>3000</v>
      </c>
      <c r="G2685" s="3">
        <v>2100</v>
      </c>
      <c r="I2685" s="2" t="s">
        <v>1198</v>
      </c>
      <c r="J2685" s="2" t="s">
        <v>21</v>
      </c>
      <c r="K2685" t="s">
        <v>18</v>
      </c>
      <c r="L2685" t="str">
        <f>T("9791175582941")</f>
        <v>9791175582941</v>
      </c>
      <c r="M2685" t="str">
        <f t="shared" si="117"/>
        <v/>
      </c>
      <c r="N2685" t="s">
        <v>1201</v>
      </c>
    </row>
    <row r="2686" spans="1:14">
      <c r="A2686" s="1">
        <v>46075.990972222222</v>
      </c>
      <c r="B2686">
        <v>385852507</v>
      </c>
      <c r="C2686" s="2" t="s">
        <v>1197</v>
      </c>
      <c r="D2686" t="s">
        <v>15</v>
      </c>
      <c r="E2686" s="5">
        <v>3000</v>
      </c>
      <c r="F2686" s="3">
        <v>3000</v>
      </c>
      <c r="G2686" s="3">
        <v>2100</v>
      </c>
      <c r="I2686" s="2" t="s">
        <v>1198</v>
      </c>
      <c r="J2686" s="2" t="s">
        <v>21</v>
      </c>
      <c r="K2686" t="s">
        <v>18</v>
      </c>
      <c r="L2686" t="str">
        <f>T("9791175582958")</f>
        <v>9791175582958</v>
      </c>
      <c r="M2686" t="str">
        <f t="shared" si="117"/>
        <v/>
      </c>
      <c r="N2686" t="s">
        <v>1199</v>
      </c>
    </row>
    <row r="2687" spans="1:14">
      <c r="A2687" s="1">
        <v>46075.990972222222</v>
      </c>
      <c r="B2687">
        <v>385347515</v>
      </c>
      <c r="C2687" s="2" t="s">
        <v>304</v>
      </c>
      <c r="D2687" t="s">
        <v>15</v>
      </c>
      <c r="E2687" s="5">
        <v>1300</v>
      </c>
      <c r="F2687" s="3">
        <v>1300</v>
      </c>
      <c r="G2687" s="2">
        <v>910</v>
      </c>
      <c r="I2687" s="2" t="s">
        <v>148</v>
      </c>
      <c r="J2687" s="2" t="s">
        <v>21</v>
      </c>
      <c r="K2687" t="s">
        <v>18</v>
      </c>
      <c r="L2687" t="str">
        <f>T("9791175582521")</f>
        <v>9791175582521</v>
      </c>
      <c r="M2687" t="str">
        <f t="shared" si="117"/>
        <v/>
      </c>
      <c r="N2687" t="s">
        <v>305</v>
      </c>
    </row>
    <row r="2688" spans="1:14">
      <c r="A2688" s="1">
        <v>46075.998969907407</v>
      </c>
      <c r="B2688">
        <v>371345723</v>
      </c>
      <c r="C2688" s="2" t="s">
        <v>525</v>
      </c>
      <c r="D2688" t="s">
        <v>68</v>
      </c>
      <c r="E2688" s="5">
        <v>2310</v>
      </c>
      <c r="F2688" s="3">
        <v>2310</v>
      </c>
      <c r="G2688" s="3">
        <v>1617</v>
      </c>
      <c r="I2688" s="2" t="s">
        <v>196</v>
      </c>
      <c r="J2688" s="2" t="s">
        <v>197</v>
      </c>
      <c r="K2688" t="s">
        <v>18</v>
      </c>
      <c r="L2688" t="str">
        <f>T("9791172821692")</f>
        <v>9791172821692</v>
      </c>
      <c r="M2688" t="str">
        <f t="shared" si="117"/>
        <v/>
      </c>
      <c r="N2688" t="s">
        <v>526</v>
      </c>
    </row>
    <row r="2689" spans="1:14">
      <c r="A2689" s="1">
        <v>46076.001805555556</v>
      </c>
      <c r="B2689">
        <v>212448133</v>
      </c>
      <c r="C2689" s="2" t="s">
        <v>2625</v>
      </c>
      <c r="D2689" t="s">
        <v>68</v>
      </c>
      <c r="E2689" s="4">
        <v>900</v>
      </c>
      <c r="F2689" s="2">
        <v>900</v>
      </c>
      <c r="G2689" s="2">
        <v>630</v>
      </c>
      <c r="I2689" s="2" t="s">
        <v>2463</v>
      </c>
      <c r="J2689" s="2" t="s">
        <v>65</v>
      </c>
      <c r="K2689" t="s">
        <v>18</v>
      </c>
      <c r="L2689" t="str">
        <f>T("9791162589311")</f>
        <v>9791162589311</v>
      </c>
      <c r="M2689" t="str">
        <f t="shared" si="117"/>
        <v/>
      </c>
    </row>
    <row r="2690" spans="1:14">
      <c r="A2690" s="1">
        <v>46076.011469907404</v>
      </c>
      <c r="B2690">
        <v>207110095</v>
      </c>
      <c r="C2690" s="2" t="s">
        <v>2626</v>
      </c>
      <c r="D2690" t="s">
        <v>15</v>
      </c>
      <c r="E2690" s="5">
        <v>24000</v>
      </c>
      <c r="F2690" s="3">
        <v>21600</v>
      </c>
      <c r="G2690" s="3">
        <v>15120</v>
      </c>
      <c r="I2690" s="2" t="s">
        <v>2463</v>
      </c>
      <c r="J2690" s="2" t="s">
        <v>65</v>
      </c>
      <c r="K2690" t="s">
        <v>18</v>
      </c>
      <c r="L2690" t="str">
        <f>T("9791162588703")</f>
        <v>9791162588703</v>
      </c>
      <c r="M2690" t="str">
        <f t="shared" si="117"/>
        <v/>
      </c>
    </row>
    <row r="2691" spans="1:14">
      <c r="A2691" s="1">
        <v>46076.038356481484</v>
      </c>
      <c r="B2691">
        <v>371445323</v>
      </c>
      <c r="C2691" s="2" t="s">
        <v>2627</v>
      </c>
      <c r="D2691" t="s">
        <v>15</v>
      </c>
      <c r="E2691" s="5">
        <v>1000</v>
      </c>
      <c r="F2691" s="3">
        <v>1000</v>
      </c>
      <c r="G2691" s="2">
        <v>700</v>
      </c>
      <c r="I2691" s="2" t="s">
        <v>2628</v>
      </c>
      <c r="J2691" s="2" t="s">
        <v>21</v>
      </c>
      <c r="K2691" t="s">
        <v>18</v>
      </c>
      <c r="L2691" t="str">
        <f>T("9791173017384")</f>
        <v>9791173017384</v>
      </c>
      <c r="M2691" t="str">
        <f t="shared" si="117"/>
        <v/>
      </c>
      <c r="N2691" t="s">
        <v>2629</v>
      </c>
    </row>
    <row r="2692" spans="1:14">
      <c r="A2692" s="1">
        <v>46076.038356481484</v>
      </c>
      <c r="B2692">
        <v>383609114</v>
      </c>
      <c r="C2692" s="2" t="s">
        <v>2630</v>
      </c>
      <c r="D2692" t="s">
        <v>15</v>
      </c>
      <c r="E2692" s="5">
        <v>1000</v>
      </c>
      <c r="F2692" s="3">
        <v>1000</v>
      </c>
      <c r="G2692" s="2">
        <v>700</v>
      </c>
      <c r="I2692" s="2" t="s">
        <v>312</v>
      </c>
      <c r="J2692" s="2" t="s">
        <v>21</v>
      </c>
      <c r="K2692" t="s">
        <v>18</v>
      </c>
      <c r="L2692" t="str">
        <f>T("9791175582309")</f>
        <v>9791175582309</v>
      </c>
      <c r="M2692" t="str">
        <f t="shared" si="117"/>
        <v/>
      </c>
      <c r="N2692" t="s">
        <v>2631</v>
      </c>
    </row>
    <row r="2693" spans="1:14">
      <c r="A2693" s="1">
        <v>46076.038356481484</v>
      </c>
      <c r="B2693">
        <v>383609235</v>
      </c>
      <c r="C2693" s="2" t="s">
        <v>2632</v>
      </c>
      <c r="D2693" t="s">
        <v>15</v>
      </c>
      <c r="E2693" s="5">
        <v>1000</v>
      </c>
      <c r="F2693" s="3">
        <v>1000</v>
      </c>
      <c r="G2693" s="2">
        <v>700</v>
      </c>
      <c r="I2693" s="2" t="s">
        <v>312</v>
      </c>
      <c r="J2693" s="2" t="s">
        <v>21</v>
      </c>
      <c r="K2693" t="s">
        <v>18</v>
      </c>
      <c r="L2693" t="str">
        <f>T("9791175582293")</f>
        <v>9791175582293</v>
      </c>
      <c r="M2693" t="str">
        <f t="shared" si="117"/>
        <v/>
      </c>
      <c r="N2693" t="s">
        <v>2633</v>
      </c>
    </row>
    <row r="2694" spans="1:14">
      <c r="A2694" s="1">
        <v>46076.038356481484</v>
      </c>
      <c r="B2694">
        <v>362141424</v>
      </c>
      <c r="C2694" s="2" t="s">
        <v>2634</v>
      </c>
      <c r="D2694" t="s">
        <v>15</v>
      </c>
      <c r="E2694" s="5">
        <v>1000</v>
      </c>
      <c r="F2694" s="3">
        <v>1000</v>
      </c>
      <c r="G2694" s="2">
        <v>700</v>
      </c>
      <c r="I2694" s="2" t="s">
        <v>312</v>
      </c>
      <c r="J2694" s="2" t="s">
        <v>21</v>
      </c>
      <c r="K2694" t="s">
        <v>18</v>
      </c>
      <c r="L2694" t="str">
        <f>T("9791173014161")</f>
        <v>9791173014161</v>
      </c>
      <c r="M2694" t="str">
        <f t="shared" si="117"/>
        <v/>
      </c>
      <c r="N2694" t="s">
        <v>2635</v>
      </c>
    </row>
    <row r="2695" spans="1:14">
      <c r="A2695" s="1">
        <v>46076.038657407407</v>
      </c>
      <c r="B2695">
        <v>271275605</v>
      </c>
      <c r="C2695" s="2" t="s">
        <v>963</v>
      </c>
      <c r="D2695" t="s">
        <v>15</v>
      </c>
      <c r="E2695" s="5">
        <v>3000</v>
      </c>
      <c r="F2695" s="3">
        <v>3000</v>
      </c>
      <c r="G2695" s="3">
        <v>2100</v>
      </c>
      <c r="I2695" s="2" t="s">
        <v>540</v>
      </c>
      <c r="J2695" s="2" t="s">
        <v>197</v>
      </c>
      <c r="K2695" t="s">
        <v>18</v>
      </c>
      <c r="L2695" t="str">
        <f>T("9791164094318")</f>
        <v>9791164094318</v>
      </c>
      <c r="M2695" t="str">
        <f t="shared" si="117"/>
        <v/>
      </c>
      <c r="N2695" t="s">
        <v>964</v>
      </c>
    </row>
    <row r="2696" spans="1:14">
      <c r="A2696" s="1">
        <v>46076.038657407407</v>
      </c>
      <c r="B2696">
        <v>271275616</v>
      </c>
      <c r="C2696" s="2" t="s">
        <v>2149</v>
      </c>
      <c r="D2696" t="s">
        <v>15</v>
      </c>
      <c r="E2696" s="5">
        <v>3000</v>
      </c>
      <c r="F2696" s="3">
        <v>3000</v>
      </c>
      <c r="G2696" s="3">
        <v>2100</v>
      </c>
      <c r="I2696" s="2" t="s">
        <v>540</v>
      </c>
      <c r="J2696" s="2" t="s">
        <v>197</v>
      </c>
      <c r="K2696" t="s">
        <v>18</v>
      </c>
      <c r="L2696" t="str">
        <f>T("9791164094332")</f>
        <v>9791164094332</v>
      </c>
      <c r="M2696" t="str">
        <f t="shared" si="117"/>
        <v/>
      </c>
      <c r="N2696" t="s">
        <v>2150</v>
      </c>
    </row>
    <row r="2697" spans="1:14">
      <c r="A2697" s="1">
        <v>46076.038657407407</v>
      </c>
      <c r="B2697">
        <v>271275603</v>
      </c>
      <c r="C2697" s="2" t="s">
        <v>767</v>
      </c>
      <c r="D2697" t="s">
        <v>15</v>
      </c>
      <c r="E2697" s="5">
        <v>3000</v>
      </c>
      <c r="F2697" s="3">
        <v>3000</v>
      </c>
      <c r="G2697" s="3">
        <v>2100</v>
      </c>
      <c r="I2697" s="2" t="s">
        <v>540</v>
      </c>
      <c r="J2697" s="2" t="s">
        <v>197</v>
      </c>
      <c r="K2697" t="s">
        <v>18</v>
      </c>
      <c r="L2697" t="str">
        <f>T("9791164094295")</f>
        <v>9791164094295</v>
      </c>
      <c r="M2697" t="str">
        <f t="shared" si="117"/>
        <v/>
      </c>
      <c r="N2697" t="s">
        <v>768</v>
      </c>
    </row>
    <row r="2698" spans="1:14">
      <c r="A2698" s="1">
        <v>46076.038657407407</v>
      </c>
      <c r="B2698">
        <v>271275604</v>
      </c>
      <c r="C2698" s="2" t="s">
        <v>2636</v>
      </c>
      <c r="D2698" t="s">
        <v>15</v>
      </c>
      <c r="E2698" s="5">
        <v>3000</v>
      </c>
      <c r="F2698" s="3">
        <v>3000</v>
      </c>
      <c r="G2698" s="3">
        <v>2100</v>
      </c>
      <c r="I2698" s="2" t="s">
        <v>540</v>
      </c>
      <c r="J2698" s="2" t="s">
        <v>197</v>
      </c>
      <c r="K2698" t="s">
        <v>18</v>
      </c>
      <c r="L2698" t="str">
        <f>T("9791164094288")</f>
        <v>9791164094288</v>
      </c>
      <c r="M2698" t="str">
        <f t="shared" si="117"/>
        <v/>
      </c>
      <c r="N2698" t="s">
        <v>2637</v>
      </c>
    </row>
    <row r="2699" spans="1:14">
      <c r="A2699" s="1">
        <v>46076.038657407407</v>
      </c>
      <c r="B2699">
        <v>271275606</v>
      </c>
      <c r="C2699" s="2" t="s">
        <v>2151</v>
      </c>
      <c r="D2699" t="s">
        <v>15</v>
      </c>
      <c r="E2699" s="5">
        <v>3000</v>
      </c>
      <c r="F2699" s="3">
        <v>3000</v>
      </c>
      <c r="G2699" s="3">
        <v>2100</v>
      </c>
      <c r="I2699" s="2" t="s">
        <v>540</v>
      </c>
      <c r="J2699" s="2" t="s">
        <v>197</v>
      </c>
      <c r="K2699" t="s">
        <v>18</v>
      </c>
      <c r="L2699" t="str">
        <f>T("9791164094325")</f>
        <v>9791164094325</v>
      </c>
      <c r="M2699" t="str">
        <f t="shared" si="117"/>
        <v/>
      </c>
      <c r="N2699" t="s">
        <v>2152</v>
      </c>
    </row>
    <row r="2700" spans="1:14">
      <c r="A2700" s="1">
        <v>46076.038657407407</v>
      </c>
      <c r="B2700">
        <v>271275595</v>
      </c>
      <c r="C2700" s="2" t="s">
        <v>2638</v>
      </c>
      <c r="D2700" t="s">
        <v>15</v>
      </c>
      <c r="E2700" s="5">
        <v>3000</v>
      </c>
      <c r="F2700" s="3">
        <v>3000</v>
      </c>
      <c r="G2700" s="3">
        <v>2100</v>
      </c>
      <c r="I2700" s="2" t="s">
        <v>540</v>
      </c>
      <c r="J2700" s="2" t="s">
        <v>197</v>
      </c>
      <c r="K2700" t="s">
        <v>18</v>
      </c>
      <c r="L2700" t="str">
        <f>T("9791164094301")</f>
        <v>9791164094301</v>
      </c>
      <c r="M2700" t="str">
        <f t="shared" si="117"/>
        <v/>
      </c>
      <c r="N2700" t="s">
        <v>2639</v>
      </c>
    </row>
    <row r="2701" spans="1:14">
      <c r="A2701" s="1">
        <v>46076.043113425927</v>
      </c>
      <c r="B2701">
        <v>377162010</v>
      </c>
      <c r="C2701" s="2" t="s">
        <v>1804</v>
      </c>
      <c r="D2701" t="s">
        <v>15</v>
      </c>
      <c r="E2701" s="5">
        <v>1000</v>
      </c>
      <c r="F2701" s="3">
        <v>1000</v>
      </c>
      <c r="G2701" s="2">
        <v>700</v>
      </c>
      <c r="I2701" s="2" t="s">
        <v>928</v>
      </c>
      <c r="J2701" s="2" t="s">
        <v>21</v>
      </c>
      <c r="K2701" t="s">
        <v>18</v>
      </c>
      <c r="L2701" t="str">
        <f>T("9791173019357")</f>
        <v>9791173019357</v>
      </c>
      <c r="M2701" t="str">
        <f t="shared" si="117"/>
        <v/>
      </c>
      <c r="N2701" t="s">
        <v>1805</v>
      </c>
    </row>
    <row r="2702" spans="1:14">
      <c r="A2702" s="1">
        <v>46076.043113425927</v>
      </c>
      <c r="B2702">
        <v>375539688</v>
      </c>
      <c r="C2702" s="2" t="s">
        <v>1802</v>
      </c>
      <c r="D2702" t="s">
        <v>15</v>
      </c>
      <c r="E2702" s="5">
        <v>1000</v>
      </c>
      <c r="F2702" s="3">
        <v>1000</v>
      </c>
      <c r="G2702" s="2">
        <v>700</v>
      </c>
      <c r="I2702" s="2" t="s">
        <v>928</v>
      </c>
      <c r="J2702" s="2" t="s">
        <v>21</v>
      </c>
      <c r="K2702" t="s">
        <v>18</v>
      </c>
      <c r="L2702" t="str">
        <f>T("9791173019029")</f>
        <v>9791173019029</v>
      </c>
      <c r="M2702" t="str">
        <f t="shared" si="117"/>
        <v/>
      </c>
      <c r="N2702" t="s">
        <v>1803</v>
      </c>
    </row>
    <row r="2703" spans="1:14">
      <c r="A2703" s="1">
        <v>46076.082592592589</v>
      </c>
      <c r="B2703">
        <v>386057128</v>
      </c>
      <c r="C2703" s="2" t="s">
        <v>1797</v>
      </c>
      <c r="D2703" t="s">
        <v>15</v>
      </c>
      <c r="E2703" s="5">
        <v>16800</v>
      </c>
      <c r="F2703" s="3">
        <v>16800</v>
      </c>
      <c r="G2703" s="3">
        <v>11760</v>
      </c>
      <c r="I2703" s="2" t="s">
        <v>540</v>
      </c>
      <c r="J2703" s="2" t="s">
        <v>197</v>
      </c>
      <c r="K2703" t="s">
        <v>18</v>
      </c>
      <c r="L2703" t="str">
        <f>T("9791164098934")</f>
        <v>9791164098934</v>
      </c>
      <c r="M2703" t="str">
        <f t="shared" si="117"/>
        <v/>
      </c>
    </row>
    <row r="2704" spans="1:14">
      <c r="A2704" s="1">
        <v>46076.087384259263</v>
      </c>
      <c r="B2704">
        <v>326483688</v>
      </c>
      <c r="C2704" s="2" t="s">
        <v>2640</v>
      </c>
      <c r="D2704" t="s">
        <v>15</v>
      </c>
      <c r="E2704" s="5">
        <v>3300</v>
      </c>
      <c r="F2704" s="3">
        <v>3300</v>
      </c>
      <c r="G2704" s="3">
        <v>2310</v>
      </c>
      <c r="I2704" s="2" t="s">
        <v>2641</v>
      </c>
      <c r="J2704" s="2" t="s">
        <v>200</v>
      </c>
      <c r="K2704" t="s">
        <v>18</v>
      </c>
      <c r="L2704" t="str">
        <f>T("9791170892793")</f>
        <v>9791170892793</v>
      </c>
      <c r="M2704" t="str">
        <f t="shared" si="117"/>
        <v/>
      </c>
      <c r="N2704" t="s">
        <v>2642</v>
      </c>
    </row>
    <row r="2705" spans="1:14">
      <c r="A2705" s="1">
        <v>46076.108217592591</v>
      </c>
      <c r="B2705">
        <v>386556274</v>
      </c>
      <c r="C2705" s="2" t="s">
        <v>2535</v>
      </c>
      <c r="D2705" t="s">
        <v>15</v>
      </c>
      <c r="E2705" s="5">
        <v>2000</v>
      </c>
      <c r="F2705" s="3">
        <v>2000</v>
      </c>
      <c r="G2705" s="3">
        <v>1400</v>
      </c>
      <c r="I2705" s="2" t="s">
        <v>2536</v>
      </c>
      <c r="J2705" s="2" t="s">
        <v>197</v>
      </c>
      <c r="K2705" t="s">
        <v>18</v>
      </c>
      <c r="L2705" t="str">
        <f>T("")</f>
        <v/>
      </c>
      <c r="M2705" t="str">
        <f>T("G720:N+A319-20251223071.M001")</f>
        <v>G720:N+A319-20251223071.M001</v>
      </c>
      <c r="N2705" t="s">
        <v>2537</v>
      </c>
    </row>
    <row r="2706" spans="1:14">
      <c r="A2706" s="1">
        <v>46076.109351851854</v>
      </c>
      <c r="B2706">
        <v>326483771</v>
      </c>
      <c r="C2706" s="2" t="s">
        <v>2643</v>
      </c>
      <c r="D2706" t="s">
        <v>15</v>
      </c>
      <c r="E2706" s="5">
        <v>3300</v>
      </c>
      <c r="F2706" s="3">
        <v>3300</v>
      </c>
      <c r="G2706" s="3">
        <v>2310</v>
      </c>
      <c r="I2706" s="2" t="s">
        <v>2641</v>
      </c>
      <c r="J2706" s="2" t="s">
        <v>200</v>
      </c>
      <c r="K2706" t="s">
        <v>18</v>
      </c>
      <c r="L2706" t="str">
        <f>T("9791170892809")</f>
        <v>9791170892809</v>
      </c>
      <c r="M2706" t="str">
        <f>T("")</f>
        <v/>
      </c>
      <c r="N2706" t="s">
        <v>2644</v>
      </c>
    </row>
    <row r="2707" spans="1:14">
      <c r="A2707" s="1">
        <v>46076.114699074074</v>
      </c>
      <c r="B2707">
        <v>326483689</v>
      </c>
      <c r="C2707" s="2" t="s">
        <v>2645</v>
      </c>
      <c r="D2707" t="s">
        <v>15</v>
      </c>
      <c r="E2707" s="5">
        <v>3300</v>
      </c>
      <c r="F2707" s="3">
        <v>3300</v>
      </c>
      <c r="G2707" s="3">
        <v>2310</v>
      </c>
      <c r="I2707" s="2" t="s">
        <v>2641</v>
      </c>
      <c r="J2707" s="2" t="s">
        <v>200</v>
      </c>
      <c r="K2707" t="s">
        <v>18</v>
      </c>
      <c r="L2707" t="str">
        <f>T("9791170892816")</f>
        <v>9791170892816</v>
      </c>
      <c r="M2707" t="str">
        <f>T("")</f>
        <v/>
      </c>
      <c r="N2707" t="s">
        <v>2646</v>
      </c>
    </row>
    <row r="2708" spans="1:14">
      <c r="A2708" s="1">
        <v>46076.120798611111</v>
      </c>
      <c r="B2708">
        <v>386556281</v>
      </c>
      <c r="C2708" s="2" t="s">
        <v>2647</v>
      </c>
      <c r="D2708" t="s">
        <v>15</v>
      </c>
      <c r="E2708" s="5">
        <v>2000</v>
      </c>
      <c r="F2708" s="3">
        <v>1800</v>
      </c>
      <c r="G2708" s="3">
        <v>1260</v>
      </c>
      <c r="I2708" s="2" t="s">
        <v>2536</v>
      </c>
      <c r="J2708" s="2" t="s">
        <v>197</v>
      </c>
      <c r="K2708" t="s">
        <v>18</v>
      </c>
      <c r="L2708" t="str">
        <f>T("")</f>
        <v/>
      </c>
      <c r="M2708" t="str">
        <f>T("G720:N+A319-20251223071.M002")</f>
        <v>G720:N+A319-20251223071.M002</v>
      </c>
      <c r="N2708" t="s">
        <v>2648</v>
      </c>
    </row>
    <row r="2709" spans="1:14">
      <c r="A2709" s="1">
        <v>46076.222395833334</v>
      </c>
      <c r="B2709">
        <v>384102336</v>
      </c>
      <c r="C2709" s="2" t="s">
        <v>1382</v>
      </c>
      <c r="D2709" t="s">
        <v>15</v>
      </c>
      <c r="E2709" s="5">
        <v>6600</v>
      </c>
      <c r="F2709" s="3">
        <v>6600</v>
      </c>
      <c r="G2709" s="3">
        <v>4620</v>
      </c>
      <c r="I2709" s="2" t="s">
        <v>1383</v>
      </c>
      <c r="J2709" s="2" t="s">
        <v>126</v>
      </c>
      <c r="K2709" t="s">
        <v>18</v>
      </c>
      <c r="L2709" t="str">
        <f>T("9791171503131")</f>
        <v>9791171503131</v>
      </c>
      <c r="M2709" t="str">
        <f>T("")</f>
        <v/>
      </c>
    </row>
    <row r="2710" spans="1:14">
      <c r="A2710" s="1">
        <v>46076.229120370372</v>
      </c>
      <c r="B2710">
        <v>328759043</v>
      </c>
      <c r="C2710" s="2" t="s">
        <v>1537</v>
      </c>
      <c r="D2710" t="s">
        <v>68</v>
      </c>
      <c r="E2710" s="4">
        <v>840</v>
      </c>
      <c r="F2710" s="2">
        <v>840</v>
      </c>
      <c r="G2710" s="2">
        <v>588</v>
      </c>
      <c r="I2710" s="2" t="s">
        <v>852</v>
      </c>
      <c r="J2710" s="2" t="s">
        <v>197</v>
      </c>
      <c r="K2710" t="s">
        <v>18</v>
      </c>
      <c r="L2710" t="str">
        <f>T("9791164099269")</f>
        <v>9791164099269</v>
      </c>
      <c r="M2710" t="str">
        <f>T("")</f>
        <v/>
      </c>
    </row>
    <row r="2711" spans="1:14">
      <c r="A2711" s="1">
        <v>46076.338449074072</v>
      </c>
      <c r="B2711">
        <v>297670491</v>
      </c>
      <c r="C2711" s="2" t="s">
        <v>879</v>
      </c>
      <c r="D2711" t="s">
        <v>15</v>
      </c>
      <c r="E2711" s="4">
        <v>0</v>
      </c>
      <c r="F2711" s="2">
        <v>0</v>
      </c>
      <c r="G2711" s="2">
        <v>0</v>
      </c>
      <c r="I2711" s="2" t="s">
        <v>266</v>
      </c>
      <c r="J2711" s="2" t="s">
        <v>126</v>
      </c>
      <c r="K2711" t="s">
        <v>18</v>
      </c>
      <c r="L2711" t="str">
        <f>T("9791164977161")</f>
        <v>9791164977161</v>
      </c>
      <c r="M2711" t="str">
        <f>T("")</f>
        <v/>
      </c>
      <c r="N2711" t="s">
        <v>880</v>
      </c>
    </row>
    <row r="2712" spans="1:14">
      <c r="A2712" s="1">
        <v>46076.35664351852</v>
      </c>
      <c r="B2712">
        <v>386453336</v>
      </c>
      <c r="C2712" s="2" t="s">
        <v>2542</v>
      </c>
      <c r="D2712" t="s">
        <v>15</v>
      </c>
      <c r="E2712" s="4">
        <v>0</v>
      </c>
      <c r="F2712" s="2">
        <v>0</v>
      </c>
      <c r="G2712" s="2">
        <v>0</v>
      </c>
      <c r="I2712" s="2" t="s">
        <v>2543</v>
      </c>
      <c r="J2712" s="2" t="s">
        <v>65</v>
      </c>
      <c r="K2712" t="s">
        <v>18</v>
      </c>
      <c r="L2712" t="str">
        <f>T("")</f>
        <v/>
      </c>
      <c r="M2712" t="str">
        <f>T("G720:N+A319-20260106026.M004")</f>
        <v>G720:N+A319-20260106026.M004</v>
      </c>
      <c r="N2712" t="s">
        <v>2544</v>
      </c>
    </row>
    <row r="2713" spans="1:14">
      <c r="A2713" s="1">
        <v>46076.396249999998</v>
      </c>
      <c r="B2713">
        <v>370130204</v>
      </c>
      <c r="C2713" s="2" t="s">
        <v>982</v>
      </c>
      <c r="D2713" t="s">
        <v>15</v>
      </c>
      <c r="E2713" s="4">
        <v>0</v>
      </c>
      <c r="F2713" s="2">
        <v>0</v>
      </c>
      <c r="G2713" s="2">
        <v>0</v>
      </c>
      <c r="I2713" s="2" t="s">
        <v>244</v>
      </c>
      <c r="J2713" s="2" t="s">
        <v>245</v>
      </c>
      <c r="K2713" t="s">
        <v>18</v>
      </c>
      <c r="L2713" t="str">
        <f>T("9791164489015")</f>
        <v>9791164489015</v>
      </c>
      <c r="M2713" t="str">
        <f t="shared" ref="M2713:M2726" si="118">T("")</f>
        <v/>
      </c>
      <c r="N2713" t="s">
        <v>983</v>
      </c>
    </row>
    <row r="2714" spans="1:14">
      <c r="A2714" s="1">
        <v>46076.404409722221</v>
      </c>
      <c r="B2714">
        <v>386934245</v>
      </c>
      <c r="C2714" s="2" t="s">
        <v>2649</v>
      </c>
      <c r="D2714" t="s">
        <v>15</v>
      </c>
      <c r="E2714" s="4">
        <v>0</v>
      </c>
      <c r="F2714" s="2">
        <v>0</v>
      </c>
      <c r="G2714" s="2">
        <v>0</v>
      </c>
      <c r="I2714" s="2" t="s">
        <v>2650</v>
      </c>
      <c r="J2714" s="2" t="s">
        <v>245</v>
      </c>
      <c r="K2714" t="s">
        <v>18</v>
      </c>
      <c r="L2714" t="str">
        <f>T("9791170939771")</f>
        <v>9791170939771</v>
      </c>
      <c r="M2714" t="str">
        <f t="shared" si="118"/>
        <v/>
      </c>
      <c r="N2714" t="s">
        <v>2651</v>
      </c>
    </row>
    <row r="2715" spans="1:14">
      <c r="A2715" s="1">
        <v>46076.428969907407</v>
      </c>
      <c r="B2715">
        <v>326483773</v>
      </c>
      <c r="C2715" s="2" t="s">
        <v>2652</v>
      </c>
      <c r="D2715" t="s">
        <v>15</v>
      </c>
      <c r="E2715" s="5">
        <v>1000</v>
      </c>
      <c r="F2715" s="3">
        <v>1000</v>
      </c>
      <c r="G2715" s="2">
        <v>700</v>
      </c>
      <c r="I2715" s="2" t="s">
        <v>2641</v>
      </c>
      <c r="J2715" s="2" t="s">
        <v>200</v>
      </c>
      <c r="K2715" t="s">
        <v>18</v>
      </c>
      <c r="L2715" t="str">
        <f>T("9791170892823")</f>
        <v>9791170892823</v>
      </c>
      <c r="M2715" t="str">
        <f t="shared" si="118"/>
        <v/>
      </c>
      <c r="N2715" t="s">
        <v>2653</v>
      </c>
    </row>
    <row r="2716" spans="1:14">
      <c r="A2716" s="1">
        <v>46076.431863425925</v>
      </c>
      <c r="B2716">
        <v>379527576</v>
      </c>
      <c r="C2716" s="2" t="s">
        <v>150</v>
      </c>
      <c r="D2716" t="s">
        <v>15</v>
      </c>
      <c r="E2716" s="5">
        <v>1000</v>
      </c>
      <c r="F2716" s="3">
        <v>1000</v>
      </c>
      <c r="G2716" s="2">
        <v>700</v>
      </c>
      <c r="I2716" s="2" t="s">
        <v>148</v>
      </c>
      <c r="J2716" s="2" t="s">
        <v>21</v>
      </c>
      <c r="K2716" t="s">
        <v>18</v>
      </c>
      <c r="L2716" t="str">
        <f>T("9791175580541")</f>
        <v>9791175580541</v>
      </c>
      <c r="M2716" t="str">
        <f t="shared" si="118"/>
        <v/>
      </c>
      <c r="N2716" t="s">
        <v>151</v>
      </c>
    </row>
    <row r="2717" spans="1:14">
      <c r="A2717" s="1">
        <v>46076.433159722219</v>
      </c>
      <c r="B2717">
        <v>364579911</v>
      </c>
      <c r="C2717" s="2" t="s">
        <v>1399</v>
      </c>
      <c r="D2717" t="s">
        <v>15</v>
      </c>
      <c r="E2717" s="5">
        <v>1000</v>
      </c>
      <c r="F2717" s="3">
        <v>1000</v>
      </c>
      <c r="G2717" s="2">
        <v>700</v>
      </c>
      <c r="I2717" s="2" t="s">
        <v>148</v>
      </c>
      <c r="J2717" s="2" t="s">
        <v>21</v>
      </c>
      <c r="K2717" t="s">
        <v>18</v>
      </c>
      <c r="L2717" t="str">
        <f>T("9791173014239")</f>
        <v>9791173014239</v>
      </c>
      <c r="M2717" t="str">
        <f t="shared" si="118"/>
        <v/>
      </c>
      <c r="N2717" t="s">
        <v>1400</v>
      </c>
    </row>
    <row r="2718" spans="1:14">
      <c r="A2718" s="1">
        <v>46076.439409722225</v>
      </c>
      <c r="B2718">
        <v>377095688</v>
      </c>
      <c r="C2718" s="2" t="s">
        <v>1608</v>
      </c>
      <c r="D2718" t="s">
        <v>68</v>
      </c>
      <c r="E2718" s="5">
        <v>13600</v>
      </c>
      <c r="F2718" s="3">
        <v>13600</v>
      </c>
      <c r="G2718" s="3">
        <v>9520</v>
      </c>
      <c r="I2718" s="2" t="s">
        <v>183</v>
      </c>
      <c r="J2718" s="2" t="s">
        <v>184</v>
      </c>
      <c r="K2718" t="s">
        <v>18</v>
      </c>
      <c r="L2718" t="str">
        <f>T("9791170965244")</f>
        <v>9791170965244</v>
      </c>
      <c r="M2718" t="str">
        <f t="shared" si="118"/>
        <v/>
      </c>
    </row>
    <row r="2719" spans="1:14">
      <c r="A2719" s="1">
        <v>46076.446643518517</v>
      </c>
      <c r="B2719">
        <v>386057282</v>
      </c>
      <c r="C2719" s="2" t="s">
        <v>1534</v>
      </c>
      <c r="D2719" t="s">
        <v>68</v>
      </c>
      <c r="E2719" s="5">
        <v>12500</v>
      </c>
      <c r="F2719" s="3">
        <v>12500</v>
      </c>
      <c r="G2719" s="3">
        <v>8750</v>
      </c>
      <c r="I2719" s="2" t="s">
        <v>1535</v>
      </c>
      <c r="J2719" s="2" t="s">
        <v>1536</v>
      </c>
      <c r="K2719" t="s">
        <v>18</v>
      </c>
      <c r="L2719" t="str">
        <f>T("9791189257323")</f>
        <v>9791189257323</v>
      </c>
      <c r="M2719" t="str">
        <f t="shared" si="118"/>
        <v/>
      </c>
    </row>
    <row r="2720" spans="1:14">
      <c r="A2720" s="1">
        <v>46076.450312499997</v>
      </c>
      <c r="B2720">
        <v>277935665</v>
      </c>
      <c r="C2720" s="2" t="s">
        <v>555</v>
      </c>
      <c r="D2720" t="s">
        <v>15</v>
      </c>
      <c r="E2720" s="4">
        <v>100</v>
      </c>
      <c r="F2720" s="2">
        <v>100</v>
      </c>
      <c r="G2720" s="2">
        <v>70</v>
      </c>
      <c r="I2720" s="2" t="s">
        <v>64</v>
      </c>
      <c r="J2720" s="2" t="s">
        <v>65</v>
      </c>
      <c r="K2720" t="s">
        <v>18</v>
      </c>
      <c r="L2720" t="str">
        <f>T("9791162589724")</f>
        <v>9791162589724</v>
      </c>
      <c r="M2720" t="str">
        <f t="shared" si="118"/>
        <v/>
      </c>
      <c r="N2720" t="s">
        <v>556</v>
      </c>
    </row>
    <row r="2721" spans="1:14">
      <c r="A2721" s="1">
        <v>46076.450312499997</v>
      </c>
      <c r="B2721">
        <v>277935660</v>
      </c>
      <c r="C2721" s="2" t="s">
        <v>557</v>
      </c>
      <c r="D2721" t="s">
        <v>15</v>
      </c>
      <c r="E2721" s="4">
        <v>100</v>
      </c>
      <c r="F2721" s="2">
        <v>100</v>
      </c>
      <c r="G2721" s="2">
        <v>70</v>
      </c>
      <c r="I2721" s="2" t="s">
        <v>64</v>
      </c>
      <c r="J2721" s="2" t="s">
        <v>65</v>
      </c>
      <c r="K2721" t="s">
        <v>18</v>
      </c>
      <c r="L2721" t="str">
        <f>T("9791162589724")</f>
        <v>9791162589724</v>
      </c>
      <c r="M2721" t="str">
        <f t="shared" si="118"/>
        <v/>
      </c>
      <c r="N2721" t="s">
        <v>558</v>
      </c>
    </row>
    <row r="2722" spans="1:14">
      <c r="A2722" s="1">
        <v>46076.471006944441</v>
      </c>
      <c r="B2722">
        <v>385347715</v>
      </c>
      <c r="C2722" s="2" t="s">
        <v>186</v>
      </c>
      <c r="D2722" t="s">
        <v>15</v>
      </c>
      <c r="E2722" s="5">
        <v>2000</v>
      </c>
      <c r="F2722" s="3">
        <v>1800</v>
      </c>
      <c r="G2722" s="3">
        <v>1260</v>
      </c>
      <c r="I2722" s="2" t="s">
        <v>187</v>
      </c>
      <c r="J2722" s="2" t="s">
        <v>188</v>
      </c>
      <c r="K2722" t="s">
        <v>18</v>
      </c>
      <c r="L2722" t="str">
        <f>T("9791164835362")</f>
        <v>9791164835362</v>
      </c>
      <c r="M2722" t="str">
        <f t="shared" si="118"/>
        <v/>
      </c>
      <c r="N2722" t="s">
        <v>189</v>
      </c>
    </row>
    <row r="2723" spans="1:14">
      <c r="A2723" s="1">
        <v>46076.485173611109</v>
      </c>
      <c r="B2723">
        <v>379527596</v>
      </c>
      <c r="C2723" s="2" t="s">
        <v>2654</v>
      </c>
      <c r="D2723" t="s">
        <v>15</v>
      </c>
      <c r="E2723" s="5">
        <v>1000</v>
      </c>
      <c r="F2723" s="3">
        <v>1000</v>
      </c>
      <c r="G2723" s="2">
        <v>700</v>
      </c>
      <c r="I2723" s="2" t="s">
        <v>2655</v>
      </c>
      <c r="J2723" s="2" t="s">
        <v>21</v>
      </c>
      <c r="K2723" t="s">
        <v>18</v>
      </c>
      <c r="L2723" t="str">
        <f>T("9791175581494")</f>
        <v>9791175581494</v>
      </c>
      <c r="M2723" t="str">
        <f t="shared" si="118"/>
        <v/>
      </c>
      <c r="N2723" t="s">
        <v>2656</v>
      </c>
    </row>
    <row r="2724" spans="1:14">
      <c r="A2724" s="1">
        <v>46076.499583333331</v>
      </c>
      <c r="B2724">
        <v>361607696</v>
      </c>
      <c r="C2724" s="2" t="s">
        <v>635</v>
      </c>
      <c r="D2724" t="s">
        <v>15</v>
      </c>
      <c r="E2724" s="5">
        <v>1100</v>
      </c>
      <c r="F2724" s="3">
        <v>1100</v>
      </c>
      <c r="G2724" s="2">
        <v>770</v>
      </c>
      <c r="I2724" s="2" t="s">
        <v>211</v>
      </c>
      <c r="J2724" s="2" t="s">
        <v>21</v>
      </c>
      <c r="K2724" t="s">
        <v>18</v>
      </c>
      <c r="L2724" t="str">
        <f>T("9791173013485")</f>
        <v>9791173013485</v>
      </c>
      <c r="M2724" t="str">
        <f t="shared" si="118"/>
        <v/>
      </c>
      <c r="N2724" t="s">
        <v>636</v>
      </c>
    </row>
    <row r="2725" spans="1:14">
      <c r="A2725" s="1">
        <v>46076.504641203705</v>
      </c>
      <c r="B2725">
        <v>385852507</v>
      </c>
      <c r="C2725" s="2" t="s">
        <v>1197</v>
      </c>
      <c r="D2725" t="s">
        <v>15</v>
      </c>
      <c r="E2725" s="5">
        <v>3000</v>
      </c>
      <c r="F2725" s="3">
        <v>3000</v>
      </c>
      <c r="G2725" s="3">
        <v>2100</v>
      </c>
      <c r="I2725" s="2" t="s">
        <v>1198</v>
      </c>
      <c r="J2725" s="2" t="s">
        <v>21</v>
      </c>
      <c r="K2725" t="s">
        <v>18</v>
      </c>
      <c r="L2725" t="str">
        <f>T("9791175582958")</f>
        <v>9791175582958</v>
      </c>
      <c r="M2725" t="str">
        <f t="shared" si="118"/>
        <v/>
      </c>
      <c r="N2725" t="s">
        <v>1199</v>
      </c>
    </row>
    <row r="2726" spans="1:14">
      <c r="A2726" s="1">
        <v>46076.504641203705</v>
      </c>
      <c r="B2726">
        <v>385852543</v>
      </c>
      <c r="C2726" s="2" t="s">
        <v>1200</v>
      </c>
      <c r="D2726" t="s">
        <v>15</v>
      </c>
      <c r="E2726" s="5">
        <v>3000</v>
      </c>
      <c r="F2726" s="3">
        <v>3000</v>
      </c>
      <c r="G2726" s="3">
        <v>2100</v>
      </c>
      <c r="I2726" s="2" t="s">
        <v>1198</v>
      </c>
      <c r="J2726" s="2" t="s">
        <v>21</v>
      </c>
      <c r="K2726" t="s">
        <v>18</v>
      </c>
      <c r="L2726" t="str">
        <f>T("9791175582941")</f>
        <v>9791175582941</v>
      </c>
      <c r="M2726" t="str">
        <f t="shared" si="118"/>
        <v/>
      </c>
      <c r="N2726" t="s">
        <v>1201</v>
      </c>
    </row>
    <row r="2727" spans="1:14">
      <c r="A2727" s="1">
        <v>46076.504641203705</v>
      </c>
      <c r="B2727">
        <v>386559326</v>
      </c>
      <c r="C2727" s="2" t="s">
        <v>2545</v>
      </c>
      <c r="D2727" t="s">
        <v>15</v>
      </c>
      <c r="E2727" s="5">
        <v>6400</v>
      </c>
      <c r="F2727" s="3">
        <v>5760</v>
      </c>
      <c r="G2727" s="3">
        <v>4032</v>
      </c>
      <c r="I2727" s="2" t="s">
        <v>2546</v>
      </c>
      <c r="J2727" s="2" t="s">
        <v>197</v>
      </c>
      <c r="K2727" t="s">
        <v>18</v>
      </c>
      <c r="L2727" t="str">
        <f>T("")</f>
        <v/>
      </c>
      <c r="M2727" t="str">
        <f>T("G720:N+A319-20251223073")</f>
        <v>G720:N+A319-20251223073</v>
      </c>
    </row>
    <row r="2728" spans="1:14">
      <c r="A2728" s="1">
        <v>46076.507407407407</v>
      </c>
      <c r="B2728">
        <v>365291610</v>
      </c>
      <c r="C2728" s="2" t="s">
        <v>2082</v>
      </c>
      <c r="D2728" t="s">
        <v>15</v>
      </c>
      <c r="E2728" s="5">
        <v>1000</v>
      </c>
      <c r="F2728" s="3">
        <v>1000</v>
      </c>
      <c r="G2728" s="2">
        <v>700</v>
      </c>
      <c r="I2728" s="2" t="s">
        <v>941</v>
      </c>
      <c r="J2728" s="2" t="s">
        <v>21</v>
      </c>
      <c r="K2728" t="s">
        <v>18</v>
      </c>
      <c r="L2728" t="str">
        <f>T("9791173014819")</f>
        <v>9791173014819</v>
      </c>
      <c r="M2728" t="str">
        <f t="shared" ref="M2728:M2748" si="119">T("")</f>
        <v/>
      </c>
      <c r="N2728" t="s">
        <v>2083</v>
      </c>
    </row>
    <row r="2729" spans="1:14">
      <c r="A2729" s="1">
        <v>46076.526608796295</v>
      </c>
      <c r="B2729">
        <v>341724580</v>
      </c>
      <c r="C2729" s="2" t="s">
        <v>2657</v>
      </c>
      <c r="D2729" t="s">
        <v>15</v>
      </c>
      <c r="E2729" s="5">
        <v>1000</v>
      </c>
      <c r="F2729" s="3">
        <v>1000</v>
      </c>
      <c r="G2729" s="2">
        <v>700</v>
      </c>
      <c r="I2729" s="2" t="s">
        <v>1144</v>
      </c>
      <c r="J2729" s="2" t="s">
        <v>177</v>
      </c>
      <c r="K2729" t="s">
        <v>18</v>
      </c>
      <c r="L2729" t="str">
        <f>T("9791170961550")</f>
        <v>9791170961550</v>
      </c>
      <c r="M2729" t="str">
        <f t="shared" si="119"/>
        <v/>
      </c>
      <c r="N2729" t="s">
        <v>2658</v>
      </c>
    </row>
    <row r="2730" spans="1:14">
      <c r="A2730" s="1">
        <v>46076.528321759259</v>
      </c>
      <c r="B2730">
        <v>285128134</v>
      </c>
      <c r="C2730" s="2" t="s">
        <v>2659</v>
      </c>
      <c r="D2730" t="s">
        <v>15</v>
      </c>
      <c r="E2730" s="5">
        <v>3000</v>
      </c>
      <c r="F2730" s="3">
        <v>2700</v>
      </c>
      <c r="G2730" s="3">
        <v>1890</v>
      </c>
      <c r="I2730" s="2" t="s">
        <v>1121</v>
      </c>
      <c r="J2730" s="2" t="s">
        <v>476</v>
      </c>
      <c r="K2730" t="s">
        <v>18</v>
      </c>
      <c r="L2730" t="str">
        <f>T("9791166745164")</f>
        <v>9791166745164</v>
      </c>
      <c r="M2730" t="str">
        <f t="shared" si="119"/>
        <v/>
      </c>
    </row>
    <row r="2731" spans="1:14">
      <c r="A2731" s="1">
        <v>46076.541990740741</v>
      </c>
      <c r="B2731">
        <v>368640530</v>
      </c>
      <c r="C2731" s="2" t="s">
        <v>480</v>
      </c>
      <c r="D2731" t="s">
        <v>15</v>
      </c>
      <c r="E2731" s="5">
        <v>12950</v>
      </c>
      <c r="F2731" s="3">
        <v>12950</v>
      </c>
      <c r="G2731" s="3">
        <v>9065</v>
      </c>
      <c r="I2731" s="2" t="s">
        <v>481</v>
      </c>
      <c r="J2731" s="2" t="s">
        <v>184</v>
      </c>
      <c r="K2731" t="s">
        <v>18</v>
      </c>
      <c r="L2731" t="str">
        <f>T("9791170964636")</f>
        <v>9791170964636</v>
      </c>
      <c r="M2731" t="str">
        <f t="shared" si="119"/>
        <v/>
      </c>
      <c r="N2731" t="s">
        <v>482</v>
      </c>
    </row>
    <row r="2732" spans="1:14">
      <c r="A2732" s="1">
        <v>46076.553437499999</v>
      </c>
      <c r="B2732">
        <v>386934245</v>
      </c>
      <c r="C2732" s="2" t="s">
        <v>2649</v>
      </c>
      <c r="D2732" t="s">
        <v>15</v>
      </c>
      <c r="E2732" s="4">
        <v>0</v>
      </c>
      <c r="F2732" s="2">
        <v>0</v>
      </c>
      <c r="G2732" s="2">
        <v>0</v>
      </c>
      <c r="I2732" s="2" t="s">
        <v>2650</v>
      </c>
      <c r="J2732" s="2" t="s">
        <v>245</v>
      </c>
      <c r="K2732" t="s">
        <v>18</v>
      </c>
      <c r="L2732" t="str">
        <f>T("9791170939771")</f>
        <v>9791170939771</v>
      </c>
      <c r="M2732" t="str">
        <f t="shared" si="119"/>
        <v/>
      </c>
      <c r="N2732" t="s">
        <v>2651</v>
      </c>
    </row>
    <row r="2733" spans="1:14">
      <c r="A2733" s="1">
        <v>46076.553437499999</v>
      </c>
      <c r="B2733">
        <v>386934246</v>
      </c>
      <c r="C2733" s="2" t="s">
        <v>2660</v>
      </c>
      <c r="D2733" t="s">
        <v>15</v>
      </c>
      <c r="E2733" s="4">
        <v>0</v>
      </c>
      <c r="F2733" s="2">
        <v>0</v>
      </c>
      <c r="G2733" s="2">
        <v>0</v>
      </c>
      <c r="I2733" s="2" t="s">
        <v>2661</v>
      </c>
      <c r="J2733" s="2" t="s">
        <v>245</v>
      </c>
      <c r="K2733" t="s">
        <v>18</v>
      </c>
      <c r="L2733" t="str">
        <f>T("9791170939382")</f>
        <v>9791170939382</v>
      </c>
      <c r="M2733" t="str">
        <f t="shared" si="119"/>
        <v/>
      </c>
      <c r="N2733" t="s">
        <v>2662</v>
      </c>
    </row>
    <row r="2734" spans="1:14">
      <c r="A2734" s="1">
        <v>46076.575335648151</v>
      </c>
      <c r="B2734">
        <v>383435425</v>
      </c>
      <c r="C2734" s="2" t="s">
        <v>917</v>
      </c>
      <c r="D2734" t="s">
        <v>15</v>
      </c>
      <c r="E2734" s="5">
        <v>1000</v>
      </c>
      <c r="F2734" s="3">
        <v>1000</v>
      </c>
      <c r="G2734" s="2">
        <v>700</v>
      </c>
      <c r="I2734" s="2" t="s">
        <v>918</v>
      </c>
      <c r="J2734" s="2" t="s">
        <v>21</v>
      </c>
      <c r="K2734" t="s">
        <v>18</v>
      </c>
      <c r="L2734" t="str">
        <f>T("9791175582378")</f>
        <v>9791175582378</v>
      </c>
      <c r="M2734" t="str">
        <f t="shared" si="119"/>
        <v/>
      </c>
      <c r="N2734" t="s">
        <v>919</v>
      </c>
    </row>
    <row r="2735" spans="1:14">
      <c r="A2735" s="1">
        <v>46076.593275462961</v>
      </c>
      <c r="B2735">
        <v>188278046</v>
      </c>
      <c r="C2735" s="2" t="s">
        <v>1411</v>
      </c>
      <c r="D2735" t="s">
        <v>15</v>
      </c>
      <c r="E2735" s="5">
        <v>2500</v>
      </c>
      <c r="F2735" s="3">
        <v>2500</v>
      </c>
      <c r="G2735" s="3">
        <v>1750</v>
      </c>
      <c r="I2735" s="2" t="s">
        <v>1412</v>
      </c>
      <c r="J2735" s="2" t="s">
        <v>693</v>
      </c>
      <c r="K2735" t="s">
        <v>18</v>
      </c>
      <c r="L2735" t="str">
        <f>T("9791189424305")</f>
        <v>9791189424305</v>
      </c>
      <c r="M2735" t="str">
        <f t="shared" si="119"/>
        <v/>
      </c>
    </row>
    <row r="2736" spans="1:14">
      <c r="A2736" s="1">
        <v>46076.596932870372</v>
      </c>
      <c r="B2736">
        <v>379527562</v>
      </c>
      <c r="C2736" s="2" t="s">
        <v>2663</v>
      </c>
      <c r="D2736" t="s">
        <v>15</v>
      </c>
      <c r="E2736" s="5">
        <v>1100</v>
      </c>
      <c r="F2736" s="3">
        <v>1100</v>
      </c>
      <c r="G2736" s="2">
        <v>770</v>
      </c>
      <c r="I2736" s="2" t="s">
        <v>2664</v>
      </c>
      <c r="J2736" s="2" t="s">
        <v>21</v>
      </c>
      <c r="K2736" t="s">
        <v>18</v>
      </c>
      <c r="L2736" t="str">
        <f>T("9791175581234")</f>
        <v>9791175581234</v>
      </c>
      <c r="M2736" t="str">
        <f t="shared" si="119"/>
        <v/>
      </c>
      <c r="N2736" t="s">
        <v>2665</v>
      </c>
    </row>
    <row r="2737" spans="1:14">
      <c r="A2737" s="1">
        <v>46076.59878472222</v>
      </c>
      <c r="B2737">
        <v>377095688</v>
      </c>
      <c r="C2737" s="2" t="s">
        <v>1608</v>
      </c>
      <c r="D2737" t="s">
        <v>68</v>
      </c>
      <c r="E2737" s="5">
        <v>13600</v>
      </c>
      <c r="F2737" s="3">
        <v>13600</v>
      </c>
      <c r="G2737" s="3">
        <v>9520</v>
      </c>
      <c r="I2737" s="2" t="s">
        <v>183</v>
      </c>
      <c r="J2737" s="2" t="s">
        <v>184</v>
      </c>
      <c r="K2737" t="s">
        <v>18</v>
      </c>
      <c r="L2737" t="str">
        <f>T("9791170965244")</f>
        <v>9791170965244</v>
      </c>
      <c r="M2737" t="str">
        <f t="shared" si="119"/>
        <v/>
      </c>
    </row>
    <row r="2738" spans="1:14">
      <c r="A2738" s="1">
        <v>46076.603912037041</v>
      </c>
      <c r="B2738">
        <v>379511327</v>
      </c>
      <c r="C2738" s="2" t="s">
        <v>262</v>
      </c>
      <c r="D2738" t="s">
        <v>15</v>
      </c>
      <c r="E2738" s="5">
        <v>3300</v>
      </c>
      <c r="F2738" s="3">
        <v>3300</v>
      </c>
      <c r="G2738" s="3">
        <v>2310</v>
      </c>
      <c r="I2738" s="2" t="s">
        <v>263</v>
      </c>
      <c r="J2738" s="2" t="s">
        <v>126</v>
      </c>
      <c r="K2738" t="s">
        <v>18</v>
      </c>
      <c r="L2738" t="str">
        <f>T("9791171502875")</f>
        <v>9791171502875</v>
      </c>
      <c r="M2738" t="str">
        <f t="shared" si="119"/>
        <v/>
      </c>
      <c r="N2738" t="s">
        <v>264</v>
      </c>
    </row>
    <row r="2739" spans="1:14">
      <c r="A2739" s="1">
        <v>46076.609548611108</v>
      </c>
      <c r="B2739">
        <v>66951467</v>
      </c>
      <c r="C2739" s="2" t="s">
        <v>2666</v>
      </c>
      <c r="D2739" t="s">
        <v>15</v>
      </c>
      <c r="E2739" s="5">
        <v>1000</v>
      </c>
      <c r="F2739" s="3">
        <v>1000</v>
      </c>
      <c r="G2739" s="2">
        <v>700</v>
      </c>
      <c r="I2739" s="2" t="s">
        <v>2623</v>
      </c>
      <c r="J2739" s="2" t="s">
        <v>227</v>
      </c>
      <c r="K2739" t="s">
        <v>18</v>
      </c>
      <c r="L2739" t="str">
        <f>T("9791157700806")</f>
        <v>9791157700806</v>
      </c>
      <c r="M2739" t="str">
        <f t="shared" si="119"/>
        <v/>
      </c>
    </row>
    <row r="2740" spans="1:14">
      <c r="A2740" s="1">
        <v>46076.622916666667</v>
      </c>
      <c r="B2740">
        <v>211909257</v>
      </c>
      <c r="C2740" s="2" t="s">
        <v>1665</v>
      </c>
      <c r="D2740" t="s">
        <v>68</v>
      </c>
      <c r="E2740" s="5">
        <v>4550</v>
      </c>
      <c r="F2740" s="3">
        <v>4550</v>
      </c>
      <c r="G2740" s="3">
        <v>3185</v>
      </c>
      <c r="I2740" s="2" t="s">
        <v>196</v>
      </c>
      <c r="J2740" s="2" t="s">
        <v>197</v>
      </c>
      <c r="K2740" t="s">
        <v>18</v>
      </c>
      <c r="L2740" t="str">
        <f>T("9791164090693")</f>
        <v>9791164090693</v>
      </c>
      <c r="M2740" t="str">
        <f t="shared" si="119"/>
        <v/>
      </c>
    </row>
    <row r="2741" spans="1:14">
      <c r="A2741" s="1">
        <v>46076.62777777778</v>
      </c>
      <c r="B2741">
        <v>211909257</v>
      </c>
      <c r="C2741" s="2" t="s">
        <v>1665</v>
      </c>
      <c r="D2741" t="s">
        <v>68</v>
      </c>
      <c r="E2741" s="5">
        <v>4550</v>
      </c>
      <c r="F2741" s="3">
        <v>4550</v>
      </c>
      <c r="G2741" s="3">
        <v>3185</v>
      </c>
      <c r="I2741" s="2" t="s">
        <v>196</v>
      </c>
      <c r="J2741" s="2" t="s">
        <v>197</v>
      </c>
      <c r="K2741" t="s">
        <v>18</v>
      </c>
      <c r="L2741" t="str">
        <f>T("9791164090693")</f>
        <v>9791164090693</v>
      </c>
      <c r="M2741" t="str">
        <f t="shared" si="119"/>
        <v/>
      </c>
    </row>
    <row r="2742" spans="1:14">
      <c r="A2742" s="1">
        <v>46076.636030092595</v>
      </c>
      <c r="B2742">
        <v>386057121</v>
      </c>
      <c r="C2742" s="2" t="s">
        <v>1832</v>
      </c>
      <c r="D2742" t="s">
        <v>15</v>
      </c>
      <c r="E2742" s="5">
        <v>5760</v>
      </c>
      <c r="F2742" s="3">
        <v>5760</v>
      </c>
      <c r="G2742" s="3">
        <v>4032</v>
      </c>
      <c r="I2742" s="2" t="s">
        <v>1833</v>
      </c>
      <c r="J2742" s="2" t="s">
        <v>21</v>
      </c>
      <c r="K2742" t="s">
        <v>18</v>
      </c>
      <c r="L2742" t="str">
        <f>T("9791175581562")</f>
        <v>9791175581562</v>
      </c>
      <c r="M2742" t="str">
        <f t="shared" si="119"/>
        <v/>
      </c>
    </row>
    <row r="2743" spans="1:14">
      <c r="A2743" s="1">
        <v>46076.637060185189</v>
      </c>
      <c r="B2743">
        <v>277935702</v>
      </c>
      <c r="C2743" s="2" t="s">
        <v>1524</v>
      </c>
      <c r="D2743" t="s">
        <v>15</v>
      </c>
      <c r="E2743" s="4">
        <v>100</v>
      </c>
      <c r="F2743" s="2">
        <v>100</v>
      </c>
      <c r="G2743" s="2">
        <v>70</v>
      </c>
      <c r="I2743" s="2" t="s">
        <v>64</v>
      </c>
      <c r="J2743" s="2" t="s">
        <v>65</v>
      </c>
      <c r="K2743" t="s">
        <v>18</v>
      </c>
      <c r="L2743" t="str">
        <f>T("9791162589724")</f>
        <v>9791162589724</v>
      </c>
      <c r="M2743" t="str">
        <f t="shared" si="119"/>
        <v/>
      </c>
      <c r="N2743" t="s">
        <v>1525</v>
      </c>
    </row>
    <row r="2744" spans="1:14">
      <c r="A2744" s="1">
        <v>46076.637060185189</v>
      </c>
      <c r="B2744">
        <v>277935593</v>
      </c>
      <c r="C2744" s="2" t="s">
        <v>2667</v>
      </c>
      <c r="D2744" t="s">
        <v>15</v>
      </c>
      <c r="E2744" s="4">
        <v>100</v>
      </c>
      <c r="F2744" s="2">
        <v>100</v>
      </c>
      <c r="G2744" s="2">
        <v>70</v>
      </c>
      <c r="I2744" s="2" t="s">
        <v>64</v>
      </c>
      <c r="J2744" s="2" t="s">
        <v>65</v>
      </c>
      <c r="K2744" t="s">
        <v>18</v>
      </c>
      <c r="L2744" t="str">
        <f>T("9791162589724")</f>
        <v>9791162589724</v>
      </c>
      <c r="M2744" t="str">
        <f t="shared" si="119"/>
        <v/>
      </c>
      <c r="N2744" t="s">
        <v>2668</v>
      </c>
    </row>
    <row r="2745" spans="1:14">
      <c r="A2745" s="1">
        <v>46076.637060185189</v>
      </c>
      <c r="B2745">
        <v>277935870</v>
      </c>
      <c r="C2745" s="2" t="s">
        <v>2669</v>
      </c>
      <c r="D2745" t="s">
        <v>15</v>
      </c>
      <c r="E2745" s="4">
        <v>100</v>
      </c>
      <c r="F2745" s="2">
        <v>100</v>
      </c>
      <c r="G2745" s="2">
        <v>70</v>
      </c>
      <c r="I2745" s="2" t="s">
        <v>64</v>
      </c>
      <c r="J2745" s="2" t="s">
        <v>65</v>
      </c>
      <c r="K2745" t="s">
        <v>18</v>
      </c>
      <c r="L2745" t="str">
        <f>T("9791162589724")</f>
        <v>9791162589724</v>
      </c>
      <c r="M2745" t="str">
        <f t="shared" si="119"/>
        <v/>
      </c>
      <c r="N2745" t="s">
        <v>2670</v>
      </c>
    </row>
    <row r="2746" spans="1:14">
      <c r="A2746" s="1">
        <v>46076.637060185189</v>
      </c>
      <c r="B2746">
        <v>277935851</v>
      </c>
      <c r="C2746" s="2" t="s">
        <v>2671</v>
      </c>
      <c r="D2746" t="s">
        <v>15</v>
      </c>
      <c r="E2746" s="4">
        <v>100</v>
      </c>
      <c r="F2746" s="2">
        <v>100</v>
      </c>
      <c r="G2746" s="2">
        <v>70</v>
      </c>
      <c r="I2746" s="2" t="s">
        <v>64</v>
      </c>
      <c r="J2746" s="2" t="s">
        <v>65</v>
      </c>
      <c r="K2746" t="s">
        <v>18</v>
      </c>
      <c r="L2746" t="str">
        <f>T("9791162589724")</f>
        <v>9791162589724</v>
      </c>
      <c r="M2746" t="str">
        <f t="shared" si="119"/>
        <v/>
      </c>
      <c r="N2746" t="s">
        <v>2672</v>
      </c>
    </row>
    <row r="2747" spans="1:14">
      <c r="A2747" s="1">
        <v>46076.669814814813</v>
      </c>
      <c r="B2747">
        <v>386057126</v>
      </c>
      <c r="C2747" s="2" t="s">
        <v>1984</v>
      </c>
      <c r="D2747" t="s">
        <v>68</v>
      </c>
      <c r="E2747" s="5">
        <v>6240</v>
      </c>
      <c r="F2747" s="3">
        <v>6240</v>
      </c>
      <c r="G2747" s="3">
        <v>4368</v>
      </c>
      <c r="I2747" s="2" t="s">
        <v>335</v>
      </c>
      <c r="J2747" s="2" t="s">
        <v>239</v>
      </c>
      <c r="K2747" t="s">
        <v>18</v>
      </c>
      <c r="L2747" t="str">
        <f>T("9791194174943")</f>
        <v>9791194174943</v>
      </c>
      <c r="M2747" t="str">
        <f t="shared" si="119"/>
        <v/>
      </c>
    </row>
    <row r="2748" spans="1:14">
      <c r="A2748" s="1">
        <v>46076.685717592591</v>
      </c>
      <c r="B2748">
        <v>386057121</v>
      </c>
      <c r="C2748" s="2" t="s">
        <v>1832</v>
      </c>
      <c r="D2748" t="s">
        <v>15</v>
      </c>
      <c r="E2748" s="5">
        <v>5760</v>
      </c>
      <c r="F2748" s="3">
        <v>5760</v>
      </c>
      <c r="G2748" s="3">
        <v>4032</v>
      </c>
      <c r="I2748" s="2" t="s">
        <v>1833</v>
      </c>
      <c r="J2748" s="2" t="s">
        <v>21</v>
      </c>
      <c r="K2748" t="s">
        <v>18</v>
      </c>
      <c r="L2748" t="str">
        <f>T("9791175581562")</f>
        <v>9791175581562</v>
      </c>
      <c r="M2748" t="str">
        <f t="shared" si="119"/>
        <v/>
      </c>
    </row>
    <row r="2749" spans="1:14">
      <c r="A2749" s="1">
        <v>46076.687997685185</v>
      </c>
      <c r="B2749">
        <v>386559327</v>
      </c>
      <c r="C2749" s="2" t="s">
        <v>2555</v>
      </c>
      <c r="D2749" t="s">
        <v>15</v>
      </c>
      <c r="E2749" s="5">
        <v>-4000</v>
      </c>
      <c r="F2749" s="3">
        <v>-3600</v>
      </c>
      <c r="G2749" s="3">
        <v>-2520</v>
      </c>
      <c r="H2749" s="1">
        <v>46076.685740740744</v>
      </c>
      <c r="I2749" s="2" t="s">
        <v>2536</v>
      </c>
      <c r="J2749" s="2" t="s">
        <v>197</v>
      </c>
      <c r="K2749" t="s">
        <v>18</v>
      </c>
      <c r="L2749" t="str">
        <f>T("")</f>
        <v/>
      </c>
      <c r="M2749" t="str">
        <f>T("G720:N+A319-20251223071")</f>
        <v>G720:N+A319-20251223071</v>
      </c>
    </row>
    <row r="2750" spans="1:14">
      <c r="A2750" s="1">
        <v>46076.685740740744</v>
      </c>
      <c r="B2750">
        <v>386559327</v>
      </c>
      <c r="C2750" s="2" t="s">
        <v>2555</v>
      </c>
      <c r="D2750" t="s">
        <v>15</v>
      </c>
      <c r="E2750" s="5">
        <v>4000</v>
      </c>
      <c r="F2750" s="3">
        <v>3600</v>
      </c>
      <c r="G2750" s="3">
        <v>2520</v>
      </c>
      <c r="I2750" s="2" t="s">
        <v>2536</v>
      </c>
      <c r="J2750" s="2" t="s">
        <v>197</v>
      </c>
      <c r="K2750" t="s">
        <v>18</v>
      </c>
      <c r="L2750" t="str">
        <f>T("")</f>
        <v/>
      </c>
      <c r="M2750" t="str">
        <f>T("G720:N+A319-20251223071")</f>
        <v>G720:N+A319-20251223071</v>
      </c>
    </row>
    <row r="2751" spans="1:14">
      <c r="A2751" s="1">
        <v>46076.688993055555</v>
      </c>
      <c r="B2751">
        <v>386559327</v>
      </c>
      <c r="C2751" s="2" t="s">
        <v>2555</v>
      </c>
      <c r="D2751" t="s">
        <v>15</v>
      </c>
      <c r="E2751" s="5">
        <v>4000</v>
      </c>
      <c r="F2751" s="3">
        <v>3600</v>
      </c>
      <c r="G2751" s="3">
        <v>2520</v>
      </c>
      <c r="I2751" s="2" t="s">
        <v>2536</v>
      </c>
      <c r="J2751" s="2" t="s">
        <v>197</v>
      </c>
      <c r="K2751" t="s">
        <v>18</v>
      </c>
      <c r="L2751" t="str">
        <f>T("")</f>
        <v/>
      </c>
      <c r="M2751" t="str">
        <f>T("G720:N+A319-20251223071")</f>
        <v>G720:N+A319-20251223071</v>
      </c>
    </row>
    <row r="2752" spans="1:14">
      <c r="A2752" s="1">
        <v>46076.693483796298</v>
      </c>
      <c r="B2752">
        <v>386057278</v>
      </c>
      <c r="C2752" s="2" t="s">
        <v>1806</v>
      </c>
      <c r="D2752" t="s">
        <v>68</v>
      </c>
      <c r="E2752" s="5">
        <v>5000</v>
      </c>
      <c r="F2752" s="3">
        <v>5000</v>
      </c>
      <c r="G2752" s="3">
        <v>3500</v>
      </c>
      <c r="I2752" s="2" t="s">
        <v>1772</v>
      </c>
      <c r="J2752" s="2" t="s">
        <v>197</v>
      </c>
      <c r="K2752" t="s">
        <v>18</v>
      </c>
      <c r="L2752" t="str">
        <f>T("9791164093281")</f>
        <v>9791164093281</v>
      </c>
      <c r="M2752" t="str">
        <f t="shared" ref="M2752:M2757" si="120">T("")</f>
        <v/>
      </c>
    </row>
    <row r="2753" spans="1:14">
      <c r="A2753" s="1">
        <v>46076.729618055557</v>
      </c>
      <c r="B2753">
        <v>386934245</v>
      </c>
      <c r="C2753" s="2" t="s">
        <v>2649</v>
      </c>
      <c r="D2753" t="s">
        <v>15</v>
      </c>
      <c r="E2753" s="4">
        <v>0</v>
      </c>
      <c r="F2753" s="2">
        <v>0</v>
      </c>
      <c r="G2753" s="2">
        <v>0</v>
      </c>
      <c r="I2753" s="2" t="s">
        <v>2650</v>
      </c>
      <c r="J2753" s="2" t="s">
        <v>245</v>
      </c>
      <c r="K2753" t="s">
        <v>18</v>
      </c>
      <c r="L2753" t="str">
        <f>T("9791170939771")</f>
        <v>9791170939771</v>
      </c>
      <c r="M2753" t="str">
        <f t="shared" si="120"/>
        <v/>
      </c>
      <c r="N2753" t="s">
        <v>2651</v>
      </c>
    </row>
    <row r="2754" spans="1:14">
      <c r="A2754" s="1">
        <v>46076.729618055557</v>
      </c>
      <c r="B2754">
        <v>386934246</v>
      </c>
      <c r="C2754" s="2" t="s">
        <v>2660</v>
      </c>
      <c r="D2754" t="s">
        <v>15</v>
      </c>
      <c r="E2754" s="4">
        <v>0</v>
      </c>
      <c r="F2754" s="2">
        <v>0</v>
      </c>
      <c r="G2754" s="2">
        <v>0</v>
      </c>
      <c r="I2754" s="2" t="s">
        <v>2661</v>
      </c>
      <c r="J2754" s="2" t="s">
        <v>245</v>
      </c>
      <c r="K2754" t="s">
        <v>18</v>
      </c>
      <c r="L2754" t="str">
        <f>T("9791170939382")</f>
        <v>9791170939382</v>
      </c>
      <c r="M2754" t="str">
        <f t="shared" si="120"/>
        <v/>
      </c>
      <c r="N2754" t="s">
        <v>2662</v>
      </c>
    </row>
    <row r="2755" spans="1:14">
      <c r="A2755" s="1">
        <v>46076.730949074074</v>
      </c>
      <c r="B2755">
        <v>386934245</v>
      </c>
      <c r="C2755" s="2" t="s">
        <v>2649</v>
      </c>
      <c r="D2755" t="s">
        <v>68</v>
      </c>
      <c r="E2755" s="4">
        <v>0</v>
      </c>
      <c r="F2755" s="2">
        <v>0</v>
      </c>
      <c r="G2755" s="2">
        <v>0</v>
      </c>
      <c r="I2755" s="2" t="s">
        <v>2650</v>
      </c>
      <c r="J2755" s="2" t="s">
        <v>245</v>
      </c>
      <c r="K2755" t="s">
        <v>18</v>
      </c>
      <c r="L2755" t="str">
        <f>T("9791170939771")</f>
        <v>9791170939771</v>
      </c>
      <c r="M2755" t="str">
        <f t="shared" si="120"/>
        <v/>
      </c>
      <c r="N2755" t="s">
        <v>2651</v>
      </c>
    </row>
    <row r="2756" spans="1:14">
      <c r="A2756" s="1">
        <v>46076.737812500003</v>
      </c>
      <c r="B2756">
        <v>375539691</v>
      </c>
      <c r="C2756" s="2" t="s">
        <v>2673</v>
      </c>
      <c r="D2756" t="s">
        <v>15</v>
      </c>
      <c r="E2756" s="5">
        <v>1000</v>
      </c>
      <c r="F2756" s="3">
        <v>1000</v>
      </c>
      <c r="G2756" s="2">
        <v>700</v>
      </c>
      <c r="I2756" s="2" t="s">
        <v>496</v>
      </c>
      <c r="J2756" s="2" t="s">
        <v>21</v>
      </c>
      <c r="K2756" t="s">
        <v>18</v>
      </c>
      <c r="L2756" t="str">
        <f>T("9791173018213")</f>
        <v>9791173018213</v>
      </c>
      <c r="M2756" t="str">
        <f t="shared" si="120"/>
        <v/>
      </c>
      <c r="N2756" t="s">
        <v>2674</v>
      </c>
    </row>
    <row r="2757" spans="1:14">
      <c r="A2757" s="1">
        <v>46076.742719907408</v>
      </c>
      <c r="B2757">
        <v>366699561</v>
      </c>
      <c r="C2757" s="2" t="s">
        <v>156</v>
      </c>
      <c r="D2757" t="s">
        <v>15</v>
      </c>
      <c r="E2757" s="5">
        <v>1100</v>
      </c>
      <c r="F2757" s="3">
        <v>1100</v>
      </c>
      <c r="G2757" s="2">
        <v>770</v>
      </c>
      <c r="I2757" s="2" t="s">
        <v>148</v>
      </c>
      <c r="J2757" s="2" t="s">
        <v>21</v>
      </c>
      <c r="K2757" t="s">
        <v>18</v>
      </c>
      <c r="L2757" t="str">
        <f>T("9791173015137")</f>
        <v>9791173015137</v>
      </c>
      <c r="M2757" t="str">
        <f t="shared" si="120"/>
        <v/>
      </c>
      <c r="N2757" t="s">
        <v>157</v>
      </c>
    </row>
    <row r="2758" spans="1:14">
      <c r="A2758" s="1">
        <v>46076.786689814813</v>
      </c>
      <c r="B2758">
        <v>386559327</v>
      </c>
      <c r="C2758" s="2" t="s">
        <v>2555</v>
      </c>
      <c r="D2758" t="s">
        <v>15</v>
      </c>
      <c r="E2758" s="5">
        <v>4000</v>
      </c>
      <c r="F2758" s="3">
        <v>3600</v>
      </c>
      <c r="G2758" s="3">
        <v>2520</v>
      </c>
      <c r="I2758" s="2" t="s">
        <v>2536</v>
      </c>
      <c r="J2758" s="2" t="s">
        <v>197</v>
      </c>
      <c r="K2758" t="s">
        <v>18</v>
      </c>
      <c r="L2758" t="str">
        <f>T("")</f>
        <v/>
      </c>
      <c r="M2758" t="str">
        <f>T("G720:N+A319-20251223071")</f>
        <v>G720:N+A319-20251223071</v>
      </c>
    </row>
    <row r="2759" spans="1:14">
      <c r="A2759" s="1">
        <v>46076.786689814813</v>
      </c>
      <c r="B2759">
        <v>385347797</v>
      </c>
      <c r="C2759" s="2" t="s">
        <v>195</v>
      </c>
      <c r="D2759" t="s">
        <v>15</v>
      </c>
      <c r="E2759" s="4">
        <v>700</v>
      </c>
      <c r="F2759" s="2">
        <v>630</v>
      </c>
      <c r="G2759" s="2">
        <v>441</v>
      </c>
      <c r="I2759" s="2" t="s">
        <v>196</v>
      </c>
      <c r="J2759" s="2" t="s">
        <v>197</v>
      </c>
      <c r="K2759" t="s">
        <v>18</v>
      </c>
      <c r="L2759" t="str">
        <f>T("9791172821937")</f>
        <v>9791172821937</v>
      </c>
      <c r="M2759" t="str">
        <f>T("")</f>
        <v/>
      </c>
      <c r="N2759" t="s">
        <v>198</v>
      </c>
    </row>
    <row r="2760" spans="1:14">
      <c r="A2760" s="1">
        <v>46076.798495370371</v>
      </c>
      <c r="B2760">
        <v>348749170</v>
      </c>
      <c r="C2760" s="2" t="s">
        <v>2675</v>
      </c>
      <c r="D2760" t="s">
        <v>15</v>
      </c>
      <c r="E2760" s="5">
        <v>1000</v>
      </c>
      <c r="F2760" s="3">
        <v>1000</v>
      </c>
      <c r="G2760" s="2">
        <v>700</v>
      </c>
      <c r="I2760" s="2">
        <v>5353</v>
      </c>
      <c r="J2760" s="2" t="s">
        <v>21</v>
      </c>
      <c r="K2760" t="s">
        <v>18</v>
      </c>
      <c r="L2760" t="str">
        <f>T("9791170899297")</f>
        <v>9791170899297</v>
      </c>
      <c r="M2760" t="str">
        <f>T("")</f>
        <v/>
      </c>
      <c r="N2760" t="s">
        <v>2676</v>
      </c>
    </row>
    <row r="2761" spans="1:14">
      <c r="A2761" s="1">
        <v>46076.802685185183</v>
      </c>
      <c r="B2761">
        <v>328759043</v>
      </c>
      <c r="C2761" s="2" t="s">
        <v>1537</v>
      </c>
      <c r="D2761" t="s">
        <v>68</v>
      </c>
      <c r="E2761" s="4">
        <v>840</v>
      </c>
      <c r="F2761" s="2">
        <v>840</v>
      </c>
      <c r="G2761" s="2">
        <v>588</v>
      </c>
      <c r="I2761" s="2" t="s">
        <v>852</v>
      </c>
      <c r="J2761" s="2" t="s">
        <v>197</v>
      </c>
      <c r="K2761" t="s">
        <v>18</v>
      </c>
      <c r="L2761" t="str">
        <f>T("9791164099269")</f>
        <v>9791164099269</v>
      </c>
      <c r="M2761" t="str">
        <f>T("")</f>
        <v/>
      </c>
    </row>
    <row r="2762" spans="1:14">
      <c r="A2762" s="1">
        <v>46076.820185185185</v>
      </c>
      <c r="B2762">
        <v>380153476</v>
      </c>
      <c r="C2762" s="2" t="s">
        <v>1205</v>
      </c>
      <c r="D2762" t="s">
        <v>15</v>
      </c>
      <c r="E2762" s="5">
        <v>3600</v>
      </c>
      <c r="F2762" s="3">
        <v>3600</v>
      </c>
      <c r="G2762" s="3">
        <v>2520</v>
      </c>
      <c r="I2762" s="2" t="s">
        <v>1206</v>
      </c>
      <c r="J2762" s="2" t="s">
        <v>476</v>
      </c>
      <c r="K2762" t="s">
        <v>18</v>
      </c>
      <c r="L2762" t="str">
        <f>T("9791175090873")</f>
        <v>9791175090873</v>
      </c>
      <c r="M2762" t="str">
        <f>T("")</f>
        <v/>
      </c>
      <c r="N2762" t="s">
        <v>1207</v>
      </c>
    </row>
    <row r="2763" spans="1:14">
      <c r="A2763" s="1">
        <v>46076.900567129633</v>
      </c>
      <c r="B2763">
        <v>386057279</v>
      </c>
      <c r="C2763" s="2" t="s">
        <v>2303</v>
      </c>
      <c r="D2763" t="s">
        <v>68</v>
      </c>
      <c r="E2763" s="5">
        <v>7500</v>
      </c>
      <c r="F2763" s="3">
        <v>7500</v>
      </c>
      <c r="G2763" s="3">
        <v>5250</v>
      </c>
      <c r="I2763" s="2" t="s">
        <v>1772</v>
      </c>
      <c r="J2763" s="2" t="s">
        <v>197</v>
      </c>
      <c r="K2763" t="s">
        <v>18</v>
      </c>
      <c r="L2763" t="str">
        <f>T("9791164093304")</f>
        <v>9791164093304</v>
      </c>
      <c r="M2763" t="str">
        <f>T("")</f>
        <v/>
      </c>
    </row>
    <row r="2764" spans="1:14">
      <c r="A2764" s="1">
        <v>46076.908495370371</v>
      </c>
      <c r="B2764">
        <v>386559327</v>
      </c>
      <c r="C2764" s="2" t="s">
        <v>2555</v>
      </c>
      <c r="D2764" t="s">
        <v>15</v>
      </c>
      <c r="E2764" s="5">
        <v>4000</v>
      </c>
      <c r="F2764" s="3">
        <v>3600</v>
      </c>
      <c r="G2764" s="3">
        <v>2520</v>
      </c>
      <c r="I2764" s="2" t="s">
        <v>2536</v>
      </c>
      <c r="J2764" s="2" t="s">
        <v>197</v>
      </c>
      <c r="K2764" t="s">
        <v>18</v>
      </c>
      <c r="L2764" t="str">
        <f>T("")</f>
        <v/>
      </c>
      <c r="M2764" t="str">
        <f>T("G720:N+A319-20251223071")</f>
        <v>G720:N+A319-20251223071</v>
      </c>
    </row>
    <row r="2765" spans="1:14">
      <c r="A2765" s="1">
        <v>46076.909282407411</v>
      </c>
      <c r="B2765">
        <v>386559326</v>
      </c>
      <c r="C2765" s="2" t="s">
        <v>2545</v>
      </c>
      <c r="D2765" t="s">
        <v>68</v>
      </c>
      <c r="E2765" s="5">
        <v>5760</v>
      </c>
      <c r="F2765" s="3">
        <v>5760</v>
      </c>
      <c r="G2765" s="3">
        <v>4032</v>
      </c>
      <c r="I2765" s="2" t="s">
        <v>2546</v>
      </c>
      <c r="J2765" s="2" t="s">
        <v>197</v>
      </c>
      <c r="K2765" t="s">
        <v>18</v>
      </c>
      <c r="L2765" t="str">
        <f>T("")</f>
        <v/>
      </c>
      <c r="M2765" t="str">
        <f>T("G720:N+A319-20251223073")</f>
        <v>G720:N+A319-20251223073</v>
      </c>
    </row>
    <row r="2766" spans="1:14">
      <c r="A2766" s="1">
        <v>46076.919178240743</v>
      </c>
      <c r="B2766">
        <v>211909257</v>
      </c>
      <c r="C2766" s="2" t="s">
        <v>1665</v>
      </c>
      <c r="D2766" t="s">
        <v>68</v>
      </c>
      <c r="E2766" s="5">
        <v>4550</v>
      </c>
      <c r="F2766" s="3">
        <v>4550</v>
      </c>
      <c r="G2766" s="3">
        <v>3185</v>
      </c>
      <c r="I2766" s="2" t="s">
        <v>196</v>
      </c>
      <c r="J2766" s="2" t="s">
        <v>197</v>
      </c>
      <c r="K2766" t="s">
        <v>18</v>
      </c>
      <c r="L2766" t="str">
        <f>T("9791164090693")</f>
        <v>9791164090693</v>
      </c>
      <c r="M2766" t="str">
        <f>T("")</f>
        <v/>
      </c>
    </row>
    <row r="2767" spans="1:14">
      <c r="A2767" s="1">
        <v>46076.937696759262</v>
      </c>
      <c r="B2767">
        <v>211909257</v>
      </c>
      <c r="C2767" s="2" t="s">
        <v>1665</v>
      </c>
      <c r="D2767" t="s">
        <v>68</v>
      </c>
      <c r="E2767" s="5">
        <v>4550</v>
      </c>
      <c r="F2767" s="3">
        <v>4550</v>
      </c>
      <c r="G2767" s="3">
        <v>3185</v>
      </c>
      <c r="I2767" s="2" t="s">
        <v>196</v>
      </c>
      <c r="J2767" s="2" t="s">
        <v>197</v>
      </c>
      <c r="K2767" t="s">
        <v>18</v>
      </c>
      <c r="L2767" t="str">
        <f>T("9791164090693")</f>
        <v>9791164090693</v>
      </c>
      <c r="M2767" t="str">
        <f>T("")</f>
        <v/>
      </c>
    </row>
    <row r="2768" spans="1:14">
      <c r="A2768" s="1">
        <v>46076.953680555554</v>
      </c>
      <c r="B2768">
        <v>386934245</v>
      </c>
      <c r="C2768" s="2" t="s">
        <v>2649</v>
      </c>
      <c r="D2768" t="s">
        <v>15</v>
      </c>
      <c r="E2768" s="4">
        <v>0</v>
      </c>
      <c r="F2768" s="2">
        <v>0</v>
      </c>
      <c r="G2768" s="2">
        <v>0</v>
      </c>
      <c r="I2768" s="2" t="s">
        <v>2650</v>
      </c>
      <c r="J2768" s="2" t="s">
        <v>245</v>
      </c>
      <c r="K2768" t="s">
        <v>18</v>
      </c>
      <c r="L2768" t="str">
        <f>T("9791170939771")</f>
        <v>9791170939771</v>
      </c>
      <c r="M2768" t="str">
        <f>T("")</f>
        <v/>
      </c>
      <c r="N2768" t="s">
        <v>2651</v>
      </c>
    </row>
    <row r="2769" spans="1:14">
      <c r="A2769" s="1">
        <v>46076.953680555554</v>
      </c>
      <c r="B2769">
        <v>386934246</v>
      </c>
      <c r="C2769" s="2" t="s">
        <v>2660</v>
      </c>
      <c r="D2769" t="s">
        <v>15</v>
      </c>
      <c r="E2769" s="4">
        <v>0</v>
      </c>
      <c r="F2769" s="2">
        <v>0</v>
      </c>
      <c r="G2769" s="2">
        <v>0</v>
      </c>
      <c r="I2769" s="2" t="s">
        <v>2661</v>
      </c>
      <c r="J2769" s="2" t="s">
        <v>245</v>
      </c>
      <c r="K2769" t="s">
        <v>18</v>
      </c>
      <c r="L2769" t="str">
        <f>T("9791170939382")</f>
        <v>9791170939382</v>
      </c>
      <c r="M2769" t="str">
        <f>T("")</f>
        <v/>
      </c>
      <c r="N2769" t="s">
        <v>2662</v>
      </c>
    </row>
    <row r="2770" spans="1:14">
      <c r="A2770" s="1">
        <v>46076.959016203706</v>
      </c>
      <c r="B2770">
        <v>386559326</v>
      </c>
      <c r="C2770" s="2" t="s">
        <v>2545</v>
      </c>
      <c r="D2770" t="s">
        <v>68</v>
      </c>
      <c r="E2770" s="5">
        <v>5760</v>
      </c>
      <c r="F2770" s="3">
        <v>5760</v>
      </c>
      <c r="G2770" s="3">
        <v>4032</v>
      </c>
      <c r="I2770" s="2" t="s">
        <v>2546</v>
      </c>
      <c r="J2770" s="2" t="s">
        <v>197</v>
      </c>
      <c r="K2770" t="s">
        <v>18</v>
      </c>
      <c r="L2770" t="str">
        <f>T("")</f>
        <v/>
      </c>
      <c r="M2770" t="str">
        <f>T("G720:N+A319-20251223073")</f>
        <v>G720:N+A319-20251223073</v>
      </c>
    </row>
    <row r="2771" spans="1:14">
      <c r="A2771" s="1">
        <v>46076.959340277775</v>
      </c>
      <c r="B2771">
        <v>382626257</v>
      </c>
      <c r="C2771" s="2" t="s">
        <v>152</v>
      </c>
      <c r="D2771" t="s">
        <v>15</v>
      </c>
      <c r="E2771" s="5">
        <v>1000</v>
      </c>
      <c r="F2771" s="3">
        <v>1000</v>
      </c>
      <c r="G2771" s="2">
        <v>700</v>
      </c>
      <c r="I2771" s="2" t="s">
        <v>148</v>
      </c>
      <c r="J2771" s="2" t="s">
        <v>21</v>
      </c>
      <c r="K2771" t="s">
        <v>18</v>
      </c>
      <c r="L2771" t="str">
        <f>T("9791175581906")</f>
        <v>9791175581906</v>
      </c>
      <c r="M2771" t="str">
        <f t="shared" ref="M2771:M2809" si="121">T("")</f>
        <v/>
      </c>
      <c r="N2771" t="s">
        <v>153</v>
      </c>
    </row>
    <row r="2772" spans="1:14">
      <c r="A2772" s="1">
        <v>46076.9609837963</v>
      </c>
      <c r="B2772">
        <v>384623949</v>
      </c>
      <c r="C2772" s="2" t="s">
        <v>141</v>
      </c>
      <c r="D2772" t="s">
        <v>15</v>
      </c>
      <c r="E2772" s="5">
        <v>1000</v>
      </c>
      <c r="F2772" s="3">
        <v>1000</v>
      </c>
      <c r="G2772" s="2">
        <v>700</v>
      </c>
      <c r="I2772" s="2" t="s">
        <v>142</v>
      </c>
      <c r="J2772" s="2" t="s">
        <v>21</v>
      </c>
      <c r="K2772" t="s">
        <v>18</v>
      </c>
      <c r="L2772" t="str">
        <f>T("9791175582347")</f>
        <v>9791175582347</v>
      </c>
      <c r="M2772" t="str">
        <f t="shared" si="121"/>
        <v/>
      </c>
      <c r="N2772" t="s">
        <v>143</v>
      </c>
    </row>
    <row r="2773" spans="1:14">
      <c r="A2773" s="1">
        <v>46076.965752314813</v>
      </c>
      <c r="B2773">
        <v>323352597</v>
      </c>
      <c r="C2773" s="2" t="s">
        <v>1924</v>
      </c>
      <c r="D2773" t="s">
        <v>68</v>
      </c>
      <c r="E2773" s="5">
        <v>3150</v>
      </c>
      <c r="F2773" s="3">
        <v>3150</v>
      </c>
      <c r="G2773" s="3">
        <v>2205</v>
      </c>
      <c r="I2773" s="2" t="s">
        <v>938</v>
      </c>
      <c r="J2773" s="2" t="s">
        <v>126</v>
      </c>
      <c r="K2773" t="s">
        <v>18</v>
      </c>
      <c r="L2773" t="str">
        <f>T("9791164977581")</f>
        <v>9791164977581</v>
      </c>
      <c r="M2773" t="str">
        <f t="shared" si="121"/>
        <v/>
      </c>
    </row>
    <row r="2774" spans="1:14">
      <c r="A2774" s="1">
        <v>46076.965752314813</v>
      </c>
      <c r="B2774">
        <v>223268465</v>
      </c>
      <c r="C2774" s="2" t="s">
        <v>1859</v>
      </c>
      <c r="D2774" t="s">
        <v>68</v>
      </c>
      <c r="E2774" s="5">
        <v>1200</v>
      </c>
      <c r="F2774" s="3">
        <v>1200</v>
      </c>
      <c r="G2774" s="2">
        <v>840</v>
      </c>
      <c r="I2774" s="2" t="s">
        <v>852</v>
      </c>
      <c r="J2774" s="2" t="s">
        <v>197</v>
      </c>
      <c r="K2774" t="s">
        <v>18</v>
      </c>
      <c r="L2774" t="str">
        <f>T("9791164090822")</f>
        <v>9791164090822</v>
      </c>
      <c r="M2774" t="str">
        <f t="shared" si="121"/>
        <v/>
      </c>
    </row>
    <row r="2775" spans="1:14">
      <c r="A2775" s="1">
        <v>46076.965752314813</v>
      </c>
      <c r="B2775">
        <v>229315688</v>
      </c>
      <c r="C2775" s="2" t="s">
        <v>1326</v>
      </c>
      <c r="D2775" t="s">
        <v>68</v>
      </c>
      <c r="E2775" s="5">
        <v>1200</v>
      </c>
      <c r="F2775" s="3">
        <v>1200</v>
      </c>
      <c r="G2775" s="2">
        <v>840</v>
      </c>
      <c r="I2775" s="2" t="s">
        <v>852</v>
      </c>
      <c r="J2775" s="2" t="s">
        <v>197</v>
      </c>
      <c r="K2775" t="s">
        <v>18</v>
      </c>
      <c r="L2775" t="str">
        <f>T("9791164090976")</f>
        <v>9791164090976</v>
      </c>
      <c r="M2775" t="str">
        <f t="shared" si="121"/>
        <v/>
      </c>
    </row>
    <row r="2776" spans="1:14">
      <c r="A2776" s="1">
        <v>46076.980821759258</v>
      </c>
      <c r="B2776">
        <v>377095688</v>
      </c>
      <c r="C2776" s="2" t="s">
        <v>1608</v>
      </c>
      <c r="D2776" t="s">
        <v>68</v>
      </c>
      <c r="E2776" s="5">
        <v>13600</v>
      </c>
      <c r="F2776" s="3">
        <v>13600</v>
      </c>
      <c r="G2776" s="3">
        <v>9520</v>
      </c>
      <c r="I2776" s="2" t="s">
        <v>183</v>
      </c>
      <c r="J2776" s="2" t="s">
        <v>184</v>
      </c>
      <c r="K2776" t="s">
        <v>18</v>
      </c>
      <c r="L2776" t="str">
        <f>T("9791170965244")</f>
        <v>9791170965244</v>
      </c>
      <c r="M2776" t="str">
        <f t="shared" si="121"/>
        <v/>
      </c>
    </row>
    <row r="2777" spans="1:14">
      <c r="A2777" s="1">
        <v>46076.981979166667</v>
      </c>
      <c r="B2777">
        <v>223268465</v>
      </c>
      <c r="C2777" s="2" t="s">
        <v>1859</v>
      </c>
      <c r="D2777" t="s">
        <v>68</v>
      </c>
      <c r="E2777" s="5">
        <v>1200</v>
      </c>
      <c r="F2777" s="3">
        <v>1200</v>
      </c>
      <c r="G2777" s="2">
        <v>840</v>
      </c>
      <c r="I2777" s="2" t="s">
        <v>852</v>
      </c>
      <c r="J2777" s="2" t="s">
        <v>197</v>
      </c>
      <c r="K2777" t="s">
        <v>18</v>
      </c>
      <c r="L2777" t="str">
        <f>T("9791164090822")</f>
        <v>9791164090822</v>
      </c>
      <c r="M2777" t="str">
        <f t="shared" si="121"/>
        <v/>
      </c>
    </row>
    <row r="2778" spans="1:14">
      <c r="A2778" s="1">
        <v>46076.993877314817</v>
      </c>
      <c r="B2778">
        <v>379527595</v>
      </c>
      <c r="C2778" s="2" t="s">
        <v>2677</v>
      </c>
      <c r="D2778" t="s">
        <v>15</v>
      </c>
      <c r="E2778" s="5">
        <v>1000</v>
      </c>
      <c r="F2778" s="3">
        <v>1000</v>
      </c>
      <c r="G2778" s="2">
        <v>700</v>
      </c>
      <c r="I2778" s="2" t="s">
        <v>1001</v>
      </c>
      <c r="J2778" s="2" t="s">
        <v>21</v>
      </c>
      <c r="K2778" t="s">
        <v>18</v>
      </c>
      <c r="L2778" t="str">
        <f>T("9791175581289")</f>
        <v>9791175581289</v>
      </c>
      <c r="M2778" t="str">
        <f t="shared" si="121"/>
        <v/>
      </c>
      <c r="N2778" t="s">
        <v>2678</v>
      </c>
    </row>
    <row r="2779" spans="1:14">
      <c r="A2779" s="1">
        <v>46077.004282407404</v>
      </c>
      <c r="B2779">
        <v>189861482</v>
      </c>
      <c r="C2779" s="2" t="s">
        <v>2607</v>
      </c>
      <c r="D2779" t="s">
        <v>15</v>
      </c>
      <c r="E2779" s="4">
        <v>0</v>
      </c>
      <c r="F2779" s="2">
        <v>0</v>
      </c>
      <c r="G2779" s="2">
        <v>0</v>
      </c>
      <c r="I2779" s="2" t="s">
        <v>196</v>
      </c>
      <c r="J2779" s="2" t="s">
        <v>197</v>
      </c>
      <c r="K2779" t="s">
        <v>18</v>
      </c>
      <c r="L2779" t="str">
        <f>T("9791164090068")</f>
        <v>9791164090068</v>
      </c>
      <c r="M2779" t="str">
        <f t="shared" si="121"/>
        <v/>
      </c>
    </row>
    <row r="2780" spans="1:14">
      <c r="A2780" s="1">
        <v>46077.00608796296</v>
      </c>
      <c r="B2780">
        <v>381924113</v>
      </c>
      <c r="C2780" s="2" t="s">
        <v>367</v>
      </c>
      <c r="D2780" t="s">
        <v>15</v>
      </c>
      <c r="E2780" s="5">
        <v>2800</v>
      </c>
      <c r="F2780" s="3">
        <v>2800</v>
      </c>
      <c r="G2780" s="3">
        <v>1960</v>
      </c>
      <c r="I2780" s="2" t="s">
        <v>368</v>
      </c>
      <c r="J2780" s="2" t="s">
        <v>308</v>
      </c>
      <c r="K2780" t="s">
        <v>18</v>
      </c>
      <c r="L2780" t="str">
        <f>T("9791194982739")</f>
        <v>9791194982739</v>
      </c>
      <c r="M2780" t="str">
        <f t="shared" si="121"/>
        <v/>
      </c>
      <c r="N2780" t="s">
        <v>369</v>
      </c>
    </row>
    <row r="2781" spans="1:14">
      <c r="A2781" s="1">
        <v>46077.008923611109</v>
      </c>
      <c r="B2781">
        <v>380788887</v>
      </c>
      <c r="C2781" s="2" t="s">
        <v>1982</v>
      </c>
      <c r="D2781" t="s">
        <v>15</v>
      </c>
      <c r="E2781" s="5">
        <v>2900</v>
      </c>
      <c r="F2781" s="3">
        <v>2900</v>
      </c>
      <c r="G2781" s="3">
        <v>2030</v>
      </c>
      <c r="I2781" s="2" t="s">
        <v>1098</v>
      </c>
      <c r="J2781" s="2" t="s">
        <v>126</v>
      </c>
      <c r="K2781" t="s">
        <v>18</v>
      </c>
      <c r="L2781" t="str">
        <f>T("9791171502479")</f>
        <v>9791171502479</v>
      </c>
      <c r="M2781" t="str">
        <f t="shared" si="121"/>
        <v/>
      </c>
      <c r="N2781" t="s">
        <v>1983</v>
      </c>
    </row>
    <row r="2782" spans="1:14">
      <c r="A2782" s="1">
        <v>46077.052928240744</v>
      </c>
      <c r="B2782">
        <v>324195704</v>
      </c>
      <c r="C2782" s="2" t="s">
        <v>2156</v>
      </c>
      <c r="D2782" t="s">
        <v>15</v>
      </c>
      <c r="E2782" s="5">
        <v>1100</v>
      </c>
      <c r="F2782" s="3">
        <v>1100</v>
      </c>
      <c r="G2782" s="2">
        <v>770</v>
      </c>
      <c r="I2782" s="2" t="s">
        <v>465</v>
      </c>
      <c r="J2782" s="2" t="s">
        <v>21</v>
      </c>
      <c r="K2782" t="s">
        <v>18</v>
      </c>
      <c r="L2782" t="str">
        <f>T("9791167838032")</f>
        <v>9791167838032</v>
      </c>
      <c r="M2782" t="str">
        <f t="shared" si="121"/>
        <v/>
      </c>
      <c r="N2782" t="s">
        <v>2157</v>
      </c>
    </row>
    <row r="2783" spans="1:14">
      <c r="A2783" s="1">
        <v>46077.052928240744</v>
      </c>
      <c r="B2783">
        <v>277097599</v>
      </c>
      <c r="C2783" s="2" t="s">
        <v>314</v>
      </c>
      <c r="D2783" t="s">
        <v>15</v>
      </c>
      <c r="E2783" s="5">
        <v>1000</v>
      </c>
      <c r="F2783" s="3">
        <v>1000</v>
      </c>
      <c r="G2783" s="2">
        <v>700</v>
      </c>
      <c r="I2783" s="2" t="s">
        <v>31</v>
      </c>
      <c r="J2783" s="2" t="s">
        <v>21</v>
      </c>
      <c r="K2783" t="s">
        <v>18</v>
      </c>
      <c r="L2783" t="str">
        <f>T("9791191337846")</f>
        <v>9791191337846</v>
      </c>
      <c r="M2783" t="str">
        <f t="shared" si="121"/>
        <v/>
      </c>
    </row>
    <row r="2784" spans="1:14">
      <c r="A2784" s="1">
        <v>46077.084166666667</v>
      </c>
      <c r="B2784">
        <v>386057277</v>
      </c>
      <c r="C2784" s="2" t="s">
        <v>1609</v>
      </c>
      <c r="D2784" t="s">
        <v>68</v>
      </c>
      <c r="E2784" s="5">
        <v>3750</v>
      </c>
      <c r="F2784" s="3">
        <v>3750</v>
      </c>
      <c r="G2784" s="3">
        <v>2625</v>
      </c>
      <c r="I2784" s="2" t="s">
        <v>1610</v>
      </c>
      <c r="J2784" s="2" t="s">
        <v>197</v>
      </c>
      <c r="K2784" t="s">
        <v>18</v>
      </c>
      <c r="L2784" t="str">
        <f>T("9791164095315")</f>
        <v>9791164095315</v>
      </c>
      <c r="M2784" t="str">
        <f t="shared" si="121"/>
        <v/>
      </c>
    </row>
    <row r="2785" spans="1:14">
      <c r="A2785" s="1">
        <v>46077.093831018516</v>
      </c>
      <c r="B2785">
        <v>386008658</v>
      </c>
      <c r="C2785" s="2" t="s">
        <v>1429</v>
      </c>
      <c r="D2785" t="s">
        <v>15</v>
      </c>
      <c r="E2785" s="5">
        <v>1100</v>
      </c>
      <c r="F2785" s="3">
        <v>1100</v>
      </c>
      <c r="G2785" s="2">
        <v>770</v>
      </c>
      <c r="I2785" s="2" t="s">
        <v>148</v>
      </c>
      <c r="J2785" s="2" t="s">
        <v>21</v>
      </c>
      <c r="K2785" t="s">
        <v>18</v>
      </c>
      <c r="L2785" t="str">
        <f>T("9791175582873")</f>
        <v>9791175582873</v>
      </c>
      <c r="M2785" t="str">
        <f t="shared" si="121"/>
        <v/>
      </c>
      <c r="N2785" t="s">
        <v>1430</v>
      </c>
    </row>
    <row r="2786" spans="1:14">
      <c r="A2786" s="1">
        <v>46077.152141203704</v>
      </c>
      <c r="B2786">
        <v>234101418</v>
      </c>
      <c r="C2786" s="2" t="s">
        <v>932</v>
      </c>
      <c r="D2786" t="s">
        <v>15</v>
      </c>
      <c r="E2786" s="4">
        <v>0</v>
      </c>
      <c r="F2786" s="2">
        <v>0</v>
      </c>
      <c r="G2786" s="2">
        <v>0</v>
      </c>
      <c r="I2786" s="2" t="s">
        <v>933</v>
      </c>
      <c r="J2786" s="2" t="s">
        <v>245</v>
      </c>
      <c r="K2786" t="s">
        <v>18</v>
      </c>
      <c r="L2786" t="str">
        <f>T("9791164485277")</f>
        <v>9791164485277</v>
      </c>
      <c r="M2786" t="str">
        <f t="shared" si="121"/>
        <v/>
      </c>
    </row>
    <row r="2787" spans="1:14">
      <c r="A2787" s="1">
        <v>46077.197835648149</v>
      </c>
      <c r="B2787">
        <v>288180301</v>
      </c>
      <c r="C2787" s="2" t="s">
        <v>2679</v>
      </c>
      <c r="D2787" t="s">
        <v>15</v>
      </c>
      <c r="E2787" s="5">
        <v>9000</v>
      </c>
      <c r="F2787" s="3">
        <v>9000</v>
      </c>
      <c r="G2787" s="3">
        <v>6300</v>
      </c>
      <c r="I2787" s="2" t="s">
        <v>2680</v>
      </c>
      <c r="J2787" s="2" t="s">
        <v>2681</v>
      </c>
      <c r="K2787" t="s">
        <v>18</v>
      </c>
      <c r="L2787" t="str">
        <f>T("9791190616508")</f>
        <v>9791190616508</v>
      </c>
      <c r="M2787" t="str">
        <f t="shared" si="121"/>
        <v/>
      </c>
      <c r="N2787" t="s">
        <v>2682</v>
      </c>
    </row>
    <row r="2788" spans="1:14">
      <c r="A2788" s="1">
        <v>46077.384895833333</v>
      </c>
      <c r="B2788">
        <v>384728224</v>
      </c>
      <c r="C2788" s="2" t="s">
        <v>925</v>
      </c>
      <c r="D2788" t="s">
        <v>15</v>
      </c>
      <c r="E2788" s="4">
        <v>600</v>
      </c>
      <c r="F2788" s="2">
        <v>600</v>
      </c>
      <c r="G2788" s="2">
        <v>420</v>
      </c>
      <c r="I2788" s="2" t="s">
        <v>591</v>
      </c>
      <c r="J2788" s="2" t="s">
        <v>126</v>
      </c>
      <c r="K2788" t="s">
        <v>18</v>
      </c>
      <c r="L2788" t="str">
        <f>T("9791171502998")</f>
        <v>9791171502998</v>
      </c>
      <c r="M2788" t="str">
        <f t="shared" si="121"/>
        <v/>
      </c>
      <c r="N2788" t="s">
        <v>926</v>
      </c>
    </row>
    <row r="2789" spans="1:14">
      <c r="A2789" s="1">
        <v>46077.409409722219</v>
      </c>
      <c r="B2789">
        <v>277935861</v>
      </c>
      <c r="C2789" s="2" t="s">
        <v>2401</v>
      </c>
      <c r="D2789" t="s">
        <v>15</v>
      </c>
      <c r="E2789" s="4">
        <v>100</v>
      </c>
      <c r="F2789" s="2">
        <v>100</v>
      </c>
      <c r="G2789" s="2">
        <v>70</v>
      </c>
      <c r="I2789" s="2" t="s">
        <v>64</v>
      </c>
      <c r="J2789" s="2" t="s">
        <v>65</v>
      </c>
      <c r="K2789" t="s">
        <v>18</v>
      </c>
      <c r="L2789" t="str">
        <f t="shared" ref="L2789:L2798" si="122">T("9791162589724")</f>
        <v>9791162589724</v>
      </c>
      <c r="M2789" t="str">
        <f t="shared" si="121"/>
        <v/>
      </c>
      <c r="N2789" t="s">
        <v>2402</v>
      </c>
    </row>
    <row r="2790" spans="1:14">
      <c r="A2790" s="1">
        <v>46077.409409722219</v>
      </c>
      <c r="B2790">
        <v>277935866</v>
      </c>
      <c r="C2790" s="2" t="s">
        <v>2683</v>
      </c>
      <c r="D2790" t="s">
        <v>15</v>
      </c>
      <c r="E2790" s="4">
        <v>100</v>
      </c>
      <c r="F2790" s="2">
        <v>100</v>
      </c>
      <c r="G2790" s="2">
        <v>70</v>
      </c>
      <c r="I2790" s="2" t="s">
        <v>64</v>
      </c>
      <c r="J2790" s="2" t="s">
        <v>65</v>
      </c>
      <c r="K2790" t="s">
        <v>18</v>
      </c>
      <c r="L2790" t="str">
        <f t="shared" si="122"/>
        <v>9791162589724</v>
      </c>
      <c r="M2790" t="str">
        <f t="shared" si="121"/>
        <v/>
      </c>
      <c r="N2790" t="s">
        <v>2684</v>
      </c>
    </row>
    <row r="2791" spans="1:14">
      <c r="A2791" s="1">
        <v>46077.409409722219</v>
      </c>
      <c r="B2791">
        <v>277935834</v>
      </c>
      <c r="C2791" s="2" t="s">
        <v>2263</v>
      </c>
      <c r="D2791" t="s">
        <v>15</v>
      </c>
      <c r="E2791" s="4">
        <v>100</v>
      </c>
      <c r="F2791" s="2">
        <v>100</v>
      </c>
      <c r="G2791" s="2">
        <v>70</v>
      </c>
      <c r="I2791" s="2" t="s">
        <v>64</v>
      </c>
      <c r="J2791" s="2" t="s">
        <v>65</v>
      </c>
      <c r="K2791" t="s">
        <v>18</v>
      </c>
      <c r="L2791" t="str">
        <f t="shared" si="122"/>
        <v>9791162589724</v>
      </c>
      <c r="M2791" t="str">
        <f t="shared" si="121"/>
        <v/>
      </c>
      <c r="N2791" t="s">
        <v>2264</v>
      </c>
    </row>
    <row r="2792" spans="1:14">
      <c r="A2792" s="1">
        <v>46077.409409722219</v>
      </c>
      <c r="B2792">
        <v>277935836</v>
      </c>
      <c r="C2792" s="2" t="s">
        <v>2685</v>
      </c>
      <c r="D2792" t="s">
        <v>15</v>
      </c>
      <c r="E2792" s="4">
        <v>100</v>
      </c>
      <c r="F2792" s="2">
        <v>100</v>
      </c>
      <c r="G2792" s="2">
        <v>70</v>
      </c>
      <c r="I2792" s="2" t="s">
        <v>64</v>
      </c>
      <c r="J2792" s="2" t="s">
        <v>65</v>
      </c>
      <c r="K2792" t="s">
        <v>18</v>
      </c>
      <c r="L2792" t="str">
        <f t="shared" si="122"/>
        <v>9791162589724</v>
      </c>
      <c r="M2792" t="str">
        <f t="shared" si="121"/>
        <v/>
      </c>
      <c r="N2792" t="s">
        <v>2686</v>
      </c>
    </row>
    <row r="2793" spans="1:14">
      <c r="A2793" s="1">
        <v>46077.409409722219</v>
      </c>
      <c r="B2793">
        <v>277935843</v>
      </c>
      <c r="C2793" s="2" t="s">
        <v>2687</v>
      </c>
      <c r="D2793" t="s">
        <v>15</v>
      </c>
      <c r="E2793" s="4">
        <v>100</v>
      </c>
      <c r="F2793" s="2">
        <v>100</v>
      </c>
      <c r="G2793" s="2">
        <v>70</v>
      </c>
      <c r="I2793" s="2" t="s">
        <v>64</v>
      </c>
      <c r="J2793" s="2" t="s">
        <v>65</v>
      </c>
      <c r="K2793" t="s">
        <v>18</v>
      </c>
      <c r="L2793" t="str">
        <f t="shared" si="122"/>
        <v>9791162589724</v>
      </c>
      <c r="M2793" t="str">
        <f t="shared" si="121"/>
        <v/>
      </c>
      <c r="N2793" t="s">
        <v>2688</v>
      </c>
    </row>
    <row r="2794" spans="1:14">
      <c r="A2794" s="1">
        <v>46077.409409722219</v>
      </c>
      <c r="B2794">
        <v>277935846</v>
      </c>
      <c r="C2794" s="2" t="s">
        <v>2689</v>
      </c>
      <c r="D2794" t="s">
        <v>15</v>
      </c>
      <c r="E2794" s="4">
        <v>100</v>
      </c>
      <c r="F2794" s="2">
        <v>100</v>
      </c>
      <c r="G2794" s="2">
        <v>70</v>
      </c>
      <c r="I2794" s="2" t="s">
        <v>64</v>
      </c>
      <c r="J2794" s="2" t="s">
        <v>65</v>
      </c>
      <c r="K2794" t="s">
        <v>18</v>
      </c>
      <c r="L2794" t="str">
        <f t="shared" si="122"/>
        <v>9791162589724</v>
      </c>
      <c r="M2794" t="str">
        <f t="shared" si="121"/>
        <v/>
      </c>
      <c r="N2794" t="s">
        <v>2690</v>
      </c>
    </row>
    <row r="2795" spans="1:14">
      <c r="A2795" s="1">
        <v>46077.409409722219</v>
      </c>
      <c r="B2795">
        <v>277935774</v>
      </c>
      <c r="C2795" s="2" t="s">
        <v>2399</v>
      </c>
      <c r="D2795" t="s">
        <v>15</v>
      </c>
      <c r="E2795" s="4">
        <v>100</v>
      </c>
      <c r="F2795" s="2">
        <v>100</v>
      </c>
      <c r="G2795" s="2">
        <v>70</v>
      </c>
      <c r="I2795" s="2" t="s">
        <v>64</v>
      </c>
      <c r="J2795" s="2" t="s">
        <v>65</v>
      </c>
      <c r="K2795" t="s">
        <v>18</v>
      </c>
      <c r="L2795" t="str">
        <f t="shared" si="122"/>
        <v>9791162589724</v>
      </c>
      <c r="M2795" t="str">
        <f t="shared" si="121"/>
        <v/>
      </c>
      <c r="N2795" t="s">
        <v>2400</v>
      </c>
    </row>
    <row r="2796" spans="1:14">
      <c r="A2796" s="1">
        <v>46077.409409722219</v>
      </c>
      <c r="B2796">
        <v>277935779</v>
      </c>
      <c r="C2796" s="2" t="s">
        <v>2691</v>
      </c>
      <c r="D2796" t="s">
        <v>15</v>
      </c>
      <c r="E2796" s="4">
        <v>100</v>
      </c>
      <c r="F2796" s="2">
        <v>100</v>
      </c>
      <c r="G2796" s="2">
        <v>70</v>
      </c>
      <c r="I2796" s="2" t="s">
        <v>64</v>
      </c>
      <c r="J2796" s="2" t="s">
        <v>65</v>
      </c>
      <c r="K2796" t="s">
        <v>18</v>
      </c>
      <c r="L2796" t="str">
        <f t="shared" si="122"/>
        <v>9791162589724</v>
      </c>
      <c r="M2796" t="str">
        <f t="shared" si="121"/>
        <v/>
      </c>
      <c r="N2796" t="s">
        <v>2692</v>
      </c>
    </row>
    <row r="2797" spans="1:14">
      <c r="A2797" s="1">
        <v>46077.409409722219</v>
      </c>
      <c r="B2797">
        <v>277935581</v>
      </c>
      <c r="C2797" s="2" t="s">
        <v>2693</v>
      </c>
      <c r="D2797" t="s">
        <v>15</v>
      </c>
      <c r="E2797" s="4">
        <v>100</v>
      </c>
      <c r="F2797" s="2">
        <v>100</v>
      </c>
      <c r="G2797" s="2">
        <v>70</v>
      </c>
      <c r="I2797" s="2" t="s">
        <v>64</v>
      </c>
      <c r="J2797" s="2" t="s">
        <v>65</v>
      </c>
      <c r="K2797" t="s">
        <v>18</v>
      </c>
      <c r="L2797" t="str">
        <f t="shared" si="122"/>
        <v>9791162589724</v>
      </c>
      <c r="M2797" t="str">
        <f t="shared" si="121"/>
        <v/>
      </c>
      <c r="N2797" t="s">
        <v>2694</v>
      </c>
    </row>
    <row r="2798" spans="1:14">
      <c r="A2798" s="1">
        <v>46077.409409722219</v>
      </c>
      <c r="B2798">
        <v>277935584</v>
      </c>
      <c r="C2798" s="2" t="s">
        <v>2695</v>
      </c>
      <c r="D2798" t="s">
        <v>15</v>
      </c>
      <c r="E2798" s="4">
        <v>100</v>
      </c>
      <c r="F2798" s="2">
        <v>100</v>
      </c>
      <c r="G2798" s="2">
        <v>70</v>
      </c>
      <c r="I2798" s="2" t="s">
        <v>64</v>
      </c>
      <c r="J2798" s="2" t="s">
        <v>65</v>
      </c>
      <c r="K2798" t="s">
        <v>18</v>
      </c>
      <c r="L2798" t="str">
        <f t="shared" si="122"/>
        <v>9791162589724</v>
      </c>
      <c r="M2798" t="str">
        <f t="shared" si="121"/>
        <v/>
      </c>
      <c r="N2798" t="s">
        <v>2696</v>
      </c>
    </row>
    <row r="2799" spans="1:14">
      <c r="A2799" s="1">
        <v>46077.41265046296</v>
      </c>
      <c r="B2799">
        <v>370130204</v>
      </c>
      <c r="C2799" s="2" t="s">
        <v>982</v>
      </c>
      <c r="D2799" t="s">
        <v>68</v>
      </c>
      <c r="E2799" s="4">
        <v>0</v>
      </c>
      <c r="F2799" s="2">
        <v>0</v>
      </c>
      <c r="G2799" s="2">
        <v>0</v>
      </c>
      <c r="I2799" s="2" t="s">
        <v>244</v>
      </c>
      <c r="J2799" s="2" t="s">
        <v>245</v>
      </c>
      <c r="K2799" t="s">
        <v>18</v>
      </c>
      <c r="L2799" t="str">
        <f>T("9791164489015")</f>
        <v>9791164489015</v>
      </c>
      <c r="M2799" t="str">
        <f t="shared" si="121"/>
        <v/>
      </c>
      <c r="N2799" t="s">
        <v>983</v>
      </c>
    </row>
    <row r="2800" spans="1:14">
      <c r="A2800" s="1">
        <v>46077.453310185185</v>
      </c>
      <c r="B2800">
        <v>66951456</v>
      </c>
      <c r="C2800" s="2" t="s">
        <v>2697</v>
      </c>
      <c r="D2800" t="s">
        <v>15</v>
      </c>
      <c r="E2800" s="4">
        <v>0</v>
      </c>
      <c r="F2800" s="2">
        <v>0</v>
      </c>
      <c r="G2800" s="2">
        <v>0</v>
      </c>
      <c r="I2800" s="2" t="s">
        <v>2623</v>
      </c>
      <c r="J2800" s="2" t="s">
        <v>227</v>
      </c>
      <c r="K2800" t="s">
        <v>18</v>
      </c>
      <c r="L2800" t="str">
        <f>T("9791157700714")</f>
        <v>9791157700714</v>
      </c>
      <c r="M2800" t="str">
        <f t="shared" si="121"/>
        <v/>
      </c>
    </row>
    <row r="2801" spans="1:14">
      <c r="A2801" s="1">
        <v>46077.50408564815</v>
      </c>
      <c r="B2801">
        <v>365886391</v>
      </c>
      <c r="C2801" s="2" t="s">
        <v>376</v>
      </c>
      <c r="D2801" t="s">
        <v>15</v>
      </c>
      <c r="E2801" s="5">
        <v>1000</v>
      </c>
      <c r="F2801" s="3">
        <v>1000</v>
      </c>
      <c r="G2801" s="2">
        <v>700</v>
      </c>
      <c r="I2801" s="2" t="s">
        <v>286</v>
      </c>
      <c r="J2801" s="2" t="s">
        <v>21</v>
      </c>
      <c r="K2801" t="s">
        <v>18</v>
      </c>
      <c r="L2801" t="str">
        <f>T("9791173014765")</f>
        <v>9791173014765</v>
      </c>
      <c r="M2801" t="str">
        <f t="shared" si="121"/>
        <v/>
      </c>
      <c r="N2801" t="s">
        <v>377</v>
      </c>
    </row>
    <row r="2802" spans="1:14">
      <c r="A2802" s="1">
        <v>46077.506041666667</v>
      </c>
      <c r="B2802">
        <v>251312621</v>
      </c>
      <c r="C2802" s="2" t="s">
        <v>2698</v>
      </c>
      <c r="D2802" t="s">
        <v>15</v>
      </c>
      <c r="E2802" s="5">
        <v>10500</v>
      </c>
      <c r="F2802" s="3">
        <v>10500</v>
      </c>
      <c r="G2802" s="3">
        <v>7350</v>
      </c>
      <c r="I2802" s="2" t="s">
        <v>2699</v>
      </c>
      <c r="J2802" s="2" t="s">
        <v>197</v>
      </c>
      <c r="K2802" t="s">
        <v>18</v>
      </c>
      <c r="L2802" t="str">
        <f>T("9791164978700")</f>
        <v>9791164978700</v>
      </c>
      <c r="M2802" t="str">
        <f t="shared" si="121"/>
        <v/>
      </c>
    </row>
    <row r="2803" spans="1:14">
      <c r="A2803" s="1">
        <v>46077.509988425925</v>
      </c>
      <c r="B2803">
        <v>385347515</v>
      </c>
      <c r="C2803" s="2" t="s">
        <v>304</v>
      </c>
      <c r="D2803" t="s">
        <v>15</v>
      </c>
      <c r="E2803" s="5">
        <v>1300</v>
      </c>
      <c r="F2803" s="3">
        <v>1300</v>
      </c>
      <c r="G2803" s="2">
        <v>910</v>
      </c>
      <c r="I2803" s="2" t="s">
        <v>148</v>
      </c>
      <c r="J2803" s="2" t="s">
        <v>21</v>
      </c>
      <c r="K2803" t="s">
        <v>18</v>
      </c>
      <c r="L2803" t="str">
        <f>T("9791175582521")</f>
        <v>9791175582521</v>
      </c>
      <c r="M2803" t="str">
        <f t="shared" si="121"/>
        <v/>
      </c>
      <c r="N2803" t="s">
        <v>305</v>
      </c>
    </row>
    <row r="2804" spans="1:14">
      <c r="A2804" s="1">
        <v>46077.54278935185</v>
      </c>
      <c r="B2804">
        <v>308166704</v>
      </c>
      <c r="C2804" s="2" t="s">
        <v>2700</v>
      </c>
      <c r="D2804" t="s">
        <v>15</v>
      </c>
      <c r="E2804" s="5">
        <v>2800</v>
      </c>
      <c r="F2804" s="3">
        <v>2800</v>
      </c>
      <c r="G2804" s="3">
        <v>1960</v>
      </c>
      <c r="I2804" s="2" t="s">
        <v>89</v>
      </c>
      <c r="J2804" s="2" t="s">
        <v>2701</v>
      </c>
      <c r="K2804" t="s">
        <v>18</v>
      </c>
      <c r="L2804" t="str">
        <f>T("9791167834928")</f>
        <v>9791167834928</v>
      </c>
      <c r="M2804" t="str">
        <f t="shared" si="121"/>
        <v/>
      </c>
      <c r="N2804" t="s">
        <v>2702</v>
      </c>
    </row>
    <row r="2805" spans="1:14">
      <c r="A2805" s="1">
        <v>46077.992743055554</v>
      </c>
      <c r="B2805">
        <v>308166704</v>
      </c>
      <c r="C2805" s="2" t="s">
        <v>2700</v>
      </c>
      <c r="D2805" t="s">
        <v>15</v>
      </c>
      <c r="E2805" s="5">
        <v>-2800</v>
      </c>
      <c r="F2805" s="3">
        <v>-2800</v>
      </c>
      <c r="G2805" s="3">
        <v>-1960</v>
      </c>
      <c r="H2805" s="1">
        <v>46077.54278935185</v>
      </c>
      <c r="I2805" s="2" t="s">
        <v>89</v>
      </c>
      <c r="J2805" s="2" t="s">
        <v>2701</v>
      </c>
      <c r="K2805" t="s">
        <v>18</v>
      </c>
      <c r="L2805" t="str">
        <f>T("9791167834928")</f>
        <v>9791167834928</v>
      </c>
      <c r="M2805" t="str">
        <f t="shared" si="121"/>
        <v/>
      </c>
      <c r="N2805" t="s">
        <v>2702</v>
      </c>
    </row>
    <row r="2806" spans="1:14">
      <c r="A2806" s="1">
        <v>46077.606898148151</v>
      </c>
      <c r="B2806">
        <v>294075245</v>
      </c>
      <c r="C2806" s="2" t="s">
        <v>1271</v>
      </c>
      <c r="D2806" t="s">
        <v>15</v>
      </c>
      <c r="E2806" s="4">
        <v>0</v>
      </c>
      <c r="F2806" s="2">
        <v>0</v>
      </c>
      <c r="G2806" s="2">
        <v>0</v>
      </c>
      <c r="I2806" s="2" t="s">
        <v>833</v>
      </c>
      <c r="J2806" s="2" t="s">
        <v>65</v>
      </c>
      <c r="K2806" t="s">
        <v>18</v>
      </c>
      <c r="L2806" t="str">
        <f>T("9791137006850")</f>
        <v>9791137006850</v>
      </c>
      <c r="M2806" t="str">
        <f t="shared" si="121"/>
        <v/>
      </c>
      <c r="N2806" t="s">
        <v>1272</v>
      </c>
    </row>
    <row r="2807" spans="1:14">
      <c r="A2807" s="1">
        <v>46077.610462962963</v>
      </c>
      <c r="B2807">
        <v>65706153</v>
      </c>
      <c r="C2807" s="2" t="s">
        <v>2703</v>
      </c>
      <c r="D2807" t="s">
        <v>15</v>
      </c>
      <c r="E2807" s="4">
        <v>0</v>
      </c>
      <c r="F2807" s="2">
        <v>0</v>
      </c>
      <c r="G2807" s="2">
        <v>0</v>
      </c>
      <c r="I2807" s="2" t="s">
        <v>226</v>
      </c>
      <c r="J2807" s="2" t="s">
        <v>227</v>
      </c>
      <c r="K2807" t="s">
        <v>18</v>
      </c>
      <c r="L2807" t="str">
        <f>T("9791157700592")</f>
        <v>9791157700592</v>
      </c>
      <c r="M2807" t="str">
        <f t="shared" si="121"/>
        <v/>
      </c>
    </row>
    <row r="2808" spans="1:14">
      <c r="A2808" s="1">
        <v>46077.613229166665</v>
      </c>
      <c r="B2808">
        <v>82547258</v>
      </c>
      <c r="C2808" s="2" t="s">
        <v>2704</v>
      </c>
      <c r="D2808" t="s">
        <v>15</v>
      </c>
      <c r="E2808" s="4">
        <v>0</v>
      </c>
      <c r="F2808" s="2">
        <v>0</v>
      </c>
      <c r="G2808" s="2">
        <v>0</v>
      </c>
      <c r="I2808" s="2" t="s">
        <v>226</v>
      </c>
      <c r="J2808" s="2" t="s">
        <v>227</v>
      </c>
      <c r="K2808" t="s">
        <v>18</v>
      </c>
      <c r="L2808" t="str">
        <f>T("9791195779802")</f>
        <v>9791195779802</v>
      </c>
      <c r="M2808" t="str">
        <f t="shared" si="121"/>
        <v/>
      </c>
    </row>
    <row r="2809" spans="1:14">
      <c r="A2809" s="1">
        <v>46077.613229166665</v>
      </c>
      <c r="B2809">
        <v>194363075</v>
      </c>
      <c r="C2809" s="2" t="s">
        <v>2705</v>
      </c>
      <c r="D2809" t="s">
        <v>15</v>
      </c>
      <c r="E2809" s="4">
        <v>0</v>
      </c>
      <c r="F2809" s="2">
        <v>0</v>
      </c>
      <c r="G2809" s="2">
        <v>0</v>
      </c>
      <c r="I2809" s="2" t="s">
        <v>226</v>
      </c>
      <c r="J2809" s="2" t="s">
        <v>227</v>
      </c>
      <c r="K2809" t="s">
        <v>18</v>
      </c>
      <c r="L2809" t="str">
        <f>T("9791160398380")</f>
        <v>9791160398380</v>
      </c>
      <c r="M2809" t="str">
        <f t="shared" si="121"/>
        <v/>
      </c>
    </row>
    <row r="2810" spans="1:14">
      <c r="A2810" s="1">
        <v>46077.630266203705</v>
      </c>
      <c r="B2810">
        <v>386453336</v>
      </c>
      <c r="C2810" s="2" t="s">
        <v>2542</v>
      </c>
      <c r="D2810" t="s">
        <v>15</v>
      </c>
      <c r="E2810" s="4">
        <v>0</v>
      </c>
      <c r="F2810" s="2">
        <v>0</v>
      </c>
      <c r="G2810" s="2">
        <v>0</v>
      </c>
      <c r="I2810" s="2" t="s">
        <v>2543</v>
      </c>
      <c r="J2810" s="2" t="s">
        <v>65</v>
      </c>
      <c r="K2810" t="s">
        <v>18</v>
      </c>
      <c r="L2810" t="str">
        <f>T("")</f>
        <v/>
      </c>
      <c r="M2810" t="str">
        <f>T("G720:N+A319-20260106026.M004")</f>
        <v>G720:N+A319-20260106026.M004</v>
      </c>
      <c r="N2810" t="s">
        <v>2544</v>
      </c>
    </row>
    <row r="2811" spans="1:14">
      <c r="A2811" s="1">
        <v>46077.640914351854</v>
      </c>
      <c r="B2811">
        <v>97575296</v>
      </c>
      <c r="C2811" s="2" t="s">
        <v>2706</v>
      </c>
      <c r="D2811" t="s">
        <v>15</v>
      </c>
      <c r="E2811" s="4">
        <v>0</v>
      </c>
      <c r="F2811" s="2">
        <v>0</v>
      </c>
      <c r="G2811" s="2">
        <v>0</v>
      </c>
      <c r="I2811" s="2" t="s">
        <v>2707</v>
      </c>
      <c r="J2811" s="2" t="s">
        <v>227</v>
      </c>
      <c r="K2811" t="s">
        <v>18</v>
      </c>
      <c r="L2811" t="str">
        <f>T("9791160390704")</f>
        <v>9791160390704</v>
      </c>
      <c r="M2811" t="str">
        <f t="shared" ref="M2811:M2823" si="123">T("")</f>
        <v/>
      </c>
    </row>
    <row r="2812" spans="1:14">
      <c r="A2812" s="1">
        <v>46077.642453703702</v>
      </c>
      <c r="B2812">
        <v>334957008</v>
      </c>
      <c r="C2812" s="2" t="s">
        <v>2447</v>
      </c>
      <c r="D2812" t="s">
        <v>15</v>
      </c>
      <c r="E2812" s="4">
        <v>0</v>
      </c>
      <c r="F2812" s="2">
        <v>0</v>
      </c>
      <c r="G2812" s="2">
        <v>0</v>
      </c>
      <c r="I2812" s="2" t="s">
        <v>833</v>
      </c>
      <c r="J2812" s="2" t="s">
        <v>65</v>
      </c>
      <c r="K2812" t="s">
        <v>18</v>
      </c>
      <c r="L2812" t="str">
        <f>T("9791137018761")</f>
        <v>9791137018761</v>
      </c>
      <c r="M2812" t="str">
        <f t="shared" si="123"/>
        <v/>
      </c>
      <c r="N2812" t="s">
        <v>2448</v>
      </c>
    </row>
    <row r="2813" spans="1:14">
      <c r="A2813" s="1">
        <v>46077.692372685182</v>
      </c>
      <c r="B2813">
        <v>384623947</v>
      </c>
      <c r="C2813" s="2" t="s">
        <v>37</v>
      </c>
      <c r="D2813" t="s">
        <v>15</v>
      </c>
      <c r="E2813" s="5">
        <v>1000</v>
      </c>
      <c r="F2813" s="3">
        <v>1000</v>
      </c>
      <c r="G2813" s="2">
        <v>700</v>
      </c>
      <c r="I2813" s="2" t="s">
        <v>38</v>
      </c>
      <c r="J2813" s="2" t="s">
        <v>21</v>
      </c>
      <c r="K2813" t="s">
        <v>18</v>
      </c>
      <c r="L2813" t="str">
        <f>T("9791175582187")</f>
        <v>9791175582187</v>
      </c>
      <c r="M2813" t="str">
        <f t="shared" si="123"/>
        <v/>
      </c>
      <c r="N2813" t="s">
        <v>39</v>
      </c>
    </row>
    <row r="2814" spans="1:14">
      <c r="A2814" s="1">
        <v>46077.708009259259</v>
      </c>
      <c r="B2814">
        <v>386057278</v>
      </c>
      <c r="C2814" s="2" t="s">
        <v>1806</v>
      </c>
      <c r="D2814" t="s">
        <v>68</v>
      </c>
      <c r="E2814" s="5">
        <v>5000</v>
      </c>
      <c r="F2814" s="3">
        <v>5000</v>
      </c>
      <c r="G2814" s="3">
        <v>3500</v>
      </c>
      <c r="I2814" s="2" t="s">
        <v>1772</v>
      </c>
      <c r="J2814" s="2" t="s">
        <v>197</v>
      </c>
      <c r="K2814" t="s">
        <v>18</v>
      </c>
      <c r="L2814" t="str">
        <f>T("9791164093281")</f>
        <v>9791164093281</v>
      </c>
      <c r="M2814" t="str">
        <f t="shared" si="123"/>
        <v/>
      </c>
    </row>
    <row r="2815" spans="1:14">
      <c r="A2815" s="1">
        <v>46077.770185185182</v>
      </c>
      <c r="B2815">
        <v>384623947</v>
      </c>
      <c r="C2815" s="2" t="s">
        <v>37</v>
      </c>
      <c r="D2815" t="s">
        <v>15</v>
      </c>
      <c r="E2815" s="5">
        <v>1000</v>
      </c>
      <c r="F2815" s="3">
        <v>1000</v>
      </c>
      <c r="G2815" s="2">
        <v>700</v>
      </c>
      <c r="I2815" s="2" t="s">
        <v>38</v>
      </c>
      <c r="J2815" s="2" t="s">
        <v>21</v>
      </c>
      <c r="K2815" t="s">
        <v>18</v>
      </c>
      <c r="L2815" t="str">
        <f>T("9791175582187")</f>
        <v>9791175582187</v>
      </c>
      <c r="M2815" t="str">
        <f t="shared" si="123"/>
        <v/>
      </c>
      <c r="N2815" t="s">
        <v>39</v>
      </c>
    </row>
    <row r="2816" spans="1:14">
      <c r="A2816" s="1">
        <v>46077.770185185182</v>
      </c>
      <c r="B2816">
        <v>312661126</v>
      </c>
      <c r="C2816" s="2" t="s">
        <v>2407</v>
      </c>
      <c r="D2816" t="s">
        <v>15</v>
      </c>
      <c r="E2816" s="5">
        <v>1000</v>
      </c>
      <c r="F2816" s="3">
        <v>1000</v>
      </c>
      <c r="G2816" s="2">
        <v>700</v>
      </c>
      <c r="I2816" s="2" t="s">
        <v>877</v>
      </c>
      <c r="J2816" s="2" t="s">
        <v>177</v>
      </c>
      <c r="K2816" t="s">
        <v>18</v>
      </c>
      <c r="L2816" t="str">
        <f>T("9791164798780")</f>
        <v>9791164798780</v>
      </c>
      <c r="M2816" t="str">
        <f t="shared" si="123"/>
        <v/>
      </c>
      <c r="N2816" t="s">
        <v>2408</v>
      </c>
    </row>
    <row r="2817" spans="1:14">
      <c r="A2817" s="1">
        <v>46077.770196759258</v>
      </c>
      <c r="B2817">
        <v>378947390</v>
      </c>
      <c r="C2817" s="2" t="s">
        <v>1104</v>
      </c>
      <c r="D2817" t="s">
        <v>68</v>
      </c>
      <c r="E2817" s="5">
        <v>3360</v>
      </c>
      <c r="F2817" s="3">
        <v>3360</v>
      </c>
      <c r="G2817" s="3">
        <v>2352</v>
      </c>
      <c r="I2817" s="2" t="s">
        <v>1105</v>
      </c>
      <c r="J2817" s="2" t="s">
        <v>197</v>
      </c>
      <c r="K2817" t="s">
        <v>18</v>
      </c>
      <c r="L2817" t="str">
        <f>T("9791172822002")</f>
        <v>9791172822002</v>
      </c>
      <c r="M2817" t="str">
        <f t="shared" si="123"/>
        <v/>
      </c>
    </row>
    <row r="2818" spans="1:14">
      <c r="A2818" s="1">
        <v>46077.782488425924</v>
      </c>
      <c r="B2818">
        <v>380788908</v>
      </c>
      <c r="C2818" s="2" t="s">
        <v>1097</v>
      </c>
      <c r="D2818" t="s">
        <v>15</v>
      </c>
      <c r="E2818" s="5">
        <v>2900</v>
      </c>
      <c r="F2818" s="3">
        <v>2900</v>
      </c>
      <c r="G2818" s="3">
        <v>2030</v>
      </c>
      <c r="I2818" s="2" t="s">
        <v>1098</v>
      </c>
      <c r="J2818" s="2" t="s">
        <v>126</v>
      </c>
      <c r="K2818" t="s">
        <v>18</v>
      </c>
      <c r="L2818" t="str">
        <f>T("9791171502486")</f>
        <v>9791171502486</v>
      </c>
      <c r="M2818" t="str">
        <f t="shared" si="123"/>
        <v/>
      </c>
      <c r="N2818" t="s">
        <v>1099</v>
      </c>
    </row>
    <row r="2819" spans="1:14">
      <c r="A2819" s="1">
        <v>46077.815474537034</v>
      </c>
      <c r="B2819">
        <v>279024570</v>
      </c>
      <c r="C2819" s="2" t="s">
        <v>1039</v>
      </c>
      <c r="D2819" t="s">
        <v>68</v>
      </c>
      <c r="E2819" s="5">
        <v>2000</v>
      </c>
      <c r="F2819" s="3">
        <v>2000</v>
      </c>
      <c r="G2819" s="3">
        <v>1400</v>
      </c>
      <c r="I2819" s="2" t="s">
        <v>1040</v>
      </c>
      <c r="J2819" s="2" t="s">
        <v>126</v>
      </c>
      <c r="K2819" t="s">
        <v>18</v>
      </c>
      <c r="L2819" t="str">
        <f>T("9791164974047")</f>
        <v>9791164974047</v>
      </c>
      <c r="M2819" t="str">
        <f t="shared" si="123"/>
        <v/>
      </c>
    </row>
    <row r="2820" spans="1:14">
      <c r="A2820" s="1">
        <v>46077.830092592594</v>
      </c>
      <c r="B2820">
        <v>313110979</v>
      </c>
      <c r="C2820" s="2" t="s">
        <v>356</v>
      </c>
      <c r="D2820" t="s">
        <v>15</v>
      </c>
      <c r="E2820" s="5">
        <v>3000</v>
      </c>
      <c r="F2820" s="3">
        <v>2700</v>
      </c>
      <c r="G2820" s="3">
        <v>1890</v>
      </c>
      <c r="I2820" s="2" t="s">
        <v>187</v>
      </c>
      <c r="J2820" s="2" t="s">
        <v>188</v>
      </c>
      <c r="K2820" t="s">
        <v>18</v>
      </c>
      <c r="L2820" t="str">
        <f>T("9791164833856")</f>
        <v>9791164833856</v>
      </c>
      <c r="M2820" t="str">
        <f t="shared" si="123"/>
        <v/>
      </c>
      <c r="N2820" t="s">
        <v>357</v>
      </c>
    </row>
    <row r="2821" spans="1:14">
      <c r="A2821" s="1">
        <v>46077.849745370368</v>
      </c>
      <c r="B2821">
        <v>386057277</v>
      </c>
      <c r="C2821" s="2" t="s">
        <v>1609</v>
      </c>
      <c r="D2821" t="s">
        <v>15</v>
      </c>
      <c r="E2821" s="5">
        <v>7500</v>
      </c>
      <c r="F2821" s="3">
        <v>7500</v>
      </c>
      <c r="G2821" s="3">
        <v>5250</v>
      </c>
      <c r="I2821" s="2" t="s">
        <v>1610</v>
      </c>
      <c r="J2821" s="2" t="s">
        <v>197</v>
      </c>
      <c r="K2821" t="s">
        <v>18</v>
      </c>
      <c r="L2821" t="str">
        <f>T("9791164095315")</f>
        <v>9791164095315</v>
      </c>
      <c r="M2821" t="str">
        <f t="shared" si="123"/>
        <v/>
      </c>
    </row>
    <row r="2822" spans="1:14">
      <c r="A2822" s="1">
        <v>46077.882916666669</v>
      </c>
      <c r="B2822">
        <v>370130223</v>
      </c>
      <c r="C2822" s="2" t="s">
        <v>597</v>
      </c>
      <c r="D2822" t="s">
        <v>15</v>
      </c>
      <c r="E2822" s="4">
        <v>0</v>
      </c>
      <c r="F2822" s="2">
        <v>0</v>
      </c>
      <c r="G2822" s="2">
        <v>0</v>
      </c>
      <c r="I2822" s="2" t="s">
        <v>135</v>
      </c>
      <c r="J2822" s="2" t="s">
        <v>65</v>
      </c>
      <c r="K2822" t="s">
        <v>18</v>
      </c>
      <c r="L2822" t="str">
        <f>T("9791137019553")</f>
        <v>9791137019553</v>
      </c>
      <c r="M2822" t="str">
        <f t="shared" si="123"/>
        <v/>
      </c>
      <c r="N2822" t="s">
        <v>598</v>
      </c>
    </row>
    <row r="2823" spans="1:14">
      <c r="A2823" s="1">
        <v>46077.887743055559</v>
      </c>
      <c r="B2823">
        <v>374550001</v>
      </c>
      <c r="C2823" s="2" t="s">
        <v>2708</v>
      </c>
      <c r="D2823" t="s">
        <v>15</v>
      </c>
      <c r="E2823" s="5">
        <v>1000</v>
      </c>
      <c r="F2823" s="3">
        <v>1000</v>
      </c>
      <c r="G2823" s="2">
        <v>700</v>
      </c>
      <c r="I2823" s="2" t="s">
        <v>446</v>
      </c>
      <c r="J2823" s="2" t="s">
        <v>21</v>
      </c>
      <c r="K2823" t="s">
        <v>18</v>
      </c>
      <c r="L2823" t="str">
        <f>T("9791173019739")</f>
        <v>9791173019739</v>
      </c>
      <c r="M2823" t="str">
        <f t="shared" si="123"/>
        <v/>
      </c>
      <c r="N2823" t="s">
        <v>2709</v>
      </c>
    </row>
    <row r="2824" spans="1:14">
      <c r="A2824" s="1">
        <v>46077.907627314817</v>
      </c>
      <c r="B2824">
        <v>386559327</v>
      </c>
      <c r="C2824" s="2" t="s">
        <v>2555</v>
      </c>
      <c r="D2824" t="s">
        <v>15</v>
      </c>
      <c r="E2824" s="5">
        <v>4000</v>
      </c>
      <c r="F2824" s="3">
        <v>3600</v>
      </c>
      <c r="G2824" s="3">
        <v>2520</v>
      </c>
      <c r="I2824" s="2" t="s">
        <v>2536</v>
      </c>
      <c r="J2824" s="2" t="s">
        <v>197</v>
      </c>
      <c r="K2824" t="s">
        <v>18</v>
      </c>
      <c r="L2824" t="str">
        <f>T("")</f>
        <v/>
      </c>
      <c r="M2824" t="str">
        <f>T("G720:N+A319-20251223071")</f>
        <v>G720:N+A319-20251223071</v>
      </c>
    </row>
    <row r="2825" spans="1:14">
      <c r="A2825" s="1">
        <v>46077.913506944446</v>
      </c>
      <c r="B2825">
        <v>370130308</v>
      </c>
      <c r="C2825" s="2" t="s">
        <v>1055</v>
      </c>
      <c r="D2825" t="s">
        <v>68</v>
      </c>
      <c r="E2825" s="4">
        <v>700</v>
      </c>
      <c r="F2825" s="2">
        <v>700</v>
      </c>
      <c r="G2825" s="2">
        <v>490</v>
      </c>
      <c r="I2825" s="2" t="s">
        <v>244</v>
      </c>
      <c r="J2825" s="2" t="s">
        <v>245</v>
      </c>
      <c r="K2825" t="s">
        <v>18</v>
      </c>
      <c r="L2825" t="str">
        <f>T("9791164489022")</f>
        <v>9791164489022</v>
      </c>
      <c r="M2825" t="str">
        <f t="shared" ref="M2825:M2836" si="124">T("")</f>
        <v/>
      </c>
      <c r="N2825" t="s">
        <v>1056</v>
      </c>
    </row>
    <row r="2826" spans="1:14">
      <c r="A2826" s="1">
        <v>46077.917094907411</v>
      </c>
      <c r="B2826">
        <v>277935750</v>
      </c>
      <c r="C2826" s="2" t="s">
        <v>2031</v>
      </c>
      <c r="D2826" t="s">
        <v>15</v>
      </c>
      <c r="E2826" s="4">
        <v>100</v>
      </c>
      <c r="F2826" s="2">
        <v>100</v>
      </c>
      <c r="G2826" s="2">
        <v>70</v>
      </c>
      <c r="I2826" s="2" t="s">
        <v>64</v>
      </c>
      <c r="J2826" s="2" t="s">
        <v>65</v>
      </c>
      <c r="K2826" t="s">
        <v>18</v>
      </c>
      <c r="L2826" t="str">
        <f t="shared" ref="L2826:L2835" si="125">T("9791162589724")</f>
        <v>9791162589724</v>
      </c>
      <c r="M2826" t="str">
        <f t="shared" si="124"/>
        <v/>
      </c>
      <c r="N2826" t="s">
        <v>2032</v>
      </c>
    </row>
    <row r="2827" spans="1:14">
      <c r="A2827" s="1">
        <v>46077.917094907411</v>
      </c>
      <c r="B2827">
        <v>277935737</v>
      </c>
      <c r="C2827" s="2" t="s">
        <v>790</v>
      </c>
      <c r="D2827" t="s">
        <v>15</v>
      </c>
      <c r="E2827" s="4">
        <v>100</v>
      </c>
      <c r="F2827" s="2">
        <v>100</v>
      </c>
      <c r="G2827" s="2">
        <v>70</v>
      </c>
      <c r="I2827" s="2" t="s">
        <v>64</v>
      </c>
      <c r="J2827" s="2" t="s">
        <v>65</v>
      </c>
      <c r="K2827" t="s">
        <v>18</v>
      </c>
      <c r="L2827" t="str">
        <f t="shared" si="125"/>
        <v>9791162589724</v>
      </c>
      <c r="M2827" t="str">
        <f t="shared" si="124"/>
        <v/>
      </c>
      <c r="N2827" t="s">
        <v>791</v>
      </c>
    </row>
    <row r="2828" spans="1:14">
      <c r="A2828" s="1">
        <v>46077.917094907411</v>
      </c>
      <c r="B2828">
        <v>277935740</v>
      </c>
      <c r="C2828" s="2" t="s">
        <v>1437</v>
      </c>
      <c r="D2828" t="s">
        <v>15</v>
      </c>
      <c r="E2828" s="4">
        <v>100</v>
      </c>
      <c r="F2828" s="2">
        <v>100</v>
      </c>
      <c r="G2828" s="2">
        <v>70</v>
      </c>
      <c r="I2828" s="2" t="s">
        <v>64</v>
      </c>
      <c r="J2828" s="2" t="s">
        <v>65</v>
      </c>
      <c r="K2828" t="s">
        <v>18</v>
      </c>
      <c r="L2828" t="str">
        <f t="shared" si="125"/>
        <v>9791162589724</v>
      </c>
      <c r="M2828" t="str">
        <f t="shared" si="124"/>
        <v/>
      </c>
      <c r="N2828" t="s">
        <v>1438</v>
      </c>
    </row>
    <row r="2829" spans="1:14">
      <c r="A2829" s="1">
        <v>46077.917094907411</v>
      </c>
      <c r="B2829">
        <v>277935743</v>
      </c>
      <c r="C2829" s="2" t="s">
        <v>1095</v>
      </c>
      <c r="D2829" t="s">
        <v>15</v>
      </c>
      <c r="E2829" s="4">
        <v>100</v>
      </c>
      <c r="F2829" s="2">
        <v>100</v>
      </c>
      <c r="G2829" s="2">
        <v>70</v>
      </c>
      <c r="I2829" s="2" t="s">
        <v>64</v>
      </c>
      <c r="J2829" s="2" t="s">
        <v>65</v>
      </c>
      <c r="K2829" t="s">
        <v>18</v>
      </c>
      <c r="L2829" t="str">
        <f t="shared" si="125"/>
        <v>9791162589724</v>
      </c>
      <c r="M2829" t="str">
        <f t="shared" si="124"/>
        <v/>
      </c>
      <c r="N2829" t="s">
        <v>1096</v>
      </c>
    </row>
    <row r="2830" spans="1:14">
      <c r="A2830" s="1">
        <v>46077.917094907411</v>
      </c>
      <c r="B2830">
        <v>277935484</v>
      </c>
      <c r="C2830" s="2" t="s">
        <v>1093</v>
      </c>
      <c r="D2830" t="s">
        <v>15</v>
      </c>
      <c r="E2830" s="4">
        <v>100</v>
      </c>
      <c r="F2830" s="2">
        <v>100</v>
      </c>
      <c r="G2830" s="2">
        <v>70</v>
      </c>
      <c r="I2830" s="2" t="s">
        <v>64</v>
      </c>
      <c r="J2830" s="2" t="s">
        <v>65</v>
      </c>
      <c r="K2830" t="s">
        <v>18</v>
      </c>
      <c r="L2830" t="str">
        <f t="shared" si="125"/>
        <v>9791162589724</v>
      </c>
      <c r="M2830" t="str">
        <f t="shared" si="124"/>
        <v/>
      </c>
      <c r="N2830" t="s">
        <v>1094</v>
      </c>
    </row>
    <row r="2831" spans="1:14">
      <c r="A2831" s="1">
        <v>46077.917094907411</v>
      </c>
      <c r="B2831">
        <v>277935487</v>
      </c>
      <c r="C2831" s="2" t="s">
        <v>1443</v>
      </c>
      <c r="D2831" t="s">
        <v>15</v>
      </c>
      <c r="E2831" s="4">
        <v>100</v>
      </c>
      <c r="F2831" s="2">
        <v>100</v>
      </c>
      <c r="G2831" s="2">
        <v>70</v>
      </c>
      <c r="I2831" s="2" t="s">
        <v>64</v>
      </c>
      <c r="J2831" s="2" t="s">
        <v>65</v>
      </c>
      <c r="K2831" t="s">
        <v>18</v>
      </c>
      <c r="L2831" t="str">
        <f t="shared" si="125"/>
        <v>9791162589724</v>
      </c>
      <c r="M2831" t="str">
        <f t="shared" si="124"/>
        <v/>
      </c>
      <c r="N2831" t="s">
        <v>1444</v>
      </c>
    </row>
    <row r="2832" spans="1:14">
      <c r="A2832" s="1">
        <v>46077.917094907411</v>
      </c>
      <c r="B2832">
        <v>277935689</v>
      </c>
      <c r="C2832" s="2" t="s">
        <v>1441</v>
      </c>
      <c r="D2832" t="s">
        <v>15</v>
      </c>
      <c r="E2832" s="4">
        <v>100</v>
      </c>
      <c r="F2832" s="2">
        <v>100</v>
      </c>
      <c r="G2832" s="2">
        <v>70</v>
      </c>
      <c r="I2832" s="2" t="s">
        <v>64</v>
      </c>
      <c r="J2832" s="2" t="s">
        <v>65</v>
      </c>
      <c r="K2832" t="s">
        <v>18</v>
      </c>
      <c r="L2832" t="str">
        <f t="shared" si="125"/>
        <v>9791162589724</v>
      </c>
      <c r="M2832" t="str">
        <f t="shared" si="124"/>
        <v/>
      </c>
      <c r="N2832" t="s">
        <v>1442</v>
      </c>
    </row>
    <row r="2833" spans="1:14">
      <c r="A2833" s="1">
        <v>46077.917094907411</v>
      </c>
      <c r="B2833">
        <v>277935684</v>
      </c>
      <c r="C2833" s="2" t="s">
        <v>1091</v>
      </c>
      <c r="D2833" t="s">
        <v>15</v>
      </c>
      <c r="E2833" s="4">
        <v>100</v>
      </c>
      <c r="F2833" s="2">
        <v>100</v>
      </c>
      <c r="G2833" s="2">
        <v>70</v>
      </c>
      <c r="I2833" s="2" t="s">
        <v>64</v>
      </c>
      <c r="J2833" s="2" t="s">
        <v>65</v>
      </c>
      <c r="K2833" t="s">
        <v>18</v>
      </c>
      <c r="L2833" t="str">
        <f t="shared" si="125"/>
        <v>9791162589724</v>
      </c>
      <c r="M2833" t="str">
        <f t="shared" si="124"/>
        <v/>
      </c>
      <c r="N2833" t="s">
        <v>1092</v>
      </c>
    </row>
    <row r="2834" spans="1:14">
      <c r="A2834" s="1">
        <v>46077.917094907411</v>
      </c>
      <c r="B2834">
        <v>277935640</v>
      </c>
      <c r="C2834" s="2" t="s">
        <v>784</v>
      </c>
      <c r="D2834" t="s">
        <v>15</v>
      </c>
      <c r="E2834" s="4">
        <v>100</v>
      </c>
      <c r="F2834" s="2">
        <v>100</v>
      </c>
      <c r="G2834" s="2">
        <v>70</v>
      </c>
      <c r="I2834" s="2" t="s">
        <v>64</v>
      </c>
      <c r="J2834" s="2" t="s">
        <v>65</v>
      </c>
      <c r="K2834" t="s">
        <v>18</v>
      </c>
      <c r="L2834" t="str">
        <f t="shared" si="125"/>
        <v>9791162589724</v>
      </c>
      <c r="M2834" t="str">
        <f t="shared" si="124"/>
        <v/>
      </c>
      <c r="N2834" t="s">
        <v>785</v>
      </c>
    </row>
    <row r="2835" spans="1:14">
      <c r="A2835" s="1">
        <v>46077.917094907411</v>
      </c>
      <c r="B2835">
        <v>277935645</v>
      </c>
      <c r="C2835" s="2" t="s">
        <v>1439</v>
      </c>
      <c r="D2835" t="s">
        <v>15</v>
      </c>
      <c r="E2835" s="4">
        <v>100</v>
      </c>
      <c r="F2835" s="2">
        <v>100</v>
      </c>
      <c r="G2835" s="2">
        <v>70</v>
      </c>
      <c r="I2835" s="2" t="s">
        <v>64</v>
      </c>
      <c r="J2835" s="2" t="s">
        <v>65</v>
      </c>
      <c r="K2835" t="s">
        <v>18</v>
      </c>
      <c r="L2835" t="str">
        <f t="shared" si="125"/>
        <v>9791162589724</v>
      </c>
      <c r="M2835" t="str">
        <f t="shared" si="124"/>
        <v/>
      </c>
      <c r="N2835" t="s">
        <v>1440</v>
      </c>
    </row>
    <row r="2836" spans="1:14">
      <c r="A2836" s="1">
        <v>46077.926203703704</v>
      </c>
      <c r="B2836">
        <v>318939991</v>
      </c>
      <c r="C2836" s="2" t="s">
        <v>2710</v>
      </c>
      <c r="D2836" t="s">
        <v>15</v>
      </c>
      <c r="E2836" s="5">
        <v>12400</v>
      </c>
      <c r="F2836" s="3">
        <v>12400</v>
      </c>
      <c r="G2836" s="3">
        <v>8680</v>
      </c>
      <c r="I2836" s="2" t="s">
        <v>774</v>
      </c>
      <c r="J2836" s="2" t="s">
        <v>184</v>
      </c>
      <c r="K2836" t="s">
        <v>18</v>
      </c>
      <c r="L2836" t="str">
        <f>T("9791164799664")</f>
        <v>9791164799664</v>
      </c>
      <c r="M2836" t="str">
        <f t="shared" si="124"/>
        <v/>
      </c>
      <c r="N2836" t="s">
        <v>2711</v>
      </c>
    </row>
    <row r="2837" spans="1:14">
      <c r="A2837" s="1">
        <v>46077.935567129629</v>
      </c>
      <c r="B2837">
        <v>386559326</v>
      </c>
      <c r="C2837" s="2" t="s">
        <v>2545</v>
      </c>
      <c r="D2837" t="s">
        <v>68</v>
      </c>
      <c r="E2837" s="5">
        <v>5760</v>
      </c>
      <c r="F2837" s="3">
        <v>5760</v>
      </c>
      <c r="G2837" s="3">
        <v>4032</v>
      </c>
      <c r="I2837" s="2" t="s">
        <v>2546</v>
      </c>
      <c r="J2837" s="2" t="s">
        <v>197</v>
      </c>
      <c r="K2837" t="s">
        <v>18</v>
      </c>
      <c r="L2837" t="str">
        <f>T("")</f>
        <v/>
      </c>
      <c r="M2837" t="str">
        <f>T("G720:N+A319-20251223073")</f>
        <v>G720:N+A319-20251223073</v>
      </c>
    </row>
    <row r="2838" spans="1:14">
      <c r="A2838" s="1">
        <v>46077.937083333331</v>
      </c>
      <c r="B2838">
        <v>200656203</v>
      </c>
      <c r="C2838" s="2" t="s">
        <v>2712</v>
      </c>
      <c r="D2838" t="s">
        <v>15</v>
      </c>
      <c r="E2838" s="4">
        <v>0</v>
      </c>
      <c r="F2838" s="2">
        <v>0</v>
      </c>
      <c r="G2838" s="2">
        <v>0</v>
      </c>
      <c r="I2838" s="2" t="s">
        <v>2713</v>
      </c>
      <c r="J2838" s="2" t="s">
        <v>960</v>
      </c>
      <c r="K2838" t="s">
        <v>18</v>
      </c>
      <c r="L2838" t="str">
        <f>T("")</f>
        <v/>
      </c>
      <c r="M2838" t="str">
        <f>T("")</f>
        <v/>
      </c>
    </row>
    <row r="2839" spans="1:14">
      <c r="A2839" s="1">
        <v>46077.954398148147</v>
      </c>
      <c r="B2839">
        <v>278962390</v>
      </c>
      <c r="C2839" s="2" t="s">
        <v>2130</v>
      </c>
      <c r="D2839" t="s">
        <v>15</v>
      </c>
      <c r="E2839" s="5">
        <v>1000</v>
      </c>
      <c r="F2839" s="3">
        <v>1000</v>
      </c>
      <c r="G2839" s="2">
        <v>700</v>
      </c>
      <c r="I2839" s="2" t="s">
        <v>31</v>
      </c>
      <c r="J2839" s="2" t="s">
        <v>21</v>
      </c>
      <c r="K2839" t="s">
        <v>18</v>
      </c>
      <c r="L2839" t="str">
        <f>T("9791167830005")</f>
        <v>9791167830005</v>
      </c>
      <c r="M2839" t="str">
        <f>T("")</f>
        <v/>
      </c>
    </row>
    <row r="2840" spans="1:14">
      <c r="A2840" s="1">
        <v>46077.960138888891</v>
      </c>
      <c r="B2840">
        <v>385579089</v>
      </c>
      <c r="C2840" s="2" t="s">
        <v>839</v>
      </c>
      <c r="D2840" t="s">
        <v>15</v>
      </c>
      <c r="E2840" s="5">
        <v>1000</v>
      </c>
      <c r="F2840" s="3">
        <v>1000</v>
      </c>
      <c r="G2840" s="2">
        <v>700</v>
      </c>
      <c r="I2840" s="2" t="s">
        <v>835</v>
      </c>
      <c r="J2840" s="2" t="s">
        <v>21</v>
      </c>
      <c r="K2840" t="s">
        <v>18</v>
      </c>
      <c r="L2840" t="str">
        <f>T("")</f>
        <v/>
      </c>
      <c r="M2840" t="str">
        <f>T("G720:N+A311-20251201016.M003")</f>
        <v>G720:N+A311-20251201016.M003</v>
      </c>
      <c r="N2840" t="s">
        <v>840</v>
      </c>
    </row>
    <row r="2841" spans="1:14">
      <c r="A2841" s="1">
        <v>46077.972962962966</v>
      </c>
      <c r="B2841">
        <v>323352599</v>
      </c>
      <c r="C2841" s="2" t="s">
        <v>1800</v>
      </c>
      <c r="D2841" t="s">
        <v>68</v>
      </c>
      <c r="E2841" s="5">
        <v>2250</v>
      </c>
      <c r="F2841" s="3">
        <v>2250</v>
      </c>
      <c r="G2841" s="3">
        <v>1575</v>
      </c>
      <c r="I2841" s="2" t="s">
        <v>1801</v>
      </c>
      <c r="J2841" s="2" t="s">
        <v>126</v>
      </c>
      <c r="K2841" t="s">
        <v>18</v>
      </c>
      <c r="L2841" t="str">
        <f>T("9791171501212")</f>
        <v>9791171501212</v>
      </c>
      <c r="M2841" t="str">
        <f t="shared" ref="M2841:M2847" si="126">T("")</f>
        <v/>
      </c>
    </row>
    <row r="2842" spans="1:14">
      <c r="A2842" s="1">
        <v>46077.992395833331</v>
      </c>
      <c r="B2842">
        <v>312914610</v>
      </c>
      <c r="C2842" s="2" t="s">
        <v>2714</v>
      </c>
      <c r="D2842" t="s">
        <v>15</v>
      </c>
      <c r="E2842" s="5">
        <v>1000</v>
      </c>
      <c r="F2842" s="3">
        <v>1000</v>
      </c>
      <c r="G2842" s="2">
        <v>700</v>
      </c>
      <c r="I2842" s="2" t="s">
        <v>2251</v>
      </c>
      <c r="J2842" s="2" t="s">
        <v>21</v>
      </c>
      <c r="K2842" t="s">
        <v>18</v>
      </c>
      <c r="L2842" t="str">
        <f>T("9791167837196")</f>
        <v>9791167837196</v>
      </c>
      <c r="M2842" t="str">
        <f t="shared" si="126"/>
        <v/>
      </c>
      <c r="N2842" t="s">
        <v>2715</v>
      </c>
    </row>
    <row r="2843" spans="1:14">
      <c r="A2843" s="1">
        <v>46077.992395833331</v>
      </c>
      <c r="B2843">
        <v>308166764</v>
      </c>
      <c r="C2843" s="2" t="s">
        <v>2716</v>
      </c>
      <c r="D2843" t="s">
        <v>15</v>
      </c>
      <c r="E2843" s="5">
        <v>1000</v>
      </c>
      <c r="F2843" s="3">
        <v>1000</v>
      </c>
      <c r="G2843" s="2">
        <v>700</v>
      </c>
      <c r="I2843" s="2" t="s">
        <v>1581</v>
      </c>
      <c r="J2843" s="2" t="s">
        <v>21</v>
      </c>
      <c r="K2843" t="s">
        <v>18</v>
      </c>
      <c r="L2843" t="str">
        <f>T("9791167835505")</f>
        <v>9791167835505</v>
      </c>
      <c r="M2843" t="str">
        <f t="shared" si="126"/>
        <v/>
      </c>
      <c r="N2843" t="s">
        <v>2717</v>
      </c>
    </row>
    <row r="2844" spans="1:14">
      <c r="A2844" s="1">
        <v>46077.992523148147</v>
      </c>
      <c r="B2844">
        <v>383004678</v>
      </c>
      <c r="C2844" s="2" t="s">
        <v>1776</v>
      </c>
      <c r="D2844" t="s">
        <v>68</v>
      </c>
      <c r="E2844" s="5">
        <v>5760</v>
      </c>
      <c r="F2844" s="3">
        <v>5760</v>
      </c>
      <c r="G2844" s="3">
        <v>4032</v>
      </c>
      <c r="I2844" s="2" t="s">
        <v>351</v>
      </c>
      <c r="J2844" s="2" t="s">
        <v>126</v>
      </c>
      <c r="K2844" t="s">
        <v>18</v>
      </c>
      <c r="L2844" t="str">
        <f>T("9791171502950")</f>
        <v>9791171502950</v>
      </c>
      <c r="M2844" t="str">
        <f t="shared" si="126"/>
        <v/>
      </c>
    </row>
    <row r="2845" spans="1:14">
      <c r="A2845" s="1">
        <v>46078.001388888886</v>
      </c>
      <c r="B2845">
        <v>366699561</v>
      </c>
      <c r="C2845" s="2" t="s">
        <v>156</v>
      </c>
      <c r="D2845" t="s">
        <v>15</v>
      </c>
      <c r="E2845" s="5">
        <v>1100</v>
      </c>
      <c r="F2845" s="3">
        <v>1100</v>
      </c>
      <c r="G2845" s="2">
        <v>770</v>
      </c>
      <c r="I2845" s="2" t="s">
        <v>148</v>
      </c>
      <c r="J2845" s="2" t="s">
        <v>21</v>
      </c>
      <c r="K2845" t="s">
        <v>18</v>
      </c>
      <c r="L2845" t="str">
        <f>T("9791173015137")</f>
        <v>9791173015137</v>
      </c>
      <c r="M2845" t="str">
        <f t="shared" si="126"/>
        <v/>
      </c>
      <c r="N2845" t="s">
        <v>157</v>
      </c>
    </row>
    <row r="2846" spans="1:14">
      <c r="A2846" s="1">
        <v>46078.022152777776</v>
      </c>
      <c r="B2846">
        <v>355920115</v>
      </c>
      <c r="C2846" s="2" t="s">
        <v>2037</v>
      </c>
      <c r="D2846" t="s">
        <v>15</v>
      </c>
      <c r="E2846" s="5">
        <v>2500</v>
      </c>
      <c r="F2846" s="3">
        <v>2500</v>
      </c>
      <c r="G2846" s="3">
        <v>1750</v>
      </c>
      <c r="I2846" s="2" t="s">
        <v>2038</v>
      </c>
      <c r="J2846" s="2" t="s">
        <v>2039</v>
      </c>
      <c r="K2846" t="s">
        <v>18</v>
      </c>
      <c r="L2846" t="str">
        <f>T("9791173011702")</f>
        <v>9791173011702</v>
      </c>
      <c r="M2846" t="str">
        <f t="shared" si="126"/>
        <v/>
      </c>
      <c r="N2846" t="s">
        <v>2040</v>
      </c>
    </row>
    <row r="2847" spans="1:14">
      <c r="A2847" s="1">
        <v>46078.031759259262</v>
      </c>
      <c r="B2847">
        <v>271275604</v>
      </c>
      <c r="C2847" s="2" t="s">
        <v>2636</v>
      </c>
      <c r="D2847" t="s">
        <v>15</v>
      </c>
      <c r="E2847" s="5">
        <v>3000</v>
      </c>
      <c r="F2847" s="3">
        <v>3000</v>
      </c>
      <c r="G2847" s="3">
        <v>2100</v>
      </c>
      <c r="I2847" s="2" t="s">
        <v>540</v>
      </c>
      <c r="J2847" s="2" t="s">
        <v>197</v>
      </c>
      <c r="K2847" t="s">
        <v>18</v>
      </c>
      <c r="L2847" t="str">
        <f>T("9791164094288")</f>
        <v>9791164094288</v>
      </c>
      <c r="M2847" t="str">
        <f t="shared" si="126"/>
        <v/>
      </c>
      <c r="N2847" t="s">
        <v>2637</v>
      </c>
    </row>
    <row r="2848" spans="1:14">
      <c r="A2848" s="1">
        <v>46078.031759259262</v>
      </c>
      <c r="B2848">
        <v>386556281</v>
      </c>
      <c r="C2848" s="2" t="s">
        <v>2647</v>
      </c>
      <c r="D2848" t="s">
        <v>15</v>
      </c>
      <c r="E2848" s="5">
        <v>2000</v>
      </c>
      <c r="F2848" s="3">
        <v>1800</v>
      </c>
      <c r="G2848" s="3">
        <v>1260</v>
      </c>
      <c r="I2848" s="2" t="s">
        <v>2536</v>
      </c>
      <c r="J2848" s="2" t="s">
        <v>197</v>
      </c>
      <c r="K2848" t="s">
        <v>18</v>
      </c>
      <c r="L2848" t="str">
        <f>T("")</f>
        <v/>
      </c>
      <c r="M2848" t="str">
        <f>T("G720:N+A319-20251223071.M002")</f>
        <v>G720:N+A319-20251223071.M002</v>
      </c>
      <c r="N2848" t="s">
        <v>2648</v>
      </c>
    </row>
    <row r="2849" spans="1:14">
      <c r="A2849" s="1">
        <v>46078.031759259262</v>
      </c>
      <c r="B2849">
        <v>386556274</v>
      </c>
      <c r="C2849" s="2" t="s">
        <v>2535</v>
      </c>
      <c r="D2849" t="s">
        <v>15</v>
      </c>
      <c r="E2849" s="5">
        <v>2000</v>
      </c>
      <c r="F2849" s="3">
        <v>2000</v>
      </c>
      <c r="G2849" s="3">
        <v>1400</v>
      </c>
      <c r="I2849" s="2" t="s">
        <v>2536</v>
      </c>
      <c r="J2849" s="2" t="s">
        <v>197</v>
      </c>
      <c r="K2849" t="s">
        <v>18</v>
      </c>
      <c r="L2849" t="str">
        <f>T("")</f>
        <v/>
      </c>
      <c r="M2849" t="str">
        <f>T("G720:N+A319-20251223071.M001")</f>
        <v>G720:N+A319-20251223071.M001</v>
      </c>
      <c r="N2849" t="s">
        <v>2537</v>
      </c>
    </row>
    <row r="2850" spans="1:14">
      <c r="A2850" s="1">
        <v>46078.041319444441</v>
      </c>
      <c r="B2850">
        <v>385347797</v>
      </c>
      <c r="C2850" s="2" t="s">
        <v>195</v>
      </c>
      <c r="D2850" t="s">
        <v>15</v>
      </c>
      <c r="E2850" s="4">
        <v>700</v>
      </c>
      <c r="F2850" s="2">
        <v>630</v>
      </c>
      <c r="G2850" s="2">
        <v>441</v>
      </c>
      <c r="I2850" s="2" t="s">
        <v>196</v>
      </c>
      <c r="J2850" s="2" t="s">
        <v>197</v>
      </c>
      <c r="K2850" t="s">
        <v>18</v>
      </c>
      <c r="L2850" t="str">
        <f>T("9791172821937")</f>
        <v>9791172821937</v>
      </c>
      <c r="M2850" t="str">
        <f t="shared" ref="M2850:M2867" si="127">T("")</f>
        <v/>
      </c>
      <c r="N2850" t="s">
        <v>198</v>
      </c>
    </row>
    <row r="2851" spans="1:14">
      <c r="A2851" s="1">
        <v>46078.041319444441</v>
      </c>
      <c r="B2851">
        <v>371345723</v>
      </c>
      <c r="C2851" s="2" t="s">
        <v>525</v>
      </c>
      <c r="D2851" t="s">
        <v>15</v>
      </c>
      <c r="E2851" s="5">
        <v>3300</v>
      </c>
      <c r="F2851" s="3">
        <v>2970</v>
      </c>
      <c r="G2851" s="3">
        <v>2079</v>
      </c>
      <c r="I2851" s="2" t="s">
        <v>196</v>
      </c>
      <c r="J2851" s="2" t="s">
        <v>197</v>
      </c>
      <c r="K2851" t="s">
        <v>18</v>
      </c>
      <c r="L2851" t="str">
        <f>T("9791172821692")</f>
        <v>9791172821692</v>
      </c>
      <c r="M2851" t="str">
        <f t="shared" si="127"/>
        <v/>
      </c>
      <c r="N2851" t="s">
        <v>526</v>
      </c>
    </row>
    <row r="2852" spans="1:14">
      <c r="A2852" s="1">
        <v>46078.052881944444</v>
      </c>
      <c r="B2852">
        <v>194363077</v>
      </c>
      <c r="C2852" s="2" t="s">
        <v>2718</v>
      </c>
      <c r="D2852" t="s">
        <v>15</v>
      </c>
      <c r="E2852" s="5">
        <v>1000</v>
      </c>
      <c r="F2852" s="3">
        <v>1000</v>
      </c>
      <c r="G2852" s="2">
        <v>700</v>
      </c>
      <c r="I2852" s="2" t="s">
        <v>226</v>
      </c>
      <c r="J2852" s="2" t="s">
        <v>227</v>
      </c>
      <c r="K2852" t="s">
        <v>18</v>
      </c>
      <c r="L2852" t="str">
        <f>T("9791160398397")</f>
        <v>9791160398397</v>
      </c>
      <c r="M2852" t="str">
        <f t="shared" si="127"/>
        <v/>
      </c>
    </row>
    <row r="2853" spans="1:14">
      <c r="A2853" s="1">
        <v>46078.052881944444</v>
      </c>
      <c r="B2853">
        <v>194363078</v>
      </c>
      <c r="C2853" s="2" t="s">
        <v>2719</v>
      </c>
      <c r="D2853" t="s">
        <v>15</v>
      </c>
      <c r="E2853" s="5">
        <v>1000</v>
      </c>
      <c r="F2853" s="3">
        <v>1000</v>
      </c>
      <c r="G2853" s="2">
        <v>700</v>
      </c>
      <c r="I2853" s="2" t="s">
        <v>226</v>
      </c>
      <c r="J2853" s="2" t="s">
        <v>227</v>
      </c>
      <c r="K2853" t="s">
        <v>18</v>
      </c>
      <c r="L2853" t="str">
        <f>T("9791160398403")</f>
        <v>9791160398403</v>
      </c>
      <c r="M2853" t="str">
        <f t="shared" si="127"/>
        <v/>
      </c>
    </row>
    <row r="2854" spans="1:14">
      <c r="A2854" s="1">
        <v>46078.113680555558</v>
      </c>
      <c r="B2854">
        <v>378946689</v>
      </c>
      <c r="C2854" s="2" t="s">
        <v>1991</v>
      </c>
      <c r="D2854" t="s">
        <v>15</v>
      </c>
      <c r="E2854" s="5">
        <v>1000</v>
      </c>
      <c r="F2854" s="3">
        <v>1000</v>
      </c>
      <c r="G2854" s="2">
        <v>700</v>
      </c>
      <c r="I2854" s="2" t="s">
        <v>1105</v>
      </c>
      <c r="J2854" s="2" t="s">
        <v>197</v>
      </c>
      <c r="K2854" t="s">
        <v>18</v>
      </c>
      <c r="L2854" t="str">
        <f>T("9791172822026")</f>
        <v>9791172822026</v>
      </c>
      <c r="M2854" t="str">
        <f t="shared" si="127"/>
        <v/>
      </c>
      <c r="N2854" t="s">
        <v>1992</v>
      </c>
    </row>
    <row r="2855" spans="1:14">
      <c r="A2855" s="1">
        <v>46078.118750000001</v>
      </c>
      <c r="B2855">
        <v>300774075</v>
      </c>
      <c r="C2855" s="2" t="s">
        <v>337</v>
      </c>
      <c r="D2855" t="s">
        <v>15</v>
      </c>
      <c r="E2855" s="5">
        <v>4500</v>
      </c>
      <c r="F2855" s="3">
        <v>4500</v>
      </c>
      <c r="G2855" s="3">
        <v>3150</v>
      </c>
      <c r="I2855" s="2" t="s">
        <v>266</v>
      </c>
      <c r="J2855" s="2" t="s">
        <v>126</v>
      </c>
      <c r="K2855" t="s">
        <v>18</v>
      </c>
      <c r="L2855" t="str">
        <f>T("9791164977550")</f>
        <v>9791164977550</v>
      </c>
      <c r="M2855" t="str">
        <f t="shared" si="127"/>
        <v/>
      </c>
      <c r="N2855" t="s">
        <v>338</v>
      </c>
    </row>
    <row r="2856" spans="1:14">
      <c r="A2856" s="1">
        <v>46078.21497685185</v>
      </c>
      <c r="B2856">
        <v>323547334</v>
      </c>
      <c r="C2856" s="2" t="s">
        <v>2720</v>
      </c>
      <c r="D2856" t="s">
        <v>15</v>
      </c>
      <c r="E2856" s="5">
        <v>2000</v>
      </c>
      <c r="F2856" s="3">
        <v>2000</v>
      </c>
      <c r="G2856" s="3">
        <v>1400</v>
      </c>
      <c r="I2856" s="2" t="s">
        <v>547</v>
      </c>
      <c r="J2856" s="2" t="s">
        <v>197</v>
      </c>
      <c r="K2856" t="s">
        <v>18</v>
      </c>
      <c r="L2856" t="str">
        <f>T("9791164098378")</f>
        <v>9791164098378</v>
      </c>
      <c r="M2856" t="str">
        <f t="shared" si="127"/>
        <v/>
      </c>
      <c r="N2856" t="s">
        <v>2721</v>
      </c>
    </row>
    <row r="2857" spans="1:14">
      <c r="A2857" s="1">
        <v>46078.21497685185</v>
      </c>
      <c r="B2857">
        <v>323547331</v>
      </c>
      <c r="C2857" s="2" t="s">
        <v>2722</v>
      </c>
      <c r="D2857" t="s">
        <v>15</v>
      </c>
      <c r="E2857" s="5">
        <v>3400</v>
      </c>
      <c r="F2857" s="3">
        <v>3400</v>
      </c>
      <c r="G2857" s="3">
        <v>2380</v>
      </c>
      <c r="I2857" s="2" t="s">
        <v>547</v>
      </c>
      <c r="J2857" s="2" t="s">
        <v>197</v>
      </c>
      <c r="K2857" t="s">
        <v>18</v>
      </c>
      <c r="L2857" t="str">
        <f>T("9791164098361")</f>
        <v>9791164098361</v>
      </c>
      <c r="M2857" t="str">
        <f t="shared" si="127"/>
        <v/>
      </c>
      <c r="N2857" t="s">
        <v>2723</v>
      </c>
    </row>
    <row r="2858" spans="1:14">
      <c r="A2858" s="1">
        <v>46078.257060185184</v>
      </c>
      <c r="B2858">
        <v>355155067</v>
      </c>
      <c r="C2858" s="2" t="s">
        <v>1208</v>
      </c>
      <c r="D2858" t="s">
        <v>15</v>
      </c>
      <c r="E2858" s="5">
        <v>1000</v>
      </c>
      <c r="F2858" s="3">
        <v>1000</v>
      </c>
      <c r="G2858" s="2">
        <v>700</v>
      </c>
      <c r="I2858" s="2" t="s">
        <v>148</v>
      </c>
      <c r="J2858" s="2" t="s">
        <v>21</v>
      </c>
      <c r="K2858" t="s">
        <v>18</v>
      </c>
      <c r="L2858" t="str">
        <f>T("9791173011184")</f>
        <v>9791173011184</v>
      </c>
      <c r="M2858" t="str">
        <f t="shared" si="127"/>
        <v/>
      </c>
      <c r="N2858" t="s">
        <v>1209</v>
      </c>
    </row>
    <row r="2859" spans="1:14">
      <c r="A2859" s="1">
        <v>46078.257060185184</v>
      </c>
      <c r="B2859">
        <v>366699561</v>
      </c>
      <c r="C2859" s="2" t="s">
        <v>156</v>
      </c>
      <c r="D2859" t="s">
        <v>15</v>
      </c>
      <c r="E2859" s="5">
        <v>1100</v>
      </c>
      <c r="F2859" s="3">
        <v>1100</v>
      </c>
      <c r="G2859" s="2">
        <v>770</v>
      </c>
      <c r="I2859" s="2" t="s">
        <v>148</v>
      </c>
      <c r="J2859" s="2" t="s">
        <v>21</v>
      </c>
      <c r="K2859" t="s">
        <v>18</v>
      </c>
      <c r="L2859" t="str">
        <f>T("9791173015137")</f>
        <v>9791173015137</v>
      </c>
      <c r="M2859" t="str">
        <f t="shared" si="127"/>
        <v/>
      </c>
      <c r="N2859" t="s">
        <v>157</v>
      </c>
    </row>
    <row r="2860" spans="1:14">
      <c r="A2860" s="1">
        <v>46078.257060185184</v>
      </c>
      <c r="B2860">
        <v>360694024</v>
      </c>
      <c r="C2860" s="2" t="s">
        <v>1210</v>
      </c>
      <c r="D2860" t="s">
        <v>15</v>
      </c>
      <c r="E2860" s="5">
        <v>1000</v>
      </c>
      <c r="F2860" s="3">
        <v>1000</v>
      </c>
      <c r="G2860" s="2">
        <v>700</v>
      </c>
      <c r="I2860" s="2" t="s">
        <v>148</v>
      </c>
      <c r="J2860" s="2" t="s">
        <v>21</v>
      </c>
      <c r="K2860" t="s">
        <v>18</v>
      </c>
      <c r="L2860" t="str">
        <f>T("9791173013133")</f>
        <v>9791173013133</v>
      </c>
      <c r="M2860" t="str">
        <f t="shared" si="127"/>
        <v/>
      </c>
      <c r="N2860" t="s">
        <v>1211</v>
      </c>
    </row>
    <row r="2861" spans="1:14">
      <c r="A2861" s="1">
        <v>46078.257060185184</v>
      </c>
      <c r="B2861">
        <v>362753625</v>
      </c>
      <c r="C2861" s="2" t="s">
        <v>268</v>
      </c>
      <c r="D2861" t="s">
        <v>15</v>
      </c>
      <c r="E2861" s="5">
        <v>1000</v>
      </c>
      <c r="F2861" s="3">
        <v>1000</v>
      </c>
      <c r="G2861" s="2">
        <v>700</v>
      </c>
      <c r="I2861" s="2" t="s">
        <v>148</v>
      </c>
      <c r="J2861" s="2" t="s">
        <v>21</v>
      </c>
      <c r="K2861" t="s">
        <v>18</v>
      </c>
      <c r="L2861" t="str">
        <f>T("9791173014116")</f>
        <v>9791173014116</v>
      </c>
      <c r="M2861" t="str">
        <f t="shared" si="127"/>
        <v/>
      </c>
      <c r="N2861" t="s">
        <v>269</v>
      </c>
    </row>
    <row r="2862" spans="1:14">
      <c r="A2862" s="1">
        <v>46078.257060185184</v>
      </c>
      <c r="B2862">
        <v>364579911</v>
      </c>
      <c r="C2862" s="2" t="s">
        <v>1399</v>
      </c>
      <c r="D2862" t="s">
        <v>15</v>
      </c>
      <c r="E2862" s="5">
        <v>1000</v>
      </c>
      <c r="F2862" s="3">
        <v>1000</v>
      </c>
      <c r="G2862" s="2">
        <v>700</v>
      </c>
      <c r="I2862" s="2" t="s">
        <v>148</v>
      </c>
      <c r="J2862" s="2" t="s">
        <v>21</v>
      </c>
      <c r="K2862" t="s">
        <v>18</v>
      </c>
      <c r="L2862" t="str">
        <f>T("9791173014239")</f>
        <v>9791173014239</v>
      </c>
      <c r="M2862" t="str">
        <f t="shared" si="127"/>
        <v/>
      </c>
      <c r="N2862" t="s">
        <v>1400</v>
      </c>
    </row>
    <row r="2863" spans="1:14">
      <c r="A2863" s="1">
        <v>46078.257060185184</v>
      </c>
      <c r="B2863">
        <v>372487137</v>
      </c>
      <c r="C2863" s="2" t="s">
        <v>147</v>
      </c>
      <c r="D2863" t="s">
        <v>15</v>
      </c>
      <c r="E2863" s="5">
        <v>1000</v>
      </c>
      <c r="F2863" s="3">
        <v>1000</v>
      </c>
      <c r="G2863" s="2">
        <v>700</v>
      </c>
      <c r="I2863" s="2" t="s">
        <v>148</v>
      </c>
      <c r="J2863" s="2" t="s">
        <v>21</v>
      </c>
      <c r="K2863" t="s">
        <v>18</v>
      </c>
      <c r="L2863" t="str">
        <f>T("9791173017797")</f>
        <v>9791173017797</v>
      </c>
      <c r="M2863" t="str">
        <f t="shared" si="127"/>
        <v/>
      </c>
      <c r="N2863" t="s">
        <v>149</v>
      </c>
    </row>
    <row r="2864" spans="1:14">
      <c r="A2864" s="1">
        <v>46078.257060185184</v>
      </c>
      <c r="B2864">
        <v>382626257</v>
      </c>
      <c r="C2864" s="2" t="s">
        <v>152</v>
      </c>
      <c r="D2864" t="s">
        <v>15</v>
      </c>
      <c r="E2864" s="5">
        <v>1000</v>
      </c>
      <c r="F2864" s="3">
        <v>1000</v>
      </c>
      <c r="G2864" s="2">
        <v>700</v>
      </c>
      <c r="I2864" s="2" t="s">
        <v>148</v>
      </c>
      <c r="J2864" s="2" t="s">
        <v>21</v>
      </c>
      <c r="K2864" t="s">
        <v>18</v>
      </c>
      <c r="L2864" t="str">
        <f>T("9791175581906")</f>
        <v>9791175581906</v>
      </c>
      <c r="M2864" t="str">
        <f t="shared" si="127"/>
        <v/>
      </c>
      <c r="N2864" t="s">
        <v>153</v>
      </c>
    </row>
    <row r="2865" spans="1:14">
      <c r="A2865" s="1">
        <v>46078.257060185184</v>
      </c>
      <c r="B2865">
        <v>379527576</v>
      </c>
      <c r="C2865" s="2" t="s">
        <v>150</v>
      </c>
      <c r="D2865" t="s">
        <v>15</v>
      </c>
      <c r="E2865" s="5">
        <v>1000</v>
      </c>
      <c r="F2865" s="3">
        <v>1000</v>
      </c>
      <c r="G2865" s="2">
        <v>700</v>
      </c>
      <c r="I2865" s="2" t="s">
        <v>148</v>
      </c>
      <c r="J2865" s="2" t="s">
        <v>21</v>
      </c>
      <c r="K2865" t="s">
        <v>18</v>
      </c>
      <c r="L2865" t="str">
        <f>T("9791175580541")</f>
        <v>9791175580541</v>
      </c>
      <c r="M2865" t="str">
        <f t="shared" si="127"/>
        <v/>
      </c>
      <c r="N2865" t="s">
        <v>151</v>
      </c>
    </row>
    <row r="2866" spans="1:14">
      <c r="A2866" s="1">
        <v>46078.257060185184</v>
      </c>
      <c r="B2866">
        <v>308166593</v>
      </c>
      <c r="C2866" s="2" t="s">
        <v>2724</v>
      </c>
      <c r="D2866" t="s">
        <v>15</v>
      </c>
      <c r="E2866" s="5">
        <v>1100</v>
      </c>
      <c r="F2866" s="3">
        <v>1100</v>
      </c>
      <c r="G2866" s="2">
        <v>770</v>
      </c>
      <c r="I2866" s="2" t="s">
        <v>2251</v>
      </c>
      <c r="J2866" s="2" t="s">
        <v>21</v>
      </c>
      <c r="K2866" t="s">
        <v>18</v>
      </c>
      <c r="L2866" t="str">
        <f>T("9791167836298")</f>
        <v>9791167836298</v>
      </c>
      <c r="M2866" t="str">
        <f t="shared" si="127"/>
        <v/>
      </c>
      <c r="N2866" t="s">
        <v>2725</v>
      </c>
    </row>
    <row r="2867" spans="1:14">
      <c r="A2867" s="1">
        <v>46078.260208333333</v>
      </c>
      <c r="B2867">
        <v>386934245</v>
      </c>
      <c r="C2867" s="2" t="s">
        <v>2649</v>
      </c>
      <c r="D2867" t="s">
        <v>15</v>
      </c>
      <c r="E2867" s="4">
        <v>0</v>
      </c>
      <c r="F2867" s="2">
        <v>0</v>
      </c>
      <c r="G2867" s="2">
        <v>0</v>
      </c>
      <c r="I2867" s="2" t="s">
        <v>2650</v>
      </c>
      <c r="J2867" s="2" t="s">
        <v>245</v>
      </c>
      <c r="K2867" t="s">
        <v>18</v>
      </c>
      <c r="L2867" t="str">
        <f>T("9791170939771")</f>
        <v>9791170939771</v>
      </c>
      <c r="M2867" t="str">
        <f t="shared" si="127"/>
        <v/>
      </c>
      <c r="N2867" t="s">
        <v>2651</v>
      </c>
    </row>
    <row r="2868" spans="1:14">
      <c r="A2868" s="1">
        <v>46078.328761574077</v>
      </c>
      <c r="B2868">
        <v>386453336</v>
      </c>
      <c r="C2868" s="2" t="s">
        <v>2542</v>
      </c>
      <c r="D2868" t="s">
        <v>15</v>
      </c>
      <c r="E2868" s="4">
        <v>0</v>
      </c>
      <c r="F2868" s="2">
        <v>0</v>
      </c>
      <c r="G2868" s="2">
        <v>0</v>
      </c>
      <c r="I2868" s="2" t="s">
        <v>2543</v>
      </c>
      <c r="J2868" s="2" t="s">
        <v>65</v>
      </c>
      <c r="K2868" t="s">
        <v>18</v>
      </c>
      <c r="L2868" t="str">
        <f>T("")</f>
        <v/>
      </c>
      <c r="M2868" t="str">
        <f>T("G720:N+A319-20260106026.M004")</f>
        <v>G720:N+A319-20260106026.M004</v>
      </c>
      <c r="N2868" t="s">
        <v>2544</v>
      </c>
    </row>
    <row r="2869" spans="1:14">
      <c r="A2869" s="1">
        <v>46078.367164351854</v>
      </c>
      <c r="B2869">
        <v>345846902</v>
      </c>
      <c r="C2869" s="2" t="s">
        <v>2726</v>
      </c>
      <c r="D2869" t="s">
        <v>68</v>
      </c>
      <c r="E2869" s="5">
        <v>2800</v>
      </c>
      <c r="F2869" s="3">
        <v>2800</v>
      </c>
      <c r="G2869" s="3">
        <v>1960</v>
      </c>
      <c r="I2869" s="2" t="s">
        <v>2727</v>
      </c>
      <c r="J2869" s="2" t="s">
        <v>184</v>
      </c>
      <c r="K2869" t="s">
        <v>18</v>
      </c>
      <c r="L2869" t="str">
        <f>T("9791164799961")</f>
        <v>9791164799961</v>
      </c>
      <c r="M2869" t="str">
        <f t="shared" ref="M2869:M2881" si="128">T("")</f>
        <v/>
      </c>
    </row>
    <row r="2870" spans="1:14">
      <c r="A2870" s="1">
        <v>46078.385798611111</v>
      </c>
      <c r="B2870">
        <v>370130271</v>
      </c>
      <c r="C2870" s="2" t="s">
        <v>1151</v>
      </c>
      <c r="D2870" t="s">
        <v>68</v>
      </c>
      <c r="E2870" s="4">
        <v>700</v>
      </c>
      <c r="F2870" s="2">
        <v>700</v>
      </c>
      <c r="G2870" s="2">
        <v>490</v>
      </c>
      <c r="I2870" s="2" t="s">
        <v>244</v>
      </c>
      <c r="J2870" s="2" t="s">
        <v>245</v>
      </c>
      <c r="K2870" t="s">
        <v>18</v>
      </c>
      <c r="L2870" t="str">
        <f>T("9791164489091")</f>
        <v>9791164489091</v>
      </c>
      <c r="M2870" t="str">
        <f t="shared" si="128"/>
        <v/>
      </c>
      <c r="N2870" t="s">
        <v>1152</v>
      </c>
    </row>
    <row r="2871" spans="1:14">
      <c r="A2871" s="1">
        <v>46078.387060185189</v>
      </c>
      <c r="B2871">
        <v>334115237</v>
      </c>
      <c r="C2871" s="2" t="s">
        <v>1908</v>
      </c>
      <c r="D2871" t="s">
        <v>15</v>
      </c>
      <c r="E2871" s="5">
        <v>13300</v>
      </c>
      <c r="F2871" s="3">
        <v>13300</v>
      </c>
      <c r="G2871" s="3">
        <v>9310</v>
      </c>
      <c r="I2871" s="2" t="s">
        <v>1909</v>
      </c>
      <c r="J2871" s="2" t="s">
        <v>1910</v>
      </c>
      <c r="K2871" t="s">
        <v>18</v>
      </c>
      <c r="L2871" t="str">
        <f>T("9791198362858")</f>
        <v>9791198362858</v>
      </c>
      <c r="M2871" t="str">
        <f t="shared" si="128"/>
        <v/>
      </c>
      <c r="N2871" t="s">
        <v>1911</v>
      </c>
    </row>
    <row r="2872" spans="1:14">
      <c r="A2872" s="1">
        <v>46079.683368055557</v>
      </c>
      <c r="B2872">
        <v>334115237</v>
      </c>
      <c r="C2872" s="2" t="s">
        <v>1908</v>
      </c>
      <c r="D2872" t="s">
        <v>15</v>
      </c>
      <c r="E2872" s="5">
        <v>-13300</v>
      </c>
      <c r="F2872" s="3">
        <v>-13300</v>
      </c>
      <c r="G2872" s="3">
        <v>-9310</v>
      </c>
      <c r="H2872" s="1">
        <v>46078.387060185189</v>
      </c>
      <c r="I2872" s="2" t="s">
        <v>1909</v>
      </c>
      <c r="J2872" s="2" t="s">
        <v>1910</v>
      </c>
      <c r="K2872" t="s">
        <v>18</v>
      </c>
      <c r="L2872" t="str">
        <f>T("9791198362858")</f>
        <v>9791198362858</v>
      </c>
      <c r="M2872" t="str">
        <f t="shared" si="128"/>
        <v/>
      </c>
      <c r="N2872" t="s">
        <v>1911</v>
      </c>
    </row>
    <row r="2873" spans="1:14">
      <c r="A2873" s="1">
        <v>46078.436041666668</v>
      </c>
      <c r="B2873">
        <v>386057127</v>
      </c>
      <c r="C2873" s="2" t="s">
        <v>1737</v>
      </c>
      <c r="D2873" t="s">
        <v>68</v>
      </c>
      <c r="E2873" s="5">
        <v>15360</v>
      </c>
      <c r="F2873" s="3">
        <v>15360</v>
      </c>
      <c r="G2873" s="3">
        <v>10752</v>
      </c>
      <c r="I2873" s="2" t="s">
        <v>1738</v>
      </c>
      <c r="J2873" s="2" t="s">
        <v>856</v>
      </c>
      <c r="K2873" t="s">
        <v>18</v>
      </c>
      <c r="L2873" t="str">
        <f>T("9791171567522")</f>
        <v>9791171567522</v>
      </c>
      <c r="M2873" t="str">
        <f t="shared" si="128"/>
        <v/>
      </c>
    </row>
    <row r="2874" spans="1:14">
      <c r="A2874" s="1">
        <v>46078.477025462962</v>
      </c>
      <c r="B2874">
        <v>370130005</v>
      </c>
      <c r="C2874" s="2" t="s">
        <v>633</v>
      </c>
      <c r="D2874" t="s">
        <v>15</v>
      </c>
      <c r="E2874" s="5">
        <v>3600</v>
      </c>
      <c r="F2874" s="3">
        <v>3600</v>
      </c>
      <c r="G2874" s="3">
        <v>2520</v>
      </c>
      <c r="I2874" s="2" t="s">
        <v>135</v>
      </c>
      <c r="J2874" s="2" t="s">
        <v>65</v>
      </c>
      <c r="K2874" t="s">
        <v>18</v>
      </c>
      <c r="L2874" t="str">
        <f>T("9791137010253")</f>
        <v>9791137010253</v>
      </c>
      <c r="M2874" t="str">
        <f t="shared" si="128"/>
        <v/>
      </c>
      <c r="N2874" t="s">
        <v>634</v>
      </c>
    </row>
    <row r="2875" spans="1:14">
      <c r="A2875" s="1">
        <v>46078.48238425926</v>
      </c>
      <c r="B2875">
        <v>379511327</v>
      </c>
      <c r="C2875" s="2" t="s">
        <v>262</v>
      </c>
      <c r="D2875" t="s">
        <v>15</v>
      </c>
      <c r="E2875" s="5">
        <v>3300</v>
      </c>
      <c r="F2875" s="3">
        <v>3300</v>
      </c>
      <c r="G2875" s="3">
        <v>2310</v>
      </c>
      <c r="I2875" s="2" t="s">
        <v>263</v>
      </c>
      <c r="J2875" s="2" t="s">
        <v>126</v>
      </c>
      <c r="K2875" t="s">
        <v>18</v>
      </c>
      <c r="L2875" t="str">
        <f>T("9791171502875")</f>
        <v>9791171502875</v>
      </c>
      <c r="M2875" t="str">
        <f t="shared" si="128"/>
        <v/>
      </c>
      <c r="N2875" t="s">
        <v>264</v>
      </c>
    </row>
    <row r="2876" spans="1:14">
      <c r="A2876" s="1">
        <v>46078.48678240741</v>
      </c>
      <c r="B2876">
        <v>385852543</v>
      </c>
      <c r="C2876" s="2" t="s">
        <v>1200</v>
      </c>
      <c r="D2876" t="s">
        <v>15</v>
      </c>
      <c r="E2876" s="5">
        <v>3000</v>
      </c>
      <c r="F2876" s="3">
        <v>3000</v>
      </c>
      <c r="G2876" s="3">
        <v>2100</v>
      </c>
      <c r="I2876" s="2" t="s">
        <v>1198</v>
      </c>
      <c r="J2876" s="2" t="s">
        <v>21</v>
      </c>
      <c r="K2876" t="s">
        <v>18</v>
      </c>
      <c r="L2876" t="str">
        <f>T("9791175582941")</f>
        <v>9791175582941</v>
      </c>
      <c r="M2876" t="str">
        <f t="shared" si="128"/>
        <v/>
      </c>
      <c r="N2876" t="s">
        <v>1201</v>
      </c>
    </row>
    <row r="2877" spans="1:14">
      <c r="A2877" s="1">
        <v>46078.48678240741</v>
      </c>
      <c r="B2877">
        <v>385852507</v>
      </c>
      <c r="C2877" s="2" t="s">
        <v>1197</v>
      </c>
      <c r="D2877" t="s">
        <v>15</v>
      </c>
      <c r="E2877" s="5">
        <v>3000</v>
      </c>
      <c r="F2877" s="3">
        <v>3000</v>
      </c>
      <c r="G2877" s="3">
        <v>2100</v>
      </c>
      <c r="I2877" s="2" t="s">
        <v>1198</v>
      </c>
      <c r="J2877" s="2" t="s">
        <v>21</v>
      </c>
      <c r="K2877" t="s">
        <v>18</v>
      </c>
      <c r="L2877" t="str">
        <f>T("9791175582958")</f>
        <v>9791175582958</v>
      </c>
      <c r="M2877" t="str">
        <f t="shared" si="128"/>
        <v/>
      </c>
      <c r="N2877" t="s">
        <v>1199</v>
      </c>
    </row>
    <row r="2878" spans="1:14">
      <c r="A2878" s="1">
        <v>46078.524282407408</v>
      </c>
      <c r="B2878">
        <v>361617006</v>
      </c>
      <c r="C2878" s="2" t="s">
        <v>2728</v>
      </c>
      <c r="D2878" t="s">
        <v>15</v>
      </c>
      <c r="E2878" s="5">
        <v>1000</v>
      </c>
      <c r="F2878" s="3">
        <v>1000</v>
      </c>
      <c r="G2878" s="2">
        <v>700</v>
      </c>
      <c r="I2878" s="2" t="s">
        <v>2729</v>
      </c>
      <c r="J2878" s="2" t="s">
        <v>177</v>
      </c>
      <c r="K2878" t="s">
        <v>18</v>
      </c>
      <c r="L2878" t="str">
        <f>T("9791170964216")</f>
        <v>9791170964216</v>
      </c>
      <c r="M2878" t="str">
        <f t="shared" si="128"/>
        <v/>
      </c>
      <c r="N2878" t="s">
        <v>2730</v>
      </c>
    </row>
    <row r="2879" spans="1:14">
      <c r="A2879" s="1">
        <v>46078.554710648146</v>
      </c>
      <c r="B2879">
        <v>379527571</v>
      </c>
      <c r="C2879" s="2" t="s">
        <v>139</v>
      </c>
      <c r="D2879" t="s">
        <v>15</v>
      </c>
      <c r="E2879" s="5">
        <v>1000</v>
      </c>
      <c r="F2879" s="3">
        <v>1000</v>
      </c>
      <c r="G2879" s="2">
        <v>700</v>
      </c>
      <c r="I2879" s="2" t="s">
        <v>28</v>
      </c>
      <c r="J2879" s="2" t="s">
        <v>21</v>
      </c>
      <c r="K2879" t="s">
        <v>18</v>
      </c>
      <c r="L2879" t="str">
        <f>T("9791175580626")</f>
        <v>9791175580626</v>
      </c>
      <c r="M2879" t="str">
        <f t="shared" si="128"/>
        <v/>
      </c>
      <c r="N2879" t="s">
        <v>140</v>
      </c>
    </row>
    <row r="2880" spans="1:14">
      <c r="A2880" s="1">
        <v>46078.567384259259</v>
      </c>
      <c r="B2880">
        <v>368640530</v>
      </c>
      <c r="C2880" s="2" t="s">
        <v>480</v>
      </c>
      <c r="D2880" t="s">
        <v>15</v>
      </c>
      <c r="E2880" s="5">
        <v>12950</v>
      </c>
      <c r="F2880" s="3">
        <v>12950</v>
      </c>
      <c r="G2880" s="3">
        <v>9065</v>
      </c>
      <c r="I2880" s="2" t="s">
        <v>481</v>
      </c>
      <c r="J2880" s="2" t="s">
        <v>184</v>
      </c>
      <c r="K2880" t="s">
        <v>18</v>
      </c>
      <c r="L2880" t="str">
        <f>T("9791170964636")</f>
        <v>9791170964636</v>
      </c>
      <c r="M2880" t="str">
        <f t="shared" si="128"/>
        <v/>
      </c>
      <c r="N2880" t="s">
        <v>482</v>
      </c>
    </row>
    <row r="2881" spans="1:14">
      <c r="A2881" s="1">
        <v>46078.593124999999</v>
      </c>
      <c r="B2881">
        <v>375539691</v>
      </c>
      <c r="C2881" s="2" t="s">
        <v>2673</v>
      </c>
      <c r="D2881" t="s">
        <v>15</v>
      </c>
      <c r="E2881" s="5">
        <v>1000</v>
      </c>
      <c r="F2881" s="3">
        <v>1000</v>
      </c>
      <c r="G2881" s="2">
        <v>700</v>
      </c>
      <c r="I2881" s="2" t="s">
        <v>496</v>
      </c>
      <c r="J2881" s="2" t="s">
        <v>21</v>
      </c>
      <c r="K2881" t="s">
        <v>18</v>
      </c>
      <c r="L2881" t="str">
        <f>T("9791173018213")</f>
        <v>9791173018213</v>
      </c>
      <c r="M2881" t="str">
        <f t="shared" si="128"/>
        <v/>
      </c>
      <c r="N2881" t="s">
        <v>2674</v>
      </c>
    </row>
    <row r="2882" spans="1:14">
      <c r="A2882" s="1">
        <v>46078.61613425926</v>
      </c>
      <c r="B2882">
        <v>386556274</v>
      </c>
      <c r="C2882" s="2" t="s">
        <v>2535</v>
      </c>
      <c r="D2882" t="s">
        <v>15</v>
      </c>
      <c r="E2882" s="5">
        <v>2000</v>
      </c>
      <c r="F2882" s="3">
        <v>2000</v>
      </c>
      <c r="G2882" s="3">
        <v>1400</v>
      </c>
      <c r="I2882" s="2" t="s">
        <v>2536</v>
      </c>
      <c r="J2882" s="2" t="s">
        <v>197</v>
      </c>
      <c r="K2882" t="s">
        <v>18</v>
      </c>
      <c r="L2882" t="str">
        <f>T("")</f>
        <v/>
      </c>
      <c r="M2882" t="str">
        <f>T("G720:N+A319-20251223071.M001")</f>
        <v>G720:N+A319-20251223071.M001</v>
      </c>
      <c r="N2882" t="s">
        <v>2537</v>
      </c>
    </row>
    <row r="2883" spans="1:14">
      <c r="A2883" s="1">
        <v>46078.638460648152</v>
      </c>
      <c r="B2883">
        <v>386057278</v>
      </c>
      <c r="C2883" s="2" t="s">
        <v>1806</v>
      </c>
      <c r="D2883" t="s">
        <v>68</v>
      </c>
      <c r="E2883" s="5">
        <v>5000</v>
      </c>
      <c r="F2883" s="3">
        <v>5000</v>
      </c>
      <c r="G2883" s="3">
        <v>3500</v>
      </c>
      <c r="I2883" s="2" t="s">
        <v>1772</v>
      </c>
      <c r="J2883" s="2" t="s">
        <v>197</v>
      </c>
      <c r="K2883" t="s">
        <v>18</v>
      </c>
      <c r="L2883" t="str">
        <f>T("9791164093281")</f>
        <v>9791164093281</v>
      </c>
      <c r="M2883" t="str">
        <f t="shared" ref="M2883:M2892" si="129">T("")</f>
        <v/>
      </c>
    </row>
    <row r="2884" spans="1:14">
      <c r="A2884" s="1">
        <v>46078.638460648152</v>
      </c>
      <c r="B2884">
        <v>386057279</v>
      </c>
      <c r="C2884" s="2" t="s">
        <v>2303</v>
      </c>
      <c r="D2884" t="s">
        <v>68</v>
      </c>
      <c r="E2884" s="5">
        <v>7500</v>
      </c>
      <c r="F2884" s="3">
        <v>7500</v>
      </c>
      <c r="G2884" s="3">
        <v>5250</v>
      </c>
      <c r="I2884" s="2" t="s">
        <v>1772</v>
      </c>
      <c r="J2884" s="2" t="s">
        <v>197</v>
      </c>
      <c r="K2884" t="s">
        <v>18</v>
      </c>
      <c r="L2884" t="str">
        <f>T("9791164093304")</f>
        <v>9791164093304</v>
      </c>
      <c r="M2884" t="str">
        <f t="shared" si="129"/>
        <v/>
      </c>
    </row>
    <row r="2885" spans="1:14">
      <c r="A2885" s="1">
        <v>46078.682893518519</v>
      </c>
      <c r="B2885">
        <v>300832878</v>
      </c>
      <c r="C2885" s="2" t="s">
        <v>937</v>
      </c>
      <c r="D2885" t="s">
        <v>15</v>
      </c>
      <c r="E2885" s="5">
        <v>1500</v>
      </c>
      <c r="F2885" s="3">
        <v>1500</v>
      </c>
      <c r="G2885" s="3">
        <v>1050</v>
      </c>
      <c r="I2885" s="2" t="s">
        <v>938</v>
      </c>
      <c r="J2885" s="2" t="s">
        <v>126</v>
      </c>
      <c r="K2885" t="s">
        <v>18</v>
      </c>
      <c r="L2885" t="str">
        <f>T("9791164977437")</f>
        <v>9791164977437</v>
      </c>
      <c r="M2885" t="str">
        <f t="shared" si="129"/>
        <v/>
      </c>
      <c r="N2885" t="s">
        <v>939</v>
      </c>
    </row>
    <row r="2886" spans="1:14">
      <c r="A2886" s="1">
        <v>46078.689444444448</v>
      </c>
      <c r="B2886">
        <v>348957886</v>
      </c>
      <c r="C2886" s="2" t="s">
        <v>2731</v>
      </c>
      <c r="D2886" t="s">
        <v>15</v>
      </c>
      <c r="E2886" s="5">
        <v>1100</v>
      </c>
      <c r="F2886" s="3">
        <v>1100</v>
      </c>
      <c r="G2886" s="2">
        <v>770</v>
      </c>
      <c r="I2886" s="2" t="s">
        <v>281</v>
      </c>
      <c r="J2886" s="2" t="s">
        <v>21</v>
      </c>
      <c r="K2886" t="s">
        <v>18</v>
      </c>
      <c r="L2886" t="str">
        <f>T("9791170899877")</f>
        <v>9791170899877</v>
      </c>
      <c r="M2886" t="str">
        <f t="shared" si="129"/>
        <v/>
      </c>
      <c r="N2886" t="s">
        <v>2732</v>
      </c>
    </row>
    <row r="2887" spans="1:14">
      <c r="A2887" s="1">
        <v>46078.700254629628</v>
      </c>
      <c r="B2887">
        <v>385852507</v>
      </c>
      <c r="C2887" s="2" t="s">
        <v>1197</v>
      </c>
      <c r="D2887" t="s">
        <v>15</v>
      </c>
      <c r="E2887" s="5">
        <v>3000</v>
      </c>
      <c r="F2887" s="3">
        <v>3000</v>
      </c>
      <c r="G2887" s="3">
        <v>2100</v>
      </c>
      <c r="I2887" s="2" t="s">
        <v>1198</v>
      </c>
      <c r="J2887" s="2" t="s">
        <v>21</v>
      </c>
      <c r="K2887" t="s">
        <v>18</v>
      </c>
      <c r="L2887" t="str">
        <f>T("9791175582958")</f>
        <v>9791175582958</v>
      </c>
      <c r="M2887" t="str">
        <f t="shared" si="129"/>
        <v/>
      </c>
      <c r="N2887" t="s">
        <v>1199</v>
      </c>
    </row>
    <row r="2888" spans="1:14">
      <c r="A2888" s="1">
        <v>46078.700254629628</v>
      </c>
      <c r="B2888">
        <v>385852543</v>
      </c>
      <c r="C2888" s="2" t="s">
        <v>1200</v>
      </c>
      <c r="D2888" t="s">
        <v>15</v>
      </c>
      <c r="E2888" s="5">
        <v>3000</v>
      </c>
      <c r="F2888" s="3">
        <v>3000</v>
      </c>
      <c r="G2888" s="3">
        <v>2100</v>
      </c>
      <c r="I2888" s="2" t="s">
        <v>1198</v>
      </c>
      <c r="J2888" s="2" t="s">
        <v>21</v>
      </c>
      <c r="K2888" t="s">
        <v>18</v>
      </c>
      <c r="L2888" t="str">
        <f>T("9791175582941")</f>
        <v>9791175582941</v>
      </c>
      <c r="M2888" t="str">
        <f t="shared" si="129"/>
        <v/>
      </c>
      <c r="N2888" t="s">
        <v>1201</v>
      </c>
    </row>
    <row r="2889" spans="1:14">
      <c r="A2889" s="1">
        <v>46078.71565972222</v>
      </c>
      <c r="B2889">
        <v>355155067</v>
      </c>
      <c r="C2889" s="2" t="s">
        <v>1208</v>
      </c>
      <c r="D2889" t="s">
        <v>15</v>
      </c>
      <c r="E2889" s="5">
        <v>1000</v>
      </c>
      <c r="F2889" s="3">
        <v>1000</v>
      </c>
      <c r="G2889" s="2">
        <v>700</v>
      </c>
      <c r="I2889" s="2" t="s">
        <v>148</v>
      </c>
      <c r="J2889" s="2" t="s">
        <v>21</v>
      </c>
      <c r="K2889" t="s">
        <v>18</v>
      </c>
      <c r="L2889" t="str">
        <f>T("9791173011184")</f>
        <v>9791173011184</v>
      </c>
      <c r="M2889" t="str">
        <f t="shared" si="129"/>
        <v/>
      </c>
      <c r="N2889" t="s">
        <v>1209</v>
      </c>
    </row>
    <row r="2890" spans="1:14">
      <c r="A2890" s="1">
        <v>46078.740624999999</v>
      </c>
      <c r="B2890">
        <v>308166699</v>
      </c>
      <c r="C2890" s="2" t="s">
        <v>2733</v>
      </c>
      <c r="D2890" t="s">
        <v>15</v>
      </c>
      <c r="E2890" s="5">
        <v>1000</v>
      </c>
      <c r="F2890" s="3">
        <v>1000</v>
      </c>
      <c r="G2890" s="2">
        <v>700</v>
      </c>
      <c r="I2890" s="2" t="s">
        <v>89</v>
      </c>
      <c r="J2890" s="2" t="s">
        <v>21</v>
      </c>
      <c r="K2890" t="s">
        <v>18</v>
      </c>
      <c r="L2890" t="str">
        <f>T("9791167835390")</f>
        <v>9791167835390</v>
      </c>
      <c r="M2890" t="str">
        <f t="shared" si="129"/>
        <v/>
      </c>
      <c r="N2890" t="s">
        <v>2734</v>
      </c>
    </row>
    <row r="2891" spans="1:14">
      <c r="A2891" s="1">
        <v>46078.740624999999</v>
      </c>
      <c r="B2891">
        <v>292632670</v>
      </c>
      <c r="C2891" s="2" t="s">
        <v>909</v>
      </c>
      <c r="D2891" t="s">
        <v>15</v>
      </c>
      <c r="E2891" s="5">
        <v>1000</v>
      </c>
      <c r="F2891" s="3">
        <v>1000</v>
      </c>
      <c r="G2891" s="2">
        <v>700</v>
      </c>
      <c r="I2891" s="2" t="s">
        <v>89</v>
      </c>
      <c r="J2891" s="2" t="s">
        <v>21</v>
      </c>
      <c r="K2891" t="s">
        <v>18</v>
      </c>
      <c r="L2891" t="str">
        <f>T("9791167831873")</f>
        <v>9791167831873</v>
      </c>
      <c r="M2891" t="str">
        <f t="shared" si="129"/>
        <v/>
      </c>
    </row>
    <row r="2892" spans="1:14">
      <c r="A2892" s="1">
        <v>46078.776898148149</v>
      </c>
      <c r="B2892">
        <v>386057280</v>
      </c>
      <c r="C2892" s="2" t="s">
        <v>1733</v>
      </c>
      <c r="D2892" t="s">
        <v>68</v>
      </c>
      <c r="E2892" s="5">
        <v>10500</v>
      </c>
      <c r="F2892" s="3">
        <v>10500</v>
      </c>
      <c r="G2892" s="3">
        <v>7350</v>
      </c>
      <c r="I2892" s="2" t="s">
        <v>1734</v>
      </c>
      <c r="J2892" s="2" t="s">
        <v>197</v>
      </c>
      <c r="K2892" t="s">
        <v>18</v>
      </c>
      <c r="L2892" t="str">
        <f>T("9791164092130")</f>
        <v>9791164092130</v>
      </c>
      <c r="M2892" t="str">
        <f t="shared" si="129"/>
        <v/>
      </c>
    </row>
    <row r="2893" spans="1:14">
      <c r="A2893" s="1">
        <v>46078.83934027778</v>
      </c>
      <c r="B2893">
        <v>386556274</v>
      </c>
      <c r="C2893" s="2" t="s">
        <v>2535</v>
      </c>
      <c r="D2893" t="s">
        <v>15</v>
      </c>
      <c r="E2893" s="5">
        <v>2000</v>
      </c>
      <c r="F2893" s="3">
        <v>2000</v>
      </c>
      <c r="G2893" s="3">
        <v>1400</v>
      </c>
      <c r="I2893" s="2" t="s">
        <v>2536</v>
      </c>
      <c r="J2893" s="2" t="s">
        <v>197</v>
      </c>
      <c r="K2893" t="s">
        <v>18</v>
      </c>
      <c r="L2893" t="str">
        <f>T("")</f>
        <v/>
      </c>
      <c r="M2893" t="str">
        <f>T("G720:N+A319-20251223071.M001")</f>
        <v>G720:N+A319-20251223071.M001</v>
      </c>
      <c r="N2893" t="s">
        <v>2537</v>
      </c>
    </row>
    <row r="2894" spans="1:14">
      <c r="A2894" s="1">
        <v>46078.841620370367</v>
      </c>
      <c r="B2894">
        <v>386057278</v>
      </c>
      <c r="C2894" s="2" t="s">
        <v>1806</v>
      </c>
      <c r="D2894" t="s">
        <v>68</v>
      </c>
      <c r="E2894" s="5">
        <v>5000</v>
      </c>
      <c r="F2894" s="3">
        <v>5000</v>
      </c>
      <c r="G2894" s="3">
        <v>3500</v>
      </c>
      <c r="I2894" s="2" t="s">
        <v>1772</v>
      </c>
      <c r="J2894" s="2" t="s">
        <v>197</v>
      </c>
      <c r="K2894" t="s">
        <v>18</v>
      </c>
      <c r="L2894" t="str">
        <f>T("9791164093281")</f>
        <v>9791164093281</v>
      </c>
      <c r="M2894" t="str">
        <f>T("")</f>
        <v/>
      </c>
    </row>
    <row r="2895" spans="1:14">
      <c r="A2895" s="1">
        <v>46078.851782407408</v>
      </c>
      <c r="B2895">
        <v>386057276</v>
      </c>
      <c r="C2895" s="2" t="s">
        <v>1681</v>
      </c>
      <c r="D2895" t="s">
        <v>68</v>
      </c>
      <c r="E2895" s="5">
        <v>8100</v>
      </c>
      <c r="F2895" s="3">
        <v>8100</v>
      </c>
      <c r="G2895" s="3">
        <v>5670</v>
      </c>
      <c r="I2895" s="2" t="s">
        <v>1682</v>
      </c>
      <c r="J2895" s="2" t="s">
        <v>197</v>
      </c>
      <c r="K2895" t="s">
        <v>18</v>
      </c>
      <c r="L2895" t="str">
        <f>T("9791164097661")</f>
        <v>9791164097661</v>
      </c>
      <c r="M2895" t="str">
        <f>T("")</f>
        <v/>
      </c>
    </row>
    <row r="2896" spans="1:14">
      <c r="A2896" s="1">
        <v>46078.859085648146</v>
      </c>
      <c r="B2896">
        <v>386556274</v>
      </c>
      <c r="C2896" s="2" t="s">
        <v>2535</v>
      </c>
      <c r="D2896" t="s">
        <v>15</v>
      </c>
      <c r="E2896" s="5">
        <v>2000</v>
      </c>
      <c r="F2896" s="3">
        <v>2000</v>
      </c>
      <c r="G2896" s="3">
        <v>1400</v>
      </c>
      <c r="I2896" s="2" t="s">
        <v>2536</v>
      </c>
      <c r="J2896" s="2" t="s">
        <v>197</v>
      </c>
      <c r="K2896" t="s">
        <v>18</v>
      </c>
      <c r="L2896" t="str">
        <f>T("")</f>
        <v/>
      </c>
      <c r="M2896" t="str">
        <f>T("G720:N+A319-20251223071.M001")</f>
        <v>G720:N+A319-20251223071.M001</v>
      </c>
      <c r="N2896" t="s">
        <v>2537</v>
      </c>
    </row>
    <row r="2897" spans="1:14">
      <c r="A2897" s="1">
        <v>46078.861828703702</v>
      </c>
      <c r="B2897">
        <v>386559326</v>
      </c>
      <c r="C2897" s="2" t="s">
        <v>2545</v>
      </c>
      <c r="D2897" t="s">
        <v>68</v>
      </c>
      <c r="E2897" s="5">
        <v>5760</v>
      </c>
      <c r="F2897" s="3">
        <v>5760</v>
      </c>
      <c r="G2897" s="3">
        <v>4032</v>
      </c>
      <c r="I2897" s="2" t="s">
        <v>2546</v>
      </c>
      <c r="J2897" s="2" t="s">
        <v>197</v>
      </c>
      <c r="K2897" t="s">
        <v>18</v>
      </c>
      <c r="L2897" t="str">
        <f>T("")</f>
        <v/>
      </c>
      <c r="M2897" t="str">
        <f>T("G720:N+A319-20251223073")</f>
        <v>G720:N+A319-20251223073</v>
      </c>
    </row>
    <row r="2898" spans="1:14">
      <c r="A2898" s="1">
        <v>46078.88008101852</v>
      </c>
      <c r="B2898">
        <v>372968588</v>
      </c>
      <c r="C2898" s="2" t="s">
        <v>2735</v>
      </c>
      <c r="D2898" t="s">
        <v>15</v>
      </c>
      <c r="E2898" s="5">
        <v>1000</v>
      </c>
      <c r="F2898" s="3">
        <v>1000</v>
      </c>
      <c r="G2898" s="2">
        <v>700</v>
      </c>
      <c r="I2898" s="2" t="s">
        <v>2736</v>
      </c>
      <c r="J2898" s="2" t="s">
        <v>21</v>
      </c>
      <c r="K2898" t="s">
        <v>18</v>
      </c>
      <c r="L2898" t="str">
        <f>T("9791173017810")</f>
        <v>9791173017810</v>
      </c>
      <c r="M2898" t="str">
        <f>T("")</f>
        <v/>
      </c>
      <c r="N2898" t="s">
        <v>2737</v>
      </c>
    </row>
    <row r="2899" spans="1:14">
      <c r="A2899" s="1">
        <v>46078.888807870368</v>
      </c>
      <c r="B2899">
        <v>211909257</v>
      </c>
      <c r="C2899" s="2" t="s">
        <v>1665</v>
      </c>
      <c r="D2899" t="s">
        <v>68</v>
      </c>
      <c r="E2899" s="5">
        <v>4550</v>
      </c>
      <c r="F2899" s="3">
        <v>4550</v>
      </c>
      <c r="G2899" s="3">
        <v>3185</v>
      </c>
      <c r="I2899" s="2" t="s">
        <v>196</v>
      </c>
      <c r="J2899" s="2" t="s">
        <v>197</v>
      </c>
      <c r="K2899" t="s">
        <v>18</v>
      </c>
      <c r="L2899" t="str">
        <f>T("9791164090693")</f>
        <v>9791164090693</v>
      </c>
      <c r="M2899" t="str">
        <f>T("")</f>
        <v/>
      </c>
    </row>
    <row r="2900" spans="1:14">
      <c r="A2900" s="1">
        <v>46078.892418981479</v>
      </c>
      <c r="B2900">
        <v>386453320</v>
      </c>
      <c r="C2900" s="2" t="s">
        <v>2596</v>
      </c>
      <c r="D2900" t="s">
        <v>15</v>
      </c>
      <c r="E2900" s="5">
        <v>3000</v>
      </c>
      <c r="F2900" s="3">
        <v>3000</v>
      </c>
      <c r="G2900" s="3">
        <v>2100</v>
      </c>
      <c r="I2900" s="2" t="s">
        <v>2543</v>
      </c>
      <c r="J2900" s="2" t="s">
        <v>65</v>
      </c>
      <c r="K2900" t="s">
        <v>18</v>
      </c>
      <c r="L2900" t="str">
        <f>T("")</f>
        <v/>
      </c>
      <c r="M2900" t="str">
        <f>T("G720:N+A319-20260106026.M001")</f>
        <v>G720:N+A319-20260106026.M001</v>
      </c>
      <c r="N2900" t="s">
        <v>2597</v>
      </c>
    </row>
    <row r="2901" spans="1:14">
      <c r="A2901" s="1">
        <v>46078.897789351853</v>
      </c>
      <c r="B2901">
        <v>303466899</v>
      </c>
      <c r="C2901" s="2" t="s">
        <v>2738</v>
      </c>
      <c r="D2901" t="s">
        <v>15</v>
      </c>
      <c r="E2901" s="5">
        <v>4000</v>
      </c>
      <c r="F2901" s="3">
        <v>4000</v>
      </c>
      <c r="G2901" s="3">
        <v>2800</v>
      </c>
      <c r="I2901" s="2" t="s">
        <v>540</v>
      </c>
      <c r="J2901" s="2" t="s">
        <v>197</v>
      </c>
      <c r="K2901" t="s">
        <v>18</v>
      </c>
      <c r="L2901" t="str">
        <f>T("9791164091591")</f>
        <v>9791164091591</v>
      </c>
      <c r="M2901" t="str">
        <f>T("")</f>
        <v/>
      </c>
      <c r="N2901" t="s">
        <v>2739</v>
      </c>
    </row>
    <row r="2902" spans="1:14">
      <c r="A2902" s="1">
        <v>46078.900717592594</v>
      </c>
      <c r="B2902">
        <v>370130277</v>
      </c>
      <c r="C2902" s="2" t="s">
        <v>1677</v>
      </c>
      <c r="D2902" t="s">
        <v>68</v>
      </c>
      <c r="E2902" s="4">
        <v>700</v>
      </c>
      <c r="F2902" s="2">
        <v>700</v>
      </c>
      <c r="G2902" s="2">
        <v>490</v>
      </c>
      <c r="I2902" s="2" t="s">
        <v>244</v>
      </c>
      <c r="J2902" s="2" t="s">
        <v>245</v>
      </c>
      <c r="K2902" t="s">
        <v>18</v>
      </c>
      <c r="L2902" t="str">
        <f>T("9791164489145")</f>
        <v>9791164489145</v>
      </c>
      <c r="M2902" t="str">
        <f>T("")</f>
        <v/>
      </c>
      <c r="N2902" t="s">
        <v>1678</v>
      </c>
    </row>
    <row r="2903" spans="1:14">
      <c r="A2903" s="1">
        <v>46078.903101851851</v>
      </c>
      <c r="B2903">
        <v>370130273</v>
      </c>
      <c r="C2903" s="2" t="s">
        <v>1171</v>
      </c>
      <c r="D2903" t="s">
        <v>68</v>
      </c>
      <c r="E2903" s="4">
        <v>700</v>
      </c>
      <c r="F2903" s="2">
        <v>700</v>
      </c>
      <c r="G2903" s="2">
        <v>490</v>
      </c>
      <c r="I2903" s="2" t="s">
        <v>244</v>
      </c>
      <c r="J2903" s="2" t="s">
        <v>245</v>
      </c>
      <c r="K2903" t="s">
        <v>18</v>
      </c>
      <c r="L2903" t="str">
        <f>T("9791164489107")</f>
        <v>9791164489107</v>
      </c>
      <c r="M2903" t="str">
        <f>T("")</f>
        <v/>
      </c>
      <c r="N2903" t="s">
        <v>1172</v>
      </c>
    </row>
    <row r="2904" spans="1:14">
      <c r="A2904" s="1">
        <v>46078.917650462965</v>
      </c>
      <c r="B2904">
        <v>235894716</v>
      </c>
      <c r="C2904" s="2" t="s">
        <v>2049</v>
      </c>
      <c r="D2904" t="s">
        <v>68</v>
      </c>
      <c r="E2904" s="5">
        <v>2150</v>
      </c>
      <c r="F2904" s="3">
        <v>2150</v>
      </c>
      <c r="G2904" s="3">
        <v>1505</v>
      </c>
      <c r="I2904" s="2" t="s">
        <v>552</v>
      </c>
      <c r="J2904" s="2" t="s">
        <v>197</v>
      </c>
      <c r="K2904" t="s">
        <v>18</v>
      </c>
      <c r="L2904" t="str">
        <f>T("9791164091539")</f>
        <v>9791164091539</v>
      </c>
      <c r="M2904" t="str">
        <f>T("")</f>
        <v/>
      </c>
    </row>
    <row r="2905" spans="1:14">
      <c r="A2905" s="1">
        <v>46078.926018518519</v>
      </c>
      <c r="B2905">
        <v>386556274</v>
      </c>
      <c r="C2905" s="2" t="s">
        <v>2535</v>
      </c>
      <c r="D2905" t="s">
        <v>15</v>
      </c>
      <c r="E2905" s="5">
        <v>2000</v>
      </c>
      <c r="F2905" s="3">
        <v>2000</v>
      </c>
      <c r="G2905" s="3">
        <v>1400</v>
      </c>
      <c r="I2905" s="2" t="s">
        <v>2536</v>
      </c>
      <c r="J2905" s="2" t="s">
        <v>197</v>
      </c>
      <c r="K2905" t="s">
        <v>18</v>
      </c>
      <c r="L2905" t="str">
        <f>T("")</f>
        <v/>
      </c>
      <c r="M2905" t="str">
        <f>T("G720:N+A319-20251223071.M001")</f>
        <v>G720:N+A319-20251223071.M001</v>
      </c>
      <c r="N2905" t="s">
        <v>2537</v>
      </c>
    </row>
    <row r="2906" spans="1:14">
      <c r="A2906" s="1">
        <v>46078.930393518516</v>
      </c>
      <c r="B2906">
        <v>386556274</v>
      </c>
      <c r="C2906" s="2" t="s">
        <v>2535</v>
      </c>
      <c r="D2906" t="s">
        <v>15</v>
      </c>
      <c r="E2906" s="5">
        <v>2000</v>
      </c>
      <c r="F2906" s="3">
        <v>2000</v>
      </c>
      <c r="G2906" s="3">
        <v>1400</v>
      </c>
      <c r="I2906" s="2" t="s">
        <v>2536</v>
      </c>
      <c r="J2906" s="2" t="s">
        <v>197</v>
      </c>
      <c r="K2906" t="s">
        <v>18</v>
      </c>
      <c r="L2906" t="str">
        <f>T("")</f>
        <v/>
      </c>
      <c r="M2906" t="str">
        <f>T("G720:N+A319-20251223071.M001")</f>
        <v>G720:N+A319-20251223071.M001</v>
      </c>
      <c r="N2906" t="s">
        <v>2537</v>
      </c>
    </row>
    <row r="2907" spans="1:14">
      <c r="A2907" s="1">
        <v>46078.930787037039</v>
      </c>
      <c r="B2907">
        <v>383435421</v>
      </c>
      <c r="C2907" s="2" t="s">
        <v>27</v>
      </c>
      <c r="D2907" t="s">
        <v>15</v>
      </c>
      <c r="E2907" s="5">
        <v>1000</v>
      </c>
      <c r="F2907" s="3">
        <v>1000</v>
      </c>
      <c r="G2907" s="2">
        <v>700</v>
      </c>
      <c r="I2907" s="2" t="s">
        <v>28</v>
      </c>
      <c r="J2907" s="2" t="s">
        <v>21</v>
      </c>
      <c r="K2907" t="s">
        <v>18</v>
      </c>
      <c r="L2907" t="str">
        <f>T("9791175582361")</f>
        <v>9791175582361</v>
      </c>
      <c r="M2907" t="str">
        <f>T("")</f>
        <v/>
      </c>
      <c r="N2907" t="s">
        <v>29</v>
      </c>
    </row>
    <row r="2908" spans="1:14">
      <c r="A2908" s="1">
        <v>46078.932083333333</v>
      </c>
      <c r="B2908">
        <v>365291645</v>
      </c>
      <c r="C2908" s="2" t="s">
        <v>2740</v>
      </c>
      <c r="D2908" t="s">
        <v>15</v>
      </c>
      <c r="E2908" s="5">
        <v>3000</v>
      </c>
      <c r="F2908" s="3">
        <v>3000</v>
      </c>
      <c r="G2908" s="3">
        <v>2100</v>
      </c>
      <c r="I2908" s="2" t="s">
        <v>2015</v>
      </c>
      <c r="J2908" s="2" t="s">
        <v>200</v>
      </c>
      <c r="K2908" t="s">
        <v>18</v>
      </c>
      <c r="L2908" t="str">
        <f>T("9791173013843")</f>
        <v>9791173013843</v>
      </c>
      <c r="M2908" t="str">
        <f>T("")</f>
        <v/>
      </c>
      <c r="N2908" t="s">
        <v>2741</v>
      </c>
    </row>
    <row r="2909" spans="1:14">
      <c r="A2909" s="1">
        <v>46078.93409722222</v>
      </c>
      <c r="B2909">
        <v>365291645</v>
      </c>
      <c r="C2909" s="2" t="s">
        <v>2740</v>
      </c>
      <c r="D2909" t="s">
        <v>15</v>
      </c>
      <c r="E2909" s="5">
        <v>-3000</v>
      </c>
      <c r="F2909" s="3">
        <v>-3000</v>
      </c>
      <c r="G2909" s="3">
        <v>-2100</v>
      </c>
      <c r="H2909" s="1">
        <v>46078.932083333333</v>
      </c>
      <c r="I2909" s="2" t="s">
        <v>2015</v>
      </c>
      <c r="J2909" s="2" t="s">
        <v>200</v>
      </c>
      <c r="K2909" t="s">
        <v>18</v>
      </c>
      <c r="L2909" t="str">
        <f>T("9791173013843")</f>
        <v>9791173013843</v>
      </c>
      <c r="M2909" t="str">
        <f>T("")</f>
        <v/>
      </c>
      <c r="N2909" t="s">
        <v>2741</v>
      </c>
    </row>
    <row r="2910" spans="1:14">
      <c r="A2910" s="1">
        <v>46078.934502314813</v>
      </c>
      <c r="B2910">
        <v>323547332</v>
      </c>
      <c r="C2910" s="2" t="s">
        <v>776</v>
      </c>
      <c r="D2910" t="s">
        <v>15</v>
      </c>
      <c r="E2910" s="5">
        <v>3400</v>
      </c>
      <c r="F2910" s="3">
        <v>3400</v>
      </c>
      <c r="G2910" s="3">
        <v>2380</v>
      </c>
      <c r="I2910" s="2" t="s">
        <v>547</v>
      </c>
      <c r="J2910" s="2" t="s">
        <v>197</v>
      </c>
      <c r="K2910" t="s">
        <v>18</v>
      </c>
      <c r="L2910" t="str">
        <f>T("9791164098323")</f>
        <v>9791164098323</v>
      </c>
      <c r="M2910" t="str">
        <f>T("")</f>
        <v/>
      </c>
      <c r="N2910" t="s">
        <v>777</v>
      </c>
    </row>
    <row r="2911" spans="1:14">
      <c r="A2911" s="1">
        <v>46078.939386574071</v>
      </c>
      <c r="B2911">
        <v>386556274</v>
      </c>
      <c r="C2911" s="2" t="s">
        <v>2535</v>
      </c>
      <c r="D2911" t="s">
        <v>15</v>
      </c>
      <c r="E2911" s="5">
        <v>2000</v>
      </c>
      <c r="F2911" s="3">
        <v>2000</v>
      </c>
      <c r="G2911" s="3">
        <v>1400</v>
      </c>
      <c r="I2911" s="2" t="s">
        <v>2536</v>
      </c>
      <c r="J2911" s="2" t="s">
        <v>197</v>
      </c>
      <c r="K2911" t="s">
        <v>18</v>
      </c>
      <c r="L2911" t="str">
        <f>T("")</f>
        <v/>
      </c>
      <c r="M2911" t="str">
        <f>T("G720:N+A319-20251223071.M001")</f>
        <v>G720:N+A319-20251223071.M001</v>
      </c>
      <c r="N2911" t="s">
        <v>2537</v>
      </c>
    </row>
    <row r="2912" spans="1:14">
      <c r="A2912" s="1">
        <v>46078.939386574071</v>
      </c>
      <c r="B2912">
        <v>386556281</v>
      </c>
      <c r="C2912" s="2" t="s">
        <v>2647</v>
      </c>
      <c r="D2912" t="s">
        <v>15</v>
      </c>
      <c r="E2912" s="5">
        <v>2000</v>
      </c>
      <c r="F2912" s="3">
        <v>1800</v>
      </c>
      <c r="G2912" s="3">
        <v>1260</v>
      </c>
      <c r="I2912" s="2" t="s">
        <v>2536</v>
      </c>
      <c r="J2912" s="2" t="s">
        <v>197</v>
      </c>
      <c r="K2912" t="s">
        <v>18</v>
      </c>
      <c r="L2912" t="str">
        <f>T("")</f>
        <v/>
      </c>
      <c r="M2912" t="str">
        <f>T("G720:N+A319-20251223071.M002")</f>
        <v>G720:N+A319-20251223071.M002</v>
      </c>
      <c r="N2912" t="s">
        <v>2648</v>
      </c>
    </row>
    <row r="2913" spans="1:14">
      <c r="A2913" s="1">
        <v>46078.951597222222</v>
      </c>
      <c r="B2913">
        <v>386008658</v>
      </c>
      <c r="C2913" s="2" t="s">
        <v>1429</v>
      </c>
      <c r="D2913" t="s">
        <v>15</v>
      </c>
      <c r="E2913" s="5">
        <v>1100</v>
      </c>
      <c r="F2913" s="3">
        <v>1100</v>
      </c>
      <c r="G2913" s="2">
        <v>770</v>
      </c>
      <c r="I2913" s="2" t="s">
        <v>148</v>
      </c>
      <c r="J2913" s="2" t="s">
        <v>21</v>
      </c>
      <c r="K2913" t="s">
        <v>18</v>
      </c>
      <c r="L2913" t="str">
        <f>T("9791175582873")</f>
        <v>9791175582873</v>
      </c>
      <c r="M2913" t="str">
        <f>T("")</f>
        <v/>
      </c>
      <c r="N2913" t="s">
        <v>1430</v>
      </c>
    </row>
    <row r="2914" spans="1:14">
      <c r="A2914" s="1">
        <v>46078.952731481484</v>
      </c>
      <c r="B2914">
        <v>303466892</v>
      </c>
      <c r="C2914" s="2" t="s">
        <v>758</v>
      </c>
      <c r="D2914" t="s">
        <v>15</v>
      </c>
      <c r="E2914" s="5">
        <v>3000</v>
      </c>
      <c r="F2914" s="3">
        <v>2700</v>
      </c>
      <c r="G2914" s="3">
        <v>1890</v>
      </c>
      <c r="I2914" s="2" t="s">
        <v>187</v>
      </c>
      <c r="J2914" s="2" t="s">
        <v>188</v>
      </c>
      <c r="K2914" t="s">
        <v>18</v>
      </c>
      <c r="L2914" t="str">
        <f>T("9791164833573")</f>
        <v>9791164833573</v>
      </c>
      <c r="M2914" t="str">
        <f>T("")</f>
        <v/>
      </c>
      <c r="N2914" t="s">
        <v>759</v>
      </c>
    </row>
    <row r="2915" spans="1:14">
      <c r="A2915" s="1">
        <v>46078.955474537041</v>
      </c>
      <c r="B2915">
        <v>354903097</v>
      </c>
      <c r="C2915" s="2" t="s">
        <v>2742</v>
      </c>
      <c r="D2915" t="s">
        <v>15</v>
      </c>
      <c r="E2915" s="5">
        <v>2800</v>
      </c>
      <c r="F2915" s="3">
        <v>2800</v>
      </c>
      <c r="G2915" s="3">
        <v>1960</v>
      </c>
      <c r="I2915" s="2" t="s">
        <v>844</v>
      </c>
      <c r="J2915" s="2" t="s">
        <v>308</v>
      </c>
      <c r="K2915" t="s">
        <v>18</v>
      </c>
      <c r="L2915" t="str">
        <f>T("9791194174226")</f>
        <v>9791194174226</v>
      </c>
      <c r="M2915" t="str">
        <f>T("")</f>
        <v/>
      </c>
      <c r="N2915" t="s">
        <v>2743</v>
      </c>
    </row>
    <row r="2916" spans="1:14">
      <c r="A2916" s="1">
        <v>46078.960231481484</v>
      </c>
      <c r="B2916">
        <v>362054039</v>
      </c>
      <c r="C2916" s="2" t="s">
        <v>2744</v>
      </c>
      <c r="D2916" t="s">
        <v>15</v>
      </c>
      <c r="E2916" s="5">
        <v>3000</v>
      </c>
      <c r="F2916" s="3">
        <v>3000</v>
      </c>
      <c r="G2916" s="3">
        <v>2100</v>
      </c>
      <c r="I2916" s="2" t="s">
        <v>844</v>
      </c>
      <c r="J2916" s="2" t="s">
        <v>308</v>
      </c>
      <c r="K2916" t="s">
        <v>18</v>
      </c>
      <c r="L2916" t="str">
        <f>T("9791194174523")</f>
        <v>9791194174523</v>
      </c>
      <c r="M2916" t="str">
        <f>T("")</f>
        <v/>
      </c>
      <c r="N2916" t="s">
        <v>2745</v>
      </c>
    </row>
    <row r="2917" spans="1:14">
      <c r="A2917" s="1">
        <v>46078.962592592594</v>
      </c>
      <c r="B2917">
        <v>386559327</v>
      </c>
      <c r="C2917" s="2" t="s">
        <v>2555</v>
      </c>
      <c r="D2917" t="s">
        <v>15</v>
      </c>
      <c r="E2917" s="5">
        <v>4000</v>
      </c>
      <c r="F2917" s="3">
        <v>3600</v>
      </c>
      <c r="G2917" s="3">
        <v>2520</v>
      </c>
      <c r="I2917" s="2" t="s">
        <v>2536</v>
      </c>
      <c r="J2917" s="2" t="s">
        <v>197</v>
      </c>
      <c r="K2917" t="s">
        <v>18</v>
      </c>
      <c r="L2917" t="str">
        <f>T("")</f>
        <v/>
      </c>
      <c r="M2917" t="str">
        <f>T("G720:N+A319-20251223071")</f>
        <v>G720:N+A319-20251223071</v>
      </c>
    </row>
    <row r="2918" spans="1:14">
      <c r="A2918" s="1">
        <v>46078.967233796298</v>
      </c>
      <c r="B2918">
        <v>386559326</v>
      </c>
      <c r="C2918" s="2" t="s">
        <v>2545</v>
      </c>
      <c r="D2918" t="s">
        <v>68</v>
      </c>
      <c r="E2918" s="5">
        <v>5760</v>
      </c>
      <c r="F2918" s="3">
        <v>5760</v>
      </c>
      <c r="G2918" s="3">
        <v>4032</v>
      </c>
      <c r="I2918" s="2" t="s">
        <v>2546</v>
      </c>
      <c r="J2918" s="2" t="s">
        <v>197</v>
      </c>
      <c r="K2918" t="s">
        <v>18</v>
      </c>
      <c r="L2918" t="str">
        <f>T("")</f>
        <v/>
      </c>
      <c r="M2918" t="str">
        <f>T("G720:N+A319-20251223073")</f>
        <v>G720:N+A319-20251223073</v>
      </c>
    </row>
    <row r="2919" spans="1:14">
      <c r="A2919" s="1">
        <v>46078.968136574076</v>
      </c>
      <c r="B2919">
        <v>386556274</v>
      </c>
      <c r="C2919" s="2" t="s">
        <v>2535</v>
      </c>
      <c r="D2919" t="s">
        <v>15</v>
      </c>
      <c r="E2919" s="5">
        <v>2000</v>
      </c>
      <c r="F2919" s="3">
        <v>2000</v>
      </c>
      <c r="G2919" s="3">
        <v>1400</v>
      </c>
      <c r="I2919" s="2" t="s">
        <v>2536</v>
      </c>
      <c r="J2919" s="2" t="s">
        <v>197</v>
      </c>
      <c r="K2919" t="s">
        <v>18</v>
      </c>
      <c r="L2919" t="str">
        <f>T("")</f>
        <v/>
      </c>
      <c r="M2919" t="str">
        <f>T("G720:N+A319-20251223071.M001")</f>
        <v>G720:N+A319-20251223071.M001</v>
      </c>
      <c r="N2919" t="s">
        <v>2537</v>
      </c>
    </row>
    <row r="2920" spans="1:14">
      <c r="A2920" s="1">
        <v>46078.976817129631</v>
      </c>
      <c r="B2920">
        <v>366699561</v>
      </c>
      <c r="C2920" s="2" t="s">
        <v>156</v>
      </c>
      <c r="D2920" t="s">
        <v>15</v>
      </c>
      <c r="E2920" s="5">
        <v>1100</v>
      </c>
      <c r="F2920" s="3">
        <v>1100</v>
      </c>
      <c r="G2920" s="2">
        <v>770</v>
      </c>
      <c r="I2920" s="2" t="s">
        <v>148</v>
      </c>
      <c r="J2920" s="2" t="s">
        <v>21</v>
      </c>
      <c r="K2920" t="s">
        <v>18</v>
      </c>
      <c r="L2920" t="str">
        <f>T("9791173015137")</f>
        <v>9791173015137</v>
      </c>
      <c r="M2920" t="str">
        <f>T("")</f>
        <v/>
      </c>
      <c r="N2920" t="s">
        <v>157</v>
      </c>
    </row>
    <row r="2921" spans="1:14">
      <c r="A2921" s="1">
        <v>46078.979363425926</v>
      </c>
      <c r="B2921">
        <v>386057277</v>
      </c>
      <c r="C2921" s="2" t="s">
        <v>1609</v>
      </c>
      <c r="D2921" t="s">
        <v>68</v>
      </c>
      <c r="E2921" s="5">
        <v>3750</v>
      </c>
      <c r="F2921" s="3">
        <v>3750</v>
      </c>
      <c r="G2921" s="3">
        <v>2625</v>
      </c>
      <c r="I2921" s="2" t="s">
        <v>1610</v>
      </c>
      <c r="J2921" s="2" t="s">
        <v>197</v>
      </c>
      <c r="K2921" t="s">
        <v>18</v>
      </c>
      <c r="L2921" t="str">
        <f>T("9791164095315")</f>
        <v>9791164095315</v>
      </c>
      <c r="M2921" t="str">
        <f>T("")</f>
        <v/>
      </c>
    </row>
    <row r="2922" spans="1:14">
      <c r="A2922" s="1">
        <v>46078.979699074072</v>
      </c>
      <c r="B2922">
        <v>323352599</v>
      </c>
      <c r="C2922" s="2" t="s">
        <v>1800</v>
      </c>
      <c r="D2922" t="s">
        <v>68</v>
      </c>
      <c r="E2922" s="5">
        <v>2250</v>
      </c>
      <c r="F2922" s="3">
        <v>2250</v>
      </c>
      <c r="G2922" s="3">
        <v>1575</v>
      </c>
      <c r="I2922" s="2" t="s">
        <v>1801</v>
      </c>
      <c r="J2922" s="2" t="s">
        <v>126</v>
      </c>
      <c r="K2922" t="s">
        <v>18</v>
      </c>
      <c r="L2922" t="str">
        <f>T("9791171501212")</f>
        <v>9791171501212</v>
      </c>
      <c r="M2922" t="str">
        <f>T("")</f>
        <v/>
      </c>
    </row>
    <row r="2923" spans="1:14">
      <c r="A2923" s="1">
        <v>46078.979699074072</v>
      </c>
      <c r="B2923">
        <v>383004678</v>
      </c>
      <c r="C2923" s="2" t="s">
        <v>1776</v>
      </c>
      <c r="D2923" t="s">
        <v>68</v>
      </c>
      <c r="E2923" s="5">
        <v>5760</v>
      </c>
      <c r="F2923" s="3">
        <v>5760</v>
      </c>
      <c r="G2923" s="3">
        <v>4032</v>
      </c>
      <c r="I2923" s="2" t="s">
        <v>351</v>
      </c>
      <c r="J2923" s="2" t="s">
        <v>126</v>
      </c>
      <c r="K2923" t="s">
        <v>18</v>
      </c>
      <c r="L2923" t="str">
        <f>T("9791171502950")</f>
        <v>9791171502950</v>
      </c>
      <c r="M2923" t="str">
        <f>T("")</f>
        <v/>
      </c>
    </row>
    <row r="2924" spans="1:14">
      <c r="A2924" s="1">
        <v>46078.981053240743</v>
      </c>
      <c r="B2924">
        <v>386556274</v>
      </c>
      <c r="C2924" s="2" t="s">
        <v>2535</v>
      </c>
      <c r="D2924" t="s">
        <v>15</v>
      </c>
      <c r="E2924" s="5">
        <v>2000</v>
      </c>
      <c r="F2924" s="3">
        <v>2000</v>
      </c>
      <c r="G2924" s="3">
        <v>1400</v>
      </c>
      <c r="I2924" s="2" t="s">
        <v>2536</v>
      </c>
      <c r="J2924" s="2" t="s">
        <v>197</v>
      </c>
      <c r="K2924" t="s">
        <v>18</v>
      </c>
      <c r="L2924" t="str">
        <f>T("")</f>
        <v/>
      </c>
      <c r="M2924" t="str">
        <f>T("G720:N+A319-20251223071.M001")</f>
        <v>G720:N+A319-20251223071.M001</v>
      </c>
      <c r="N2924" t="s">
        <v>2537</v>
      </c>
    </row>
    <row r="2925" spans="1:14">
      <c r="A2925" s="1">
        <v>46078.984884259262</v>
      </c>
      <c r="B2925">
        <v>294556384</v>
      </c>
      <c r="C2925" s="2" t="s">
        <v>43</v>
      </c>
      <c r="D2925" t="s">
        <v>15</v>
      </c>
      <c r="E2925" s="5">
        <v>1800</v>
      </c>
      <c r="F2925" s="3">
        <v>1800</v>
      </c>
      <c r="G2925" s="3">
        <v>1260</v>
      </c>
      <c r="I2925" s="2" t="s">
        <v>44</v>
      </c>
      <c r="J2925" s="2" t="s">
        <v>21</v>
      </c>
      <c r="K2925" t="s">
        <v>18</v>
      </c>
      <c r="L2925" t="str">
        <f>T("9791167832344")</f>
        <v>9791167832344</v>
      </c>
      <c r="M2925" t="str">
        <f t="shared" ref="M2925:M2933" si="130">T("")</f>
        <v/>
      </c>
    </row>
    <row r="2926" spans="1:14">
      <c r="A2926" s="1">
        <v>46078.998738425929</v>
      </c>
      <c r="B2926">
        <v>294556384</v>
      </c>
      <c r="C2926" s="2" t="s">
        <v>43</v>
      </c>
      <c r="D2926" t="s">
        <v>15</v>
      </c>
      <c r="E2926" s="5">
        <v>-1800</v>
      </c>
      <c r="F2926" s="3">
        <v>-1800</v>
      </c>
      <c r="G2926" s="3">
        <v>-1260</v>
      </c>
      <c r="H2926" s="1">
        <v>46078.984884259262</v>
      </c>
      <c r="I2926" s="2" t="s">
        <v>44</v>
      </c>
      <c r="J2926" s="2" t="s">
        <v>21</v>
      </c>
      <c r="K2926" t="s">
        <v>18</v>
      </c>
      <c r="L2926" t="str">
        <f>T("9791167832344")</f>
        <v>9791167832344</v>
      </c>
      <c r="M2926" t="str">
        <f t="shared" si="130"/>
        <v/>
      </c>
    </row>
    <row r="2927" spans="1:14">
      <c r="A2927" s="1">
        <v>46078.990370370368</v>
      </c>
      <c r="B2927">
        <v>385347715</v>
      </c>
      <c r="C2927" s="2" t="s">
        <v>186</v>
      </c>
      <c r="D2927" t="s">
        <v>15</v>
      </c>
      <c r="E2927" s="5">
        <v>2000</v>
      </c>
      <c r="F2927" s="3">
        <v>1800</v>
      </c>
      <c r="G2927" s="3">
        <v>1260</v>
      </c>
      <c r="I2927" s="2" t="s">
        <v>187</v>
      </c>
      <c r="J2927" s="2" t="s">
        <v>188</v>
      </c>
      <c r="K2927" t="s">
        <v>18</v>
      </c>
      <c r="L2927" t="str">
        <f>T("9791164835362")</f>
        <v>9791164835362</v>
      </c>
      <c r="M2927" t="str">
        <f t="shared" si="130"/>
        <v/>
      </c>
      <c r="N2927" t="s">
        <v>189</v>
      </c>
    </row>
    <row r="2928" spans="1:14">
      <c r="A2928" s="1">
        <v>46078.991215277776</v>
      </c>
      <c r="B2928">
        <v>327116879</v>
      </c>
      <c r="C2928" s="2" t="s">
        <v>2746</v>
      </c>
      <c r="D2928" t="s">
        <v>15</v>
      </c>
      <c r="E2928" s="5">
        <v>1000</v>
      </c>
      <c r="F2928" s="3">
        <v>1000</v>
      </c>
      <c r="G2928" s="2">
        <v>700</v>
      </c>
      <c r="I2928" s="2" t="s">
        <v>2747</v>
      </c>
      <c r="J2928" s="2" t="s">
        <v>21</v>
      </c>
      <c r="K2928" t="s">
        <v>18</v>
      </c>
      <c r="L2928" t="str">
        <f>T("9791170891451")</f>
        <v>9791170891451</v>
      </c>
      <c r="M2928" t="str">
        <f t="shared" si="130"/>
        <v/>
      </c>
      <c r="N2928" t="s">
        <v>2748</v>
      </c>
    </row>
    <row r="2929" spans="1:14">
      <c r="A2929" s="1">
        <v>46078.993032407408</v>
      </c>
      <c r="B2929">
        <v>384598651</v>
      </c>
      <c r="C2929" s="2" t="s">
        <v>696</v>
      </c>
      <c r="D2929" t="s">
        <v>15</v>
      </c>
      <c r="E2929" s="5">
        <v>1000</v>
      </c>
      <c r="F2929" s="3">
        <v>1000</v>
      </c>
      <c r="G2929" s="2">
        <v>700</v>
      </c>
      <c r="I2929" s="2" t="s">
        <v>28</v>
      </c>
      <c r="J2929" s="2" t="s">
        <v>21</v>
      </c>
      <c r="K2929" t="s">
        <v>18</v>
      </c>
      <c r="L2929" t="str">
        <f>T("9791175582422")</f>
        <v>9791175582422</v>
      </c>
      <c r="M2929" t="str">
        <f t="shared" si="130"/>
        <v/>
      </c>
      <c r="N2929" t="s">
        <v>697</v>
      </c>
    </row>
    <row r="2930" spans="1:14">
      <c r="A2930" s="1">
        <v>46078.993287037039</v>
      </c>
      <c r="B2930">
        <v>277935859</v>
      </c>
      <c r="C2930" s="2" t="s">
        <v>2749</v>
      </c>
      <c r="D2930" t="s">
        <v>15</v>
      </c>
      <c r="E2930" s="4">
        <v>100</v>
      </c>
      <c r="F2930" s="2">
        <v>100</v>
      </c>
      <c r="G2930" s="2">
        <v>70</v>
      </c>
      <c r="I2930" s="2" t="s">
        <v>64</v>
      </c>
      <c r="J2930" s="2" t="s">
        <v>65</v>
      </c>
      <c r="K2930" t="s">
        <v>18</v>
      </c>
      <c r="L2930" t="str">
        <f>T("9791162589724")</f>
        <v>9791162589724</v>
      </c>
      <c r="M2930" t="str">
        <f t="shared" si="130"/>
        <v/>
      </c>
      <c r="N2930" t="s">
        <v>2750</v>
      </c>
    </row>
    <row r="2931" spans="1:14">
      <c r="A2931" s="1">
        <v>46078.998020833336</v>
      </c>
      <c r="B2931">
        <v>312661128</v>
      </c>
      <c r="C2931" s="2" t="s">
        <v>2281</v>
      </c>
      <c r="D2931" t="s">
        <v>15</v>
      </c>
      <c r="E2931" s="5">
        <v>1000</v>
      </c>
      <c r="F2931" s="3">
        <v>1000</v>
      </c>
      <c r="G2931" s="2">
        <v>700</v>
      </c>
      <c r="I2931" s="2" t="s">
        <v>877</v>
      </c>
      <c r="J2931" s="2" t="s">
        <v>177</v>
      </c>
      <c r="K2931" t="s">
        <v>18</v>
      </c>
      <c r="L2931" t="str">
        <f>T("9791164798766")</f>
        <v>9791164798766</v>
      </c>
      <c r="M2931" t="str">
        <f t="shared" si="130"/>
        <v/>
      </c>
      <c r="N2931" t="s">
        <v>2282</v>
      </c>
    </row>
    <row r="2932" spans="1:14">
      <c r="A2932" s="1">
        <v>46078.998379629629</v>
      </c>
      <c r="B2932">
        <v>371345723</v>
      </c>
      <c r="C2932" s="2" t="s">
        <v>525</v>
      </c>
      <c r="D2932" t="s">
        <v>68</v>
      </c>
      <c r="E2932" s="5">
        <v>2310</v>
      </c>
      <c r="F2932" s="3">
        <v>2310</v>
      </c>
      <c r="G2932" s="3">
        <v>1617</v>
      </c>
      <c r="I2932" s="2" t="s">
        <v>196</v>
      </c>
      <c r="J2932" s="2" t="s">
        <v>197</v>
      </c>
      <c r="K2932" t="s">
        <v>18</v>
      </c>
      <c r="L2932" t="str">
        <f>T("9791172821692")</f>
        <v>9791172821692</v>
      </c>
      <c r="M2932" t="str">
        <f t="shared" si="130"/>
        <v/>
      </c>
      <c r="N2932" t="s">
        <v>526</v>
      </c>
    </row>
    <row r="2933" spans="1:14">
      <c r="A2933" s="1">
        <v>46078.999120370368</v>
      </c>
      <c r="B2933">
        <v>379258534</v>
      </c>
      <c r="C2933" s="2" t="s">
        <v>232</v>
      </c>
      <c r="D2933" t="s">
        <v>15</v>
      </c>
      <c r="E2933" s="5">
        <v>2000</v>
      </c>
      <c r="F2933" s="3">
        <v>2000</v>
      </c>
      <c r="G2933" s="3">
        <v>1400</v>
      </c>
      <c r="I2933" s="2" t="s">
        <v>233</v>
      </c>
      <c r="J2933" s="2" t="s">
        <v>55</v>
      </c>
      <c r="K2933" t="s">
        <v>18</v>
      </c>
      <c r="L2933" t="str">
        <f>T("9791175582590")</f>
        <v>9791175582590</v>
      </c>
      <c r="M2933" t="str">
        <f t="shared" si="130"/>
        <v/>
      </c>
      <c r="N2933" t="s">
        <v>234</v>
      </c>
    </row>
    <row r="2934" spans="1:14">
      <c r="A2934" s="1">
        <v>46079.000636574077</v>
      </c>
      <c r="B2934">
        <v>386556274</v>
      </c>
      <c r="C2934" s="2" t="s">
        <v>2535</v>
      </c>
      <c r="D2934" t="s">
        <v>15</v>
      </c>
      <c r="E2934" s="5">
        <v>2000</v>
      </c>
      <c r="F2934" s="3">
        <v>2000</v>
      </c>
      <c r="G2934" s="3">
        <v>1400</v>
      </c>
      <c r="I2934" s="2" t="s">
        <v>2536</v>
      </c>
      <c r="J2934" s="2" t="s">
        <v>197</v>
      </c>
      <c r="K2934" t="s">
        <v>18</v>
      </c>
      <c r="L2934" t="str">
        <f>T("")</f>
        <v/>
      </c>
      <c r="M2934" t="str">
        <f>T("G720:N+A319-20251223071.M001")</f>
        <v>G720:N+A319-20251223071.M001</v>
      </c>
      <c r="N2934" t="s">
        <v>2537</v>
      </c>
    </row>
    <row r="2935" spans="1:14">
      <c r="A2935" s="1">
        <v>46079.001006944447</v>
      </c>
      <c r="B2935">
        <v>386556274</v>
      </c>
      <c r="C2935" s="2" t="s">
        <v>2535</v>
      </c>
      <c r="D2935" t="s">
        <v>15</v>
      </c>
      <c r="E2935" s="5">
        <v>2000</v>
      </c>
      <c r="F2935" s="3">
        <v>2000</v>
      </c>
      <c r="G2935" s="3">
        <v>1400</v>
      </c>
      <c r="I2935" s="2" t="s">
        <v>2536</v>
      </c>
      <c r="J2935" s="2" t="s">
        <v>197</v>
      </c>
      <c r="K2935" t="s">
        <v>18</v>
      </c>
      <c r="L2935" t="str">
        <f>T("")</f>
        <v/>
      </c>
      <c r="M2935" t="str">
        <f>T("G720:N+A319-20251223071.M001")</f>
        <v>G720:N+A319-20251223071.M001</v>
      </c>
      <c r="N2935" t="s">
        <v>2537</v>
      </c>
    </row>
    <row r="2936" spans="1:14">
      <c r="A2936" s="1">
        <v>46079.002430555556</v>
      </c>
      <c r="B2936">
        <v>323352599</v>
      </c>
      <c r="C2936" s="2" t="s">
        <v>1800</v>
      </c>
      <c r="D2936" t="s">
        <v>68</v>
      </c>
      <c r="E2936" s="5">
        <v>2250</v>
      </c>
      <c r="F2936" s="3">
        <v>2250</v>
      </c>
      <c r="G2936" s="3">
        <v>1575</v>
      </c>
      <c r="I2936" s="2" t="s">
        <v>1801</v>
      </c>
      <c r="J2936" s="2" t="s">
        <v>126</v>
      </c>
      <c r="K2936" t="s">
        <v>18</v>
      </c>
      <c r="L2936" t="str">
        <f>T("9791171501212")</f>
        <v>9791171501212</v>
      </c>
      <c r="M2936" t="str">
        <f>T("")</f>
        <v/>
      </c>
    </row>
    <row r="2937" spans="1:14">
      <c r="A2937" s="1">
        <v>46079.0155787037</v>
      </c>
      <c r="B2937">
        <v>357051273</v>
      </c>
      <c r="C2937" s="2" t="s">
        <v>2751</v>
      </c>
      <c r="D2937" t="s">
        <v>15</v>
      </c>
      <c r="E2937" s="5">
        <v>9000</v>
      </c>
      <c r="F2937" s="3">
        <v>9000</v>
      </c>
      <c r="G2937" s="3">
        <v>6300</v>
      </c>
      <c r="I2937" s="2" t="s">
        <v>2752</v>
      </c>
      <c r="J2937" s="2" t="s">
        <v>197</v>
      </c>
      <c r="K2937" t="s">
        <v>18</v>
      </c>
      <c r="L2937" t="str">
        <f>T("9791171501045")</f>
        <v>9791171501045</v>
      </c>
      <c r="M2937" t="str">
        <f>T("")</f>
        <v/>
      </c>
    </row>
    <row r="2938" spans="1:14">
      <c r="A2938" s="1">
        <v>46079.018368055556</v>
      </c>
      <c r="B2938">
        <v>308166663</v>
      </c>
      <c r="C2938" s="2" t="s">
        <v>2753</v>
      </c>
      <c r="D2938" t="s">
        <v>15</v>
      </c>
      <c r="E2938" s="5">
        <v>1000</v>
      </c>
      <c r="F2938" s="3">
        <v>1000</v>
      </c>
      <c r="G2938" s="2">
        <v>700</v>
      </c>
      <c r="I2938" s="2" t="s">
        <v>44</v>
      </c>
      <c r="J2938" s="2" t="s">
        <v>21</v>
      </c>
      <c r="K2938" t="s">
        <v>18</v>
      </c>
      <c r="L2938" t="str">
        <f>T("9791167834713")</f>
        <v>9791167834713</v>
      </c>
      <c r="M2938" t="str">
        <f>T("")</f>
        <v/>
      </c>
      <c r="N2938" t="s">
        <v>2754</v>
      </c>
    </row>
    <row r="2939" spans="1:14">
      <c r="A2939" s="1">
        <v>46079.032766203702</v>
      </c>
      <c r="B2939">
        <v>323547246</v>
      </c>
      <c r="C2939" s="2" t="s">
        <v>778</v>
      </c>
      <c r="D2939" t="s">
        <v>15</v>
      </c>
      <c r="E2939" s="5">
        <v>3400</v>
      </c>
      <c r="F2939" s="3">
        <v>3400</v>
      </c>
      <c r="G2939" s="3">
        <v>2380</v>
      </c>
      <c r="I2939" s="2" t="s">
        <v>547</v>
      </c>
      <c r="J2939" s="2" t="s">
        <v>197</v>
      </c>
      <c r="K2939" t="s">
        <v>18</v>
      </c>
      <c r="L2939" t="str">
        <f>T("9791164098330")</f>
        <v>9791164098330</v>
      </c>
      <c r="M2939" t="str">
        <f>T("")</f>
        <v/>
      </c>
      <c r="N2939" t="s">
        <v>779</v>
      </c>
    </row>
    <row r="2940" spans="1:14">
      <c r="A2940" s="1">
        <v>46079.064733796295</v>
      </c>
      <c r="B2940">
        <v>386057277</v>
      </c>
      <c r="C2940" s="2" t="s">
        <v>1609</v>
      </c>
      <c r="D2940" t="s">
        <v>68</v>
      </c>
      <c r="E2940" s="5">
        <v>3750</v>
      </c>
      <c r="F2940" s="3">
        <v>3750</v>
      </c>
      <c r="G2940" s="3">
        <v>2625</v>
      </c>
      <c r="I2940" s="2" t="s">
        <v>1610</v>
      </c>
      <c r="J2940" s="2" t="s">
        <v>197</v>
      </c>
      <c r="K2940" t="s">
        <v>18</v>
      </c>
      <c r="L2940" t="str">
        <f>T("9791164095315")</f>
        <v>9791164095315</v>
      </c>
      <c r="M2940" t="str">
        <f>T("")</f>
        <v/>
      </c>
    </row>
    <row r="2941" spans="1:14">
      <c r="A2941" s="1">
        <v>46079.071875000001</v>
      </c>
      <c r="B2941">
        <v>386559327</v>
      </c>
      <c r="C2941" s="2" t="s">
        <v>2555</v>
      </c>
      <c r="D2941" t="s">
        <v>15</v>
      </c>
      <c r="E2941" s="5">
        <v>4000</v>
      </c>
      <c r="F2941" s="3">
        <v>3600</v>
      </c>
      <c r="G2941" s="3">
        <v>2520</v>
      </c>
      <c r="I2941" s="2" t="s">
        <v>2536</v>
      </c>
      <c r="J2941" s="2" t="s">
        <v>197</v>
      </c>
      <c r="K2941" t="s">
        <v>18</v>
      </c>
      <c r="L2941" t="str">
        <f>T("")</f>
        <v/>
      </c>
      <c r="M2941" t="str">
        <f>T("G720:N+A319-20251223071")</f>
        <v>G720:N+A319-20251223071</v>
      </c>
    </row>
    <row r="2942" spans="1:14">
      <c r="A2942" s="1">
        <v>46079.102233796293</v>
      </c>
      <c r="B2942">
        <v>386453336</v>
      </c>
      <c r="C2942" s="2" t="s">
        <v>2542</v>
      </c>
      <c r="D2942" t="s">
        <v>15</v>
      </c>
      <c r="E2942" s="4">
        <v>0</v>
      </c>
      <c r="F2942" s="2">
        <v>0</v>
      </c>
      <c r="G2942" s="2">
        <v>0</v>
      </c>
      <c r="I2942" s="2" t="s">
        <v>2543</v>
      </c>
      <c r="J2942" s="2" t="s">
        <v>65</v>
      </c>
      <c r="K2942" t="s">
        <v>18</v>
      </c>
      <c r="L2942" t="str">
        <f>T("")</f>
        <v/>
      </c>
      <c r="M2942" t="str">
        <f>T("G720:N+A319-20260106026.M004")</f>
        <v>G720:N+A319-20260106026.M004</v>
      </c>
      <c r="N2942" t="s">
        <v>2544</v>
      </c>
    </row>
    <row r="2943" spans="1:14">
      <c r="A2943" s="1">
        <v>46079.159201388888</v>
      </c>
      <c r="B2943">
        <v>386559326</v>
      </c>
      <c r="C2943" s="2" t="s">
        <v>2545</v>
      </c>
      <c r="D2943" t="s">
        <v>68</v>
      </c>
      <c r="E2943" s="5">
        <v>5760</v>
      </c>
      <c r="F2943" s="3">
        <v>5760</v>
      </c>
      <c r="G2943" s="3">
        <v>4032</v>
      </c>
      <c r="I2943" s="2" t="s">
        <v>2546</v>
      </c>
      <c r="J2943" s="2" t="s">
        <v>197</v>
      </c>
      <c r="K2943" t="s">
        <v>18</v>
      </c>
      <c r="L2943" t="str">
        <f>T("")</f>
        <v/>
      </c>
      <c r="M2943" t="str">
        <f>T("G720:N+A319-20251223073")</f>
        <v>G720:N+A319-20251223073</v>
      </c>
    </row>
    <row r="2944" spans="1:14">
      <c r="A2944" s="1">
        <v>46079.162824074076</v>
      </c>
      <c r="B2944">
        <v>323836707</v>
      </c>
      <c r="C2944" s="2" t="s">
        <v>2755</v>
      </c>
      <c r="D2944" t="s">
        <v>15</v>
      </c>
      <c r="E2944" s="5">
        <v>3000</v>
      </c>
      <c r="F2944" s="3">
        <v>3000</v>
      </c>
      <c r="G2944" s="3">
        <v>2100</v>
      </c>
      <c r="I2944" s="2" t="s">
        <v>521</v>
      </c>
      <c r="J2944" s="2" t="s">
        <v>21</v>
      </c>
      <c r="K2944" t="s">
        <v>18</v>
      </c>
      <c r="L2944" t="str">
        <f>T("9791170890188")</f>
        <v>9791170890188</v>
      </c>
      <c r="M2944" t="str">
        <f t="shared" ref="M2944:M2967" si="131">T("")</f>
        <v/>
      </c>
      <c r="N2944" t="s">
        <v>2756</v>
      </c>
    </row>
    <row r="2945" spans="1:14">
      <c r="A2945" s="1">
        <v>46079.1799537037</v>
      </c>
      <c r="B2945">
        <v>372968588</v>
      </c>
      <c r="C2945" s="2" t="s">
        <v>2735</v>
      </c>
      <c r="D2945" t="s">
        <v>15</v>
      </c>
      <c r="E2945" s="5">
        <v>1000</v>
      </c>
      <c r="F2945" s="3">
        <v>1000</v>
      </c>
      <c r="G2945" s="2">
        <v>700</v>
      </c>
      <c r="I2945" s="2" t="s">
        <v>2736</v>
      </c>
      <c r="J2945" s="2" t="s">
        <v>21</v>
      </c>
      <c r="K2945" t="s">
        <v>18</v>
      </c>
      <c r="L2945" t="str">
        <f>T("9791173017810")</f>
        <v>9791173017810</v>
      </c>
      <c r="M2945" t="str">
        <f t="shared" si="131"/>
        <v/>
      </c>
      <c r="N2945" t="s">
        <v>2737</v>
      </c>
    </row>
    <row r="2946" spans="1:14">
      <c r="A2946" s="1">
        <v>46079.1799537037</v>
      </c>
      <c r="B2946">
        <v>374550019</v>
      </c>
      <c r="C2946" s="2" t="s">
        <v>965</v>
      </c>
      <c r="D2946" t="s">
        <v>15</v>
      </c>
      <c r="E2946" s="5">
        <v>1000</v>
      </c>
      <c r="F2946" s="3">
        <v>1000</v>
      </c>
      <c r="G2946" s="2">
        <v>700</v>
      </c>
      <c r="I2946" s="2" t="s">
        <v>41</v>
      </c>
      <c r="J2946" s="2" t="s">
        <v>21</v>
      </c>
      <c r="K2946" t="s">
        <v>18</v>
      </c>
      <c r="L2946" t="str">
        <f>T("9791175580428")</f>
        <v>9791175580428</v>
      </c>
      <c r="M2946" t="str">
        <f t="shared" si="131"/>
        <v/>
      </c>
      <c r="N2946" t="s">
        <v>966</v>
      </c>
    </row>
    <row r="2947" spans="1:14">
      <c r="A2947" s="1">
        <v>46079.1799537037</v>
      </c>
      <c r="B2947">
        <v>369306673</v>
      </c>
      <c r="C2947" s="2" t="s">
        <v>1596</v>
      </c>
      <c r="D2947" t="s">
        <v>15</v>
      </c>
      <c r="E2947" s="5">
        <v>1000</v>
      </c>
      <c r="F2947" s="3">
        <v>1000</v>
      </c>
      <c r="G2947" s="2">
        <v>700</v>
      </c>
      <c r="I2947" s="2" t="s">
        <v>166</v>
      </c>
      <c r="J2947" s="2" t="s">
        <v>21</v>
      </c>
      <c r="K2947" t="s">
        <v>18</v>
      </c>
      <c r="L2947" t="str">
        <f>T("9791173016219")</f>
        <v>9791173016219</v>
      </c>
      <c r="M2947" t="str">
        <f t="shared" si="131"/>
        <v/>
      </c>
      <c r="N2947" t="s">
        <v>1597</v>
      </c>
    </row>
    <row r="2948" spans="1:14">
      <c r="A2948" s="1">
        <v>46079.237303240741</v>
      </c>
      <c r="B2948">
        <v>370130210</v>
      </c>
      <c r="C2948" s="2" t="s">
        <v>1261</v>
      </c>
      <c r="D2948" t="s">
        <v>68</v>
      </c>
      <c r="E2948" s="4">
        <v>700</v>
      </c>
      <c r="F2948" s="2">
        <v>700</v>
      </c>
      <c r="G2948" s="2">
        <v>490</v>
      </c>
      <c r="I2948" s="2" t="s">
        <v>244</v>
      </c>
      <c r="J2948" s="2" t="s">
        <v>245</v>
      </c>
      <c r="K2948" t="s">
        <v>18</v>
      </c>
      <c r="L2948" t="str">
        <f>T("9791164489114")</f>
        <v>9791164489114</v>
      </c>
      <c r="M2948" t="str">
        <f t="shared" si="131"/>
        <v/>
      </c>
      <c r="N2948" t="s">
        <v>1262</v>
      </c>
    </row>
    <row r="2949" spans="1:14">
      <c r="A2949" s="1">
        <v>46079.252453703702</v>
      </c>
      <c r="B2949">
        <v>365991420</v>
      </c>
      <c r="C2949" s="2" t="s">
        <v>2757</v>
      </c>
      <c r="D2949" t="s">
        <v>15</v>
      </c>
      <c r="E2949" s="5">
        <v>1000</v>
      </c>
      <c r="F2949" s="3">
        <v>1000</v>
      </c>
      <c r="G2949" s="2">
        <v>700</v>
      </c>
      <c r="I2949" s="2" t="s">
        <v>2758</v>
      </c>
      <c r="J2949" s="2" t="s">
        <v>21</v>
      </c>
      <c r="K2949" t="s">
        <v>18</v>
      </c>
      <c r="L2949" t="str">
        <f>T("9791173015557")</f>
        <v>9791173015557</v>
      </c>
      <c r="M2949" t="str">
        <f t="shared" si="131"/>
        <v/>
      </c>
      <c r="N2949" t="s">
        <v>2759</v>
      </c>
    </row>
    <row r="2950" spans="1:14">
      <c r="A2950" s="1">
        <v>46079.28634259259</v>
      </c>
      <c r="B2950">
        <v>328759043</v>
      </c>
      <c r="C2950" s="2" t="s">
        <v>1537</v>
      </c>
      <c r="D2950" t="s">
        <v>68</v>
      </c>
      <c r="E2950" s="4">
        <v>840</v>
      </c>
      <c r="F2950" s="2">
        <v>840</v>
      </c>
      <c r="G2950" s="2">
        <v>588</v>
      </c>
      <c r="I2950" s="2" t="s">
        <v>852</v>
      </c>
      <c r="J2950" s="2" t="s">
        <v>197</v>
      </c>
      <c r="K2950" t="s">
        <v>18</v>
      </c>
      <c r="L2950" t="str">
        <f>T("9791164099269")</f>
        <v>9791164099269</v>
      </c>
      <c r="M2950" t="str">
        <f t="shared" si="131"/>
        <v/>
      </c>
    </row>
    <row r="2951" spans="1:14">
      <c r="A2951" s="1">
        <v>46079.3983912037</v>
      </c>
      <c r="B2951">
        <v>364013953</v>
      </c>
      <c r="C2951" s="2" t="s">
        <v>2760</v>
      </c>
      <c r="D2951" t="s">
        <v>15</v>
      </c>
      <c r="E2951" s="5">
        <v>10400</v>
      </c>
      <c r="F2951" s="3">
        <v>10400</v>
      </c>
      <c r="G2951" s="3">
        <v>7280</v>
      </c>
      <c r="I2951" s="2" t="s">
        <v>2593</v>
      </c>
      <c r="J2951" s="2" t="s">
        <v>239</v>
      </c>
      <c r="K2951" t="s">
        <v>18</v>
      </c>
      <c r="L2951" t="str">
        <f>T("9791194726326")</f>
        <v>9791194726326</v>
      </c>
      <c r="M2951" t="str">
        <f t="shared" si="131"/>
        <v/>
      </c>
    </row>
    <row r="2952" spans="1:14">
      <c r="A2952" s="1">
        <v>46079.429791666669</v>
      </c>
      <c r="B2952">
        <v>257484947</v>
      </c>
      <c r="C2952" s="2" t="s">
        <v>1771</v>
      </c>
      <c r="D2952" t="s">
        <v>15</v>
      </c>
      <c r="E2952" s="4">
        <v>0</v>
      </c>
      <c r="F2952" s="2">
        <v>0</v>
      </c>
      <c r="G2952" s="2">
        <v>0</v>
      </c>
      <c r="I2952" s="2" t="s">
        <v>1772</v>
      </c>
      <c r="J2952" s="2" t="s">
        <v>197</v>
      </c>
      <c r="K2952" t="s">
        <v>18</v>
      </c>
      <c r="L2952" t="str">
        <f>T("9791164093090")</f>
        <v>9791164093090</v>
      </c>
      <c r="M2952" t="str">
        <f t="shared" si="131"/>
        <v/>
      </c>
      <c r="N2952" t="s">
        <v>1773</v>
      </c>
    </row>
    <row r="2953" spans="1:14">
      <c r="A2953" s="1">
        <v>46079.429791666669</v>
      </c>
      <c r="B2953">
        <v>257484949</v>
      </c>
      <c r="C2953" s="2" t="s">
        <v>2761</v>
      </c>
      <c r="D2953" t="s">
        <v>15</v>
      </c>
      <c r="E2953" s="5">
        <v>2500</v>
      </c>
      <c r="F2953" s="3">
        <v>2500</v>
      </c>
      <c r="G2953" s="3">
        <v>1750</v>
      </c>
      <c r="I2953" s="2" t="s">
        <v>1772</v>
      </c>
      <c r="J2953" s="2" t="s">
        <v>197</v>
      </c>
      <c r="K2953" t="s">
        <v>18</v>
      </c>
      <c r="L2953" t="str">
        <f>T("9791164093137")</f>
        <v>9791164093137</v>
      </c>
      <c r="M2953" t="str">
        <f t="shared" si="131"/>
        <v/>
      </c>
      <c r="N2953" t="s">
        <v>2762</v>
      </c>
    </row>
    <row r="2954" spans="1:14">
      <c r="A2954" s="1">
        <v>46079.446446759262</v>
      </c>
      <c r="B2954">
        <v>386934155</v>
      </c>
      <c r="C2954" s="2" t="s">
        <v>2763</v>
      </c>
      <c r="D2954" t="s">
        <v>68</v>
      </c>
      <c r="E2954" s="4">
        <v>900</v>
      </c>
      <c r="F2954" s="2">
        <v>900</v>
      </c>
      <c r="G2954" s="2">
        <v>630</v>
      </c>
      <c r="I2954" s="2" t="s">
        <v>2661</v>
      </c>
      <c r="J2954" s="2" t="s">
        <v>245</v>
      </c>
      <c r="K2954" t="s">
        <v>18</v>
      </c>
      <c r="L2954" t="str">
        <f>T("9791170939429")</f>
        <v>9791170939429</v>
      </c>
      <c r="M2954" t="str">
        <f t="shared" si="131"/>
        <v/>
      </c>
      <c r="N2954" t="s">
        <v>2764</v>
      </c>
    </row>
    <row r="2955" spans="1:14">
      <c r="A2955" s="1">
        <v>46079.446446759262</v>
      </c>
      <c r="B2955">
        <v>386934161</v>
      </c>
      <c r="C2955" s="2" t="s">
        <v>2765</v>
      </c>
      <c r="D2955" t="s">
        <v>68</v>
      </c>
      <c r="E2955" s="4">
        <v>900</v>
      </c>
      <c r="F2955" s="2">
        <v>900</v>
      </c>
      <c r="G2955" s="2">
        <v>630</v>
      </c>
      <c r="I2955" s="2" t="s">
        <v>2661</v>
      </c>
      <c r="J2955" s="2" t="s">
        <v>245</v>
      </c>
      <c r="K2955" t="s">
        <v>18</v>
      </c>
      <c r="L2955" t="str">
        <f>T("9791170939481")</f>
        <v>9791170939481</v>
      </c>
      <c r="M2955" t="str">
        <f t="shared" si="131"/>
        <v/>
      </c>
      <c r="N2955" t="s">
        <v>2766</v>
      </c>
    </row>
    <row r="2956" spans="1:14">
      <c r="A2956" s="1">
        <v>46079.446446759262</v>
      </c>
      <c r="B2956">
        <v>386934164</v>
      </c>
      <c r="C2956" s="2" t="s">
        <v>2767</v>
      </c>
      <c r="D2956" t="s">
        <v>68</v>
      </c>
      <c r="E2956" s="4">
        <v>900</v>
      </c>
      <c r="F2956" s="2">
        <v>900</v>
      </c>
      <c r="G2956" s="2">
        <v>630</v>
      </c>
      <c r="I2956" s="2" t="s">
        <v>2661</v>
      </c>
      <c r="J2956" s="2" t="s">
        <v>245</v>
      </c>
      <c r="K2956" t="s">
        <v>18</v>
      </c>
      <c r="L2956" t="str">
        <f>T("9791170939405")</f>
        <v>9791170939405</v>
      </c>
      <c r="M2956" t="str">
        <f t="shared" si="131"/>
        <v/>
      </c>
      <c r="N2956" t="s">
        <v>2768</v>
      </c>
    </row>
    <row r="2957" spans="1:14">
      <c r="A2957" s="1">
        <v>46079.446446759262</v>
      </c>
      <c r="B2957">
        <v>386934171</v>
      </c>
      <c r="C2957" s="2" t="s">
        <v>2769</v>
      </c>
      <c r="D2957" t="s">
        <v>68</v>
      </c>
      <c r="E2957" s="4">
        <v>900</v>
      </c>
      <c r="F2957" s="2">
        <v>900</v>
      </c>
      <c r="G2957" s="2">
        <v>630</v>
      </c>
      <c r="I2957" s="2" t="s">
        <v>2661</v>
      </c>
      <c r="J2957" s="2" t="s">
        <v>245</v>
      </c>
      <c r="K2957" t="s">
        <v>18</v>
      </c>
      <c r="L2957" t="str">
        <f>T("9791170939443")</f>
        <v>9791170939443</v>
      </c>
      <c r="M2957" t="str">
        <f t="shared" si="131"/>
        <v/>
      </c>
      <c r="N2957" t="s">
        <v>2770</v>
      </c>
    </row>
    <row r="2958" spans="1:14">
      <c r="A2958" s="1">
        <v>46079.446446759262</v>
      </c>
      <c r="B2958">
        <v>386934227</v>
      </c>
      <c r="C2958" s="2" t="s">
        <v>2771</v>
      </c>
      <c r="D2958" t="s">
        <v>68</v>
      </c>
      <c r="E2958" s="4">
        <v>900</v>
      </c>
      <c r="F2958" s="2">
        <v>900</v>
      </c>
      <c r="G2958" s="2">
        <v>630</v>
      </c>
      <c r="I2958" s="2" t="s">
        <v>2661</v>
      </c>
      <c r="J2958" s="2" t="s">
        <v>245</v>
      </c>
      <c r="K2958" t="s">
        <v>18</v>
      </c>
      <c r="L2958" t="str">
        <f>T("9791170939450")</f>
        <v>9791170939450</v>
      </c>
      <c r="M2958" t="str">
        <f t="shared" si="131"/>
        <v/>
      </c>
      <c r="N2958" t="s">
        <v>2772</v>
      </c>
    </row>
    <row r="2959" spans="1:14">
      <c r="A2959" s="1">
        <v>46079.446446759262</v>
      </c>
      <c r="B2959">
        <v>386934237</v>
      </c>
      <c r="C2959" s="2" t="s">
        <v>2773</v>
      </c>
      <c r="D2959" t="s">
        <v>68</v>
      </c>
      <c r="E2959" s="4">
        <v>900</v>
      </c>
      <c r="F2959" s="2">
        <v>900</v>
      </c>
      <c r="G2959" s="2">
        <v>630</v>
      </c>
      <c r="I2959" s="2" t="s">
        <v>2661</v>
      </c>
      <c r="J2959" s="2" t="s">
        <v>245</v>
      </c>
      <c r="K2959" t="s">
        <v>18</v>
      </c>
      <c r="L2959" t="str">
        <f>T("9791170939474")</f>
        <v>9791170939474</v>
      </c>
      <c r="M2959" t="str">
        <f t="shared" si="131"/>
        <v/>
      </c>
      <c r="N2959" t="s">
        <v>2774</v>
      </c>
    </row>
    <row r="2960" spans="1:14">
      <c r="A2960" s="1">
        <v>46079.446446759262</v>
      </c>
      <c r="B2960">
        <v>386934246</v>
      </c>
      <c r="C2960" s="2" t="s">
        <v>2660</v>
      </c>
      <c r="D2960" t="s">
        <v>68</v>
      </c>
      <c r="E2960" s="4">
        <v>0</v>
      </c>
      <c r="F2960" s="2">
        <v>0</v>
      </c>
      <c r="G2960" s="2">
        <v>0</v>
      </c>
      <c r="I2960" s="2" t="s">
        <v>2661</v>
      </c>
      <c r="J2960" s="2" t="s">
        <v>245</v>
      </c>
      <c r="K2960" t="s">
        <v>18</v>
      </c>
      <c r="L2960" t="str">
        <f>T("9791170939382")</f>
        <v>9791170939382</v>
      </c>
      <c r="M2960" t="str">
        <f t="shared" si="131"/>
        <v/>
      </c>
      <c r="N2960" t="s">
        <v>2662</v>
      </c>
    </row>
    <row r="2961" spans="1:14">
      <c r="A2961" s="1">
        <v>46079.446446759262</v>
      </c>
      <c r="B2961">
        <v>386934251</v>
      </c>
      <c r="C2961" s="2" t="s">
        <v>2775</v>
      </c>
      <c r="D2961" t="s">
        <v>68</v>
      </c>
      <c r="E2961" s="4">
        <v>900</v>
      </c>
      <c r="F2961" s="2">
        <v>900</v>
      </c>
      <c r="G2961" s="2">
        <v>630</v>
      </c>
      <c r="I2961" s="2" t="s">
        <v>2661</v>
      </c>
      <c r="J2961" s="2" t="s">
        <v>245</v>
      </c>
      <c r="K2961" t="s">
        <v>18</v>
      </c>
      <c r="L2961" t="str">
        <f>T("9791170939412")</f>
        <v>9791170939412</v>
      </c>
      <c r="M2961" t="str">
        <f t="shared" si="131"/>
        <v/>
      </c>
      <c r="N2961" t="s">
        <v>2776</v>
      </c>
    </row>
    <row r="2962" spans="1:14">
      <c r="A2962" s="1">
        <v>46079.446446759262</v>
      </c>
      <c r="B2962">
        <v>386934255</v>
      </c>
      <c r="C2962" s="2" t="s">
        <v>2777</v>
      </c>
      <c r="D2962" t="s">
        <v>68</v>
      </c>
      <c r="E2962" s="4">
        <v>900</v>
      </c>
      <c r="F2962" s="2">
        <v>900</v>
      </c>
      <c r="G2962" s="2">
        <v>630</v>
      </c>
      <c r="I2962" s="2" t="s">
        <v>2661</v>
      </c>
      <c r="J2962" s="2" t="s">
        <v>245</v>
      </c>
      <c r="K2962" t="s">
        <v>18</v>
      </c>
      <c r="L2962" t="str">
        <f>T("9791170939467")</f>
        <v>9791170939467</v>
      </c>
      <c r="M2962" t="str">
        <f t="shared" si="131"/>
        <v/>
      </c>
      <c r="N2962" t="s">
        <v>2778</v>
      </c>
    </row>
    <row r="2963" spans="1:14">
      <c r="A2963" s="1">
        <v>46079.446446759262</v>
      </c>
      <c r="B2963">
        <v>386934261</v>
      </c>
      <c r="C2963" s="2" t="s">
        <v>2779</v>
      </c>
      <c r="D2963" t="s">
        <v>68</v>
      </c>
      <c r="E2963" s="4">
        <v>900</v>
      </c>
      <c r="F2963" s="2">
        <v>900</v>
      </c>
      <c r="G2963" s="2">
        <v>630</v>
      </c>
      <c r="I2963" s="2" t="s">
        <v>2661</v>
      </c>
      <c r="J2963" s="2" t="s">
        <v>245</v>
      </c>
      <c r="K2963" t="s">
        <v>18</v>
      </c>
      <c r="L2963" t="str">
        <f>T("9791170939399")</f>
        <v>9791170939399</v>
      </c>
      <c r="M2963" t="str">
        <f t="shared" si="131"/>
        <v/>
      </c>
      <c r="N2963" t="s">
        <v>2780</v>
      </c>
    </row>
    <row r="2964" spans="1:14">
      <c r="A2964" s="1">
        <v>46079.446446759262</v>
      </c>
      <c r="B2964">
        <v>386934265</v>
      </c>
      <c r="C2964" s="2" t="s">
        <v>2781</v>
      </c>
      <c r="D2964" t="s">
        <v>68</v>
      </c>
      <c r="E2964" s="4">
        <v>900</v>
      </c>
      <c r="F2964" s="2">
        <v>900</v>
      </c>
      <c r="G2964" s="2">
        <v>630</v>
      </c>
      <c r="I2964" s="2" t="s">
        <v>2661</v>
      </c>
      <c r="J2964" s="2" t="s">
        <v>245</v>
      </c>
      <c r="K2964" t="s">
        <v>18</v>
      </c>
      <c r="L2964" t="str">
        <f>T("9791170939436")</f>
        <v>9791170939436</v>
      </c>
      <c r="M2964" t="str">
        <f t="shared" si="131"/>
        <v/>
      </c>
      <c r="N2964" t="s">
        <v>2782</v>
      </c>
    </row>
    <row r="2965" spans="1:14">
      <c r="A2965" s="1">
        <v>46079.452627314815</v>
      </c>
      <c r="B2965">
        <v>386057128</v>
      </c>
      <c r="C2965" s="2" t="s">
        <v>1797</v>
      </c>
      <c r="D2965" t="s">
        <v>15</v>
      </c>
      <c r="E2965" s="5">
        <v>16800</v>
      </c>
      <c r="F2965" s="3">
        <v>16800</v>
      </c>
      <c r="G2965" s="3">
        <v>11760</v>
      </c>
      <c r="I2965" s="2" t="s">
        <v>540</v>
      </c>
      <c r="J2965" s="2" t="s">
        <v>197</v>
      </c>
      <c r="K2965" t="s">
        <v>18</v>
      </c>
      <c r="L2965" t="str">
        <f>T("9791164098934")</f>
        <v>9791164098934</v>
      </c>
      <c r="M2965" t="str">
        <f t="shared" si="131"/>
        <v/>
      </c>
    </row>
    <row r="2966" spans="1:14">
      <c r="A2966" s="1">
        <v>46079.478842592594</v>
      </c>
      <c r="B2966">
        <v>386934246</v>
      </c>
      <c r="C2966" s="2" t="s">
        <v>2660</v>
      </c>
      <c r="D2966" t="s">
        <v>15</v>
      </c>
      <c r="E2966" s="4">
        <v>0</v>
      </c>
      <c r="F2966" s="2">
        <v>0</v>
      </c>
      <c r="G2966" s="2">
        <v>0</v>
      </c>
      <c r="I2966" s="2" t="s">
        <v>2661</v>
      </c>
      <c r="J2966" s="2" t="s">
        <v>245</v>
      </c>
      <c r="K2966" t="s">
        <v>18</v>
      </c>
      <c r="L2966" t="str">
        <f>T("9791170939382")</f>
        <v>9791170939382</v>
      </c>
      <c r="M2966" t="str">
        <f t="shared" si="131"/>
        <v/>
      </c>
      <c r="N2966" t="s">
        <v>2662</v>
      </c>
    </row>
    <row r="2967" spans="1:14">
      <c r="A2967" s="1">
        <v>46079.478842592594</v>
      </c>
      <c r="B2967">
        <v>386934245</v>
      </c>
      <c r="C2967" s="2" t="s">
        <v>2649</v>
      </c>
      <c r="D2967" t="s">
        <v>15</v>
      </c>
      <c r="E2967" s="4">
        <v>0</v>
      </c>
      <c r="F2967" s="2">
        <v>0</v>
      </c>
      <c r="G2967" s="2">
        <v>0</v>
      </c>
      <c r="I2967" s="2" t="s">
        <v>2650</v>
      </c>
      <c r="J2967" s="2" t="s">
        <v>245</v>
      </c>
      <c r="K2967" t="s">
        <v>18</v>
      </c>
      <c r="L2967" t="str">
        <f>T("9791170939771")</f>
        <v>9791170939771</v>
      </c>
      <c r="M2967" t="str">
        <f t="shared" si="131"/>
        <v/>
      </c>
      <c r="N2967" t="s">
        <v>2651</v>
      </c>
    </row>
    <row r="2968" spans="1:14">
      <c r="A2968" s="1">
        <v>46079.478842592594</v>
      </c>
      <c r="B2968">
        <v>385852478</v>
      </c>
      <c r="C2968" s="2" t="s">
        <v>1228</v>
      </c>
      <c r="D2968" t="s">
        <v>15</v>
      </c>
      <c r="E2968" s="4">
        <v>0</v>
      </c>
      <c r="F2968" s="2">
        <v>0</v>
      </c>
      <c r="G2968" s="2">
        <v>0</v>
      </c>
      <c r="I2968" s="2" t="s">
        <v>1229</v>
      </c>
      <c r="J2968" s="2" t="s">
        <v>960</v>
      </c>
      <c r="K2968" t="s">
        <v>18</v>
      </c>
      <c r="L2968" t="str">
        <f>T("")</f>
        <v/>
      </c>
      <c r="M2968" t="str">
        <f>T("G720:N+A378-20260112081.M001")</f>
        <v>G720:N+A378-20260112081.M001</v>
      </c>
      <c r="N2968" t="s">
        <v>1230</v>
      </c>
    </row>
    <row r="2969" spans="1:14">
      <c r="A2969" s="1">
        <v>46079.504479166666</v>
      </c>
      <c r="B2969">
        <v>386556274</v>
      </c>
      <c r="C2969" s="2" t="s">
        <v>2535</v>
      </c>
      <c r="D2969" t="s">
        <v>15</v>
      </c>
      <c r="E2969" s="5">
        <v>2000</v>
      </c>
      <c r="F2969" s="3">
        <v>2000</v>
      </c>
      <c r="G2969" s="3">
        <v>1400</v>
      </c>
      <c r="I2969" s="2" t="s">
        <v>2536</v>
      </c>
      <c r="J2969" s="2" t="s">
        <v>197</v>
      </c>
      <c r="K2969" t="s">
        <v>18</v>
      </c>
      <c r="L2969" t="str">
        <f>T("")</f>
        <v/>
      </c>
      <c r="M2969" t="str">
        <f>T("G720:N+A319-20251223071.M001")</f>
        <v>G720:N+A319-20251223071.M001</v>
      </c>
      <c r="N2969" t="s">
        <v>2537</v>
      </c>
    </row>
    <row r="2970" spans="1:14">
      <c r="A2970" s="1">
        <v>46079.521284722221</v>
      </c>
      <c r="B2970">
        <v>371345723</v>
      </c>
      <c r="C2970" s="2" t="s">
        <v>525</v>
      </c>
      <c r="D2970" t="s">
        <v>68</v>
      </c>
      <c r="E2970" s="5">
        <v>2310</v>
      </c>
      <c r="F2970" s="3">
        <v>2310</v>
      </c>
      <c r="G2970" s="3">
        <v>1617</v>
      </c>
      <c r="I2970" s="2" t="s">
        <v>196</v>
      </c>
      <c r="J2970" s="2" t="s">
        <v>197</v>
      </c>
      <c r="K2970" t="s">
        <v>18</v>
      </c>
      <c r="L2970" t="str">
        <f>T("9791172821692")</f>
        <v>9791172821692</v>
      </c>
      <c r="M2970" t="str">
        <f t="shared" ref="M2970:M2991" si="132">T("")</f>
        <v/>
      </c>
      <c r="N2970" t="s">
        <v>526</v>
      </c>
    </row>
    <row r="2971" spans="1:14">
      <c r="A2971" s="1">
        <v>46079.55804398148</v>
      </c>
      <c r="B2971">
        <v>386057128</v>
      </c>
      <c r="C2971" s="2" t="s">
        <v>1797</v>
      </c>
      <c r="D2971" t="s">
        <v>15</v>
      </c>
      <c r="E2971" s="5">
        <v>16800</v>
      </c>
      <c r="F2971" s="3">
        <v>16800</v>
      </c>
      <c r="G2971" s="3">
        <v>11760</v>
      </c>
      <c r="I2971" s="2" t="s">
        <v>540</v>
      </c>
      <c r="J2971" s="2" t="s">
        <v>197</v>
      </c>
      <c r="K2971" t="s">
        <v>18</v>
      </c>
      <c r="L2971" t="str">
        <f>T("9791164098934")</f>
        <v>9791164098934</v>
      </c>
      <c r="M2971" t="str">
        <f t="shared" si="132"/>
        <v/>
      </c>
    </row>
    <row r="2972" spans="1:14">
      <c r="A2972" s="1">
        <v>46079.55804398148</v>
      </c>
      <c r="B2972">
        <v>328759043</v>
      </c>
      <c r="C2972" s="2" t="s">
        <v>1537</v>
      </c>
      <c r="D2972" t="s">
        <v>68</v>
      </c>
      <c r="E2972" s="4">
        <v>840</v>
      </c>
      <c r="F2972" s="2">
        <v>840</v>
      </c>
      <c r="G2972" s="2">
        <v>588</v>
      </c>
      <c r="I2972" s="2" t="s">
        <v>852</v>
      </c>
      <c r="J2972" s="2" t="s">
        <v>197</v>
      </c>
      <c r="K2972" t="s">
        <v>18</v>
      </c>
      <c r="L2972" t="str">
        <f>T("9791164099269")</f>
        <v>9791164099269</v>
      </c>
      <c r="M2972" t="str">
        <f t="shared" si="132"/>
        <v/>
      </c>
    </row>
    <row r="2973" spans="1:14">
      <c r="A2973" s="1">
        <v>46079.578310185185</v>
      </c>
      <c r="B2973">
        <v>303466894</v>
      </c>
      <c r="C2973" s="2" t="s">
        <v>2783</v>
      </c>
      <c r="D2973" t="s">
        <v>15</v>
      </c>
      <c r="E2973" s="5">
        <v>4000</v>
      </c>
      <c r="F2973" s="3">
        <v>4000</v>
      </c>
      <c r="G2973" s="3">
        <v>2800</v>
      </c>
      <c r="I2973" s="2" t="s">
        <v>540</v>
      </c>
      <c r="J2973" s="2" t="s">
        <v>197</v>
      </c>
      <c r="K2973" t="s">
        <v>18</v>
      </c>
      <c r="L2973" t="str">
        <f>T("9791164091607")</f>
        <v>9791164091607</v>
      </c>
      <c r="M2973" t="str">
        <f t="shared" si="132"/>
        <v/>
      </c>
      <c r="N2973" t="s">
        <v>2784</v>
      </c>
    </row>
    <row r="2974" spans="1:14">
      <c r="A2974" s="1">
        <v>46079.578310185185</v>
      </c>
      <c r="B2974">
        <v>303466896</v>
      </c>
      <c r="C2974" s="2" t="s">
        <v>2785</v>
      </c>
      <c r="D2974" t="s">
        <v>15</v>
      </c>
      <c r="E2974" s="5">
        <v>4000</v>
      </c>
      <c r="F2974" s="3">
        <v>4000</v>
      </c>
      <c r="G2974" s="3">
        <v>2800</v>
      </c>
      <c r="I2974" s="2" t="s">
        <v>540</v>
      </c>
      <c r="J2974" s="2" t="s">
        <v>197</v>
      </c>
      <c r="K2974" t="s">
        <v>18</v>
      </c>
      <c r="L2974" t="str">
        <f>T("9791164091980")</f>
        <v>9791164091980</v>
      </c>
      <c r="M2974" t="str">
        <f t="shared" si="132"/>
        <v/>
      </c>
      <c r="N2974" t="s">
        <v>2786</v>
      </c>
    </row>
    <row r="2975" spans="1:14">
      <c r="A2975" s="1">
        <v>46079.602453703701</v>
      </c>
      <c r="B2975">
        <v>385373345</v>
      </c>
      <c r="C2975" s="2" t="s">
        <v>2787</v>
      </c>
      <c r="D2975" t="s">
        <v>15</v>
      </c>
      <c r="E2975" s="5">
        <v>3200</v>
      </c>
      <c r="F2975" s="3">
        <v>3200</v>
      </c>
      <c r="G2975" s="3">
        <v>2240</v>
      </c>
      <c r="I2975" s="2" t="s">
        <v>382</v>
      </c>
      <c r="J2975" s="2" t="s">
        <v>290</v>
      </c>
      <c r="K2975" t="s">
        <v>18</v>
      </c>
      <c r="L2975" t="str">
        <f>T("9791194982173")</f>
        <v>9791194982173</v>
      </c>
      <c r="M2975" t="str">
        <f t="shared" si="132"/>
        <v/>
      </c>
      <c r="N2975" t="s">
        <v>2788</v>
      </c>
    </row>
    <row r="2976" spans="1:14">
      <c r="A2976" s="1">
        <v>46079.602453703701</v>
      </c>
      <c r="B2976">
        <v>385373346</v>
      </c>
      <c r="C2976" s="2" t="s">
        <v>2789</v>
      </c>
      <c r="D2976" t="s">
        <v>15</v>
      </c>
      <c r="E2976" s="5">
        <v>3200</v>
      </c>
      <c r="F2976" s="3">
        <v>3200</v>
      </c>
      <c r="G2976" s="3">
        <v>2240</v>
      </c>
      <c r="I2976" s="2" t="s">
        <v>382</v>
      </c>
      <c r="J2976" s="2" t="s">
        <v>290</v>
      </c>
      <c r="K2976" t="s">
        <v>18</v>
      </c>
      <c r="L2976" t="str">
        <f>T("9791194982197")</f>
        <v>9791194982197</v>
      </c>
      <c r="M2976" t="str">
        <f t="shared" si="132"/>
        <v/>
      </c>
      <c r="N2976" t="s">
        <v>2790</v>
      </c>
    </row>
    <row r="2977" spans="1:14">
      <c r="A2977" s="1">
        <v>46079.602453703701</v>
      </c>
      <c r="B2977">
        <v>385373349</v>
      </c>
      <c r="C2977" s="2" t="s">
        <v>2791</v>
      </c>
      <c r="D2977" t="s">
        <v>15</v>
      </c>
      <c r="E2977" s="5">
        <v>3200</v>
      </c>
      <c r="F2977" s="3">
        <v>3200</v>
      </c>
      <c r="G2977" s="3">
        <v>2240</v>
      </c>
      <c r="I2977" s="2" t="s">
        <v>382</v>
      </c>
      <c r="J2977" s="2" t="s">
        <v>290</v>
      </c>
      <c r="K2977" t="s">
        <v>18</v>
      </c>
      <c r="L2977" t="str">
        <f>T("9791194982234")</f>
        <v>9791194982234</v>
      </c>
      <c r="M2977" t="str">
        <f t="shared" si="132"/>
        <v/>
      </c>
      <c r="N2977" t="s">
        <v>2792</v>
      </c>
    </row>
    <row r="2978" spans="1:14">
      <c r="A2978" s="1">
        <v>46079.602453703701</v>
      </c>
      <c r="B2978">
        <v>385373353</v>
      </c>
      <c r="C2978" s="2" t="s">
        <v>2793</v>
      </c>
      <c r="D2978" t="s">
        <v>15</v>
      </c>
      <c r="E2978" s="5">
        <v>3200</v>
      </c>
      <c r="F2978" s="3">
        <v>3200</v>
      </c>
      <c r="G2978" s="3">
        <v>2240</v>
      </c>
      <c r="I2978" s="2" t="s">
        <v>382</v>
      </c>
      <c r="J2978" s="2" t="s">
        <v>290</v>
      </c>
      <c r="K2978" t="s">
        <v>18</v>
      </c>
      <c r="L2978" t="str">
        <f>T("9791194982227")</f>
        <v>9791194982227</v>
      </c>
      <c r="M2978" t="str">
        <f t="shared" si="132"/>
        <v/>
      </c>
      <c r="N2978" t="s">
        <v>2794</v>
      </c>
    </row>
    <row r="2979" spans="1:14">
      <c r="A2979" s="1">
        <v>46079.602453703701</v>
      </c>
      <c r="B2979">
        <v>385373354</v>
      </c>
      <c r="C2979" s="2" t="s">
        <v>2795</v>
      </c>
      <c r="D2979" t="s">
        <v>15</v>
      </c>
      <c r="E2979" s="5">
        <v>3200</v>
      </c>
      <c r="F2979" s="3">
        <v>3200</v>
      </c>
      <c r="G2979" s="3">
        <v>2240</v>
      </c>
      <c r="I2979" s="2" t="s">
        <v>382</v>
      </c>
      <c r="J2979" s="2" t="s">
        <v>290</v>
      </c>
      <c r="K2979" t="s">
        <v>18</v>
      </c>
      <c r="L2979" t="str">
        <f>T("9791194982241")</f>
        <v>9791194982241</v>
      </c>
      <c r="M2979" t="str">
        <f t="shared" si="132"/>
        <v/>
      </c>
      <c r="N2979" t="s">
        <v>2796</v>
      </c>
    </row>
    <row r="2980" spans="1:14">
      <c r="A2980" s="1">
        <v>46079.602453703701</v>
      </c>
      <c r="B2980">
        <v>385373317</v>
      </c>
      <c r="C2980" s="2" t="s">
        <v>381</v>
      </c>
      <c r="D2980" t="s">
        <v>15</v>
      </c>
      <c r="E2980" s="4">
        <v>0</v>
      </c>
      <c r="F2980" s="2">
        <v>0</v>
      </c>
      <c r="G2980" s="2">
        <v>0</v>
      </c>
      <c r="I2980" s="2" t="s">
        <v>382</v>
      </c>
      <c r="J2980" s="2" t="s">
        <v>290</v>
      </c>
      <c r="K2980" t="s">
        <v>18</v>
      </c>
      <c r="L2980" t="str">
        <f>T("9791194982159")</f>
        <v>9791194982159</v>
      </c>
      <c r="M2980" t="str">
        <f t="shared" si="132"/>
        <v/>
      </c>
      <c r="N2980" t="s">
        <v>383</v>
      </c>
    </row>
    <row r="2981" spans="1:14">
      <c r="A2981" s="1">
        <v>46079.602453703701</v>
      </c>
      <c r="B2981">
        <v>385373318</v>
      </c>
      <c r="C2981" s="2" t="s">
        <v>2797</v>
      </c>
      <c r="D2981" t="s">
        <v>15</v>
      </c>
      <c r="E2981" s="5">
        <v>3200</v>
      </c>
      <c r="F2981" s="3">
        <v>3200</v>
      </c>
      <c r="G2981" s="3">
        <v>2240</v>
      </c>
      <c r="I2981" s="2" t="s">
        <v>382</v>
      </c>
      <c r="J2981" s="2" t="s">
        <v>290</v>
      </c>
      <c r="K2981" t="s">
        <v>18</v>
      </c>
      <c r="L2981" t="str">
        <f>T("9791194982203")</f>
        <v>9791194982203</v>
      </c>
      <c r="M2981" t="str">
        <f t="shared" si="132"/>
        <v/>
      </c>
      <c r="N2981" t="s">
        <v>2798</v>
      </c>
    </row>
    <row r="2982" spans="1:14">
      <c r="A2982" s="1">
        <v>46079.602453703701</v>
      </c>
      <c r="B2982">
        <v>385373340</v>
      </c>
      <c r="C2982" s="2" t="s">
        <v>2799</v>
      </c>
      <c r="D2982" t="s">
        <v>15</v>
      </c>
      <c r="E2982" s="5">
        <v>3200</v>
      </c>
      <c r="F2982" s="3">
        <v>3200</v>
      </c>
      <c r="G2982" s="3">
        <v>2240</v>
      </c>
      <c r="I2982" s="2" t="s">
        <v>382</v>
      </c>
      <c r="J2982" s="2" t="s">
        <v>290</v>
      </c>
      <c r="K2982" t="s">
        <v>18</v>
      </c>
      <c r="L2982" t="str">
        <f>T("9791194982180")</f>
        <v>9791194982180</v>
      </c>
      <c r="M2982" t="str">
        <f t="shared" si="132"/>
        <v/>
      </c>
      <c r="N2982" t="s">
        <v>2800</v>
      </c>
    </row>
    <row r="2983" spans="1:14">
      <c r="A2983" s="1">
        <v>46079.602453703701</v>
      </c>
      <c r="B2983">
        <v>385373288</v>
      </c>
      <c r="C2983" s="2" t="s">
        <v>2801</v>
      </c>
      <c r="D2983" t="s">
        <v>15</v>
      </c>
      <c r="E2983" s="5">
        <v>3200</v>
      </c>
      <c r="F2983" s="3">
        <v>3200</v>
      </c>
      <c r="G2983" s="3">
        <v>2240</v>
      </c>
      <c r="I2983" s="2" t="s">
        <v>382</v>
      </c>
      <c r="J2983" s="2" t="s">
        <v>290</v>
      </c>
      <c r="K2983" t="s">
        <v>18</v>
      </c>
      <c r="L2983" t="str">
        <f>T("9791194982166")</f>
        <v>9791194982166</v>
      </c>
      <c r="M2983" t="str">
        <f t="shared" si="132"/>
        <v/>
      </c>
      <c r="N2983" t="s">
        <v>2802</v>
      </c>
    </row>
    <row r="2984" spans="1:14">
      <c r="A2984" s="1">
        <v>46079.602453703701</v>
      </c>
      <c r="B2984">
        <v>385373295</v>
      </c>
      <c r="C2984" s="2" t="s">
        <v>2803</v>
      </c>
      <c r="D2984" t="s">
        <v>15</v>
      </c>
      <c r="E2984" s="5">
        <v>3200</v>
      </c>
      <c r="F2984" s="3">
        <v>3200</v>
      </c>
      <c r="G2984" s="3">
        <v>2240</v>
      </c>
      <c r="I2984" s="2" t="s">
        <v>382</v>
      </c>
      <c r="J2984" s="2" t="s">
        <v>290</v>
      </c>
      <c r="K2984" t="s">
        <v>18</v>
      </c>
      <c r="L2984" t="str">
        <f>T("9791194982210")</f>
        <v>9791194982210</v>
      </c>
      <c r="M2984" t="str">
        <f t="shared" si="132"/>
        <v/>
      </c>
      <c r="N2984" t="s">
        <v>2804</v>
      </c>
    </row>
    <row r="2985" spans="1:14">
      <c r="A2985" s="1">
        <v>46079.614965277775</v>
      </c>
      <c r="B2985">
        <v>171685061</v>
      </c>
      <c r="C2985" s="2" t="s">
        <v>2805</v>
      </c>
      <c r="D2985" t="s">
        <v>15</v>
      </c>
      <c r="E2985" s="4">
        <v>0</v>
      </c>
      <c r="F2985" s="2">
        <v>0</v>
      </c>
      <c r="G2985" s="2">
        <v>0</v>
      </c>
      <c r="I2985" s="2" t="s">
        <v>2806</v>
      </c>
      <c r="J2985" s="2" t="s">
        <v>65</v>
      </c>
      <c r="K2985" t="s">
        <v>18</v>
      </c>
      <c r="L2985" t="str">
        <f>T("9791162581209")</f>
        <v>9791162581209</v>
      </c>
      <c r="M2985" t="str">
        <f t="shared" si="132"/>
        <v/>
      </c>
    </row>
    <row r="2986" spans="1:14">
      <c r="A2986" s="1">
        <v>46079.625069444446</v>
      </c>
      <c r="B2986">
        <v>211909257</v>
      </c>
      <c r="C2986" s="2" t="s">
        <v>1665</v>
      </c>
      <c r="D2986" t="s">
        <v>68</v>
      </c>
      <c r="E2986" s="5">
        <v>-4550</v>
      </c>
      <c r="F2986" s="3">
        <v>-4550</v>
      </c>
      <c r="G2986" s="3">
        <v>-3185</v>
      </c>
      <c r="H2986" s="1">
        <v>46079.616377314815</v>
      </c>
      <c r="I2986" s="2" t="s">
        <v>196</v>
      </c>
      <c r="J2986" s="2" t="s">
        <v>197</v>
      </c>
      <c r="K2986" t="s">
        <v>18</v>
      </c>
      <c r="L2986" t="str">
        <f>T("9791164090693")</f>
        <v>9791164090693</v>
      </c>
      <c r="M2986" t="str">
        <f t="shared" si="132"/>
        <v/>
      </c>
    </row>
    <row r="2987" spans="1:14">
      <c r="A2987" s="1">
        <v>46079.616377314815</v>
      </c>
      <c r="B2987">
        <v>211909257</v>
      </c>
      <c r="C2987" s="2" t="s">
        <v>1665</v>
      </c>
      <c r="D2987" t="s">
        <v>68</v>
      </c>
      <c r="E2987" s="5">
        <v>4550</v>
      </c>
      <c r="F2987" s="3">
        <v>4550</v>
      </c>
      <c r="G2987" s="3">
        <v>3185</v>
      </c>
      <c r="I2987" s="2" t="s">
        <v>196</v>
      </c>
      <c r="J2987" s="2" t="s">
        <v>197</v>
      </c>
      <c r="K2987" t="s">
        <v>18</v>
      </c>
      <c r="L2987" t="str">
        <f>T("9791164090693")</f>
        <v>9791164090693</v>
      </c>
      <c r="M2987" t="str">
        <f t="shared" si="132"/>
        <v/>
      </c>
    </row>
    <row r="2988" spans="1:14">
      <c r="A2988" s="1">
        <v>46079.700092592589</v>
      </c>
      <c r="B2988">
        <v>211909257</v>
      </c>
      <c r="C2988" s="2" t="s">
        <v>1665</v>
      </c>
      <c r="D2988" t="s">
        <v>15</v>
      </c>
      <c r="E2988" s="5">
        <v>-6500</v>
      </c>
      <c r="F2988" s="3">
        <v>-6500</v>
      </c>
      <c r="G2988" s="3">
        <v>-4550</v>
      </c>
      <c r="H2988" s="1">
        <v>46079.627754629626</v>
      </c>
      <c r="I2988" s="2" t="s">
        <v>196</v>
      </c>
      <c r="J2988" s="2" t="s">
        <v>197</v>
      </c>
      <c r="K2988" t="s">
        <v>18</v>
      </c>
      <c r="L2988" t="str">
        <f>T("9791164090693")</f>
        <v>9791164090693</v>
      </c>
      <c r="M2988" t="str">
        <f t="shared" si="132"/>
        <v/>
      </c>
    </row>
    <row r="2989" spans="1:14">
      <c r="A2989" s="1">
        <v>46079.627754629626</v>
      </c>
      <c r="B2989">
        <v>211909257</v>
      </c>
      <c r="C2989" s="2" t="s">
        <v>1665</v>
      </c>
      <c r="D2989" t="s">
        <v>15</v>
      </c>
      <c r="E2989" s="5">
        <v>6500</v>
      </c>
      <c r="F2989" s="3">
        <v>6500</v>
      </c>
      <c r="G2989" s="3">
        <v>4550</v>
      </c>
      <c r="I2989" s="2" t="s">
        <v>196</v>
      </c>
      <c r="J2989" s="2" t="s">
        <v>197</v>
      </c>
      <c r="K2989" t="s">
        <v>18</v>
      </c>
      <c r="L2989" t="str">
        <f>T("9791164090693")</f>
        <v>9791164090693</v>
      </c>
      <c r="M2989" t="str">
        <f t="shared" si="132"/>
        <v/>
      </c>
    </row>
    <row r="2990" spans="1:14">
      <c r="A2990" s="1">
        <v>46079.632719907408</v>
      </c>
      <c r="B2990">
        <v>385347715</v>
      </c>
      <c r="C2990" s="2" t="s">
        <v>186</v>
      </c>
      <c r="D2990" t="s">
        <v>15</v>
      </c>
      <c r="E2990" s="5">
        <v>2000</v>
      </c>
      <c r="F2990" s="3">
        <v>1800</v>
      </c>
      <c r="G2990" s="3">
        <v>1260</v>
      </c>
      <c r="I2990" s="2" t="s">
        <v>187</v>
      </c>
      <c r="J2990" s="2" t="s">
        <v>188</v>
      </c>
      <c r="K2990" t="s">
        <v>18</v>
      </c>
      <c r="L2990" t="str">
        <f>T("9791164835362")</f>
        <v>9791164835362</v>
      </c>
      <c r="M2990" t="str">
        <f t="shared" si="132"/>
        <v/>
      </c>
      <c r="N2990" t="s">
        <v>189</v>
      </c>
    </row>
    <row r="2991" spans="1:14">
      <c r="A2991" s="1">
        <v>46079.638506944444</v>
      </c>
      <c r="B2991">
        <v>386057128</v>
      </c>
      <c r="C2991" s="2" t="s">
        <v>1797</v>
      </c>
      <c r="D2991" t="s">
        <v>15</v>
      </c>
      <c r="E2991" s="5">
        <v>16800</v>
      </c>
      <c r="F2991" s="3">
        <v>16800</v>
      </c>
      <c r="G2991" s="3">
        <v>11760</v>
      </c>
      <c r="I2991" s="2" t="s">
        <v>540</v>
      </c>
      <c r="J2991" s="2" t="s">
        <v>197</v>
      </c>
      <c r="K2991" t="s">
        <v>18</v>
      </c>
      <c r="L2991" t="str">
        <f>T("9791164098934")</f>
        <v>9791164098934</v>
      </c>
      <c r="M2991" t="str">
        <f t="shared" si="132"/>
        <v/>
      </c>
    </row>
    <row r="2992" spans="1:14">
      <c r="A2992" s="1">
        <v>46079.671030092592</v>
      </c>
      <c r="B2992">
        <v>386453336</v>
      </c>
      <c r="C2992" s="2" t="s">
        <v>2542</v>
      </c>
      <c r="D2992" t="s">
        <v>15</v>
      </c>
      <c r="E2992" s="4">
        <v>0</v>
      </c>
      <c r="F2992" s="2">
        <v>0</v>
      </c>
      <c r="G2992" s="2">
        <v>0</v>
      </c>
      <c r="I2992" s="2" t="s">
        <v>2543</v>
      </c>
      <c r="J2992" s="2" t="s">
        <v>65</v>
      </c>
      <c r="K2992" t="s">
        <v>18</v>
      </c>
      <c r="L2992" t="str">
        <f>T("")</f>
        <v/>
      </c>
      <c r="M2992" t="str">
        <f>T("G720:N+A319-20260106026.M004")</f>
        <v>G720:N+A319-20260106026.M004</v>
      </c>
      <c r="N2992" t="s">
        <v>2544</v>
      </c>
    </row>
    <row r="2993" spans="1:14">
      <c r="A2993" s="1">
        <v>46079.671030092592</v>
      </c>
      <c r="B2993">
        <v>386934246</v>
      </c>
      <c r="C2993" s="2" t="s">
        <v>2660</v>
      </c>
      <c r="D2993" t="s">
        <v>15</v>
      </c>
      <c r="E2993" s="4">
        <v>0</v>
      </c>
      <c r="F2993" s="2">
        <v>0</v>
      </c>
      <c r="G2993" s="2">
        <v>0</v>
      </c>
      <c r="I2993" s="2" t="s">
        <v>2661</v>
      </c>
      <c r="J2993" s="2" t="s">
        <v>245</v>
      </c>
      <c r="K2993" t="s">
        <v>18</v>
      </c>
      <c r="L2993" t="str">
        <f>T("9791170939382")</f>
        <v>9791170939382</v>
      </c>
      <c r="M2993" t="str">
        <f t="shared" ref="M2993:M3004" si="133">T("")</f>
        <v/>
      </c>
      <c r="N2993" t="s">
        <v>2662</v>
      </c>
    </row>
    <row r="2994" spans="1:14">
      <c r="A2994" s="1">
        <v>46079.674988425926</v>
      </c>
      <c r="B2994">
        <v>381924113</v>
      </c>
      <c r="C2994" s="2" t="s">
        <v>367</v>
      </c>
      <c r="D2994" t="s">
        <v>15</v>
      </c>
      <c r="E2994" s="5">
        <v>2800</v>
      </c>
      <c r="F2994" s="3">
        <v>2800</v>
      </c>
      <c r="G2994" s="3">
        <v>1960</v>
      </c>
      <c r="I2994" s="2" t="s">
        <v>368</v>
      </c>
      <c r="J2994" s="2" t="s">
        <v>308</v>
      </c>
      <c r="K2994" t="s">
        <v>18</v>
      </c>
      <c r="L2994" t="str">
        <f>T("9791194982739")</f>
        <v>9791194982739</v>
      </c>
      <c r="M2994" t="str">
        <f t="shared" si="133"/>
        <v/>
      </c>
      <c r="N2994" t="s">
        <v>369</v>
      </c>
    </row>
    <row r="2995" spans="1:14">
      <c r="A2995" s="1">
        <v>46079.684918981482</v>
      </c>
      <c r="B2995">
        <v>334115237</v>
      </c>
      <c r="C2995" s="2" t="s">
        <v>1908</v>
      </c>
      <c r="D2995" t="s">
        <v>15</v>
      </c>
      <c r="E2995" s="5">
        <v>13300</v>
      </c>
      <c r="F2995" s="3">
        <v>13300</v>
      </c>
      <c r="G2995" s="3">
        <v>9310</v>
      </c>
      <c r="I2995" s="2" t="s">
        <v>1909</v>
      </c>
      <c r="J2995" s="2" t="s">
        <v>1910</v>
      </c>
      <c r="K2995" t="s">
        <v>18</v>
      </c>
      <c r="L2995" t="str">
        <f>T("9791198362858")</f>
        <v>9791198362858</v>
      </c>
      <c r="M2995" t="str">
        <f t="shared" si="133"/>
        <v/>
      </c>
      <c r="N2995" t="s">
        <v>1911</v>
      </c>
    </row>
    <row r="2996" spans="1:14">
      <c r="A2996" s="1">
        <v>46080.547164351854</v>
      </c>
      <c r="B2996">
        <v>334115237</v>
      </c>
      <c r="C2996" s="2" t="s">
        <v>1908</v>
      </c>
      <c r="D2996" t="s">
        <v>15</v>
      </c>
      <c r="E2996" s="5">
        <v>-13300</v>
      </c>
      <c r="F2996" s="3">
        <v>-13300</v>
      </c>
      <c r="G2996" s="3">
        <v>-9310</v>
      </c>
      <c r="H2996" s="1">
        <v>46079.684918981482</v>
      </c>
      <c r="I2996" s="2" t="s">
        <v>1909</v>
      </c>
      <c r="J2996" s="2" t="s">
        <v>1910</v>
      </c>
      <c r="K2996" t="s">
        <v>18</v>
      </c>
      <c r="L2996" t="str">
        <f>T("9791198362858")</f>
        <v>9791198362858</v>
      </c>
      <c r="M2996" t="str">
        <f t="shared" si="133"/>
        <v/>
      </c>
      <c r="N2996" t="s">
        <v>1911</v>
      </c>
    </row>
    <row r="2997" spans="1:14">
      <c r="A2997" s="1">
        <v>46079.7031712963</v>
      </c>
      <c r="B2997">
        <v>211909257</v>
      </c>
      <c r="C2997" s="2" t="s">
        <v>1665</v>
      </c>
      <c r="D2997" t="s">
        <v>68</v>
      </c>
      <c r="E2997" s="5">
        <v>4550</v>
      </c>
      <c r="F2997" s="3">
        <v>4550</v>
      </c>
      <c r="G2997" s="3">
        <v>3185</v>
      </c>
      <c r="I2997" s="2" t="s">
        <v>196</v>
      </c>
      <c r="J2997" s="2" t="s">
        <v>197</v>
      </c>
      <c r="K2997" t="s">
        <v>18</v>
      </c>
      <c r="L2997" t="str">
        <f>T("9791164090693")</f>
        <v>9791164090693</v>
      </c>
      <c r="M2997" t="str">
        <f t="shared" si="133"/>
        <v/>
      </c>
    </row>
    <row r="2998" spans="1:14">
      <c r="A2998" s="1">
        <v>46079.724270833336</v>
      </c>
      <c r="B2998">
        <v>374804844</v>
      </c>
      <c r="C2998" s="2" t="s">
        <v>2145</v>
      </c>
      <c r="D2998" t="s">
        <v>68</v>
      </c>
      <c r="E2998" s="5">
        <v>5280</v>
      </c>
      <c r="F2998" s="3">
        <v>5280</v>
      </c>
      <c r="G2998" s="3">
        <v>3696</v>
      </c>
      <c r="I2998" s="2" t="s">
        <v>2146</v>
      </c>
      <c r="J2998" s="2" t="s">
        <v>308</v>
      </c>
      <c r="K2998" t="s">
        <v>18</v>
      </c>
      <c r="L2998" t="str">
        <f>T("9791194726982")</f>
        <v>9791194726982</v>
      </c>
      <c r="M2998" t="str">
        <f t="shared" si="133"/>
        <v/>
      </c>
    </row>
    <row r="2999" spans="1:14">
      <c r="A2999" s="1">
        <v>46079.731909722221</v>
      </c>
      <c r="B2999">
        <v>300340103</v>
      </c>
      <c r="C2999" s="2" t="s">
        <v>823</v>
      </c>
      <c r="D2999" t="s">
        <v>15</v>
      </c>
      <c r="E2999" s="5">
        <v>1300</v>
      </c>
      <c r="F2999" s="3">
        <v>1300</v>
      </c>
      <c r="G2999" s="2">
        <v>910</v>
      </c>
      <c r="I2999" s="2" t="s">
        <v>211</v>
      </c>
      <c r="J2999" s="2" t="s">
        <v>21</v>
      </c>
      <c r="K2999" t="s">
        <v>18</v>
      </c>
      <c r="L2999" t="str">
        <f>T("9791167833938")</f>
        <v>9791167833938</v>
      </c>
      <c r="M2999" t="str">
        <f t="shared" si="133"/>
        <v/>
      </c>
    </row>
    <row r="3000" spans="1:14">
      <c r="A3000" s="1">
        <v>46079.734988425924</v>
      </c>
      <c r="B3000">
        <v>341499984</v>
      </c>
      <c r="C3000" s="2" t="s">
        <v>2807</v>
      </c>
      <c r="D3000" t="s">
        <v>15</v>
      </c>
      <c r="E3000" s="5">
        <v>1000</v>
      </c>
      <c r="F3000" s="3">
        <v>1000</v>
      </c>
      <c r="G3000" s="2">
        <v>700</v>
      </c>
      <c r="I3000" s="2" t="s">
        <v>20</v>
      </c>
      <c r="J3000" s="2" t="s">
        <v>21</v>
      </c>
      <c r="K3000" t="s">
        <v>18</v>
      </c>
      <c r="L3000" t="str">
        <f>T("9791170896647")</f>
        <v>9791170896647</v>
      </c>
      <c r="M3000" t="str">
        <f t="shared" si="133"/>
        <v/>
      </c>
      <c r="N3000" t="s">
        <v>2808</v>
      </c>
    </row>
    <row r="3001" spans="1:14">
      <c r="A3001" s="1">
        <v>46079.773784722223</v>
      </c>
      <c r="B3001">
        <v>211909257</v>
      </c>
      <c r="C3001" s="2" t="s">
        <v>1665</v>
      </c>
      <c r="D3001" t="s">
        <v>68</v>
      </c>
      <c r="E3001" s="5">
        <v>4550</v>
      </c>
      <c r="F3001" s="3">
        <v>4550</v>
      </c>
      <c r="G3001" s="3">
        <v>3185</v>
      </c>
      <c r="I3001" s="2" t="s">
        <v>196</v>
      </c>
      <c r="J3001" s="2" t="s">
        <v>197</v>
      </c>
      <c r="K3001" t="s">
        <v>18</v>
      </c>
      <c r="L3001" t="str">
        <f>T("9791164090693")</f>
        <v>9791164090693</v>
      </c>
      <c r="M3001" t="str">
        <f t="shared" si="133"/>
        <v/>
      </c>
    </row>
    <row r="3002" spans="1:14">
      <c r="A3002" s="1">
        <v>46079.775393518517</v>
      </c>
      <c r="B3002">
        <v>386057123</v>
      </c>
      <c r="C3002" s="2" t="s">
        <v>2809</v>
      </c>
      <c r="D3002" t="s">
        <v>15</v>
      </c>
      <c r="E3002" s="5">
        <v>2800</v>
      </c>
      <c r="F3002" s="3">
        <v>2800</v>
      </c>
      <c r="G3002" s="3">
        <v>1960</v>
      </c>
      <c r="I3002" s="2" t="s">
        <v>2810</v>
      </c>
      <c r="J3002" s="2" t="s">
        <v>200</v>
      </c>
      <c r="K3002" t="s">
        <v>18</v>
      </c>
      <c r="L3002" t="str">
        <f>T("9791170899624")</f>
        <v>9791170899624</v>
      </c>
      <c r="M3002" t="str">
        <f t="shared" si="133"/>
        <v/>
      </c>
    </row>
    <row r="3003" spans="1:14">
      <c r="A3003" s="1">
        <v>46079.778043981481</v>
      </c>
      <c r="B3003">
        <v>341326243</v>
      </c>
      <c r="C3003" s="2" t="s">
        <v>2811</v>
      </c>
      <c r="D3003" t="s">
        <v>15</v>
      </c>
      <c r="E3003" s="5">
        <v>1000</v>
      </c>
      <c r="F3003" s="3">
        <v>1000</v>
      </c>
      <c r="G3003" s="2">
        <v>700</v>
      </c>
      <c r="I3003" s="2" t="s">
        <v>2812</v>
      </c>
      <c r="J3003" s="2" t="s">
        <v>2813</v>
      </c>
      <c r="K3003" t="s">
        <v>18</v>
      </c>
      <c r="L3003" t="str">
        <f>T("9791164834563")</f>
        <v>9791164834563</v>
      </c>
      <c r="M3003" t="str">
        <f t="shared" si="133"/>
        <v/>
      </c>
      <c r="N3003" t="s">
        <v>2814</v>
      </c>
    </row>
    <row r="3004" spans="1:14">
      <c r="A3004" s="1">
        <v>46079.783148148148</v>
      </c>
      <c r="B3004">
        <v>269050404</v>
      </c>
      <c r="C3004" s="2" t="s">
        <v>2815</v>
      </c>
      <c r="D3004" t="s">
        <v>15</v>
      </c>
      <c r="E3004" s="5">
        <v>3500</v>
      </c>
      <c r="F3004" s="3">
        <v>3500</v>
      </c>
      <c r="G3004" s="3">
        <v>2450</v>
      </c>
      <c r="I3004" s="2" t="s">
        <v>852</v>
      </c>
      <c r="J3004" s="2" t="s">
        <v>197</v>
      </c>
      <c r="K3004" t="s">
        <v>18</v>
      </c>
      <c r="L3004" t="str">
        <f>T("9791164094097")</f>
        <v>9791164094097</v>
      </c>
      <c r="M3004" t="str">
        <f t="shared" si="133"/>
        <v/>
      </c>
      <c r="N3004" t="s">
        <v>2816</v>
      </c>
    </row>
    <row r="3005" spans="1:14">
      <c r="A3005" s="1">
        <v>46079.811111111114</v>
      </c>
      <c r="B3005">
        <v>386559326</v>
      </c>
      <c r="C3005" s="2" t="s">
        <v>2545</v>
      </c>
      <c r="D3005" t="s">
        <v>68</v>
      </c>
      <c r="E3005" s="5">
        <v>5760</v>
      </c>
      <c r="F3005" s="3">
        <v>5760</v>
      </c>
      <c r="G3005" s="3">
        <v>4032</v>
      </c>
      <c r="I3005" s="2" t="s">
        <v>2546</v>
      </c>
      <c r="J3005" s="2" t="s">
        <v>197</v>
      </c>
      <c r="K3005" t="s">
        <v>18</v>
      </c>
      <c r="L3005" t="str">
        <f>T("")</f>
        <v/>
      </c>
      <c r="M3005" t="str">
        <f>T("G720:N+A319-20251223073")</f>
        <v>G720:N+A319-20251223073</v>
      </c>
    </row>
    <row r="3006" spans="1:14">
      <c r="A3006" s="1">
        <v>46079.813333333332</v>
      </c>
      <c r="B3006">
        <v>386057279</v>
      </c>
      <c r="C3006" s="2" t="s">
        <v>2303</v>
      </c>
      <c r="D3006" t="s">
        <v>68</v>
      </c>
      <c r="E3006" s="5">
        <v>7500</v>
      </c>
      <c r="F3006" s="3">
        <v>7500</v>
      </c>
      <c r="G3006" s="3">
        <v>5250</v>
      </c>
      <c r="I3006" s="2" t="s">
        <v>1772</v>
      </c>
      <c r="J3006" s="2" t="s">
        <v>197</v>
      </c>
      <c r="K3006" t="s">
        <v>18</v>
      </c>
      <c r="L3006" t="str">
        <f>T("9791164093304")</f>
        <v>9791164093304</v>
      </c>
      <c r="M3006" t="str">
        <f>T("")</f>
        <v/>
      </c>
    </row>
    <row r="3007" spans="1:14">
      <c r="A3007" s="1">
        <v>46079.816064814811</v>
      </c>
      <c r="B3007">
        <v>386057128</v>
      </c>
      <c r="C3007" s="2" t="s">
        <v>1797</v>
      </c>
      <c r="D3007" t="s">
        <v>15</v>
      </c>
      <c r="E3007" s="5">
        <v>16800</v>
      </c>
      <c r="F3007" s="3">
        <v>16800</v>
      </c>
      <c r="G3007" s="3">
        <v>11760</v>
      </c>
      <c r="I3007" s="2" t="s">
        <v>540</v>
      </c>
      <c r="J3007" s="2" t="s">
        <v>197</v>
      </c>
      <c r="K3007" t="s">
        <v>18</v>
      </c>
      <c r="L3007" t="str">
        <f>T("9791164098934")</f>
        <v>9791164098934</v>
      </c>
      <c r="M3007" t="str">
        <f>T("")</f>
        <v/>
      </c>
    </row>
    <row r="3008" spans="1:14">
      <c r="A3008" s="1">
        <v>46079.829085648147</v>
      </c>
      <c r="B3008">
        <v>308166841</v>
      </c>
      <c r="C3008" s="2" t="s">
        <v>2817</v>
      </c>
      <c r="D3008" t="s">
        <v>15</v>
      </c>
      <c r="E3008" s="5">
        <v>1000</v>
      </c>
      <c r="F3008" s="3">
        <v>1000</v>
      </c>
      <c r="G3008" s="2">
        <v>700</v>
      </c>
      <c r="I3008" s="2" t="s">
        <v>2818</v>
      </c>
      <c r="J3008" s="2" t="s">
        <v>21</v>
      </c>
      <c r="K3008" t="s">
        <v>18</v>
      </c>
      <c r="L3008" t="str">
        <f>T("9791167835819")</f>
        <v>9791167835819</v>
      </c>
      <c r="M3008" t="str">
        <f>T("")</f>
        <v/>
      </c>
      <c r="N3008" t="s">
        <v>2819</v>
      </c>
    </row>
    <row r="3009" spans="1:14">
      <c r="A3009" s="1">
        <v>46079.834490740737</v>
      </c>
      <c r="B3009">
        <v>386556281</v>
      </c>
      <c r="C3009" s="2" t="s">
        <v>2647</v>
      </c>
      <c r="D3009" t="s">
        <v>15</v>
      </c>
      <c r="E3009" s="5">
        <v>2000</v>
      </c>
      <c r="F3009" s="3">
        <v>1800</v>
      </c>
      <c r="G3009" s="3">
        <v>1260</v>
      </c>
      <c r="I3009" s="2" t="s">
        <v>2536</v>
      </c>
      <c r="J3009" s="2" t="s">
        <v>197</v>
      </c>
      <c r="K3009" t="s">
        <v>18</v>
      </c>
      <c r="L3009" t="str">
        <f>T("")</f>
        <v/>
      </c>
      <c r="M3009" t="str">
        <f>T("G720:N+A319-20251223071.M002")</f>
        <v>G720:N+A319-20251223071.M002</v>
      </c>
      <c r="N3009" t="s">
        <v>2648</v>
      </c>
    </row>
    <row r="3010" spans="1:14">
      <c r="A3010" s="1">
        <v>46079.835833333331</v>
      </c>
      <c r="B3010">
        <v>365291682</v>
      </c>
      <c r="C3010" s="2" t="s">
        <v>2820</v>
      </c>
      <c r="D3010" t="s">
        <v>15</v>
      </c>
      <c r="E3010" s="5">
        <v>1000</v>
      </c>
      <c r="F3010" s="3">
        <v>1000</v>
      </c>
      <c r="G3010" s="2">
        <v>700</v>
      </c>
      <c r="I3010" s="2" t="s">
        <v>2818</v>
      </c>
      <c r="J3010" s="2" t="s">
        <v>21</v>
      </c>
      <c r="K3010" t="s">
        <v>18</v>
      </c>
      <c r="L3010" t="str">
        <f>T("9791173014925")</f>
        <v>9791173014925</v>
      </c>
      <c r="M3010" t="str">
        <f t="shared" ref="M3010:M3025" si="134">T("")</f>
        <v/>
      </c>
      <c r="N3010" t="s">
        <v>2821</v>
      </c>
    </row>
    <row r="3011" spans="1:14">
      <c r="A3011" s="1">
        <v>46079.856921296298</v>
      </c>
      <c r="B3011">
        <v>211909257</v>
      </c>
      <c r="C3011" s="2" t="s">
        <v>1665</v>
      </c>
      <c r="D3011" t="s">
        <v>68</v>
      </c>
      <c r="E3011" s="5">
        <v>4550</v>
      </c>
      <c r="F3011" s="3">
        <v>4550</v>
      </c>
      <c r="G3011" s="3">
        <v>3185</v>
      </c>
      <c r="I3011" s="2" t="s">
        <v>196</v>
      </c>
      <c r="J3011" s="2" t="s">
        <v>197</v>
      </c>
      <c r="K3011" t="s">
        <v>18</v>
      </c>
      <c r="L3011" t="str">
        <f>T("9791164090693")</f>
        <v>9791164090693</v>
      </c>
      <c r="M3011" t="str">
        <f t="shared" si="134"/>
        <v/>
      </c>
    </row>
    <row r="3012" spans="1:14">
      <c r="A3012" s="1">
        <v>46079.859907407408</v>
      </c>
      <c r="B3012">
        <v>386057280</v>
      </c>
      <c r="C3012" s="2" t="s">
        <v>1733</v>
      </c>
      <c r="D3012" t="s">
        <v>68</v>
      </c>
      <c r="E3012" s="5">
        <v>10500</v>
      </c>
      <c r="F3012" s="3">
        <v>10500</v>
      </c>
      <c r="G3012" s="3">
        <v>7350</v>
      </c>
      <c r="I3012" s="2" t="s">
        <v>1734</v>
      </c>
      <c r="J3012" s="2" t="s">
        <v>197</v>
      </c>
      <c r="K3012" t="s">
        <v>18</v>
      </c>
      <c r="L3012" t="str">
        <f>T("9791164092130")</f>
        <v>9791164092130</v>
      </c>
      <c r="M3012" t="str">
        <f t="shared" si="134"/>
        <v/>
      </c>
    </row>
    <row r="3013" spans="1:14">
      <c r="A3013" s="1">
        <v>46079.872488425928</v>
      </c>
      <c r="B3013">
        <v>251312621</v>
      </c>
      <c r="C3013" s="2" t="s">
        <v>2698</v>
      </c>
      <c r="D3013" t="s">
        <v>15</v>
      </c>
      <c r="E3013" s="5">
        <v>10500</v>
      </c>
      <c r="F3013" s="3">
        <v>10500</v>
      </c>
      <c r="G3013" s="3">
        <v>7350</v>
      </c>
      <c r="I3013" s="2" t="s">
        <v>2699</v>
      </c>
      <c r="J3013" s="2" t="s">
        <v>197</v>
      </c>
      <c r="K3013" t="s">
        <v>18</v>
      </c>
      <c r="L3013" t="str">
        <f>T("9791164978700")</f>
        <v>9791164978700</v>
      </c>
      <c r="M3013" t="str">
        <f t="shared" si="134"/>
        <v/>
      </c>
    </row>
    <row r="3014" spans="1:14">
      <c r="A3014" s="1">
        <v>46079.887025462966</v>
      </c>
      <c r="B3014">
        <v>263958726</v>
      </c>
      <c r="C3014" s="2" t="s">
        <v>2822</v>
      </c>
      <c r="D3014" t="s">
        <v>15</v>
      </c>
      <c r="E3014" s="5">
        <v>3000</v>
      </c>
      <c r="F3014" s="3">
        <v>3000</v>
      </c>
      <c r="G3014" s="3">
        <v>2100</v>
      </c>
      <c r="I3014" s="2" t="s">
        <v>2536</v>
      </c>
      <c r="J3014" s="2" t="s">
        <v>197</v>
      </c>
      <c r="K3014" t="s">
        <v>18</v>
      </c>
      <c r="L3014" t="str">
        <f>T("9791164093496")</f>
        <v>9791164093496</v>
      </c>
      <c r="M3014" t="str">
        <f t="shared" si="134"/>
        <v/>
      </c>
      <c r="N3014">
        <v>528659</v>
      </c>
    </row>
    <row r="3015" spans="1:14">
      <c r="A3015" s="1">
        <v>46079.88994212963</v>
      </c>
      <c r="B3015">
        <v>386057281</v>
      </c>
      <c r="C3015" s="2" t="s">
        <v>2184</v>
      </c>
      <c r="D3015" t="s">
        <v>68</v>
      </c>
      <c r="E3015" s="5">
        <v>7500</v>
      </c>
      <c r="F3015" s="3">
        <v>7500</v>
      </c>
      <c r="G3015" s="3">
        <v>5250</v>
      </c>
      <c r="I3015" s="2" t="s">
        <v>1772</v>
      </c>
      <c r="J3015" s="2" t="s">
        <v>197</v>
      </c>
      <c r="K3015" t="s">
        <v>18</v>
      </c>
      <c r="L3015" t="str">
        <f>T("9791164093298")</f>
        <v>9791164093298</v>
      </c>
      <c r="M3015" t="str">
        <f t="shared" si="134"/>
        <v/>
      </c>
    </row>
    <row r="3016" spans="1:14">
      <c r="A3016" s="1">
        <v>46079.891064814816</v>
      </c>
      <c r="B3016">
        <v>386057276</v>
      </c>
      <c r="C3016" s="2" t="s">
        <v>1681</v>
      </c>
      <c r="D3016" t="s">
        <v>68</v>
      </c>
      <c r="E3016" s="5">
        <v>8100</v>
      </c>
      <c r="F3016" s="3">
        <v>8100</v>
      </c>
      <c r="G3016" s="3">
        <v>5670</v>
      </c>
      <c r="I3016" s="2" t="s">
        <v>1682</v>
      </c>
      <c r="J3016" s="2" t="s">
        <v>197</v>
      </c>
      <c r="K3016" t="s">
        <v>18</v>
      </c>
      <c r="L3016" t="str">
        <f>T("9791164097661")</f>
        <v>9791164097661</v>
      </c>
      <c r="M3016" t="str">
        <f t="shared" si="134"/>
        <v/>
      </c>
    </row>
    <row r="3017" spans="1:14">
      <c r="A3017" s="1">
        <v>46079.896284722221</v>
      </c>
      <c r="B3017">
        <v>386057282</v>
      </c>
      <c r="C3017" s="2" t="s">
        <v>1534</v>
      </c>
      <c r="D3017" t="s">
        <v>68</v>
      </c>
      <c r="E3017" s="5">
        <v>12500</v>
      </c>
      <c r="F3017" s="3">
        <v>12500</v>
      </c>
      <c r="G3017" s="3">
        <v>8750</v>
      </c>
      <c r="I3017" s="2" t="s">
        <v>1535</v>
      </c>
      <c r="J3017" s="2" t="s">
        <v>1536</v>
      </c>
      <c r="K3017" t="s">
        <v>18</v>
      </c>
      <c r="L3017" t="str">
        <f>T("9791189257323")</f>
        <v>9791189257323</v>
      </c>
      <c r="M3017" t="str">
        <f t="shared" si="134"/>
        <v/>
      </c>
    </row>
    <row r="3018" spans="1:14">
      <c r="A3018" s="1">
        <v>46079.903113425928</v>
      </c>
      <c r="B3018">
        <v>385348008</v>
      </c>
      <c r="C3018" s="2" t="s">
        <v>219</v>
      </c>
      <c r="D3018" t="s">
        <v>68</v>
      </c>
      <c r="E3018" s="4">
        <v>0</v>
      </c>
      <c r="F3018" s="2">
        <v>0</v>
      </c>
      <c r="G3018" s="2">
        <v>0</v>
      </c>
      <c r="I3018" s="2" t="s">
        <v>213</v>
      </c>
      <c r="J3018" s="2" t="s">
        <v>161</v>
      </c>
      <c r="K3018" t="s">
        <v>18</v>
      </c>
      <c r="L3018" t="str">
        <f>T("9791173261572")</f>
        <v>9791173261572</v>
      </c>
      <c r="M3018" t="str">
        <f t="shared" si="134"/>
        <v/>
      </c>
      <c r="N3018" t="s">
        <v>220</v>
      </c>
    </row>
    <row r="3019" spans="1:14">
      <c r="A3019" s="1">
        <v>46079.914861111109</v>
      </c>
      <c r="B3019">
        <v>237252472</v>
      </c>
      <c r="C3019" s="2" t="s">
        <v>2823</v>
      </c>
      <c r="D3019" t="s">
        <v>15</v>
      </c>
      <c r="E3019" s="4">
        <v>0</v>
      </c>
      <c r="F3019" s="2">
        <v>0</v>
      </c>
      <c r="G3019" s="2">
        <v>0</v>
      </c>
      <c r="I3019" s="2" t="s">
        <v>2824</v>
      </c>
      <c r="J3019" s="2" t="s">
        <v>245</v>
      </c>
      <c r="K3019" t="s">
        <v>18</v>
      </c>
      <c r="L3019" t="str">
        <f>T("9791164487349")</f>
        <v>9791164487349</v>
      </c>
      <c r="M3019" t="str">
        <f t="shared" si="134"/>
        <v/>
      </c>
    </row>
    <row r="3020" spans="1:14">
      <c r="A3020" s="1">
        <v>46079.915509259263</v>
      </c>
      <c r="B3020">
        <v>379511327</v>
      </c>
      <c r="C3020" s="2" t="s">
        <v>262</v>
      </c>
      <c r="D3020" t="s">
        <v>15</v>
      </c>
      <c r="E3020" s="5">
        <v>3300</v>
      </c>
      <c r="F3020" s="3">
        <v>3300</v>
      </c>
      <c r="G3020" s="3">
        <v>2310</v>
      </c>
      <c r="I3020" s="2" t="s">
        <v>263</v>
      </c>
      <c r="J3020" s="2" t="s">
        <v>126</v>
      </c>
      <c r="K3020" t="s">
        <v>18</v>
      </c>
      <c r="L3020" t="str">
        <f>T("9791171502875")</f>
        <v>9791171502875</v>
      </c>
      <c r="M3020" t="str">
        <f t="shared" si="134"/>
        <v/>
      </c>
      <c r="N3020" t="s">
        <v>264</v>
      </c>
    </row>
    <row r="3021" spans="1:14">
      <c r="A3021" s="1">
        <v>46079.916689814818</v>
      </c>
      <c r="B3021">
        <v>131938441</v>
      </c>
      <c r="C3021" s="2" t="s">
        <v>2825</v>
      </c>
      <c r="D3021" t="s">
        <v>15</v>
      </c>
      <c r="E3021" s="4">
        <v>0</v>
      </c>
      <c r="F3021" s="2">
        <v>0</v>
      </c>
      <c r="G3021" s="2">
        <v>0</v>
      </c>
      <c r="I3021" s="2" t="s">
        <v>2826</v>
      </c>
      <c r="J3021" s="2" t="s">
        <v>65</v>
      </c>
      <c r="K3021" t="s">
        <v>18</v>
      </c>
      <c r="L3021" t="str">
        <f>T("9791188792139")</f>
        <v>9791188792139</v>
      </c>
      <c r="M3021" t="str">
        <f t="shared" si="134"/>
        <v/>
      </c>
    </row>
    <row r="3022" spans="1:14">
      <c r="A3022" s="1">
        <v>46079.928946759261</v>
      </c>
      <c r="B3022">
        <v>211909257</v>
      </c>
      <c r="C3022" s="2" t="s">
        <v>1665</v>
      </c>
      <c r="D3022" t="s">
        <v>68</v>
      </c>
      <c r="E3022" s="5">
        <v>4550</v>
      </c>
      <c r="F3022" s="3">
        <v>4550</v>
      </c>
      <c r="G3022" s="3">
        <v>3185</v>
      </c>
      <c r="I3022" s="2" t="s">
        <v>196</v>
      </c>
      <c r="J3022" s="2" t="s">
        <v>197</v>
      </c>
      <c r="K3022" t="s">
        <v>18</v>
      </c>
      <c r="L3022" t="str">
        <f>T("9791164090693")</f>
        <v>9791164090693</v>
      </c>
      <c r="M3022" t="str">
        <f t="shared" si="134"/>
        <v/>
      </c>
    </row>
    <row r="3023" spans="1:14">
      <c r="A3023" s="1">
        <v>46079.930138888885</v>
      </c>
      <c r="B3023">
        <v>346106641</v>
      </c>
      <c r="C3023" s="2" t="s">
        <v>2827</v>
      </c>
      <c r="D3023" t="s">
        <v>15</v>
      </c>
      <c r="E3023" s="5">
        <v>1000</v>
      </c>
      <c r="F3023" s="3">
        <v>1000</v>
      </c>
      <c r="G3023" s="2">
        <v>700</v>
      </c>
      <c r="I3023" s="2" t="s">
        <v>2828</v>
      </c>
      <c r="J3023" s="2" t="s">
        <v>21</v>
      </c>
      <c r="K3023" t="s">
        <v>18</v>
      </c>
      <c r="L3023" t="str">
        <f>T("9791170898665")</f>
        <v>9791170898665</v>
      </c>
      <c r="M3023" t="str">
        <f t="shared" si="134"/>
        <v/>
      </c>
      <c r="N3023" t="s">
        <v>2829</v>
      </c>
    </row>
    <row r="3024" spans="1:14">
      <c r="A3024" s="1">
        <v>46079.930138888885</v>
      </c>
      <c r="B3024">
        <v>350528640</v>
      </c>
      <c r="C3024" s="2" t="s">
        <v>2830</v>
      </c>
      <c r="D3024" t="s">
        <v>15</v>
      </c>
      <c r="E3024" s="5">
        <v>1000</v>
      </c>
      <c r="F3024" s="3">
        <v>1000</v>
      </c>
      <c r="G3024" s="2">
        <v>700</v>
      </c>
      <c r="I3024" s="2" t="s">
        <v>2828</v>
      </c>
      <c r="J3024" s="2" t="s">
        <v>21</v>
      </c>
      <c r="K3024" t="s">
        <v>18</v>
      </c>
      <c r="L3024" t="str">
        <f>T("9791170891802")</f>
        <v>9791170891802</v>
      </c>
      <c r="M3024" t="str">
        <f t="shared" si="134"/>
        <v/>
      </c>
      <c r="N3024" t="s">
        <v>2831</v>
      </c>
    </row>
    <row r="3025" spans="1:14">
      <c r="A3025" s="1">
        <v>46079.930138888885</v>
      </c>
      <c r="B3025">
        <v>353237740</v>
      </c>
      <c r="C3025" s="2" t="s">
        <v>2832</v>
      </c>
      <c r="D3025" t="s">
        <v>15</v>
      </c>
      <c r="E3025" s="5">
        <v>1000</v>
      </c>
      <c r="F3025" s="3">
        <v>1000</v>
      </c>
      <c r="G3025" s="2">
        <v>700</v>
      </c>
      <c r="I3025" s="2" t="s">
        <v>2828</v>
      </c>
      <c r="J3025" s="2" t="s">
        <v>21</v>
      </c>
      <c r="K3025" t="s">
        <v>18</v>
      </c>
      <c r="L3025" t="str">
        <f>T("9791173011009")</f>
        <v>9791173011009</v>
      </c>
      <c r="M3025" t="str">
        <f t="shared" si="134"/>
        <v/>
      </c>
      <c r="N3025" t="s">
        <v>2833</v>
      </c>
    </row>
    <row r="3026" spans="1:14">
      <c r="A3026" s="1">
        <v>46079.930231481485</v>
      </c>
      <c r="B3026">
        <v>386556274</v>
      </c>
      <c r="C3026" s="2" t="s">
        <v>2535</v>
      </c>
      <c r="D3026" t="s">
        <v>15</v>
      </c>
      <c r="E3026" s="5">
        <v>2000</v>
      </c>
      <c r="F3026" s="3">
        <v>2000</v>
      </c>
      <c r="G3026" s="3">
        <v>1400</v>
      </c>
      <c r="I3026" s="2" t="s">
        <v>2536</v>
      </c>
      <c r="J3026" s="2" t="s">
        <v>197</v>
      </c>
      <c r="K3026" t="s">
        <v>18</v>
      </c>
      <c r="L3026" t="str">
        <f>T("")</f>
        <v/>
      </c>
      <c r="M3026" t="str">
        <f>T("G720:N+A319-20251223071.M001")</f>
        <v>G720:N+A319-20251223071.M001</v>
      </c>
      <c r="N3026" t="s">
        <v>2537</v>
      </c>
    </row>
    <row r="3027" spans="1:14">
      <c r="A3027" s="1">
        <v>46079.950891203705</v>
      </c>
      <c r="B3027">
        <v>386556274</v>
      </c>
      <c r="C3027" s="2" t="s">
        <v>2535</v>
      </c>
      <c r="D3027" t="s">
        <v>15</v>
      </c>
      <c r="E3027" s="5">
        <v>-2000</v>
      </c>
      <c r="F3027" s="3">
        <v>-2000</v>
      </c>
      <c r="G3027" s="3">
        <v>-1400</v>
      </c>
      <c r="H3027" s="1">
        <v>46079.930231481485</v>
      </c>
      <c r="I3027" s="2" t="s">
        <v>2536</v>
      </c>
      <c r="J3027" s="2" t="s">
        <v>197</v>
      </c>
      <c r="K3027" t="s">
        <v>18</v>
      </c>
      <c r="L3027" t="str">
        <f>T("")</f>
        <v/>
      </c>
      <c r="M3027" t="str">
        <f>T("G720:N+A319-20251223071.M001")</f>
        <v>G720:N+A319-20251223071.M001</v>
      </c>
      <c r="N3027" t="s">
        <v>2537</v>
      </c>
    </row>
    <row r="3028" spans="1:14">
      <c r="A3028" s="1">
        <v>46079.938819444447</v>
      </c>
      <c r="B3028">
        <v>323547174</v>
      </c>
      <c r="C3028" s="2" t="s">
        <v>1741</v>
      </c>
      <c r="D3028" t="s">
        <v>15</v>
      </c>
      <c r="E3028" s="5">
        <v>3400</v>
      </c>
      <c r="F3028" s="3">
        <v>3400</v>
      </c>
      <c r="G3028" s="3">
        <v>2380</v>
      </c>
      <c r="I3028" s="2" t="s">
        <v>547</v>
      </c>
      <c r="J3028" s="2" t="s">
        <v>197</v>
      </c>
      <c r="K3028" t="s">
        <v>18</v>
      </c>
      <c r="L3028" t="str">
        <f>T("9791164098347")</f>
        <v>9791164098347</v>
      </c>
      <c r="M3028" t="str">
        <f t="shared" ref="M3028:M3048" si="135">T("")</f>
        <v/>
      </c>
      <c r="N3028" t="s">
        <v>1742</v>
      </c>
    </row>
    <row r="3029" spans="1:14">
      <c r="A3029" s="1">
        <v>46079.942071759258</v>
      </c>
      <c r="B3029">
        <v>386057281</v>
      </c>
      <c r="C3029" s="2" t="s">
        <v>2184</v>
      </c>
      <c r="D3029" t="s">
        <v>68</v>
      </c>
      <c r="E3029" s="5">
        <v>7500</v>
      </c>
      <c r="F3029" s="3">
        <v>7500</v>
      </c>
      <c r="G3029" s="3">
        <v>5250</v>
      </c>
      <c r="I3029" s="2" t="s">
        <v>1772</v>
      </c>
      <c r="J3029" s="2" t="s">
        <v>197</v>
      </c>
      <c r="K3029" t="s">
        <v>18</v>
      </c>
      <c r="L3029" t="str">
        <f>T("9791164093298")</f>
        <v>9791164093298</v>
      </c>
      <c r="M3029" t="str">
        <f t="shared" si="135"/>
        <v/>
      </c>
    </row>
    <row r="3030" spans="1:14">
      <c r="A3030" s="1">
        <v>46079.944710648146</v>
      </c>
      <c r="B3030">
        <v>386057277</v>
      </c>
      <c r="C3030" s="2" t="s">
        <v>1609</v>
      </c>
      <c r="D3030" t="s">
        <v>68</v>
      </c>
      <c r="E3030" s="5">
        <v>3750</v>
      </c>
      <c r="F3030" s="3">
        <v>3750</v>
      </c>
      <c r="G3030" s="3">
        <v>2625</v>
      </c>
      <c r="I3030" s="2" t="s">
        <v>1610</v>
      </c>
      <c r="J3030" s="2" t="s">
        <v>197</v>
      </c>
      <c r="K3030" t="s">
        <v>18</v>
      </c>
      <c r="L3030" t="str">
        <f>T("9791164095315")</f>
        <v>9791164095315</v>
      </c>
      <c r="M3030" t="str">
        <f t="shared" si="135"/>
        <v/>
      </c>
    </row>
    <row r="3031" spans="1:14">
      <c r="A3031" s="1">
        <v>46079.951354166667</v>
      </c>
      <c r="B3031">
        <v>312914667</v>
      </c>
      <c r="C3031" s="2" t="s">
        <v>2834</v>
      </c>
      <c r="D3031" t="s">
        <v>15</v>
      </c>
      <c r="E3031" s="5">
        <v>1000</v>
      </c>
      <c r="F3031" s="3">
        <v>1000</v>
      </c>
      <c r="G3031" s="2">
        <v>700</v>
      </c>
      <c r="I3031" s="2" t="s">
        <v>2835</v>
      </c>
      <c r="J3031" s="2" t="s">
        <v>21</v>
      </c>
      <c r="K3031" t="s">
        <v>18</v>
      </c>
      <c r="L3031" t="str">
        <f>T("9791167837356")</f>
        <v>9791167837356</v>
      </c>
      <c r="M3031" t="str">
        <f t="shared" si="135"/>
        <v/>
      </c>
      <c r="N3031" t="s">
        <v>2836</v>
      </c>
    </row>
    <row r="3032" spans="1:14">
      <c r="A3032" s="1">
        <v>46079.951354166667</v>
      </c>
      <c r="B3032">
        <v>329743970</v>
      </c>
      <c r="C3032" s="2" t="s">
        <v>2837</v>
      </c>
      <c r="D3032" t="s">
        <v>15</v>
      </c>
      <c r="E3032" s="5">
        <v>1200</v>
      </c>
      <c r="F3032" s="3">
        <v>1200</v>
      </c>
      <c r="G3032" s="2">
        <v>840</v>
      </c>
      <c r="I3032" s="2" t="s">
        <v>2835</v>
      </c>
      <c r="J3032" s="2" t="s">
        <v>21</v>
      </c>
      <c r="K3032" t="s">
        <v>18</v>
      </c>
      <c r="L3032" t="str">
        <f>T("9791167839541")</f>
        <v>9791167839541</v>
      </c>
      <c r="M3032" t="str">
        <f t="shared" si="135"/>
        <v/>
      </c>
      <c r="N3032" t="s">
        <v>2838</v>
      </c>
    </row>
    <row r="3033" spans="1:14">
      <c r="A3033" s="1">
        <v>46079.951354166667</v>
      </c>
      <c r="B3033">
        <v>308166708</v>
      </c>
      <c r="C3033" s="2" t="s">
        <v>2839</v>
      </c>
      <c r="D3033" t="s">
        <v>15</v>
      </c>
      <c r="E3033" s="5">
        <v>1000</v>
      </c>
      <c r="F3033" s="3">
        <v>1000</v>
      </c>
      <c r="G3033" s="2">
        <v>700</v>
      </c>
      <c r="I3033" s="2" t="s">
        <v>2835</v>
      </c>
      <c r="J3033" s="2" t="s">
        <v>21</v>
      </c>
      <c r="K3033" t="s">
        <v>18</v>
      </c>
      <c r="L3033" t="str">
        <f>T("9791167835086")</f>
        <v>9791167835086</v>
      </c>
      <c r="M3033" t="str">
        <f t="shared" si="135"/>
        <v/>
      </c>
      <c r="N3033" t="s">
        <v>2840</v>
      </c>
    </row>
    <row r="3034" spans="1:14">
      <c r="A3034" s="1">
        <v>46079.954641203702</v>
      </c>
      <c r="B3034">
        <v>312661148</v>
      </c>
      <c r="C3034" s="2" t="s">
        <v>2191</v>
      </c>
      <c r="D3034" t="s">
        <v>15</v>
      </c>
      <c r="E3034" s="5">
        <v>1000</v>
      </c>
      <c r="F3034" s="3">
        <v>1000</v>
      </c>
      <c r="G3034" s="2">
        <v>700</v>
      </c>
      <c r="I3034" s="2" t="s">
        <v>877</v>
      </c>
      <c r="J3034" s="2" t="s">
        <v>177</v>
      </c>
      <c r="K3034" t="s">
        <v>18</v>
      </c>
      <c r="L3034" t="str">
        <f>T("9791164798773")</f>
        <v>9791164798773</v>
      </c>
      <c r="M3034" t="str">
        <f t="shared" si="135"/>
        <v/>
      </c>
      <c r="N3034" t="s">
        <v>2192</v>
      </c>
    </row>
    <row r="3035" spans="1:14">
      <c r="A3035" s="1">
        <v>46079.955497685187</v>
      </c>
      <c r="B3035">
        <v>374949661</v>
      </c>
      <c r="C3035" s="2" t="s">
        <v>1647</v>
      </c>
      <c r="D3035" t="s">
        <v>68</v>
      </c>
      <c r="E3035" s="5">
        <v>3360</v>
      </c>
      <c r="F3035" s="3">
        <v>3360</v>
      </c>
      <c r="G3035" s="3">
        <v>2352</v>
      </c>
      <c r="I3035" s="2" t="s">
        <v>1648</v>
      </c>
      <c r="J3035" s="2" t="s">
        <v>197</v>
      </c>
      <c r="K3035" t="s">
        <v>18</v>
      </c>
      <c r="L3035" t="str">
        <f>T("9791164098552")</f>
        <v>9791164098552</v>
      </c>
      <c r="M3035" t="str">
        <f t="shared" si="135"/>
        <v/>
      </c>
    </row>
    <row r="3036" spans="1:14">
      <c r="A3036" s="1">
        <v>46079.95585648148</v>
      </c>
      <c r="B3036">
        <v>371345723</v>
      </c>
      <c r="C3036" s="2" t="s">
        <v>525</v>
      </c>
      <c r="D3036" t="s">
        <v>68</v>
      </c>
      <c r="E3036" s="5">
        <v>2310</v>
      </c>
      <c r="F3036" s="3">
        <v>2310</v>
      </c>
      <c r="G3036" s="3">
        <v>1617</v>
      </c>
      <c r="I3036" s="2" t="s">
        <v>196</v>
      </c>
      <c r="J3036" s="2" t="s">
        <v>197</v>
      </c>
      <c r="K3036" t="s">
        <v>18</v>
      </c>
      <c r="L3036" t="str">
        <f>T("9791172821692")</f>
        <v>9791172821692</v>
      </c>
      <c r="M3036" t="str">
        <f t="shared" si="135"/>
        <v/>
      </c>
      <c r="N3036" t="s">
        <v>526</v>
      </c>
    </row>
    <row r="3037" spans="1:14">
      <c r="A3037" s="1">
        <v>46079.957488425927</v>
      </c>
      <c r="B3037">
        <v>271275595</v>
      </c>
      <c r="C3037" s="2" t="s">
        <v>2638</v>
      </c>
      <c r="D3037" t="s">
        <v>15</v>
      </c>
      <c r="E3037" s="5">
        <v>3000</v>
      </c>
      <c r="F3037" s="3">
        <v>3000</v>
      </c>
      <c r="G3037" s="3">
        <v>2100</v>
      </c>
      <c r="I3037" s="2" t="s">
        <v>540</v>
      </c>
      <c r="J3037" s="2" t="s">
        <v>197</v>
      </c>
      <c r="K3037" t="s">
        <v>18</v>
      </c>
      <c r="L3037" t="str">
        <f>T("9791164094301")</f>
        <v>9791164094301</v>
      </c>
      <c r="M3037" t="str">
        <f t="shared" si="135"/>
        <v/>
      </c>
      <c r="N3037" t="s">
        <v>2639</v>
      </c>
    </row>
    <row r="3038" spans="1:14">
      <c r="A3038" s="1">
        <v>46079.960081018522</v>
      </c>
      <c r="B3038">
        <v>386057276</v>
      </c>
      <c r="C3038" s="2" t="s">
        <v>1681</v>
      </c>
      <c r="D3038" t="s">
        <v>68</v>
      </c>
      <c r="E3038" s="5">
        <v>8100</v>
      </c>
      <c r="F3038" s="3">
        <v>8100</v>
      </c>
      <c r="G3038" s="3">
        <v>5670</v>
      </c>
      <c r="I3038" s="2" t="s">
        <v>1682</v>
      </c>
      <c r="J3038" s="2" t="s">
        <v>197</v>
      </c>
      <c r="K3038" t="s">
        <v>18</v>
      </c>
      <c r="L3038" t="str">
        <f>T("9791164097661")</f>
        <v>9791164097661</v>
      </c>
      <c r="M3038" t="str">
        <f t="shared" si="135"/>
        <v/>
      </c>
    </row>
    <row r="3039" spans="1:14">
      <c r="A3039" s="1">
        <v>46079.966469907406</v>
      </c>
      <c r="B3039">
        <v>328759043</v>
      </c>
      <c r="C3039" s="2" t="s">
        <v>1537</v>
      </c>
      <c r="D3039" t="s">
        <v>68</v>
      </c>
      <c r="E3039" s="4">
        <v>840</v>
      </c>
      <c r="F3039" s="2">
        <v>840</v>
      </c>
      <c r="G3039" s="2">
        <v>588</v>
      </c>
      <c r="I3039" s="2" t="s">
        <v>852</v>
      </c>
      <c r="J3039" s="2" t="s">
        <v>197</v>
      </c>
      <c r="K3039" t="s">
        <v>18</v>
      </c>
      <c r="L3039" t="str">
        <f>T("9791164099269")</f>
        <v>9791164099269</v>
      </c>
      <c r="M3039" t="str">
        <f t="shared" si="135"/>
        <v/>
      </c>
    </row>
    <row r="3040" spans="1:14">
      <c r="A3040" s="1">
        <v>46079.967083333337</v>
      </c>
      <c r="B3040">
        <v>385347797</v>
      </c>
      <c r="C3040" s="2" t="s">
        <v>195</v>
      </c>
      <c r="D3040" t="s">
        <v>15</v>
      </c>
      <c r="E3040" s="4">
        <v>700</v>
      </c>
      <c r="F3040" s="2">
        <v>630</v>
      </c>
      <c r="G3040" s="2">
        <v>441</v>
      </c>
      <c r="I3040" s="2" t="s">
        <v>196</v>
      </c>
      <c r="J3040" s="2" t="s">
        <v>197</v>
      </c>
      <c r="K3040" t="s">
        <v>18</v>
      </c>
      <c r="L3040" t="str">
        <f>T("9791172821937")</f>
        <v>9791172821937</v>
      </c>
      <c r="M3040" t="str">
        <f t="shared" si="135"/>
        <v/>
      </c>
      <c r="N3040" t="s">
        <v>198</v>
      </c>
    </row>
    <row r="3041" spans="1:14">
      <c r="A3041" s="1">
        <v>46079.968981481485</v>
      </c>
      <c r="B3041">
        <v>386057277</v>
      </c>
      <c r="C3041" s="2" t="s">
        <v>1609</v>
      </c>
      <c r="D3041" t="s">
        <v>68</v>
      </c>
      <c r="E3041" s="5">
        <v>3750</v>
      </c>
      <c r="F3041" s="3">
        <v>3750</v>
      </c>
      <c r="G3041" s="3">
        <v>2625</v>
      </c>
      <c r="I3041" s="2" t="s">
        <v>1610</v>
      </c>
      <c r="J3041" s="2" t="s">
        <v>197</v>
      </c>
      <c r="K3041" t="s">
        <v>18</v>
      </c>
      <c r="L3041" t="str">
        <f>T("9791164095315")</f>
        <v>9791164095315</v>
      </c>
      <c r="M3041" t="str">
        <f t="shared" si="135"/>
        <v/>
      </c>
    </row>
    <row r="3042" spans="1:14">
      <c r="A3042" s="1">
        <v>46079.974687499998</v>
      </c>
      <c r="B3042">
        <v>370129984</v>
      </c>
      <c r="C3042" s="2" t="s">
        <v>2489</v>
      </c>
      <c r="D3042" t="s">
        <v>15</v>
      </c>
      <c r="E3042" s="5">
        <v>3600</v>
      </c>
      <c r="F3042" s="3">
        <v>3600</v>
      </c>
      <c r="G3042" s="3">
        <v>2520</v>
      </c>
      <c r="I3042" s="2" t="s">
        <v>135</v>
      </c>
      <c r="J3042" s="2" t="s">
        <v>65</v>
      </c>
      <c r="K3042" t="s">
        <v>18</v>
      </c>
      <c r="L3042" t="str">
        <f>T("9791137019560")</f>
        <v>9791137019560</v>
      </c>
      <c r="M3042" t="str">
        <f t="shared" si="135"/>
        <v/>
      </c>
      <c r="N3042" t="s">
        <v>2490</v>
      </c>
    </row>
    <row r="3043" spans="1:14">
      <c r="A3043" s="1">
        <v>46079.979247685187</v>
      </c>
      <c r="B3043">
        <v>328759043</v>
      </c>
      <c r="C3043" s="2" t="s">
        <v>1537</v>
      </c>
      <c r="D3043" t="s">
        <v>68</v>
      </c>
      <c r="E3043" s="4">
        <v>-840</v>
      </c>
      <c r="F3043" s="2">
        <v>-840</v>
      </c>
      <c r="G3043" s="2">
        <v>-588</v>
      </c>
      <c r="H3043" s="1">
        <v>46079.975659722222</v>
      </c>
      <c r="I3043" s="2" t="s">
        <v>852</v>
      </c>
      <c r="J3043" s="2" t="s">
        <v>197</v>
      </c>
      <c r="K3043" t="s">
        <v>18</v>
      </c>
      <c r="L3043" t="str">
        <f>T("9791164099269")</f>
        <v>9791164099269</v>
      </c>
      <c r="M3043" t="str">
        <f t="shared" si="135"/>
        <v/>
      </c>
    </row>
    <row r="3044" spans="1:14">
      <c r="A3044" s="1">
        <v>46079.975659722222</v>
      </c>
      <c r="B3044">
        <v>328759043</v>
      </c>
      <c r="C3044" s="2" t="s">
        <v>1537</v>
      </c>
      <c r="D3044" t="s">
        <v>68</v>
      </c>
      <c r="E3044" s="4">
        <v>840</v>
      </c>
      <c r="F3044" s="2">
        <v>840</v>
      </c>
      <c r="G3044" s="2">
        <v>588</v>
      </c>
      <c r="I3044" s="2" t="s">
        <v>852</v>
      </c>
      <c r="J3044" s="2" t="s">
        <v>197</v>
      </c>
      <c r="K3044" t="s">
        <v>18</v>
      </c>
      <c r="L3044" t="str">
        <f>T("9791164099269")</f>
        <v>9791164099269</v>
      </c>
      <c r="M3044" t="str">
        <f t="shared" si="135"/>
        <v/>
      </c>
    </row>
    <row r="3045" spans="1:14">
      <c r="A3045" s="1">
        <v>46079.980787037035</v>
      </c>
      <c r="B3045">
        <v>371345723</v>
      </c>
      <c r="C3045" s="2" t="s">
        <v>525</v>
      </c>
      <c r="D3045" t="s">
        <v>68</v>
      </c>
      <c r="E3045" s="5">
        <v>2310</v>
      </c>
      <c r="F3045" s="3">
        <v>2310</v>
      </c>
      <c r="G3045" s="3">
        <v>1617</v>
      </c>
      <c r="I3045" s="2" t="s">
        <v>196</v>
      </c>
      <c r="J3045" s="2" t="s">
        <v>197</v>
      </c>
      <c r="K3045" t="s">
        <v>18</v>
      </c>
      <c r="L3045" t="str">
        <f>T("9791172821692")</f>
        <v>9791172821692</v>
      </c>
      <c r="M3045" t="str">
        <f t="shared" si="135"/>
        <v/>
      </c>
      <c r="N3045" t="s">
        <v>526</v>
      </c>
    </row>
    <row r="3046" spans="1:14">
      <c r="A3046" s="1">
        <v>46079.984560185185</v>
      </c>
      <c r="B3046">
        <v>375539688</v>
      </c>
      <c r="C3046" s="2" t="s">
        <v>1802</v>
      </c>
      <c r="D3046" t="s">
        <v>15</v>
      </c>
      <c r="E3046" s="5">
        <v>1000</v>
      </c>
      <c r="F3046" s="3">
        <v>1000</v>
      </c>
      <c r="G3046" s="2">
        <v>700</v>
      </c>
      <c r="I3046" s="2" t="s">
        <v>928</v>
      </c>
      <c r="J3046" s="2" t="s">
        <v>21</v>
      </c>
      <c r="K3046" t="s">
        <v>18</v>
      </c>
      <c r="L3046" t="str">
        <f>T("9791173019029")</f>
        <v>9791173019029</v>
      </c>
      <c r="M3046" t="str">
        <f t="shared" si="135"/>
        <v/>
      </c>
      <c r="N3046" t="s">
        <v>1803</v>
      </c>
    </row>
    <row r="3047" spans="1:14">
      <c r="A3047" s="1">
        <v>46079.984560185185</v>
      </c>
      <c r="B3047">
        <v>377162010</v>
      </c>
      <c r="C3047" s="2" t="s">
        <v>1804</v>
      </c>
      <c r="D3047" t="s">
        <v>15</v>
      </c>
      <c r="E3047" s="5">
        <v>1000</v>
      </c>
      <c r="F3047" s="3">
        <v>1000</v>
      </c>
      <c r="G3047" s="2">
        <v>700</v>
      </c>
      <c r="I3047" s="2" t="s">
        <v>928</v>
      </c>
      <c r="J3047" s="2" t="s">
        <v>21</v>
      </c>
      <c r="K3047" t="s">
        <v>18</v>
      </c>
      <c r="L3047" t="str">
        <f>T("9791173019357")</f>
        <v>9791173019357</v>
      </c>
      <c r="M3047" t="str">
        <f t="shared" si="135"/>
        <v/>
      </c>
      <c r="N3047" t="s">
        <v>1805</v>
      </c>
    </row>
    <row r="3048" spans="1:14">
      <c r="A3048" s="1">
        <v>46079.984560185185</v>
      </c>
      <c r="B3048">
        <v>379921095</v>
      </c>
      <c r="C3048" s="2" t="s">
        <v>927</v>
      </c>
      <c r="D3048" t="s">
        <v>15</v>
      </c>
      <c r="E3048" s="5">
        <v>1000</v>
      </c>
      <c r="F3048" s="3">
        <v>1000</v>
      </c>
      <c r="G3048" s="2">
        <v>700</v>
      </c>
      <c r="I3048" s="2" t="s">
        <v>928</v>
      </c>
      <c r="J3048" s="2" t="s">
        <v>21</v>
      </c>
      <c r="K3048" t="s">
        <v>18</v>
      </c>
      <c r="L3048" t="str">
        <f>T("9791175581319")</f>
        <v>9791175581319</v>
      </c>
      <c r="M3048" t="str">
        <f t="shared" si="135"/>
        <v/>
      </c>
      <c r="N3048" t="s">
        <v>929</v>
      </c>
    </row>
    <row r="3049" spans="1:14">
      <c r="A3049" s="1">
        <v>46079.9846412037</v>
      </c>
      <c r="B3049">
        <v>386556274</v>
      </c>
      <c r="C3049" s="2" t="s">
        <v>2535</v>
      </c>
      <c r="D3049" t="s">
        <v>15</v>
      </c>
      <c r="E3049" s="5">
        <v>2000</v>
      </c>
      <c r="F3049" s="3">
        <v>2000</v>
      </c>
      <c r="G3049" s="3">
        <v>1400</v>
      </c>
      <c r="I3049" s="2" t="s">
        <v>2536</v>
      </c>
      <c r="J3049" s="2" t="s">
        <v>197</v>
      </c>
      <c r="K3049" t="s">
        <v>18</v>
      </c>
      <c r="L3049" t="str">
        <f>T("")</f>
        <v/>
      </c>
      <c r="M3049" t="str">
        <f>T("G720:N+A319-20251223071.M001")</f>
        <v>G720:N+A319-20251223071.M001</v>
      </c>
      <c r="N3049" t="s">
        <v>2537</v>
      </c>
    </row>
    <row r="3050" spans="1:14">
      <c r="A3050" s="1">
        <v>46079.985393518517</v>
      </c>
      <c r="B3050">
        <v>346670644</v>
      </c>
      <c r="C3050" s="2" t="s">
        <v>967</v>
      </c>
      <c r="D3050" t="s">
        <v>15</v>
      </c>
      <c r="E3050" s="5">
        <v>1000</v>
      </c>
      <c r="F3050" s="3">
        <v>1000</v>
      </c>
      <c r="G3050" s="2">
        <v>700</v>
      </c>
      <c r="I3050" s="2" t="s">
        <v>89</v>
      </c>
      <c r="J3050" s="2" t="s">
        <v>200</v>
      </c>
      <c r="K3050" t="s">
        <v>18</v>
      </c>
      <c r="L3050" t="str">
        <f>T("9791170897682")</f>
        <v>9791170897682</v>
      </c>
      <c r="M3050" t="str">
        <f t="shared" ref="M3050:M3066" si="136">T("")</f>
        <v/>
      </c>
      <c r="N3050" t="s">
        <v>968</v>
      </c>
    </row>
    <row r="3051" spans="1:14">
      <c r="A3051" s="1">
        <v>46079.985393518517</v>
      </c>
      <c r="B3051">
        <v>342478233</v>
      </c>
      <c r="C3051" s="2" t="s">
        <v>2412</v>
      </c>
      <c r="D3051" t="s">
        <v>15</v>
      </c>
      <c r="E3051" s="5">
        <v>3200</v>
      </c>
      <c r="F3051" s="3">
        <v>3200</v>
      </c>
      <c r="G3051" s="3">
        <v>2240</v>
      </c>
      <c r="I3051" s="2" t="s">
        <v>89</v>
      </c>
      <c r="J3051" s="2" t="s">
        <v>200</v>
      </c>
      <c r="K3051" t="s">
        <v>18</v>
      </c>
      <c r="L3051" t="str">
        <f>T("9791170895602")</f>
        <v>9791170895602</v>
      </c>
      <c r="M3051" t="str">
        <f t="shared" si="136"/>
        <v/>
      </c>
      <c r="N3051" t="s">
        <v>2413</v>
      </c>
    </row>
    <row r="3052" spans="1:14">
      <c r="A3052" s="1">
        <v>46079.986076388886</v>
      </c>
      <c r="B3052">
        <v>328759043</v>
      </c>
      <c r="C3052" s="2" t="s">
        <v>1537</v>
      </c>
      <c r="D3052" t="s">
        <v>68</v>
      </c>
      <c r="E3052" s="4">
        <v>840</v>
      </c>
      <c r="F3052" s="2">
        <v>840</v>
      </c>
      <c r="G3052" s="2">
        <v>588</v>
      </c>
      <c r="I3052" s="2" t="s">
        <v>852</v>
      </c>
      <c r="J3052" s="2" t="s">
        <v>197</v>
      </c>
      <c r="K3052" t="s">
        <v>18</v>
      </c>
      <c r="L3052" t="str">
        <f>T("9791164099269")</f>
        <v>9791164099269</v>
      </c>
      <c r="M3052" t="str">
        <f t="shared" si="136"/>
        <v/>
      </c>
    </row>
    <row r="3053" spans="1:14">
      <c r="A3053" s="1">
        <v>46079.987893518519</v>
      </c>
      <c r="B3053">
        <v>328523078</v>
      </c>
      <c r="C3053" s="2" t="s">
        <v>2841</v>
      </c>
      <c r="D3053" t="s">
        <v>15</v>
      </c>
      <c r="E3053" s="5">
        <v>1000</v>
      </c>
      <c r="F3053" s="3">
        <v>1000</v>
      </c>
      <c r="G3053" s="2">
        <v>700</v>
      </c>
      <c r="I3053" s="2" t="s">
        <v>2842</v>
      </c>
      <c r="J3053" s="2" t="s">
        <v>21</v>
      </c>
      <c r="K3053" t="s">
        <v>18</v>
      </c>
      <c r="L3053" t="str">
        <f>T("9791170892144")</f>
        <v>9791170892144</v>
      </c>
      <c r="M3053" t="str">
        <f t="shared" si="136"/>
        <v/>
      </c>
      <c r="N3053" t="s">
        <v>2843</v>
      </c>
    </row>
    <row r="3054" spans="1:14">
      <c r="A3054" s="1">
        <v>46079.990081018521</v>
      </c>
      <c r="B3054">
        <v>277935667</v>
      </c>
      <c r="C3054" s="2" t="s">
        <v>2382</v>
      </c>
      <c r="D3054" t="s">
        <v>15</v>
      </c>
      <c r="E3054" s="4">
        <v>100</v>
      </c>
      <c r="F3054" s="2">
        <v>100</v>
      </c>
      <c r="G3054" s="2">
        <v>70</v>
      </c>
      <c r="I3054" s="2" t="s">
        <v>64</v>
      </c>
      <c r="J3054" s="2" t="s">
        <v>65</v>
      </c>
      <c r="K3054" t="s">
        <v>18</v>
      </c>
      <c r="L3054" t="str">
        <f>T("9791162589724")</f>
        <v>9791162589724</v>
      </c>
      <c r="M3054" t="str">
        <f t="shared" si="136"/>
        <v/>
      </c>
      <c r="N3054" t="s">
        <v>2383</v>
      </c>
    </row>
    <row r="3055" spans="1:14">
      <c r="A3055" s="1">
        <v>46079.990081018521</v>
      </c>
      <c r="B3055">
        <v>277935674</v>
      </c>
      <c r="C3055" s="2" t="s">
        <v>2380</v>
      </c>
      <c r="D3055" t="s">
        <v>15</v>
      </c>
      <c r="E3055" s="4">
        <v>100</v>
      </c>
      <c r="F3055" s="2">
        <v>100</v>
      </c>
      <c r="G3055" s="2">
        <v>70</v>
      </c>
      <c r="I3055" s="2" t="s">
        <v>64</v>
      </c>
      <c r="J3055" s="2" t="s">
        <v>65</v>
      </c>
      <c r="K3055" t="s">
        <v>18</v>
      </c>
      <c r="L3055" t="str">
        <f>T("9791162589724")</f>
        <v>9791162589724</v>
      </c>
      <c r="M3055" t="str">
        <f t="shared" si="136"/>
        <v/>
      </c>
      <c r="N3055" t="s">
        <v>2381</v>
      </c>
    </row>
    <row r="3056" spans="1:14">
      <c r="A3056" s="1">
        <v>46079.991273148145</v>
      </c>
      <c r="B3056">
        <v>386057277</v>
      </c>
      <c r="C3056" s="2" t="s">
        <v>1609</v>
      </c>
      <c r="D3056" t="s">
        <v>68</v>
      </c>
      <c r="E3056" s="5">
        <v>3750</v>
      </c>
      <c r="F3056" s="3">
        <v>3750</v>
      </c>
      <c r="G3056" s="3">
        <v>2625</v>
      </c>
      <c r="I3056" s="2" t="s">
        <v>1610</v>
      </c>
      <c r="J3056" s="2" t="s">
        <v>197</v>
      </c>
      <c r="K3056" t="s">
        <v>18</v>
      </c>
      <c r="L3056" t="str">
        <f>T("9791164095315")</f>
        <v>9791164095315</v>
      </c>
      <c r="M3056" t="str">
        <f t="shared" si="136"/>
        <v/>
      </c>
    </row>
    <row r="3057" spans="1:14">
      <c r="A3057" s="1">
        <v>46079.993888888886</v>
      </c>
      <c r="B3057">
        <v>385347715</v>
      </c>
      <c r="C3057" s="2" t="s">
        <v>186</v>
      </c>
      <c r="D3057" t="s">
        <v>15</v>
      </c>
      <c r="E3057" s="5">
        <v>2000</v>
      </c>
      <c r="F3057" s="3">
        <v>1800</v>
      </c>
      <c r="G3057" s="3">
        <v>1260</v>
      </c>
      <c r="I3057" s="2" t="s">
        <v>187</v>
      </c>
      <c r="J3057" s="2" t="s">
        <v>188</v>
      </c>
      <c r="K3057" t="s">
        <v>18</v>
      </c>
      <c r="L3057" t="str">
        <f>T("9791164835362")</f>
        <v>9791164835362</v>
      </c>
      <c r="M3057" t="str">
        <f t="shared" si="136"/>
        <v/>
      </c>
      <c r="N3057" t="s">
        <v>189</v>
      </c>
    </row>
    <row r="3058" spans="1:14">
      <c r="A3058" s="1">
        <v>46079.993888888886</v>
      </c>
      <c r="B3058">
        <v>331022261</v>
      </c>
      <c r="C3058" s="2" t="s">
        <v>2844</v>
      </c>
      <c r="D3058" t="s">
        <v>15</v>
      </c>
      <c r="E3058" s="5">
        <v>1000</v>
      </c>
      <c r="F3058" s="3">
        <v>1000</v>
      </c>
      <c r="G3058" s="2">
        <v>700</v>
      </c>
      <c r="I3058" s="2" t="s">
        <v>2845</v>
      </c>
      <c r="J3058" s="2" t="s">
        <v>2039</v>
      </c>
      <c r="K3058" t="s">
        <v>18</v>
      </c>
      <c r="L3058" t="str">
        <f>T("9791170892632")</f>
        <v>9791170892632</v>
      </c>
      <c r="M3058" t="str">
        <f t="shared" si="136"/>
        <v/>
      </c>
      <c r="N3058" t="s">
        <v>2846</v>
      </c>
    </row>
    <row r="3059" spans="1:14">
      <c r="A3059" s="1">
        <v>46079.994942129626</v>
      </c>
      <c r="B3059">
        <v>189861482</v>
      </c>
      <c r="C3059" s="2" t="s">
        <v>2607</v>
      </c>
      <c r="D3059" t="s">
        <v>15</v>
      </c>
      <c r="E3059" s="4">
        <v>0</v>
      </c>
      <c r="F3059" s="2">
        <v>0</v>
      </c>
      <c r="G3059" s="2">
        <v>0</v>
      </c>
      <c r="I3059" s="2" t="s">
        <v>196</v>
      </c>
      <c r="J3059" s="2" t="s">
        <v>197</v>
      </c>
      <c r="K3059" t="s">
        <v>18</v>
      </c>
      <c r="L3059" t="str">
        <f>T("9791164090068")</f>
        <v>9791164090068</v>
      </c>
      <c r="M3059" t="str">
        <f t="shared" si="136"/>
        <v/>
      </c>
    </row>
    <row r="3060" spans="1:14">
      <c r="A3060" s="1">
        <v>46079.995717592596</v>
      </c>
      <c r="B3060">
        <v>337247343</v>
      </c>
      <c r="C3060" s="2" t="s">
        <v>2847</v>
      </c>
      <c r="D3060" t="s">
        <v>15</v>
      </c>
      <c r="E3060" s="5">
        <v>1000</v>
      </c>
      <c r="F3060" s="3">
        <v>1000</v>
      </c>
      <c r="G3060" s="2">
        <v>700</v>
      </c>
      <c r="I3060" s="2" t="s">
        <v>89</v>
      </c>
      <c r="J3060" s="2" t="s">
        <v>21</v>
      </c>
      <c r="K3060" t="s">
        <v>18</v>
      </c>
      <c r="L3060" t="str">
        <f>T("9791170894599")</f>
        <v>9791170894599</v>
      </c>
      <c r="M3060" t="str">
        <f t="shared" si="136"/>
        <v/>
      </c>
      <c r="N3060" t="s">
        <v>2848</v>
      </c>
    </row>
    <row r="3061" spans="1:14">
      <c r="A3061" s="1">
        <v>46079.995717592596</v>
      </c>
      <c r="B3061">
        <v>327905547</v>
      </c>
      <c r="C3061" s="2" t="s">
        <v>2849</v>
      </c>
      <c r="D3061" t="s">
        <v>15</v>
      </c>
      <c r="E3061" s="5">
        <v>3000</v>
      </c>
      <c r="F3061" s="3">
        <v>3000</v>
      </c>
      <c r="G3061" s="3">
        <v>2100</v>
      </c>
      <c r="I3061" s="2" t="s">
        <v>89</v>
      </c>
      <c r="J3061" s="2" t="s">
        <v>21</v>
      </c>
      <c r="K3061" t="s">
        <v>18</v>
      </c>
      <c r="L3061" t="str">
        <f>T("9791170891178")</f>
        <v>9791170891178</v>
      </c>
      <c r="M3061" t="str">
        <f t="shared" si="136"/>
        <v/>
      </c>
      <c r="N3061" t="s">
        <v>2850</v>
      </c>
    </row>
    <row r="3062" spans="1:14">
      <c r="A3062" s="1">
        <v>46080.003888888888</v>
      </c>
      <c r="B3062">
        <v>386057128</v>
      </c>
      <c r="C3062" s="2" t="s">
        <v>1797</v>
      </c>
      <c r="D3062" t="s">
        <v>15</v>
      </c>
      <c r="E3062" s="5">
        <v>16800</v>
      </c>
      <c r="F3062" s="3">
        <v>16800</v>
      </c>
      <c r="G3062" s="3">
        <v>11760</v>
      </c>
      <c r="I3062" s="2" t="s">
        <v>540</v>
      </c>
      <c r="J3062" s="2" t="s">
        <v>197</v>
      </c>
      <c r="K3062" t="s">
        <v>18</v>
      </c>
      <c r="L3062" t="str">
        <f>T("9791164098934")</f>
        <v>9791164098934</v>
      </c>
      <c r="M3062" t="str">
        <f t="shared" si="136"/>
        <v/>
      </c>
    </row>
    <row r="3063" spans="1:14">
      <c r="A3063" s="1">
        <v>46080.003888888888</v>
      </c>
      <c r="B3063">
        <v>211909257</v>
      </c>
      <c r="C3063" s="2" t="s">
        <v>1665</v>
      </c>
      <c r="D3063" t="s">
        <v>68</v>
      </c>
      <c r="E3063" s="5">
        <v>6500</v>
      </c>
      <c r="F3063" s="3">
        <v>6500</v>
      </c>
      <c r="G3063" s="3">
        <v>4550</v>
      </c>
      <c r="I3063" s="2" t="s">
        <v>196</v>
      </c>
      <c r="J3063" s="2" t="s">
        <v>197</v>
      </c>
      <c r="K3063" t="s">
        <v>18</v>
      </c>
      <c r="L3063" t="str">
        <f>T("9791164090693")</f>
        <v>9791164090693</v>
      </c>
      <c r="M3063" t="str">
        <f t="shared" si="136"/>
        <v/>
      </c>
    </row>
    <row r="3064" spans="1:14">
      <c r="A3064" s="1">
        <v>46080.01284722222</v>
      </c>
      <c r="B3064">
        <v>379511327</v>
      </c>
      <c r="C3064" s="2" t="s">
        <v>262</v>
      </c>
      <c r="D3064" t="s">
        <v>15</v>
      </c>
      <c r="E3064" s="5">
        <v>3300</v>
      </c>
      <c r="F3064" s="3">
        <v>3300</v>
      </c>
      <c r="G3064" s="3">
        <v>2310</v>
      </c>
      <c r="I3064" s="2" t="s">
        <v>263</v>
      </c>
      <c r="J3064" s="2" t="s">
        <v>126</v>
      </c>
      <c r="K3064" t="s">
        <v>18</v>
      </c>
      <c r="L3064" t="str">
        <f>T("9791171502875")</f>
        <v>9791171502875</v>
      </c>
      <c r="M3064" t="str">
        <f t="shared" si="136"/>
        <v/>
      </c>
      <c r="N3064" t="s">
        <v>264</v>
      </c>
    </row>
    <row r="3065" spans="1:14">
      <c r="A3065" s="1">
        <v>46080.065428240741</v>
      </c>
      <c r="B3065">
        <v>379511327</v>
      </c>
      <c r="C3065" s="2" t="s">
        <v>262</v>
      </c>
      <c r="D3065" t="s">
        <v>15</v>
      </c>
      <c r="E3065" s="5">
        <v>3300</v>
      </c>
      <c r="F3065" s="3">
        <v>3300</v>
      </c>
      <c r="G3065" s="3">
        <v>2310</v>
      </c>
      <c r="I3065" s="2" t="s">
        <v>263</v>
      </c>
      <c r="J3065" s="2" t="s">
        <v>126</v>
      </c>
      <c r="K3065" t="s">
        <v>18</v>
      </c>
      <c r="L3065" t="str">
        <f>T("9791171502875")</f>
        <v>9791171502875</v>
      </c>
      <c r="M3065" t="str">
        <f t="shared" si="136"/>
        <v/>
      </c>
      <c r="N3065" t="s">
        <v>264</v>
      </c>
    </row>
    <row r="3066" spans="1:14">
      <c r="A3066" s="1">
        <v>46080.106053240743</v>
      </c>
      <c r="B3066">
        <v>384954618</v>
      </c>
      <c r="C3066" s="2" t="s">
        <v>76</v>
      </c>
      <c r="D3066" t="s">
        <v>15</v>
      </c>
      <c r="E3066" s="5">
        <v>1000</v>
      </c>
      <c r="F3066" s="3">
        <v>1000</v>
      </c>
      <c r="G3066" s="2">
        <v>700</v>
      </c>
      <c r="I3066" s="2" t="s">
        <v>77</v>
      </c>
      <c r="J3066" s="2" t="s">
        <v>21</v>
      </c>
      <c r="K3066" t="s">
        <v>18</v>
      </c>
      <c r="L3066" t="str">
        <f>T("9791175582477")</f>
        <v>9791175582477</v>
      </c>
      <c r="M3066" t="str">
        <f t="shared" si="136"/>
        <v/>
      </c>
      <c r="N3066" t="s">
        <v>78</v>
      </c>
    </row>
    <row r="3067" spans="1:14">
      <c r="A3067" s="1">
        <v>46080.189629629633</v>
      </c>
      <c r="B3067">
        <v>385852477</v>
      </c>
      <c r="C3067" s="2" t="s">
        <v>1329</v>
      </c>
      <c r="D3067" t="s">
        <v>68</v>
      </c>
      <c r="E3067" s="4">
        <v>900</v>
      </c>
      <c r="F3067" s="2">
        <v>900</v>
      </c>
      <c r="G3067" s="2">
        <v>630</v>
      </c>
      <c r="I3067" s="2" t="s">
        <v>1229</v>
      </c>
      <c r="J3067" s="2" t="s">
        <v>960</v>
      </c>
      <c r="K3067" t="s">
        <v>18</v>
      </c>
      <c r="L3067" t="str">
        <f>T("")</f>
        <v/>
      </c>
      <c r="M3067" t="str">
        <f>T("G720:N+A378-20260112081.M002")</f>
        <v>G720:N+A378-20260112081.M002</v>
      </c>
      <c r="N3067" t="s">
        <v>1330</v>
      </c>
    </row>
    <row r="3068" spans="1:14">
      <c r="A3068" s="1">
        <v>46080.194467592592</v>
      </c>
      <c r="B3068">
        <v>355155051</v>
      </c>
      <c r="C3068" s="2" t="s">
        <v>168</v>
      </c>
      <c r="D3068" t="s">
        <v>15</v>
      </c>
      <c r="E3068" s="5">
        <v>1200</v>
      </c>
      <c r="F3068" s="3">
        <v>1200</v>
      </c>
      <c r="G3068" s="2">
        <v>840</v>
      </c>
      <c r="I3068" s="2" t="s">
        <v>169</v>
      </c>
      <c r="J3068" s="2" t="s">
        <v>21</v>
      </c>
      <c r="K3068" t="s">
        <v>18</v>
      </c>
      <c r="L3068" t="str">
        <f>T("9791173011139")</f>
        <v>9791173011139</v>
      </c>
      <c r="M3068" t="str">
        <f>T("")</f>
        <v/>
      </c>
      <c r="N3068" t="s">
        <v>170</v>
      </c>
    </row>
    <row r="3069" spans="1:14">
      <c r="A3069" s="1">
        <v>46080.300370370373</v>
      </c>
      <c r="B3069">
        <v>385852480</v>
      </c>
      <c r="C3069" s="2" t="s">
        <v>1337</v>
      </c>
      <c r="D3069" t="s">
        <v>68</v>
      </c>
      <c r="E3069" s="4">
        <v>900</v>
      </c>
      <c r="F3069" s="2">
        <v>900</v>
      </c>
      <c r="G3069" s="2">
        <v>630</v>
      </c>
      <c r="I3069" s="2" t="s">
        <v>1229</v>
      </c>
      <c r="J3069" s="2" t="s">
        <v>960</v>
      </c>
      <c r="K3069" t="s">
        <v>18</v>
      </c>
      <c r="L3069" t="str">
        <f>T("")</f>
        <v/>
      </c>
      <c r="M3069" t="str">
        <f>T("G720:N+A378-20260112081.M003")</f>
        <v>G720:N+A378-20260112081.M003</v>
      </c>
      <c r="N3069" t="s">
        <v>1338</v>
      </c>
    </row>
    <row r="3070" spans="1:14">
      <c r="A3070" s="1">
        <v>46080.370300925926</v>
      </c>
      <c r="B3070">
        <v>385347823</v>
      </c>
      <c r="C3070" s="2" t="s">
        <v>2851</v>
      </c>
      <c r="D3070" t="s">
        <v>68</v>
      </c>
      <c r="E3070" s="4">
        <v>900</v>
      </c>
      <c r="F3070" s="2">
        <v>900</v>
      </c>
      <c r="G3070" s="2">
        <v>630</v>
      </c>
      <c r="I3070" s="2" t="s">
        <v>213</v>
      </c>
      <c r="J3070" s="2" t="s">
        <v>161</v>
      </c>
      <c r="K3070" t="s">
        <v>18</v>
      </c>
      <c r="L3070" t="str">
        <f>T("9791173261589")</f>
        <v>9791173261589</v>
      </c>
      <c r="M3070" t="str">
        <f>T("")</f>
        <v/>
      </c>
      <c r="N3070" t="s">
        <v>2852</v>
      </c>
    </row>
    <row r="3071" spans="1:14">
      <c r="A3071" s="1">
        <v>46080.411203703705</v>
      </c>
      <c r="B3071">
        <v>243003043</v>
      </c>
      <c r="C3071" s="2" t="s">
        <v>2853</v>
      </c>
      <c r="D3071" t="s">
        <v>15</v>
      </c>
      <c r="E3071" s="5">
        <v>3500</v>
      </c>
      <c r="F3071" s="3">
        <v>3150</v>
      </c>
      <c r="G3071" s="3">
        <v>2205</v>
      </c>
      <c r="I3071" s="2" t="s">
        <v>2046</v>
      </c>
      <c r="J3071" s="2" t="s">
        <v>476</v>
      </c>
      <c r="K3071" t="s">
        <v>18</v>
      </c>
      <c r="L3071" t="str">
        <f>T("9791157936144")</f>
        <v>9791157936144</v>
      </c>
      <c r="M3071" t="str">
        <f>T("")</f>
        <v/>
      </c>
    </row>
    <row r="3072" spans="1:14">
      <c r="A3072" s="1">
        <v>46080.436828703707</v>
      </c>
      <c r="B3072">
        <v>297293516</v>
      </c>
      <c r="C3072" s="2" t="s">
        <v>1943</v>
      </c>
      <c r="D3072" t="s">
        <v>15</v>
      </c>
      <c r="E3072" s="4">
        <v>100</v>
      </c>
      <c r="F3072" s="2">
        <v>100</v>
      </c>
      <c r="G3072" s="2">
        <v>70</v>
      </c>
      <c r="I3072" s="2" t="s">
        <v>64</v>
      </c>
      <c r="J3072" s="2" t="s">
        <v>65</v>
      </c>
      <c r="K3072" t="s">
        <v>18</v>
      </c>
      <c r="L3072" t="str">
        <f>T("9791162589724")</f>
        <v>9791162589724</v>
      </c>
      <c r="M3072" t="str">
        <f>T("")</f>
        <v/>
      </c>
      <c r="N3072" t="s">
        <v>1944</v>
      </c>
    </row>
    <row r="3073" spans="1:14">
      <c r="A3073" s="1">
        <v>46080.450694444444</v>
      </c>
      <c r="B3073">
        <v>385347797</v>
      </c>
      <c r="C3073" s="2" t="s">
        <v>195</v>
      </c>
      <c r="D3073" t="s">
        <v>15</v>
      </c>
      <c r="E3073" s="4">
        <v>700</v>
      </c>
      <c r="F3073" s="2">
        <v>630</v>
      </c>
      <c r="G3073" s="2">
        <v>441</v>
      </c>
      <c r="I3073" s="2" t="s">
        <v>196</v>
      </c>
      <c r="J3073" s="2" t="s">
        <v>197</v>
      </c>
      <c r="K3073" t="s">
        <v>18</v>
      </c>
      <c r="L3073" t="str">
        <f>T("9791172821937")</f>
        <v>9791172821937</v>
      </c>
      <c r="M3073" t="str">
        <f>T("")</f>
        <v/>
      </c>
      <c r="N3073" t="s">
        <v>198</v>
      </c>
    </row>
    <row r="3074" spans="1:14">
      <c r="A3074" s="1">
        <v>46080.455868055556</v>
      </c>
      <c r="B3074">
        <v>386559327</v>
      </c>
      <c r="C3074" s="2" t="s">
        <v>2555</v>
      </c>
      <c r="D3074" t="s">
        <v>15</v>
      </c>
      <c r="E3074" s="5">
        <v>4000</v>
      </c>
      <c r="F3074" s="3">
        <v>3600</v>
      </c>
      <c r="G3074" s="3">
        <v>2520</v>
      </c>
      <c r="I3074" s="2" t="s">
        <v>2536</v>
      </c>
      <c r="J3074" s="2" t="s">
        <v>197</v>
      </c>
      <c r="K3074" t="s">
        <v>18</v>
      </c>
      <c r="L3074" t="str">
        <f>T("")</f>
        <v/>
      </c>
      <c r="M3074" t="str">
        <f>T("G720:N+A319-20251223071")</f>
        <v>G720:N+A319-20251223071</v>
      </c>
    </row>
    <row r="3075" spans="1:14">
      <c r="A3075" s="1">
        <v>46080.45590277778</v>
      </c>
      <c r="B3075">
        <v>343843807</v>
      </c>
      <c r="C3075" s="2" t="s">
        <v>780</v>
      </c>
      <c r="D3075" t="s">
        <v>15</v>
      </c>
      <c r="E3075" s="4">
        <v>0</v>
      </c>
      <c r="F3075" s="2">
        <v>0</v>
      </c>
      <c r="G3075" s="2">
        <v>0</v>
      </c>
      <c r="I3075" s="2" t="s">
        <v>781</v>
      </c>
      <c r="J3075" s="2" t="s">
        <v>782</v>
      </c>
      <c r="K3075" t="s">
        <v>18</v>
      </c>
      <c r="L3075" t="str">
        <f>T("9791169343015")</f>
        <v>9791169343015</v>
      </c>
      <c r="M3075" t="str">
        <f t="shared" ref="M3075:M3095" si="137">T("")</f>
        <v/>
      </c>
      <c r="N3075" t="s">
        <v>783</v>
      </c>
    </row>
    <row r="3076" spans="1:14">
      <c r="A3076" s="1">
        <v>46080.474548611113</v>
      </c>
      <c r="B3076">
        <v>374949661</v>
      </c>
      <c r="C3076" s="2" t="s">
        <v>1647</v>
      </c>
      <c r="D3076" t="s">
        <v>15</v>
      </c>
      <c r="E3076" s="5">
        <v>4800</v>
      </c>
      <c r="F3076" s="3">
        <v>4800</v>
      </c>
      <c r="G3076" s="3">
        <v>3360</v>
      </c>
      <c r="I3076" s="2" t="s">
        <v>1648</v>
      </c>
      <c r="J3076" s="2" t="s">
        <v>197</v>
      </c>
      <c r="K3076" t="s">
        <v>18</v>
      </c>
      <c r="L3076" t="str">
        <f>T("9791164098552")</f>
        <v>9791164098552</v>
      </c>
      <c r="M3076" t="str">
        <f t="shared" si="137"/>
        <v/>
      </c>
    </row>
    <row r="3077" spans="1:14">
      <c r="A3077" s="1">
        <v>46080.480219907404</v>
      </c>
      <c r="B3077">
        <v>277935581</v>
      </c>
      <c r="C3077" s="2" t="s">
        <v>2693</v>
      </c>
      <c r="D3077" t="s">
        <v>15</v>
      </c>
      <c r="E3077" s="4">
        <v>100</v>
      </c>
      <c r="F3077" s="2">
        <v>100</v>
      </c>
      <c r="G3077" s="2">
        <v>70</v>
      </c>
      <c r="I3077" s="2" t="s">
        <v>64</v>
      </c>
      <c r="J3077" s="2" t="s">
        <v>65</v>
      </c>
      <c r="K3077" t="s">
        <v>18</v>
      </c>
      <c r="L3077" t="str">
        <f>T("9791162589724")</f>
        <v>9791162589724</v>
      </c>
      <c r="M3077" t="str">
        <f t="shared" si="137"/>
        <v/>
      </c>
      <c r="N3077" t="s">
        <v>2694</v>
      </c>
    </row>
    <row r="3078" spans="1:14">
      <c r="A3078" s="1">
        <v>46080.480844907404</v>
      </c>
      <c r="B3078">
        <v>363475619</v>
      </c>
      <c r="C3078" s="2" t="s">
        <v>2854</v>
      </c>
      <c r="D3078" t="s">
        <v>15</v>
      </c>
      <c r="E3078" s="5">
        <v>3200</v>
      </c>
      <c r="F3078" s="3">
        <v>3200</v>
      </c>
      <c r="G3078" s="3">
        <v>2240</v>
      </c>
      <c r="I3078" s="2" t="s">
        <v>2855</v>
      </c>
      <c r="J3078" s="2" t="s">
        <v>856</v>
      </c>
      <c r="K3078" t="s">
        <v>18</v>
      </c>
      <c r="L3078" t="str">
        <f>T("9791171568154")</f>
        <v>9791171568154</v>
      </c>
      <c r="M3078" t="str">
        <f t="shared" si="137"/>
        <v/>
      </c>
      <c r="N3078" t="s">
        <v>2856</v>
      </c>
    </row>
    <row r="3079" spans="1:14">
      <c r="A3079" s="1">
        <v>46080.484930555554</v>
      </c>
      <c r="B3079">
        <v>277935593</v>
      </c>
      <c r="C3079" s="2" t="s">
        <v>2667</v>
      </c>
      <c r="D3079" t="s">
        <v>15</v>
      </c>
      <c r="E3079" s="4">
        <v>100</v>
      </c>
      <c r="F3079" s="2">
        <v>100</v>
      </c>
      <c r="G3079" s="2">
        <v>70</v>
      </c>
      <c r="I3079" s="2" t="s">
        <v>64</v>
      </c>
      <c r="J3079" s="2" t="s">
        <v>65</v>
      </c>
      <c r="K3079" t="s">
        <v>18</v>
      </c>
      <c r="L3079" t="str">
        <f t="shared" ref="L3079:L3088" si="138">T("9791162589724")</f>
        <v>9791162589724</v>
      </c>
      <c r="M3079" t="str">
        <f t="shared" si="137"/>
        <v/>
      </c>
      <c r="N3079" t="s">
        <v>2668</v>
      </c>
    </row>
    <row r="3080" spans="1:14">
      <c r="A3080" s="1">
        <v>46080.484930555554</v>
      </c>
      <c r="B3080">
        <v>277935599</v>
      </c>
      <c r="C3080" s="2" t="s">
        <v>2857</v>
      </c>
      <c r="D3080" t="s">
        <v>15</v>
      </c>
      <c r="E3080" s="4">
        <v>100</v>
      </c>
      <c r="F3080" s="2">
        <v>100</v>
      </c>
      <c r="G3080" s="2">
        <v>70</v>
      </c>
      <c r="I3080" s="2" t="s">
        <v>64</v>
      </c>
      <c r="J3080" s="2" t="s">
        <v>65</v>
      </c>
      <c r="K3080" t="s">
        <v>18</v>
      </c>
      <c r="L3080" t="str">
        <f t="shared" si="138"/>
        <v>9791162589724</v>
      </c>
      <c r="M3080" t="str">
        <f t="shared" si="137"/>
        <v/>
      </c>
      <c r="N3080" t="s">
        <v>2858</v>
      </c>
    </row>
    <row r="3081" spans="1:14">
      <c r="A3081" s="1">
        <v>46080.484930555554</v>
      </c>
      <c r="B3081">
        <v>277935854</v>
      </c>
      <c r="C3081" s="2" t="s">
        <v>2859</v>
      </c>
      <c r="D3081" t="s">
        <v>15</v>
      </c>
      <c r="E3081" s="4">
        <v>100</v>
      </c>
      <c r="F3081" s="2">
        <v>100</v>
      </c>
      <c r="G3081" s="2">
        <v>70</v>
      </c>
      <c r="I3081" s="2" t="s">
        <v>64</v>
      </c>
      <c r="J3081" s="2" t="s">
        <v>65</v>
      </c>
      <c r="K3081" t="s">
        <v>18</v>
      </c>
      <c r="L3081" t="str">
        <f t="shared" si="138"/>
        <v>9791162589724</v>
      </c>
      <c r="M3081" t="str">
        <f t="shared" si="137"/>
        <v/>
      </c>
      <c r="N3081" t="s">
        <v>2860</v>
      </c>
    </row>
    <row r="3082" spans="1:14">
      <c r="A3082" s="1">
        <v>46080.484930555554</v>
      </c>
      <c r="B3082">
        <v>277935847</v>
      </c>
      <c r="C3082" s="2" t="s">
        <v>2861</v>
      </c>
      <c r="D3082" t="s">
        <v>15</v>
      </c>
      <c r="E3082" s="4">
        <v>100</v>
      </c>
      <c r="F3082" s="2">
        <v>100</v>
      </c>
      <c r="G3082" s="2">
        <v>70</v>
      </c>
      <c r="I3082" s="2" t="s">
        <v>64</v>
      </c>
      <c r="J3082" s="2" t="s">
        <v>65</v>
      </c>
      <c r="K3082" t="s">
        <v>18</v>
      </c>
      <c r="L3082" t="str">
        <f t="shared" si="138"/>
        <v>9791162589724</v>
      </c>
      <c r="M3082" t="str">
        <f t="shared" si="137"/>
        <v/>
      </c>
      <c r="N3082" t="s">
        <v>2862</v>
      </c>
    </row>
    <row r="3083" spans="1:14">
      <c r="A3083" s="1">
        <v>46080.484930555554</v>
      </c>
      <c r="B3083">
        <v>277935849</v>
      </c>
      <c r="C3083" s="2" t="s">
        <v>2863</v>
      </c>
      <c r="D3083" t="s">
        <v>15</v>
      </c>
      <c r="E3083" s="4">
        <v>100</v>
      </c>
      <c r="F3083" s="2">
        <v>100</v>
      </c>
      <c r="G3083" s="2">
        <v>70</v>
      </c>
      <c r="I3083" s="2" t="s">
        <v>64</v>
      </c>
      <c r="J3083" s="2" t="s">
        <v>65</v>
      </c>
      <c r="K3083" t="s">
        <v>18</v>
      </c>
      <c r="L3083" t="str">
        <f t="shared" si="138"/>
        <v>9791162589724</v>
      </c>
      <c r="M3083" t="str">
        <f t="shared" si="137"/>
        <v/>
      </c>
      <c r="N3083" t="s">
        <v>2864</v>
      </c>
    </row>
    <row r="3084" spans="1:14">
      <c r="A3084" s="1">
        <v>46080.484930555554</v>
      </c>
      <c r="B3084">
        <v>277935851</v>
      </c>
      <c r="C3084" s="2" t="s">
        <v>2671</v>
      </c>
      <c r="D3084" t="s">
        <v>15</v>
      </c>
      <c r="E3084" s="4">
        <v>100</v>
      </c>
      <c r="F3084" s="2">
        <v>100</v>
      </c>
      <c r="G3084" s="2">
        <v>70</v>
      </c>
      <c r="I3084" s="2" t="s">
        <v>64</v>
      </c>
      <c r="J3084" s="2" t="s">
        <v>65</v>
      </c>
      <c r="K3084" t="s">
        <v>18</v>
      </c>
      <c r="L3084" t="str">
        <f t="shared" si="138"/>
        <v>9791162589724</v>
      </c>
      <c r="M3084" t="str">
        <f t="shared" si="137"/>
        <v/>
      </c>
      <c r="N3084" t="s">
        <v>2672</v>
      </c>
    </row>
    <row r="3085" spans="1:14">
      <c r="A3085" s="1">
        <v>46080.484930555554</v>
      </c>
      <c r="B3085">
        <v>277935871</v>
      </c>
      <c r="C3085" s="2" t="s">
        <v>2865</v>
      </c>
      <c r="D3085" t="s">
        <v>15</v>
      </c>
      <c r="E3085" s="4">
        <v>100</v>
      </c>
      <c r="F3085" s="2">
        <v>100</v>
      </c>
      <c r="G3085" s="2">
        <v>70</v>
      </c>
      <c r="I3085" s="2" t="s">
        <v>64</v>
      </c>
      <c r="J3085" s="2" t="s">
        <v>65</v>
      </c>
      <c r="K3085" t="s">
        <v>18</v>
      </c>
      <c r="L3085" t="str">
        <f t="shared" si="138"/>
        <v>9791162589724</v>
      </c>
      <c r="M3085" t="str">
        <f t="shared" si="137"/>
        <v/>
      </c>
      <c r="N3085" t="s">
        <v>2866</v>
      </c>
    </row>
    <row r="3086" spans="1:14">
      <c r="A3086" s="1">
        <v>46080.484930555554</v>
      </c>
      <c r="B3086">
        <v>277935873</v>
      </c>
      <c r="C3086" s="2" t="s">
        <v>2867</v>
      </c>
      <c r="D3086" t="s">
        <v>15</v>
      </c>
      <c r="E3086" s="4">
        <v>100</v>
      </c>
      <c r="F3086" s="2">
        <v>100</v>
      </c>
      <c r="G3086" s="2">
        <v>70</v>
      </c>
      <c r="I3086" s="2" t="s">
        <v>64</v>
      </c>
      <c r="J3086" s="2" t="s">
        <v>65</v>
      </c>
      <c r="K3086" t="s">
        <v>18</v>
      </c>
      <c r="L3086" t="str">
        <f t="shared" si="138"/>
        <v>9791162589724</v>
      </c>
      <c r="M3086" t="str">
        <f t="shared" si="137"/>
        <v/>
      </c>
      <c r="N3086" t="s">
        <v>2868</v>
      </c>
    </row>
    <row r="3087" spans="1:14">
      <c r="A3087" s="1">
        <v>46080.484930555554</v>
      </c>
      <c r="B3087">
        <v>277935791</v>
      </c>
      <c r="C3087" s="2" t="s">
        <v>2869</v>
      </c>
      <c r="D3087" t="s">
        <v>15</v>
      </c>
      <c r="E3087" s="4">
        <v>100</v>
      </c>
      <c r="F3087" s="2">
        <v>100</v>
      </c>
      <c r="G3087" s="2">
        <v>70</v>
      </c>
      <c r="I3087" s="2" t="s">
        <v>64</v>
      </c>
      <c r="J3087" s="2" t="s">
        <v>65</v>
      </c>
      <c r="K3087" t="s">
        <v>18</v>
      </c>
      <c r="L3087" t="str">
        <f t="shared" si="138"/>
        <v>9791162589724</v>
      </c>
      <c r="M3087" t="str">
        <f t="shared" si="137"/>
        <v/>
      </c>
      <c r="N3087" t="s">
        <v>2870</v>
      </c>
    </row>
    <row r="3088" spans="1:14">
      <c r="A3088" s="1">
        <v>46080.484930555554</v>
      </c>
      <c r="B3088">
        <v>277935794</v>
      </c>
      <c r="C3088" s="2" t="s">
        <v>2871</v>
      </c>
      <c r="D3088" t="s">
        <v>15</v>
      </c>
      <c r="E3088" s="4">
        <v>100</v>
      </c>
      <c r="F3088" s="2">
        <v>100</v>
      </c>
      <c r="G3088" s="2">
        <v>70</v>
      </c>
      <c r="I3088" s="2" t="s">
        <v>64</v>
      </c>
      <c r="J3088" s="2" t="s">
        <v>65</v>
      </c>
      <c r="K3088" t="s">
        <v>18</v>
      </c>
      <c r="L3088" t="str">
        <f t="shared" si="138"/>
        <v>9791162589724</v>
      </c>
      <c r="M3088" t="str">
        <f t="shared" si="137"/>
        <v/>
      </c>
      <c r="N3088" t="s">
        <v>2872</v>
      </c>
    </row>
    <row r="3089" spans="1:14">
      <c r="A3089" s="1">
        <v>46080.548206018517</v>
      </c>
      <c r="B3089">
        <v>334115237</v>
      </c>
      <c r="C3089" s="2" t="s">
        <v>1908</v>
      </c>
      <c r="D3089" t="s">
        <v>15</v>
      </c>
      <c r="E3089" s="5">
        <v>13300</v>
      </c>
      <c r="F3089" s="3">
        <v>13300</v>
      </c>
      <c r="G3089" s="3">
        <v>9310</v>
      </c>
      <c r="I3089" s="2" t="s">
        <v>1909</v>
      </c>
      <c r="J3089" s="2" t="s">
        <v>1910</v>
      </c>
      <c r="K3089" t="s">
        <v>18</v>
      </c>
      <c r="L3089" t="str">
        <f>T("9791198362858")</f>
        <v>9791198362858</v>
      </c>
      <c r="M3089" t="str">
        <f t="shared" si="137"/>
        <v/>
      </c>
      <c r="N3089" t="s">
        <v>1911</v>
      </c>
    </row>
    <row r="3090" spans="1:14">
      <c r="A3090" s="1">
        <v>46080.558807870373</v>
      </c>
      <c r="B3090">
        <v>207110095</v>
      </c>
      <c r="C3090" s="2" t="s">
        <v>2626</v>
      </c>
      <c r="D3090" t="s">
        <v>15</v>
      </c>
      <c r="E3090" s="5">
        <v>24000</v>
      </c>
      <c r="F3090" s="3">
        <v>21600</v>
      </c>
      <c r="G3090" s="3">
        <v>15120</v>
      </c>
      <c r="I3090" s="2" t="s">
        <v>2463</v>
      </c>
      <c r="J3090" s="2" t="s">
        <v>65</v>
      </c>
      <c r="K3090" t="s">
        <v>18</v>
      </c>
      <c r="L3090" t="str">
        <f>T("9791162588703")</f>
        <v>9791162588703</v>
      </c>
      <c r="M3090" t="str">
        <f t="shared" si="137"/>
        <v/>
      </c>
    </row>
    <row r="3091" spans="1:14">
      <c r="A3091" s="1">
        <v>46080.572974537034</v>
      </c>
      <c r="B3091">
        <v>379511327</v>
      </c>
      <c r="C3091" s="2" t="s">
        <v>262</v>
      </c>
      <c r="D3091" t="s">
        <v>15</v>
      </c>
      <c r="E3091" s="5">
        <v>3300</v>
      </c>
      <c r="F3091" s="3">
        <v>3300</v>
      </c>
      <c r="G3091" s="3">
        <v>2310</v>
      </c>
      <c r="I3091" s="2" t="s">
        <v>263</v>
      </c>
      <c r="J3091" s="2" t="s">
        <v>126</v>
      </c>
      <c r="K3091" t="s">
        <v>18</v>
      </c>
      <c r="L3091" t="str">
        <f>T("9791171502875")</f>
        <v>9791171502875</v>
      </c>
      <c r="M3091" t="str">
        <f t="shared" si="137"/>
        <v/>
      </c>
      <c r="N3091" t="s">
        <v>264</v>
      </c>
    </row>
    <row r="3092" spans="1:14">
      <c r="A3092" s="1">
        <v>46080.582106481481</v>
      </c>
      <c r="B3092">
        <v>379189752</v>
      </c>
      <c r="C3092" s="2" t="s">
        <v>72</v>
      </c>
      <c r="D3092" t="s">
        <v>15</v>
      </c>
      <c r="E3092" s="4">
        <v>0</v>
      </c>
      <c r="F3092" s="2">
        <v>0</v>
      </c>
      <c r="G3092" s="2">
        <v>0</v>
      </c>
      <c r="I3092" s="2" t="s">
        <v>73</v>
      </c>
      <c r="J3092" s="2" t="s">
        <v>74</v>
      </c>
      <c r="K3092" t="s">
        <v>18</v>
      </c>
      <c r="L3092" t="str">
        <f>T("9791194978404")</f>
        <v>9791194978404</v>
      </c>
      <c r="M3092" t="str">
        <f t="shared" si="137"/>
        <v/>
      </c>
      <c r="N3092" t="s">
        <v>75</v>
      </c>
    </row>
    <row r="3093" spans="1:14">
      <c r="A3093" s="1">
        <v>46080.593414351853</v>
      </c>
      <c r="B3093">
        <v>365815908</v>
      </c>
      <c r="C3093" s="2" t="s">
        <v>2873</v>
      </c>
      <c r="D3093" t="s">
        <v>15</v>
      </c>
      <c r="E3093" s="5">
        <v>11400</v>
      </c>
      <c r="F3093" s="3">
        <v>11400</v>
      </c>
      <c r="G3093" s="3">
        <v>7980</v>
      </c>
      <c r="I3093" s="2" t="s">
        <v>2874</v>
      </c>
      <c r="J3093" s="2" t="s">
        <v>188</v>
      </c>
      <c r="K3093" t="s">
        <v>18</v>
      </c>
      <c r="L3093" t="str">
        <f>T("9791164834969")</f>
        <v>9791164834969</v>
      </c>
      <c r="M3093" t="str">
        <f t="shared" si="137"/>
        <v/>
      </c>
    </row>
    <row r="3094" spans="1:14">
      <c r="A3094" s="1">
        <v>46080.627210648148</v>
      </c>
      <c r="B3094">
        <v>385347797</v>
      </c>
      <c r="C3094" s="2" t="s">
        <v>195</v>
      </c>
      <c r="D3094" t="s">
        <v>15</v>
      </c>
      <c r="E3094" s="4">
        <v>700</v>
      </c>
      <c r="F3094" s="2">
        <v>630</v>
      </c>
      <c r="G3094" s="2">
        <v>441</v>
      </c>
      <c r="I3094" s="2" t="s">
        <v>196</v>
      </c>
      <c r="J3094" s="2" t="s">
        <v>197</v>
      </c>
      <c r="K3094" t="s">
        <v>18</v>
      </c>
      <c r="L3094" t="str">
        <f>T("9791172821937")</f>
        <v>9791172821937</v>
      </c>
      <c r="M3094" t="str">
        <f t="shared" si="137"/>
        <v/>
      </c>
      <c r="N3094" t="s">
        <v>198</v>
      </c>
    </row>
    <row r="3095" spans="1:14">
      <c r="A3095" s="1">
        <v>46080.650856481479</v>
      </c>
      <c r="B3095">
        <v>381924150</v>
      </c>
      <c r="C3095" s="2" t="s">
        <v>1505</v>
      </c>
      <c r="D3095" t="s">
        <v>15</v>
      </c>
      <c r="E3095" s="4">
        <v>800</v>
      </c>
      <c r="F3095" s="2">
        <v>800</v>
      </c>
      <c r="G3095" s="2">
        <v>560</v>
      </c>
      <c r="I3095" s="2" t="s">
        <v>368</v>
      </c>
      <c r="J3095" s="2" t="s">
        <v>308</v>
      </c>
      <c r="K3095" t="s">
        <v>18</v>
      </c>
      <c r="L3095" t="str">
        <f>T("9791194982746")</f>
        <v>9791194982746</v>
      </c>
      <c r="M3095" t="str">
        <f t="shared" si="137"/>
        <v/>
      </c>
      <c r="N3095" t="s">
        <v>1506</v>
      </c>
    </row>
    <row r="3096" spans="1:14">
      <c r="A3096" s="1">
        <v>46080.660543981481</v>
      </c>
      <c r="B3096">
        <v>386559326</v>
      </c>
      <c r="C3096" s="2" t="s">
        <v>2545</v>
      </c>
      <c r="D3096" t="s">
        <v>68</v>
      </c>
      <c r="E3096" s="5">
        <v>5760</v>
      </c>
      <c r="F3096" s="3">
        <v>5760</v>
      </c>
      <c r="G3096" s="3">
        <v>4032</v>
      </c>
      <c r="I3096" s="2" t="s">
        <v>2546</v>
      </c>
      <c r="J3096" s="2" t="s">
        <v>197</v>
      </c>
      <c r="K3096" t="s">
        <v>18</v>
      </c>
      <c r="L3096" t="str">
        <f>T("")</f>
        <v/>
      </c>
      <c r="M3096" t="str">
        <f>T("G720:N+A319-20251223073")</f>
        <v>G720:N+A319-20251223073</v>
      </c>
    </row>
    <row r="3097" spans="1:14">
      <c r="A3097" s="1">
        <v>46080.676215277781</v>
      </c>
      <c r="B3097">
        <v>277935585</v>
      </c>
      <c r="C3097" s="2" t="s">
        <v>1560</v>
      </c>
      <c r="D3097" t="s">
        <v>15</v>
      </c>
      <c r="E3097" s="4">
        <v>100</v>
      </c>
      <c r="F3097" s="2">
        <v>100</v>
      </c>
      <c r="G3097" s="2">
        <v>70</v>
      </c>
      <c r="I3097" s="2" t="s">
        <v>64</v>
      </c>
      <c r="J3097" s="2" t="s">
        <v>65</v>
      </c>
      <c r="K3097" t="s">
        <v>18</v>
      </c>
      <c r="L3097" t="str">
        <f>T("9791162589724")</f>
        <v>9791162589724</v>
      </c>
      <c r="M3097" t="str">
        <f t="shared" ref="M3097:M3108" si="139">T("")</f>
        <v/>
      </c>
      <c r="N3097" t="s">
        <v>1561</v>
      </c>
    </row>
    <row r="3098" spans="1:14">
      <c r="A3098" s="1">
        <v>46080.682314814818</v>
      </c>
      <c r="B3098">
        <v>386934246</v>
      </c>
      <c r="C3098" s="2" t="s">
        <v>2660</v>
      </c>
      <c r="D3098" t="s">
        <v>68</v>
      </c>
      <c r="E3098" s="4">
        <v>0</v>
      </c>
      <c r="F3098" s="2">
        <v>0</v>
      </c>
      <c r="G3098" s="2">
        <v>0</v>
      </c>
      <c r="I3098" s="2" t="s">
        <v>2661</v>
      </c>
      <c r="J3098" s="2" t="s">
        <v>245</v>
      </c>
      <c r="K3098" t="s">
        <v>18</v>
      </c>
      <c r="L3098" t="str">
        <f>T("9791170939382")</f>
        <v>9791170939382</v>
      </c>
      <c r="M3098" t="str">
        <f t="shared" si="139"/>
        <v/>
      </c>
      <c r="N3098" t="s">
        <v>2662</v>
      </c>
    </row>
    <row r="3099" spans="1:14">
      <c r="A3099" s="1">
        <v>46080.693437499998</v>
      </c>
      <c r="B3099">
        <v>279044036</v>
      </c>
      <c r="C3099" s="2" t="s">
        <v>2164</v>
      </c>
      <c r="D3099" t="s">
        <v>15</v>
      </c>
      <c r="E3099" s="4">
        <v>100</v>
      </c>
      <c r="F3099" s="2">
        <v>100</v>
      </c>
      <c r="G3099" s="2">
        <v>70</v>
      </c>
      <c r="I3099" s="2" t="s">
        <v>64</v>
      </c>
      <c r="J3099" s="2" t="s">
        <v>65</v>
      </c>
      <c r="K3099" t="s">
        <v>18</v>
      </c>
      <c r="L3099" t="str">
        <f>T("9791162589724")</f>
        <v>9791162589724</v>
      </c>
      <c r="M3099" t="str">
        <f t="shared" si="139"/>
        <v/>
      </c>
      <c r="N3099" t="s">
        <v>2165</v>
      </c>
    </row>
    <row r="3100" spans="1:14">
      <c r="A3100" s="1">
        <v>46080.727812500001</v>
      </c>
      <c r="B3100">
        <v>386934245</v>
      </c>
      <c r="C3100" s="2" t="s">
        <v>2649</v>
      </c>
      <c r="D3100" t="s">
        <v>68</v>
      </c>
      <c r="E3100" s="4">
        <v>0</v>
      </c>
      <c r="F3100" s="2">
        <v>0</v>
      </c>
      <c r="G3100" s="2">
        <v>0</v>
      </c>
      <c r="I3100" s="2" t="s">
        <v>2650</v>
      </c>
      <c r="J3100" s="2" t="s">
        <v>245</v>
      </c>
      <c r="K3100" t="s">
        <v>18</v>
      </c>
      <c r="L3100" t="str">
        <f>T("9791170939771")</f>
        <v>9791170939771</v>
      </c>
      <c r="M3100" t="str">
        <f t="shared" si="139"/>
        <v/>
      </c>
      <c r="N3100" t="s">
        <v>2651</v>
      </c>
    </row>
    <row r="3101" spans="1:14">
      <c r="A3101" s="1">
        <v>46080.742199074077</v>
      </c>
      <c r="B3101">
        <v>162342854</v>
      </c>
      <c r="C3101" s="2" t="s">
        <v>798</v>
      </c>
      <c r="D3101" t="s">
        <v>15</v>
      </c>
      <c r="E3101" s="4">
        <v>0</v>
      </c>
      <c r="F3101" s="2">
        <v>0</v>
      </c>
      <c r="G3101" s="2">
        <v>0</v>
      </c>
      <c r="I3101" s="2" t="s">
        <v>799</v>
      </c>
      <c r="J3101" s="2" t="s">
        <v>227</v>
      </c>
      <c r="K3101" t="s">
        <v>18</v>
      </c>
      <c r="L3101" t="str">
        <f>T("9791160396096")</f>
        <v>9791160396096</v>
      </c>
      <c r="M3101" t="str">
        <f t="shared" si="139"/>
        <v/>
      </c>
    </row>
    <row r="3102" spans="1:14">
      <c r="A3102" s="1">
        <v>46080.744189814817</v>
      </c>
      <c r="B3102">
        <v>379511327</v>
      </c>
      <c r="C3102" s="2" t="s">
        <v>262</v>
      </c>
      <c r="D3102" t="s">
        <v>15</v>
      </c>
      <c r="E3102" s="5">
        <v>3300</v>
      </c>
      <c r="F3102" s="3">
        <v>3300</v>
      </c>
      <c r="G3102" s="3">
        <v>2310</v>
      </c>
      <c r="I3102" s="2" t="s">
        <v>263</v>
      </c>
      <c r="J3102" s="2" t="s">
        <v>126</v>
      </c>
      <c r="K3102" t="s">
        <v>18</v>
      </c>
      <c r="L3102" t="str">
        <f>T("9791171502875")</f>
        <v>9791171502875</v>
      </c>
      <c r="M3102" t="str">
        <f t="shared" si="139"/>
        <v/>
      </c>
      <c r="N3102" t="s">
        <v>264</v>
      </c>
    </row>
    <row r="3103" spans="1:14">
      <c r="A3103" s="1">
        <v>46080.780775462961</v>
      </c>
      <c r="B3103">
        <v>131938442</v>
      </c>
      <c r="C3103" s="2" t="s">
        <v>2875</v>
      </c>
      <c r="D3103" t="s">
        <v>68</v>
      </c>
      <c r="E3103" s="4">
        <v>900</v>
      </c>
      <c r="F3103" s="2">
        <v>900</v>
      </c>
      <c r="G3103" s="2">
        <v>630</v>
      </c>
      <c r="I3103" s="2" t="s">
        <v>2826</v>
      </c>
      <c r="J3103" s="2" t="s">
        <v>65</v>
      </c>
      <c r="K3103" t="s">
        <v>18</v>
      </c>
      <c r="L3103" t="str">
        <f>T("9791188792146")</f>
        <v>9791188792146</v>
      </c>
      <c r="M3103" t="str">
        <f t="shared" si="139"/>
        <v/>
      </c>
    </row>
    <row r="3104" spans="1:14">
      <c r="A3104" s="1">
        <v>46080.780775462961</v>
      </c>
      <c r="B3104">
        <v>131938443</v>
      </c>
      <c r="C3104" s="2" t="s">
        <v>2876</v>
      </c>
      <c r="D3104" t="s">
        <v>68</v>
      </c>
      <c r="E3104" s="4">
        <v>900</v>
      </c>
      <c r="F3104" s="2">
        <v>900</v>
      </c>
      <c r="G3104" s="2">
        <v>630</v>
      </c>
      <c r="I3104" s="2" t="s">
        <v>2826</v>
      </c>
      <c r="J3104" s="2" t="s">
        <v>65</v>
      </c>
      <c r="K3104" t="s">
        <v>18</v>
      </c>
      <c r="L3104" t="str">
        <f>T("9791188792153")</f>
        <v>9791188792153</v>
      </c>
      <c r="M3104" t="str">
        <f t="shared" si="139"/>
        <v/>
      </c>
    </row>
    <row r="3105" spans="1:14">
      <c r="A3105" s="1">
        <v>46080.806909722225</v>
      </c>
      <c r="B3105">
        <v>257484962</v>
      </c>
      <c r="C3105" s="2" t="s">
        <v>1774</v>
      </c>
      <c r="D3105" t="s">
        <v>15</v>
      </c>
      <c r="E3105" s="4">
        <v>0</v>
      </c>
      <c r="F3105" s="2">
        <v>0</v>
      </c>
      <c r="G3105" s="2">
        <v>0</v>
      </c>
      <c r="I3105" s="2" t="s">
        <v>1772</v>
      </c>
      <c r="J3105" s="2" t="s">
        <v>197</v>
      </c>
      <c r="K3105" t="s">
        <v>18</v>
      </c>
      <c r="L3105" t="str">
        <f>T("9791164093212")</f>
        <v>9791164093212</v>
      </c>
      <c r="M3105" t="str">
        <f t="shared" si="139"/>
        <v/>
      </c>
      <c r="N3105" t="s">
        <v>1775</v>
      </c>
    </row>
    <row r="3106" spans="1:14">
      <c r="A3106" s="1">
        <v>46080.819976851853</v>
      </c>
      <c r="B3106">
        <v>277935669</v>
      </c>
      <c r="C3106" s="2" t="s">
        <v>2126</v>
      </c>
      <c r="D3106" t="s">
        <v>15</v>
      </c>
      <c r="E3106" s="4">
        <v>100</v>
      </c>
      <c r="F3106" s="2">
        <v>100</v>
      </c>
      <c r="G3106" s="2">
        <v>70</v>
      </c>
      <c r="I3106" s="2" t="s">
        <v>64</v>
      </c>
      <c r="J3106" s="2" t="s">
        <v>65</v>
      </c>
      <c r="K3106" t="s">
        <v>18</v>
      </c>
      <c r="L3106" t="str">
        <f>T("9791162589724")</f>
        <v>9791162589724</v>
      </c>
      <c r="M3106" t="str">
        <f t="shared" si="139"/>
        <v/>
      </c>
      <c r="N3106" t="s">
        <v>2127</v>
      </c>
    </row>
    <row r="3107" spans="1:14">
      <c r="A3107" s="1">
        <v>46080.823020833333</v>
      </c>
      <c r="B3107">
        <v>297670491</v>
      </c>
      <c r="C3107" s="2" t="s">
        <v>879</v>
      </c>
      <c r="D3107" t="s">
        <v>15</v>
      </c>
      <c r="E3107" s="4">
        <v>0</v>
      </c>
      <c r="F3107" s="2">
        <v>0</v>
      </c>
      <c r="G3107" s="2">
        <v>0</v>
      </c>
      <c r="I3107" s="2" t="s">
        <v>266</v>
      </c>
      <c r="J3107" s="2" t="s">
        <v>126</v>
      </c>
      <c r="K3107" t="s">
        <v>18</v>
      </c>
      <c r="L3107" t="str">
        <f>T("9791164977161")</f>
        <v>9791164977161</v>
      </c>
      <c r="M3107" t="str">
        <f t="shared" si="139"/>
        <v/>
      </c>
      <c r="N3107" t="s">
        <v>880</v>
      </c>
    </row>
    <row r="3108" spans="1:14">
      <c r="A3108" s="1">
        <v>46080.827673611115</v>
      </c>
      <c r="B3108">
        <v>277935661</v>
      </c>
      <c r="C3108" s="2" t="s">
        <v>2348</v>
      </c>
      <c r="D3108" t="s">
        <v>15</v>
      </c>
      <c r="E3108" s="4">
        <v>100</v>
      </c>
      <c r="F3108" s="2">
        <v>100</v>
      </c>
      <c r="G3108" s="2">
        <v>70</v>
      </c>
      <c r="I3108" s="2" t="s">
        <v>64</v>
      </c>
      <c r="J3108" s="2" t="s">
        <v>65</v>
      </c>
      <c r="K3108" t="s">
        <v>18</v>
      </c>
      <c r="L3108" t="str">
        <f>T("9791162589724")</f>
        <v>9791162589724</v>
      </c>
      <c r="M3108" t="str">
        <f t="shared" si="139"/>
        <v/>
      </c>
      <c r="N3108" t="s">
        <v>2349</v>
      </c>
    </row>
    <row r="3109" spans="1:14">
      <c r="A3109" s="1">
        <v>46080.833541666667</v>
      </c>
      <c r="B3109">
        <v>386559326</v>
      </c>
      <c r="C3109" s="2" t="s">
        <v>2545</v>
      </c>
      <c r="D3109" t="s">
        <v>68</v>
      </c>
      <c r="E3109" s="5">
        <v>5760</v>
      </c>
      <c r="F3109" s="3">
        <v>5760</v>
      </c>
      <c r="G3109" s="3">
        <v>4032</v>
      </c>
      <c r="I3109" s="2" t="s">
        <v>2546</v>
      </c>
      <c r="J3109" s="2" t="s">
        <v>197</v>
      </c>
      <c r="K3109" t="s">
        <v>18</v>
      </c>
      <c r="L3109" t="str">
        <f>T("")</f>
        <v/>
      </c>
      <c r="M3109" t="str">
        <f>T("G720:N+A319-20251223073")</f>
        <v>G720:N+A319-20251223073</v>
      </c>
    </row>
    <row r="3110" spans="1:14">
      <c r="A3110" s="1">
        <v>46080.847650462965</v>
      </c>
      <c r="B3110">
        <v>386556274</v>
      </c>
      <c r="C3110" s="2" t="s">
        <v>2535</v>
      </c>
      <c r="D3110" t="s">
        <v>15</v>
      </c>
      <c r="E3110" s="5">
        <v>2000</v>
      </c>
      <c r="F3110" s="3">
        <v>2000</v>
      </c>
      <c r="G3110" s="3">
        <v>1400</v>
      </c>
      <c r="I3110" s="2" t="s">
        <v>2536</v>
      </c>
      <c r="J3110" s="2" t="s">
        <v>197</v>
      </c>
      <c r="K3110" t="s">
        <v>18</v>
      </c>
      <c r="L3110" t="str">
        <f>T("")</f>
        <v/>
      </c>
      <c r="M3110" t="str">
        <f>T("G720:N+A319-20251223071.M001")</f>
        <v>G720:N+A319-20251223071.M001</v>
      </c>
      <c r="N3110" t="s">
        <v>2537</v>
      </c>
    </row>
    <row r="3111" spans="1:14">
      <c r="A3111" s="1">
        <v>46080.894571759258</v>
      </c>
      <c r="B3111">
        <v>263958716</v>
      </c>
      <c r="C3111" s="2" t="s">
        <v>2877</v>
      </c>
      <c r="D3111" t="s">
        <v>15</v>
      </c>
      <c r="E3111" s="5">
        <v>3000</v>
      </c>
      <c r="F3111" s="3">
        <v>3000</v>
      </c>
      <c r="G3111" s="3">
        <v>2100</v>
      </c>
      <c r="I3111" s="2" t="s">
        <v>2536</v>
      </c>
      <c r="J3111" s="2" t="s">
        <v>197</v>
      </c>
      <c r="K3111" t="s">
        <v>18</v>
      </c>
      <c r="L3111" t="str">
        <f>T("9791164093502")</f>
        <v>9791164093502</v>
      </c>
      <c r="M3111" t="str">
        <f>T("")</f>
        <v/>
      </c>
      <c r="N3111">
        <v>528660</v>
      </c>
    </row>
    <row r="3112" spans="1:14">
      <c r="A3112" s="1">
        <v>46080.895208333335</v>
      </c>
      <c r="B3112">
        <v>276483565</v>
      </c>
      <c r="C3112" s="2" t="s">
        <v>1864</v>
      </c>
      <c r="D3112" t="s">
        <v>15</v>
      </c>
      <c r="E3112" s="4">
        <v>0</v>
      </c>
      <c r="F3112" s="2">
        <v>0</v>
      </c>
      <c r="G3112" s="2">
        <v>0</v>
      </c>
      <c r="I3112" s="2" t="s">
        <v>1610</v>
      </c>
      <c r="J3112" s="2" t="s">
        <v>197</v>
      </c>
      <c r="K3112" t="s">
        <v>18</v>
      </c>
      <c r="L3112" t="str">
        <f>T("9791164095322")</f>
        <v>9791164095322</v>
      </c>
      <c r="M3112" t="str">
        <f>T("")</f>
        <v/>
      </c>
      <c r="N3112" t="s">
        <v>1865</v>
      </c>
    </row>
    <row r="3113" spans="1:14">
      <c r="A3113" s="1">
        <v>46080.90048611111</v>
      </c>
      <c r="B3113">
        <v>386556274</v>
      </c>
      <c r="C3113" s="2" t="s">
        <v>2535</v>
      </c>
      <c r="D3113" t="s">
        <v>15</v>
      </c>
      <c r="E3113" s="5">
        <v>2000</v>
      </c>
      <c r="F3113" s="3">
        <v>2000</v>
      </c>
      <c r="G3113" s="3">
        <v>1400</v>
      </c>
      <c r="I3113" s="2" t="s">
        <v>2536</v>
      </c>
      <c r="J3113" s="2" t="s">
        <v>197</v>
      </c>
      <c r="K3113" t="s">
        <v>18</v>
      </c>
      <c r="L3113" t="str">
        <f>T("")</f>
        <v/>
      </c>
      <c r="M3113" t="str">
        <f>T("G720:N+A319-20251223071.M001")</f>
        <v>G720:N+A319-20251223071.M001</v>
      </c>
      <c r="N3113" t="s">
        <v>2537</v>
      </c>
    </row>
    <row r="3114" spans="1:14">
      <c r="A3114" s="1">
        <v>46080.90048611111</v>
      </c>
      <c r="B3114">
        <v>386556281</v>
      </c>
      <c r="C3114" s="2" t="s">
        <v>2647</v>
      </c>
      <c r="D3114" t="s">
        <v>15</v>
      </c>
      <c r="E3114" s="5">
        <v>2000</v>
      </c>
      <c r="F3114" s="3">
        <v>1800</v>
      </c>
      <c r="G3114" s="3">
        <v>1260</v>
      </c>
      <c r="I3114" s="2" t="s">
        <v>2536</v>
      </c>
      <c r="J3114" s="2" t="s">
        <v>197</v>
      </c>
      <c r="K3114" t="s">
        <v>18</v>
      </c>
      <c r="L3114" t="str">
        <f>T("")</f>
        <v/>
      </c>
      <c r="M3114" t="str">
        <f>T("G720:N+A319-20251223071.M002")</f>
        <v>G720:N+A319-20251223071.M002</v>
      </c>
      <c r="N3114" t="s">
        <v>2648</v>
      </c>
    </row>
    <row r="3115" spans="1:14">
      <c r="A3115" s="1">
        <v>46080.909641203703</v>
      </c>
      <c r="B3115">
        <v>385347806</v>
      </c>
      <c r="C3115" s="2" t="s">
        <v>221</v>
      </c>
      <c r="D3115" t="s">
        <v>68</v>
      </c>
      <c r="E3115" s="4">
        <v>0</v>
      </c>
      <c r="F3115" s="2">
        <v>0</v>
      </c>
      <c r="G3115" s="2">
        <v>0</v>
      </c>
      <c r="I3115" s="2" t="s">
        <v>213</v>
      </c>
      <c r="J3115" s="2" t="s">
        <v>161</v>
      </c>
      <c r="K3115" t="s">
        <v>18</v>
      </c>
      <c r="L3115" t="str">
        <f>T("9791173261930")</f>
        <v>9791173261930</v>
      </c>
      <c r="M3115" t="str">
        <f>T("")</f>
        <v/>
      </c>
      <c r="N3115" t="s">
        <v>222</v>
      </c>
    </row>
    <row r="3116" spans="1:14">
      <c r="A3116" s="1">
        <v>46080.918553240743</v>
      </c>
      <c r="B3116">
        <v>338236194</v>
      </c>
      <c r="C3116" s="2" t="s">
        <v>1158</v>
      </c>
      <c r="D3116" t="s">
        <v>15</v>
      </c>
      <c r="E3116" s="5">
        <v>1000</v>
      </c>
      <c r="F3116" s="3">
        <v>1000</v>
      </c>
      <c r="G3116" s="2">
        <v>700</v>
      </c>
      <c r="I3116" s="2" t="s">
        <v>584</v>
      </c>
      <c r="J3116" s="2" t="s">
        <v>21</v>
      </c>
      <c r="K3116" t="s">
        <v>18</v>
      </c>
      <c r="L3116" t="str">
        <f>T("9791170896272")</f>
        <v>9791170896272</v>
      </c>
      <c r="M3116" t="str">
        <f>T("")</f>
        <v/>
      </c>
      <c r="N3116" t="s">
        <v>1159</v>
      </c>
    </row>
    <row r="3117" spans="1:14">
      <c r="A3117" s="1">
        <v>46080.91946759259</v>
      </c>
      <c r="B3117">
        <v>371959620</v>
      </c>
      <c r="C3117" s="2" t="s">
        <v>2878</v>
      </c>
      <c r="D3117" t="s">
        <v>15</v>
      </c>
      <c r="E3117" s="5">
        <v>3600</v>
      </c>
      <c r="F3117" s="3">
        <v>3240</v>
      </c>
      <c r="G3117" s="3">
        <v>2268</v>
      </c>
      <c r="I3117" s="2" t="s">
        <v>1121</v>
      </c>
      <c r="J3117" s="2" t="s">
        <v>476</v>
      </c>
      <c r="K3117" t="s">
        <v>18</v>
      </c>
      <c r="L3117" t="str">
        <f>T("9791175090569")</f>
        <v>9791175090569</v>
      </c>
      <c r="M3117" t="str">
        <f>T("")</f>
        <v/>
      </c>
    </row>
    <row r="3118" spans="1:14">
      <c r="A3118" s="1">
        <v>46080.931006944447</v>
      </c>
      <c r="B3118">
        <v>386559326</v>
      </c>
      <c r="C3118" s="2" t="s">
        <v>2545</v>
      </c>
      <c r="D3118" t="s">
        <v>68</v>
      </c>
      <c r="E3118" s="5">
        <v>5760</v>
      </c>
      <c r="F3118" s="3">
        <v>5760</v>
      </c>
      <c r="G3118" s="3">
        <v>4032</v>
      </c>
      <c r="I3118" s="2" t="s">
        <v>2546</v>
      </c>
      <c r="J3118" s="2" t="s">
        <v>197</v>
      </c>
      <c r="K3118" t="s">
        <v>18</v>
      </c>
      <c r="L3118" t="str">
        <f>T("")</f>
        <v/>
      </c>
      <c r="M3118" t="str">
        <f>T("G720:N+A319-20251223073")</f>
        <v>G720:N+A319-20251223073</v>
      </c>
    </row>
    <row r="3119" spans="1:14">
      <c r="A3119" s="1">
        <v>46080.946226851855</v>
      </c>
      <c r="B3119">
        <v>343115258</v>
      </c>
      <c r="C3119" s="2" t="s">
        <v>874</v>
      </c>
      <c r="D3119" t="s">
        <v>15</v>
      </c>
      <c r="E3119" s="5">
        <v>1000</v>
      </c>
      <c r="F3119" s="3">
        <v>1000</v>
      </c>
      <c r="G3119" s="2">
        <v>700</v>
      </c>
      <c r="I3119" s="2" t="s">
        <v>89</v>
      </c>
      <c r="J3119" s="2" t="s">
        <v>21</v>
      </c>
      <c r="K3119" t="s">
        <v>18</v>
      </c>
      <c r="L3119" t="str">
        <f>T("9791167838315")</f>
        <v>9791167838315</v>
      </c>
      <c r="M3119" t="str">
        <f>T("")</f>
        <v/>
      </c>
      <c r="N3119" t="s">
        <v>875</v>
      </c>
    </row>
    <row r="3120" spans="1:14">
      <c r="A3120" s="1">
        <v>46080.946226851855</v>
      </c>
      <c r="B3120">
        <v>343115259</v>
      </c>
      <c r="C3120" s="2" t="s">
        <v>872</v>
      </c>
      <c r="D3120" t="s">
        <v>15</v>
      </c>
      <c r="E3120" s="5">
        <v>3100</v>
      </c>
      <c r="F3120" s="3">
        <v>3100</v>
      </c>
      <c r="G3120" s="3">
        <v>2170</v>
      </c>
      <c r="I3120" s="2" t="s">
        <v>89</v>
      </c>
      <c r="J3120" s="2" t="s">
        <v>21</v>
      </c>
      <c r="K3120" t="s">
        <v>18</v>
      </c>
      <c r="L3120" t="str">
        <f>T("9791167837769")</f>
        <v>9791167837769</v>
      </c>
      <c r="M3120" t="str">
        <f>T("")</f>
        <v/>
      </c>
      <c r="N3120" t="s">
        <v>873</v>
      </c>
    </row>
    <row r="3121" spans="1:14">
      <c r="A3121" s="1">
        <v>46080.953981481478</v>
      </c>
      <c r="B3121">
        <v>308166700</v>
      </c>
      <c r="C3121" s="2" t="s">
        <v>2879</v>
      </c>
      <c r="D3121" t="s">
        <v>15</v>
      </c>
      <c r="E3121" s="5">
        <v>1000</v>
      </c>
      <c r="F3121" s="3">
        <v>1000</v>
      </c>
      <c r="G3121" s="2">
        <v>700</v>
      </c>
      <c r="I3121" s="2" t="s">
        <v>2880</v>
      </c>
      <c r="J3121" s="2" t="s">
        <v>21</v>
      </c>
      <c r="K3121" t="s">
        <v>18</v>
      </c>
      <c r="L3121" t="str">
        <f>T("9791167835161")</f>
        <v>9791167835161</v>
      </c>
      <c r="M3121" t="str">
        <f>T("")</f>
        <v/>
      </c>
      <c r="N3121" t="s">
        <v>2881</v>
      </c>
    </row>
    <row r="3122" spans="1:14">
      <c r="A3122" s="1">
        <v>46080.960601851853</v>
      </c>
      <c r="B3122">
        <v>383004678</v>
      </c>
      <c r="C3122" s="2" t="s">
        <v>1776</v>
      </c>
      <c r="D3122" t="s">
        <v>15</v>
      </c>
      <c r="E3122" s="5">
        <v>7200</v>
      </c>
      <c r="F3122" s="3">
        <v>7200</v>
      </c>
      <c r="G3122" s="3">
        <v>5040</v>
      </c>
      <c r="I3122" s="2" t="s">
        <v>351</v>
      </c>
      <c r="J3122" s="2" t="s">
        <v>126</v>
      </c>
      <c r="K3122" t="s">
        <v>18</v>
      </c>
      <c r="L3122" t="str">
        <f>T("9791171502950")</f>
        <v>9791171502950</v>
      </c>
      <c r="M3122" t="str">
        <f>T("")</f>
        <v/>
      </c>
    </row>
    <row r="3123" spans="1:14">
      <c r="A3123" s="1">
        <v>46080.96398148148</v>
      </c>
      <c r="B3123">
        <v>386556274</v>
      </c>
      <c r="C3123" s="2" t="s">
        <v>2535</v>
      </c>
      <c r="D3123" t="s">
        <v>15</v>
      </c>
      <c r="E3123" s="5">
        <v>2000</v>
      </c>
      <c r="F3123" s="3">
        <v>2000</v>
      </c>
      <c r="G3123" s="3">
        <v>1400</v>
      </c>
      <c r="I3123" s="2" t="s">
        <v>2536</v>
      </c>
      <c r="J3123" s="2" t="s">
        <v>197</v>
      </c>
      <c r="K3123" t="s">
        <v>18</v>
      </c>
      <c r="L3123" t="str">
        <f>T("")</f>
        <v/>
      </c>
      <c r="M3123" t="str">
        <f>T("G720:N+A319-20251223071.M001")</f>
        <v>G720:N+A319-20251223071.M001</v>
      </c>
      <c r="N3123" t="s">
        <v>2537</v>
      </c>
    </row>
    <row r="3124" spans="1:14">
      <c r="A3124" s="1">
        <v>46080.97047453704</v>
      </c>
      <c r="B3124">
        <v>276659785</v>
      </c>
      <c r="C3124" s="2" t="s">
        <v>2882</v>
      </c>
      <c r="D3124" t="s">
        <v>15</v>
      </c>
      <c r="E3124" s="5">
        <v>10200</v>
      </c>
      <c r="F3124" s="3">
        <v>10200</v>
      </c>
      <c r="G3124" s="3">
        <v>7140</v>
      </c>
      <c r="I3124" s="2" t="s">
        <v>196</v>
      </c>
      <c r="J3124" s="2" t="s">
        <v>197</v>
      </c>
      <c r="K3124" t="s">
        <v>18</v>
      </c>
      <c r="L3124" t="str">
        <f>T("9791164092765")</f>
        <v>9791164092765</v>
      </c>
      <c r="M3124" t="str">
        <f>T("")</f>
        <v/>
      </c>
    </row>
    <row r="3125" spans="1:14">
      <c r="A3125" s="1">
        <v>46080.971145833333</v>
      </c>
      <c r="B3125">
        <v>339671334</v>
      </c>
      <c r="C3125" s="2" t="s">
        <v>2883</v>
      </c>
      <c r="D3125" t="s">
        <v>15</v>
      </c>
      <c r="E3125" s="5">
        <v>2000</v>
      </c>
      <c r="F3125" s="3">
        <v>2000</v>
      </c>
      <c r="G3125" s="3">
        <v>1400</v>
      </c>
      <c r="I3125" s="2" t="s">
        <v>1447</v>
      </c>
      <c r="J3125" s="2" t="s">
        <v>21</v>
      </c>
      <c r="K3125" t="s">
        <v>18</v>
      </c>
      <c r="L3125" t="str">
        <f>T("9791170898016")</f>
        <v>9791170898016</v>
      </c>
      <c r="M3125" t="str">
        <f>T("")</f>
        <v/>
      </c>
      <c r="N3125" t="s">
        <v>2884</v>
      </c>
    </row>
    <row r="3126" spans="1:14">
      <c r="A3126" s="1">
        <v>46080.975949074076</v>
      </c>
      <c r="B3126">
        <v>386556281</v>
      </c>
      <c r="C3126" s="2" t="s">
        <v>2647</v>
      </c>
      <c r="D3126" t="s">
        <v>15</v>
      </c>
      <c r="E3126" s="5">
        <v>2000</v>
      </c>
      <c r="F3126" s="3">
        <v>1800</v>
      </c>
      <c r="G3126" s="3">
        <v>1260</v>
      </c>
      <c r="I3126" s="2" t="s">
        <v>2536</v>
      </c>
      <c r="J3126" s="2" t="s">
        <v>197</v>
      </c>
      <c r="K3126" t="s">
        <v>18</v>
      </c>
      <c r="L3126" t="str">
        <f>T("")</f>
        <v/>
      </c>
      <c r="M3126" t="str">
        <f>T("G720:N+A319-20251223071.M002")</f>
        <v>G720:N+A319-20251223071.M002</v>
      </c>
      <c r="N3126" t="s">
        <v>2648</v>
      </c>
    </row>
    <row r="3127" spans="1:14">
      <c r="A3127" s="1">
        <v>46080.976666666669</v>
      </c>
      <c r="B3127">
        <v>302552125</v>
      </c>
      <c r="C3127" s="2" t="s">
        <v>1960</v>
      </c>
      <c r="D3127" t="s">
        <v>15</v>
      </c>
      <c r="E3127" s="5">
        <v>1500</v>
      </c>
      <c r="F3127" s="3">
        <v>1500</v>
      </c>
      <c r="G3127" s="3">
        <v>1050</v>
      </c>
      <c r="I3127" s="2" t="s">
        <v>266</v>
      </c>
      <c r="J3127" s="2" t="s">
        <v>126</v>
      </c>
      <c r="K3127" t="s">
        <v>18</v>
      </c>
      <c r="L3127" t="str">
        <f>T("9791164977703")</f>
        <v>9791164977703</v>
      </c>
      <c r="M3127" t="str">
        <f>T("")</f>
        <v/>
      </c>
      <c r="N3127" t="s">
        <v>1961</v>
      </c>
    </row>
    <row r="3128" spans="1:14">
      <c r="A3128" s="1">
        <v>46080.997858796298</v>
      </c>
      <c r="B3128">
        <v>386559326</v>
      </c>
      <c r="C3128" s="2" t="s">
        <v>2545</v>
      </c>
      <c r="D3128" t="s">
        <v>68</v>
      </c>
      <c r="E3128" s="5">
        <v>5760</v>
      </c>
      <c r="F3128" s="3">
        <v>5760</v>
      </c>
      <c r="G3128" s="3">
        <v>4032</v>
      </c>
      <c r="I3128" s="2" t="s">
        <v>2546</v>
      </c>
      <c r="J3128" s="2" t="s">
        <v>197</v>
      </c>
      <c r="K3128" t="s">
        <v>18</v>
      </c>
      <c r="L3128" t="str">
        <f>T("")</f>
        <v/>
      </c>
      <c r="M3128" t="str">
        <f>T("G720:N+A319-20251223073")</f>
        <v>G720:N+A319-20251223073</v>
      </c>
    </row>
    <row r="3129" spans="1:14">
      <c r="A3129" s="1">
        <v>46081.010393518518</v>
      </c>
      <c r="B3129">
        <v>386556274</v>
      </c>
      <c r="C3129" s="2" t="s">
        <v>2535</v>
      </c>
      <c r="D3129" t="s">
        <v>15</v>
      </c>
      <c r="E3129" s="5">
        <v>2000</v>
      </c>
      <c r="F3129" s="3">
        <v>2000</v>
      </c>
      <c r="G3129" s="3">
        <v>1400</v>
      </c>
      <c r="I3129" s="2" t="s">
        <v>2536</v>
      </c>
      <c r="J3129" s="2" t="s">
        <v>197</v>
      </c>
      <c r="K3129" t="s">
        <v>18</v>
      </c>
      <c r="L3129" t="str">
        <f>T("")</f>
        <v/>
      </c>
      <c r="M3129" t="str">
        <f>T("G720:N+A319-20251223071.M001")</f>
        <v>G720:N+A319-20251223071.M001</v>
      </c>
      <c r="N3129" t="s">
        <v>2537</v>
      </c>
    </row>
    <row r="3130" spans="1:14">
      <c r="A3130" s="1">
        <v>46081.011030092595</v>
      </c>
      <c r="B3130">
        <v>277935766</v>
      </c>
      <c r="C3130" s="2" t="s">
        <v>2885</v>
      </c>
      <c r="D3130" t="s">
        <v>15</v>
      </c>
      <c r="E3130" s="4">
        <v>100</v>
      </c>
      <c r="F3130" s="2">
        <v>100</v>
      </c>
      <c r="G3130" s="2">
        <v>70</v>
      </c>
      <c r="I3130" s="2" t="s">
        <v>64</v>
      </c>
      <c r="J3130" s="2" t="s">
        <v>65</v>
      </c>
      <c r="K3130" t="s">
        <v>18</v>
      </c>
      <c r="L3130" t="str">
        <f t="shared" ref="L3130:L3149" si="140">T("9791162589724")</f>
        <v>9791162589724</v>
      </c>
      <c r="M3130" t="str">
        <f t="shared" ref="M3130:M3152" si="141">T("")</f>
        <v/>
      </c>
      <c r="N3130" t="s">
        <v>2886</v>
      </c>
    </row>
    <row r="3131" spans="1:14">
      <c r="A3131" s="1">
        <v>46081.011030092595</v>
      </c>
      <c r="B3131">
        <v>277935764</v>
      </c>
      <c r="C3131" s="2" t="s">
        <v>2887</v>
      </c>
      <c r="D3131" t="s">
        <v>15</v>
      </c>
      <c r="E3131" s="4">
        <v>100</v>
      </c>
      <c r="F3131" s="2">
        <v>100</v>
      </c>
      <c r="G3131" s="2">
        <v>70</v>
      </c>
      <c r="I3131" s="2" t="s">
        <v>64</v>
      </c>
      <c r="J3131" s="2" t="s">
        <v>65</v>
      </c>
      <c r="K3131" t="s">
        <v>18</v>
      </c>
      <c r="L3131" t="str">
        <f t="shared" si="140"/>
        <v>9791162589724</v>
      </c>
      <c r="M3131" t="str">
        <f t="shared" si="141"/>
        <v/>
      </c>
      <c r="N3131" t="s">
        <v>2888</v>
      </c>
    </row>
    <row r="3132" spans="1:14">
      <c r="A3132" s="1">
        <v>46081.011030092595</v>
      </c>
      <c r="B3132">
        <v>277935744</v>
      </c>
      <c r="C3132" s="2" t="s">
        <v>2033</v>
      </c>
      <c r="D3132" t="s">
        <v>15</v>
      </c>
      <c r="E3132" s="4">
        <v>100</v>
      </c>
      <c r="F3132" s="2">
        <v>100</v>
      </c>
      <c r="G3132" s="2">
        <v>70</v>
      </c>
      <c r="I3132" s="2" t="s">
        <v>64</v>
      </c>
      <c r="J3132" s="2" t="s">
        <v>65</v>
      </c>
      <c r="K3132" t="s">
        <v>18</v>
      </c>
      <c r="L3132" t="str">
        <f t="shared" si="140"/>
        <v>9791162589724</v>
      </c>
      <c r="M3132" t="str">
        <f t="shared" si="141"/>
        <v/>
      </c>
      <c r="N3132" t="s">
        <v>2034</v>
      </c>
    </row>
    <row r="3133" spans="1:14">
      <c r="A3133" s="1">
        <v>46081.011030092595</v>
      </c>
      <c r="B3133">
        <v>277935751</v>
      </c>
      <c r="C3133" s="2" t="s">
        <v>2029</v>
      </c>
      <c r="D3133" t="s">
        <v>15</v>
      </c>
      <c r="E3133" s="4">
        <v>100</v>
      </c>
      <c r="F3133" s="2">
        <v>100</v>
      </c>
      <c r="G3133" s="2">
        <v>70</v>
      </c>
      <c r="I3133" s="2" t="s">
        <v>64</v>
      </c>
      <c r="J3133" s="2" t="s">
        <v>65</v>
      </c>
      <c r="K3133" t="s">
        <v>18</v>
      </c>
      <c r="L3133" t="str">
        <f t="shared" si="140"/>
        <v>9791162589724</v>
      </c>
      <c r="M3133" t="str">
        <f t="shared" si="141"/>
        <v/>
      </c>
      <c r="N3133" t="s">
        <v>2030</v>
      </c>
    </row>
    <row r="3134" spans="1:14">
      <c r="A3134" s="1">
        <v>46081.011030092595</v>
      </c>
      <c r="B3134">
        <v>277935760</v>
      </c>
      <c r="C3134" s="2" t="s">
        <v>2421</v>
      </c>
      <c r="D3134" t="s">
        <v>15</v>
      </c>
      <c r="E3134" s="4">
        <v>100</v>
      </c>
      <c r="F3134" s="2">
        <v>100</v>
      </c>
      <c r="G3134" s="2">
        <v>70</v>
      </c>
      <c r="I3134" s="2" t="s">
        <v>64</v>
      </c>
      <c r="J3134" s="2" t="s">
        <v>65</v>
      </c>
      <c r="K3134" t="s">
        <v>18</v>
      </c>
      <c r="L3134" t="str">
        <f t="shared" si="140"/>
        <v>9791162589724</v>
      </c>
      <c r="M3134" t="str">
        <f t="shared" si="141"/>
        <v/>
      </c>
      <c r="N3134" t="s">
        <v>2422</v>
      </c>
    </row>
    <row r="3135" spans="1:14">
      <c r="A3135" s="1">
        <v>46081.011030092595</v>
      </c>
      <c r="B3135">
        <v>277935762</v>
      </c>
      <c r="C3135" s="2" t="s">
        <v>2419</v>
      </c>
      <c r="D3135" t="s">
        <v>15</v>
      </c>
      <c r="E3135" s="4">
        <v>100</v>
      </c>
      <c r="F3135" s="2">
        <v>100</v>
      </c>
      <c r="G3135" s="2">
        <v>70</v>
      </c>
      <c r="I3135" s="2" t="s">
        <v>64</v>
      </c>
      <c r="J3135" s="2" t="s">
        <v>65</v>
      </c>
      <c r="K3135" t="s">
        <v>18</v>
      </c>
      <c r="L3135" t="str">
        <f t="shared" si="140"/>
        <v>9791162589724</v>
      </c>
      <c r="M3135" t="str">
        <f t="shared" si="141"/>
        <v/>
      </c>
      <c r="N3135" t="s">
        <v>2420</v>
      </c>
    </row>
    <row r="3136" spans="1:14">
      <c r="A3136" s="1">
        <v>46081.011030092595</v>
      </c>
      <c r="B3136">
        <v>277935758</v>
      </c>
      <c r="C3136" s="2" t="s">
        <v>2261</v>
      </c>
      <c r="D3136" t="s">
        <v>15</v>
      </c>
      <c r="E3136" s="4">
        <v>100</v>
      </c>
      <c r="F3136" s="2">
        <v>100</v>
      </c>
      <c r="G3136" s="2">
        <v>70</v>
      </c>
      <c r="I3136" s="2" t="s">
        <v>64</v>
      </c>
      <c r="J3136" s="2" t="s">
        <v>65</v>
      </c>
      <c r="K3136" t="s">
        <v>18</v>
      </c>
      <c r="L3136" t="str">
        <f t="shared" si="140"/>
        <v>9791162589724</v>
      </c>
      <c r="M3136" t="str">
        <f t="shared" si="141"/>
        <v/>
      </c>
      <c r="N3136" t="s">
        <v>2262</v>
      </c>
    </row>
    <row r="3137" spans="1:14">
      <c r="A3137" s="1">
        <v>46081.011030092595</v>
      </c>
      <c r="B3137">
        <v>277935754</v>
      </c>
      <c r="C3137" s="2" t="s">
        <v>1011</v>
      </c>
      <c r="D3137" t="s">
        <v>15</v>
      </c>
      <c r="E3137" s="4">
        <v>100</v>
      </c>
      <c r="F3137" s="2">
        <v>100</v>
      </c>
      <c r="G3137" s="2">
        <v>70</v>
      </c>
      <c r="I3137" s="2" t="s">
        <v>64</v>
      </c>
      <c r="J3137" s="2" t="s">
        <v>65</v>
      </c>
      <c r="K3137" t="s">
        <v>18</v>
      </c>
      <c r="L3137" t="str">
        <f t="shared" si="140"/>
        <v>9791162589724</v>
      </c>
      <c r="M3137" t="str">
        <f t="shared" si="141"/>
        <v/>
      </c>
      <c r="N3137" t="s">
        <v>1012</v>
      </c>
    </row>
    <row r="3138" spans="1:14">
      <c r="A3138" s="1">
        <v>46081.011030092595</v>
      </c>
      <c r="B3138">
        <v>277935664</v>
      </c>
      <c r="C3138" s="2" t="s">
        <v>2425</v>
      </c>
      <c r="D3138" t="s">
        <v>15</v>
      </c>
      <c r="E3138" s="4">
        <v>100</v>
      </c>
      <c r="F3138" s="2">
        <v>100</v>
      </c>
      <c r="G3138" s="2">
        <v>70</v>
      </c>
      <c r="I3138" s="2" t="s">
        <v>64</v>
      </c>
      <c r="J3138" s="2" t="s">
        <v>65</v>
      </c>
      <c r="K3138" t="s">
        <v>18</v>
      </c>
      <c r="L3138" t="str">
        <f t="shared" si="140"/>
        <v>9791162589724</v>
      </c>
      <c r="M3138" t="str">
        <f t="shared" si="141"/>
        <v/>
      </c>
      <c r="N3138" t="s">
        <v>2426</v>
      </c>
    </row>
    <row r="3139" spans="1:14">
      <c r="A3139" s="1">
        <v>46081.011030092595</v>
      </c>
      <c r="B3139">
        <v>277935659</v>
      </c>
      <c r="C3139" s="2" t="s">
        <v>2257</v>
      </c>
      <c r="D3139" t="s">
        <v>15</v>
      </c>
      <c r="E3139" s="4">
        <v>100</v>
      </c>
      <c r="F3139" s="2">
        <v>100</v>
      </c>
      <c r="G3139" s="2">
        <v>70</v>
      </c>
      <c r="I3139" s="2" t="s">
        <v>64</v>
      </c>
      <c r="J3139" s="2" t="s">
        <v>65</v>
      </c>
      <c r="K3139" t="s">
        <v>18</v>
      </c>
      <c r="L3139" t="str">
        <f t="shared" si="140"/>
        <v>9791162589724</v>
      </c>
      <c r="M3139" t="str">
        <f t="shared" si="141"/>
        <v/>
      </c>
      <c r="N3139" t="s">
        <v>2258</v>
      </c>
    </row>
    <row r="3140" spans="1:14">
      <c r="A3140" s="1">
        <v>46081.011030092595</v>
      </c>
      <c r="B3140">
        <v>277935650</v>
      </c>
      <c r="C3140" s="2" t="s">
        <v>2023</v>
      </c>
      <c r="D3140" t="s">
        <v>15</v>
      </c>
      <c r="E3140" s="4">
        <v>100</v>
      </c>
      <c r="F3140" s="2">
        <v>100</v>
      </c>
      <c r="G3140" s="2">
        <v>70</v>
      </c>
      <c r="I3140" s="2" t="s">
        <v>64</v>
      </c>
      <c r="J3140" s="2" t="s">
        <v>65</v>
      </c>
      <c r="K3140" t="s">
        <v>18</v>
      </c>
      <c r="L3140" t="str">
        <f t="shared" si="140"/>
        <v>9791162589724</v>
      </c>
      <c r="M3140" t="str">
        <f t="shared" si="141"/>
        <v/>
      </c>
      <c r="N3140" t="s">
        <v>2024</v>
      </c>
    </row>
    <row r="3141" spans="1:14">
      <c r="A3141" s="1">
        <v>46081.011030092595</v>
      </c>
      <c r="B3141">
        <v>277935655</v>
      </c>
      <c r="C3141" s="2" t="s">
        <v>1945</v>
      </c>
      <c r="D3141" t="s">
        <v>15</v>
      </c>
      <c r="E3141" s="4">
        <v>100</v>
      </c>
      <c r="F3141" s="2">
        <v>100</v>
      </c>
      <c r="G3141" s="2">
        <v>70</v>
      </c>
      <c r="I3141" s="2" t="s">
        <v>64</v>
      </c>
      <c r="J3141" s="2" t="s">
        <v>65</v>
      </c>
      <c r="K3141" t="s">
        <v>18</v>
      </c>
      <c r="L3141" t="str">
        <f t="shared" si="140"/>
        <v>9791162589724</v>
      </c>
      <c r="M3141" t="str">
        <f t="shared" si="141"/>
        <v/>
      </c>
      <c r="N3141" t="s">
        <v>1946</v>
      </c>
    </row>
    <row r="3142" spans="1:14">
      <c r="A3142" s="1">
        <v>46081.011030092595</v>
      </c>
      <c r="B3142">
        <v>277935693</v>
      </c>
      <c r="C3142" s="2" t="s">
        <v>2021</v>
      </c>
      <c r="D3142" t="s">
        <v>15</v>
      </c>
      <c r="E3142" s="4">
        <v>100</v>
      </c>
      <c r="F3142" s="2">
        <v>100</v>
      </c>
      <c r="G3142" s="2">
        <v>70</v>
      </c>
      <c r="I3142" s="2" t="s">
        <v>64</v>
      </c>
      <c r="J3142" s="2" t="s">
        <v>65</v>
      </c>
      <c r="K3142" t="s">
        <v>18</v>
      </c>
      <c r="L3142" t="str">
        <f t="shared" si="140"/>
        <v>9791162589724</v>
      </c>
      <c r="M3142" t="str">
        <f t="shared" si="141"/>
        <v/>
      </c>
      <c r="N3142" t="s">
        <v>2022</v>
      </c>
    </row>
    <row r="3143" spans="1:14">
      <c r="A3143" s="1">
        <v>46081.011030092595</v>
      </c>
      <c r="B3143">
        <v>277935697</v>
      </c>
      <c r="C3143" s="2" t="s">
        <v>2019</v>
      </c>
      <c r="D3143" t="s">
        <v>15</v>
      </c>
      <c r="E3143" s="4">
        <v>100</v>
      </c>
      <c r="F3143" s="2">
        <v>100</v>
      </c>
      <c r="G3143" s="2">
        <v>70</v>
      </c>
      <c r="I3143" s="2" t="s">
        <v>64</v>
      </c>
      <c r="J3143" s="2" t="s">
        <v>65</v>
      </c>
      <c r="K3143" t="s">
        <v>18</v>
      </c>
      <c r="L3143" t="str">
        <f t="shared" si="140"/>
        <v>9791162589724</v>
      </c>
      <c r="M3143" t="str">
        <f t="shared" si="141"/>
        <v/>
      </c>
      <c r="N3143" t="s">
        <v>2020</v>
      </c>
    </row>
    <row r="3144" spans="1:14">
      <c r="A3144" s="1">
        <v>46081.011030092595</v>
      </c>
      <c r="B3144">
        <v>277935701</v>
      </c>
      <c r="C3144" s="2" t="s">
        <v>2255</v>
      </c>
      <c r="D3144" t="s">
        <v>15</v>
      </c>
      <c r="E3144" s="4">
        <v>100</v>
      </c>
      <c r="F3144" s="2">
        <v>100</v>
      </c>
      <c r="G3144" s="2">
        <v>70</v>
      </c>
      <c r="I3144" s="2" t="s">
        <v>64</v>
      </c>
      <c r="J3144" s="2" t="s">
        <v>65</v>
      </c>
      <c r="K3144" t="s">
        <v>18</v>
      </c>
      <c r="L3144" t="str">
        <f t="shared" si="140"/>
        <v>9791162589724</v>
      </c>
      <c r="M3144" t="str">
        <f t="shared" si="141"/>
        <v/>
      </c>
      <c r="N3144" t="s">
        <v>2256</v>
      </c>
    </row>
    <row r="3145" spans="1:14">
      <c r="A3145" s="1">
        <v>46081.011030092595</v>
      </c>
      <c r="B3145">
        <v>277935704</v>
      </c>
      <c r="C3145" s="2" t="s">
        <v>2427</v>
      </c>
      <c r="D3145" t="s">
        <v>15</v>
      </c>
      <c r="E3145" s="4">
        <v>100</v>
      </c>
      <c r="F3145" s="2">
        <v>100</v>
      </c>
      <c r="G3145" s="2">
        <v>70</v>
      </c>
      <c r="I3145" s="2" t="s">
        <v>64</v>
      </c>
      <c r="J3145" s="2" t="s">
        <v>65</v>
      </c>
      <c r="K3145" t="s">
        <v>18</v>
      </c>
      <c r="L3145" t="str">
        <f t="shared" si="140"/>
        <v>9791162589724</v>
      </c>
      <c r="M3145" t="str">
        <f t="shared" si="141"/>
        <v/>
      </c>
      <c r="N3145" t="s">
        <v>2428</v>
      </c>
    </row>
    <row r="3146" spans="1:14">
      <c r="A3146" s="1">
        <v>46081.011030092595</v>
      </c>
      <c r="B3146">
        <v>277935489</v>
      </c>
      <c r="C3146" s="2" t="s">
        <v>2025</v>
      </c>
      <c r="D3146" t="s">
        <v>15</v>
      </c>
      <c r="E3146" s="4">
        <v>100</v>
      </c>
      <c r="F3146" s="2">
        <v>100</v>
      </c>
      <c r="G3146" s="2">
        <v>70</v>
      </c>
      <c r="I3146" s="2" t="s">
        <v>64</v>
      </c>
      <c r="J3146" s="2" t="s">
        <v>65</v>
      </c>
      <c r="K3146" t="s">
        <v>18</v>
      </c>
      <c r="L3146" t="str">
        <f t="shared" si="140"/>
        <v>9791162589724</v>
      </c>
      <c r="M3146" t="str">
        <f t="shared" si="141"/>
        <v/>
      </c>
      <c r="N3146" t="s">
        <v>2026</v>
      </c>
    </row>
    <row r="3147" spans="1:14">
      <c r="A3147" s="1">
        <v>46081.011030092595</v>
      </c>
      <c r="B3147">
        <v>277935491</v>
      </c>
      <c r="C3147" s="2" t="s">
        <v>2027</v>
      </c>
      <c r="D3147" t="s">
        <v>15</v>
      </c>
      <c r="E3147" s="4">
        <v>100</v>
      </c>
      <c r="F3147" s="2">
        <v>100</v>
      </c>
      <c r="G3147" s="2">
        <v>70</v>
      </c>
      <c r="I3147" s="2" t="s">
        <v>64</v>
      </c>
      <c r="J3147" s="2" t="s">
        <v>65</v>
      </c>
      <c r="K3147" t="s">
        <v>18</v>
      </c>
      <c r="L3147" t="str">
        <f t="shared" si="140"/>
        <v>9791162589724</v>
      </c>
      <c r="M3147" t="str">
        <f t="shared" si="141"/>
        <v/>
      </c>
      <c r="N3147" t="s">
        <v>2028</v>
      </c>
    </row>
    <row r="3148" spans="1:14">
      <c r="A3148" s="1">
        <v>46081.011030092595</v>
      </c>
      <c r="B3148">
        <v>277935494</v>
      </c>
      <c r="C3148" s="2" t="s">
        <v>2253</v>
      </c>
      <c r="D3148" t="s">
        <v>15</v>
      </c>
      <c r="E3148" s="4">
        <v>100</v>
      </c>
      <c r="F3148" s="2">
        <v>100</v>
      </c>
      <c r="G3148" s="2">
        <v>70</v>
      </c>
      <c r="I3148" s="2" t="s">
        <v>64</v>
      </c>
      <c r="J3148" s="2" t="s">
        <v>65</v>
      </c>
      <c r="K3148" t="s">
        <v>18</v>
      </c>
      <c r="L3148" t="str">
        <f t="shared" si="140"/>
        <v>9791162589724</v>
      </c>
      <c r="M3148" t="str">
        <f t="shared" si="141"/>
        <v/>
      </c>
      <c r="N3148" t="s">
        <v>2254</v>
      </c>
    </row>
    <row r="3149" spans="1:14">
      <c r="A3149" s="1">
        <v>46081.011030092595</v>
      </c>
      <c r="B3149">
        <v>277935495</v>
      </c>
      <c r="C3149" s="2" t="s">
        <v>2423</v>
      </c>
      <c r="D3149" t="s">
        <v>15</v>
      </c>
      <c r="E3149" s="4">
        <v>100</v>
      </c>
      <c r="F3149" s="2">
        <v>100</v>
      </c>
      <c r="G3149" s="2">
        <v>70</v>
      </c>
      <c r="I3149" s="2" t="s">
        <v>64</v>
      </c>
      <c r="J3149" s="2" t="s">
        <v>65</v>
      </c>
      <c r="K3149" t="s">
        <v>18</v>
      </c>
      <c r="L3149" t="str">
        <f t="shared" si="140"/>
        <v>9791162589724</v>
      </c>
      <c r="M3149" t="str">
        <f t="shared" si="141"/>
        <v/>
      </c>
      <c r="N3149" t="s">
        <v>2424</v>
      </c>
    </row>
    <row r="3150" spans="1:14">
      <c r="A3150" s="1">
        <v>46081.014432870368</v>
      </c>
      <c r="B3150">
        <v>323547184</v>
      </c>
      <c r="C3150" s="2" t="s">
        <v>1743</v>
      </c>
      <c r="D3150" t="s">
        <v>15</v>
      </c>
      <c r="E3150" s="5">
        <v>3400</v>
      </c>
      <c r="F3150" s="3">
        <v>3400</v>
      </c>
      <c r="G3150" s="3">
        <v>2380</v>
      </c>
      <c r="I3150" s="2" t="s">
        <v>547</v>
      </c>
      <c r="J3150" s="2" t="s">
        <v>197</v>
      </c>
      <c r="K3150" t="s">
        <v>18</v>
      </c>
      <c r="L3150" t="str">
        <f>T("9791164098354")</f>
        <v>9791164098354</v>
      </c>
      <c r="M3150" t="str">
        <f t="shared" si="141"/>
        <v/>
      </c>
      <c r="N3150" t="s">
        <v>1744</v>
      </c>
    </row>
    <row r="3151" spans="1:14">
      <c r="A3151" s="1">
        <v>46081.022812499999</v>
      </c>
      <c r="B3151">
        <v>369727891</v>
      </c>
      <c r="C3151" s="2" t="s">
        <v>1173</v>
      </c>
      <c r="D3151" t="s">
        <v>15</v>
      </c>
      <c r="E3151" s="5">
        <v>1000</v>
      </c>
      <c r="F3151" s="3">
        <v>1000</v>
      </c>
      <c r="G3151" s="2">
        <v>700</v>
      </c>
      <c r="I3151" s="2" t="s">
        <v>487</v>
      </c>
      <c r="J3151" s="2" t="s">
        <v>21</v>
      </c>
      <c r="K3151" t="s">
        <v>18</v>
      </c>
      <c r="L3151" t="str">
        <f>T("9791173016325")</f>
        <v>9791173016325</v>
      </c>
      <c r="M3151" t="str">
        <f t="shared" si="141"/>
        <v/>
      </c>
      <c r="N3151" t="s">
        <v>1174</v>
      </c>
    </row>
    <row r="3152" spans="1:14">
      <c r="A3152" s="1">
        <v>46081.041828703703</v>
      </c>
      <c r="B3152">
        <v>308166799</v>
      </c>
      <c r="C3152" s="2" t="s">
        <v>2889</v>
      </c>
      <c r="D3152" t="s">
        <v>15</v>
      </c>
      <c r="E3152" s="5">
        <v>1000</v>
      </c>
      <c r="F3152" s="3">
        <v>1000</v>
      </c>
      <c r="G3152" s="2">
        <v>700</v>
      </c>
      <c r="I3152" s="2" t="s">
        <v>2880</v>
      </c>
      <c r="J3152" s="2" t="s">
        <v>21</v>
      </c>
      <c r="K3152" t="s">
        <v>18</v>
      </c>
      <c r="L3152" t="str">
        <f>T("9791167835673")</f>
        <v>9791167835673</v>
      </c>
      <c r="M3152" t="str">
        <f t="shared" si="141"/>
        <v/>
      </c>
      <c r="N3152" t="s">
        <v>2890</v>
      </c>
    </row>
    <row r="3153" spans="1:14">
      <c r="A3153" s="1">
        <v>46081.072141203702</v>
      </c>
      <c r="B3153">
        <v>386556274</v>
      </c>
      <c r="C3153" s="2" t="s">
        <v>2535</v>
      </c>
      <c r="D3153" t="s">
        <v>15</v>
      </c>
      <c r="E3153" s="5">
        <v>2000</v>
      </c>
      <c r="F3153" s="3">
        <v>2000</v>
      </c>
      <c r="G3153" s="3">
        <v>1400</v>
      </c>
      <c r="I3153" s="2" t="s">
        <v>2536</v>
      </c>
      <c r="J3153" s="2" t="s">
        <v>197</v>
      </c>
      <c r="K3153" t="s">
        <v>18</v>
      </c>
      <c r="L3153" t="str">
        <f>T("")</f>
        <v/>
      </c>
      <c r="M3153" t="str">
        <f>T("G720:N+A319-20251223071.M001")</f>
        <v>G720:N+A319-20251223071.M001</v>
      </c>
      <c r="N3153" t="s">
        <v>2537</v>
      </c>
    </row>
    <row r="3154" spans="1:14">
      <c r="A3154" s="1">
        <v>46081.094814814816</v>
      </c>
      <c r="B3154">
        <v>282169372</v>
      </c>
      <c r="C3154" s="2" t="s">
        <v>2891</v>
      </c>
      <c r="D3154" t="s">
        <v>15</v>
      </c>
      <c r="E3154" s="4">
        <v>500</v>
      </c>
      <c r="F3154" s="2">
        <v>500</v>
      </c>
      <c r="G3154" s="2">
        <v>350</v>
      </c>
      <c r="I3154" s="2" t="s">
        <v>2892</v>
      </c>
      <c r="J3154" s="2" t="s">
        <v>21</v>
      </c>
      <c r="K3154" t="s">
        <v>18</v>
      </c>
      <c r="L3154" t="str">
        <f>T("9791167830432")</f>
        <v>9791167830432</v>
      </c>
      <c r="M3154" t="str">
        <f>T("")</f>
        <v/>
      </c>
    </row>
    <row r="3155" spans="1:14">
      <c r="A3155" s="1">
        <v>46081.094814814816</v>
      </c>
      <c r="B3155">
        <v>266451754</v>
      </c>
      <c r="C3155" s="2" t="s">
        <v>2893</v>
      </c>
      <c r="D3155" t="s">
        <v>15</v>
      </c>
      <c r="E3155" s="5">
        <v>2500</v>
      </c>
      <c r="F3155" s="3">
        <v>2500</v>
      </c>
      <c r="G3155" s="3">
        <v>1750</v>
      </c>
      <c r="I3155" s="2" t="s">
        <v>2892</v>
      </c>
      <c r="J3155" s="2" t="s">
        <v>21</v>
      </c>
      <c r="K3155" t="s">
        <v>18</v>
      </c>
      <c r="L3155" t="str">
        <f>T("9791197181368")</f>
        <v>9791197181368</v>
      </c>
      <c r="M3155" t="str">
        <f>T("")</f>
        <v/>
      </c>
    </row>
    <row r="3156" spans="1:14">
      <c r="A3156" s="1">
        <v>46081.094814814816</v>
      </c>
      <c r="B3156">
        <v>379527567</v>
      </c>
      <c r="C3156" s="2" t="s">
        <v>2894</v>
      </c>
      <c r="D3156" t="s">
        <v>15</v>
      </c>
      <c r="E3156" s="5">
        <v>1500</v>
      </c>
      <c r="F3156" s="3">
        <v>1500</v>
      </c>
      <c r="G3156" s="3">
        <v>1050</v>
      </c>
      <c r="I3156" s="2" t="s">
        <v>2892</v>
      </c>
      <c r="J3156" s="2" t="s">
        <v>21</v>
      </c>
      <c r="K3156" t="s">
        <v>18</v>
      </c>
      <c r="L3156" t="str">
        <f>T("9791175581173")</f>
        <v>9791175581173</v>
      </c>
      <c r="M3156" t="str">
        <f>T("")</f>
        <v/>
      </c>
      <c r="N3156" t="s">
        <v>2895</v>
      </c>
    </row>
    <row r="3157" spans="1:14">
      <c r="A3157" s="1">
        <v>46081.107708333337</v>
      </c>
      <c r="B3157">
        <v>378389261</v>
      </c>
      <c r="C3157" s="2" t="s">
        <v>773</v>
      </c>
      <c r="D3157" t="s">
        <v>15</v>
      </c>
      <c r="E3157" s="5">
        <v>13440</v>
      </c>
      <c r="F3157" s="3">
        <v>13440</v>
      </c>
      <c r="G3157" s="3">
        <v>9408</v>
      </c>
      <c r="I3157" s="2" t="s">
        <v>774</v>
      </c>
      <c r="J3157" s="2" t="s">
        <v>184</v>
      </c>
      <c r="K3157" t="s">
        <v>18</v>
      </c>
      <c r="L3157" t="str">
        <f>T("9791170965428")</f>
        <v>9791170965428</v>
      </c>
      <c r="M3157" t="str">
        <f>T("")</f>
        <v/>
      </c>
      <c r="N3157" t="s">
        <v>775</v>
      </c>
    </row>
    <row r="3158" spans="1:14">
      <c r="A3158" s="1">
        <v>46081.115023148152</v>
      </c>
      <c r="B3158">
        <v>386559327</v>
      </c>
      <c r="C3158" s="2" t="s">
        <v>2555</v>
      </c>
      <c r="D3158" t="s">
        <v>15</v>
      </c>
      <c r="E3158" s="5">
        <v>4000</v>
      </c>
      <c r="F3158" s="3">
        <v>3600</v>
      </c>
      <c r="G3158" s="3">
        <v>2520</v>
      </c>
      <c r="I3158" s="2" t="s">
        <v>2536</v>
      </c>
      <c r="J3158" s="2" t="s">
        <v>197</v>
      </c>
      <c r="K3158" t="s">
        <v>18</v>
      </c>
      <c r="L3158" t="str">
        <f>T("")</f>
        <v/>
      </c>
      <c r="M3158" t="str">
        <f>T("G720:N+A319-20251223071")</f>
        <v>G720:N+A319-20251223071</v>
      </c>
    </row>
    <row r="3159" spans="1:14">
      <c r="A3159" s="1">
        <v>46081.120393518519</v>
      </c>
      <c r="B3159">
        <v>386559327</v>
      </c>
      <c r="C3159" s="2" t="s">
        <v>2555</v>
      </c>
      <c r="D3159" t="s">
        <v>15</v>
      </c>
      <c r="E3159" s="5">
        <v>-4000</v>
      </c>
      <c r="F3159" s="3">
        <v>-3600</v>
      </c>
      <c r="G3159" s="3">
        <v>-2520</v>
      </c>
      <c r="H3159" s="1">
        <v>46081.119120370371</v>
      </c>
      <c r="I3159" s="2" t="s">
        <v>2536</v>
      </c>
      <c r="J3159" s="2" t="s">
        <v>197</v>
      </c>
      <c r="K3159" t="s">
        <v>18</v>
      </c>
      <c r="L3159" t="str">
        <f>T("")</f>
        <v/>
      </c>
      <c r="M3159" t="str">
        <f>T("G720:N+A319-20251223071")</f>
        <v>G720:N+A319-20251223071</v>
      </c>
    </row>
    <row r="3160" spans="1:14">
      <c r="A3160" s="1">
        <v>46081.119120370371</v>
      </c>
      <c r="B3160">
        <v>386559327</v>
      </c>
      <c r="C3160" s="2" t="s">
        <v>2555</v>
      </c>
      <c r="D3160" t="s">
        <v>15</v>
      </c>
      <c r="E3160" s="5">
        <v>4000</v>
      </c>
      <c r="F3160" s="3">
        <v>3600</v>
      </c>
      <c r="G3160" s="3">
        <v>2520</v>
      </c>
      <c r="I3160" s="2" t="s">
        <v>2536</v>
      </c>
      <c r="J3160" s="2" t="s">
        <v>197</v>
      </c>
      <c r="K3160" t="s">
        <v>18</v>
      </c>
      <c r="L3160" t="str">
        <f>T("")</f>
        <v/>
      </c>
      <c r="M3160" t="str">
        <f>T("G720:N+A319-20251223071")</f>
        <v>G720:N+A319-20251223071</v>
      </c>
    </row>
    <row r="3161" spans="1:14">
      <c r="A3161" s="1">
        <v>46081.130393518521</v>
      </c>
      <c r="B3161">
        <v>325730402</v>
      </c>
      <c r="C3161" s="2" t="s">
        <v>2896</v>
      </c>
      <c r="D3161" t="s">
        <v>15</v>
      </c>
      <c r="E3161" s="5">
        <v>1300</v>
      </c>
      <c r="F3161" s="3">
        <v>1300</v>
      </c>
      <c r="G3161" s="2">
        <v>910</v>
      </c>
      <c r="I3161" s="2" t="s">
        <v>2897</v>
      </c>
      <c r="J3161" s="2" t="s">
        <v>21</v>
      </c>
      <c r="K3161" t="s">
        <v>18</v>
      </c>
      <c r="L3161" t="str">
        <f>T("9791167839961")</f>
        <v>9791167839961</v>
      </c>
      <c r="M3161" t="str">
        <f t="shared" ref="M3161:M3174" si="142">T("")</f>
        <v/>
      </c>
      <c r="N3161" t="s">
        <v>2898</v>
      </c>
    </row>
    <row r="3162" spans="1:14">
      <c r="A3162" s="1">
        <v>46081.130393518521</v>
      </c>
      <c r="B3162">
        <v>325730758</v>
      </c>
      <c r="C3162" s="2" t="s">
        <v>2899</v>
      </c>
      <c r="D3162" t="s">
        <v>15</v>
      </c>
      <c r="E3162" s="4">
        <v>500</v>
      </c>
      <c r="F3162" s="2">
        <v>500</v>
      </c>
      <c r="G3162" s="2">
        <v>350</v>
      </c>
      <c r="I3162" s="2" t="s">
        <v>2897</v>
      </c>
      <c r="J3162" s="2" t="s">
        <v>21</v>
      </c>
      <c r="K3162" t="s">
        <v>18</v>
      </c>
      <c r="L3162" t="str">
        <f>T("9791170890355")</f>
        <v>9791170890355</v>
      </c>
      <c r="M3162" t="str">
        <f t="shared" si="142"/>
        <v/>
      </c>
      <c r="N3162" t="s">
        <v>2900</v>
      </c>
    </row>
    <row r="3163" spans="1:14">
      <c r="A3163" s="1">
        <v>46081.156365740739</v>
      </c>
      <c r="B3163">
        <v>66951468</v>
      </c>
      <c r="C3163" s="2" t="s">
        <v>2901</v>
      </c>
      <c r="D3163" t="s">
        <v>15</v>
      </c>
      <c r="E3163" s="5">
        <v>1000</v>
      </c>
      <c r="F3163" s="3">
        <v>1000</v>
      </c>
      <c r="G3163" s="2">
        <v>700</v>
      </c>
      <c r="I3163" s="2" t="s">
        <v>2623</v>
      </c>
      <c r="J3163" s="2" t="s">
        <v>227</v>
      </c>
      <c r="K3163" t="s">
        <v>18</v>
      </c>
      <c r="L3163" t="str">
        <f>T("9791157700813")</f>
        <v>9791157700813</v>
      </c>
      <c r="M3163" t="str">
        <f t="shared" si="142"/>
        <v/>
      </c>
    </row>
    <row r="3164" spans="1:14">
      <c r="A3164" s="1">
        <v>46081.174027777779</v>
      </c>
      <c r="B3164">
        <v>382628198</v>
      </c>
      <c r="C3164" s="2" t="s">
        <v>32</v>
      </c>
      <c r="D3164" t="s">
        <v>15</v>
      </c>
      <c r="E3164" s="5">
        <v>1000</v>
      </c>
      <c r="F3164" s="3">
        <v>1000</v>
      </c>
      <c r="G3164" s="2">
        <v>700</v>
      </c>
      <c r="I3164" s="2" t="s">
        <v>28</v>
      </c>
      <c r="J3164" s="2" t="s">
        <v>21</v>
      </c>
      <c r="K3164" t="s">
        <v>18</v>
      </c>
      <c r="L3164" t="str">
        <f>T("9791175581470")</f>
        <v>9791175581470</v>
      </c>
      <c r="M3164" t="str">
        <f t="shared" si="142"/>
        <v/>
      </c>
      <c r="N3164" t="s">
        <v>33</v>
      </c>
    </row>
    <row r="3165" spans="1:14">
      <c r="A3165" s="1">
        <v>46081.369062500002</v>
      </c>
      <c r="B3165">
        <v>292632670</v>
      </c>
      <c r="C3165" s="2" t="s">
        <v>909</v>
      </c>
      <c r="D3165" t="s">
        <v>15</v>
      </c>
      <c r="E3165" s="5">
        <v>1000</v>
      </c>
      <c r="F3165" s="3">
        <v>1000</v>
      </c>
      <c r="G3165" s="2">
        <v>700</v>
      </c>
      <c r="I3165" s="2" t="s">
        <v>89</v>
      </c>
      <c r="J3165" s="2" t="s">
        <v>21</v>
      </c>
      <c r="K3165" t="s">
        <v>18</v>
      </c>
      <c r="L3165" t="str">
        <f>T("9791167831873")</f>
        <v>9791167831873</v>
      </c>
      <c r="M3165" t="str">
        <f t="shared" si="142"/>
        <v/>
      </c>
    </row>
    <row r="3166" spans="1:14">
      <c r="A3166" s="1">
        <v>46081.411979166667</v>
      </c>
      <c r="B3166">
        <v>382626257</v>
      </c>
      <c r="C3166" s="2" t="s">
        <v>152</v>
      </c>
      <c r="D3166" t="s">
        <v>15</v>
      </c>
      <c r="E3166" s="5">
        <v>1000</v>
      </c>
      <c r="F3166" s="3">
        <v>1000</v>
      </c>
      <c r="G3166" s="2">
        <v>700</v>
      </c>
      <c r="I3166" s="2" t="s">
        <v>148</v>
      </c>
      <c r="J3166" s="2" t="s">
        <v>21</v>
      </c>
      <c r="K3166" t="s">
        <v>18</v>
      </c>
      <c r="L3166" t="str">
        <f>T("9791175581906")</f>
        <v>9791175581906</v>
      </c>
      <c r="M3166" t="str">
        <f t="shared" si="142"/>
        <v/>
      </c>
      <c r="N3166" t="s">
        <v>153</v>
      </c>
    </row>
    <row r="3167" spans="1:14">
      <c r="A3167" s="1">
        <v>46081.411979166667</v>
      </c>
      <c r="B3167">
        <v>379527576</v>
      </c>
      <c r="C3167" s="2" t="s">
        <v>150</v>
      </c>
      <c r="D3167" t="s">
        <v>15</v>
      </c>
      <c r="E3167" s="5">
        <v>1000</v>
      </c>
      <c r="F3167" s="3">
        <v>1000</v>
      </c>
      <c r="G3167" s="2">
        <v>700</v>
      </c>
      <c r="I3167" s="2" t="s">
        <v>148</v>
      </c>
      <c r="J3167" s="2" t="s">
        <v>21</v>
      </c>
      <c r="K3167" t="s">
        <v>18</v>
      </c>
      <c r="L3167" t="str">
        <f>T("9791175580541")</f>
        <v>9791175580541</v>
      </c>
      <c r="M3167" t="str">
        <f t="shared" si="142"/>
        <v/>
      </c>
      <c r="N3167" t="s">
        <v>151</v>
      </c>
    </row>
    <row r="3168" spans="1:14">
      <c r="A3168" s="1">
        <v>46081.411979166667</v>
      </c>
      <c r="B3168">
        <v>379527587</v>
      </c>
      <c r="C3168" s="2" t="s">
        <v>193</v>
      </c>
      <c r="D3168" t="s">
        <v>15</v>
      </c>
      <c r="E3168" s="5">
        <v>1000</v>
      </c>
      <c r="F3168" s="3">
        <v>1000</v>
      </c>
      <c r="G3168" s="2">
        <v>700</v>
      </c>
      <c r="I3168" s="2" t="s">
        <v>148</v>
      </c>
      <c r="J3168" s="2" t="s">
        <v>21</v>
      </c>
      <c r="K3168" t="s">
        <v>18</v>
      </c>
      <c r="L3168" t="str">
        <f>T("9791175580763")</f>
        <v>9791175580763</v>
      </c>
      <c r="M3168" t="str">
        <f t="shared" si="142"/>
        <v/>
      </c>
      <c r="N3168" t="s">
        <v>194</v>
      </c>
    </row>
    <row r="3169" spans="1:14">
      <c r="A3169" s="1">
        <v>46081.411979166667</v>
      </c>
      <c r="B3169">
        <v>324263763</v>
      </c>
      <c r="C3169" s="2" t="s">
        <v>2902</v>
      </c>
      <c r="D3169" t="s">
        <v>15</v>
      </c>
      <c r="E3169" s="5">
        <v>1300</v>
      </c>
      <c r="F3169" s="3">
        <v>1300</v>
      </c>
      <c r="G3169" s="2">
        <v>910</v>
      </c>
      <c r="I3169" s="2" t="s">
        <v>2897</v>
      </c>
      <c r="J3169" s="2" t="s">
        <v>21</v>
      </c>
      <c r="K3169" t="s">
        <v>18</v>
      </c>
      <c r="L3169" t="str">
        <f>T("9791170890324")</f>
        <v>9791170890324</v>
      </c>
      <c r="M3169" t="str">
        <f t="shared" si="142"/>
        <v/>
      </c>
      <c r="N3169" t="s">
        <v>2903</v>
      </c>
    </row>
    <row r="3170" spans="1:14">
      <c r="A3170" s="1">
        <v>46081.411979166667</v>
      </c>
      <c r="B3170">
        <v>361818925</v>
      </c>
      <c r="C3170" s="2" t="s">
        <v>2904</v>
      </c>
      <c r="D3170" t="s">
        <v>15</v>
      </c>
      <c r="E3170" s="4">
        <v>300</v>
      </c>
      <c r="F3170" s="2">
        <v>300</v>
      </c>
      <c r="G3170" s="2">
        <v>210</v>
      </c>
      <c r="I3170" s="2" t="s">
        <v>2897</v>
      </c>
      <c r="J3170" s="2" t="s">
        <v>21</v>
      </c>
      <c r="K3170" t="s">
        <v>18</v>
      </c>
      <c r="L3170" t="str">
        <f>T("9791173013522")</f>
        <v>9791173013522</v>
      </c>
      <c r="M3170" t="str">
        <f t="shared" si="142"/>
        <v/>
      </c>
      <c r="N3170" t="s">
        <v>2905</v>
      </c>
    </row>
    <row r="3171" spans="1:14">
      <c r="A3171" s="1">
        <v>46081.435381944444</v>
      </c>
      <c r="B3171">
        <v>385347797</v>
      </c>
      <c r="C3171" s="2" t="s">
        <v>195</v>
      </c>
      <c r="D3171" t="s">
        <v>15</v>
      </c>
      <c r="E3171" s="4">
        <v>700</v>
      </c>
      <c r="F3171" s="2">
        <v>630</v>
      </c>
      <c r="G3171" s="2">
        <v>441</v>
      </c>
      <c r="I3171" s="2" t="s">
        <v>196</v>
      </c>
      <c r="J3171" s="2" t="s">
        <v>197</v>
      </c>
      <c r="K3171" t="s">
        <v>18</v>
      </c>
      <c r="L3171" t="str">
        <f>T("9791172821937")</f>
        <v>9791172821937</v>
      </c>
      <c r="M3171" t="str">
        <f t="shared" si="142"/>
        <v/>
      </c>
      <c r="N3171" t="s">
        <v>198</v>
      </c>
    </row>
    <row r="3172" spans="1:14">
      <c r="A3172" s="1">
        <v>46081.460740740738</v>
      </c>
      <c r="B3172">
        <v>385347797</v>
      </c>
      <c r="C3172" s="2" t="s">
        <v>195</v>
      </c>
      <c r="D3172" t="s">
        <v>15</v>
      </c>
      <c r="E3172" s="4">
        <v>700</v>
      </c>
      <c r="F3172" s="2">
        <v>630</v>
      </c>
      <c r="G3172" s="2">
        <v>441</v>
      </c>
      <c r="I3172" s="2" t="s">
        <v>196</v>
      </c>
      <c r="J3172" s="2" t="s">
        <v>197</v>
      </c>
      <c r="K3172" t="s">
        <v>18</v>
      </c>
      <c r="L3172" t="str">
        <f>T("9791172821937")</f>
        <v>9791172821937</v>
      </c>
      <c r="M3172" t="str">
        <f t="shared" si="142"/>
        <v/>
      </c>
      <c r="N3172" t="s">
        <v>198</v>
      </c>
    </row>
    <row r="3173" spans="1:14">
      <c r="A3173" s="1">
        <v>46081.473773148151</v>
      </c>
      <c r="B3173">
        <v>386934245</v>
      </c>
      <c r="C3173" s="2" t="s">
        <v>2649</v>
      </c>
      <c r="D3173" t="s">
        <v>15</v>
      </c>
      <c r="E3173" s="4">
        <v>0</v>
      </c>
      <c r="F3173" s="2">
        <v>0</v>
      </c>
      <c r="G3173" s="2">
        <v>0</v>
      </c>
      <c r="I3173" s="2" t="s">
        <v>2650</v>
      </c>
      <c r="J3173" s="2" t="s">
        <v>245</v>
      </c>
      <c r="K3173" t="s">
        <v>18</v>
      </c>
      <c r="L3173" t="str">
        <f>T("9791170939771")</f>
        <v>9791170939771</v>
      </c>
      <c r="M3173" t="str">
        <f t="shared" si="142"/>
        <v/>
      </c>
      <c r="N3173" t="s">
        <v>2651</v>
      </c>
    </row>
    <row r="3174" spans="1:14">
      <c r="A3174" s="1">
        <v>46081.479560185187</v>
      </c>
      <c r="B3174">
        <v>316838076</v>
      </c>
      <c r="C3174" s="2" t="s">
        <v>2906</v>
      </c>
      <c r="D3174" t="s">
        <v>15</v>
      </c>
      <c r="E3174" s="5">
        <v>1800</v>
      </c>
      <c r="F3174" s="3">
        <v>1800</v>
      </c>
      <c r="G3174" s="3">
        <v>1260</v>
      </c>
      <c r="I3174" s="2" t="s">
        <v>2907</v>
      </c>
      <c r="J3174" s="2" t="s">
        <v>21</v>
      </c>
      <c r="K3174" t="s">
        <v>18</v>
      </c>
      <c r="L3174" t="str">
        <f>T("9791167838391")</f>
        <v>9791167838391</v>
      </c>
      <c r="M3174" t="str">
        <f t="shared" si="142"/>
        <v/>
      </c>
      <c r="N3174" t="s">
        <v>2908</v>
      </c>
    </row>
    <row r="3175" spans="1:14">
      <c r="A3175" s="1">
        <v>46081.509641203702</v>
      </c>
      <c r="B3175">
        <v>386556274</v>
      </c>
      <c r="C3175" s="2" t="s">
        <v>2535</v>
      </c>
      <c r="D3175" t="s">
        <v>15</v>
      </c>
      <c r="E3175" s="5">
        <v>2000</v>
      </c>
      <c r="F3175" s="3">
        <v>2000</v>
      </c>
      <c r="G3175" s="3">
        <v>1400</v>
      </c>
      <c r="I3175" s="2" t="s">
        <v>2536</v>
      </c>
      <c r="J3175" s="2" t="s">
        <v>197</v>
      </c>
      <c r="K3175" t="s">
        <v>18</v>
      </c>
      <c r="L3175" t="str">
        <f>T("")</f>
        <v/>
      </c>
      <c r="M3175" t="str">
        <f>T("G720:N+A319-20251223071.M001")</f>
        <v>G720:N+A319-20251223071.M001</v>
      </c>
      <c r="N3175" t="s">
        <v>2537</v>
      </c>
    </row>
    <row r="3176" spans="1:14">
      <c r="A3176" s="1">
        <v>46081.513252314813</v>
      </c>
      <c r="B3176">
        <v>277935573</v>
      </c>
      <c r="C3176" s="2" t="s">
        <v>2909</v>
      </c>
      <c r="D3176" t="s">
        <v>15</v>
      </c>
      <c r="E3176" s="4">
        <v>100</v>
      </c>
      <c r="F3176" s="2">
        <v>100</v>
      </c>
      <c r="G3176" s="2">
        <v>70</v>
      </c>
      <c r="I3176" s="2" t="s">
        <v>64</v>
      </c>
      <c r="J3176" s="2" t="s">
        <v>65</v>
      </c>
      <c r="K3176" t="s">
        <v>18</v>
      </c>
      <c r="L3176" t="str">
        <f>T("9791162589724")</f>
        <v>9791162589724</v>
      </c>
      <c r="M3176" t="str">
        <f>T("")</f>
        <v/>
      </c>
      <c r="N3176" t="s">
        <v>2910</v>
      </c>
    </row>
    <row r="3177" spans="1:14">
      <c r="A3177" s="1">
        <v>46081.513252314813</v>
      </c>
      <c r="B3177">
        <v>277935639</v>
      </c>
      <c r="C3177" s="2" t="s">
        <v>2911</v>
      </c>
      <c r="D3177" t="s">
        <v>15</v>
      </c>
      <c r="E3177" s="4">
        <v>100</v>
      </c>
      <c r="F3177" s="2">
        <v>100</v>
      </c>
      <c r="G3177" s="2">
        <v>70</v>
      </c>
      <c r="I3177" s="2" t="s">
        <v>64</v>
      </c>
      <c r="J3177" s="2" t="s">
        <v>65</v>
      </c>
      <c r="K3177" t="s">
        <v>18</v>
      </c>
      <c r="L3177" t="str">
        <f>T("9791162589724")</f>
        <v>9791162589724</v>
      </c>
      <c r="M3177" t="str">
        <f>T("")</f>
        <v/>
      </c>
      <c r="N3177" t="s">
        <v>2912</v>
      </c>
    </row>
    <row r="3178" spans="1:14">
      <c r="A3178" s="1">
        <v>46081.513252314813</v>
      </c>
      <c r="B3178">
        <v>277935634</v>
      </c>
      <c r="C3178" s="2" t="s">
        <v>2913</v>
      </c>
      <c r="D3178" t="s">
        <v>15</v>
      </c>
      <c r="E3178" s="4">
        <v>100</v>
      </c>
      <c r="F3178" s="2">
        <v>100</v>
      </c>
      <c r="G3178" s="2">
        <v>70</v>
      </c>
      <c r="I3178" s="2" t="s">
        <v>64</v>
      </c>
      <c r="J3178" s="2" t="s">
        <v>65</v>
      </c>
      <c r="K3178" t="s">
        <v>18</v>
      </c>
      <c r="L3178" t="str">
        <f>T("9791162589724")</f>
        <v>9791162589724</v>
      </c>
      <c r="M3178" t="str">
        <f>T("")</f>
        <v/>
      </c>
      <c r="N3178" t="s">
        <v>2914</v>
      </c>
    </row>
    <row r="3179" spans="1:14">
      <c r="A3179" s="1">
        <v>46081.581284722219</v>
      </c>
      <c r="B3179">
        <v>345870993</v>
      </c>
      <c r="C3179" s="2" t="s">
        <v>2915</v>
      </c>
      <c r="D3179" t="s">
        <v>15</v>
      </c>
      <c r="E3179" s="5">
        <v>1000</v>
      </c>
      <c r="F3179" s="3">
        <v>1000</v>
      </c>
      <c r="G3179" s="2">
        <v>700</v>
      </c>
      <c r="I3179" s="2" t="s">
        <v>2916</v>
      </c>
      <c r="J3179" s="2" t="s">
        <v>21</v>
      </c>
      <c r="K3179" t="s">
        <v>18</v>
      </c>
      <c r="L3179" t="str">
        <f>T("9791170898597")</f>
        <v>9791170898597</v>
      </c>
      <c r="M3179" t="str">
        <f>T("")</f>
        <v/>
      </c>
      <c r="N3179" t="s">
        <v>2917</v>
      </c>
    </row>
    <row r="3180" spans="1:14">
      <c r="A3180" s="1">
        <v>46081.593113425923</v>
      </c>
      <c r="B3180">
        <v>386556281</v>
      </c>
      <c r="C3180" s="2" t="s">
        <v>2647</v>
      </c>
      <c r="D3180" t="s">
        <v>15</v>
      </c>
      <c r="E3180" s="5">
        <v>2000</v>
      </c>
      <c r="F3180" s="3">
        <v>1800</v>
      </c>
      <c r="G3180" s="3">
        <v>1260</v>
      </c>
      <c r="I3180" s="2" t="s">
        <v>2536</v>
      </c>
      <c r="J3180" s="2" t="s">
        <v>197</v>
      </c>
      <c r="K3180" t="s">
        <v>18</v>
      </c>
      <c r="L3180" t="str">
        <f>T("")</f>
        <v/>
      </c>
      <c r="M3180" t="str">
        <f>T("G720:N+A319-20251223071.M002")</f>
        <v>G720:N+A319-20251223071.M002</v>
      </c>
      <c r="N3180" t="s">
        <v>2648</v>
      </c>
    </row>
    <row r="3181" spans="1:14">
      <c r="A3181" s="1">
        <v>46081.645358796297</v>
      </c>
      <c r="B3181">
        <v>386556274</v>
      </c>
      <c r="C3181" s="2" t="s">
        <v>2535</v>
      </c>
      <c r="D3181" t="s">
        <v>15</v>
      </c>
      <c r="E3181" s="5">
        <v>2000</v>
      </c>
      <c r="F3181" s="3">
        <v>2000</v>
      </c>
      <c r="G3181" s="3">
        <v>1400</v>
      </c>
      <c r="I3181" s="2" t="s">
        <v>2536</v>
      </c>
      <c r="J3181" s="2" t="s">
        <v>197</v>
      </c>
      <c r="K3181" t="s">
        <v>18</v>
      </c>
      <c r="L3181" t="str">
        <f>T("")</f>
        <v/>
      </c>
      <c r="M3181" t="str">
        <f>T("G720:N+A319-20251223071.M001")</f>
        <v>G720:N+A319-20251223071.M001</v>
      </c>
      <c r="N3181" t="s">
        <v>2537</v>
      </c>
    </row>
    <row r="3182" spans="1:14">
      <c r="A3182" s="1">
        <v>46081.65152777778</v>
      </c>
      <c r="B3182">
        <v>386556274</v>
      </c>
      <c r="C3182" s="2" t="s">
        <v>2535</v>
      </c>
      <c r="D3182" t="s">
        <v>15</v>
      </c>
      <c r="E3182" s="5">
        <v>2000</v>
      </c>
      <c r="F3182" s="3">
        <v>2000</v>
      </c>
      <c r="G3182" s="3">
        <v>1400</v>
      </c>
      <c r="I3182" s="2" t="s">
        <v>2536</v>
      </c>
      <c r="J3182" s="2" t="s">
        <v>197</v>
      </c>
      <c r="K3182" t="s">
        <v>18</v>
      </c>
      <c r="L3182" t="str">
        <f>T("")</f>
        <v/>
      </c>
      <c r="M3182" t="str">
        <f>T("G720:N+A319-20251223071.M001")</f>
        <v>G720:N+A319-20251223071.M001</v>
      </c>
      <c r="N3182" t="s">
        <v>2537</v>
      </c>
    </row>
    <row r="3183" spans="1:14">
      <c r="A3183" s="1">
        <v>46081.680208333331</v>
      </c>
      <c r="B3183">
        <v>374549943</v>
      </c>
      <c r="C3183" s="2" t="s">
        <v>2918</v>
      </c>
      <c r="D3183" t="s">
        <v>15</v>
      </c>
      <c r="E3183" s="5">
        <v>1000</v>
      </c>
      <c r="F3183" s="3">
        <v>1000</v>
      </c>
      <c r="G3183" s="2">
        <v>700</v>
      </c>
      <c r="I3183" s="2" t="s">
        <v>2919</v>
      </c>
      <c r="J3183" s="2" t="s">
        <v>21</v>
      </c>
      <c r="K3183" t="s">
        <v>18</v>
      </c>
      <c r="L3183" t="str">
        <f>T("9791173018947")</f>
        <v>9791173018947</v>
      </c>
      <c r="M3183" t="str">
        <f>T("")</f>
        <v/>
      </c>
      <c r="N3183" t="s">
        <v>2920</v>
      </c>
    </row>
    <row r="3184" spans="1:14">
      <c r="A3184" s="1">
        <v>46081.681597222225</v>
      </c>
      <c r="B3184">
        <v>386556274</v>
      </c>
      <c r="C3184" s="2" t="s">
        <v>2535</v>
      </c>
      <c r="D3184" t="s">
        <v>15</v>
      </c>
      <c r="E3184" s="5">
        <v>2000</v>
      </c>
      <c r="F3184" s="3">
        <v>2000</v>
      </c>
      <c r="G3184" s="3">
        <v>1400</v>
      </c>
      <c r="I3184" s="2" t="s">
        <v>2536</v>
      </c>
      <c r="J3184" s="2" t="s">
        <v>197</v>
      </c>
      <c r="K3184" t="s">
        <v>18</v>
      </c>
      <c r="L3184" t="str">
        <f>T("")</f>
        <v/>
      </c>
      <c r="M3184" t="str">
        <f>T("G720:N+A319-20251223071.M001")</f>
        <v>G720:N+A319-20251223071.M001</v>
      </c>
      <c r="N3184" t="s">
        <v>2537</v>
      </c>
    </row>
    <row r="3185" spans="1:14">
      <c r="A3185" s="1">
        <v>46081.681597222225</v>
      </c>
      <c r="B3185">
        <v>386556281</v>
      </c>
      <c r="C3185" s="2" t="s">
        <v>2647</v>
      </c>
      <c r="D3185" t="s">
        <v>15</v>
      </c>
      <c r="E3185" s="5">
        <v>2000</v>
      </c>
      <c r="F3185" s="3">
        <v>1800</v>
      </c>
      <c r="G3185" s="3">
        <v>1260</v>
      </c>
      <c r="I3185" s="2" t="s">
        <v>2536</v>
      </c>
      <c r="J3185" s="2" t="s">
        <v>197</v>
      </c>
      <c r="K3185" t="s">
        <v>18</v>
      </c>
      <c r="L3185" t="str">
        <f>T("")</f>
        <v/>
      </c>
      <c r="M3185" t="str">
        <f>T("G720:N+A319-20251223071.M002")</f>
        <v>G720:N+A319-20251223071.M002</v>
      </c>
      <c r="N3185" t="s">
        <v>2648</v>
      </c>
    </row>
    <row r="3186" spans="1:14">
      <c r="A3186" s="1">
        <v>46081.692372685182</v>
      </c>
      <c r="B3186">
        <v>277935655</v>
      </c>
      <c r="C3186" s="2" t="s">
        <v>1945</v>
      </c>
      <c r="D3186" t="s">
        <v>15</v>
      </c>
      <c r="E3186" s="4">
        <v>100</v>
      </c>
      <c r="F3186" s="2">
        <v>100</v>
      </c>
      <c r="G3186" s="2">
        <v>70</v>
      </c>
      <c r="I3186" s="2" t="s">
        <v>64</v>
      </c>
      <c r="J3186" s="2" t="s">
        <v>65</v>
      </c>
      <c r="K3186" t="s">
        <v>18</v>
      </c>
      <c r="L3186" t="str">
        <f t="shared" ref="L3186:L3192" si="143">T("9791162589724")</f>
        <v>9791162589724</v>
      </c>
      <c r="M3186" t="str">
        <f t="shared" ref="M3186:M3214" si="144">T("")</f>
        <v/>
      </c>
      <c r="N3186" t="s">
        <v>1946</v>
      </c>
    </row>
    <row r="3187" spans="1:14">
      <c r="A3187" s="1">
        <v>46081.692372685182</v>
      </c>
      <c r="B3187">
        <v>277935697</v>
      </c>
      <c r="C3187" s="2" t="s">
        <v>2019</v>
      </c>
      <c r="D3187" t="s">
        <v>15</v>
      </c>
      <c r="E3187" s="4">
        <v>100</v>
      </c>
      <c r="F3187" s="2">
        <v>100</v>
      </c>
      <c r="G3187" s="2">
        <v>70</v>
      </c>
      <c r="I3187" s="2" t="s">
        <v>64</v>
      </c>
      <c r="J3187" s="2" t="s">
        <v>65</v>
      </c>
      <c r="K3187" t="s">
        <v>18</v>
      </c>
      <c r="L3187" t="str">
        <f t="shared" si="143"/>
        <v>9791162589724</v>
      </c>
      <c r="M3187" t="str">
        <f t="shared" si="144"/>
        <v/>
      </c>
      <c r="N3187" t="s">
        <v>2020</v>
      </c>
    </row>
    <row r="3188" spans="1:14">
      <c r="A3188" s="1">
        <v>46081.692372685182</v>
      </c>
      <c r="B3188">
        <v>277935491</v>
      </c>
      <c r="C3188" s="2" t="s">
        <v>2027</v>
      </c>
      <c r="D3188" t="s">
        <v>15</v>
      </c>
      <c r="E3188" s="4">
        <v>100</v>
      </c>
      <c r="F3188" s="2">
        <v>100</v>
      </c>
      <c r="G3188" s="2">
        <v>70</v>
      </c>
      <c r="I3188" s="2" t="s">
        <v>64</v>
      </c>
      <c r="J3188" s="2" t="s">
        <v>65</v>
      </c>
      <c r="K3188" t="s">
        <v>18</v>
      </c>
      <c r="L3188" t="str">
        <f t="shared" si="143"/>
        <v>9791162589724</v>
      </c>
      <c r="M3188" t="str">
        <f t="shared" si="144"/>
        <v/>
      </c>
      <c r="N3188" t="s">
        <v>2028</v>
      </c>
    </row>
    <row r="3189" spans="1:14">
      <c r="A3189" s="1">
        <v>46081.692372685182</v>
      </c>
      <c r="B3189">
        <v>277935754</v>
      </c>
      <c r="C3189" s="2" t="s">
        <v>1011</v>
      </c>
      <c r="D3189" t="s">
        <v>15</v>
      </c>
      <c r="E3189" s="4">
        <v>100</v>
      </c>
      <c r="F3189" s="2">
        <v>100</v>
      </c>
      <c r="G3189" s="2">
        <v>70</v>
      </c>
      <c r="I3189" s="2" t="s">
        <v>64</v>
      </c>
      <c r="J3189" s="2" t="s">
        <v>65</v>
      </c>
      <c r="K3189" t="s">
        <v>18</v>
      </c>
      <c r="L3189" t="str">
        <f t="shared" si="143"/>
        <v>9791162589724</v>
      </c>
      <c r="M3189" t="str">
        <f t="shared" si="144"/>
        <v/>
      </c>
      <c r="N3189" t="s">
        <v>1012</v>
      </c>
    </row>
    <row r="3190" spans="1:14">
      <c r="A3190" s="1">
        <v>46081.692372685182</v>
      </c>
      <c r="B3190">
        <v>277935756</v>
      </c>
      <c r="C3190" s="2" t="s">
        <v>2259</v>
      </c>
      <c r="D3190" t="s">
        <v>15</v>
      </c>
      <c r="E3190" s="4">
        <v>100</v>
      </c>
      <c r="F3190" s="2">
        <v>100</v>
      </c>
      <c r="G3190" s="2">
        <v>70</v>
      </c>
      <c r="I3190" s="2" t="s">
        <v>64</v>
      </c>
      <c r="J3190" s="2" t="s">
        <v>65</v>
      </c>
      <c r="K3190" t="s">
        <v>18</v>
      </c>
      <c r="L3190" t="str">
        <f t="shared" si="143"/>
        <v>9791162589724</v>
      </c>
      <c r="M3190" t="str">
        <f t="shared" si="144"/>
        <v/>
      </c>
      <c r="N3190" t="s">
        <v>2260</v>
      </c>
    </row>
    <row r="3191" spans="1:14">
      <c r="A3191" s="1">
        <v>46081.692372685182</v>
      </c>
      <c r="B3191">
        <v>277935758</v>
      </c>
      <c r="C3191" s="2" t="s">
        <v>2261</v>
      </c>
      <c r="D3191" t="s">
        <v>15</v>
      </c>
      <c r="E3191" s="4">
        <v>100</v>
      </c>
      <c r="F3191" s="2">
        <v>100</v>
      </c>
      <c r="G3191" s="2">
        <v>70</v>
      </c>
      <c r="I3191" s="2" t="s">
        <v>64</v>
      </c>
      <c r="J3191" s="2" t="s">
        <v>65</v>
      </c>
      <c r="K3191" t="s">
        <v>18</v>
      </c>
      <c r="L3191" t="str">
        <f t="shared" si="143"/>
        <v>9791162589724</v>
      </c>
      <c r="M3191" t="str">
        <f t="shared" si="144"/>
        <v/>
      </c>
      <c r="N3191" t="s">
        <v>2262</v>
      </c>
    </row>
    <row r="3192" spans="1:14">
      <c r="A3192" s="1">
        <v>46081.692372685182</v>
      </c>
      <c r="B3192">
        <v>277935751</v>
      </c>
      <c r="C3192" s="2" t="s">
        <v>2029</v>
      </c>
      <c r="D3192" t="s">
        <v>15</v>
      </c>
      <c r="E3192" s="4">
        <v>100</v>
      </c>
      <c r="F3192" s="2">
        <v>100</v>
      </c>
      <c r="G3192" s="2">
        <v>70</v>
      </c>
      <c r="I3192" s="2" t="s">
        <v>64</v>
      </c>
      <c r="J3192" s="2" t="s">
        <v>65</v>
      </c>
      <c r="K3192" t="s">
        <v>18</v>
      </c>
      <c r="L3192" t="str">
        <f t="shared" si="143"/>
        <v>9791162589724</v>
      </c>
      <c r="M3192" t="str">
        <f t="shared" si="144"/>
        <v/>
      </c>
      <c r="N3192" t="s">
        <v>2030</v>
      </c>
    </row>
    <row r="3193" spans="1:14">
      <c r="A3193" s="1">
        <v>46081.746087962965</v>
      </c>
      <c r="B3193">
        <v>207145768</v>
      </c>
      <c r="C3193" s="2" t="s">
        <v>2921</v>
      </c>
      <c r="D3193" t="s">
        <v>15</v>
      </c>
      <c r="E3193" s="4">
        <v>0</v>
      </c>
      <c r="F3193" s="2">
        <v>0</v>
      </c>
      <c r="G3193" s="2">
        <v>0</v>
      </c>
      <c r="I3193" s="2" t="s">
        <v>2922</v>
      </c>
      <c r="J3193" s="2" t="s">
        <v>960</v>
      </c>
      <c r="K3193" t="s">
        <v>18</v>
      </c>
      <c r="L3193" t="str">
        <f>T("")</f>
        <v/>
      </c>
      <c r="M3193" t="str">
        <f t="shared" si="144"/>
        <v/>
      </c>
    </row>
    <row r="3194" spans="1:14">
      <c r="A3194" s="1">
        <v>46081.746631944443</v>
      </c>
      <c r="B3194">
        <v>379511327</v>
      </c>
      <c r="C3194" s="2" t="s">
        <v>262</v>
      </c>
      <c r="D3194" t="s">
        <v>15</v>
      </c>
      <c r="E3194" s="5">
        <v>3300</v>
      </c>
      <c r="F3194" s="3">
        <v>3300</v>
      </c>
      <c r="G3194" s="3">
        <v>2310</v>
      </c>
      <c r="I3194" s="2" t="s">
        <v>263</v>
      </c>
      <c r="J3194" s="2" t="s">
        <v>126</v>
      </c>
      <c r="K3194" t="s">
        <v>18</v>
      </c>
      <c r="L3194" t="str">
        <f>T("9791171502875")</f>
        <v>9791171502875</v>
      </c>
      <c r="M3194" t="str">
        <f t="shared" si="144"/>
        <v/>
      </c>
      <c r="N3194" t="s">
        <v>264</v>
      </c>
    </row>
    <row r="3195" spans="1:14">
      <c r="A3195" s="1">
        <v>46081.754837962966</v>
      </c>
      <c r="B3195">
        <v>386057281</v>
      </c>
      <c r="C3195" s="2" t="s">
        <v>2184</v>
      </c>
      <c r="D3195" t="s">
        <v>15</v>
      </c>
      <c r="E3195" s="5">
        <v>15000</v>
      </c>
      <c r="F3195" s="3">
        <v>15000</v>
      </c>
      <c r="G3195" s="3">
        <v>10500</v>
      </c>
      <c r="I3195" s="2" t="s">
        <v>1772</v>
      </c>
      <c r="J3195" s="2" t="s">
        <v>197</v>
      </c>
      <c r="K3195" t="s">
        <v>18</v>
      </c>
      <c r="L3195" t="str">
        <f>T("9791164093298")</f>
        <v>9791164093298</v>
      </c>
      <c r="M3195" t="str">
        <f t="shared" si="144"/>
        <v/>
      </c>
    </row>
    <row r="3196" spans="1:14">
      <c r="A3196" s="1">
        <v>46081.755590277775</v>
      </c>
      <c r="B3196">
        <v>386057279</v>
      </c>
      <c r="C3196" s="2" t="s">
        <v>2303</v>
      </c>
      <c r="D3196" t="s">
        <v>15</v>
      </c>
      <c r="E3196" s="5">
        <v>15000</v>
      </c>
      <c r="F3196" s="3">
        <v>15000</v>
      </c>
      <c r="G3196" s="3">
        <v>10500</v>
      </c>
      <c r="I3196" s="2" t="s">
        <v>1772</v>
      </c>
      <c r="J3196" s="2" t="s">
        <v>197</v>
      </c>
      <c r="K3196" t="s">
        <v>18</v>
      </c>
      <c r="L3196" t="str">
        <f>T("9791164093304")</f>
        <v>9791164093304</v>
      </c>
      <c r="M3196" t="str">
        <f t="shared" si="144"/>
        <v/>
      </c>
    </row>
    <row r="3197" spans="1:14">
      <c r="A3197" s="1">
        <v>46081.759004629632</v>
      </c>
      <c r="B3197">
        <v>380788887</v>
      </c>
      <c r="C3197" s="2" t="s">
        <v>1982</v>
      </c>
      <c r="D3197" t="s">
        <v>15</v>
      </c>
      <c r="E3197" s="5">
        <v>2900</v>
      </c>
      <c r="F3197" s="3">
        <v>2900</v>
      </c>
      <c r="G3197" s="3">
        <v>2030</v>
      </c>
      <c r="I3197" s="2" t="s">
        <v>1098</v>
      </c>
      <c r="J3197" s="2" t="s">
        <v>126</v>
      </c>
      <c r="K3197" t="s">
        <v>18</v>
      </c>
      <c r="L3197" t="str">
        <f>T("9791171502479")</f>
        <v>9791171502479</v>
      </c>
      <c r="M3197" t="str">
        <f t="shared" si="144"/>
        <v/>
      </c>
      <c r="N3197" t="s">
        <v>1983</v>
      </c>
    </row>
    <row r="3198" spans="1:14">
      <c r="A3198" s="1">
        <v>46081.774513888886</v>
      </c>
      <c r="B3198">
        <v>303466891</v>
      </c>
      <c r="C3198" s="2" t="s">
        <v>654</v>
      </c>
      <c r="D3198" t="s">
        <v>15</v>
      </c>
      <c r="E3198" s="5">
        <v>3000</v>
      </c>
      <c r="F3198" s="3">
        <v>2700</v>
      </c>
      <c r="G3198" s="3">
        <v>1890</v>
      </c>
      <c r="I3198" s="2" t="s">
        <v>187</v>
      </c>
      <c r="J3198" s="2" t="s">
        <v>188</v>
      </c>
      <c r="K3198" t="s">
        <v>18</v>
      </c>
      <c r="L3198" t="str">
        <f>T("9791164833566")</f>
        <v>9791164833566</v>
      </c>
      <c r="M3198" t="str">
        <f t="shared" si="144"/>
        <v/>
      </c>
      <c r="N3198" t="s">
        <v>655</v>
      </c>
    </row>
    <row r="3199" spans="1:14">
      <c r="A3199" s="1">
        <v>46081.774513888886</v>
      </c>
      <c r="B3199">
        <v>385347715</v>
      </c>
      <c r="C3199" s="2" t="s">
        <v>186</v>
      </c>
      <c r="D3199" t="s">
        <v>15</v>
      </c>
      <c r="E3199" s="5">
        <v>2000</v>
      </c>
      <c r="F3199" s="3">
        <v>1800</v>
      </c>
      <c r="G3199" s="3">
        <v>1260</v>
      </c>
      <c r="I3199" s="2" t="s">
        <v>187</v>
      </c>
      <c r="J3199" s="2" t="s">
        <v>188</v>
      </c>
      <c r="K3199" t="s">
        <v>18</v>
      </c>
      <c r="L3199" t="str">
        <f>T("9791164835362")</f>
        <v>9791164835362</v>
      </c>
      <c r="M3199" t="str">
        <f t="shared" si="144"/>
        <v/>
      </c>
      <c r="N3199" t="s">
        <v>189</v>
      </c>
    </row>
    <row r="3200" spans="1:14">
      <c r="A3200" s="1">
        <v>46081.777060185188</v>
      </c>
      <c r="B3200">
        <v>277935745</v>
      </c>
      <c r="C3200" s="2" t="s">
        <v>1879</v>
      </c>
      <c r="D3200" t="s">
        <v>15</v>
      </c>
      <c r="E3200" s="4">
        <v>100</v>
      </c>
      <c r="F3200" s="2">
        <v>100</v>
      </c>
      <c r="G3200" s="2">
        <v>70</v>
      </c>
      <c r="I3200" s="2" t="s">
        <v>64</v>
      </c>
      <c r="J3200" s="2" t="s">
        <v>65</v>
      </c>
      <c r="K3200" t="s">
        <v>18</v>
      </c>
      <c r="L3200" t="str">
        <f t="shared" ref="L3200:L3214" si="145">T("9791162589724")</f>
        <v>9791162589724</v>
      </c>
      <c r="M3200" t="str">
        <f t="shared" si="144"/>
        <v/>
      </c>
      <c r="N3200" t="s">
        <v>1880</v>
      </c>
    </row>
    <row r="3201" spans="1:14">
      <c r="A3201" s="1">
        <v>46081.779872685183</v>
      </c>
      <c r="B3201">
        <v>277935411</v>
      </c>
      <c r="C3201" s="2" t="s">
        <v>2923</v>
      </c>
      <c r="D3201" t="s">
        <v>15</v>
      </c>
      <c r="E3201" s="4">
        <v>100</v>
      </c>
      <c r="F3201" s="2">
        <v>100</v>
      </c>
      <c r="G3201" s="2">
        <v>70</v>
      </c>
      <c r="I3201" s="2" t="s">
        <v>64</v>
      </c>
      <c r="J3201" s="2" t="s">
        <v>65</v>
      </c>
      <c r="K3201" t="s">
        <v>18</v>
      </c>
      <c r="L3201" t="str">
        <f t="shared" si="145"/>
        <v>9791162589724</v>
      </c>
      <c r="M3201" t="str">
        <f t="shared" si="144"/>
        <v/>
      </c>
      <c r="N3201" t="s">
        <v>2924</v>
      </c>
    </row>
    <row r="3202" spans="1:14">
      <c r="A3202" s="1">
        <v>46081.779872685183</v>
      </c>
      <c r="B3202">
        <v>277935528</v>
      </c>
      <c r="C3202" s="2" t="s">
        <v>571</v>
      </c>
      <c r="D3202" t="s">
        <v>15</v>
      </c>
      <c r="E3202" s="4">
        <v>100</v>
      </c>
      <c r="F3202" s="2">
        <v>100</v>
      </c>
      <c r="G3202" s="2">
        <v>70</v>
      </c>
      <c r="I3202" s="2" t="s">
        <v>64</v>
      </c>
      <c r="J3202" s="2" t="s">
        <v>65</v>
      </c>
      <c r="K3202" t="s">
        <v>18</v>
      </c>
      <c r="L3202" t="str">
        <f t="shared" si="145"/>
        <v>9791162589724</v>
      </c>
      <c r="M3202" t="str">
        <f t="shared" si="144"/>
        <v/>
      </c>
      <c r="N3202" t="s">
        <v>572</v>
      </c>
    </row>
    <row r="3203" spans="1:14">
      <c r="A3203" s="1">
        <v>46081.779872685183</v>
      </c>
      <c r="B3203">
        <v>277935573</v>
      </c>
      <c r="C3203" s="2" t="s">
        <v>2909</v>
      </c>
      <c r="D3203" t="s">
        <v>15</v>
      </c>
      <c r="E3203" s="4">
        <v>100</v>
      </c>
      <c r="F3203" s="2">
        <v>100</v>
      </c>
      <c r="G3203" s="2">
        <v>70</v>
      </c>
      <c r="I3203" s="2" t="s">
        <v>64</v>
      </c>
      <c r="J3203" s="2" t="s">
        <v>65</v>
      </c>
      <c r="K3203" t="s">
        <v>18</v>
      </c>
      <c r="L3203" t="str">
        <f t="shared" si="145"/>
        <v>9791162589724</v>
      </c>
      <c r="M3203" t="str">
        <f t="shared" si="144"/>
        <v/>
      </c>
      <c r="N3203" t="s">
        <v>2910</v>
      </c>
    </row>
    <row r="3204" spans="1:14">
      <c r="A3204" s="1">
        <v>46081.786840277775</v>
      </c>
      <c r="B3204">
        <v>277935609</v>
      </c>
      <c r="C3204" s="2" t="s">
        <v>2925</v>
      </c>
      <c r="D3204" t="s">
        <v>15</v>
      </c>
      <c r="E3204" s="4">
        <v>100</v>
      </c>
      <c r="F3204" s="2">
        <v>100</v>
      </c>
      <c r="G3204" s="2">
        <v>70</v>
      </c>
      <c r="I3204" s="2" t="s">
        <v>64</v>
      </c>
      <c r="J3204" s="2" t="s">
        <v>65</v>
      </c>
      <c r="K3204" t="s">
        <v>18</v>
      </c>
      <c r="L3204" t="str">
        <f t="shared" si="145"/>
        <v>9791162589724</v>
      </c>
      <c r="M3204" t="str">
        <f t="shared" si="144"/>
        <v/>
      </c>
      <c r="N3204" t="s">
        <v>2926</v>
      </c>
    </row>
    <row r="3205" spans="1:14">
      <c r="A3205" s="1">
        <v>46081.786840277775</v>
      </c>
      <c r="B3205">
        <v>277935614</v>
      </c>
      <c r="C3205" s="2" t="s">
        <v>2927</v>
      </c>
      <c r="D3205" t="s">
        <v>15</v>
      </c>
      <c r="E3205" s="4">
        <v>100</v>
      </c>
      <c r="F3205" s="2">
        <v>100</v>
      </c>
      <c r="G3205" s="2">
        <v>70</v>
      </c>
      <c r="I3205" s="2" t="s">
        <v>64</v>
      </c>
      <c r="J3205" s="2" t="s">
        <v>65</v>
      </c>
      <c r="K3205" t="s">
        <v>18</v>
      </c>
      <c r="L3205" t="str">
        <f t="shared" si="145"/>
        <v>9791162589724</v>
      </c>
      <c r="M3205" t="str">
        <f t="shared" si="144"/>
        <v/>
      </c>
      <c r="N3205" t="s">
        <v>2928</v>
      </c>
    </row>
    <row r="3206" spans="1:14">
      <c r="A3206" s="1">
        <v>46081.786840277775</v>
      </c>
      <c r="B3206">
        <v>277935797</v>
      </c>
      <c r="C3206" s="2" t="s">
        <v>2929</v>
      </c>
      <c r="D3206" t="s">
        <v>15</v>
      </c>
      <c r="E3206" s="4">
        <v>100</v>
      </c>
      <c r="F3206" s="2">
        <v>100</v>
      </c>
      <c r="G3206" s="2">
        <v>70</v>
      </c>
      <c r="I3206" s="2" t="s">
        <v>64</v>
      </c>
      <c r="J3206" s="2" t="s">
        <v>65</v>
      </c>
      <c r="K3206" t="s">
        <v>18</v>
      </c>
      <c r="L3206" t="str">
        <f t="shared" si="145"/>
        <v>9791162589724</v>
      </c>
      <c r="M3206" t="str">
        <f t="shared" si="144"/>
        <v/>
      </c>
      <c r="N3206" t="s">
        <v>2930</v>
      </c>
    </row>
    <row r="3207" spans="1:14">
      <c r="A3207" s="1">
        <v>46081.786840277775</v>
      </c>
      <c r="B3207">
        <v>277935805</v>
      </c>
      <c r="C3207" s="2" t="s">
        <v>2931</v>
      </c>
      <c r="D3207" t="s">
        <v>15</v>
      </c>
      <c r="E3207" s="4">
        <v>100</v>
      </c>
      <c r="F3207" s="2">
        <v>100</v>
      </c>
      <c r="G3207" s="2">
        <v>70</v>
      </c>
      <c r="I3207" s="2" t="s">
        <v>64</v>
      </c>
      <c r="J3207" s="2" t="s">
        <v>65</v>
      </c>
      <c r="K3207" t="s">
        <v>18</v>
      </c>
      <c r="L3207" t="str">
        <f t="shared" si="145"/>
        <v>9791162589724</v>
      </c>
      <c r="M3207" t="str">
        <f t="shared" si="144"/>
        <v/>
      </c>
      <c r="N3207" t="s">
        <v>2932</v>
      </c>
    </row>
    <row r="3208" spans="1:14">
      <c r="A3208" s="1">
        <v>46081.786840277775</v>
      </c>
      <c r="B3208">
        <v>277935802</v>
      </c>
      <c r="C3208" s="2" t="s">
        <v>2933</v>
      </c>
      <c r="D3208" t="s">
        <v>15</v>
      </c>
      <c r="E3208" s="4">
        <v>100</v>
      </c>
      <c r="F3208" s="2">
        <v>100</v>
      </c>
      <c r="G3208" s="2">
        <v>70</v>
      </c>
      <c r="I3208" s="2" t="s">
        <v>64</v>
      </c>
      <c r="J3208" s="2" t="s">
        <v>65</v>
      </c>
      <c r="K3208" t="s">
        <v>18</v>
      </c>
      <c r="L3208" t="str">
        <f t="shared" si="145"/>
        <v>9791162589724</v>
      </c>
      <c r="M3208" t="str">
        <f t="shared" si="144"/>
        <v/>
      </c>
      <c r="N3208" t="s">
        <v>2934</v>
      </c>
    </row>
    <row r="3209" spans="1:14">
      <c r="A3209" s="1">
        <v>46081.786840277775</v>
      </c>
      <c r="B3209">
        <v>277935874</v>
      </c>
      <c r="C3209" s="2" t="s">
        <v>2935</v>
      </c>
      <c r="D3209" t="s">
        <v>15</v>
      </c>
      <c r="E3209" s="4">
        <v>100</v>
      </c>
      <c r="F3209" s="2">
        <v>100</v>
      </c>
      <c r="G3209" s="2">
        <v>70</v>
      </c>
      <c r="I3209" s="2" t="s">
        <v>64</v>
      </c>
      <c r="J3209" s="2" t="s">
        <v>65</v>
      </c>
      <c r="K3209" t="s">
        <v>18</v>
      </c>
      <c r="L3209" t="str">
        <f t="shared" si="145"/>
        <v>9791162589724</v>
      </c>
      <c r="M3209" t="str">
        <f t="shared" si="144"/>
        <v/>
      </c>
      <c r="N3209" t="s">
        <v>2936</v>
      </c>
    </row>
    <row r="3210" spans="1:14">
      <c r="A3210" s="1">
        <v>46081.786840277775</v>
      </c>
      <c r="B3210">
        <v>277935878</v>
      </c>
      <c r="C3210" s="2" t="s">
        <v>2937</v>
      </c>
      <c r="D3210" t="s">
        <v>15</v>
      </c>
      <c r="E3210" s="4">
        <v>100</v>
      </c>
      <c r="F3210" s="2">
        <v>100</v>
      </c>
      <c r="G3210" s="2">
        <v>70</v>
      </c>
      <c r="I3210" s="2" t="s">
        <v>64</v>
      </c>
      <c r="J3210" s="2" t="s">
        <v>65</v>
      </c>
      <c r="K3210" t="s">
        <v>18</v>
      </c>
      <c r="L3210" t="str">
        <f t="shared" si="145"/>
        <v>9791162589724</v>
      </c>
      <c r="M3210" t="str">
        <f t="shared" si="144"/>
        <v/>
      </c>
      <c r="N3210" t="s">
        <v>2938</v>
      </c>
    </row>
    <row r="3211" spans="1:14">
      <c r="A3211" s="1">
        <v>46081.786840277775</v>
      </c>
      <c r="B3211">
        <v>277935859</v>
      </c>
      <c r="C3211" s="2" t="s">
        <v>2749</v>
      </c>
      <c r="D3211" t="s">
        <v>15</v>
      </c>
      <c r="E3211" s="4">
        <v>100</v>
      </c>
      <c r="F3211" s="2">
        <v>100</v>
      </c>
      <c r="G3211" s="2">
        <v>70</v>
      </c>
      <c r="I3211" s="2" t="s">
        <v>64</v>
      </c>
      <c r="J3211" s="2" t="s">
        <v>65</v>
      </c>
      <c r="K3211" t="s">
        <v>18</v>
      </c>
      <c r="L3211" t="str">
        <f t="shared" si="145"/>
        <v>9791162589724</v>
      </c>
      <c r="M3211" t="str">
        <f t="shared" si="144"/>
        <v/>
      </c>
      <c r="N3211" t="s">
        <v>2750</v>
      </c>
    </row>
    <row r="3212" spans="1:14">
      <c r="A3212" s="1">
        <v>46081.786840277775</v>
      </c>
      <c r="B3212">
        <v>277935856</v>
      </c>
      <c r="C3212" s="2" t="s">
        <v>2939</v>
      </c>
      <c r="D3212" t="s">
        <v>15</v>
      </c>
      <c r="E3212" s="4">
        <v>100</v>
      </c>
      <c r="F3212" s="2">
        <v>100</v>
      </c>
      <c r="G3212" s="2">
        <v>70</v>
      </c>
      <c r="I3212" s="2" t="s">
        <v>64</v>
      </c>
      <c r="J3212" s="2" t="s">
        <v>65</v>
      </c>
      <c r="K3212" t="s">
        <v>18</v>
      </c>
      <c r="L3212" t="str">
        <f t="shared" si="145"/>
        <v>9791162589724</v>
      </c>
      <c r="M3212" t="str">
        <f t="shared" si="144"/>
        <v/>
      </c>
      <c r="N3212" t="s">
        <v>2940</v>
      </c>
    </row>
    <row r="3213" spans="1:14">
      <c r="A3213" s="1">
        <v>46081.786840277775</v>
      </c>
      <c r="B3213">
        <v>277935860</v>
      </c>
      <c r="C3213" s="2" t="s">
        <v>2941</v>
      </c>
      <c r="D3213" t="s">
        <v>15</v>
      </c>
      <c r="E3213" s="4">
        <v>100</v>
      </c>
      <c r="F3213" s="2">
        <v>100</v>
      </c>
      <c r="G3213" s="2">
        <v>70</v>
      </c>
      <c r="I3213" s="2" t="s">
        <v>64</v>
      </c>
      <c r="J3213" s="2" t="s">
        <v>65</v>
      </c>
      <c r="K3213" t="s">
        <v>18</v>
      </c>
      <c r="L3213" t="str">
        <f t="shared" si="145"/>
        <v>9791162589724</v>
      </c>
      <c r="M3213" t="str">
        <f t="shared" si="144"/>
        <v/>
      </c>
      <c r="N3213" t="s">
        <v>2942</v>
      </c>
    </row>
    <row r="3214" spans="1:14">
      <c r="A3214" s="1">
        <v>46081.786840277775</v>
      </c>
      <c r="B3214">
        <v>277935864</v>
      </c>
      <c r="C3214" s="2" t="s">
        <v>2943</v>
      </c>
      <c r="D3214" t="s">
        <v>15</v>
      </c>
      <c r="E3214" s="4">
        <v>100</v>
      </c>
      <c r="F3214" s="2">
        <v>100</v>
      </c>
      <c r="G3214" s="2">
        <v>70</v>
      </c>
      <c r="I3214" s="2" t="s">
        <v>64</v>
      </c>
      <c r="J3214" s="2" t="s">
        <v>65</v>
      </c>
      <c r="K3214" t="s">
        <v>18</v>
      </c>
      <c r="L3214" t="str">
        <f t="shared" si="145"/>
        <v>9791162589724</v>
      </c>
      <c r="M3214" t="str">
        <f t="shared" si="144"/>
        <v/>
      </c>
      <c r="N3214" t="s">
        <v>2944</v>
      </c>
    </row>
    <row r="3215" spans="1:14">
      <c r="A3215" s="1">
        <v>46081.800057870372</v>
      </c>
      <c r="B3215">
        <v>386556274</v>
      </c>
      <c r="C3215" s="2" t="s">
        <v>2535</v>
      </c>
      <c r="D3215" t="s">
        <v>15</v>
      </c>
      <c r="E3215" s="5">
        <v>2000</v>
      </c>
      <c r="F3215" s="3">
        <v>2000</v>
      </c>
      <c r="G3215" s="3">
        <v>1400</v>
      </c>
      <c r="I3215" s="2" t="s">
        <v>2536</v>
      </c>
      <c r="J3215" s="2" t="s">
        <v>197</v>
      </c>
      <c r="K3215" t="s">
        <v>18</v>
      </c>
      <c r="L3215" t="str">
        <f>T("")</f>
        <v/>
      </c>
      <c r="M3215" t="str">
        <f>T("G720:N+A319-20251223071.M001")</f>
        <v>G720:N+A319-20251223071.M001</v>
      </c>
      <c r="N3215" t="s">
        <v>2537</v>
      </c>
    </row>
    <row r="3216" spans="1:14">
      <c r="A3216" s="1">
        <v>46081.806898148148</v>
      </c>
      <c r="B3216">
        <v>370830362</v>
      </c>
      <c r="C3216" s="2" t="s">
        <v>643</v>
      </c>
      <c r="D3216" t="s">
        <v>15</v>
      </c>
      <c r="E3216" s="5">
        <v>1000</v>
      </c>
      <c r="F3216" s="3">
        <v>1000</v>
      </c>
      <c r="G3216" s="2">
        <v>700</v>
      </c>
      <c r="I3216" s="2" t="s">
        <v>166</v>
      </c>
      <c r="J3216" s="2" t="s">
        <v>21</v>
      </c>
      <c r="K3216" t="s">
        <v>18</v>
      </c>
      <c r="L3216" t="str">
        <f>T("9791173017285")</f>
        <v>9791173017285</v>
      </c>
      <c r="M3216" t="str">
        <f>T("")</f>
        <v/>
      </c>
      <c r="N3216" t="s">
        <v>644</v>
      </c>
    </row>
    <row r="3217" spans="1:14">
      <c r="A3217" s="1">
        <v>46081.819861111115</v>
      </c>
      <c r="B3217">
        <v>364013688</v>
      </c>
      <c r="C3217" s="2" t="s">
        <v>2945</v>
      </c>
      <c r="D3217" t="s">
        <v>15</v>
      </c>
      <c r="E3217" s="5">
        <v>2600</v>
      </c>
      <c r="F3217" s="3">
        <v>2600</v>
      </c>
      <c r="G3217" s="3">
        <v>1820</v>
      </c>
      <c r="I3217" s="2" t="s">
        <v>2593</v>
      </c>
      <c r="J3217" s="2" t="s">
        <v>239</v>
      </c>
      <c r="K3217" t="s">
        <v>18</v>
      </c>
      <c r="L3217" t="str">
        <f>T("9791194726333")</f>
        <v>9791194726333</v>
      </c>
      <c r="M3217" t="str">
        <f>T("")</f>
        <v/>
      </c>
      <c r="N3217" t="s">
        <v>2946</v>
      </c>
    </row>
    <row r="3218" spans="1:14">
      <c r="A3218" s="1">
        <v>46081.824942129628</v>
      </c>
      <c r="B3218">
        <v>345871307</v>
      </c>
      <c r="C3218" s="2" t="s">
        <v>2947</v>
      </c>
      <c r="D3218" t="s">
        <v>15</v>
      </c>
      <c r="E3218" s="5">
        <v>1000</v>
      </c>
      <c r="F3218" s="3">
        <v>1000</v>
      </c>
      <c r="G3218" s="2">
        <v>700</v>
      </c>
      <c r="I3218" s="2" t="s">
        <v>2880</v>
      </c>
      <c r="J3218" s="2" t="s">
        <v>21</v>
      </c>
      <c r="K3218" t="s">
        <v>18</v>
      </c>
      <c r="L3218" t="str">
        <f>T("9791170898863")</f>
        <v>9791170898863</v>
      </c>
      <c r="M3218" t="str">
        <f>T("")</f>
        <v/>
      </c>
      <c r="N3218" t="s">
        <v>2948</v>
      </c>
    </row>
    <row r="3219" spans="1:14">
      <c r="A3219" s="1">
        <v>46081.824942129628</v>
      </c>
      <c r="B3219">
        <v>374550019</v>
      </c>
      <c r="C3219" s="2" t="s">
        <v>965</v>
      </c>
      <c r="D3219" t="s">
        <v>15</v>
      </c>
      <c r="E3219" s="5">
        <v>1000</v>
      </c>
      <c r="F3219" s="3">
        <v>1000</v>
      </c>
      <c r="G3219" s="2">
        <v>700</v>
      </c>
      <c r="I3219" s="2" t="s">
        <v>41</v>
      </c>
      <c r="J3219" s="2" t="s">
        <v>21</v>
      </c>
      <c r="K3219" t="s">
        <v>18</v>
      </c>
      <c r="L3219" t="str">
        <f>T("9791175580428")</f>
        <v>9791175580428</v>
      </c>
      <c r="M3219" t="str">
        <f>T("")</f>
        <v/>
      </c>
      <c r="N3219" t="s">
        <v>966</v>
      </c>
    </row>
    <row r="3220" spans="1:14">
      <c r="A3220" s="1">
        <v>46081.824942129628</v>
      </c>
      <c r="B3220">
        <v>297446436</v>
      </c>
      <c r="C3220" s="2" t="s">
        <v>2949</v>
      </c>
      <c r="D3220" t="s">
        <v>15</v>
      </c>
      <c r="E3220" s="5">
        <v>1500</v>
      </c>
      <c r="F3220" s="3">
        <v>1500</v>
      </c>
      <c r="G3220" s="3">
        <v>1050</v>
      </c>
      <c r="I3220" s="2" t="s">
        <v>2950</v>
      </c>
      <c r="J3220" s="2" t="s">
        <v>21</v>
      </c>
      <c r="K3220" t="s">
        <v>18</v>
      </c>
      <c r="L3220" t="str">
        <f>T("9791167833464")</f>
        <v>9791167833464</v>
      </c>
      <c r="M3220" t="str">
        <f>T("")</f>
        <v/>
      </c>
    </row>
    <row r="3221" spans="1:14">
      <c r="A3221" s="1">
        <v>46081.841469907406</v>
      </c>
      <c r="B3221">
        <v>386559326</v>
      </c>
      <c r="C3221" s="2" t="s">
        <v>2545</v>
      </c>
      <c r="D3221" t="s">
        <v>68</v>
      </c>
      <c r="E3221" s="5">
        <v>5760</v>
      </c>
      <c r="F3221" s="3">
        <v>5760</v>
      </c>
      <c r="G3221" s="3">
        <v>4032</v>
      </c>
      <c r="I3221" s="2" t="s">
        <v>2546</v>
      </c>
      <c r="J3221" s="2" t="s">
        <v>197</v>
      </c>
      <c r="K3221" t="s">
        <v>18</v>
      </c>
      <c r="L3221" t="str">
        <f>T("")</f>
        <v/>
      </c>
      <c r="M3221" t="str">
        <f>T("G720:N+A319-20251223073")</f>
        <v>G720:N+A319-20251223073</v>
      </c>
    </row>
    <row r="3222" spans="1:14">
      <c r="A3222" s="1">
        <v>46081.848379629628</v>
      </c>
      <c r="B3222">
        <v>271275606</v>
      </c>
      <c r="C3222" s="2" t="s">
        <v>2151</v>
      </c>
      <c r="D3222" t="s">
        <v>15</v>
      </c>
      <c r="E3222" s="5">
        <v>3000</v>
      </c>
      <c r="F3222" s="3">
        <v>3000</v>
      </c>
      <c r="G3222" s="3">
        <v>2100</v>
      </c>
      <c r="I3222" s="2" t="s">
        <v>540</v>
      </c>
      <c r="J3222" s="2" t="s">
        <v>197</v>
      </c>
      <c r="K3222" t="s">
        <v>18</v>
      </c>
      <c r="L3222" t="str">
        <f>T("9791164094325")</f>
        <v>9791164094325</v>
      </c>
      <c r="M3222" t="str">
        <f t="shared" ref="M3222:M3231" si="146">T("")</f>
        <v/>
      </c>
      <c r="N3222" t="s">
        <v>2152</v>
      </c>
    </row>
    <row r="3223" spans="1:14">
      <c r="A3223" s="1">
        <v>46081.848379629628</v>
      </c>
      <c r="B3223">
        <v>271275616</v>
      </c>
      <c r="C3223" s="2" t="s">
        <v>2149</v>
      </c>
      <c r="D3223" t="s">
        <v>15</v>
      </c>
      <c r="E3223" s="5">
        <v>3000</v>
      </c>
      <c r="F3223" s="3">
        <v>3000</v>
      </c>
      <c r="G3223" s="3">
        <v>2100</v>
      </c>
      <c r="I3223" s="2" t="s">
        <v>540</v>
      </c>
      <c r="J3223" s="2" t="s">
        <v>197</v>
      </c>
      <c r="K3223" t="s">
        <v>18</v>
      </c>
      <c r="L3223" t="str">
        <f>T("9791164094332")</f>
        <v>9791164094332</v>
      </c>
      <c r="M3223" t="str">
        <f t="shared" si="146"/>
        <v/>
      </c>
      <c r="N3223" t="s">
        <v>2150</v>
      </c>
    </row>
    <row r="3224" spans="1:14">
      <c r="A3224" s="1">
        <v>46081.852500000001</v>
      </c>
      <c r="B3224">
        <v>277935499</v>
      </c>
      <c r="C3224" s="2" t="s">
        <v>2951</v>
      </c>
      <c r="D3224" t="s">
        <v>15</v>
      </c>
      <c r="E3224" s="4">
        <v>100</v>
      </c>
      <c r="F3224" s="2">
        <v>100</v>
      </c>
      <c r="G3224" s="2">
        <v>70</v>
      </c>
      <c r="I3224" s="2" t="s">
        <v>64</v>
      </c>
      <c r="J3224" s="2" t="s">
        <v>65</v>
      </c>
      <c r="K3224" t="s">
        <v>18</v>
      </c>
      <c r="L3224" t="str">
        <f t="shared" ref="L3224:L3231" si="147">T("9791162589724")</f>
        <v>9791162589724</v>
      </c>
      <c r="M3224" t="str">
        <f t="shared" si="146"/>
        <v/>
      </c>
      <c r="N3224" t="s">
        <v>2952</v>
      </c>
    </row>
    <row r="3225" spans="1:14">
      <c r="A3225" s="1">
        <v>46081.852500000001</v>
      </c>
      <c r="B3225">
        <v>277935708</v>
      </c>
      <c r="C3225" s="2" t="s">
        <v>2953</v>
      </c>
      <c r="D3225" t="s">
        <v>15</v>
      </c>
      <c r="E3225" s="4">
        <v>100</v>
      </c>
      <c r="F3225" s="2">
        <v>100</v>
      </c>
      <c r="G3225" s="2">
        <v>70</v>
      </c>
      <c r="I3225" s="2" t="s">
        <v>64</v>
      </c>
      <c r="J3225" s="2" t="s">
        <v>65</v>
      </c>
      <c r="K3225" t="s">
        <v>18</v>
      </c>
      <c r="L3225" t="str">
        <f t="shared" si="147"/>
        <v>9791162589724</v>
      </c>
      <c r="M3225" t="str">
        <f t="shared" si="146"/>
        <v/>
      </c>
      <c r="N3225" t="s">
        <v>2954</v>
      </c>
    </row>
    <row r="3226" spans="1:14">
      <c r="A3226" s="1">
        <v>46081.852500000001</v>
      </c>
      <c r="B3226">
        <v>277935673</v>
      </c>
      <c r="C3226" s="2" t="s">
        <v>2955</v>
      </c>
      <c r="D3226" t="s">
        <v>15</v>
      </c>
      <c r="E3226" s="4">
        <v>100</v>
      </c>
      <c r="F3226" s="2">
        <v>100</v>
      </c>
      <c r="G3226" s="2">
        <v>70</v>
      </c>
      <c r="I3226" s="2" t="s">
        <v>64</v>
      </c>
      <c r="J3226" s="2" t="s">
        <v>65</v>
      </c>
      <c r="K3226" t="s">
        <v>18</v>
      </c>
      <c r="L3226" t="str">
        <f t="shared" si="147"/>
        <v>9791162589724</v>
      </c>
      <c r="M3226" t="str">
        <f t="shared" si="146"/>
        <v/>
      </c>
      <c r="N3226" t="s">
        <v>2956</v>
      </c>
    </row>
    <row r="3227" spans="1:14">
      <c r="A3227" s="1">
        <v>46081.852500000001</v>
      </c>
      <c r="B3227">
        <v>277935668</v>
      </c>
      <c r="C3227" s="2" t="s">
        <v>2957</v>
      </c>
      <c r="D3227" t="s">
        <v>15</v>
      </c>
      <c r="E3227" s="4">
        <v>100</v>
      </c>
      <c r="F3227" s="2">
        <v>100</v>
      </c>
      <c r="G3227" s="2">
        <v>70</v>
      </c>
      <c r="I3227" s="2" t="s">
        <v>64</v>
      </c>
      <c r="J3227" s="2" t="s">
        <v>65</v>
      </c>
      <c r="K3227" t="s">
        <v>18</v>
      </c>
      <c r="L3227" t="str">
        <f t="shared" si="147"/>
        <v>9791162589724</v>
      </c>
      <c r="M3227" t="str">
        <f t="shared" si="146"/>
        <v/>
      </c>
      <c r="N3227" t="s">
        <v>2958</v>
      </c>
    </row>
    <row r="3228" spans="1:14">
      <c r="A3228" s="1">
        <v>46081.852500000001</v>
      </c>
      <c r="B3228">
        <v>277935764</v>
      </c>
      <c r="C3228" s="2" t="s">
        <v>2887</v>
      </c>
      <c r="D3228" t="s">
        <v>15</v>
      </c>
      <c r="E3228" s="4">
        <v>100</v>
      </c>
      <c r="F3228" s="2">
        <v>100</v>
      </c>
      <c r="G3228" s="2">
        <v>70</v>
      </c>
      <c r="I3228" s="2" t="s">
        <v>64</v>
      </c>
      <c r="J3228" s="2" t="s">
        <v>65</v>
      </c>
      <c r="K3228" t="s">
        <v>18</v>
      </c>
      <c r="L3228" t="str">
        <f t="shared" si="147"/>
        <v>9791162589724</v>
      </c>
      <c r="M3228" t="str">
        <f t="shared" si="146"/>
        <v/>
      </c>
      <c r="N3228" t="s">
        <v>2888</v>
      </c>
    </row>
    <row r="3229" spans="1:14">
      <c r="A3229" s="1">
        <v>46081.852500000001</v>
      </c>
      <c r="B3229">
        <v>277935766</v>
      </c>
      <c r="C3229" s="2" t="s">
        <v>2885</v>
      </c>
      <c r="D3229" t="s">
        <v>15</v>
      </c>
      <c r="E3229" s="4">
        <v>100</v>
      </c>
      <c r="F3229" s="2">
        <v>100</v>
      </c>
      <c r="G3229" s="2">
        <v>70</v>
      </c>
      <c r="I3229" s="2" t="s">
        <v>64</v>
      </c>
      <c r="J3229" s="2" t="s">
        <v>65</v>
      </c>
      <c r="K3229" t="s">
        <v>18</v>
      </c>
      <c r="L3229" t="str">
        <f t="shared" si="147"/>
        <v>9791162589724</v>
      </c>
      <c r="M3229" t="str">
        <f t="shared" si="146"/>
        <v/>
      </c>
      <c r="N3229" t="s">
        <v>2886</v>
      </c>
    </row>
    <row r="3230" spans="1:14">
      <c r="A3230" s="1">
        <v>46081.852500000001</v>
      </c>
      <c r="B3230">
        <v>277935770</v>
      </c>
      <c r="C3230" s="2" t="s">
        <v>2959</v>
      </c>
      <c r="D3230" t="s">
        <v>15</v>
      </c>
      <c r="E3230" s="4">
        <v>100</v>
      </c>
      <c r="F3230" s="2">
        <v>100</v>
      </c>
      <c r="G3230" s="2">
        <v>70</v>
      </c>
      <c r="I3230" s="2" t="s">
        <v>64</v>
      </c>
      <c r="J3230" s="2" t="s">
        <v>65</v>
      </c>
      <c r="K3230" t="s">
        <v>18</v>
      </c>
      <c r="L3230" t="str">
        <f t="shared" si="147"/>
        <v>9791162589724</v>
      </c>
      <c r="M3230" t="str">
        <f t="shared" si="146"/>
        <v/>
      </c>
      <c r="N3230" t="s">
        <v>2960</v>
      </c>
    </row>
    <row r="3231" spans="1:14">
      <c r="A3231" s="1">
        <v>46081.852500000001</v>
      </c>
      <c r="B3231">
        <v>277935768</v>
      </c>
      <c r="C3231" s="2" t="s">
        <v>975</v>
      </c>
      <c r="D3231" t="s">
        <v>15</v>
      </c>
      <c r="E3231" s="4">
        <v>100</v>
      </c>
      <c r="F3231" s="2">
        <v>100</v>
      </c>
      <c r="G3231" s="2">
        <v>70</v>
      </c>
      <c r="I3231" s="2" t="s">
        <v>64</v>
      </c>
      <c r="J3231" s="2" t="s">
        <v>65</v>
      </c>
      <c r="K3231" t="s">
        <v>18</v>
      </c>
      <c r="L3231" t="str">
        <f t="shared" si="147"/>
        <v>9791162589724</v>
      </c>
      <c r="M3231" t="str">
        <f t="shared" si="146"/>
        <v/>
      </c>
      <c r="N3231" t="s">
        <v>976</v>
      </c>
    </row>
    <row r="3232" spans="1:14">
      <c r="A3232" s="1">
        <v>46081.854224537034</v>
      </c>
      <c r="B3232">
        <v>386559326</v>
      </c>
      <c r="C3232" s="2" t="s">
        <v>2545</v>
      </c>
      <c r="D3232" t="s">
        <v>68</v>
      </c>
      <c r="E3232" s="5">
        <v>5760</v>
      </c>
      <c r="F3232" s="3">
        <v>5760</v>
      </c>
      <c r="G3232" s="3">
        <v>4032</v>
      </c>
      <c r="I3232" s="2" t="s">
        <v>2546</v>
      </c>
      <c r="J3232" s="2" t="s">
        <v>197</v>
      </c>
      <c r="K3232" t="s">
        <v>18</v>
      </c>
      <c r="L3232" t="str">
        <f>T("")</f>
        <v/>
      </c>
      <c r="M3232" t="str">
        <f>T("G720:N+A319-20251223073")</f>
        <v>G720:N+A319-20251223073</v>
      </c>
    </row>
    <row r="3233" spans="1:14">
      <c r="A3233" s="1">
        <v>46081.857928240737</v>
      </c>
      <c r="B3233">
        <v>354903156</v>
      </c>
      <c r="C3233" s="2" t="s">
        <v>2961</v>
      </c>
      <c r="D3233" t="s">
        <v>15</v>
      </c>
      <c r="E3233" s="5">
        <v>2800</v>
      </c>
      <c r="F3233" s="3">
        <v>2800</v>
      </c>
      <c r="G3233" s="3">
        <v>1960</v>
      </c>
      <c r="I3233" s="2" t="s">
        <v>844</v>
      </c>
      <c r="J3233" s="2" t="s">
        <v>308</v>
      </c>
      <c r="K3233" t="s">
        <v>18</v>
      </c>
      <c r="L3233" t="str">
        <f>T("9791194174233")</f>
        <v>9791194174233</v>
      </c>
      <c r="M3233" t="str">
        <f>T("")</f>
        <v/>
      </c>
      <c r="N3233" t="s">
        <v>2962</v>
      </c>
    </row>
    <row r="3234" spans="1:14">
      <c r="A3234" s="1">
        <v>46081.862164351849</v>
      </c>
      <c r="B3234">
        <v>386556274</v>
      </c>
      <c r="C3234" s="2" t="s">
        <v>2535</v>
      </c>
      <c r="D3234" t="s">
        <v>15</v>
      </c>
      <c r="E3234" s="5">
        <v>2000</v>
      </c>
      <c r="F3234" s="3">
        <v>2000</v>
      </c>
      <c r="G3234" s="3">
        <v>1400</v>
      </c>
      <c r="I3234" s="2" t="s">
        <v>2536</v>
      </c>
      <c r="J3234" s="2" t="s">
        <v>197</v>
      </c>
      <c r="K3234" t="s">
        <v>18</v>
      </c>
      <c r="L3234" t="str">
        <f>T("")</f>
        <v/>
      </c>
      <c r="M3234" t="str">
        <f>T("G720:N+A319-20251223071.M001")</f>
        <v>G720:N+A319-20251223071.M001</v>
      </c>
      <c r="N3234" t="s">
        <v>2537</v>
      </c>
    </row>
    <row r="3235" spans="1:14">
      <c r="A3235" s="1">
        <v>46081.86446759259</v>
      </c>
      <c r="B3235">
        <v>386556274</v>
      </c>
      <c r="C3235" s="2" t="s">
        <v>2535</v>
      </c>
      <c r="D3235" t="s">
        <v>15</v>
      </c>
      <c r="E3235" s="5">
        <v>2000</v>
      </c>
      <c r="F3235" s="3">
        <v>2000</v>
      </c>
      <c r="G3235" s="3">
        <v>1400</v>
      </c>
      <c r="I3235" s="2" t="s">
        <v>2536</v>
      </c>
      <c r="J3235" s="2" t="s">
        <v>197</v>
      </c>
      <c r="K3235" t="s">
        <v>18</v>
      </c>
      <c r="L3235" t="str">
        <f>T("")</f>
        <v/>
      </c>
      <c r="M3235" t="str">
        <f>T("G720:N+A319-20251223071.M001")</f>
        <v>G720:N+A319-20251223071.M001</v>
      </c>
      <c r="N3235" t="s">
        <v>2537</v>
      </c>
    </row>
    <row r="3236" spans="1:14">
      <c r="A3236" s="1">
        <v>46081.884571759256</v>
      </c>
      <c r="B3236">
        <v>386556274</v>
      </c>
      <c r="C3236" s="2" t="s">
        <v>2535</v>
      </c>
      <c r="D3236" t="s">
        <v>15</v>
      </c>
      <c r="E3236" s="5">
        <v>2000</v>
      </c>
      <c r="F3236" s="3">
        <v>2000</v>
      </c>
      <c r="G3236" s="3">
        <v>1400</v>
      </c>
      <c r="I3236" s="2" t="s">
        <v>2536</v>
      </c>
      <c r="J3236" s="2" t="s">
        <v>197</v>
      </c>
      <c r="K3236" t="s">
        <v>18</v>
      </c>
      <c r="L3236" t="str">
        <f>T("")</f>
        <v/>
      </c>
      <c r="M3236" t="str">
        <f>T("G720:N+A319-20251223071.M001")</f>
        <v>G720:N+A319-20251223071.M001</v>
      </c>
      <c r="N3236" t="s">
        <v>2537</v>
      </c>
    </row>
    <row r="3237" spans="1:14">
      <c r="A3237" s="1">
        <v>46081.913263888891</v>
      </c>
      <c r="B3237">
        <v>379511327</v>
      </c>
      <c r="C3237" s="2" t="s">
        <v>262</v>
      </c>
      <c r="D3237" t="s">
        <v>15</v>
      </c>
      <c r="E3237" s="5">
        <v>3300</v>
      </c>
      <c r="F3237" s="3">
        <v>3300</v>
      </c>
      <c r="G3237" s="3">
        <v>2310</v>
      </c>
      <c r="I3237" s="2" t="s">
        <v>263</v>
      </c>
      <c r="J3237" s="2" t="s">
        <v>126</v>
      </c>
      <c r="K3237" t="s">
        <v>18</v>
      </c>
      <c r="L3237" t="str">
        <f>T("9791171502875")</f>
        <v>9791171502875</v>
      </c>
      <c r="M3237" t="str">
        <f>T("")</f>
        <v/>
      </c>
      <c r="N3237" t="s">
        <v>264</v>
      </c>
    </row>
    <row r="3238" spans="1:14">
      <c r="A3238" s="1">
        <v>46081.919421296298</v>
      </c>
      <c r="B3238">
        <v>386556274</v>
      </c>
      <c r="C3238" s="2" t="s">
        <v>2535</v>
      </c>
      <c r="D3238" t="s">
        <v>15</v>
      </c>
      <c r="E3238" s="5">
        <v>2000</v>
      </c>
      <c r="F3238" s="3">
        <v>2000</v>
      </c>
      <c r="G3238" s="3">
        <v>1400</v>
      </c>
      <c r="I3238" s="2" t="s">
        <v>2536</v>
      </c>
      <c r="J3238" s="2" t="s">
        <v>197</v>
      </c>
      <c r="K3238" t="s">
        <v>18</v>
      </c>
      <c r="L3238" t="str">
        <f>T("")</f>
        <v/>
      </c>
      <c r="M3238" t="str">
        <f>T("G720:N+A319-20251223071.M001")</f>
        <v>G720:N+A319-20251223071.M001</v>
      </c>
      <c r="N3238" t="s">
        <v>2537</v>
      </c>
    </row>
    <row r="3239" spans="1:14">
      <c r="A3239" s="1">
        <v>46081.920335648145</v>
      </c>
      <c r="B3239">
        <v>385347715</v>
      </c>
      <c r="C3239" s="2" t="s">
        <v>186</v>
      </c>
      <c r="D3239" t="s">
        <v>15</v>
      </c>
      <c r="E3239" s="5">
        <v>2000</v>
      </c>
      <c r="F3239" s="3">
        <v>1800</v>
      </c>
      <c r="G3239" s="3">
        <v>1260</v>
      </c>
      <c r="I3239" s="2" t="s">
        <v>187</v>
      </c>
      <c r="J3239" s="2" t="s">
        <v>188</v>
      </c>
      <c r="K3239" t="s">
        <v>18</v>
      </c>
      <c r="L3239" t="str">
        <f>T("9791164835362")</f>
        <v>9791164835362</v>
      </c>
      <c r="M3239" t="str">
        <f>T("")</f>
        <v/>
      </c>
      <c r="N3239" t="s">
        <v>189</v>
      </c>
    </row>
    <row r="3240" spans="1:14">
      <c r="A3240" s="1">
        <v>46081.926354166666</v>
      </c>
      <c r="B3240">
        <v>386559326</v>
      </c>
      <c r="C3240" s="2" t="s">
        <v>2545</v>
      </c>
      <c r="D3240" t="s">
        <v>68</v>
      </c>
      <c r="E3240" s="5">
        <v>5760</v>
      </c>
      <c r="F3240" s="3">
        <v>5760</v>
      </c>
      <c r="G3240" s="3">
        <v>4032</v>
      </c>
      <c r="I3240" s="2" t="s">
        <v>2546</v>
      </c>
      <c r="J3240" s="2" t="s">
        <v>197</v>
      </c>
      <c r="K3240" t="s">
        <v>18</v>
      </c>
      <c r="L3240" t="str">
        <f>T("")</f>
        <v/>
      </c>
      <c r="M3240" t="str">
        <f>T("G720:N+A319-20251223073")</f>
        <v>G720:N+A319-20251223073</v>
      </c>
    </row>
    <row r="3241" spans="1:14">
      <c r="A3241" s="1">
        <v>46081.927268518521</v>
      </c>
      <c r="B3241">
        <v>385347715</v>
      </c>
      <c r="C3241" s="2" t="s">
        <v>186</v>
      </c>
      <c r="D3241" t="s">
        <v>15</v>
      </c>
      <c r="E3241" s="5">
        <v>2000</v>
      </c>
      <c r="F3241" s="3">
        <v>1800</v>
      </c>
      <c r="G3241" s="3">
        <v>1260</v>
      </c>
      <c r="I3241" s="2" t="s">
        <v>187</v>
      </c>
      <c r="J3241" s="2" t="s">
        <v>188</v>
      </c>
      <c r="K3241" t="s">
        <v>18</v>
      </c>
      <c r="L3241" t="str">
        <f>T("9791164835362")</f>
        <v>9791164835362</v>
      </c>
      <c r="M3241" t="str">
        <f>T("")</f>
        <v/>
      </c>
      <c r="N3241" t="s">
        <v>189</v>
      </c>
    </row>
    <row r="3242" spans="1:14">
      <c r="A3242" s="1">
        <v>46081.931597222225</v>
      </c>
      <c r="B3242">
        <v>385347797</v>
      </c>
      <c r="C3242" s="2" t="s">
        <v>195</v>
      </c>
      <c r="D3242" t="s">
        <v>15</v>
      </c>
      <c r="E3242" s="4">
        <v>700</v>
      </c>
      <c r="F3242" s="2">
        <v>630</v>
      </c>
      <c r="G3242" s="2">
        <v>441</v>
      </c>
      <c r="I3242" s="2" t="s">
        <v>196</v>
      </c>
      <c r="J3242" s="2" t="s">
        <v>197</v>
      </c>
      <c r="K3242" t="s">
        <v>18</v>
      </c>
      <c r="L3242" t="str">
        <f>T("9791172821937")</f>
        <v>9791172821937</v>
      </c>
      <c r="M3242" t="str">
        <f>T("")</f>
        <v/>
      </c>
      <c r="N3242" t="s">
        <v>198</v>
      </c>
    </row>
    <row r="3243" spans="1:14">
      <c r="A3243" s="1">
        <v>46081.931597222225</v>
      </c>
      <c r="B3243">
        <v>237252707</v>
      </c>
      <c r="C3243" s="2" t="s">
        <v>2963</v>
      </c>
      <c r="D3243" t="s">
        <v>15</v>
      </c>
      <c r="E3243" s="5">
        <v>2000</v>
      </c>
      <c r="F3243" s="3">
        <v>2000</v>
      </c>
      <c r="G3243" s="3">
        <v>1400</v>
      </c>
      <c r="I3243" s="2" t="s">
        <v>2964</v>
      </c>
      <c r="J3243" s="2" t="s">
        <v>188</v>
      </c>
      <c r="K3243" t="s">
        <v>18</v>
      </c>
      <c r="L3243" t="str">
        <f>T("9791164831500")</f>
        <v>9791164831500</v>
      </c>
      <c r="M3243" t="str">
        <f>T("")</f>
        <v/>
      </c>
    </row>
    <row r="3244" spans="1:14">
      <c r="A3244" s="1">
        <v>46081.932314814818</v>
      </c>
      <c r="B3244">
        <v>277935673</v>
      </c>
      <c r="C3244" s="2" t="s">
        <v>2955</v>
      </c>
      <c r="D3244" t="s">
        <v>15</v>
      </c>
      <c r="E3244" s="4">
        <v>100</v>
      </c>
      <c r="F3244" s="2">
        <v>100</v>
      </c>
      <c r="G3244" s="2">
        <v>70</v>
      </c>
      <c r="I3244" s="2" t="s">
        <v>64</v>
      </c>
      <c r="J3244" s="2" t="s">
        <v>65</v>
      </c>
      <c r="K3244" t="s">
        <v>18</v>
      </c>
      <c r="L3244" t="str">
        <f>T("9791162589724")</f>
        <v>9791162589724</v>
      </c>
      <c r="M3244" t="str">
        <f>T("")</f>
        <v/>
      </c>
      <c r="N3244" t="s">
        <v>2956</v>
      </c>
    </row>
    <row r="3245" spans="1:14">
      <c r="A3245" s="1">
        <v>46081.932314814818</v>
      </c>
      <c r="B3245">
        <v>277935713</v>
      </c>
      <c r="C3245" s="2" t="s">
        <v>2965</v>
      </c>
      <c r="D3245" t="s">
        <v>15</v>
      </c>
      <c r="E3245" s="4">
        <v>100</v>
      </c>
      <c r="F3245" s="2">
        <v>100</v>
      </c>
      <c r="G3245" s="2">
        <v>70</v>
      </c>
      <c r="I3245" s="2" t="s">
        <v>64</v>
      </c>
      <c r="J3245" s="2" t="s">
        <v>65</v>
      </c>
      <c r="K3245" t="s">
        <v>18</v>
      </c>
      <c r="L3245" t="str">
        <f>T("9791162589724")</f>
        <v>9791162589724</v>
      </c>
      <c r="M3245" t="str">
        <f>T("")</f>
        <v/>
      </c>
      <c r="N3245" t="s">
        <v>2966</v>
      </c>
    </row>
    <row r="3246" spans="1:14">
      <c r="A3246" s="1">
        <v>46081.945972222224</v>
      </c>
      <c r="B3246">
        <v>386556274</v>
      </c>
      <c r="C3246" s="2" t="s">
        <v>2535</v>
      </c>
      <c r="D3246" t="s">
        <v>15</v>
      </c>
      <c r="E3246" s="5">
        <v>2000</v>
      </c>
      <c r="F3246" s="3">
        <v>2000</v>
      </c>
      <c r="G3246" s="3">
        <v>1400</v>
      </c>
      <c r="I3246" s="2" t="s">
        <v>2536</v>
      </c>
      <c r="J3246" s="2" t="s">
        <v>197</v>
      </c>
      <c r="K3246" t="s">
        <v>18</v>
      </c>
      <c r="L3246" t="str">
        <f>T("")</f>
        <v/>
      </c>
      <c r="M3246" t="str">
        <f>T("G720:N+A319-20251223071.M001")</f>
        <v>G720:N+A319-20251223071.M001</v>
      </c>
      <c r="N3246" t="s">
        <v>2537</v>
      </c>
    </row>
    <row r="3247" spans="1:14">
      <c r="A3247" s="1">
        <v>46081.952187499999</v>
      </c>
      <c r="B3247">
        <v>327615040</v>
      </c>
      <c r="C3247" s="2" t="s">
        <v>1798</v>
      </c>
      <c r="D3247" t="s">
        <v>15</v>
      </c>
      <c r="E3247" s="4">
        <v>0</v>
      </c>
      <c r="F3247" s="2">
        <v>0</v>
      </c>
      <c r="G3247" s="2">
        <v>0</v>
      </c>
      <c r="I3247" s="2" t="s">
        <v>1682</v>
      </c>
      <c r="J3247" s="2" t="s">
        <v>197</v>
      </c>
      <c r="K3247" t="s">
        <v>18</v>
      </c>
      <c r="L3247" t="str">
        <f>T("9791164097678")</f>
        <v>9791164097678</v>
      </c>
      <c r="M3247" t="str">
        <f>T("")</f>
        <v/>
      </c>
      <c r="N3247" t="s">
        <v>1799</v>
      </c>
    </row>
    <row r="3248" spans="1:14">
      <c r="A3248" s="1">
        <v>46081.953946759262</v>
      </c>
      <c r="B3248">
        <v>378389261</v>
      </c>
      <c r="C3248" s="2" t="s">
        <v>773</v>
      </c>
      <c r="D3248" t="s">
        <v>15</v>
      </c>
      <c r="E3248" s="5">
        <v>13440</v>
      </c>
      <c r="F3248" s="3">
        <v>13440</v>
      </c>
      <c r="G3248" s="3">
        <v>9408</v>
      </c>
      <c r="I3248" s="2" t="s">
        <v>774</v>
      </c>
      <c r="J3248" s="2" t="s">
        <v>184</v>
      </c>
      <c r="K3248" t="s">
        <v>18</v>
      </c>
      <c r="L3248" t="str">
        <f>T("9791170965428")</f>
        <v>9791170965428</v>
      </c>
      <c r="M3248" t="str">
        <f>T("")</f>
        <v/>
      </c>
      <c r="N3248" t="s">
        <v>775</v>
      </c>
    </row>
    <row r="3249" spans="1:14">
      <c r="A3249" s="1">
        <v>46081.954398148147</v>
      </c>
      <c r="B3249">
        <v>364013765</v>
      </c>
      <c r="C3249" s="2" t="s">
        <v>2967</v>
      </c>
      <c r="D3249" t="s">
        <v>15</v>
      </c>
      <c r="E3249" s="5">
        <v>2600</v>
      </c>
      <c r="F3249" s="3">
        <v>2600</v>
      </c>
      <c r="G3249" s="3">
        <v>1820</v>
      </c>
      <c r="I3249" s="2" t="s">
        <v>2593</v>
      </c>
      <c r="J3249" s="2" t="s">
        <v>239</v>
      </c>
      <c r="K3249" t="s">
        <v>18</v>
      </c>
      <c r="L3249" t="str">
        <f>T("9791194726340")</f>
        <v>9791194726340</v>
      </c>
      <c r="M3249" t="str">
        <f>T("")</f>
        <v/>
      </c>
      <c r="N3249" t="s">
        <v>2968</v>
      </c>
    </row>
    <row r="3250" spans="1:14">
      <c r="A3250" s="1">
        <v>46081.95511574074</v>
      </c>
      <c r="B3250">
        <v>300774075</v>
      </c>
      <c r="C3250" s="2" t="s">
        <v>337</v>
      </c>
      <c r="D3250" t="s">
        <v>15</v>
      </c>
      <c r="E3250" s="5">
        <v>4500</v>
      </c>
      <c r="F3250" s="3">
        <v>4500</v>
      </c>
      <c r="G3250" s="3">
        <v>3150</v>
      </c>
      <c r="I3250" s="2" t="s">
        <v>266</v>
      </c>
      <c r="J3250" s="2" t="s">
        <v>126</v>
      </c>
      <c r="K3250" t="s">
        <v>18</v>
      </c>
      <c r="L3250" t="str">
        <f>T("9791164977550")</f>
        <v>9791164977550</v>
      </c>
      <c r="M3250" t="str">
        <f>T("")</f>
        <v/>
      </c>
      <c r="N3250" t="s">
        <v>338</v>
      </c>
    </row>
    <row r="3251" spans="1:14">
      <c r="A3251" s="1">
        <v>46081.957060185188</v>
      </c>
      <c r="B3251">
        <v>211909257</v>
      </c>
      <c r="C3251" s="2" t="s">
        <v>1665</v>
      </c>
      <c r="D3251" t="s">
        <v>15</v>
      </c>
      <c r="E3251" s="5">
        <v>6500</v>
      </c>
      <c r="F3251" s="3">
        <v>6500</v>
      </c>
      <c r="G3251" s="3">
        <v>4550</v>
      </c>
      <c r="I3251" s="2" t="s">
        <v>196</v>
      </c>
      <c r="J3251" s="2" t="s">
        <v>197</v>
      </c>
      <c r="K3251" t="s">
        <v>18</v>
      </c>
      <c r="L3251" t="str">
        <f>T("9791164090693")</f>
        <v>9791164090693</v>
      </c>
      <c r="M3251" t="str">
        <f>T("")</f>
        <v/>
      </c>
    </row>
    <row r="3252" spans="1:14">
      <c r="A3252" s="1">
        <v>46081.962418981479</v>
      </c>
      <c r="B3252">
        <v>386559327</v>
      </c>
      <c r="C3252" s="2" t="s">
        <v>2555</v>
      </c>
      <c r="D3252" t="s">
        <v>15</v>
      </c>
      <c r="E3252" s="5">
        <v>4000</v>
      </c>
      <c r="F3252" s="3">
        <v>3600</v>
      </c>
      <c r="G3252" s="3">
        <v>2520</v>
      </c>
      <c r="I3252" s="2" t="s">
        <v>2536</v>
      </c>
      <c r="J3252" s="2" t="s">
        <v>197</v>
      </c>
      <c r="K3252" t="s">
        <v>18</v>
      </c>
      <c r="L3252" t="str">
        <f>T("")</f>
        <v/>
      </c>
      <c r="M3252" t="str">
        <f>T("G720:N+A319-20251223071")</f>
        <v>G720:N+A319-20251223071</v>
      </c>
    </row>
    <row r="3253" spans="1:14">
      <c r="A3253" s="1">
        <v>46081.962500000001</v>
      </c>
      <c r="B3253">
        <v>379527576</v>
      </c>
      <c r="C3253" s="2" t="s">
        <v>150</v>
      </c>
      <c r="D3253" t="s">
        <v>15</v>
      </c>
      <c r="E3253" s="5">
        <v>1000</v>
      </c>
      <c r="F3253" s="3">
        <v>1000</v>
      </c>
      <c r="G3253" s="2">
        <v>700</v>
      </c>
      <c r="I3253" s="2" t="s">
        <v>148</v>
      </c>
      <c r="J3253" s="2" t="s">
        <v>21</v>
      </c>
      <c r="K3253" t="s">
        <v>18</v>
      </c>
      <c r="L3253" t="str">
        <f>T("9791175580541")</f>
        <v>9791175580541</v>
      </c>
      <c r="M3253" t="str">
        <f>T("")</f>
        <v/>
      </c>
      <c r="N3253" t="s">
        <v>151</v>
      </c>
    </row>
    <row r="3254" spans="1:14">
      <c r="A3254" s="1">
        <v>46081.963506944441</v>
      </c>
      <c r="B3254">
        <v>386556274</v>
      </c>
      <c r="C3254" s="2" t="s">
        <v>2535</v>
      </c>
      <c r="D3254" t="s">
        <v>15</v>
      </c>
      <c r="E3254" s="5">
        <v>2000</v>
      </c>
      <c r="F3254" s="3">
        <v>2000</v>
      </c>
      <c r="G3254" s="3">
        <v>1400</v>
      </c>
      <c r="I3254" s="2" t="s">
        <v>2536</v>
      </c>
      <c r="J3254" s="2" t="s">
        <v>197</v>
      </c>
      <c r="K3254" t="s">
        <v>18</v>
      </c>
      <c r="L3254" t="str">
        <f>T("")</f>
        <v/>
      </c>
      <c r="M3254" t="str">
        <f>T("G720:N+A319-20251223071.M001")</f>
        <v>G720:N+A319-20251223071.M001</v>
      </c>
      <c r="N3254" t="s">
        <v>2537</v>
      </c>
    </row>
    <row r="3255" spans="1:14">
      <c r="A3255" s="1">
        <v>46081.964756944442</v>
      </c>
      <c r="B3255">
        <v>379920934</v>
      </c>
      <c r="C3255" s="2" t="s">
        <v>595</v>
      </c>
      <c r="D3255" t="s">
        <v>15</v>
      </c>
      <c r="E3255" s="5">
        <v>1100</v>
      </c>
      <c r="F3255" s="3">
        <v>1100</v>
      </c>
      <c r="G3255" s="2">
        <v>770</v>
      </c>
      <c r="I3255" s="2" t="s">
        <v>148</v>
      </c>
      <c r="J3255" s="2" t="s">
        <v>21</v>
      </c>
      <c r="K3255" t="s">
        <v>18</v>
      </c>
      <c r="L3255" t="str">
        <f>T("9791175581357")</f>
        <v>9791175581357</v>
      </c>
      <c r="M3255" t="str">
        <f>T("")</f>
        <v/>
      </c>
      <c r="N3255" t="s">
        <v>596</v>
      </c>
    </row>
    <row r="3256" spans="1:14">
      <c r="A3256" s="1">
        <v>46081.965567129628</v>
      </c>
      <c r="B3256">
        <v>370130002</v>
      </c>
      <c r="C3256" s="2" t="s">
        <v>2568</v>
      </c>
      <c r="D3256" t="s">
        <v>15</v>
      </c>
      <c r="E3256" s="5">
        <v>3600</v>
      </c>
      <c r="F3256" s="3">
        <v>3600</v>
      </c>
      <c r="G3256" s="3">
        <v>2520</v>
      </c>
      <c r="I3256" s="2" t="s">
        <v>135</v>
      </c>
      <c r="J3256" s="2" t="s">
        <v>65</v>
      </c>
      <c r="K3256" t="s">
        <v>18</v>
      </c>
      <c r="L3256" t="str">
        <f>T("9791137010222")</f>
        <v>9791137010222</v>
      </c>
      <c r="M3256" t="str">
        <f>T("")</f>
        <v/>
      </c>
      <c r="N3256" t="s">
        <v>2569</v>
      </c>
    </row>
    <row r="3257" spans="1:14">
      <c r="A3257" s="1">
        <v>46081.979351851849</v>
      </c>
      <c r="B3257">
        <v>373362669</v>
      </c>
      <c r="C3257" s="2" t="s">
        <v>2969</v>
      </c>
      <c r="D3257" t="s">
        <v>15</v>
      </c>
      <c r="E3257" s="5">
        <v>3100</v>
      </c>
      <c r="F3257" s="3">
        <v>3100</v>
      </c>
      <c r="G3257" s="3">
        <v>2170</v>
      </c>
      <c r="I3257" s="2" t="s">
        <v>2970</v>
      </c>
      <c r="J3257" s="2" t="s">
        <v>1233</v>
      </c>
      <c r="K3257" t="s">
        <v>18</v>
      </c>
      <c r="L3257" t="str">
        <f>T("9791194982555")</f>
        <v>9791194982555</v>
      </c>
      <c r="M3257" t="str">
        <f>T("")</f>
        <v/>
      </c>
      <c r="N3257" t="s">
        <v>2971</v>
      </c>
    </row>
    <row r="3258" spans="1:14">
      <c r="A3258" s="1">
        <v>46081.980740740742</v>
      </c>
      <c r="B3258">
        <v>345725179</v>
      </c>
      <c r="C3258" s="2" t="s">
        <v>2972</v>
      </c>
      <c r="D3258" t="s">
        <v>15</v>
      </c>
      <c r="E3258" s="5">
        <v>3600</v>
      </c>
      <c r="F3258" s="3">
        <v>3240</v>
      </c>
      <c r="G3258" s="3">
        <v>2268</v>
      </c>
      <c r="I3258" s="2" t="s">
        <v>1121</v>
      </c>
      <c r="J3258" s="2" t="s">
        <v>476</v>
      </c>
      <c r="K3258" t="s">
        <v>18</v>
      </c>
      <c r="L3258" t="str">
        <f>T("9791169726573")</f>
        <v>9791169726573</v>
      </c>
      <c r="M3258" t="str">
        <f>T("")</f>
        <v/>
      </c>
    </row>
    <row r="3259" spans="1:14">
      <c r="A3259" s="1">
        <v>46081.982870370368</v>
      </c>
      <c r="B3259">
        <v>386556274</v>
      </c>
      <c r="C3259" s="2" t="s">
        <v>2535</v>
      </c>
      <c r="D3259" t="s">
        <v>15</v>
      </c>
      <c r="E3259" s="5">
        <v>2000</v>
      </c>
      <c r="F3259" s="3">
        <v>2000</v>
      </c>
      <c r="G3259" s="3">
        <v>1400</v>
      </c>
      <c r="I3259" s="2" t="s">
        <v>2536</v>
      </c>
      <c r="J3259" s="2" t="s">
        <v>197</v>
      </c>
      <c r="K3259" t="s">
        <v>18</v>
      </c>
      <c r="L3259" t="str">
        <f>T("")</f>
        <v/>
      </c>
      <c r="M3259" t="str">
        <f>T("G720:N+A319-20251223071.M001")</f>
        <v>G720:N+A319-20251223071.M001</v>
      </c>
      <c r="N3259" t="s">
        <v>2537</v>
      </c>
    </row>
    <row r="3260" spans="1:14">
      <c r="A3260" s="1">
        <v>46081.986342592594</v>
      </c>
      <c r="B3260">
        <v>277935788</v>
      </c>
      <c r="C3260" s="2" t="s">
        <v>2973</v>
      </c>
      <c r="D3260" t="s">
        <v>15</v>
      </c>
      <c r="E3260" s="4">
        <v>100</v>
      </c>
      <c r="F3260" s="2">
        <v>100</v>
      </c>
      <c r="G3260" s="2">
        <v>70</v>
      </c>
      <c r="I3260" s="2" t="s">
        <v>64</v>
      </c>
      <c r="J3260" s="2" t="s">
        <v>65</v>
      </c>
      <c r="K3260" t="s">
        <v>18</v>
      </c>
      <c r="L3260" t="str">
        <f>T("9791162589724")</f>
        <v>9791162589724</v>
      </c>
      <c r="M3260" t="str">
        <f>T("")</f>
        <v/>
      </c>
      <c r="N3260" t="s">
        <v>2974</v>
      </c>
    </row>
    <row r="3261" spans="1:14">
      <c r="A3261" s="1">
        <v>46081.986759259256</v>
      </c>
      <c r="B3261">
        <v>386559326</v>
      </c>
      <c r="C3261" s="2" t="s">
        <v>2545</v>
      </c>
      <c r="D3261" t="s">
        <v>68</v>
      </c>
      <c r="E3261" s="5">
        <v>5760</v>
      </c>
      <c r="F3261" s="3">
        <v>5760</v>
      </c>
      <c r="G3261" s="3">
        <v>4032</v>
      </c>
      <c r="I3261" s="2" t="s">
        <v>2546</v>
      </c>
      <c r="J3261" s="2" t="s">
        <v>197</v>
      </c>
      <c r="K3261" t="s">
        <v>18</v>
      </c>
      <c r="L3261" t="str">
        <f>T("")</f>
        <v/>
      </c>
      <c r="M3261" t="str">
        <f>T("G720:N+A319-20251223073")</f>
        <v>G720:N+A319-20251223073</v>
      </c>
    </row>
    <row r="3262" spans="1:14">
      <c r="A3262" s="1">
        <v>46081.993020833332</v>
      </c>
      <c r="B3262">
        <v>324263756</v>
      </c>
      <c r="C3262" s="2" t="s">
        <v>2975</v>
      </c>
      <c r="D3262" t="s">
        <v>15</v>
      </c>
      <c r="E3262" s="5">
        <v>1000</v>
      </c>
      <c r="F3262" s="3">
        <v>1000</v>
      </c>
      <c r="G3262" s="2">
        <v>700</v>
      </c>
      <c r="I3262" s="2" t="s">
        <v>2976</v>
      </c>
      <c r="J3262" s="2" t="s">
        <v>21</v>
      </c>
      <c r="K3262" t="s">
        <v>18</v>
      </c>
      <c r="L3262" t="str">
        <f>T("9791170890997")</f>
        <v>9791170890997</v>
      </c>
      <c r="M3262" t="str">
        <f>T("")</f>
        <v/>
      </c>
      <c r="N3262" t="s">
        <v>2977</v>
      </c>
    </row>
    <row r="3263" spans="1:14">
      <c r="A3263" s="1">
        <v>46081.994108796294</v>
      </c>
      <c r="B3263">
        <v>385347797</v>
      </c>
      <c r="C3263" s="2" t="s">
        <v>195</v>
      </c>
      <c r="D3263" t="s">
        <v>15</v>
      </c>
      <c r="E3263" s="4">
        <v>700</v>
      </c>
      <c r="F3263" s="2">
        <v>630</v>
      </c>
      <c r="G3263" s="2">
        <v>441</v>
      </c>
      <c r="I3263" s="2" t="s">
        <v>196</v>
      </c>
      <c r="J3263" s="2" t="s">
        <v>197</v>
      </c>
      <c r="K3263" t="s">
        <v>18</v>
      </c>
      <c r="L3263" t="str">
        <f>T("9791172821937")</f>
        <v>9791172821937</v>
      </c>
      <c r="M3263" t="str">
        <f>T("")</f>
        <v/>
      </c>
      <c r="N3263" t="s">
        <v>198</v>
      </c>
    </row>
    <row r="3264" spans="1:14">
      <c r="A3264" s="1">
        <v>46081.997291666667</v>
      </c>
      <c r="B3264">
        <v>257484962</v>
      </c>
      <c r="C3264" s="2" t="s">
        <v>1774</v>
      </c>
      <c r="D3264" t="s">
        <v>15</v>
      </c>
      <c r="E3264" s="4">
        <v>0</v>
      </c>
      <c r="F3264" s="2">
        <v>0</v>
      </c>
      <c r="G3264" s="2">
        <v>0</v>
      </c>
      <c r="I3264" s="2" t="s">
        <v>1772</v>
      </c>
      <c r="J3264" s="2" t="s">
        <v>197</v>
      </c>
      <c r="K3264" t="s">
        <v>18</v>
      </c>
      <c r="L3264" t="str">
        <f>T("9791164093212")</f>
        <v>9791164093212</v>
      </c>
      <c r="M3264" t="str">
        <f>T("")</f>
        <v/>
      </c>
      <c r="N3264" t="s">
        <v>1775</v>
      </c>
    </row>
    <row r="3265" spans="1:14">
      <c r="A3265" s="1">
        <v>46081.997476851851</v>
      </c>
      <c r="B3265">
        <v>369737725</v>
      </c>
      <c r="C3265" s="2" t="s">
        <v>2978</v>
      </c>
      <c r="D3265" t="s">
        <v>15</v>
      </c>
      <c r="E3265" s="5">
        <v>3000</v>
      </c>
      <c r="F3265" s="3">
        <v>3000</v>
      </c>
      <c r="G3265" s="3">
        <v>2100</v>
      </c>
      <c r="I3265" s="2" t="s">
        <v>2976</v>
      </c>
      <c r="J3265" s="2" t="s">
        <v>21</v>
      </c>
      <c r="K3265" t="s">
        <v>18</v>
      </c>
      <c r="L3265" t="str">
        <f>T("9791173017711")</f>
        <v>9791173017711</v>
      </c>
      <c r="M3265" t="str">
        <f>T("")</f>
        <v/>
      </c>
      <c r="N3265" t="s">
        <v>2979</v>
      </c>
    </row>
    <row r="3266" spans="1:14">
      <c r="A3266" s="1">
        <v>46081.99795138889</v>
      </c>
      <c r="B3266">
        <v>386556274</v>
      </c>
      <c r="C3266" s="2" t="s">
        <v>2535</v>
      </c>
      <c r="D3266" t="s">
        <v>15</v>
      </c>
      <c r="E3266" s="5">
        <v>2000</v>
      </c>
      <c r="F3266" s="3">
        <v>2000</v>
      </c>
      <c r="G3266" s="3">
        <v>1400</v>
      </c>
      <c r="I3266" s="2" t="s">
        <v>2536</v>
      </c>
      <c r="J3266" s="2" t="s">
        <v>197</v>
      </c>
      <c r="K3266" t="s">
        <v>18</v>
      </c>
      <c r="L3266" t="str">
        <f>T("")</f>
        <v/>
      </c>
      <c r="M3266" t="str">
        <f>T("G720:N+A319-20251223071.M001")</f>
        <v>G720:N+A319-20251223071.M001</v>
      </c>
      <c r="N3266" t="s">
        <v>2537</v>
      </c>
    </row>
    <row r="3267" spans="1:14">
      <c r="A3267" s="1">
        <v>46081.998819444445</v>
      </c>
      <c r="B3267">
        <v>383609104</v>
      </c>
      <c r="C3267" s="2" t="s">
        <v>237</v>
      </c>
      <c r="D3267" t="s">
        <v>15</v>
      </c>
      <c r="E3267" s="4">
        <v>700</v>
      </c>
      <c r="F3267" s="2">
        <v>700</v>
      </c>
      <c r="G3267" s="2">
        <v>490</v>
      </c>
      <c r="I3267" s="2" t="s">
        <v>238</v>
      </c>
      <c r="J3267" s="2" t="s">
        <v>239</v>
      </c>
      <c r="K3267" t="s">
        <v>18</v>
      </c>
      <c r="L3267" t="str">
        <f>T("9791124141397")</f>
        <v>9791124141397</v>
      </c>
      <c r="M3267" t="str">
        <f>T("")</f>
        <v/>
      </c>
      <c r="N3267" t="s">
        <v>240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알라딘 26년 2월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2026-05-31T04:08:46Z</dcterms:created>
  <dcterms:modified xsi:type="dcterms:W3CDTF">2026-05-31T04:12:46Z</dcterms:modified>
</cp:coreProperties>
</file>