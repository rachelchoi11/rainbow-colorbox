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청 대장" sheetId="1" state="visible" r:id="rId1"/>
    <sheet xmlns:r="http://schemas.openxmlformats.org/officeDocument/2006/relationships" name="안내·사용법" sheetId="2" state="visible" r:id="rId2"/>
  </sheets>
  <definedNames>
    <definedName name="_xlnm._FilterDatabase" localSheetId="0" hidden="1">'요청 대장'!$A$1:$K$42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</font>
    <font>
      <name val="맑은 고딕"/>
      <b val="1"/>
      <color rgb="002E5AAC"/>
      <sz val="11"/>
    </font>
  </fonts>
  <fills count="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E8EEF8"/>
      </patternFill>
    </fill>
    <fill>
      <patternFill patternType="solid">
        <fgColor rgb="00E4F1EA"/>
      </patternFill>
    </fill>
    <fill>
      <patternFill patternType="solid">
        <fgColor rgb="00F1ECF7"/>
      </patternFill>
    </fill>
    <fill>
      <patternFill patternType="solid">
        <fgColor rgb="00F0F1F3"/>
      </patternFill>
    </fill>
  </fills>
  <borders count="2">
    <border>
      <left/>
      <right/>
      <top/>
      <bottom/>
      <diagonal/>
    </border>
    <border>
      <left style="thin">
        <color rgb="00D4D9E0"/>
      </left>
      <right style="thin">
        <color rgb="00D4D9E0"/>
      </right>
      <top style="thin">
        <color rgb="00D4D9E0"/>
      </top>
      <bottom style="thin">
        <color rgb="00D4D9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1B5E20"/>
      </font>
      <fill>
        <patternFill patternType="solid">
          <fgColor rgb="00C6EFCE"/>
        </patternFill>
      </fill>
    </dxf>
    <dxf>
      <font>
        <color rgb="007A5900"/>
      </font>
      <fill>
        <patternFill patternType="solid">
          <fgColor rgb="00FFEB9C"/>
        </patternFill>
      </fill>
    </dxf>
    <dxf>
      <font>
        <color rgb="009C3A34"/>
      </font>
      <fill>
        <patternFill patternType="solid">
          <fgColor rgb="00F2D7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0" customWidth="1" min="4" max="4"/>
    <col width="10" customWidth="1" min="5" max="5"/>
    <col width="46" customWidth="1" min="6" max="6"/>
    <col width="8" customWidth="1" min="7" max="7"/>
    <col width="10" customWidth="1" min="8" max="8"/>
    <col width="9" customWidth="1" min="9" max="9"/>
    <col width="18" customWidth="1" min="10" max="10"/>
    <col width="30" customWidth="1" min="11" max="11"/>
    <col width="14" customWidth="1" min="13" max="13"/>
  </cols>
  <sheetData>
    <row r="1">
      <c r="A1" s="1" t="inlineStr">
        <is>
          <t>No</t>
        </is>
      </c>
      <c r="B1" s="1" t="inlineStr">
        <is>
          <t>연결 SI</t>
        </is>
      </c>
      <c r="C1" s="1" t="inlineStr">
        <is>
          <t>출처(채널·요청자)</t>
        </is>
      </c>
      <c r="D1" s="1" t="inlineStr">
        <is>
          <t>시기</t>
        </is>
      </c>
      <c r="E1" s="1" t="inlineStr">
        <is>
          <t>분류</t>
        </is>
      </c>
      <c r="F1" s="1" t="inlineStr">
        <is>
          <t>요청 내용</t>
        </is>
      </c>
      <c r="G1" s="1" t="inlineStr">
        <is>
          <t>담당</t>
        </is>
      </c>
      <c r="H1" s="1" t="inlineStr">
        <is>
          <t>상태</t>
        </is>
      </c>
      <c r="I1" s="1" t="inlineStr">
        <is>
          <t>배포</t>
        </is>
      </c>
      <c r="J1" s="1" t="inlineStr">
        <is>
          <t>배포시점·커밋</t>
        </is>
      </c>
      <c r="K1" s="1" t="inlineStr">
        <is>
          <t>비고</t>
        </is>
      </c>
      <c r="M1" s="2" t="inlineStr">
        <is>
          <t>집계</t>
        </is>
      </c>
    </row>
    <row r="2" ht="40" customHeight="1">
      <c r="A2" s="3" t="inlineStr">
        <is>
          <t>R01</t>
        </is>
      </c>
      <c r="B2" s="3" t="inlineStr">
        <is>
          <t>SI-2~8</t>
        </is>
      </c>
      <c r="C2" s="4" t="inlineStr">
        <is>
          <t>시안 미팅</t>
        </is>
      </c>
      <c r="D2" s="3" t="inlineStr">
        <is>
          <t>2026-06</t>
        </is>
      </c>
      <c r="E2" s="3" t="inlineStr">
        <is>
          <t>신규</t>
        </is>
      </c>
      <c r="F2" s="4" t="inlineStr">
        <is>
          <t>미팅 피드백 7건 — 거래처·품목 마스터/개인 저장양식/휴무 캘린더·대리결재/건너뛰기/공유보드/자료함/일일업무보고</t>
        </is>
      </c>
      <c r="G2" s="5" t="inlineStr">
        <is>
          <t>대표</t>
        </is>
      </c>
      <c r="H2" s="3" t="inlineStr">
        <is>
          <t>배포됨</t>
        </is>
      </c>
      <c r="I2" s="3" t="inlineStr">
        <is>
          <t>배포됨</t>
        </is>
      </c>
      <c r="J2" s="4" t="inlineStr">
        <is>
          <t>6월·강수아 배포(feat-06)</t>
        </is>
      </c>
      <c r="K2" s="4" t="inlineStr">
        <is>
          <t>prod DB 마이그레이션 포함</t>
        </is>
      </c>
      <c r="M2" s="6" t="inlineStr">
        <is>
          <t>전체</t>
        </is>
      </c>
      <c r="N2" s="6">
        <f>COUNTA(A2:A42)</f>
        <v/>
      </c>
    </row>
    <row r="3" ht="40" customHeight="1">
      <c r="A3" s="3" t="inlineStr">
        <is>
          <t>R02</t>
        </is>
      </c>
      <c r="B3" s="3" t="inlineStr">
        <is>
          <t>—</t>
        </is>
      </c>
      <c r="C3" s="4" t="inlineStr">
        <is>
          <t>대표 개발</t>
        </is>
      </c>
      <c r="D3" s="3" t="inlineStr">
        <is>
          <t>2026-06</t>
        </is>
      </c>
      <c r="E3" s="3" t="inlineStr">
        <is>
          <t>신규</t>
        </is>
      </c>
      <c r="F3" s="4" t="inlineStr">
        <is>
          <t>전자결재 기초 — 리치텍스트 에디터(TipTap)·법인카드 사전등록·MoneyInput·기안 상세 양식뷰·PDF/Word 출력</t>
        </is>
      </c>
      <c r="G3" s="5" t="inlineStr">
        <is>
          <t>대표</t>
        </is>
      </c>
      <c r="H3" s="3" t="inlineStr">
        <is>
          <t>배포됨</t>
        </is>
      </c>
      <c r="I3" s="3" t="inlineStr">
        <is>
          <t>배포됨</t>
        </is>
      </c>
      <c r="J3" s="4" t="inlineStr">
        <is>
          <t>6/10 6aa1d4d</t>
        </is>
      </c>
      <c r="K3" s="4" t="inlineStr"/>
      <c r="M3" s="6" t="inlineStr">
        <is>
          <t>배포됨</t>
        </is>
      </c>
      <c r="N3" s="6">
        <f>COUNTIF(I2:I42,"배포됨")</f>
        <v/>
      </c>
    </row>
    <row r="4" ht="40" customHeight="1">
      <c r="A4" s="3" t="inlineStr">
        <is>
          <t>R03</t>
        </is>
      </c>
      <c r="B4" s="3" t="inlineStr">
        <is>
          <t>SI-11</t>
        </is>
      </c>
      <c r="C4" s="4" t="inlineStr">
        <is>
          <t>안연주(신규계정)</t>
        </is>
      </c>
      <c r="D4" s="3" t="inlineStr">
        <is>
          <t>2026-06</t>
        </is>
      </c>
      <c r="E4" s="3" t="inlineStr">
        <is>
          <t>버그</t>
        </is>
      </c>
      <c r="F4" s="4" t="inlineStr">
        <is>
          <t>신규계정 로그인 시 깜박임+404</t>
        </is>
      </c>
      <c r="G4" s="5" t="inlineStr">
        <is>
          <t>대표</t>
        </is>
      </c>
      <c r="H4" s="3" t="inlineStr">
        <is>
          <t>해결</t>
        </is>
      </c>
      <c r="I4" s="3" t="inlineStr">
        <is>
          <t>배포됨</t>
        </is>
      </c>
      <c r="J4" s="4" t="inlineStr">
        <is>
          <t>6/27 056bb33</t>
        </is>
      </c>
      <c r="K4" s="4" t="inlineStr">
        <is>
          <t>캐시 stale + 로그인 리다이렉트 버그 수정</t>
        </is>
      </c>
      <c r="M4" s="6" t="inlineStr">
        <is>
          <t>부분</t>
        </is>
      </c>
      <c r="N4" s="6">
        <f>COUNTIF(I2:I42,"부분")</f>
        <v/>
      </c>
    </row>
    <row r="5" ht="40" customHeight="1">
      <c r="A5" s="3" t="inlineStr">
        <is>
          <t>R04</t>
        </is>
      </c>
      <c r="B5" s="3" t="inlineStr">
        <is>
          <t>SI-17</t>
        </is>
      </c>
      <c r="C5" s="4" t="inlineStr">
        <is>
          <t>조현우 이사</t>
        </is>
      </c>
      <c r="D5" s="3" t="inlineStr">
        <is>
          <t>2026-07</t>
        </is>
      </c>
      <c r="E5" s="3" t="inlineStr">
        <is>
          <t>개선</t>
        </is>
      </c>
      <c r="F5" s="4" t="inlineStr">
        <is>
          <t>개장/정산 품의서 필드 변경(묘지구분·위치·평수·개장일자)+묘적번호 자동채움</t>
        </is>
      </c>
      <c r="G5" s="5" t="inlineStr">
        <is>
          <t>대표</t>
        </is>
      </c>
      <c r="H5" s="3" t="inlineStr">
        <is>
          <t>검토대기</t>
        </is>
      </c>
      <c r="I5" s="3" t="inlineStr">
        <is>
          <t>부분</t>
        </is>
      </c>
      <c r="J5" s="4" t="inlineStr">
        <is>
          <t>브랜치 반영</t>
        </is>
      </c>
      <c r="K5" s="4" t="inlineStr">
        <is>
          <t>라이브 자동채움 검증 필요</t>
        </is>
      </c>
      <c r="M5" s="6" t="inlineStr">
        <is>
          <t>미배포/미착수</t>
        </is>
      </c>
      <c r="N5" s="6">
        <f>COUNTIF(I2:I42,"미배포")+COUNTIF(I2:I42,"미착수")</f>
        <v/>
      </c>
    </row>
    <row r="6" ht="40" customHeight="1">
      <c r="A6" s="3" t="inlineStr">
        <is>
          <t>R05</t>
        </is>
      </c>
      <c r="B6" s="3" t="inlineStr">
        <is>
          <t>SI-18~21</t>
        </is>
      </c>
      <c r="C6" s="4" t="inlineStr">
        <is>
          <t>대표+시안</t>
        </is>
      </c>
      <c r="D6" s="3" t="inlineStr">
        <is>
          <t>2026-07</t>
        </is>
      </c>
      <c r="E6" s="3" t="inlineStr">
        <is>
          <t>신규</t>
        </is>
      </c>
      <c r="F6" s="4" t="inlineStr">
        <is>
          <t>UI/UX 대개편(18커밋) — 기안 리디자인·전역 블루 리테마·사이드바·진행함 모니터링·양식관리·대시보드·전체 알림페이지·역할권한 정리·보드 히스토리</t>
        </is>
      </c>
      <c r="G6" s="5" t="inlineStr">
        <is>
          <t>대표</t>
        </is>
      </c>
      <c r="H6" s="3" t="inlineStr">
        <is>
          <t>검토대기</t>
        </is>
      </c>
      <c r="I6" s="3" t="inlineStr">
        <is>
          <t>미배포</t>
        </is>
      </c>
      <c r="J6" s="4" t="inlineStr">
        <is>
          <t>PR #1 강수아 머지 대기</t>
        </is>
      </c>
      <c r="K6" s="4" t="inlineStr">
        <is>
          <t>머지 시 db:push+db:seed 필수</t>
        </is>
      </c>
      <c r="M6" s="6" t="inlineStr">
        <is>
          <t>대표</t>
        </is>
      </c>
      <c r="N6" s="6">
        <f>COUNTIF(G2:G42,"대표")</f>
        <v/>
      </c>
    </row>
    <row r="7" ht="40" customHeight="1">
      <c r="A7" s="3" t="inlineStr">
        <is>
          <t>R06</t>
        </is>
      </c>
      <c r="B7" s="3" t="inlineStr">
        <is>
          <t>SI-23</t>
        </is>
      </c>
      <c r="C7" s="4" t="inlineStr">
        <is>
          <t>이준식 차장(카톡)+재무회계팀(점검 PDF)</t>
        </is>
      </c>
      <c r="D7" s="3" t="inlineStr">
        <is>
          <t>2026-07</t>
        </is>
      </c>
      <c r="E7" s="3" t="inlineStr">
        <is>
          <t>신규/버그</t>
        </is>
      </c>
      <c r="F7" s="4" t="inlineStr">
        <is>
          <t>2차 사용점검 — [대표분] 결재 알림 커버리지·인라인 승인/반려·에디터 정렬·드래그 첨부·보고일자·공유보드 이미지</t>
        </is>
      </c>
      <c r="G7" s="5" t="inlineStr">
        <is>
          <t>대표</t>
        </is>
      </c>
      <c r="H7" s="3" t="inlineStr">
        <is>
          <t>배포됨</t>
        </is>
      </c>
      <c r="I7" s="3" t="inlineStr">
        <is>
          <t>배포됨</t>
        </is>
      </c>
      <c r="J7" s="4" t="inlineStr">
        <is>
          <t>7/30 통합배포 d0e26e4</t>
        </is>
      </c>
      <c r="K7" s="4" t="inlineStr"/>
      <c r="M7" s="6" t="inlineStr">
        <is>
          <t>강수아</t>
        </is>
      </c>
      <c r="N7" s="6">
        <f>COUNTIF(G2:G42,"강수아")</f>
        <v/>
      </c>
    </row>
    <row r="8" ht="40" customHeight="1">
      <c r="A8" s="3" t="inlineStr">
        <is>
          <t>R07</t>
        </is>
      </c>
      <c r="B8" s="3" t="inlineStr">
        <is>
          <t>SI-23</t>
        </is>
      </c>
      <c r="C8" s="4" t="inlineStr">
        <is>
          <t>2차 점검(강수아 분담)</t>
        </is>
      </c>
      <c r="D8" s="3" t="inlineStr">
        <is>
          <t>2026-07</t>
        </is>
      </c>
      <c r="E8" s="3" t="inlineStr">
        <is>
          <t>신규</t>
        </is>
      </c>
      <c r="F8" s="4" t="inlineStr">
        <is>
          <t>[강수아분] 임시저장함·법인구분(3법인)·첨부 named volume·초성검색·출력 접근제어·상신 별도 엔드포인트</t>
        </is>
      </c>
      <c r="G8" s="7" t="inlineStr">
        <is>
          <t>강수아</t>
        </is>
      </c>
      <c r="H8" s="3" t="inlineStr">
        <is>
          <t>배포됨</t>
        </is>
      </c>
      <c r="I8" s="3" t="inlineStr">
        <is>
          <t>배포됨</t>
        </is>
      </c>
      <c r="J8" s="4" t="inlineStr">
        <is>
          <t>7/30 7365b45·006e09e</t>
        </is>
      </c>
      <c r="K8" s="4" t="inlineStr"/>
    </row>
    <row r="9" ht="40" customHeight="1">
      <c r="A9" s="3" t="inlineStr">
        <is>
          <t>R08</t>
        </is>
      </c>
      <c r="B9" s="3" t="inlineStr">
        <is>
          <t>SI-23</t>
        </is>
      </c>
      <c r="C9" s="4" t="inlineStr">
        <is>
          <t>2차 점검(오류)</t>
        </is>
      </c>
      <c r="D9" s="3" t="inlineStr">
        <is>
          <t>2026-07</t>
        </is>
      </c>
      <c r="E9" s="3" t="inlineStr">
        <is>
          <t>버그</t>
        </is>
      </c>
      <c r="F9" s="4" t="inlineStr">
        <is>
          <t>[강수아분 오류] ESC 데이터소실·엑셀첨부 후 상신·참조 대상검색·사진(png) 첨부 오류</t>
        </is>
      </c>
      <c r="G9" s="7" t="inlineStr">
        <is>
          <t>강수아</t>
        </is>
      </c>
      <c r="H9" s="3" t="inlineStr">
        <is>
          <t>배포됨</t>
        </is>
      </c>
      <c r="I9" s="3" t="inlineStr">
        <is>
          <t>부분</t>
        </is>
      </c>
      <c r="J9" s="4" t="inlineStr">
        <is>
          <t>7/30</t>
        </is>
      </c>
      <c r="K9" s="4" t="inlineStr">
        <is>
          <t>사진첨부 등 일부 후속 확인</t>
        </is>
      </c>
    </row>
    <row r="10" ht="40" customHeight="1">
      <c r="A10" s="3" t="inlineStr">
        <is>
          <t>R09</t>
        </is>
      </c>
      <c r="B10" s="3" t="inlineStr">
        <is>
          <t>SI-26</t>
        </is>
      </c>
      <c r="C10" s="4" t="inlineStr">
        <is>
          <t>이동재 이사</t>
        </is>
      </c>
      <c r="D10" s="3" t="inlineStr">
        <is>
          <t>2026-07</t>
        </is>
      </c>
      <c r="E10" s="3" t="inlineStr">
        <is>
          <t>신규</t>
        </is>
      </c>
      <c r="F10" s="4" t="inlineStr">
        <is>
          <t>사용자 관리 목록 엑셀(CSV) 내보내기(인쇄 대체)</t>
        </is>
      </c>
      <c r="G10" s="5" t="inlineStr">
        <is>
          <t>대표</t>
        </is>
      </c>
      <c r="H10" s="3" t="inlineStr">
        <is>
          <t>배포됨</t>
        </is>
      </c>
      <c r="I10" s="3" t="inlineStr">
        <is>
          <t>배포됨</t>
        </is>
      </c>
      <c r="J10" s="4" t="inlineStr">
        <is>
          <t>7/31 6176bd8</t>
        </is>
      </c>
      <c r="K10" s="4" t="inlineStr"/>
    </row>
    <row r="11" ht="40" customHeight="1">
      <c r="A11" s="3" t="inlineStr">
        <is>
          <t>R10</t>
        </is>
      </c>
      <c r="B11" s="3" t="inlineStr">
        <is>
          <t>SI-27</t>
        </is>
      </c>
      <c r="C11" s="4" t="inlineStr">
        <is>
          <t>사용자 제보</t>
        </is>
      </c>
      <c r="D11" s="3" t="inlineStr">
        <is>
          <t>2026-07</t>
        </is>
      </c>
      <c r="E11" s="3" t="inlineStr">
        <is>
          <t>버그</t>
        </is>
      </c>
      <c r="F11" s="4" t="inlineStr">
        <is>
          <t>확인창(계속작성/X) 후 아래 다이얼로그 먹통(Radix pointer-events)</t>
        </is>
      </c>
      <c r="G11" s="5" t="inlineStr">
        <is>
          <t>대표</t>
        </is>
      </c>
      <c r="H11" s="3" t="inlineStr">
        <is>
          <t>해결</t>
        </is>
      </c>
      <c r="I11" s="3" t="inlineStr">
        <is>
          <t>배포됨</t>
        </is>
      </c>
      <c r="J11" s="4" t="inlineStr">
        <is>
          <t>7/31 9fd2ba4</t>
        </is>
      </c>
      <c r="K11" s="4" t="inlineStr">
        <is>
          <t>첫 ESC 무반응은 '그냥 둬' 결정</t>
        </is>
      </c>
    </row>
    <row r="12" ht="40" customHeight="1">
      <c r="A12" s="3" t="inlineStr">
        <is>
          <t>R11</t>
        </is>
      </c>
      <c r="B12" s="3" t="inlineStr">
        <is>
          <t>SI-25</t>
        </is>
      </c>
      <c r="C12" s="4" t="inlineStr">
        <is>
          <t>사용자 제보</t>
        </is>
      </c>
      <c r="D12" s="3" t="inlineStr">
        <is>
          <t>2026-07</t>
        </is>
      </c>
      <c r="E12" s="3" t="inlineStr">
        <is>
          <t>버그</t>
        </is>
      </c>
      <c r="F12" s="4" t="inlineStr">
        <is>
          <t>본문 인라인 이미지 3장 → 413(임시저장)·500(목록) 실패</t>
        </is>
      </c>
      <c r="G12" s="8" t="inlineStr">
        <is>
          <t>공동</t>
        </is>
      </c>
      <c r="H12" s="3" t="inlineStr">
        <is>
          <t>검토대기</t>
        </is>
      </c>
      <c r="I12" s="3" t="inlineStr">
        <is>
          <t>부분</t>
        </is>
      </c>
      <c r="J12" s="4" t="inlineStr">
        <is>
          <t>앱측 안내·GET omit 배포</t>
        </is>
      </c>
      <c r="K12" s="4" t="inlineStr">
        <is>
          <t>nginx client_max_body_size 30M+ → 강수아 대기</t>
        </is>
      </c>
    </row>
    <row r="13" ht="40" customHeight="1">
      <c r="A13" s="3" t="inlineStr">
        <is>
          <t>R12</t>
        </is>
      </c>
      <c r="B13" s="3" t="inlineStr">
        <is>
          <t>—</t>
        </is>
      </c>
      <c r="C13" s="4" t="inlineStr">
        <is>
          <t>대표 요청</t>
        </is>
      </c>
      <c r="D13" s="3" t="inlineStr">
        <is>
          <t>2026-08</t>
        </is>
      </c>
      <c r="E13" s="3" t="inlineStr">
        <is>
          <t>개선</t>
        </is>
      </c>
      <c r="F13" s="4" t="inlineStr">
        <is>
          <t>고정 결재자(이사장·회장)를 결재선 맨 뒤에 항상·기안자 삭제 불가</t>
        </is>
      </c>
      <c r="G13" s="7" t="inlineStr">
        <is>
          <t>강수아</t>
        </is>
      </c>
      <c r="H13" s="3" t="inlineStr">
        <is>
          <t>배포됨</t>
        </is>
      </c>
      <c r="I13" s="3" t="inlineStr">
        <is>
          <t>배포됨</t>
        </is>
      </c>
      <c r="J13" s="4" t="inlineStr">
        <is>
          <t>8/14 291b67a·5858e86</t>
        </is>
      </c>
      <c r="K13" s="4" t="inlineStr">
        <is>
          <t>현행 정상</t>
        </is>
      </c>
    </row>
    <row r="14" ht="40" customHeight="1">
      <c r="A14" s="3" t="inlineStr">
        <is>
          <t>R13</t>
        </is>
      </c>
      <c r="B14" s="3" t="inlineStr">
        <is>
          <t>—</t>
        </is>
      </c>
      <c r="C14" s="4" t="inlineStr">
        <is>
          <t>대표 발견</t>
        </is>
      </c>
      <c r="D14" s="3" t="inlineStr">
        <is>
          <t>2026-08</t>
        </is>
      </c>
      <c r="E14" s="3" t="inlineStr">
        <is>
          <t>버그</t>
        </is>
      </c>
      <c r="F14" s="4" t="inlineStr">
        <is>
          <t>근거 없는 결재규칙 4건 제거(연차 4일↑·지출 100만↑→이사장) — 승인근거·데이터 없음</t>
        </is>
      </c>
      <c r="G14" s="7" t="inlineStr">
        <is>
          <t>강수아</t>
        </is>
      </c>
      <c r="H14" s="3" t="inlineStr">
        <is>
          <t>배포됨</t>
        </is>
      </c>
      <c r="I14" s="3" t="inlineStr">
        <is>
          <t>배포됨</t>
        </is>
      </c>
      <c r="J14" s="4" t="inlineStr">
        <is>
          <t>8/26</t>
        </is>
      </c>
      <c r="K14" s="4" t="inlineStr">
        <is>
          <t>approval_rules 0행·이사장 직급 부재 확인</t>
        </is>
      </c>
    </row>
    <row r="15" ht="40" customHeight="1">
      <c r="A15" s="3" t="inlineStr">
        <is>
          <t>R14</t>
        </is>
      </c>
      <c r="B15" s="3" t="inlineStr">
        <is>
          <t>—</t>
        </is>
      </c>
      <c r="C15" s="4" t="inlineStr">
        <is>
          <t>대표 발견</t>
        </is>
      </c>
      <c r="D15" s="3" t="inlineStr">
        <is>
          <t>2026-08</t>
        </is>
      </c>
      <c r="E15" s="3" t="inlineStr">
        <is>
          <t>버그</t>
        </is>
      </c>
      <c r="F15" s="4" t="inlineStr">
        <is>
          <t>화면 곳곳 허구 조직 문구(담당→이사→상무→전무→이사장) 10개 양식 삭제</t>
        </is>
      </c>
      <c r="G15" s="7" t="inlineStr">
        <is>
          <t>강수아</t>
        </is>
      </c>
      <c r="H15" s="3" t="inlineStr">
        <is>
          <t>배포됨</t>
        </is>
      </c>
      <c r="I15" s="3" t="inlineStr">
        <is>
          <t>배포됨</t>
        </is>
      </c>
      <c r="J15" s="4" t="inlineStr">
        <is>
          <t>8/26·8/28 9d364d9</t>
        </is>
      </c>
      <c r="K15" s="4" t="inlineStr"/>
    </row>
    <row r="16" ht="40" customHeight="1">
      <c r="A16" s="3" t="inlineStr">
        <is>
          <t>R15</t>
        </is>
      </c>
      <c r="B16" s="3" t="inlineStr">
        <is>
          <t>—</t>
        </is>
      </c>
      <c r="C16" s="4" t="inlineStr">
        <is>
          <t>시안 요청</t>
        </is>
      </c>
      <c r="D16" s="3" t="inlineStr">
        <is>
          <t>2026-08</t>
        </is>
      </c>
      <c r="E16" s="3" t="inlineStr">
        <is>
          <t>신규</t>
        </is>
      </c>
      <c r="F16" s="4" t="inlineStr">
        <is>
          <t>상신 전 미리보기(완성 문서 확인·오류 선차단)</t>
        </is>
      </c>
      <c r="G16" s="7" t="inlineStr">
        <is>
          <t>강수아</t>
        </is>
      </c>
      <c r="H16" s="3" t="inlineStr">
        <is>
          <t>배포됨</t>
        </is>
      </c>
      <c r="I16" s="3" t="inlineStr">
        <is>
          <t>배포됨</t>
        </is>
      </c>
      <c r="J16" s="4" t="inlineStr">
        <is>
          <t>8/27 8894cba</t>
        </is>
      </c>
      <c r="K16" s="4" t="inlineStr">
        <is>
          <t>5차 배포</t>
        </is>
      </c>
    </row>
    <row r="17" ht="40" customHeight="1">
      <c r="A17" s="3" t="inlineStr">
        <is>
          <t>R16</t>
        </is>
      </c>
      <c r="B17" s="3" t="inlineStr">
        <is>
          <t>—</t>
        </is>
      </c>
      <c r="C17" s="4" t="inlineStr">
        <is>
          <t>시안 요청</t>
        </is>
      </c>
      <c r="D17" s="3" t="inlineStr">
        <is>
          <t>2026-08</t>
        </is>
      </c>
      <c r="E17" s="3" t="inlineStr">
        <is>
          <t>신규</t>
        </is>
      </c>
      <c r="F17" s="4" t="inlineStr">
        <is>
          <t>상신 후 회수(무결재 문서만·동시성 방어)</t>
        </is>
      </c>
      <c r="G17" s="7" t="inlineStr">
        <is>
          <t>강수아</t>
        </is>
      </c>
      <c r="H17" s="3" t="inlineStr">
        <is>
          <t>배포됨</t>
        </is>
      </c>
      <c r="I17" s="3" t="inlineStr">
        <is>
          <t>배포됨</t>
        </is>
      </c>
      <c r="J17" s="4" t="inlineStr">
        <is>
          <t>8/27 3a05db6</t>
        </is>
      </c>
      <c r="K17" s="4" t="inlineStr">
        <is>
          <t>5차 배포</t>
        </is>
      </c>
    </row>
    <row r="18" ht="40" customHeight="1">
      <c r="A18" s="3" t="inlineStr">
        <is>
          <t>R17</t>
        </is>
      </c>
      <c r="B18" s="3" t="inlineStr">
        <is>
          <t>—</t>
        </is>
      </c>
      <c r="C18" s="4" t="inlineStr">
        <is>
          <t>시안 요청</t>
        </is>
      </c>
      <c r="D18" s="3" t="inlineStr">
        <is>
          <t>2026-08</t>
        </is>
      </c>
      <c r="E18" s="3" t="inlineStr">
        <is>
          <t>신규</t>
        </is>
      </c>
      <c r="F18" s="4" t="inlineStr">
        <is>
          <t>담당자 보관함(양식별 담당자·완료 알림·모아보기·처리완료)</t>
        </is>
      </c>
      <c r="G18" s="7" t="inlineStr">
        <is>
          <t>강수아</t>
        </is>
      </c>
      <c r="H18" s="3" t="inlineStr">
        <is>
          <t>배포됨</t>
        </is>
      </c>
      <c r="I18" s="3" t="inlineStr">
        <is>
          <t>배포됨</t>
        </is>
      </c>
      <c r="J18" s="4" t="inlineStr">
        <is>
          <t>8/28 d84546b</t>
        </is>
      </c>
      <c r="K18" s="4" t="inlineStr">
        <is>
          <t>담당: 지출→유광균 / 휴무·구매→이준식</t>
        </is>
      </c>
    </row>
    <row r="19" ht="40" customHeight="1">
      <c r="A19" s="3" t="inlineStr">
        <is>
          <t>R18</t>
        </is>
      </c>
      <c r="B19" s="3" t="inlineStr">
        <is>
          <t>—</t>
        </is>
      </c>
      <c r="C19" s="4" t="inlineStr">
        <is>
          <t>시안 요청</t>
        </is>
      </c>
      <c r="D19" s="3" t="inlineStr">
        <is>
          <t>2026-08</t>
        </is>
      </c>
      <c r="E19" s="3" t="inlineStr">
        <is>
          <t>신규</t>
        </is>
      </c>
      <c r="F19" s="4" t="inlineStr">
        <is>
          <t>배송비(비과세) — 합계 가산·부가세 미포함</t>
        </is>
      </c>
      <c r="G19" s="7" t="inlineStr">
        <is>
          <t>강수아</t>
        </is>
      </c>
      <c r="H19" s="3" t="inlineStr">
        <is>
          <t>배포됨</t>
        </is>
      </c>
      <c r="I19" s="3" t="inlineStr">
        <is>
          <t>배포됨</t>
        </is>
      </c>
      <c r="J19" s="4" t="inlineStr">
        <is>
          <t>8/28 b254e16</t>
        </is>
      </c>
      <c r="K19" s="4" t="inlineStr"/>
    </row>
    <row r="20" ht="40" customHeight="1">
      <c r="A20" s="3" t="inlineStr">
        <is>
          <t>R19</t>
        </is>
      </c>
      <c r="B20" s="3" t="inlineStr">
        <is>
          <t>—</t>
        </is>
      </c>
      <c r="C20" s="4" t="inlineStr">
        <is>
          <t>시안 요청</t>
        </is>
      </c>
      <c r="D20" s="3" t="inlineStr">
        <is>
          <t>2026-08</t>
        </is>
      </c>
      <c r="E20" s="3" t="inlineStr">
        <is>
          <t>신규</t>
        </is>
      </c>
      <c r="F20" s="4" t="inlineStr">
        <is>
          <t>결재 진행함 통계 고정 카드(스크롤 고정)</t>
        </is>
      </c>
      <c r="G20" s="7" t="inlineStr">
        <is>
          <t>강수아</t>
        </is>
      </c>
      <c r="H20" s="3" t="inlineStr">
        <is>
          <t>배포됨</t>
        </is>
      </c>
      <c r="I20" s="3" t="inlineStr">
        <is>
          <t>배포됨</t>
        </is>
      </c>
      <c r="J20" s="4" t="inlineStr">
        <is>
          <t>8/28 e9f6786</t>
        </is>
      </c>
      <c r="K20" s="4" t="inlineStr"/>
    </row>
    <row r="21" ht="40" customHeight="1">
      <c r="A21" s="3" t="inlineStr">
        <is>
          <t>R20</t>
        </is>
      </c>
      <c r="B21" s="3" t="inlineStr">
        <is>
          <t>—</t>
        </is>
      </c>
      <c r="C21" s="4" t="inlineStr">
        <is>
          <t>시안 요청</t>
        </is>
      </c>
      <c r="D21" s="3" t="inlineStr">
        <is>
          <t>2026-08</t>
        </is>
      </c>
      <c r="E21" s="3" t="inlineStr">
        <is>
          <t>개선</t>
        </is>
      </c>
      <c r="F21" s="4" t="inlineStr">
        <is>
          <t>프리셋(저장 결재선) 현재 직급·부서로 최신 표시</t>
        </is>
      </c>
      <c r="G21" s="7" t="inlineStr">
        <is>
          <t>강수아</t>
        </is>
      </c>
      <c r="H21" s="3" t="inlineStr">
        <is>
          <t>배포됨</t>
        </is>
      </c>
      <c r="I21" s="3" t="inlineStr">
        <is>
          <t>배포됨</t>
        </is>
      </c>
      <c r="J21" s="4" t="inlineStr">
        <is>
          <t>8/29 82c9a08</t>
        </is>
      </c>
      <c r="K21" s="4" t="inlineStr"/>
    </row>
    <row r="22" ht="40" customHeight="1">
      <c r="A22" s="3" t="inlineStr">
        <is>
          <t>R21</t>
        </is>
      </c>
      <c r="B22" s="3" t="inlineStr">
        <is>
          <t>—</t>
        </is>
      </c>
      <c r="C22" s="4" t="inlineStr">
        <is>
          <t>운영</t>
        </is>
      </c>
      <c r="D22" s="3" t="inlineStr">
        <is>
          <t>2026-08</t>
        </is>
      </c>
      <c r="E22" s="3" t="inlineStr">
        <is>
          <t>운영</t>
        </is>
      </c>
      <c r="F22" s="4" t="inlineStr">
        <is>
          <t>무중단(blue/green) 배포 체계 확립</t>
        </is>
      </c>
      <c r="G22" s="7" t="inlineStr">
        <is>
          <t>강수아</t>
        </is>
      </c>
      <c r="H22" s="3" t="inlineStr">
        <is>
          <t>배포됨</t>
        </is>
      </c>
      <c r="I22" s="3" t="inlineStr">
        <is>
          <t>배포됨</t>
        </is>
      </c>
      <c r="J22" s="4" t="inlineStr">
        <is>
          <t>8/26~29</t>
        </is>
      </c>
      <c r="K22" s="4" t="inlineStr">
        <is>
          <t>5차 908·6차 1,418건 전량 정상</t>
        </is>
      </c>
    </row>
    <row r="23" ht="40" customHeight="1">
      <c r="A23" s="3" t="inlineStr">
        <is>
          <t>R22</t>
        </is>
      </c>
      <c r="B23" s="3" t="inlineStr">
        <is>
          <t>—</t>
        </is>
      </c>
      <c r="C23" s="4" t="inlineStr">
        <is>
          <t>대표 발견</t>
        </is>
      </c>
      <c r="D23" s="3" t="inlineStr">
        <is>
          <t>2026-08</t>
        </is>
      </c>
      <c r="E23" s="3" t="inlineStr">
        <is>
          <t>버그</t>
        </is>
      </c>
      <c r="F23" s="4" t="inlineStr">
        <is>
          <t>운영 가짜 계정 5개·미사용 직급 비활성 정리</t>
        </is>
      </c>
      <c r="G23" s="7" t="inlineStr">
        <is>
          <t>강수아</t>
        </is>
      </c>
      <c r="H23" s="3" t="inlineStr">
        <is>
          <t>배포됨</t>
        </is>
      </c>
      <c r="I23" s="3" t="inlineStr">
        <is>
          <t>배포됨</t>
        </is>
      </c>
      <c r="J23" s="4" t="inlineStr">
        <is>
          <t>8월</t>
        </is>
      </c>
      <c r="K23" s="4" t="inlineStr">
        <is>
          <t>되돌리는 SQL 보관</t>
        </is>
      </c>
    </row>
    <row r="24" ht="40" customHeight="1">
      <c r="A24" s="3" t="inlineStr">
        <is>
          <t>R23</t>
        </is>
      </c>
      <c r="B24" s="3" t="inlineStr">
        <is>
          <t>SI-31</t>
        </is>
      </c>
      <c r="C24" s="4" t="inlineStr">
        <is>
          <t>대표 발견</t>
        </is>
      </c>
      <c r="D24" s="3" t="inlineStr">
        <is>
          <t>2026-08</t>
        </is>
      </c>
      <c r="E24" s="3" t="inlineStr">
        <is>
          <t>버그</t>
        </is>
      </c>
      <c r="F24" s="4" t="inlineStr">
        <is>
          <t>경영지원팀 상무(정수화)가 직급 유추로 자동 부서장 → 유추 라우팅 전면 제거</t>
        </is>
      </c>
      <c r="G24" s="5" t="inlineStr">
        <is>
          <t>대표</t>
        </is>
      </c>
      <c r="H24" s="3" t="inlineStr">
        <is>
          <t>검토대기</t>
        </is>
      </c>
      <c r="I24" s="3" t="inlineStr">
        <is>
          <t>미배포</t>
        </is>
      </c>
      <c r="J24" s="4" t="inlineStr">
        <is>
          <t>PR #2 d535d11</t>
        </is>
      </c>
      <c r="K24" s="4" t="inlineStr">
        <is>
          <t>8/15 부서장 판정 확장(ebb7f3b)이 원인</t>
        </is>
      </c>
    </row>
    <row r="25" ht="40" customHeight="1">
      <c r="A25" s="3" t="inlineStr">
        <is>
          <t>R24</t>
        </is>
      </c>
      <c r="B25" s="3" t="inlineStr">
        <is>
          <t>—</t>
        </is>
      </c>
      <c r="C25" s="4" t="inlineStr">
        <is>
          <t>5차 점검표</t>
        </is>
      </c>
      <c r="D25" s="3" t="inlineStr">
        <is>
          <t>2026-08</t>
        </is>
      </c>
      <c r="E25" s="3" t="inlineStr">
        <is>
          <t>버그</t>
        </is>
      </c>
      <c r="F25" s="4" t="inlineStr">
        <is>
          <t>저장양식 제목 미복원(17건 중 16건 제목·법인·긴급도)</t>
        </is>
      </c>
      <c r="G25" s="9" t="inlineStr">
        <is>
          <t>미정</t>
        </is>
      </c>
      <c r="H25" s="3" t="inlineStr">
        <is>
          <t>보류</t>
        </is>
      </c>
      <c r="I25" s="3" t="inlineStr">
        <is>
          <t>미착수</t>
        </is>
      </c>
      <c r="J25" s="4" t="inlineStr">
        <is>
          <t>—</t>
        </is>
      </c>
      <c r="K25" s="4" t="inlineStr">
        <is>
          <t>저장 시 미포함 → 되살릴 데이터 없음 · 미해결(수정 배포 전)</t>
        </is>
      </c>
    </row>
    <row r="26" ht="40" customHeight="1">
      <c r="A26" s="3" t="inlineStr">
        <is>
          <t>R25</t>
        </is>
      </c>
      <c r="B26" s="3" t="inlineStr">
        <is>
          <t>—</t>
        </is>
      </c>
      <c r="C26" s="4" t="inlineStr">
        <is>
          <t>5차 점검표</t>
        </is>
      </c>
      <c r="D26" s="3" t="inlineStr">
        <is>
          <t>2026-08</t>
        </is>
      </c>
      <c r="E26" s="3" t="inlineStr">
        <is>
          <t>결정</t>
        </is>
      </c>
      <c r="F26" s="4" t="inlineStr">
        <is>
          <t>운영에 샘플 계정 5개 활성 잔존 — 비활성/삭제 결정</t>
        </is>
      </c>
      <c r="G26" s="9" t="inlineStr">
        <is>
          <t>미정</t>
        </is>
      </c>
      <c r="H26" s="3" t="inlineStr">
        <is>
          <t>결정대기</t>
        </is>
      </c>
      <c r="I26" s="3" t="inlineStr">
        <is>
          <t>해당없음</t>
        </is>
      </c>
      <c r="J26" s="4" t="inlineStr">
        <is>
          <t>—</t>
        </is>
      </c>
      <c r="K26" s="4" t="inlineStr">
        <is>
          <t>대표 결정 필요</t>
        </is>
      </c>
    </row>
    <row r="27" ht="40" customHeight="1">
      <c r="A27" s="3" t="inlineStr">
        <is>
          <t>R26</t>
        </is>
      </c>
      <c r="B27" s="3" t="inlineStr">
        <is>
          <t>—</t>
        </is>
      </c>
      <c r="C27" s="4" t="inlineStr">
        <is>
          <t>5차 점검표</t>
        </is>
      </c>
      <c r="D27" s="3" t="inlineStr">
        <is>
          <t>2026-08</t>
        </is>
      </c>
      <c r="E27" s="3" t="inlineStr">
        <is>
          <t>버그</t>
        </is>
      </c>
      <c r="F27" s="4" t="inlineStr">
        <is>
          <t>반차 위조 우회(반차 신청+날짜 길게 → 부서장 선에서 끝)</t>
        </is>
      </c>
      <c r="G27" s="9" t="inlineStr">
        <is>
          <t>미정</t>
        </is>
      </c>
      <c r="H27" s="3" t="inlineStr">
        <is>
          <t>보류</t>
        </is>
      </c>
      <c r="I27" s="3" t="inlineStr">
        <is>
          <t>미착수</t>
        </is>
      </c>
      <c r="J27" s="4" t="inlineStr">
        <is>
          <t>—</t>
        </is>
      </c>
      <c r="K27" s="4" t="inlineStr">
        <is>
          <t>화면 불가·프로그램만 가능 · 미해결(수정 배포 전)</t>
        </is>
      </c>
    </row>
    <row r="28" ht="40" customHeight="1">
      <c r="A28" s="3" t="inlineStr">
        <is>
          <t>R27</t>
        </is>
      </c>
      <c r="B28" s="3" t="inlineStr">
        <is>
          <t>—</t>
        </is>
      </c>
      <c r="C28" s="4" t="inlineStr">
        <is>
          <t>개편기록</t>
        </is>
      </c>
      <c r="D28" s="3" t="inlineStr">
        <is>
          <t>2026-08</t>
        </is>
      </c>
      <c r="E28" s="3" t="inlineStr">
        <is>
          <t>결정</t>
        </is>
      </c>
      <c r="F28" s="4" t="inlineStr">
        <is>
          <t>모모헌 전용 양식 필요 여부</t>
        </is>
      </c>
      <c r="G28" s="9" t="inlineStr">
        <is>
          <t>미정</t>
        </is>
      </c>
      <c r="H28" s="3" t="inlineStr">
        <is>
          <t>결정대기</t>
        </is>
      </c>
      <c r="I28" s="3" t="inlineStr">
        <is>
          <t>해당없음</t>
        </is>
      </c>
      <c r="J28" s="4" t="inlineStr">
        <is>
          <t>—</t>
        </is>
      </c>
      <c r="K28" s="4" t="inlineStr">
        <is>
          <t>공통 양식 4개는 이미 노출</t>
        </is>
      </c>
    </row>
    <row r="29" ht="40" customHeight="1">
      <c r="A29" s="3" t="inlineStr">
        <is>
          <t>R28</t>
        </is>
      </c>
      <c r="B29" s="3" t="inlineStr">
        <is>
          <t>—</t>
        </is>
      </c>
      <c r="C29" s="4" t="inlineStr">
        <is>
          <t>개편기록</t>
        </is>
      </c>
      <c r="D29" s="3" t="inlineStr">
        <is>
          <t>2026-08</t>
        </is>
      </c>
      <c r="E29" s="3" t="inlineStr">
        <is>
          <t>개선</t>
        </is>
      </c>
      <c r="F29" s="4" t="inlineStr">
        <is>
          <t>비활성 결재자가 결재선에 있어도 표시 없음</t>
        </is>
      </c>
      <c r="G29" s="9" t="inlineStr">
        <is>
          <t>미정</t>
        </is>
      </c>
      <c r="H29" s="3" t="inlineStr">
        <is>
          <t>검토대기</t>
        </is>
      </c>
      <c r="I29" s="3" t="inlineStr">
        <is>
          <t>미착수</t>
        </is>
      </c>
      <c r="J29" s="4" t="inlineStr">
        <is>
          <t>—</t>
        </is>
      </c>
      <c r="K29" s="4" t="inlineStr">
        <is>
          <t>프리셋 1건 해당</t>
        </is>
      </c>
    </row>
    <row r="30" ht="40" customHeight="1">
      <c r="A30" s="3" t="inlineStr">
        <is>
          <t>R29</t>
        </is>
      </c>
      <c r="B30" s="3" t="inlineStr">
        <is>
          <t>—</t>
        </is>
      </c>
      <c r="C30" s="4" t="inlineStr">
        <is>
          <t>개편기록(보안)</t>
        </is>
      </c>
      <c r="D30" s="3" t="inlineStr">
        <is>
          <t>2026-08</t>
        </is>
      </c>
      <c r="E30" s="3" t="inlineStr">
        <is>
          <t>보안</t>
        </is>
      </c>
      <c r="F30" s="4" t="inlineStr">
        <is>
          <t>의존성 취약점 21건 분류·대응 계획</t>
        </is>
      </c>
      <c r="G30" s="9" t="inlineStr">
        <is>
          <t>미정</t>
        </is>
      </c>
      <c r="H30" s="3" t="inlineStr">
        <is>
          <t>검토대기</t>
        </is>
      </c>
      <c r="I30" s="3" t="inlineStr">
        <is>
          <t>미착수</t>
        </is>
      </c>
      <c r="J30" s="4" t="inlineStr">
        <is>
          <t>—</t>
        </is>
      </c>
      <c r="K30" s="4" t="inlineStr"/>
    </row>
    <row r="31" ht="40" customHeight="1">
      <c r="A31" s="3" t="inlineStr">
        <is>
          <t>R30</t>
        </is>
      </c>
      <c r="B31" s="3" t="inlineStr">
        <is>
          <t>—</t>
        </is>
      </c>
      <c r="C31" s="4" t="inlineStr">
        <is>
          <t>개편기록</t>
        </is>
      </c>
      <c r="D31" s="3" t="inlineStr">
        <is>
          <t>2026-08</t>
        </is>
      </c>
      <c r="E31" s="3" t="inlineStr">
        <is>
          <t>개선</t>
        </is>
      </c>
      <c r="F31" s="4" t="inlineStr">
        <is>
          <t>테스트 보강(계정 비활성→필수결재자 삭제·결재 동시성 회귀)</t>
        </is>
      </c>
      <c r="G31" s="9" t="inlineStr">
        <is>
          <t>미정</t>
        </is>
      </c>
      <c r="H31" s="3" t="inlineStr">
        <is>
          <t>검토대기</t>
        </is>
      </c>
      <c r="I31" s="3" t="inlineStr">
        <is>
          <t>미착수</t>
        </is>
      </c>
      <c r="J31" s="4" t="inlineStr">
        <is>
          <t>—</t>
        </is>
      </c>
      <c r="K31" s="4" t="inlineStr"/>
    </row>
    <row r="32" ht="40" customHeight="1">
      <c r="A32" s="3" t="inlineStr">
        <is>
          <t>R31</t>
        </is>
      </c>
      <c r="B32" s="3" t="inlineStr">
        <is>
          <t>—</t>
        </is>
      </c>
      <c r="C32" s="4" t="inlineStr">
        <is>
          <t>개편기록</t>
        </is>
      </c>
      <c r="D32" s="3" t="inlineStr">
        <is>
          <t>2026-08</t>
        </is>
      </c>
      <c r="E32" s="3" t="inlineStr">
        <is>
          <t>운영</t>
        </is>
      </c>
      <c r="F32" s="4" t="inlineStr">
        <is>
          <t>스키마 변경 도구 운영 호스트 준비(절차화)</t>
        </is>
      </c>
      <c r="G32" s="7" t="inlineStr">
        <is>
          <t>강수아</t>
        </is>
      </c>
      <c r="H32" s="3" t="inlineStr">
        <is>
          <t>검토대기</t>
        </is>
      </c>
      <c r="I32" s="3" t="inlineStr">
        <is>
          <t>미착수</t>
        </is>
      </c>
      <c r="J32" s="4" t="inlineStr">
        <is>
          <t>—</t>
        </is>
      </c>
      <c r="K32" s="4" t="inlineStr"/>
    </row>
    <row r="33" ht="40" customHeight="1">
      <c r="A33" s="3" t="inlineStr">
        <is>
          <t>R32</t>
        </is>
      </c>
      <c r="B33" s="3" t="inlineStr">
        <is>
          <t>SI-10</t>
        </is>
      </c>
      <c r="C33" s="4" t="inlineStr">
        <is>
          <t>운영</t>
        </is>
      </c>
      <c r="D33" s="3" t="inlineStr">
        <is>
          <t>—</t>
        </is>
      </c>
      <c r="E33" s="3" t="inlineStr">
        <is>
          <t>운영</t>
        </is>
      </c>
      <c r="F33" s="4" t="inlineStr">
        <is>
          <t>prod SSL 인증서 만료 → certbot 갱신</t>
        </is>
      </c>
      <c r="G33" s="7" t="inlineStr">
        <is>
          <t>강수아</t>
        </is>
      </c>
      <c r="H33" s="3" t="inlineStr">
        <is>
          <t>미착수</t>
        </is>
      </c>
      <c r="I33" s="3" t="inlineStr">
        <is>
          <t>미착수</t>
        </is>
      </c>
      <c r="J33" s="4" t="inlineStr">
        <is>
          <t>—</t>
        </is>
      </c>
      <c r="K33" s="4" t="inlineStr">
        <is>
          <t>앱 HTTP 200·브라우저 보안경고</t>
        </is>
      </c>
    </row>
    <row r="34" ht="40" customHeight="1">
      <c r="A34" s="3" t="inlineStr">
        <is>
          <t>R33</t>
        </is>
      </c>
      <c r="B34" s="3" t="inlineStr">
        <is>
          <t>SI-16</t>
        </is>
      </c>
      <c r="C34" s="4" t="inlineStr">
        <is>
          <t>강수아</t>
        </is>
      </c>
      <c r="D34" s="3" t="inlineStr">
        <is>
          <t>2026-07</t>
        </is>
      </c>
      <c r="E34" s="3" t="inlineStr">
        <is>
          <t>운영</t>
        </is>
      </c>
      <c r="F34" s="4" t="inlineStr">
        <is>
          <t>server OAuth 통합 로그인(SSO) client 통합</t>
        </is>
      </c>
      <c r="G34" s="7" t="inlineStr">
        <is>
          <t>강수아</t>
        </is>
      </c>
      <c r="H34" s="3" t="inlineStr">
        <is>
          <t>개발중</t>
        </is>
      </c>
      <c r="I34" s="3" t="inlineStr">
        <is>
          <t>부분</t>
        </is>
      </c>
      <c r="J34" s="4" t="inlineStr">
        <is>
          <t>origin 3커밋</t>
        </is>
      </c>
      <c r="K34" s="4" t="inlineStr">
        <is>
          <t>배포 시 SERVER_OAUTH_* env·redis</t>
        </is>
      </c>
    </row>
    <row r="35" ht="40" customHeight="1">
      <c r="A35" s="3" t="inlineStr">
        <is>
          <t>R34</t>
        </is>
      </c>
      <c r="B35" s="3" t="inlineStr">
        <is>
          <t>SI-24</t>
        </is>
      </c>
      <c r="C35" s="4" t="inlineStr">
        <is>
          <t>조직/강수아</t>
        </is>
      </c>
      <c r="D35" s="3" t="inlineStr">
        <is>
          <t>2026-07</t>
        </is>
      </c>
      <c r="E35" s="3" t="inlineStr">
        <is>
          <t>운영</t>
        </is>
      </c>
      <c r="F35" s="4" t="inlineStr">
        <is>
          <t>SSO 계정↔조직도 정합(sian-server 관리자 SoT, migrate-server-accounts)</t>
        </is>
      </c>
      <c r="G35" s="7" t="inlineStr">
        <is>
          <t>강수아</t>
        </is>
      </c>
      <c r="H35" s="3" t="inlineStr">
        <is>
          <t>개발중</t>
        </is>
      </c>
      <c r="I35" s="3" t="inlineStr">
        <is>
          <t>미착수</t>
        </is>
      </c>
      <c r="J35" s="4" t="inlineStr">
        <is>
          <t>—</t>
        </is>
      </c>
      <c r="K35" s="4" t="inlineStr">
        <is>
          <t>강수아 소유·상무/주임 직급 맵 보강 필요</t>
        </is>
      </c>
    </row>
    <row r="36" ht="40" customHeight="1">
      <c r="A36" s="3" t="inlineStr">
        <is>
          <t>R35</t>
        </is>
      </c>
      <c r="B36" s="3" t="inlineStr">
        <is>
          <t>SI-15</t>
        </is>
      </c>
      <c r="C36" s="4" t="inlineStr">
        <is>
          <t>파일럿</t>
        </is>
      </c>
      <c r="D36" s="3" t="inlineStr">
        <is>
          <t>—</t>
        </is>
      </c>
      <c r="E36" s="3" t="inlineStr">
        <is>
          <t>운영</t>
        </is>
      </c>
      <c r="F36" s="4" t="inlineStr">
        <is>
          <t>레거시→erp2 최초 프로덕션 마이그레이션</t>
        </is>
      </c>
      <c r="G36" s="7" t="inlineStr">
        <is>
          <t>강수아</t>
        </is>
      </c>
      <c r="H36" s="3" t="inlineStr">
        <is>
          <t>미착수</t>
        </is>
      </c>
      <c r="I36" s="3" t="inlineStr">
        <is>
          <t>미착수</t>
        </is>
      </c>
      <c r="J36" s="4" t="inlineStr">
        <is>
          <t>—</t>
        </is>
      </c>
      <c r="K36" s="4" t="inlineStr">
        <is>
          <t>롤백 불가·스테이징 리허설 필요</t>
        </is>
      </c>
    </row>
    <row r="37" ht="40" customHeight="1">
      <c r="A37" s="3" t="inlineStr">
        <is>
          <t>R36</t>
        </is>
      </c>
      <c r="B37" s="3" t="inlineStr">
        <is>
          <t>SI-9</t>
        </is>
      </c>
      <c r="C37" s="4" t="inlineStr">
        <is>
          <t>파일럿</t>
        </is>
      </c>
      <c r="D37" s="3" t="inlineStr">
        <is>
          <t>—</t>
        </is>
      </c>
      <c r="E37" s="3" t="inlineStr">
        <is>
          <t>운영</t>
        </is>
      </c>
      <c r="F37" s="4" t="inlineStr">
        <is>
          <t>파일럿 모니터링 명단·권한 매핑(전원 39명 활성 결정)</t>
        </is>
      </c>
      <c r="G37" s="9" t="inlineStr">
        <is>
          <t>미정</t>
        </is>
      </c>
      <c r="H37" s="3" t="inlineStr">
        <is>
          <t>미착수</t>
        </is>
      </c>
      <c r="I37" s="3" t="inlineStr">
        <is>
          <t>미착수</t>
        </is>
      </c>
      <c r="J37" s="4" t="inlineStr">
        <is>
          <t>—</t>
        </is>
      </c>
      <c r="K37" s="4" t="inlineStr"/>
    </row>
    <row r="38" ht="40" customHeight="1">
      <c r="A38" s="3" t="inlineStr">
        <is>
          <t>R37</t>
        </is>
      </c>
      <c r="B38" s="3" t="inlineStr">
        <is>
          <t>SI-13</t>
        </is>
      </c>
      <c r="C38" s="4" t="inlineStr">
        <is>
          <t>파일럿</t>
        </is>
      </c>
      <c r="D38" s="3" t="inlineStr">
        <is>
          <t>—</t>
        </is>
      </c>
      <c r="E38" s="3" t="inlineStr">
        <is>
          <t>개선</t>
        </is>
      </c>
      <c r="F38" s="4" t="inlineStr">
        <is>
          <t>비전자결재 메뉴 하드 잠금 + hyeyun=ADMIN 예외</t>
        </is>
      </c>
      <c r="G38" s="9" t="inlineStr">
        <is>
          <t>미정</t>
        </is>
      </c>
      <c r="H38" s="3" t="inlineStr">
        <is>
          <t>미착수</t>
        </is>
      </c>
      <c r="I38" s="3" t="inlineStr">
        <is>
          <t>미착수</t>
        </is>
      </c>
      <c r="J38" s="4" t="inlineStr">
        <is>
          <t>—</t>
        </is>
      </c>
      <c r="K38" s="4" t="inlineStr">
        <is>
          <t>UI잠금만으론 API 뚫림·침투테스트</t>
        </is>
      </c>
    </row>
    <row r="39" ht="40" customHeight="1">
      <c r="A39" s="3" t="inlineStr">
        <is>
          <t>R38</t>
        </is>
      </c>
      <c r="B39" s="3" t="inlineStr">
        <is>
          <t>SI-14</t>
        </is>
      </c>
      <c r="C39" s="4" t="inlineStr">
        <is>
          <t>파일럿</t>
        </is>
      </c>
      <c r="D39" s="3" t="inlineStr">
        <is>
          <t>—</t>
        </is>
      </c>
      <c r="E39" s="3" t="inlineStr">
        <is>
          <t>신규</t>
        </is>
      </c>
      <c r="F39" s="4" t="inlineStr">
        <is>
          <t>추가양식 6종(팀별 주간업무보고) 인앱 폼</t>
        </is>
      </c>
      <c r="G39" s="9" t="inlineStr">
        <is>
          <t>미정</t>
        </is>
      </c>
      <c r="H39" s="3" t="inlineStr">
        <is>
          <t>미착수</t>
        </is>
      </c>
      <c r="I39" s="3" t="inlineStr">
        <is>
          <t>미착수</t>
        </is>
      </c>
      <c r="J39" s="4" t="inlineStr">
        <is>
          <t>—</t>
        </is>
      </c>
      <c r="K39" s="4" t="inlineStr">
        <is>
          <t>양식=코드(크리티컬 패스)</t>
        </is>
      </c>
    </row>
    <row r="40" ht="40" customHeight="1">
      <c r="A40" s="3" t="inlineStr">
        <is>
          <t>R39</t>
        </is>
      </c>
      <c r="B40" s="3" t="inlineStr">
        <is>
          <t>SI-1</t>
        </is>
      </c>
      <c r="C40" s="4" t="inlineStr">
        <is>
          <t>분양팀</t>
        </is>
      </c>
      <c r="D40" s="3" t="inlineStr">
        <is>
          <t>—</t>
        </is>
      </c>
      <c r="E40" s="3" t="inlineStr">
        <is>
          <t>신규</t>
        </is>
      </c>
      <c r="F40" s="4" t="inlineStr">
        <is>
          <t>묘역 지도 배치도 다운로드/업로드 + xx-xx 매칭</t>
        </is>
      </c>
      <c r="G40" s="7" t="inlineStr">
        <is>
          <t>강수아</t>
        </is>
      </c>
      <c r="H40" s="3" t="inlineStr">
        <is>
          <t>미착수</t>
        </is>
      </c>
      <c r="I40" s="3" t="inlineStr">
        <is>
          <t>미착수</t>
        </is>
      </c>
      <c r="J40" s="4" t="inlineStr">
        <is>
          <t>—</t>
        </is>
      </c>
      <c r="K40" s="4" t="inlineStr"/>
    </row>
    <row r="41" ht="40" customHeight="1">
      <c r="A41" s="3" t="inlineStr">
        <is>
          <t>R40</t>
        </is>
      </c>
      <c r="B41" s="3" t="inlineStr">
        <is>
          <t>SI-22</t>
        </is>
      </c>
      <c r="C41" s="4" t="inlineStr">
        <is>
          <t>시안</t>
        </is>
      </c>
      <c r="D41" s="3" t="inlineStr">
        <is>
          <t>—</t>
        </is>
      </c>
      <c r="E41" s="3" t="inlineStr">
        <is>
          <t>신규</t>
        </is>
      </c>
      <c r="F41" s="4" t="inlineStr">
        <is>
          <t>묘적 검색 자동입력(개장/정산 품의서) — 부분입력→목록→자동채움</t>
        </is>
      </c>
      <c r="G41" s="7" t="inlineStr">
        <is>
          <t>강수아</t>
        </is>
      </c>
      <c r="H41" s="3" t="inlineStr">
        <is>
          <t>미착수</t>
        </is>
      </c>
      <c r="I41" s="3" t="inlineStr">
        <is>
          <t>미착수</t>
        </is>
      </c>
      <c r="J41" s="4" t="inlineStr">
        <is>
          <t>—</t>
        </is>
      </c>
      <c r="K41" s="4" t="inlineStr">
        <is>
          <t>기존 /api/apr/plot-lookup 검색형 확장</t>
        </is>
      </c>
    </row>
    <row r="42" ht="40" customHeight="1">
      <c r="A42" s="3" t="inlineStr">
        <is>
          <t>R41</t>
        </is>
      </c>
      <c r="B42" s="3" t="inlineStr">
        <is>
          <t>SI-30</t>
        </is>
      </c>
      <c r="C42" s="4" t="inlineStr">
        <is>
          <t>시안</t>
        </is>
      </c>
      <c r="D42" s="3" t="inlineStr">
        <is>
          <t>2026-08</t>
        </is>
      </c>
      <c r="E42" s="3" t="inlineStr">
        <is>
          <t>컨설팅</t>
        </is>
      </c>
      <c r="F42" s="4" t="inlineStr">
        <is>
          <t>계약서 2차 서면검토 피드백 대응(손글씨 스캔 14쪽)</t>
        </is>
      </c>
      <c r="G42" s="5" t="inlineStr">
        <is>
          <t>대표</t>
        </is>
      </c>
      <c r="H42" s="3" t="inlineStr">
        <is>
          <t>개발중</t>
        </is>
      </c>
      <c r="I42" s="3" t="inlineStr">
        <is>
          <t>해당없음</t>
        </is>
      </c>
      <c r="J42" s="4" t="inlineStr">
        <is>
          <t>—</t>
        </is>
      </c>
      <c r="K42" s="4" t="inlineStr">
        <is>
          <t>마케팅 컨설팅 별도 계약·잔여 ~6건+docx 미반영</t>
        </is>
      </c>
    </row>
  </sheetData>
  <autoFilter ref="A1:K42"/>
  <conditionalFormatting sqref="H2:H42">
    <cfRule type="expression" priority="1" dxfId="0">
      <formula>EXACT($H2,"배포됨")</formula>
    </cfRule>
    <cfRule type="expression" priority="2" dxfId="0">
      <formula>EXACT($H2,"해결")</formula>
    </cfRule>
    <cfRule type="expression" priority="3" dxfId="1">
      <formula>EXACT($H2,"검토대기")</formula>
    </cfRule>
    <cfRule type="expression" priority="4" dxfId="1">
      <formula>EXACT($H2,"개발중")</formula>
    </cfRule>
    <cfRule type="expression" priority="5" dxfId="1">
      <formula>EXACT($H2,"결정대기")</formula>
    </cfRule>
    <cfRule type="expression" priority="6" dxfId="2">
      <formula>EXACT($H2,"미착수")</formula>
    </cfRule>
    <cfRule type="expression" priority="7" dxfId="2">
      <formula>EXACT($H2,"보류")</formula>
    </cfRule>
  </conditionalFormatting>
  <conditionalFormatting sqref="I2:I42">
    <cfRule type="expression" priority="8" dxfId="0">
      <formula>EXACT($I2,"배포됨")</formula>
    </cfRule>
    <cfRule type="expression" priority="9" dxfId="1">
      <formula>EXACT($I2,"부분")</formula>
    </cfRule>
    <cfRule type="expression" priority="10" dxfId="2">
      <formula>EXACT($I2,"미배포")</formula>
    </cfRule>
    <cfRule type="expression" priority="11" dxfId="2">
      <formula>EXACT($I2,"미착수")</formula>
    </cfRule>
  </conditionalFormatting>
  <dataValidations count="3">
    <dataValidation sqref="G2:G42" showDropDown="0" showInputMessage="0" showErrorMessage="0" allowBlank="1" prompt="담당" type="list">
      <formula1>"대표,강수아,공동,미정"</formula1>
    </dataValidation>
    <dataValidation sqref="H2:H42" showDropDown="0" showInputMessage="0" showErrorMessage="0" allowBlank="1" prompt="상태" type="list">
      <formula1>"미착수,개발중,검토대기,배포됨,해결,결정대기,보류"</formula1>
    </dataValidation>
    <dataValidation sqref="I2:I42" showDropDown="0" showInputMessage="0" showErrorMessage="0" allowBlank="1" prompt="배포 여부" type="list">
      <formula1>"배포됨,부분,미배포,미착수,해당없음"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0" t="inlineStr">
        <is>
          <t>항목</t>
        </is>
      </c>
      <c r="B1" s="10" t="inlineStr">
        <is>
          <t>설명</t>
        </is>
      </c>
    </row>
    <row r="2">
      <c r="A2" s="11" t="inlineStr">
        <is>
          <t>■ 이 시트의 목적</t>
        </is>
      </c>
      <c r="B2" s="12" t="inlineStr"/>
    </row>
    <row r="3">
      <c r="A3" s="12" t="inlineStr">
        <is>
          <t>흩어진 요청(카톡·부서·미팅·점검·발견)을 한 곳에 모으는 단일 요청 대장.</t>
        </is>
      </c>
      <c r="B3" s="12" t="inlineStr">
        <is>
          <t>앞으로 새 요청은 맨 아래 행에 추가하세요.</t>
        </is>
      </c>
    </row>
    <row r="4">
      <c r="A4" s="12" t="inlineStr"/>
      <c r="B4" s="12" t="inlineStr"/>
    </row>
    <row r="5">
      <c r="A5" s="11" t="inlineStr">
        <is>
          <t>■ 컬럼 안내</t>
        </is>
      </c>
      <c r="B5" s="12" t="inlineStr"/>
    </row>
    <row r="6">
      <c r="A6" s="12" t="inlineStr">
        <is>
          <t>연결 SI</t>
        </is>
      </c>
      <c r="B6" s="12" t="inlineStr">
        <is>
          <t>work-dashboard의 SI-n 이슈 번호(있으면). 없으면 —</t>
        </is>
      </c>
    </row>
    <row r="7">
      <c r="A7" s="12" t="inlineStr">
        <is>
          <t>출처</t>
        </is>
      </c>
      <c r="B7" s="12" t="inlineStr">
        <is>
          <t>누가·어느 채널로 요청했는지 (예: 이준식 차장/카톡, 재무회계팀/점검PDF, 대표 발견)</t>
        </is>
      </c>
    </row>
    <row r="8">
      <c r="A8" s="12" t="inlineStr">
        <is>
          <t>분류</t>
        </is>
      </c>
      <c r="B8" s="12" t="inlineStr">
        <is>
          <t>신규 / 버그 / 개선 / 운영 / 보안 / 컨설팅 / 결정</t>
        </is>
      </c>
    </row>
    <row r="9">
      <c r="A9" s="12" t="inlineStr">
        <is>
          <t>담당</t>
        </is>
      </c>
      <c r="B9" s="12" t="inlineStr">
        <is>
          <t>대표(파랑) / 강수아(초록) / 공동 / 미정 — 셀 색으로 구분</t>
        </is>
      </c>
    </row>
    <row r="10">
      <c r="A10" s="12" t="inlineStr">
        <is>
          <t>상태</t>
        </is>
      </c>
      <c r="B10" s="12" t="inlineStr">
        <is>
          <t>미착수→개발중→검토대기→배포됨/해결. 결정대기·보류 별도</t>
        </is>
      </c>
    </row>
    <row r="11">
      <c r="A11" s="12" t="inlineStr">
        <is>
          <t>배포</t>
        </is>
      </c>
      <c r="B11" s="12" t="inlineStr">
        <is>
          <t>실제 운영 반영 여부: 배포됨 / 부분 / 미배포 / 미착수</t>
        </is>
      </c>
    </row>
    <row r="12">
      <c r="A12" s="12" t="inlineStr"/>
      <c r="B12" s="12" t="inlineStr"/>
    </row>
    <row r="13">
      <c r="A13" s="11" t="inlineStr">
        <is>
          <t>■ 쓰는 법 (반복 루프)</t>
        </is>
      </c>
      <c r="B13" s="12" t="inlineStr"/>
    </row>
    <row r="14">
      <c r="A14" s="12" t="inlineStr">
        <is>
          <t>① 요청이 오면</t>
        </is>
      </c>
      <c r="B14" s="12" t="inlineStr">
        <is>
          <t>맨 아래에 행 추가 — 출처·분류·내용만 먼저 적어도 됨(상태=미착수)</t>
        </is>
      </c>
    </row>
    <row r="15">
      <c r="A15" s="12" t="inlineStr">
        <is>
          <t>② 개발 시작</t>
        </is>
      </c>
      <c r="B15" s="12" t="inlineStr">
        <is>
          <t>상태=개발중, 담당 지정</t>
        </is>
      </c>
    </row>
    <row r="16">
      <c r="A16" s="12" t="inlineStr">
        <is>
          <t>③ 배포</t>
        </is>
      </c>
      <c r="B16" s="12" t="inlineStr">
        <is>
          <t>강수아 배포 후 상태=배포됨·배포=배포됨·배포시점 기입</t>
        </is>
      </c>
    </row>
    <row r="17">
      <c r="A17" s="12" t="inlineStr">
        <is>
          <t>④ 검증</t>
        </is>
      </c>
      <c r="B17" s="12" t="inlineStr">
        <is>
          <t>기존 기능=자동 테스트(test:apr-*) / 신규 기능=점검표로 확인</t>
        </is>
      </c>
    </row>
    <row r="18">
      <c r="A18" s="12" t="inlineStr"/>
      <c r="B18" s="12" t="inlineStr"/>
    </row>
    <row r="19">
      <c r="A19" s="11" t="inlineStr">
        <is>
          <t>■ 주의</t>
        </is>
      </c>
      <c r="B19" s="12" t="inlineStr"/>
    </row>
    <row r="20">
      <c r="A20" s="12" t="inlineStr">
        <is>
          <t>주체(담당)는 git 커밋 작성자 기준</t>
        </is>
      </c>
      <c r="B20" s="12" t="inlineStr">
        <is>
          <t>대표 요청→강수아 개발 건은 담당=강수아(구현자). 출처에 요청자 표기.</t>
        </is>
      </c>
    </row>
    <row r="21">
      <c r="A21" s="12" t="inlineStr">
        <is>
          <t>배포/상태가 '?'로 불확실한 건 실제 운영에서 재확인 필요</t>
        </is>
      </c>
      <c r="B21" s="12" t="inlineStr">
        <is>
          <t>특히 R04·R08·R11(부분)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2026-08-30T08:28:41Z</dcterms:created>
  <dcterms:modified xmlns:dcterms="http://purl.org/dc/terms/" xmlns:xsi="http://www.w3.org/2001/XMLSchema-instance" xsi:type="dcterms:W3CDTF">2026-08-30T08:28:58Z</dcterms:modified>
</cp:coreProperties>
</file>